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FG Empreendimentos\2024.06 - Scenarium\04. Custo\03.4 Custo - Fechamento\Apresentação\"/>
    </mc:Choice>
  </mc:AlternateContent>
  <xr:revisionPtr revIDLastSave="0" documentId="13_ncr:1_{CDB915B5-3D69-4BC1-BF9D-46C0E35F43EB}" xr6:coauthVersionLast="47" xr6:coauthVersionMax="47" xr10:uidLastSave="{00000000-0000-0000-0000-000000000000}"/>
  <bookViews>
    <workbookView xWindow="-23148" yWindow="-48" windowWidth="23256" windowHeight="12456" activeTab="2" xr2:uid="{00000000-000D-0000-FFFF-FFFF00000000}"/>
  </bookViews>
  <sheets>
    <sheet name="Relatório" sheetId="8" r:id="rId1"/>
    <sheet name="ORÇAMENTO_EXECUTIVO" sheetId="2" r:id="rId2"/>
    <sheet name="ANÁLISE_CUSTOS" sheetId="1" r:id="rId3"/>
    <sheet name="CÁLCULO_MÉDIAS" sheetId="5" r:id="rId4"/>
    <sheet name="AREAS_PRIVATIVAS" sheetId="7" r:id="rId5"/>
  </sheets>
  <externalReferences>
    <externalReference r:id="rId6"/>
    <externalReference r:id="rId7"/>
  </externalReferences>
  <definedNames>
    <definedName name="\0">#REF!</definedName>
    <definedName name="\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hidden="1">{#N/A,#N/A,FALSE,"Plan1";#N/A,#N/A,FALSE,"Plan2"}</definedName>
    <definedName name="\z">#REF!</definedName>
    <definedName name="_" hidden="1">#REF!</definedName>
    <definedName name="__" hidden="1">#REF!</definedName>
    <definedName name="__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 hidden="1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hidden="1">#REF!</definedName>
    <definedName name="____la29" hidden="1">#REF!</definedName>
    <definedName name="____la3" hidden="1">#REF!</definedName>
    <definedName name="____la31" hidden="1">#REF!</definedName>
    <definedName name="____la32" hidden="1">#REF!</definedName>
    <definedName name="____la4" hidden="1">#REF!</definedName>
    <definedName name="____la5" hidden="1">#REF!</definedName>
    <definedName name="____la6" hidden="1">#REF!</definedName>
    <definedName name="____la7" hidden="1">#REF!</definedName>
    <definedName name="____la8" hidden="1">#REF!</definedName>
    <definedName name="____la9" hidden="1">#REF!</definedName>
    <definedName name="____lb1" hidden="1">#REF!</definedName>
    <definedName name="____lb10" hidden="1">#REF!</definedName>
    <definedName name="____lb11" hidden="1">#REF!</definedName>
    <definedName name="____lb12" hidden="1">#REF!</definedName>
    <definedName name="____lb13" hidden="1">#REF!</definedName>
    <definedName name="____lb14" hidden="1">#REF!</definedName>
    <definedName name="____lb15" hidden="1">#REF!</definedName>
    <definedName name="____lb16" hidden="1">#REF!</definedName>
    <definedName name="____lb17" hidden="1">#REF!</definedName>
    <definedName name="____lb18" hidden="1">#REF!</definedName>
    <definedName name="____lb19" hidden="1">#REF!</definedName>
    <definedName name="____lb2" hidden="1">#REF!</definedName>
    <definedName name="____lb20" hidden="1">#REF!</definedName>
    <definedName name="____lb21" hidden="1">#REF!</definedName>
    <definedName name="____lb22" hidden="1">#REF!</definedName>
    <definedName name="____lb23" hidden="1">#REF!</definedName>
    <definedName name="____lb24" hidden="1">#REF!</definedName>
    <definedName name="____lb25" hidden="1">#REF!</definedName>
    <definedName name="____lb27" hidden="1">#REF!</definedName>
    <definedName name="____lb28" hidden="1">#REF!</definedName>
    <definedName name="____lb29" hidden="1">#REF!</definedName>
    <definedName name="____lb3" hidden="1">#REF!</definedName>
    <definedName name="____lb30" hidden="1">#REF!</definedName>
    <definedName name="____lb31" hidden="1">#REF!</definedName>
    <definedName name="____lb32" hidden="1">#REF!</definedName>
    <definedName name="____lb4" hidden="1">#REF!</definedName>
    <definedName name="____lb5" hidden="1">#REF!</definedName>
    <definedName name="____lb6" hidden="1">#REF!</definedName>
    <definedName name="____lb7" hidden="1">#REF!</definedName>
    <definedName name="____lb8" hidden="1">#REF!</definedName>
    <definedName name="____lb9" hidden="1">#REF!</definedName>
    <definedName name="____lbc1" hidden="1">#REF!</definedName>
    <definedName name="____lbc10" hidden="1">#REF!</definedName>
    <definedName name="____lbc11" hidden="1">#REF!</definedName>
    <definedName name="____lbc12" hidden="1">#REF!</definedName>
    <definedName name="____lbc13" hidden="1">#REF!</definedName>
    <definedName name="____lbc14" hidden="1">#REF!</definedName>
    <definedName name="____lbc15" hidden="1">#REF!</definedName>
    <definedName name="____lbc16" hidden="1">#REF!</definedName>
    <definedName name="____lbc17" hidden="1">#REF!</definedName>
    <definedName name="____lbc18" hidden="1">#REF!</definedName>
    <definedName name="____lbc19" hidden="1">#REF!</definedName>
    <definedName name="____lbc2" hidden="1">#REF!</definedName>
    <definedName name="____lbc20" hidden="1">#REF!</definedName>
    <definedName name="____lbc21" hidden="1">#REF!</definedName>
    <definedName name="____lbc22" hidden="1">#REF!</definedName>
    <definedName name="____lbc23" hidden="1">#REF!</definedName>
    <definedName name="____lbc24" hidden="1">#REF!</definedName>
    <definedName name="____lbc25" hidden="1">#REF!</definedName>
    <definedName name="____lbc26" hidden="1">#REF!</definedName>
    <definedName name="____lbc27" hidden="1">#REF!</definedName>
    <definedName name="____lbc28" hidden="1">#REF!</definedName>
    <definedName name="____lbc29" hidden="1">#REF!</definedName>
    <definedName name="____lbc3" hidden="1">#REF!</definedName>
    <definedName name="____lbc31" hidden="1">#REF!</definedName>
    <definedName name="____lbc32" hidden="1">#REF!</definedName>
    <definedName name="____lbc4" hidden="1">#REF!</definedName>
    <definedName name="____lbc5" hidden="1">#REF!</definedName>
    <definedName name="____lbc6" hidden="1">#REF!</definedName>
    <definedName name="____lbc7" hidden="1">#REF!</definedName>
    <definedName name="____lbc8" hidden="1">#REF!</definedName>
    <definedName name="____lbc9" hidden="1">#REF!</definedName>
    <definedName name="____ld26" hidden="1">#REF!</definedName>
    <definedName name="____ld31" hidden="1">#REF!</definedName>
    <definedName name="____le31" hidden="1">#REF!</definedName>
    <definedName name="____lf31" hidden="1">#REF!</definedName>
    <definedName name="____PK2" hidden="1">{"'장비'!$A$3:$M$12"}</definedName>
    <definedName name="____PKG3" hidden="1">{"'장비'!$A$3:$M$12"}</definedName>
    <definedName name="____qqq222" hidden="1">{"'장비'!$A$3:$M$12"}</definedName>
    <definedName name="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 hidden="1">#REF!</definedName>
    <definedName name="____x11" hidden="1">#REF!</definedName>
    <definedName name="____x12" hidden="1">#REF!</definedName>
    <definedName name="____x13" hidden="1">#REF!</definedName>
    <definedName name="____x14" hidden="1">#REF!</definedName>
    <definedName name="____x15" hidden="1">#REF!</definedName>
    <definedName name="____x16" hidden="1">#REF!</definedName>
    <definedName name="____x17" hidden="1">#REF!</definedName>
    <definedName name="____x18" hidden="1">#REF!</definedName>
    <definedName name="____x19" hidden="1">#REF!</definedName>
    <definedName name="____x20" hidden="1">#REF!</definedName>
    <definedName name="____x21" hidden="1">#REF!</definedName>
    <definedName name="____x22" hidden="1">#REF!</definedName>
    <definedName name="____x23" hidden="1">#REF!</definedName>
    <definedName name="____x24" hidden="1">#REF!</definedName>
    <definedName name="____x25" hidden="1">#REF!</definedName>
    <definedName name="____x28" hidden="1">#REF!</definedName>
    <definedName name="____x29" hidden="1">#REF!</definedName>
    <definedName name="____x32" hidden="1">#REF!</definedName>
    <definedName name="____x4" hidden="1">#REF!</definedName>
    <definedName name="____x5" hidden="1">#REF!</definedName>
    <definedName name="____x6" hidden="1">#REF!</definedName>
    <definedName name="____x7" hidden="1">#REF!</definedName>
    <definedName name="____x8" hidden="1">#REF!</definedName>
    <definedName name="____x9" hidden="1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hidden="1">#REF!</definedName>
    <definedName name="___la29" hidden="1">#REF!</definedName>
    <definedName name="___la3" hidden="1">#REF!</definedName>
    <definedName name="___la31" hidden="1">#REF!</definedName>
    <definedName name="___la32" hidden="1">#REF!</definedName>
    <definedName name="___la4" hidden="1">#REF!</definedName>
    <definedName name="___la5" hidden="1">#REF!</definedName>
    <definedName name="___la6" hidden="1">#REF!</definedName>
    <definedName name="___la7" hidden="1">#REF!</definedName>
    <definedName name="___la8" hidden="1">#REF!</definedName>
    <definedName name="___la9" hidden="1">#REF!</definedName>
    <definedName name="___lb1" hidden="1">#REF!</definedName>
    <definedName name="___lb10" hidden="1">#REF!</definedName>
    <definedName name="___lb11" hidden="1">#REF!</definedName>
    <definedName name="___lb12" hidden="1">#REF!</definedName>
    <definedName name="___lb13" hidden="1">#REF!</definedName>
    <definedName name="___lb14" hidden="1">#REF!</definedName>
    <definedName name="___lb15" hidden="1">#REF!</definedName>
    <definedName name="___lb16" hidden="1">#REF!</definedName>
    <definedName name="___lb17" hidden="1">#REF!</definedName>
    <definedName name="___lb18" hidden="1">#REF!</definedName>
    <definedName name="___lb19" hidden="1">#REF!</definedName>
    <definedName name="___lb2" hidden="1">#REF!</definedName>
    <definedName name="___lb20" hidden="1">#REF!</definedName>
    <definedName name="___lb21" hidden="1">#REF!</definedName>
    <definedName name="___lb22" hidden="1">#REF!</definedName>
    <definedName name="___lb23" hidden="1">#REF!</definedName>
    <definedName name="___lb24" hidden="1">#REF!</definedName>
    <definedName name="___lb25" hidden="1">#REF!</definedName>
    <definedName name="___lb27" hidden="1">#REF!</definedName>
    <definedName name="___lb28" hidden="1">#REF!</definedName>
    <definedName name="___lb29" hidden="1">#REF!</definedName>
    <definedName name="___lb3" hidden="1">#REF!</definedName>
    <definedName name="___lb30" hidden="1">#REF!</definedName>
    <definedName name="___lb31" hidden="1">#REF!</definedName>
    <definedName name="___lb32" hidden="1">#REF!</definedName>
    <definedName name="___lb4" hidden="1">#REF!</definedName>
    <definedName name="___lb5" hidden="1">#REF!</definedName>
    <definedName name="___lb6" hidden="1">#REF!</definedName>
    <definedName name="___lb7" hidden="1">#REF!</definedName>
    <definedName name="___lb8" hidden="1">#REF!</definedName>
    <definedName name="___lb9" hidden="1">#REF!</definedName>
    <definedName name="___lbc1" hidden="1">#REF!</definedName>
    <definedName name="___lbc10" hidden="1">#REF!</definedName>
    <definedName name="___lbc11" hidden="1">#REF!</definedName>
    <definedName name="___lbc12" hidden="1">#REF!</definedName>
    <definedName name="___lbc13" hidden="1">#REF!</definedName>
    <definedName name="___lbc14" hidden="1">#REF!</definedName>
    <definedName name="___lbc15" hidden="1">#REF!</definedName>
    <definedName name="___lbc16" hidden="1">#REF!</definedName>
    <definedName name="___lbc17" hidden="1">#REF!</definedName>
    <definedName name="___lbc18" hidden="1">#REF!</definedName>
    <definedName name="___lbc19" hidden="1">#REF!</definedName>
    <definedName name="___lbc2" hidden="1">#REF!</definedName>
    <definedName name="___lbc20" hidden="1">#REF!</definedName>
    <definedName name="___lbc21" hidden="1">#REF!</definedName>
    <definedName name="___lbc22" hidden="1">#REF!</definedName>
    <definedName name="___lbc23" hidden="1">#REF!</definedName>
    <definedName name="___lbc24" hidden="1">#REF!</definedName>
    <definedName name="___lbc25" hidden="1">#REF!</definedName>
    <definedName name="___lbc26" hidden="1">#REF!</definedName>
    <definedName name="___lbc27" hidden="1">#REF!</definedName>
    <definedName name="___lbc28" hidden="1">#REF!</definedName>
    <definedName name="___lbc29" hidden="1">#REF!</definedName>
    <definedName name="___lbc3" hidden="1">#REF!</definedName>
    <definedName name="___lbc31" hidden="1">#REF!</definedName>
    <definedName name="___lbc32" hidden="1">#REF!</definedName>
    <definedName name="___lbc4" hidden="1">#REF!</definedName>
    <definedName name="___lbc5" hidden="1">#REF!</definedName>
    <definedName name="___lbc6" hidden="1">#REF!</definedName>
    <definedName name="___lbc7" hidden="1">#REF!</definedName>
    <definedName name="___lbc8" hidden="1">#REF!</definedName>
    <definedName name="___lbc9" hidden="1">#REF!</definedName>
    <definedName name="___ld26" hidden="1">#REF!</definedName>
    <definedName name="___ld31" hidden="1">#REF!</definedName>
    <definedName name="___le31" hidden="1">#REF!</definedName>
    <definedName name="___lf31" hidden="1">#REF!</definedName>
    <definedName name="___PK2" hidden="1">{"'장비'!$A$3:$M$12"}</definedName>
    <definedName name="___PKG3" hidden="1">{"'장비'!$A$3:$M$12"}</definedName>
    <definedName name="___qqq222" hidden="1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 hidden="1">#REF!</definedName>
    <definedName name="___x11" hidden="1">#REF!</definedName>
    <definedName name="___x12" hidden="1">#REF!</definedName>
    <definedName name="___x13" hidden="1">#REF!</definedName>
    <definedName name="___x14" hidden="1">#REF!</definedName>
    <definedName name="___x15" hidden="1">#REF!</definedName>
    <definedName name="___x16" hidden="1">#REF!</definedName>
    <definedName name="___x17" hidden="1">#REF!</definedName>
    <definedName name="___x18" hidden="1">#REF!</definedName>
    <definedName name="___x19" hidden="1">#REF!</definedName>
    <definedName name="___x20" hidden="1">#REF!</definedName>
    <definedName name="___x21" hidden="1">#REF!</definedName>
    <definedName name="___x22" hidden="1">#REF!</definedName>
    <definedName name="___x23" hidden="1">#REF!</definedName>
    <definedName name="___x24" hidden="1">#REF!</definedName>
    <definedName name="___x25" hidden="1">#REF!</definedName>
    <definedName name="___x28" hidden="1">#REF!</definedName>
    <definedName name="___x29" hidden="1">#REF!</definedName>
    <definedName name="___x32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123Graph_A" hidden="1">#REF!</definedName>
    <definedName name="__123Graph_AChart1" hidden="1">#REF!</definedName>
    <definedName name="__123Graph_ACurrent" hidden="1">#REF!</definedName>
    <definedName name="__123Graph_ACUSTO" hidden="1">#REF!</definedName>
    <definedName name="__123Graph_AFAT" hidden="1">#REF!</definedName>
    <definedName name="__123Graph_AGRA1" hidden="1">#REF!</definedName>
    <definedName name="__123Graph_ARES" hidden="1">#REF!</definedName>
    <definedName name="__123Graph_B" hidden="1">#REF!</definedName>
    <definedName name="__123Graph_BChart1" hidden="1">#REF!</definedName>
    <definedName name="__123Graph_BCurrent" hidden="1">#REF!</definedName>
    <definedName name="__123Graph_BCUSTO" hidden="1">#REF!</definedName>
    <definedName name="__123Graph_BFAT" hidden="1">#REF!</definedName>
    <definedName name="__123Graph_BPERFORMANCE" hidden="1">#REF!</definedName>
    <definedName name="__123Graph_BRES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hart1" hidden="1">#REF!</definedName>
    <definedName name="__123Graph_XCurrent" hidden="1">#REF!</definedName>
    <definedName name="__123Graph_XCUSTO" hidden="1">#REF!</definedName>
    <definedName name="__123Graph_XFAT" hidden="1">#REF!</definedName>
    <definedName name="__123Graph_XGRA1" hidden="1">#REF!</definedName>
    <definedName name="__123Graph_XRES" hidden="1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 hidden="1">#REF!</definedName>
    <definedName name="__la29" hidden="1">#REF!</definedName>
    <definedName name="__la3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PK2" hidden="1">{"'장비'!$A$3:$M$12"}</definedName>
    <definedName name="__PKG3" hidden="1">{"'장비'!$A$3:$M$12"}</definedName>
    <definedName name="__qqq222" hidden="1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 hidden="1">#REF!</definedName>
    <definedName name="__x11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 hidden="1">#REF!</definedName>
    <definedName name="_10__123Graph_CCHART_1" hidden="1">#REF!</definedName>
    <definedName name="_11.SERV.TECNIC">#REF!</definedName>
    <definedName name="_11__123Graph_DCHART_1" hidden="1">#REF!</definedName>
    <definedName name="_12.GAST_GERAIS">#REF!</definedName>
    <definedName name="_12__123Graph_XChart_1A" hidden="1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 hidden="1">#REF!</definedName>
    <definedName name="_2">#REF!</definedName>
    <definedName name="_2__123Graph_BCHART_1" hidden="1">#REF!</definedName>
    <definedName name="_25.PREP.TERREN">#REF!</definedName>
    <definedName name="_27.FUND._ESCOR">#REF!</definedName>
    <definedName name="_2F" hidden="1">#REF!</definedName>
    <definedName name="_3__123Graph_XCHART_1" hidden="1">#REF!</definedName>
    <definedName name="_31_32_33.C_A">#REF!</definedName>
    <definedName name="_41.ALVENARIA">#REF!</definedName>
    <definedName name="_47.IMP._ISOLA.">#REF!</definedName>
    <definedName name="_5__123Graph_ACHART_1" hidden="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 hidden="1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 hidden="1">#REF!</definedName>
    <definedName name="_71_73.I.ELET_H">#REF!</definedName>
    <definedName name="_77.OUTRAS_INST.">#REF!</definedName>
    <definedName name="_78.ELEVADORES">#REF!</definedName>
    <definedName name="_8__123Graph_BChart_1A" hidden="1">#REF!</definedName>
    <definedName name="_81.APAR._SANIT">#REF!</definedName>
    <definedName name="_83_85.PINT_LIM">#REF!</definedName>
    <definedName name="_9__123Graph_BCHART_2" hidden="1">#REF!</definedName>
    <definedName name="_ACR10">#REF!</definedName>
    <definedName name="_ACR15">#REF!</definedName>
    <definedName name="_acr20">#REF!</definedName>
    <definedName name="_acr5">#REF!</definedName>
    <definedName name="_AMO_UniqueIdentifier" hidden="1">"'54256040-62ff-475a-9348-dbdfce08df30'"</definedName>
    <definedName name="_ARQ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e3">#REF!</definedName>
    <definedName name="_Axe4">#REF!</definedName>
    <definedName name="_Builtin13" hidden="1">#REF!</definedName>
    <definedName name="_CAB1">#REF!</definedName>
    <definedName name="_CAB2">#REF!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hidden="1">#REF!</definedName>
    <definedName name="_Dist_Values" hidden="1">#REF!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hidden="1">#REF!</definedName>
    <definedName name="_fill1" hidden="1">#REF!</definedName>
    <definedName name="_FiltrarBancoDados2" hidden="1">#REF!</definedName>
    <definedName name="_xlnm._FilterDatabase" hidden="1">#REF!</definedName>
    <definedName name="_htm2">#REF!</definedName>
    <definedName name="_htn2">#REF!</definedName>
    <definedName name="_IA0542" hidden="1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l">#REF!</definedName>
    <definedName name="_la29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new11" hidden="1">{#N/A,#N/A,FALSE,"Global by BU";#N/A,#N/A,FALSE,"U.S. by BU";#N/A,#N/A,FALSE,"Canada by BU";#N/A,#N/A,FALSE,"Europe by BU";#N/A,#N/A,FALSE,"Asia by BU";#N/A,#N/A,FALSE,"Cala by BU"}</definedName>
    <definedName name="_Order1" hidden="1">0</definedName>
    <definedName name="_Order2" hidden="1">255</definedName>
    <definedName name="_Parse_Out" hidden="1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 hidden="1">{"'장비'!$A$3:$M$12"}</definedName>
    <definedName name="_PKG3" hidden="1">{"'장비'!$A$3:$M$12"}</definedName>
    <definedName name="_qqq222" hidden="1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fe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hidden="1">#REF!</definedName>
    <definedName name="_T">#REF!</definedName>
    <definedName name="_Table1_In1" hidden="1">#REF!</definedName>
    <definedName name="_Table1_Out" hidden="1">#REF!</definedName>
    <definedName name="_wer3" hidden="1">{#N/A,#N/A,FALSE,"Plan1";#N/A,#N/A,FALSE,"Plan2"}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cn.WorksheetConnection_2018_03ResumoRGOObrasRJ.xlsbTabela1" hidden="1">#REF!</definedName>
    <definedName name="_xlcn.WorksheetConnection_ProjetocontrolefisicoefinanceiroRJ.xlsxTabela31" hidden="1">#REF!</definedName>
    <definedName name="´cAE°eE¹" hidden="1">#REF!</definedName>
    <definedName name="￠￥cAE¡ÆeEⓒo" hidden="1">#REF!</definedName>
    <definedName name="a">#REF!</definedName>
    <definedName name="a\sgt" hidden="1">{#N/A,#N/A,FALSE,"Plan1";#N/A,#N/A,FALSE,"Plan2"}</definedName>
    <definedName name="aa">#REF!</definedName>
    <definedName name="aaa">#REF!</definedName>
    <definedName name="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 hidden="1">{#N/A,#N/A,FALSE,"Plan1";#N/A,#N/A,FALSE,"Plan2"}</definedName>
    <definedName name="aaas">#REF!</definedName>
    <definedName name="AB">#REF!</definedName>
    <definedName name="Abat_ISS">#REF!</definedName>
    <definedName name="ab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hidden="1">#REF!</definedName>
    <definedName name="abebqt">#REF!</definedName>
    <definedName name="abr17RJ">#REF!</definedName>
    <definedName name="ABRIL">#REF!</definedName>
    <definedName name="ABRIL2001">#REF!</definedName>
    <definedName name="ac" hidden="1">#REF!</definedName>
    <definedName name="Acabam.">#REF!</definedName>
    <definedName name="ACADUC">#REF!</definedName>
    <definedName name="ACBEB">#REF!</definedName>
    <definedName name="ACBOMB">#REF!</definedName>
    <definedName name="AccessDatabase" hidden="1">"C:\posec\DATABASE\vlv_list\vlvlist1.mdb"</definedName>
    <definedName name="ACCHAF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b" hidden="1">#REF!</definedName>
    <definedName name="ACDER">#REF!</definedName>
    <definedName name="ACDIV">#REF!</definedName>
    <definedName name="ACDS" hidden="1">#REF!</definedName>
    <definedName name="ACEQP">#REF!</definedName>
    <definedName name="ACHAFQT">#REF!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MUR">#REF!</definedName>
    <definedName name="açoeeer" hidden="1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 hidden="1">#REF!</definedName>
    <definedName name="ACwvu.Ciclos." hidden="1">#REF!</definedName>
    <definedName name="ACwvu.Custos." hidden="1">#REF!</definedName>
    <definedName name="ACwvu.PLANILHA2." hidden="1">#REF!</definedName>
    <definedName name="ACwvu.Recursos." hidden="1">#REF!</definedName>
    <definedName name="ad" hidden="1">{#N/A,#N/A,FALSE,"Plan1";#N/A,#N/A,FALSE,"Plan2"}</definedName>
    <definedName name="adads" hidden="1">{#N/A,#N/A,FALSE,"Plan1";#N/A,#N/A,FALSE,"Plan2"}</definedName>
    <definedName name="adads2" hidden="1">{#N/A,#N/A,FALSE,"Plan1";#N/A,#N/A,FALSE,"Plan2"}</definedName>
    <definedName name="adced" hidden="1">{#N/A,#N/A,FALSE,"Plan1";#N/A,#N/A,FALSE,"Plan2"}</definedName>
    <definedName name="adced2" hidden="1">{#N/A,#N/A,FALSE,"Plan1";#N/A,#N/A,FALSE,"Plan2"}</definedName>
    <definedName name="ader" hidden="1">{#N/A,#N/A,FALSE,"Plan1";#N/A,#N/A,FALSE,"Plan2"}</definedName>
    <definedName name="ader2" hidden="1">{#N/A,#N/A,FALSE,"Plan1";#N/A,#N/A,FALSE,"Plan2"}</definedName>
    <definedName name="adesr" hidden="1">{#N/A,#N/A,FALSE,"Plan1";#N/A,#N/A,FALSE,"Plan2"}</definedName>
    <definedName name="adew" hidden="1">"3ORZTPXRHBU97C8AJ5UM8CAVA"</definedName>
    <definedName name="adewr" hidden="1">{#N/A,#N/A,FALSE,"Plan1";#N/A,#N/A,FALSE,"Plan2"}</definedName>
    <definedName name="adf" hidden="1">{#N/A,#N/A,FALSE,"Plan1";#N/A,#N/A,FALSE,"Plan2"}</definedName>
    <definedName name="ADITIVO_BRUTO">#REF!</definedName>
    <definedName name="ADITIVO_LIQUIDO">#REF!</definedName>
    <definedName name="ADM.EXTERNA">#REF!</definedName>
    <definedName name="adsfr" hidden="1">{#N/A,#N/A,FALSE,"Plan1";#N/A,#N/A,FALSE,"Plan2"}</definedName>
    <definedName name="adssrgtg" hidden="1">{#N/A,#N/A,FALSE,"Plan1";#N/A,#N/A,FALSE,"Plan2"}</definedName>
    <definedName name="adtsetrr6t" hidden="1">{#N/A,#N/A,FALSE,"Plan1";#N/A,#N/A,FALSE,"Plan2"}</definedName>
    <definedName name="ADUCQT">#REF!</definedName>
    <definedName name="adwr" hidden="1">{#N/A,#N/A,FALSE,"Plan1";#N/A,#N/A,FALSE,"Plan2"}</definedName>
    <definedName name="aeiresft" hidden="1">{#N/A,#N/A,FALSE,"Plan1";#N/A,#N/A,FALSE,"Plan2"}</definedName>
    <definedName name="aEL3QE" hidden="1">{#N/A,#N/A,FALSE,"Plan1";#N/A,#N/A,FALSE,"Plan2"}</definedName>
    <definedName name="afeasfre" hidden="1">{#N/A,#N/A,FALSE,"Plan1";#N/A,#N/A,FALSE,"Plan2"}</definedName>
    <definedName name="agdsf" hidden="1">#REF!</definedName>
    <definedName name="ago17RJ">#REF!</definedName>
    <definedName name="AGOSTO">#REF!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hidden="1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>#REF!</definedName>
    <definedName name="anscount" hidden="1">3</definedName>
    <definedName name="AQE" hidden="1">{"'장비'!$A$3:$M$12"}</definedName>
    <definedName name="AQTEMP1">#REF!</definedName>
    <definedName name="AQTEMP2">#REF!</definedName>
    <definedName name="ArComprimido" hidden="1">{"'Estimativa de Lançamento-JAN'!$A$1:$AI$85"}</definedName>
    <definedName name="area" hidden="1">{#N/A,#N/A,FALSE,"Plan1";#N/A,#N/A,FALSE,"Plan2"}</definedName>
    <definedName name="área">#REF!</definedName>
    <definedName name="_xlnm.Print_Area">#REF!</definedName>
    <definedName name="Área_impressão_IM">#REF!</definedName>
    <definedName name="area1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 hidden="1">"AS2DocumentBrowse"</definedName>
    <definedName name="asawe3" hidden="1">{#N/A,#N/A,FALSE,"Plan1";#N/A,#N/A,FALSE,"Plan2"}</definedName>
    <definedName name="ASD" hidden="1">17</definedName>
    <definedName name="ASDA" hidden="1">{#N/A,#N/A,FALSE,"Plan1";#N/A,#N/A,FALSE,"Plan2"}</definedName>
    <definedName name="asdade" hidden="1">{#N/A,#N/A,FALSE,"Plan1";#N/A,#N/A,FALSE,"Plan2"}</definedName>
    <definedName name="asdas" hidden="1">{#N/A,#N/A,FALSE,"Plan1";#N/A,#N/A,FALSE,"Plan2"}</definedName>
    <definedName name="asdawed" hidden="1">{#N/A,#N/A,FALSE,"Plan1";#N/A,#N/A,FALSE,"Plan2"}</definedName>
    <definedName name="ASDER" hidden="1">{#N/A,#N/A,FALSE,"Plan1";#N/A,#N/A,FALSE,"Plan2"}</definedName>
    <definedName name="asderr" hidden="1">{#N/A,#N/A,FALSE,"Plan1";#N/A,#N/A,FALSE,"Plan2"}</definedName>
    <definedName name="asdesre" hidden="1">{#N/A,#N/A,FALSE,"Plan1";#N/A,#N/A,FALSE,"Plan2"}</definedName>
    <definedName name="asdewr" hidden="1">{#N/A,#N/A,FALSE,"Plan1";#N/A,#N/A,FALSE,"Plan2"}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hidden="1">{#N/A,#N/A,FALSE,"Plan1";#N/A,#N/A,FALSE,"Plan2"}</definedName>
    <definedName name="asdg" hidden="1">{#N/A,#N/A,FALSE,"Plan1";#N/A,#N/A,FALSE,"Plan2"}</definedName>
    <definedName name="asdjksej" hidden="1">#REF!</definedName>
    <definedName name="as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hidden="1">{#N/A,#N/A,FALSE,"Plan1";#N/A,#N/A,FALSE,"Plan2"}</definedName>
    <definedName name="asdqwe" hidden="1">{#N/A,#N/A,FALSE,"Plan1";#N/A,#N/A,FALSE,"Plan2"}</definedName>
    <definedName name="asdsa" hidden="1">{#N/A,#N/A,FALSE,"Plan1";#N/A,#N/A,FALSE,"Plan2"}</definedName>
    <definedName name="asdser" hidden="1">{#N/A,#N/A,FALSE,"Plan1";#N/A,#N/A,FALSE,"Plan2"}</definedName>
    <definedName name="asdwef" hidden="1">{#N/A,#N/A,FALSE,"Plan1";#N/A,#N/A,FALSE,"Plan2"}</definedName>
    <definedName name="aseiuw" hidden="1">#REF!</definedName>
    <definedName name="ASET" hidden="1">{#N/A,#N/A,FALSE,"Plan1";#N/A,#N/A,FALSE,"Plan2"}</definedName>
    <definedName name="asfDSF" hidden="1">{#N/A,#N/A,FALSE,"Plan1";#N/A,#N/A,FALSE,"Plan2"}</definedName>
    <definedName name="ASFERTE" hidden="1">{#N/A,#N/A,FALSE,"Plan1";#N/A,#N/A,FALSE,"Plan2"}</definedName>
    <definedName name="asfl" hidden="1">{#N/A,#N/A,FALSE,"Plan1";#N/A,#N/A,FALSE,"Plan2"}</definedName>
    <definedName name="asfsz" hidden="1">{#N/A,#N/A,FALSE,"Plan1";#N/A,#N/A,FALSE,"Plan2"}</definedName>
    <definedName name="askserf" hidden="1">{#N/A,#N/A,FALSE,"Plan1";#N/A,#N/A,FALSE,"Plan2"}</definedName>
    <definedName name="ASSFSDF" hidden="1">{#N/A,#N/A,FALSE,"Plan1";#N/A,#N/A,FALSE,"Plan2"}</definedName>
    <definedName name="asw" hidden="1">{#N/A,#N/A,FALSE,"Plan1";#N/A,#N/A,FALSE,"Plan2"}</definedName>
    <definedName name="Até_Chaves">#REF!</definedName>
    <definedName name="ATIVOS" hidden="1">{#N/A,#N/A,FALSE,"F-01"}</definedName>
    <definedName name="Ato">#REF!</definedName>
    <definedName name="ATUAL">#REF!</definedName>
    <definedName name="aux">#REF!</definedName>
    <definedName name="AUXILIO">#REF!</definedName>
    <definedName name="avulsos">#REF!</definedName>
    <definedName name="awdjw" hidden="1">{#N/A,#N/A,FALSE,"Plan1";#N/A,#N/A,FALSE,"Plan2"}</definedName>
    <definedName name="aweqw4" hidden="1">{#N/A,#N/A,FALSE,"Plan1";#N/A,#N/A,FALSE,"Plan2"}</definedName>
    <definedName name="awssdwaer" hidden="1">{#N/A,#N/A,FALSE,"Plan1";#N/A,#N/A,FALSE,"Plan2"}</definedName>
    <definedName name="AZ" hidden="1">#REF!</definedName>
    <definedName name="B">#REF!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 hidden="1">{"'Edit'!$A$1:$V$2277"}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D">#REF!</definedName>
    <definedName name="BDA">#REF!</definedName>
    <definedName name="bdfjghf" hidden="1">{#N/A,#N/A,FALSE,"Plan1";#N/A,#N/A,FALSE,"Plan2"}</definedName>
    <definedName name="BDI">1.43344312465585</definedName>
    <definedName name="bdzbfbdr" hidden="1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 hidden="1">#REF!</definedName>
    <definedName name="BGG" hidden="1">{#N/A,#N/A,FALSE,"Plan1";#N/A,#N/A,FALSE,"Plan2"}</definedName>
    <definedName name="bhjgfhfh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hidden="1">{#N/A,#N/A,FALSE,"Plan1";#N/A,#N/A,FALSE,"Plan2"}</definedName>
    <definedName name="bloco">#REF!</definedName>
    <definedName name="BLPH1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7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mdgghrtfde" hidden="1">{#N/A,#N/A,FALSE,"Plan1";#N/A,#N/A,FALSE,"Plan2"}</definedName>
    <definedName name="bnkjhjhdfxgt" hidden="1">{#N/A,#N/A,FALSE,"Plan1";#N/A,#N/A,FALSE,"Plan2"}</definedName>
    <definedName name="BORBA2">#REF!</definedName>
    <definedName name="BORDA1">#N/A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 hidden="1">#REF!</definedName>
    <definedName name="bxnzfmkzxbhdf" hidden="1">{#N/A,#N/A,FALSE,"Plan1";#N/A,#N/A,FALSE,"Plan2"}</definedName>
    <definedName name="ca">#REF!</definedName>
    <definedName name="CAB">#N/A</definedName>
    <definedName name="CAFS">"Carlos Antonio Fernandes da Silva"</definedName>
    <definedName name="CAGR">#REF!</definedName>
    <definedName name="caixa">#REF!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hidden="1">{#N/A,#N/A,FALSE,"Plan1";#N/A,#N/A,FALSE,"Plan2"}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 hidden="1">#REF!</definedName>
    <definedName name="CARLOS1">#REF!</definedName>
    <definedName name="CARTÃO4">#REF!</definedName>
    <definedName name="CAT6_IP" hidden="1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 hidden="1">{#N/A,#N/A,FALSE,"Plan1";#N/A,#N/A,FALSE,"Plan2"}</definedName>
    <definedName name="cccc" hidden="1">{#N/A,#N/A,FALSE,"Plan1";#N/A,#N/A,FALSE,"Plan2"}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hidden="1">{"HW",#N/A,FALSE,"1998"}</definedName>
    <definedName name="cchart1" hidden="1">#REF!</definedName>
    <definedName name="cchart1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çcklfj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 hidden="1">{#N/A,#N/A,FALSE,"Plan1";#N/A,#N/A,FALSE,"Plan2"}</definedName>
    <definedName name="CDSGHE" hidden="1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hidden="1">{#N/A,#N/A,FALSE,"Plan1";#N/A,#N/A,FALSE,"Plan2"}</definedName>
    <definedName name="CHAFQT">#REF!</definedName>
    <definedName name="Chaves">#REF!</definedName>
    <definedName name="chfch" hidden="1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 hidden="1">{"Econ Consolidado",#N/A,FALSE,"Econ Consol";"Fluxo de Caixa",#N/A,FALSE,"Fluxo Caixa";"Investimentos",#N/A,FALSE,"Investimentos"}</definedName>
    <definedName name="ÇJsrejtçe" hidden="1">{#N/A,#N/A,FALSE,"Plan1";#N/A,#N/A,FALSE,"Plan2"}</definedName>
    <definedName name="çkaçekow" hidden="1">{#N/A,#N/A,FALSE,"Plan1";#N/A,#N/A,FALSE,"Plan2"}</definedName>
    <definedName name="ÇKSDOEKR" hidden="1">{#N/A,#N/A,FALSE,"Plan1";#N/A,#N/A,FALSE,"Plan2"}</definedName>
    <definedName name="çl" hidden="1">{#N/A,#N/A,FALSE,"Plan1";#N/A,#N/A,FALSE,"Plan2"}</definedName>
    <definedName name="çlassde" hidden="1">{#N/A,#N/A,FALSE,"Plan1";#N/A,#N/A,FALSE,"Plan2"}</definedName>
    <definedName name="Classificação">#REF!</definedName>
    <definedName name="çlçlç" hidden="1">{#N/A,#N/A,FALSE,"Plan1";#N/A,#N/A,FALSE,"Plan2"}</definedName>
    <definedName name="çld" hidden="1">{#N/A,#N/A,FALSE,"Plan1";#N/A,#N/A,FALSE,"Plan2"}</definedName>
    <definedName name="çlererr" hidden="1">{#N/A,#N/A,FALSE,"Plan1";#N/A,#N/A,FALSE,"Plan2"}</definedName>
    <definedName name="çlertert" hidden="1">{#N/A,#N/A,FALSE,"Plan1";#N/A,#N/A,FALSE,"Plan2"}</definedName>
    <definedName name="çlkdflçkrlr" hidden="1">#REF!</definedName>
    <definedName name="çll" hidden="1">{#N/A,#N/A,FALSE,"Plan1";#N/A,#N/A,FALSE,"Plan2"}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 hidden="1">{#N/A,#N/A,TRUE,"Quinzena 01 à 15-04-98 "}</definedName>
    <definedName name="cont" hidden="1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hidden="1">#REF!</definedName>
    <definedName name="C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hidden="1">{#N/A,#N/A,FALSE,"Plan1";#N/A,#N/A,FALSE,"Plan2"}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>#REF!</definedName>
    <definedName name="da">#REF!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hidden="1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Chaves_MAP">#REF!</definedName>
    <definedName name="DatasOut13AteDez20">#REF!</definedName>
    <definedName name="DÇDL" hidden="1">{#N/A,#N/A,FALSE,"Plan1";#N/A,#N/A,FALSE,"Plan2"}</definedName>
    <definedName name="dchart26" hidden="1">#REF!</definedName>
    <definedName name="dchart31" hidden="1">#REF!</definedName>
    <definedName name="dcnsfgdjkgb" hidden="1">{#N/A,#N/A,FALSE,"Plan1";#N/A,#N/A,FALSE,"Plan2"}</definedName>
    <definedName name="DÇWK" hidden="1">{#N/A,#N/A,FALSE,"Plan1";#N/A,#N/A,FALSE,"Plan2"}</definedName>
    <definedName name="D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>#REF!</definedName>
    <definedName name="ddddd" hidden="1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 hidden="1">{#N/A,#N/A,FALSE,"Plan1";#N/A,#N/A,FALSE,"Plan2"}</definedName>
    <definedName name="ddfs" hidden="1">#REF!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hidden="1">{#N/A,#N/A,FALSE,"Plan1";#N/A,#N/A,FALSE,"Plan2"}</definedName>
    <definedName name="dede" hidden="1">{#N/A,#N/A,FALSE,"Plan1";#N/A,#N/A,FALSE,"Plan2"}</definedName>
    <definedName name="defasagem">OFFSET(INDEX(#REF!,MATCH(#REF!,#REF!,0)),1,0,COUNTA(#REF!)-1)</definedName>
    <definedName name="depara">#REF!</definedName>
    <definedName name="DERIVQT">#REF!</definedName>
    <definedName name="des" hidden="1">{#N/A,#N/A,FALSE,"Plan1";#N/A,#N/A,FALSE,"Plan2"}</definedName>
    <definedName name="desc" hidden="1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hidden="1">{#N/A,#N/A,FALSE,"명세표"}</definedName>
    <definedName name="dfdft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hidden="1">{#N/A,#N/A,FALSE,"Plan1";#N/A,#N/A,FALSE,"Plan2"}</definedName>
    <definedName name="dfdrtrr" hidden="1">{#N/A,#N/A,FALSE,"Plan1";#N/A,#N/A,FALSE,"Plan2"}</definedName>
    <definedName name="DFDSG" hidden="1">{#N/A,#N/A,FALSE,"Plan1";#N/A,#N/A,FALSE,"Plan2"}</definedName>
    <definedName name="dfer" hidden="1">{#N/A,#N/A,FALSE,"Plan1";#N/A,#N/A,FALSE,"Plan2"}</definedName>
    <definedName name="dffbty" hidden="1">{#N/A,#N/A,FALSE,"Plan1";#N/A,#N/A,FALSE,"Plan2"}</definedName>
    <definedName name="dffg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hidden="1">{#N/A,#N/A,FALSE,"Plan1";#N/A,#N/A,FALSE,"Plan2"}</definedName>
    <definedName name="dfg" hidden="1">{#N/A,#N/A,FALSE,"Plan1";#N/A,#N/A,FALSE,"Plan2"}</definedName>
    <definedName name="dfgdf" hidden="1">{#N/A,#N/A,FALSE,"Plan1";#N/A,#N/A,FALSE,"Plan2"}</definedName>
    <definedName name="dfgdytygr" hidden="1">{#N/A,#N/A,FALSE,"Plan1";#N/A,#N/A,FALSE,"Plan2"}</definedName>
    <definedName name="dfgftrrdt5" hidden="1">{#N/A,#N/A,FALSE,"Plan1";#N/A,#N/A,FALSE,"Plan2"}</definedName>
    <definedName name="dfgh">#REF!</definedName>
    <definedName name="dfghjfhsg" hidden="1">{#N/A,#N/A,FALSE,"Plan1";#N/A,#N/A,FALSE,"Plan2"}</definedName>
    <definedName name="dfgj" hidden="1">{#N/A,#N/A,FALSE,"Plan1";#N/A,#N/A,FALSE,"Plan2"}</definedName>
    <definedName name="dfgjfttyd" hidden="1">{#N/A,#N/A,FALSE,"Plan1";#N/A,#N/A,FALSE,"Plan2"}</definedName>
    <definedName name="dfgjjtdrtg" hidden="1">{#N/A,#N/A,FALSE,"Plan1";#N/A,#N/A,FALSE,"Plan2"}</definedName>
    <definedName name="dfgt" hidden="1">{#N/A,#N/A,FALSE,"Plan1";#N/A,#N/A,FALSE,"Plan2"}</definedName>
    <definedName name="dfgtrkjhk" hidden="1">{#N/A,#N/A,FALSE,"Plan1";#N/A,#N/A,FALSE,"Plan2"}</definedName>
    <definedName name="dfgty" hidden="1">{#N/A,#N/A,FALSE,"Plan1";#N/A,#N/A,FALSE,"Plan2"}</definedName>
    <definedName name="dfhdgfdgf" hidden="1">{#N/A,#N/A,FALSE,"Plan1";#N/A,#N/A,FALSE,"Plan2"}</definedName>
    <definedName name="DFHDJGJFHJGF" hidden="1">{#N/A,#N/A,FALSE,"Plan1";#N/A,#N/A,FALSE,"Plan2"}</definedName>
    <definedName name="dfhdyg" hidden="1">{#N/A,#N/A,FALSE,"Plan1";#N/A,#N/A,FALSE,"Plan2"}</definedName>
    <definedName name="DFHGDHUR" hidden="1">{#N/A,#N/A,FALSE,"Plan1";#N/A,#N/A,FALSE,"Plan2"}</definedName>
    <definedName name="dfhgjfgdhfjdrf" hidden="1">{#N/A,#N/A,FALSE,"Plan1";#N/A,#N/A,FALSE,"Plan2"}</definedName>
    <definedName name="dfhgkhfut" hidden="1">{#N/A,#N/A,FALSE,"Plan1";#N/A,#N/A,FALSE,"Plan2"}</definedName>
    <definedName name="dfhgkjdhkjghjd" hidden="1">#REF!</definedName>
    <definedName name="dfhguitrhfg" hidden="1">{#N/A,#N/A,FALSE,"Plan1";#N/A,#N/A,FALSE,"Plan2"}</definedName>
    <definedName name="DFHKHDGKJHDKS" hidden="1">{#N/A,#N/A,FALSE,"Plan1";#N/A,#N/A,FALSE,"Plan2"}</definedName>
    <definedName name="dfijvnqienvvnjv">#REF!</definedName>
    <definedName name="dfjgjfhykj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hidden="1">{#N/A,#N/A,FALSE,"Plan1";#N/A,#N/A,FALSE,"Plan2"}</definedName>
    <definedName name="dfkhg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hidden="1">{#N/A,#N/A,FALSE,"Plan1";#N/A,#N/A,FALSE,"Plan2"}</definedName>
    <definedName name="dfnert" hidden="1">{#N/A,#N/A,FALSE,"Plan1";#N/A,#N/A,FALSE,"Plan2"}</definedName>
    <definedName name="dfrt" hidden="1">{#N/A,#N/A,FALSE,"Plan1";#N/A,#N/A,FALSE,"Plan2"}</definedName>
    <definedName name="dfsdr5tt" hidden="1">{#N/A,#N/A,FALSE,"Plan1";#N/A,#N/A,FALSE,"Plan2"}</definedName>
    <definedName name="dfsds" hidden="1">#REF!</definedName>
    <definedName name="dfsd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hidden="1">{#N/A,#N/A,FALSE,"Plan1";#N/A,#N/A,FALSE,"Plan2"}</definedName>
    <definedName name="dfsf" hidden="1">{#N/A,#N/A,FALSE,"Plan1";#N/A,#N/A,FALSE,"Plan2"}</definedName>
    <definedName name="DFT" hidden="1">{#N/A,#N/A,FALSE,"Plan1";#N/A,#N/A,FALSE,"Plan2"}</definedName>
    <definedName name="DFTRTTY" hidden="1">{#N/A,#N/A,FALSE,"Plan1";#N/A,#N/A,FALSE,"Plan2"}</definedName>
    <definedName name="dfurghifdjyhits" hidden="1">{#N/A,#N/A,FALSE,"Plan1";#N/A,#N/A,FALSE,"Plan2"}</definedName>
    <definedName name="dfxgdrged" hidden="1">{#N/A,#N/A,FALSE,"Plan1";#N/A,#N/A,FALSE,"Plan2"}</definedName>
    <definedName name="dgfrtyt" hidden="1">{#N/A,#N/A,FALSE,"Plan1";#N/A,#N/A,FALSE,"Plan2"}</definedName>
    <definedName name="dggfdg" hidden="1">{#N/A,#N/A,FALSE,"Plan1";#N/A,#N/A,FALSE,"Plan2"}</definedName>
    <definedName name="dgldfhgkljslh" hidden="1">{#N/A,#N/A,FALSE,"Plan1";#N/A,#N/A,FALSE,"Plan2"}</definedName>
    <definedName name="dhfgdhrehrwe" hidden="1">{#N/A,#N/A,FALSE,"Plan1";#N/A,#N/A,FALSE,"Plan2"}</definedName>
    <definedName name="dhgfdgrfgdfgd" hidden="1">{#N/A,#N/A,FALSE,"Plan1";#N/A,#N/A,FALSE,"Plan2"}</definedName>
    <definedName name="dhkjfhdhfjdh" hidden="1">{#N/A,#N/A,FALSE,"Plan1";#N/A,#N/A,FALSE,"Plan2"}</definedName>
    <definedName name="DHTJRT" hidden="1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 hidden="1">{#N/A,#N/A,FALSE,"Plan1";#N/A,#N/A,FALSE,"Plan2"}</definedName>
    <definedName name="DIMENSÕES">#REF!</definedName>
    <definedName name="DIR_OPER">#REF!</definedName>
    <definedName name="DIR_TECNICO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 hidden="1">{#N/A,#N/A,FALSE,"Plan1";#N/A,#N/A,FALSE,"Plan2"}</definedName>
    <definedName name="dj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hidden="1">{#N/A,#N/A,FALSE,"Plan1";#N/A,#N/A,FALSE,"Plan2"}</definedName>
    <definedName name="djfkhsdkjhf" hidden="1">{#N/A,#N/A,FALSE,"Plan1";#N/A,#N/A,FALSE,"Plan2"}</definedName>
    <definedName name="djfldjsgljslkjtg" hidden="1">{#N/A,#N/A,FALSE,"Plan1";#N/A,#N/A,FALSE,"Plan2"}</definedName>
    <definedName name="djflkdjgdth" hidden="1">{#N/A,#N/A,FALSE,"Plan1";#N/A,#N/A,FALSE,"Plan2"}</definedName>
    <definedName name="DJFLKDJGKTJYJT" hidden="1">{#N/A,#N/A,FALSE,"Plan1";#N/A,#N/A,FALSE,"Plan2"}</definedName>
    <definedName name="djgkfjgtiyty" hidden="1">{#N/A,#N/A,FALSE,"Plan1";#N/A,#N/A,FALSE,"Plan2"}</definedName>
    <definedName name="djrkehrjfhng" hidden="1">{#N/A,#N/A,FALSE,"Plan1";#N/A,#N/A,FALSE,"Plan2"}</definedName>
    <definedName name="djswfr" hidden="1">#REF!</definedName>
    <definedName name="djtkjldfr" hidden="1">{#N/A,#N/A,FALSE,"Plan1";#N/A,#N/A,FALSE,"Plan2"}</definedName>
    <definedName name="DJXDLFGDFG" hidden="1">{#N/A,#N/A,FALSE,"Plan1";#N/A,#N/A,FALSE,"Plan2"}</definedName>
    <definedName name="dkdkdkdkd" hidden="1">{#N/A,#N/A,FALSE,"명세표"}</definedName>
    <definedName name="dkfhskgf" hidden="1">{#N/A,#N/A,FALSE,"Plan1";#N/A,#N/A,FALSE,"Plan2"}</definedName>
    <definedName name="dkjfk" hidden="1">{#N/A,#N/A,FALSE,"Plan1";#N/A,#N/A,FALSE,"Plan2"}</definedName>
    <definedName name="DKLD" hidden="1">{#N/A,#N/A,FALSE,"Plan1";#N/A,#N/A,FALSE,"Plan2"}</definedName>
    <definedName name="DKLFJDKFD" hidden="1">{#N/A,#N/A,FALSE,"Plan1";#N/A,#N/A,FALSE,"Plan2"}</definedName>
    <definedName name="dklfjgirtgid" hidden="1">{#N/A,#N/A,FALSE,"Plan1";#N/A,#N/A,FALSE,"Plan2"}</definedName>
    <definedName name="dklf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hidden="1">{#N/A,#N/A,FALSE,"Plan1";#N/A,#N/A,FALSE,"Plan2"}</definedName>
    <definedName name="DNFJKDHTKRE" hidden="1">{#N/A,#N/A,FALSE,"Plan1";#N/A,#N/A,FALSE,"Plan2"}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>#REF!</definedName>
    <definedName name="drewr" hidden="1">{#N/A,#N/A,FALSE,"Plan1";#N/A,#N/A,FALSE,"Plan2"}</definedName>
    <definedName name="DRRJR" hidden="1">{#N/A,#N/A,FALSE,"Plan1";#N/A,#N/A,FALSE,"Plan2"}</definedName>
    <definedName name="drtr" hidden="1">#REF!</definedName>
    <definedName name="drtrt" hidden="1">{"'Estimativa de Lançamento-JAN'!$A$1:$AI$85"}</definedName>
    <definedName name="dsdrf" hidden="1">{#N/A,#N/A,FALSE,"Plan1";#N/A,#N/A,FALSE,"Plan2"}</definedName>
    <definedName name="dsfdf" hidden="1">{#N/A,#N/A,FALSE,"Plan1";#N/A,#N/A,FALSE,"Plan2"}</definedName>
    <definedName name="dsfg" hidden="1">{#N/A,#N/A,FALSE,"Plan1";#N/A,#N/A,FALSE,"Plan2"}</definedName>
    <definedName name="DSFKDSKH" hidden="1">{#N/A,#N/A,FALSE,"Plan1";#N/A,#N/A,FALSE,"Plan2"}</definedName>
    <definedName name="DSF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hidden="1">{#N/A,#N/A,FALSE,"Plan1";#N/A,#N/A,FALSE,"Plan2"}</definedName>
    <definedName name="DSFSAD" hidden="1">{#N/A,#N/A,FALSE,"Plan1";#N/A,#N/A,FALSE,"Plan2"}</definedName>
    <definedName name="dsfsdf" hidden="1">{#N/A,#N/A,FALSE,"Plan1";#N/A,#N/A,FALSE,"Plan2"}</definedName>
    <definedName name="dsfsdgfb" hidden="1">{#N/A,#N/A,FALSE,"Plan1";#N/A,#N/A,FALSE,"Plan2"}</definedName>
    <definedName name="dsgfr" hidden="1">{#N/A,#N/A,FALSE,"Plan1";#N/A,#N/A,FALSE,"Plan2"}</definedName>
    <definedName name="dshfkhkrhesru" hidden="1">{#N/A,#N/A,FALSE,"Plan1";#N/A,#N/A,FALSE,"Plan2"}</definedName>
    <definedName name="dsjkthkr" hidden="1">{#N/A,#N/A,FALSE,"Plan1";#N/A,#N/A,FALSE,"Plan2"}</definedName>
    <definedName name="dskfdhksdfh" hidden="1">4</definedName>
    <definedName name="DSLFJSLFJ" hidden="1">{#N/A,#N/A,FALSE,"Plan1";#N/A,#N/A,FALSE,"Plan2"}</definedName>
    <definedName name="dslfkf" hidden="1">4</definedName>
    <definedName name="dsrf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hidden="1">{#N/A,#N/A,FALSE,"Plan1";#N/A,#N/A,FALSE,"Plan2"}</definedName>
    <definedName name="dtgsrytt" hidden="1">{#N/A,#N/A,FALSE,"Plan1";#N/A,#N/A,FALSE,"Plan2"}</definedName>
    <definedName name="dtrjkhtrgkfh" hidden="1">{#N/A,#N/A,FALSE,"Plan1";#N/A,#N/A,FALSE,"Plan2"}</definedName>
    <definedName name="dttjuk" hidden="1">{#N/A,#N/A,FALSE,"Plan1";#N/A,#N/A,FALSE,"Plan2"}</definedName>
    <definedName name="dvtr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hidden="1">{#N/A,#N/A,FALSE,"Plan1";#N/A,#N/A,FALSE,"Plan2"}</definedName>
    <definedName name="dwqhdjwqgdwq">#REF!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hidden="1">{#N/A,#N/A,FALSE,"Plan1";#N/A,#N/A,FALSE,"Plan2"}</definedName>
    <definedName name="dzdfr" hidden="1">{#N/A,#N/A,FALSE,"Plan1";#N/A,#N/A,FALSE,"Plan2"}</definedName>
    <definedName name="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>#REF!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hidden="1">{#N/A,#N/A,FALSE,"F-01"}</definedName>
    <definedName name="ECEW_1" hidden="1">{#N/A,#N/A,FALSE,"F-01"}</definedName>
    <definedName name="echart31" hidden="1">#REF!</definedName>
    <definedName name="EcoPark">#REF!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hidden="1">{#N/A,#N/A,FALSE,"Plan1";#N/A,#N/A,FALSE,"Plan2"}</definedName>
    <definedName name="ee">#REF!</definedName>
    <definedName name="eee" hidden="1">{#N/A,#N/A,FALSE,"ET-CAPA";#N/A,#N/A,FALSE,"ET-PAG1";#N/A,#N/A,FALSE,"ET-PAG2";#N/A,#N/A,FALSE,"ET-PAG3";#N/A,#N/A,FALSE,"ET-PAG4";#N/A,#N/A,FALSE,"ET-PAG5"}</definedName>
    <definedName name="EF">#REF!</definedName>
    <definedName name="efestfr" hidden="1">{#N/A,#N/A,FALSE,"Plan1";#N/A,#N/A,FALSE,"Plan2"}</definedName>
    <definedName name="EFICIÊNCIA">#REF!</definedName>
    <definedName name="Eficiência1">#REF!</definedName>
    <definedName name="efrdrt" hidden="1">{#N/A,#N/A,FALSE,"Plan1";#N/A,#N/A,FALSE,"Plan2"}</definedName>
    <definedName name="efrg" hidden="1">{#N/A,#N/A,FALSE,"Plan1";#N/A,#N/A,FALSE,"Plan2"}</definedName>
    <definedName name="efsgfr" hidden="1">{#N/A,#N/A,FALSE,"Plan1";#N/A,#N/A,FALSE,"Plan2"}</definedName>
    <definedName name="eixo_x_fluxo_graf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>IFERROR(OFFSET(INDEX(#REF!,MATCH((INDEX(#REF!,MATCH(1,#REF!,0))),#REF!,0)),0,0,1,COUNTIF(#REF!,"&gt;=0")+COUNTIF(#REF!,"&lt;0")),0)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hidden="1">{#N/A,#N/A,FALSE,"Plan1";#N/A,#N/A,FALSE,"Plan2"}</definedName>
    <definedName name="erne_cdi">#REF!</definedName>
    <definedName name="erne_hist">#REF!</definedName>
    <definedName name="erne_uss">#REF!</definedName>
    <definedName name="erte" hidden="1">#REF!</definedName>
    <definedName name="ESGFDSFD" hidden="1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 hidden="1">{#N/A,#N/A,FALSE,"Plan1";#N/A,#N/A,FALSE,"Plan2"}</definedName>
    <definedName name="EV__LASTREFTIME__" hidden="1">39965.7223611111</definedName>
    <definedName name="EVL" hidden="1">{"Econ Consolidado",#N/A,FALSE,"Econ Consol";"Fluxo de Caixa",#N/A,FALSE,"Fluxo Caixa";"Investimentos",#N/A,FALSE,"Investimentos"}</definedName>
    <definedName name="Evol." hidden="1">{"Econ Consolidado",#N/A,FALSE,"Econ Consol";"Fluxo de Caixa",#N/A,FALSE,"Fluxo Caixa";"Investimentos",#N/A,FALSE,"Investimentos"}</definedName>
    <definedName name="ewfr" hidden="1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 hidden="1">{#N/A,#N/A,FALSE,"Plan1";#N/A,#N/A,FALSE,"Plan2"}</definedName>
    <definedName name="f">#REF!</definedName>
    <definedName name="FACULDADE">#REF!</definedName>
    <definedName name="FAL">#REF!</definedName>
    <definedName name="farialima">#REF!</definedName>
    <definedName name="FAS" hidden="1">{"'Total'!$A$1","'Total'!$A$3"}</definedName>
    <definedName name="fasfasf" hidden="1">{#N/A,#N/A,TRUE,"Quinzena 01 à 15-04-98 "}</definedName>
    <definedName name="FATOR_K">#REF!</definedName>
    <definedName name="FATORK">#REF!</definedName>
    <definedName name="FBancaria">#REF!</definedName>
    <definedName name="fchart31" hidden="1">#REF!</definedName>
    <definedName name="fddhght" hidden="1">{#N/A,#N/A,FALSE,"Plan1";#N/A,#N/A,FALSE,"Plan2"}</definedName>
    <definedName name="fdfgd" hidden="1">{#N/A,#N/A,FALSE,"Plan1";#N/A,#N/A,FALSE,"Plan2"}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hidden="1">{#N/A,#N/A,FALSE,"Plan1";#N/A,#N/A,FALSE,"Plan2"}</definedName>
    <definedName name="fdg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hidden="1">{#N/A,#N/A,FALSE,"Plan1";#N/A,#N/A,FALSE,"Plan2"}</definedName>
    <definedName name="fdgfyhygfuj" hidden="1">{#N/A,#N/A,FALSE,"Plan1";#N/A,#N/A,FALSE,"Plan2"}</definedName>
    <definedName name="fdhgfdf" hidden="1">{#N/A,#N/A,FALSE,"Plan1";#N/A,#N/A,FALSE,"Plan2"}</definedName>
    <definedName name="fdjfgdfjg" hidden="1">{#N/A,#N/A,FALSE,"Plan1";#N/A,#N/A,FALSE,"Plan2"}</definedName>
    <definedName name="fdjghkshtygt" hidden="1">{#N/A,#N/A,FALSE,"Plan1";#N/A,#N/A,FALSE,"Plan2"}</definedName>
    <definedName name="fdnhgf" hidden="1">{"'Estimativa de Lançamento-JAN'!$A$1:$AI$85"}</definedName>
    <definedName name="fdsf" hidden="1">{#N/A,#N/A,FALSE,"Plan1";#N/A,#N/A,FALSE,"Plan2"}</definedName>
    <definedName name="FE">#REF!</definedName>
    <definedName name="fefefefe">#REF!</definedName>
    <definedName name="FER" hidden="1">#REF!</definedName>
    <definedName name="fev17RJ">#REF!</definedName>
    <definedName name="FEVEREIRO2001">#REF!</definedName>
    <definedName name="ff">#REF!</definedName>
    <definedName name="fffefes">#REF!</definedName>
    <definedName name="fffff" hidden="1">{#N/A,#N/A,FALSE,"Plan1";#N/A,#N/A,FALSE,"Plan2"}</definedName>
    <definedName name="FFFFFFF">#REF!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hidden="1">{#N/A,#N/A,FALSE,"Plan1";#N/A,#N/A,FALSE,"Plan2"}</definedName>
    <definedName name="fgg" hidden="1">{"'장비'!$A$3:$M$12"}</definedName>
    <definedName name="fghfh" hidden="1">{"'Estimativa de Lançamento-JAN'!$A$1:$AI$85"}</definedName>
    <definedName name="fghgfh" hidden="1">{#N/A,#N/A,FALSE,"Plan1";#N/A,#N/A,FALSE,"Plan2"}</definedName>
    <definedName name="FGJHFGK" hidden="1">{#N/A,#N/A,FALSE,"Plan1";#N/A,#N/A,FALSE,"Plan2"}</definedName>
    <definedName name="fgktyhd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hidden="1">{#N/A,#N/A,FALSE,"Plan1";#N/A,#N/A,FALSE,"Plan2"}</definedName>
    <definedName name="fgty" hidden="1">#REF!</definedName>
    <definedName name="fhgjfgyt" hidden="1">{#N/A,#N/A,FALSE,"Plan1";#N/A,#N/A,FALSE,"Plan2"}</definedName>
    <definedName name="fhgjkhtrfg" hidden="1">{#N/A,#N/A,FALSE,"Plan1";#N/A,#N/A,FALSE,"Plan2"}</definedName>
    <definedName name="FHGTGSRSG" hidden="1">{#N/A,#N/A,FALSE,"Plan1";#N/A,#N/A,FALSE,"Plan2"}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hidden="1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 hidden="1">{#N/A,#N/A,FALSE,"Plan1";#N/A,#N/A,FALSE,"Plan2"}</definedName>
    <definedName name="fjfjg" hidden="1">{#N/A,#N/A,FALSE,"명세표"}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hidden="1">{#N/A,#N/A,FALSE,"Plan1";#N/A,#N/A,FALSE,"Plan2"}</definedName>
    <definedName name="fjtgfh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hidden="1">{#N/A,#N/A,FALSE,"Plan1";#N/A,#N/A,FALSE,"Plan2"}</definedName>
    <definedName name="fl">#REF!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 hidden="1">{#N/A,#N/A,FALSE,"Plan1";#N/A,#N/A,FALSE,"Plan2"}</definedName>
    <definedName name="frdtty" hidden="1">{#N/A,#N/A,FALSE,"Plan1";#N/A,#N/A,FALSE,"Plan2"}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hidden="1">{#N/A,#N/A,FALSE,"Plan1";#N/A,#N/A,FALSE,"Plan2"}</definedName>
    <definedName name="fuste">#REF!</definedName>
    <definedName name="fxjghkfg" hidden="1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 hidden="1">{#N/A,#N/A,FALSE,"Plan1";#N/A,#N/A,FALSE,"Plan2"}</definedName>
    <definedName name="gbdsjgsjfdgj" hidden="1">{#N/A,#N/A,FALSE,"Plan1";#N/A,#N/A,FALSE,"Plan2"}</definedName>
    <definedName name="gdfdhgfjgj" hidden="1">{#N/A,#N/A,FALSE,"Plan1";#N/A,#N/A,FALSE,"Plan2"}</definedName>
    <definedName name="gdfgdstggt" hidden="1">{#N/A,#N/A,FALSE,"Plan1";#N/A,#N/A,FALSE,"Plan2"}</definedName>
    <definedName name="GDFHGRJGFJDRF" hidden="1">{"Econ Consolidado",#N/A,FALSE,"Econ Consol";"Fluxo de Caixa",#N/A,FALSE,"Fluxo Caixa";"Investimentos",#N/A,FALSE,"Investimentos"}</definedName>
    <definedName name="gdfigfhuyuy" hidden="1">{#N/A,#N/A,FALSE,"Plan1";#N/A,#N/A,FALSE,"Plan2"}</definedName>
    <definedName name="gdfsgfew" hidden="1">{#N/A,#N/A,FALSE,"Plan1";#N/A,#N/A,FALSE,"Plan2"}</definedName>
    <definedName name="gdhfgdhfgf" hidden="1">{#N/A,#N/A,FALSE,"Plan1";#N/A,#N/A,FALSE,"Plan2"}</definedName>
    <definedName name="gdsfhefrwrw" hidden="1">{#N/A,#N/A,FALSE,"Plan1";#N/A,#N/A,FALSE,"Plan2"}</definedName>
    <definedName name="GER_TECNICO">#REF!</definedName>
    <definedName name="Gerentes">#REF!</definedName>
    <definedName name="geshrjhed" hidden="1">{#N/A,#N/A,FALSE,"Plan1";#N/A,#N/A,FALSE,"Plan2"}</definedName>
    <definedName name="gestao" hidden="1">OFFSET(INDEX(#REF!,MATCH(#REF!,#REF!,0)),1,0,COUNTA(#REF!)-1)</definedName>
    <definedName name="gfdcgnkf" hidden="1">{#N/A,#N/A,FALSE,"Plan1";#N/A,#N/A,FALSE,"Plan2"}</definedName>
    <definedName name="gfdjtgur" hidden="1">{#N/A,#N/A,FALSE,"Plan1";#N/A,#N/A,FALSE,"Plan2"}</definedName>
    <definedName name="gfdrtg" hidden="1">#REF!</definedName>
    <definedName name="gfgdhxgfdhf" hidden="1">{#N/A,#N/A,FALSE,"Plan1";#N/A,#N/A,FALSE,"Plan2"}</definedName>
    <definedName name="gfhfdtgjb" hidden="1">{#N/A,#N/A,FALSE,"Plan1";#N/A,#N/A,FALSE,"Plan2"}</definedName>
    <definedName name="gfjdshrtjhtged" hidden="1">{#N/A,#N/A,FALSE,"Plan1";#N/A,#N/A,FALSE,"Plan2"}</definedName>
    <definedName name="gfjgkddgfd" hidden="1">{#N/A,#N/A,FALSE,"Plan1";#N/A,#N/A,FALSE,"Plan2"}</definedName>
    <definedName name="gfsghjdgygr" hidden="1">{#N/A,#N/A,FALSE,"Plan1";#N/A,#N/A,FALSE,"Plan2"}</definedName>
    <definedName name="gftfy" hidden="1">{#N/A,#N/A,FALSE,"Plan1";#N/A,#N/A,FALSE,"Plan2"}</definedName>
    <definedName name="gfty" hidden="1">{#N/A,#N/A,FALSE,"Plan1";#N/A,#N/A,FALSE,"Plan2"}</definedName>
    <definedName name="GFUJU9" hidden="1">{#N/A,#N/A,FALSE,"Plan1";#N/A,#N/A,FALSE,"Plan2"}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hidden="1">{#N/A,#N/A,FALSE,"Plan1";#N/A,#N/A,FALSE,"Plan2"}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hidden="1">{"'장비'!$A$3:$M$12"}</definedName>
    <definedName name="ghfgdfrtert" hidden="1">{#N/A,#N/A,FALSE,"Plan1";#N/A,#N/A,FALSE,"Plan2"}</definedName>
    <definedName name="ghfhghft" hidden="1">{#N/A,#N/A,FALSE,"Plan1";#N/A,#N/A,FALSE,"Plan2"}</definedName>
    <definedName name="ghjg" hidden="1">{"'Estimativa de Lançamento-JAN'!$A$1:$AI$85"}</definedName>
    <definedName name="ghkfhgh" hidden="1">{#N/A,#N/A,FALSE,"Plan1";#N/A,#N/A,FALSE,"Plan2"}</definedName>
    <definedName name="ghkjh" hidden="1">{#N/A,#N/A,FALSE,"ENG'G(보호계전기)"}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hidden="1">{#N/A,#N/A,FALSE,"Plan1";#N/A,#N/A,FALSE,"Plan2"}</definedName>
    <definedName name="GJ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hidden="1">{#N/A,#N/A,FALSE,"Plan1";#N/A,#N/A,FALSE,"Plan2"}</definedName>
    <definedName name="glgl" hidden="1">{#N/A,#N/A,FALSE,"Plan1";#N/A,#N/A,FALSE,"Plan2"}</definedName>
    <definedName name="GLOBAL">#REF!</definedName>
    <definedName name="gnfrt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hidden="1">{#N/A,#N/A,FALSE,"Plan1";#N/A,#N/A,FALSE,"Plan2"}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hidden="1">{#N/A,#N/A,FALSE,"CCTV"}</definedName>
    <definedName name="h">#REF!</definedName>
    <definedName name="hbjgjuae">#REF!</definedName>
    <definedName name="hcjfkhdghfktg" hidden="1">{#N/A,#N/A,FALSE,"Plan1";#N/A,#N/A,FALSE,"Plan2"}</definedName>
    <definedName name="hckhjfdkgfdg" hidden="1">#REF!</definedName>
    <definedName name="hddfndgd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hidden="1">{#N/A,#N/A,FALSE,"Plan1";#N/A,#N/A,FALSE,"Plan2"}</definedName>
    <definedName name="HDFGJKHKFDHTY" hidden="1">{#N/A,#N/A,FALSE,"Plan1";#N/A,#N/A,FALSE,"Plan2"}</definedName>
    <definedName name="hdfhdhrtgd" hidden="1">{#N/A,#N/A,FALSE,"Plan1";#N/A,#N/A,FALSE,"Plan2"}</definedName>
    <definedName name="hdfhftde" hidden="1">{#N/A,#N/A,FALSE,"Plan1";#N/A,#N/A,FALSE,"Plan2"}</definedName>
    <definedName name="hdfhgkdhgtrf" hidden="1">{#N/A,#N/A,FALSE,"Plan1";#N/A,#N/A,FALSE,"Plan2"}</definedName>
    <definedName name="hdfjhdkzhgdr" hidden="1">{#N/A,#N/A,FALSE,"Plan1";#N/A,#N/A,FALSE,"Plan2"}</definedName>
    <definedName name="hdfjkgvjgtd" hidden="1">{#N/A,#N/A,FALSE,"Plan1";#N/A,#N/A,FALSE,"Plan2"}</definedName>
    <definedName name="hdfjkhdhrute" hidden="1">{#N/A,#N/A,FALSE,"Plan1";#N/A,#N/A,FALSE,"Plan2"}</definedName>
    <definedName name="HDFKGVF" hidden="1">{#N/A,#N/A,FALSE,"Plan1";#N/A,#N/A,FALSE,"Plan2"}</definedName>
    <definedName name="hdgfhdgtdrt" hidden="1">{#N/A,#N/A,FALSE,"Plan1";#N/A,#N/A,FALSE,"Plan2"}</definedName>
    <definedName name="hdghgtgtrgd" hidden="1">{#N/A,#N/A,FALSE,"Plan1";#N/A,#N/A,FALSE,"Plan2"}</definedName>
    <definedName name="HDHDGHTUHDTG" hidden="1">{#N/A,#N/A,FALSE,"Plan1";#N/A,#N/A,FALSE,"Plan2"}</definedName>
    <definedName name="hdhghfthrrhy" hidden="1">{#N/A,#N/A,FALSE,"Plan1";#N/A,#N/A,FALSE,"Plan2"}</definedName>
    <definedName name="hdkfjhydjh" hidden="1">{#N/A,#N/A,FALSE,"Plan1";#N/A,#N/A,FALSE,"Plan2"}</definedName>
    <definedName name="hdsgfgrrdgr" hidden="1">{#N/A,#N/A,FALSE,"Plan1";#N/A,#N/A,FALSE,"Plan2"}</definedName>
    <definedName name="hdtertkkdsa" hidden="1">{#N/A,#N/A,FALSE,"Plan1";#N/A,#N/A,FALSE,"Plan2"}</definedName>
    <definedName name="Header">#REF!</definedName>
    <definedName name="HEDHA" hidden="1">{#N/A,#N/A,FALSE,"Plan1";#N/A,#N/A,FALSE,"Plan2"}</definedName>
    <definedName name="hei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 hidden="1">{#N/A,#N/A,FALSE,"Plan1";#N/A,#N/A,FALSE,"Plan2"}</definedName>
    <definedName name="hersdtretyt" hidden="1">{#N/A,#N/A,FALSE,"Plan1";#N/A,#N/A,FALSE,"Plan2"}</definedName>
    <definedName name="HFDJTHTR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hidden="1">{#N/A,#N/A,FALSE,"Plan1";#N/A,#N/A,FALSE,"Plan2"}</definedName>
    <definedName name="hfdkhgkfdhtj" hidden="1">{#N/A,#N/A,FALSE,"Plan1";#N/A,#N/A,FALSE,"Plan2"}</definedName>
    <definedName name="hfgfktgkhyt" hidden="1">{#N/A,#N/A,FALSE,"Plan1";#N/A,#N/A,FALSE,"Plan2"}</definedName>
    <definedName name="hfghdkhrgkjg" hidden="1">{#N/A,#N/A,FALSE,"Plan1";#N/A,#N/A,FALSE,"Plan2"}</definedName>
    <definedName name="hfighfth" hidden="1">{#N/A,#N/A,FALSE,"Plan1";#N/A,#N/A,FALSE,"Plan2"}</definedName>
    <definedName name="hfjghtfuyrf" hidden="1">{#N/A,#N/A,FALSE,"Plan1";#N/A,#N/A,FALSE,"Plan2"}</definedName>
    <definedName name="HFKJHDJGHFJ" hidden="1">{#N/A,#N/A,FALSE,"Plan1";#N/A,#N/A,FALSE,"Plan2"}</definedName>
    <definedName name="hgdesgfgsj" hidden="1">{#N/A,#N/A,FALSE,"Plan1";#N/A,#N/A,FALSE,"Plan2"}</definedName>
    <definedName name="hgdgfd" hidden="1">{#N/A,#N/A,FALSE,"Plan1";#N/A,#N/A,FALSE,"Plan2"}</definedName>
    <definedName name="hgfhjkdfhj" hidden="1">{#N/A,#N/A,FALSE,"Plan1";#N/A,#N/A,FALSE,"Plan2"}</definedName>
    <definedName name="hgg" hidden="1">{#N/A,#N/A,FALSE,"Plan1";#N/A,#N/A,FALSE,"Plan2"}</definedName>
    <definedName name="hgjdfgghg" hidden="1">{#N/A,#N/A,FALSE,"Plan1";#N/A,#N/A,FALSE,"Plan2"}</definedName>
    <definedName name="hgjkfdhg" hidden="1">{#N/A,#N/A,FALSE,"Plan1";#N/A,#N/A,FALSE,"Plan2"}</definedName>
    <definedName name="hgkdfhkfk" hidden="1">{#N/A,#N/A,FALSE,"Plan1";#N/A,#N/A,FALSE,"Plan2"}</definedName>
    <definedName name="hgkjhdfhtrdyt" hidden="1">{#N/A,#N/A,FALSE,"Plan1";#N/A,#N/A,FALSE,"Plan2"}</definedName>
    <definedName name="hgkjhdfkhgtfhg" hidden="1">{#N/A,#N/A,FALSE,"Plan1";#N/A,#N/A,FALSE,"Plan2"}</definedName>
    <definedName name="hgkjhkfhsdkdhgk" hidden="1">{#N/A,#N/A,FALSE,"Plan1";#N/A,#N/A,FALSE,"Plan2"}</definedName>
    <definedName name="hgsufgdhghd" hidden="1">{#N/A,#N/A,FALSE,"Plan1";#N/A,#N/A,FALSE,"Plan2"}</definedName>
    <definedName name="HHGFHTYUT" hidden="1">{#N/A,#N/A,FALSE,"Plan1";#N/A,#N/A,FALSE,"Plan2"}</definedName>
    <definedName name="hhh" hidden="1">{"'Total'!$A$1","'Total'!$A$3"}</definedName>
    <definedName name="HHIHLK" hidden="1">#REF!</definedName>
    <definedName name="hik" hidden="1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 hidden="1">{#N/A,#N/A,FALSE,"Plan1";#N/A,#N/A,FALSE,"Plan2"}</definedName>
    <definedName name="HJFDGD" hidden="1">{#N/A,#N/A,FALSE,"Plan1";#N/A,#N/A,FALSE,"Plan2"}</definedName>
    <definedName name="HJGASD" hidden="1">{#N/A,#N/A,FALSE,"Plan1";#N/A,#N/A,FALSE,"Plan2"}</definedName>
    <definedName name="HJGFGTFDG" hidden="1">{#N/A,#N/A,FALSE,"Plan1";#N/A,#N/A,FALSE,"Plan2"}</definedName>
    <definedName name="hjgfhdsgfhsd" hidden="1">{#N/A,#N/A,FALSE,"Plan1";#N/A,#N/A,FALSE,"Plan2"}</definedName>
    <definedName name="hjgxfjgdjyftr" hidden="1">{#N/A,#N/A,FALSE,"Plan1";#N/A,#N/A,FALSE,"Plan2"}</definedName>
    <definedName name="hjgyugasd" hidden="1">{#N/A,#N/A,FALSE,"Plan1";#N/A,#N/A,FALSE,"Plan2"}</definedName>
    <definedName name="hjjfyfy" hidden="1">{#N/A,#N/A,FALSE,"Plan1";#N/A,#N/A,FALSE,"Plan2"}</definedName>
    <definedName name="hjkchkvjhdjkgh" hidden="1">{#N/A,#N/A,FALSE,"Plan1";#N/A,#N/A,FALSE,"Plan2"}</definedName>
    <definedName name="hjkfjdyht" hidden="1">{#N/A,#N/A,FALSE,"Plan1";#N/A,#N/A,FALSE,"Plan2"}</definedName>
    <definedName name="hjsdf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hidden="1">{#N/A,#N/A,FALSE,"Plan1";#N/A,#N/A,FALSE,"Plan2"}</definedName>
    <definedName name="hjsdsdrjfrh" hidden="1">2</definedName>
    <definedName name="hjsrdfre" hidden="1">{"Econ Consolidado",#N/A,FALSE,"Econ Consol";"Fluxo de Caixa",#N/A,FALSE,"Fluxo Caixa";"Investimentos",#N/A,FALSE,"Investimentos"}</definedName>
    <definedName name="HKewewsr" hidden="1">{#N/A,#N/A,FALSE,"Plan1";#N/A,#N/A,FALSE,"Plan2"}</definedName>
    <definedName name="hkhdskacd" hidden="1">{#N/A,#N/A,FALSE,"Plan1";#N/A,#N/A,FALSE,"Plan2"}</definedName>
    <definedName name="hkjfgfhgfh" hidden="1">{#N/A,#N/A,FALSE,"Plan1";#N/A,#N/A,FALSE,"Plan2"}</definedName>
    <definedName name="hkjfhgjkfhghfg" hidden="1">{#N/A,#N/A,FALSE,"Plan1";#N/A,#N/A,FALSE,"Plan2"}</definedName>
    <definedName name="HKLZHFRH" hidden="1">{#N/A,#N/A,FALSE,"Plan1";#N/A,#N/A,FALSE,"Plan2"}</definedName>
    <definedName name="ho" hidden="1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 hidden="1">{#N/A,#N/A,FALSE,"Plan1";#N/A,#N/A,FALSE,"Plan2"}</definedName>
    <definedName name="hsdf" hidden="1">{#N/A,#N/A,FALSE,"Plan1";#N/A,#N/A,FALSE,"Plan2"}</definedName>
    <definedName name="hsdfgdgudrt" hidden="1">{#N/A,#N/A,FALSE,"Plan1";#N/A,#N/A,FALSE,"Plan2"}</definedName>
    <definedName name="hsdfjkdhur" hidden="1">{#N/A,#N/A,FALSE,"Plan1";#N/A,#N/A,FALSE,"Plan2"}</definedName>
    <definedName name="hsdgftdh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hidden="1">{#N/A,#N/A,FALSE,"Plan1";#N/A,#N/A,FALSE,"Plan2"}</definedName>
    <definedName name="hsdjffe" hidden="1">{#N/A,#N/A,FALSE,"Plan1";#N/A,#N/A,FALSE,"Plan2"}</definedName>
    <definedName name="HSFIHDTR" hidden="1">{"Econ Consolidado",#N/A,FALSE,"Econ Consol";"Fluxo de Caixa",#N/A,FALSE,"Fluxo Caixa";"Investimentos",#N/A,FALSE,"Investimentos"}</definedName>
    <definedName name="hsfjkdshrgf" hidden="1">{#N/A,#N/A,FALSE,"Plan1";#N/A,#N/A,FALSE,"Plan2"}</definedName>
    <definedName name="hthhrtetdre" hidden="1">{#N/A,#N/A,FALSE,"Plan1";#N/A,#N/A,FALSE,"Plan2"}</definedName>
    <definedName name="HTM">#REF!</definedName>
    <definedName name="HTML_CodePage" hidden="1">949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TML2_CONTROL" hidden="1">{"'Estimativa de Lançamento-JAN'!$A$1:$AI$85"}</definedName>
    <definedName name="HTML3_CONTROL" hidden="1">{"'Estimativa de Lançamento-JAN'!$A$1:$AI$85"}</definedName>
    <definedName name="HTMLControl" hidden="1">{"'Edit'!$A$1:$V$2277"}</definedName>
    <definedName name="HTN">#REF!</definedName>
    <definedName name="HVJKHGKFXHFD" hidden="1">{#N/A,#N/A,FALSE,"Plan1";#N/A,#N/A,FALSE,"Plan2"}</definedName>
    <definedName name="hwekjhekhf" hidden="1">{#N/A,#N/A,FALSE,"Plan1";#N/A,#N/A,FALSE,"Plan2"}</definedName>
    <definedName name="HXFRE" hidden="1">{#N/A,#N/A,FALSE,"Plan1";#N/A,#N/A,FALSE,"Plan2"}</definedName>
    <definedName name="HXKJFGDKHG" hidden="1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 hidden="1">#REF!</definedName>
    <definedName name="icoa_cdi">#REF!</definedName>
    <definedName name="icoa_hist">#REF!</definedName>
    <definedName name="icoa_uss">#REF!</definedName>
    <definedName name="Identificação">#REF!</definedName>
    <definedName name="idfhgkjhfkthy" hidden="1">{#N/A,#N/A,FALSE,"Plan1";#N/A,#N/A,FALSE,"Plan2"}</definedName>
    <definedName name="ieroweft" hidden="1">{#N/A,#N/A,FALSE,"Plan1";#N/A,#N/A,FALSE,"Plan2"}</definedName>
    <definedName name="iewpotqi5poejy" hidden="1">{#N/A,#N/A,FALSE,"Plan1";#N/A,#N/A,FALSE,"Plan2"}</definedName>
    <definedName name="ihdfifguhgfuiy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hidden="1">#REF!</definedName>
    <definedName name="ihfdkjhktgrd" hidden="1">{#N/A,#N/A,FALSE,"Plan1";#N/A,#N/A,FALSE,"Plan2"}</definedName>
    <definedName name="ihrtetw4r" hidden="1">{#N/A,#N/A,FALSE,"Plan1";#N/A,#N/A,FALSE,"Plan2"}</definedName>
    <definedName name="II">#REF!</definedName>
    <definedName name="IIASDSAWE" hidden="1">{"Econ Consolidado",#N/A,FALSE,"Econ Consol";"Fluxo de Caixa",#N/A,FALSE,"Fluxo Caixa";"Investimentos",#N/A,FALSE,"Investimentos"}</definedName>
    <definedName name="III">#REF!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hidden="1">{#N/A,#N/A,FALSE,"Plan1";#N/A,#N/A,FALSE,"Plan2"}</definedName>
    <definedName name="ilsdr4w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 hidden="1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 hidden="1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 hidden="1">{"'Edit'!$A$1:$V$2277"}</definedName>
    <definedName name="IO">196.003</definedName>
    <definedName name="ioeriotyt" hidden="1">{#N/A,#N/A,FALSE,"Plan1";#N/A,#N/A,FALSE,"Plan2"}</definedName>
    <definedName name="iohudtorh" hidden="1">{#N/A,#N/A,FALSE,"Plan1";#N/A,#N/A,FALSE,"Plan2"}</definedName>
    <definedName name="iojtkheayed" hidden="1">{#N/A,#N/A,FALSE,"Plan1";#N/A,#N/A,FALSE,"Plan2"}</definedName>
    <definedName name="iouweroieuw4" hidden="1">{#N/A,#N/A,FALSE,"Plan1";#N/A,#N/A,FALSE,"Plan2"}</definedName>
    <definedName name="iphifpgh" hidden="1">{#N/A,#N/A,FALSE,"Plan1";#N/A,#N/A,FALSE,"Plan2"}</definedName>
    <definedName name="IPMF">#REF!</definedName>
    <definedName name="ipodsifgpd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hidden="1">{#N/A,#N/A,FALSE,"Plan1";#N/A,#N/A,FALSE,"Plan2"}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40730.4399768518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 hidden="1">{#N/A,#N/A,FALSE,"Plan1";#N/A,#N/A,FALSE,"Plan2"}</definedName>
    <definedName name="iyuyheturtd" hidden="1">{#N/A,#N/A,FALSE,"Plan1";#N/A,#N/A,FALSE,"Plan2"}</definedName>
    <definedName name="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hidden="1">{#N/A,#N/A,FALSE,"Plan1";#N/A,#N/A,FALSE,"Plan2"}</definedName>
    <definedName name="jan_05">#REF!</definedName>
    <definedName name="jan17RJ">#REF!</definedName>
    <definedName name="JANEIRO2001">#REF!</definedName>
    <definedName name="JASDJS" hidden="1">{#N/A,#N/A,FALSE,"Plan1";#N/A,#N/A,FALSE,"Plan2"}</definedName>
    <definedName name="jaskldjlse" hidden="1">{#N/A,#N/A,FALSE,"Plan1";#N/A,#N/A,FALSE,"Plan2"}</definedName>
    <definedName name="JASLDKLD" hidden="1">{#N/A,#N/A,FALSE,"Plan1";#N/A,#N/A,FALSE,"Plan2"}</definedName>
    <definedName name="jasoe" hidden="1">#REF!</definedName>
    <definedName name="jbzxffcbgdhgft" hidden="1">#REF!</definedName>
    <definedName name="JÇDFHDF" hidden="1">{"Econ Consolidado",#N/A,FALSE,"Econ Consol";"Fluxo de Caixa",#N/A,FALSE,"Fluxo Caixa";"Investimentos",#N/A,FALSE,"Investimentos"}</definedName>
    <definedName name="jdbgftbhr" hidden="1">{#N/A,#N/A,FALSE,"Plan1";#N/A,#N/A,FALSE,"Plan2"}</definedName>
    <definedName name="jdfgkrhgft" hidden="1">#REF!</definedName>
    <definedName name="jdfgldfjgklh" hidden="1">{#N/A,#N/A,FALSE,"Plan1";#N/A,#N/A,FALSE,"Plan2"}</definedName>
    <definedName name="jdfhjkdrhjtkg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hidden="1">{#N/A,#N/A,FALSE,"Plan1";#N/A,#N/A,FALSE,"Plan2"}</definedName>
    <definedName name="JDFJLDJR" hidden="1">{#N/A,#N/A,FALSE,"Plan1";#N/A,#N/A,FALSE,"Plan2"}</definedName>
    <definedName name="jdfkgitfgdrtt" hidden="1">{#N/A,#N/A,FALSE,"Plan1";#N/A,#N/A,FALSE,"Plan2"}</definedName>
    <definedName name="JDFKHFKJ" hidden="1">{#N/A,#N/A,FALSE,"Plan1";#N/A,#N/A,FALSE,"Plan2"}</definedName>
    <definedName name="jdfklgtdtr" hidden="1">{#N/A,#N/A,FALSE,"Plan1";#N/A,#N/A,FALSE,"Plan2"}</definedName>
    <definedName name="JDFKTHRT" hidden="1">{#N/A,#N/A,FALSE,"Plan1";#N/A,#N/A,FALSE,"Plan2"}</definedName>
    <definedName name="JDFLKJDRF" hidden="1">{#N/A,#N/A,FALSE,"Plan1";#N/A,#N/A,FALSE,"Plan2"}</definedName>
    <definedName name="jdfzlkjgfdht" hidden="1">{#N/A,#N/A,FALSE,"Plan1";#N/A,#N/A,FALSE,"Plan2"}</definedName>
    <definedName name="jdglhfghkt" hidden="1">{#N/A,#N/A,FALSE,"Plan1";#N/A,#N/A,FALSE,"Plan2"}</definedName>
    <definedName name="jdhfjdhgfd" hidden="1">{#N/A,#N/A,FALSE,"Plan1";#N/A,#N/A,FALSE,"Plan2"}</definedName>
    <definedName name="jdjdjdjd" hidden="1">{#N/A,#N/A,FALSE,"명세표"}</definedName>
    <definedName name="jdkfhgjhf" hidden="1">{#N/A,#N/A,FALSE,"Plan1";#N/A,#N/A,FALSE,"Plan2"}</definedName>
    <definedName name="jdkfjdtr" hidden="1">{#N/A,#N/A,FALSE,"Plan1";#N/A,#N/A,FALSE,"Plan2"}</definedName>
    <definedName name="jdljgftldjti5r" hidden="1">{#N/A,#N/A,FALSE,"Plan1";#N/A,#N/A,FALSE,"Plan2"}</definedName>
    <definedName name="JDLKJDASGF" hidden="1">{#N/A,#N/A,FALSE,"Plan1";#N/A,#N/A,FALSE,"Plan2"}</definedName>
    <definedName name="jdrfkdjfghrtfjg" hidden="1">{#N/A,#N/A,FALSE,"Plan1";#N/A,#N/A,FALSE,"Plan2"}</definedName>
    <definedName name="jdskfhdk" hidden="1">{#N/A,#N/A,FALSE,"Plan1";#N/A,#N/A,FALSE,"Plan2"}</definedName>
    <definedName name="JDSKLGKDRHGGF" hidden="1">{#N/A,#N/A,FALSE,"Plan1";#N/A,#N/A,FALSE,"Plan2"}</definedName>
    <definedName name="jefsgfr" hidden="1">{#N/A,#N/A,FALSE,"Plan1";#N/A,#N/A,FALSE,"Plan2"}</definedName>
    <definedName name="JERHIEHYURE" hidden="1">{#N/A,#N/A,FALSE,"Plan1";#N/A,#N/A,FALSE,"Plan2"}</definedName>
    <definedName name="jfddlsrtyty" hidden="1">{#N/A,#N/A,FALSE,"Plan1";#N/A,#N/A,FALSE,"Plan2"}</definedName>
    <definedName name="jfdjtgdjghitfyh" hidden="1">{#N/A,#N/A,FALSE,"Plan1";#N/A,#N/A,FALSE,"Plan2"}</definedName>
    <definedName name="jfdkgkftftg" hidden="1">{#N/A,#N/A,FALSE,"Plan1";#N/A,#N/A,FALSE,"Plan2"}</definedName>
    <definedName name="jfghjkfdhtkyr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hidden="1">{#N/A,#N/A,FALSE,"Plan1";#N/A,#N/A,FALSE,"Plan2"}</definedName>
    <definedName name="jfgkflcnjkglc" hidden="1">{#N/A,#N/A,FALSE,"Plan1";#N/A,#N/A,FALSE,"Plan2"}</definedName>
    <definedName name="JFHRE" hidden="1">{#N/A,#N/A,FALSE,"Plan1";#N/A,#N/A,FALSE,"Plan2"}</definedName>
    <definedName name="jfkdls5jtirjd" hidden="1">{#N/A,#N/A,FALSE,"Plan1";#N/A,#N/A,FALSE,"Plan2"}</definedName>
    <definedName name="jfkljdkfcj" hidden="1">{#N/A,#N/A,FALSE,"Plan1";#N/A,#N/A,FALSE,"Plan2"}</definedName>
    <definedName name="jfkrhdtghdut" hidden="1">{#N/A,#N/A,FALSE,"Plan1";#N/A,#N/A,FALSE,"Plan2"}</definedName>
    <definedName name="JFRESR" hidden="1">{#N/A,#N/A,FALSE,"Plan1";#N/A,#N/A,FALSE,"Plan2"}</definedName>
    <definedName name="jgdfdgfjgdj" hidden="1">{#N/A,#N/A,FALSE,"Plan1";#N/A,#N/A,FALSE,"Plan2"}</definedName>
    <definedName name="jgdfght" hidden="1">{#N/A,#N/A,FALSE,"Plan1";#N/A,#N/A,FALSE,"Plan2"}</definedName>
    <definedName name="jgfgdsgfdhrf" hidden="1">{#N/A,#N/A,FALSE,"Plan1";#N/A,#N/A,FALSE,"Plan2"}</definedName>
    <definedName name="JGFJGTFT" hidden="1">{#N/A,#N/A,FALSE,"Plan1";#N/A,#N/A,FALSE,"Plan2"}</definedName>
    <definedName name="JGJSFJKSDGB" hidden="1">17</definedName>
    <definedName name="jgkjkhjuftgi" hidden="1">{#N/A,#N/A,FALSE,"Plan1";#N/A,#N/A,FALSE,"Plan2"}</definedName>
    <definedName name="jh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hidden="1">{#N/A,#N/A,FALSE,"Plan1";#N/A,#N/A,FALSE,"Plan2"}</definedName>
    <definedName name="jhdfjkhtrdhf" hidden="1">{#N/A,#N/A,FALSE,"Plan1";#N/A,#N/A,FALSE,"Plan2"}</definedName>
    <definedName name="jhdfuthr" hidden="1">{#N/A,#N/A,FALSE,"Plan1";#N/A,#N/A,FALSE,"Plan2"}</definedName>
    <definedName name="JHDFZGRDHF" hidden="1">{"Econ Consolidado",#N/A,FALSE,"Econ Consol";"Fluxo de Caixa",#N/A,FALSE,"Fluxo Caixa";"Investimentos",#N/A,FALSE,"Investimentos"}</definedName>
    <definedName name="JHERKHKFGH" hidden="1">{#N/A,#N/A,FALSE,"Plan1";#N/A,#N/A,FALSE,"Plan2"}</definedName>
    <definedName name="jhfhhztfhe" hidden="1">#REF!</definedName>
    <definedName name="JHGKJFJFJGL" hidden="1">{#N/A,#N/A,FALSE,"Plan1";#N/A,#N/A,FALSE,"Plan2"}</definedName>
    <definedName name="jhsdjkhfuks" hidden="1">{#N/A,#N/A,FALSE,"Plan1";#N/A,#N/A,FALSE,"Plan2"}</definedName>
    <definedName name="jisdrkje" hidden="1">{#N/A,#N/A,FALSE,"Plan1";#N/A,#N/A,FALSE,"Plan2"}</definedName>
    <definedName name="jishfrieyhtau" hidden="1">{#N/A,#N/A,FALSE,"Plan1";#N/A,#N/A,FALSE,"Plan2"}</definedName>
    <definedName name="ji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hidden="1">{"'Apr-00'!$B$4:$AD$44"}</definedName>
    <definedName name="jjfdsktyhhy" hidden="1">{#N/A,#N/A,FALSE,"Plan1";#N/A,#N/A,FALSE,"Plan2"}</definedName>
    <definedName name="jjjjjjjjjjjjjjjjjjjj">#REF!</definedName>
    <definedName name="jjkjkjk" hidden="1">{#N/A,#N/A,FALSE,"Plan1";#N/A,#N/A,FALSE,"Plan2"}</definedName>
    <definedName name="JKDCK" hidden="1">{#N/A,#N/A,FALSE,"Plan1";#N/A,#N/A,FALSE,"Plan2"}</definedName>
    <definedName name="JKDFHKHFR" hidden="1">{#N/A,#N/A,FALSE,"Plan1";#N/A,#N/A,FALSE,"Plan2"}</definedName>
    <definedName name="JKDFTRDRJ" hidden="1">{#N/A,#N/A,FALSE,"Plan1";#N/A,#N/A,FALSE,"Plan2"}</definedName>
    <definedName name="jkdhfukhddf" hidden="1">{#N/A,#N/A,FALSE,"Plan1";#N/A,#N/A,FALSE,"Plan2"}</definedName>
    <definedName name="JKDRKGJHTD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hidden="1">{#N/A,#N/A,FALSE,"Plan1";#N/A,#N/A,FALSE,"Plan2"}</definedName>
    <definedName name="jkfhjgkfhghh" hidden="1">{#N/A,#N/A,FALSE,"Plan1";#N/A,#N/A,FALSE,"Plan2"}</definedName>
    <definedName name="jkhderjkhes" hidden="1">{#N/A,#N/A,FALSE,"Plan1";#N/A,#N/A,FALSE,"Plan2"}</definedName>
    <definedName name="jkhdfhfd" hidden="1">{#N/A,#N/A,FALSE,"Plan1";#N/A,#N/A,FALSE,"Plan2"}</definedName>
    <definedName name="jkhfhes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hidden="1">{#N/A,#N/A,FALSE,"Plan1";#N/A,#N/A,FALSE,"Plan2"}</definedName>
    <definedName name="JKHGDHFUHTG" hidden="1">{#N/A,#N/A,FALSE,"Plan1";#N/A,#N/A,FALSE,"Plan2"}</definedName>
    <definedName name="jkhsdzjkfyiu" hidden="1">{#N/A,#N/A,FALSE,"Plan1";#N/A,#N/A,FALSE,"Plan2"}</definedName>
    <definedName name="jkjsdkhfdhrf" hidden="1">{#N/A,#N/A,FALSE,"Plan1";#N/A,#N/A,FALSE,"Plan2"}</definedName>
    <definedName name="jklgfsjgtjtg" hidden="1">{#N/A,#N/A,FALSE,"Plan1";#N/A,#N/A,FALSE,"Plan2"}</definedName>
    <definedName name="jksldfjsdhf" hidden="1">{#N/A,#N/A,FALSE,"Plan1";#N/A,#N/A,FALSE,"Plan2"}</definedName>
    <definedName name="jkxhcjkhfr" hidden="1">{#N/A,#N/A,FALSE,"Plan1";#N/A,#N/A,FALSE,"Plan2"}</definedName>
    <definedName name="JNGCKFKJFGH" hidden="1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 hidden="1">{#N/A,#N/A,FALSE,"Plan1";#N/A,#N/A,FALSE,"Plan2"}</definedName>
    <definedName name="JSADKAH" hidden="1">{"Econ Consolidado",#N/A,FALSE,"Econ Consol";"Fluxo de Caixa",#N/A,FALSE,"Fluxo Caixa";"Investimentos",#N/A,FALSE,"Investimentos"}</definedName>
    <definedName name="JSDAJRE" hidden="1">{#N/A,#N/A,FALSE,"Plan1";#N/A,#N/A,FALSE,"Plan2"}</definedName>
    <definedName name="jsdffs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hidden="1">{#N/A,#N/A,FALSE,"Plan1";#N/A,#N/A,FALSE,"Plan2"}</definedName>
    <definedName name="jsdfkgnfr" hidden="1">#REF!</definedName>
    <definedName name="jsdfsdfd" hidden="1">{#N/A,#N/A,FALSE,"Plan1";#N/A,#N/A,FALSE,"Plan2"}</definedName>
    <definedName name="jsdljficd" hidden="1">{#N/A,#N/A,FALSE,"Plan1";#N/A,#N/A,FALSE,"Plan2"}</definedName>
    <definedName name="JSDTLFJDRG" hidden="1">{#N/A,#N/A,FALSE,"Plan1";#N/A,#N/A,FALSE,"Plan2"}</definedName>
    <definedName name="jsfjsjferwea" hidden="1">{#N/A,#N/A,FALSE,"Plan1";#N/A,#N/A,FALSE,"Plan2"}</definedName>
    <definedName name="jslrjer" hidden="1">{#N/A,#N/A,FALSE,"Plan1";#N/A,#N/A,FALSE,"Plan2"}</definedName>
    <definedName name="juklhkhdf" hidden="1">{#N/A,#N/A,FALSE,"Plan1";#N/A,#N/A,FALSE,"Plan2"}</definedName>
    <definedName name="jul17RJ">#REF!</definedName>
    <definedName name="JULHO">#REF!</definedName>
    <definedName name="JULHO2001">#REF!</definedName>
    <definedName name="JULHO99" hidden="1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 hidden="1">{#N/A,#N/A,FALSE,"Plan1";#N/A,#N/A,FALSE,"Plan2"}</definedName>
    <definedName name="JWEOITORU5Y" hidden="1">{#N/A,#N/A,FALSE,"Plan1";#N/A,#N/A,FALSE,"Plan2"}</definedName>
    <definedName name="jxdfjsrf" hidden="1">{#N/A,#N/A,FALSE,"Plan1";#N/A,#N/A,FALSE,"Plan2"}</definedName>
    <definedName name="jxdklfj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hidden="1">#REF!</definedName>
    <definedName name="jzsdjkszl" hidden="1">{#N/A,#N/A,FALSE,"Plan1";#N/A,#N/A,FALSE,"Plan2"}</definedName>
    <definedName name="JZXFKLJLDJF" hidden="1">{#N/A,#N/A,FALSE,"Plan1";#N/A,#N/A,FALSE,"Plan2"}</definedName>
    <definedName name="jzxklfdlvgfg" hidden="1">{#N/A,#N/A,FALSE,"Plan1";#N/A,#N/A,FALSE,"Plan2"}</definedName>
    <definedName name="k" hidden="1">{#N/A,#N/A,FALSE,"Plan1";#N/A,#N/A,FALSE,"Plan2"}</definedName>
    <definedName name="K_1">#REF!</definedName>
    <definedName name="kaedkroswr" hidden="1">{"Econ Consolidado",#N/A,FALSE,"Econ Consol";"Fluxo de Caixa",#N/A,FALSE,"Fluxo Caixa";"Investimentos",#N/A,FALSE,"Investimentos"}</definedName>
    <definedName name="kapa">#REF!</definedName>
    <definedName name="kç\lKçaksdçaqew" hidden="1">{#N/A,#N/A,FALSE,"Plan1";#N/A,#N/A,FALSE,"Plan2"}</definedName>
    <definedName name="kçdasekr" hidden="1">{#N/A,#N/A,FALSE,"Plan1";#N/A,#N/A,FALSE,"Plan2"}</definedName>
    <definedName name="kçfdljtredr" hidden="1">{#N/A,#N/A,FALSE,"Plan1";#N/A,#N/A,FALSE,"Plan2"}</definedName>
    <definedName name="KCIVIL">#REF!</definedName>
    <definedName name="kclçkglf" hidden="1">{#N/A,#N/A,FALSE,"Plan1";#N/A,#N/A,FALSE,"Plan2"}</definedName>
    <definedName name="kçlkasçkere" hidden="1">{#N/A,#N/A,FALSE,"Plan1";#N/A,#N/A,FALSE,"Plan2"}</definedName>
    <definedName name="kdfbngtjkbf" hidden="1">{#N/A,#N/A,FALSE,"Plan1";#N/A,#N/A,FALSE,"Plan2"}</definedName>
    <definedName name="kdfhkghkrh" hidden="1">{#N/A,#N/A,FALSE,"Plan1";#N/A,#N/A,FALSE,"Plan2"}</definedName>
    <definedName name="kdfier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hidden="1">{#N/A,#N/A,FALSE,"Plan1";#N/A,#N/A,FALSE,"Plan2"}</definedName>
    <definedName name="kdfljlfr" hidden="1">{#N/A,#N/A,FALSE,"Plan1";#N/A,#N/A,FALSE,"Plan2"}</definedName>
    <definedName name="kdhfgkdfhytgu" hidden="1">{#N/A,#N/A,FALSE,"Plan1";#N/A,#N/A,FALSE,"Plan2"}</definedName>
    <definedName name="kdhgftfg" hidden="1">{#N/A,#N/A,FALSE,"Plan1";#N/A,#N/A,FALSE,"Plan2"}</definedName>
    <definedName name="KDHKFGKKHGF" hidden="1">{#N/A,#N/A,FALSE,"Plan1";#N/A,#N/A,FALSE,"Plan2"}</definedName>
    <definedName name="kdjfdr" hidden="1">#REF!</definedName>
    <definedName name="kdjgkfjgd" hidden="1">{#N/A,#N/A,FALSE,"Plan1";#N/A,#N/A,FALSE,"Plan2"}</definedName>
    <definedName name="kdjglkdlgjd" hidden="1">{#N/A,#N/A,FALSE,"Plan1";#N/A,#N/A,FALSE,"Plan2"}</definedName>
    <definedName name="kdjsfkldjgkty" hidden="1">{#N/A,#N/A,FALSE,"Plan1";#N/A,#N/A,FALSE,"Plan2"}</definedName>
    <definedName name="KDJU" hidden="1">{"'장비'!$A$3:$M$12"}</definedName>
    <definedName name="kdkjhgdkfhjk" hidden="1">{#N/A,#N/A,FALSE,"Plan1";#N/A,#N/A,FALSE,"Plan2"}</definedName>
    <definedName name="kdsf" hidden="1">{#N/A,#N/A,FALSE,"Plan1";#N/A,#N/A,FALSE,"Plan2"}</definedName>
    <definedName name="kdsr" hidden="1">{#N/A,#N/A,FALSE,"Plan1";#N/A,#N/A,FALSE,"Plan2"}</definedName>
    <definedName name="kergtfdstr" hidden="1">{#N/A,#N/A,FALSE,"Plan1";#N/A,#N/A,FALSE,"Plan2"}</definedName>
    <definedName name="kesp">#REF!</definedName>
    <definedName name="KFDKTHGT" hidden="1">{#N/A,#N/A,FALSE,"Plan1";#N/A,#N/A,FALSE,"Plan2"}</definedName>
    <definedName name="kfdxlfdzs" hidden="1">{"Econ Consolidado",#N/A,FALSE,"Econ Consol";"Fluxo de Caixa",#N/A,FALSE,"Fluxo Caixa";"Investimentos",#N/A,FALSE,"Investimentos"}</definedName>
    <definedName name="kfgkhjkjhy" hidden="1">{#N/A,#N/A,FALSE,"Plan1";#N/A,#N/A,FALSE,"Plan2"}</definedName>
    <definedName name="KFJFDSDF" hidden="1">{#N/A,#N/A,FALSE,"Plan1";#N/A,#N/A,FALSE,"Plan2"}</definedName>
    <definedName name="kfnkeasd" hidden="1">{#N/A,#N/A,FALSE,"Plan1";#N/A,#N/A,FALSE,"Plan2"}</definedName>
    <definedName name="khdjkfkjhtg" hidden="1">{#N/A,#N/A,FALSE,"Plan1";#N/A,#N/A,FALSE,"Plan2"}</definedName>
    <definedName name="khdkfjhhfsdg" hidden="1">{#N/A,#N/A,FALSE,"Plan1";#N/A,#N/A,FALSE,"Plan2"}</definedName>
    <definedName name="khdkjfhgudytu" hidden="1">{#N/A,#N/A,FALSE,"Plan1";#N/A,#N/A,FALSE,"Plan2"}</definedName>
    <definedName name="khfdghhhgd" hidden="1">{#N/A,#N/A,FALSE,"Plan1";#N/A,#N/A,FALSE,"Plan2"}</definedName>
    <definedName name="khfdkjhsdjf" hidden="1">{#N/A,#N/A,FALSE,"Plan1";#N/A,#N/A,FALSE,"Plan2"}</definedName>
    <definedName name="khgdkftfy" hidden="1">{#N/A,#N/A,FALSE,"Plan1";#N/A,#N/A,FALSE,"Plan2"}</definedName>
    <definedName name="khgfhhtuhf" hidden="1">{#N/A,#N/A,FALSE,"Plan1";#N/A,#N/A,FALSE,"Plan2"}</definedName>
    <definedName name="khjk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hidden="1">{#N/A,#N/A,FALSE,"Plan1";#N/A,#N/A,FALSE,"Plan2"}</definedName>
    <definedName name="kieret" hidden="1">{#N/A,#N/A,FALSE,"Plan1";#N/A,#N/A,FALSE,"Plan2"}</definedName>
    <definedName name="kiweokwr" hidden="1">#REF!</definedName>
    <definedName name="kjchkfhsezk" hidden="1">{#N/A,#N/A,FALSE,"Plan1";#N/A,#N/A,FALSE,"Plan2"}</definedName>
    <definedName name="kjdghksef" hidden="1">{#N/A,#N/A,FALSE,"Plan1";#N/A,#N/A,FALSE,"Plan2"}</definedName>
    <definedName name="kjdkftyhtert" hidden="1">{#N/A,#N/A,FALSE,"Plan1";#N/A,#N/A,FALSE,"Plan2"}</definedName>
    <definedName name="kjdlfkjds" hidden="1">{#N/A,#N/A,FALSE,"Plan1";#N/A,#N/A,FALSE,"Plan2"}</definedName>
    <definedName name="kjdzhfytrfy" hidden="1">{#N/A,#N/A,FALSE,"Plan1";#N/A,#N/A,FALSE,"Plan2"}</definedName>
    <definedName name="kjhdfgjthdft" hidden="1">{#N/A,#N/A,FALSE,"Plan1";#N/A,#N/A,FALSE,"Plan2"}</definedName>
    <definedName name="kjhsdf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hidden="1">{#N/A,#N/A,FALSE,"Plan1";#N/A,#N/A,FALSE,"Plan2"}</definedName>
    <definedName name="KJ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hidden="1">{#N/A,#N/A,FALSE,"Plan1";#N/A,#N/A,FALSE,"Plan2"}</definedName>
    <definedName name="kjl" hidden="1">{#N/A,#N/A,FALSE,"ENG'G(보호계전기)"}</definedName>
    <definedName name="KJOI" hidden="1">{#N/A,#N/A,FALSE,"Plan1";#N/A,#N/A,FALSE,"Plan2"}</definedName>
    <definedName name="kjqwerw" hidden="1">{#N/A,#N/A,FALSE,"Plan1";#N/A,#N/A,FALSE,"Plan2"}</definedName>
    <definedName name="kjsfert" hidden="1">{#N/A,#N/A,FALSE,"Plan1";#N/A,#N/A,FALSE,"Plan2"}</definedName>
    <definedName name="KJXCFKR" hidden="1">{#N/A,#N/A,FALSE,"Plan1";#N/A,#N/A,FALSE,"Plan2"}</definedName>
    <definedName name="KJXDFD" hidden="1">{#N/A,#N/A,FALSE,"Plan1";#N/A,#N/A,FALSE,"Plan2"}</definedName>
    <definedName name="kjydhfkjghkjfh" hidden="1">#REF!</definedName>
    <definedName name="kk">#REF!</definedName>
    <definedName name="kk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hidden="1">{#N/A,#N/A,FALSE,"Plan1";#N/A,#N/A,FALSE,"Plan2"}</definedName>
    <definedName name="kkkkk" hidden="1">{#N/A,#N/A,FALSE,"Plan1";#N/A,#N/A,FALSE,"Plan2"}</definedName>
    <definedName name="kkkkkk" hidden="1">{#N/A,#N/A,FALSE,"Plan1";#N/A,#N/A,FALSE,"Plan2"}</definedName>
    <definedName name="kk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hidden="1">{#N/A,#N/A,FALSE,"Plan1";#N/A,#N/A,FALSE,"Plan2"}</definedName>
    <definedName name="kksarde" hidden="1">{#N/A,#N/A,FALSE,"Plan1";#N/A,#N/A,FALSE,"Plan2"}</definedName>
    <definedName name="klaskldjsw" hidden="1">{#N/A,#N/A,FALSE,"Plan1";#N/A,#N/A,FALSE,"Plan2"}</definedName>
    <definedName name="klçkop" hidden="1">{#N/A,#N/A,FALSE,"Plan1";#N/A,#N/A,FALSE,"Plan2"}</definedName>
    <definedName name="KLDFNTRDT" hidden="1">{#N/A,#N/A,FALSE,"Plan1";#N/A,#N/A,FALSE,"Plan2"}</definedName>
    <definedName name="klhjsdklhdf" hidden="1">{#N/A,#N/A,FALSE,"Plan1";#N/A,#N/A,FALSE,"Plan2"}</definedName>
    <definedName name="KLHSKLRHWE" hidden="1">{#N/A,#N/A,FALSE,"Plan1";#N/A,#N/A,FALSE,"Plan2"}</definedName>
    <definedName name="KLJASKJD" hidden="1">{#N/A,#N/A,FALSE,"Plan1";#N/A,#N/A,FALSE,"Plan2"}</definedName>
    <definedName name="KLJDXL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hidden="1">{#N/A,#N/A,FALSE,"Plan1";#N/A,#N/A,FALSE,"Plan2"}</definedName>
    <definedName name="kljflgjrf" hidden="1">{#N/A,#N/A,FALSE,"Plan1";#N/A,#N/A,FALSE,"Plan2"}</definedName>
    <definedName name="kljgfdfr" hidden="1">{#N/A,#N/A,FALSE,"Plan1";#N/A,#N/A,FALSE,"Plan2"}</definedName>
    <definedName name="kljgfjrt" hidden="1">{#N/A,#N/A,FALSE,"Plan1";#N/A,#N/A,FALSE,"Plan2"}</definedName>
    <definedName name="kljlkdfj" hidden="1">{#N/A,#N/A,FALSE,"Plan1";#N/A,#N/A,FALSE,"Plan2"}</definedName>
    <definedName name="kljsakjfr" hidden="1">{#N/A,#N/A,FALSE,"Plan1";#N/A,#N/A,FALSE,"Plan2"}</definedName>
    <definedName name="kljsdje" hidden="1">{#N/A,#N/A,FALSE,"Plan1";#N/A,#N/A,FALSE,"Plan2"}</definedName>
    <definedName name="kljsfwe" hidden="1">{#N/A,#N/A,FALSE,"Plan1";#N/A,#N/A,FALSE,"Plan2"}</definedName>
    <definedName name="klk" hidden="1">{#N/A,#N/A,FALSE,"Plan1";#N/A,#N/A,FALSE,"Plan2"}</definedName>
    <definedName name="KLKKLKÇJÇ" hidden="1">{#N/A,#N/A,FALSE,"Plan1";#N/A,#N/A,FALSE,"Plan2"}</definedName>
    <definedName name="KLSDFT" hidden="1">{#N/A,#N/A,FALSE,"Plan1";#N/A,#N/A,FALSE,"Plan2"}</definedName>
    <definedName name="KLSDHSJKHF" hidden="1">{#N/A,#N/A,FALSE,"Plan1";#N/A,#N/A,FALSE,"Plan2"}</definedName>
    <definedName name="klsdkre" hidden="1">{#N/A,#N/A,FALSE,"Plan1";#N/A,#N/A,FALSE,"Plan2"}</definedName>
    <definedName name="KLSIDJE" hidden="1">{#N/A,#N/A,FALSE,"Plan1";#N/A,#N/A,FALSE,"Plan2"}</definedName>
    <definedName name="klsjarsf" hidden="1">{#N/A,#N/A,FALSE,"Plan1";#N/A,#N/A,FALSE,"Plan2"}</definedName>
    <definedName name="klsjdwe" hidden="1">#REF!</definedName>
    <definedName name="klxhjfdkhser" hidden="1">{#N/A,#N/A,FALSE,"Plan1";#N/A,#N/A,FALSE,"Plan2"}</definedName>
    <definedName name="kopipnsdfne" hidden="1">{#N/A,#N/A,FALSE,"Plan1";#N/A,#N/A,FALSE,"Plan2"}</definedName>
    <definedName name="kp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hidden="1">{#N/A,#N/A,FALSE,"Plan1";#N/A,#N/A,FALSE,"Plan2"}</definedName>
    <definedName name="ksdlkfsçzd" hidden="1">{#N/A,#N/A,FALSE,"Plan1";#N/A,#N/A,FALSE,"Plan2"}</definedName>
    <definedName name="KSDNFK">#REF!</definedName>
    <definedName name="ksdoçierfe" hidden="1">{#N/A,#N/A,FALSE,"Plan1";#N/A,#N/A,FALSE,"Plan2"}</definedName>
    <definedName name="ksdtrdrkf" hidden="1">{#N/A,#N/A,FALSE,"Plan1";#N/A,#N/A,FALSE,"Plan2"}</definedName>
    <definedName name="KSFÇJDFJL" hidden="1">{#N/A,#N/A,FALSE,"Plan1";#N/A,#N/A,FALSE,"Plan2"}</definedName>
    <definedName name="ksfhse" hidden="1">{#N/A,#N/A,FALSE,"Plan1";#N/A,#N/A,FALSE,"Plan2"}</definedName>
    <definedName name="KSRKOE" hidden="1">{#N/A,#N/A,FALSE,"Plan1";#N/A,#N/A,FALSE,"Plan2"}</definedName>
    <definedName name="KSWKE" hidden="1">{#N/A,#N/A,FALSE,"Plan1";#N/A,#N/A,FALSE,"Plan2"}</definedName>
    <definedName name="kubus">#REF!</definedName>
    <definedName name="kubus1">#REF!</definedName>
    <definedName name="kysdusf" hidden="1">{#N/A,#N/A,FALSE,"Plan1";#N/A,#N/A,FALSE,"Plan2"}</definedName>
    <definedName name="kzslçdkçle" hidden="1">{#N/A,#N/A,FALSE,"Plan1";#N/A,#N/A,FALSE,"Plan2"}</definedName>
    <definedName name="L_">#REF!</definedName>
    <definedName name="LAEKWRK" hidden="1">{#N/A,#N/A,FALSE,"Plan1";#N/A,#N/A,FALSE,"Plan2"}</definedName>
    <definedName name="laeqwep" hidden="1">#REF!</definedName>
    <definedName name="LAKDEWRF" hidden="1">{#N/A,#N/A,FALSE,"Plan1";#N/A,#N/A,FALSE,"Plan2"}</definedName>
    <definedName name="Lancamentos">#REF!</definedName>
    <definedName name="LARGURA">#REF!</definedName>
    <definedName name="LASÇDSRLF" hidden="1">{#N/A,#N/A,FALSE,"Plan1";#N/A,#N/A,FALSE,"Plan2"}</definedName>
    <definedName name="LASDAKWE" hidden="1">25</definedName>
    <definedName name="lasrlswer" hidden="1">{#N/A,#N/A,FALSE,"Plan1";#N/A,#N/A,FALSE,"Plan2"}</definedName>
    <definedName name="LAZER">#REF!</definedName>
    <definedName name="lbla1" hidden="1">#REF!</definedName>
    <definedName name="lbla10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çadple4r" hidden="1">{#N/A,#N/A,FALSE,"Plan1";#N/A,#N/A,FALSE,"Plan2"}</definedName>
    <definedName name="lçasser" hidden="1">{#N/A,#N/A,FALSE,"Plan1";#N/A,#N/A,FALSE,"Plan2"}</definedName>
    <definedName name="lcdgjtklfrn" hidden="1">{#N/A,#N/A,FALSE,"Plan1";#N/A,#N/A,FALSE,"Plan2"}</definedName>
    <definedName name="lçfklsdkçaer" hidden="1">{#N/A,#N/A,FALSE,"Plan1";#N/A,#N/A,FALSE,"Plan2"}</definedName>
    <definedName name="lçjkgf" hidden="1">{#N/A,#N/A,FALSE,"Plan1";#N/A,#N/A,FALSE,"Plan2"}</definedName>
    <definedName name="LÇJSLDFJ" hidden="1">{#N/A,#N/A,FALSE,"Plan1";#N/A,#N/A,FALSE,"Plan2"}</definedName>
    <definedName name="LÇKÇSDRLK" hidden="1">{#N/A,#N/A,FALSE,"Plan1";#N/A,#N/A,FALSE,"Plan2"}</definedName>
    <definedName name="lçkdfkdstkre" hidden="1">25</definedName>
    <definedName name="lçk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hidden="1">{#N/A,#N/A,FALSE,"Plan1";#N/A,#N/A,FALSE,"Plan2"}</definedName>
    <definedName name="lçslrr4r" hidden="1">{#N/A,#N/A,FALSE,"Plan1";#N/A,#N/A,FALSE,"Plan2"}</definedName>
    <definedName name="ldfjgry" hidden="1">{#N/A,#N/A,FALSE,"Plan1";#N/A,#N/A,FALSE,"Plan2"}</definedName>
    <definedName name="ldfjgtilrf" hidden="1">{#N/A,#N/A,FALSE,"Plan1";#N/A,#N/A,FALSE,"Plan2"}</definedName>
    <definedName name="ldk" hidden="1">{#N/A,#N/A,FALSE,"Plan1";#N/A,#N/A,FALSE,"Plan2"}</definedName>
    <definedName name="ldkgkdfjgkh" hidden="1">{#N/A,#N/A,FALSE,"Plan1";#N/A,#N/A,FALSE,"Plan2"}</definedName>
    <definedName name="LDTJGR" hidden="1">{#N/A,#N/A,FALSE,"Plan1";#N/A,#N/A,FALSE,"Plan2"}</definedName>
    <definedName name="Leg" hidden="1">#REF!</definedName>
    <definedName name="legr_cdi">#REF!</definedName>
    <definedName name="legr_hist">#REF!</definedName>
    <definedName name="legr_uss">#REF!</definedName>
    <definedName name="LEK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 hidden="1">{#N/A,#N/A,FALSE,"Plan1";#N/A,#N/A,FALSE,"Plan2"}</definedName>
    <definedName name="LI">#REF!</definedName>
    <definedName name="LIDER_OPER">#REF!</definedName>
    <definedName name="lidfjgklruf" hidden="1">{#N/A,#N/A,FALSE,"Plan1";#N/A,#N/A,FALSE,"Plan2"}</definedName>
    <definedName name="LII">#REF!</definedName>
    <definedName name="LIII">#REF!</definedName>
    <definedName name="LIMBO">#REF!</definedName>
    <definedName name="limcount" hidden="1">3</definedName>
    <definedName name="LIN">#REF!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>OFFSET(INDEX(#REF!,MATCH(#REF!,#REF!,0)),1,0,COUNTA(#REF!)-1)</definedName>
    <definedName name="LISTA_FORNECEDORES">#REF!</definedName>
    <definedName name="LISTSEL">#REF!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 hidden="1">{#N/A,#N/A,FALSE,"Plan1";#N/A,#N/A,FALSE,"Plan2"}</definedName>
    <definedName name="LJDFLJRL" hidden="1">{#N/A,#N/A,FALSE,"Plan1";#N/A,#N/A,FALSE,"Plan2"}</definedName>
    <definedName name="ljsdfrd" hidden="1">{#N/A,#N/A,FALSE,"Plan1";#N/A,#N/A,FALSE,"Plan2"}</definedName>
    <definedName name="LJSFLDJDLKFJG" hidden="1">#REF!</definedName>
    <definedName name="LK" hidden="1">{#N/A,#N/A,TRUE,"Quinzena 01 à 15-04-98 "}</definedName>
    <definedName name="lkasdkeo" hidden="1">{#N/A,#N/A,FALSE,"Plan1";#N/A,#N/A,FALSE,"Plan2"}</definedName>
    <definedName name="lkdea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hidden="1">{#N/A,#N/A,FALSE,"Plan1";#N/A,#N/A,FALSE,"Plan2"}</definedName>
    <definedName name="lkfdkçtktr" hidden="1">{#N/A,#N/A,FALSE,"Plan1";#N/A,#N/A,FALSE,"Plan2"}</definedName>
    <definedName name="lkjr4" hidden="1">17</definedName>
    <definedName name="LKSSDKÇ\E" hidden="1">{#N/A,#N/A,FALSE,"Plan1";#N/A,#N/A,FALSE,"Plan2"}</definedName>
    <definedName name="lkt" hidden="1">{#N/A,#N/A,FALSE,"Plan1";#N/A,#N/A,FALSE,"Plan2"}</definedName>
    <definedName name="lktlyklt" hidden="1">{#N/A,#N/A,FALSE,"Plan1";#N/A,#N/A,FALSE,"Plan2"}</definedName>
    <definedName name="LKTTYT" hidden="1">{#N/A,#N/A,FALSE,"Plan1";#N/A,#N/A,FALSE,"Plan2"}</definedName>
    <definedName name="llgg" hidden="1">{#N/A,#N/A,FALSE,"Plan1";#N/A,#N/A,FALSE,"Plan2"}</definedName>
    <definedName name="LLL" hidden="1">{#N/A,#N/A,FALSE,"Plan1";#N/A,#N/A,FALSE,"Plan2"}</definedName>
    <definedName name="LM_AR" hidden="1">{#N/A,#N/A,FALSE,"F-01"}</definedName>
    <definedName name="LM_AT" hidden="1">{#N/A,#N/A,FALSE,"F-01"}</definedName>
    <definedName name="LM_INC" hidden="1">{#N/A,#N/A,FALSE,"F-01"}</definedName>
    <definedName name="LMPA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>#REF!</definedName>
    <definedName name="LSDFKLDKFTR" hidden="1">{#N/A,#N/A,FALSE,"Plan1";#N/A,#N/A,FALSE,"Plan2"}</definedName>
    <definedName name="lsdj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hidden="1">{#N/A,#N/A,FALSE,"Plan1";#N/A,#N/A,FALSE,"Plan2"}</definedName>
    <definedName name="lsdsder" hidden="1">{#N/A,#N/A,FALSE,"Plan1";#N/A,#N/A,FALSE,"Plan2"}</definedName>
    <definedName name="ltj6ljyhdjhngças" hidden="1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 hidden="1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 hidden="1">{#N/A,#N/A,FALSE,"Plan1";#N/A,#N/A,FALSE,"Plan2"}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hidden="1">{#N/A,#N/A,FALSE,"Plan1";#N/A,#N/A,FALSE,"Plan2"}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 hidden="1">{#N/A,#N/A,FALSE,"Plan1";#N/A,#N/A,FALSE,"Plan2"}</definedName>
    <definedName name="MDSÇLFJKJSD" hidden="1">{#N/A,#N/A,FALSE,"Plan1";#N/A,#N/A,FALSE,"Plan2"}</definedName>
    <definedName name="ME" hidden="1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 hidden="1">#REF!</definedName>
    <definedName name="Minha_Casa_Minha_Vida">#REF!</definedName>
    <definedName name="MLMÇLKJKI" hidden="1">{#N/A,#N/A,FALSE,"Plan1";#N/A,#N/A,FALSE,"Plan2"}</definedName>
    <definedName name="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hidden="1">{"tabela",#N/A,FALSE,"Tabela";"decoração",#N/A,FALSE,"Decor.";"Informações",#N/A,FALSE,"Inform."}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hidden="1">{#N/A,#N/A,FALSE,"Plan1";#N/A,#N/A,FALSE,"Plan2"}</definedName>
    <definedName name="mncvbgcvmc" hidden="1">{#N/A,#N/A,FALSE,"Plan1";#N/A,#N/A,FALSE,"Plan2"}</definedName>
    <definedName name="MNDKZSFNCEA" hidden="1">{#N/A,#N/A,FALSE,"Plan1";#N/A,#N/A,FALSE,"Plan2"}</definedName>
    <definedName name="mnhdshfgfhd" hidden="1">{#N/A,#N/A,FALSE,"Plan1";#N/A,#N/A,FALSE,"Plan2"}</definedName>
    <definedName name="mo">#REF!</definedName>
    <definedName name="mob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hidden="1">{#N/A,#N/A,FALSE,"cdi";#N/A,#N/A,FALSE,"debent";#N/A,#N/A,FALSE,"fdos";#N/A,#N/A,FALSE,"resumo"}</definedName>
    <definedName name="Modelo1a" hidden="1">{#N/A,#N/A,FALSE,"cdi";#N/A,#N/A,FALSE,"debent";#N/A,#N/A,FALSE,"fdos";#N/A,#N/A,FALSE,"resumo"}</definedName>
    <definedName name="Modelo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 hidden="1">{#N/A,#N/A,FALSE,"CCTV"}</definedName>
    <definedName name="MSDFJKDT" hidden="1">25</definedName>
    <definedName name="MSDRFSWER" hidden="1">{"Econ Consolidado",#N/A,FALSE,"Econ Consol";"Fluxo de Caixa",#N/A,FALSE,"Fluxo Caixa";"Investimentos",#N/A,FALSE,"Investimentos"}</definedName>
    <definedName name="MURBOMB">#REF!</definedName>
    <definedName name="mzshdjshjs" hidden="1">{#N/A,#N/A,FALSE,"Plan1";#N/A,#N/A,FALSE,"Plan2"}</definedName>
    <definedName name="na" hidden="1">{#N/A,#N/A,FALSE,"$170M Cash";#N/A,#N/A,FALSE,"$250M Cash";#N/A,#N/A,FALSE,"$325M Cash"}</definedName>
    <definedName name="ncdgrdhrtg" hidden="1">{#N/A,#N/A,FALSE,"Plan1";#N/A,#N/A,FALSE,"Plan2"}</definedName>
    <definedName name="nchngdfhgdh" hidden="1">{#N/A,#N/A,FALSE,"Plan1";#N/A,#N/A,FALSE,"Plan2"}</definedName>
    <definedName name="NCJFKNGJHF" hidden="1">{#N/A,#N/A,FALSE,"Plan1";#N/A,#N/A,FALSE,"Plan2"}</definedName>
    <definedName name="NDATA">#REF!</definedName>
    <definedName name="ndcxhgdhf" hidden="1">{#N/A,#N/A,FALSE,"Plan1";#N/A,#N/A,FALSE,"Plan2"}</definedName>
    <definedName name="ndfjnjkrhdgt" hidden="1">{#N/A,#N/A,FALSE,"Plan1";#N/A,#N/A,FALSE,"Plan2"}</definedName>
    <definedName name="ndfkghkjthfyst" hidden="1">{#N/A,#N/A,FALSE,"Plan1";#N/A,#N/A,FALSE,"Plan2"}</definedName>
    <definedName name="ndfldslvjnvberugberqubquierbv">#REF!</definedName>
    <definedName name="NDJGKFKGHUFG" hidden="1">{#N/A,#N/A,FALSE,"Plan1";#N/A,#N/A,FALSE,"Plan2"}</definedName>
    <definedName name="ndrjkt" hidden="1">{#N/A,#N/A,FALSE,"Plan1";#N/A,#N/A,FALSE,"Plan2"}</definedName>
    <definedName name="new" hidden="1">{#N/A,#N/A,FALSE,"Global by BU";#N/A,#N/A,FALSE,"U.S. by BU";#N/A,#N/A,FALSE,"Canada by BU";#N/A,#N/A,FALSE,"Europe by BU";#N/A,#N/A,FALSE,"Asia by BU";#N/A,#N/A,FALSE,"Cala by BU"}</definedName>
    <definedName name="NEWNAME" hidden="1">{#N/A,#N/A,FALSE,"CCTV"}</definedName>
    <definedName name="nfgjkhvhfghn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hidden="1">{#N/A,#N/A,FALSE,"Plan1";#N/A,#N/A,FALSE,"Plan2"}</definedName>
    <definedName name="n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hidden="1">{#N/A,#N/A,FALSE,"Plan1";#N/A,#N/A,FALSE,"Plan2"}</definedName>
    <definedName name="NJSDFHERTG" hidden="1">{#N/A,#N/A,FALSE,"Plan1";#N/A,#N/A,FALSE,"Plan2"}</definedName>
    <definedName name="nkfnsskdn" hidden="1">{#N/A,#N/A,FALSE,"Plan1";#N/A,#N/A,FALSE,"Plan2"}</definedName>
    <definedName name="NKJ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 hidden="1">{#N/A,#N/A,FALSE,"Plan1";#N/A,#N/A,FALSE,"Plan2"}</definedName>
    <definedName name="nljsdfljfdsfr" hidden="1">{#N/A,#N/A,FALSE,"Plan1";#N/A,#N/A,FALSE,"Plan2"}</definedName>
    <definedName name="nm_k1">#REF!</definedName>
    <definedName name="nm_k2">#REF!</definedName>
    <definedName name="nm_k3">#REF!</definedName>
    <definedName name="nmjdfhxj" hidden="1">{#N/A,#N/A,FALSE,"Plan1";#N/A,#N/A,FALSE,"Plan2"}</definedName>
    <definedName name="nnmn" hidden="1">{#N/A,#N/A,FALSE,"Plan1";#N/A,#N/A,FALSE,"Plan2"}</definedName>
    <definedName name="nnn" hidden="1">{#N/A,#N/A,FALSE,"Plan1";#N/A,#N/A,FALSE,"Plan2"}</definedName>
    <definedName name="nnnnnnnnnnn" hidden="1">{"HW",#N/A,FALSE,"1998"}</definedName>
    <definedName name="NNNNNNNNNNNNNNN" hidden="1">{#N/A,#N/A,FALSE,"Plan1";#N/A,#N/A,FALSE,"Plan2"}</definedName>
    <definedName name="nnnnnnnnnnnnnnnnnnnn" hidden="1">{#N/A,#N/A,FALSE,"Plan1";#N/A,#N/A,FALSE,"Plan2"}</definedName>
    <definedName name="NNXFT" hidden="1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 hidden="1">{#N/A,#N/A,FALSE,"Plan1";#N/A,#N/A,FALSE,"Plan2"}</definedName>
    <definedName name="nsfljdiljrf" hidden="1">{#N/A,#N/A,FALSE,"Plan1";#N/A,#N/A,FALSE,"Plan2"}</definedName>
    <definedName name="NUCOPIAS">#REF!</definedName>
    <definedName name="NUMOBRA">#REF!</definedName>
    <definedName name="NutN">#REF!</definedName>
    <definedName name="nzxcnnjkd" hidden="1">{#N/A,#N/A,FALSE,"Plan1";#N/A,#N/A,FALSE,"Plan2"}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 hidden="1">25</definedName>
    <definedName name="odfuudor" hidden="1">{#N/A,#N/A,FALSE,"Plan1";#N/A,#N/A,FALSE,"Plan2"}</definedName>
    <definedName name="ODH" hidden="1">#REF!</definedName>
    <definedName name="oficial_mes">#REF!</definedName>
    <definedName name="oficial2_mes">#REF!</definedName>
    <definedName name="oiditrot" hidden="1">{#N/A,#N/A,FALSE,"Plan1";#N/A,#N/A,FALSE,"Plan2"}</definedName>
    <definedName name="oio" hidden="1">{#N/A,#N/A,FALSE,"Plan1";#N/A,#N/A,FALSE,"Plan2"}</definedName>
    <definedName name="OITO">#REF!</definedName>
    <definedName name="oiufioorif" hidden="1">#REF!</definedName>
    <definedName name="OJÇLJ" hidden="1">{#N/A,#N/A,FALSE,"Plan1";#N/A,#N/A,FALSE,"Plan2"}</definedName>
    <definedName name="ojkdfit" hidden="1">{#N/A,#N/A,FALSE,"Plan1";#N/A,#N/A,FALSE,"Plan2"}</definedName>
    <definedName name="oMISSOS" hidden="1">#REF!</definedName>
    <definedName name="ONZE">#REF!</definedName>
    <definedName name="ooo" hidden="1">{#N/A,#N/A,FALSE,"Plan1";#N/A,#N/A,FALSE,"Plan2"}</definedName>
    <definedName name="OPASEDWED" hidden="1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 hidden="1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 hidden="1">{#N/A,#N/A,FALSE,"TABLE"}</definedName>
    <definedName name="osca_cdi">#REF!</definedName>
    <definedName name="osca_hist">#REF!</definedName>
    <definedName name="osca_uss">#REF!</definedName>
    <definedName name="otodgkrjglsrd" hidden="1">{#N/A,#N/A,FALSE,"Plan1";#N/A,#N/A,FALSE,"Plan2"}</definedName>
    <definedName name="OUERWRSR" hidden="1">{#N/A,#N/A,FALSE,"Plan1";#N/A,#N/A,FALSE,"Plan2"}</definedName>
    <definedName name="out17RJ">#REF!</definedName>
    <definedName name="outro" hidden="1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>ROW()-Linha_Cabeçalho</definedName>
    <definedName name="Pago_Até_2015_Controladoria">#REF!</definedName>
    <definedName name="Pal_Workbook_GUID" hidden="1">"3HURD34M2XKWJ5V6M4BWCR5Q"</definedName>
    <definedName name="PAP">#REF!</definedName>
    <definedName name="PARAM_FIS_1">#REF!</definedName>
    <definedName name="PARAM_FIS_2">#REF!</definedName>
    <definedName name="ParamValues1">[1]ParamValues!$A$1:$A$39</definedName>
    <definedName name="Parao_E">#REF!</definedName>
    <definedName name="Parede1">#REF!</definedName>
    <definedName name="Parede2">#REF!</definedName>
    <definedName name="PAREDES">#REF!</definedName>
    <definedName name="PAV">#REF!</definedName>
    <definedName name="PAVILHAO">#REF!</definedName>
    <definedName name="PAVT">#REF!</definedName>
    <definedName name="pçgktr" hidden="1">#REF!</definedName>
    <definedName name="PDER">#REF!</definedName>
    <definedName name="PDIVERS">#REF!</definedName>
    <definedName name="PE">#REF!</definedName>
    <definedName name="PEMD">#REF!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>#REF!</definedName>
    <definedName name="pessoal">#REF!</definedName>
    <definedName name="petro2" hidden="1">#REF!</definedName>
    <definedName name="PhyG">#REF!</definedName>
    <definedName name="PhyGS">#REF!</definedName>
    <definedName name="PI">#REF!</definedName>
    <definedName name="piaz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 hidden="1">{#N/A,#N/A,TRUE,"Quinzena 01 à 15-04-98 "}</definedName>
    <definedName name="Placas_Areas" hidden="1">{#N/A,#N/A,TRUE,"Quinzena 01 à 15-04-98 "}</definedName>
    <definedName name="PLAN">#REF!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 hidden="1">{#N/A,#N/A,FALSE,"Plan1";#N/A,#N/A,FALSE,"Plan2"}</definedName>
    <definedName name="plaslrswe" hidden="1">{#N/A,#N/A,FALSE,"Plan1";#N/A,#N/A,FALSE,"Plan2"}</definedName>
    <definedName name="pls" hidden="1">#REF!</definedName>
    <definedName name="plsearpef" hidden="1">{#N/A,#N/A,FALSE,"Plan1";#N/A,#N/A,FALSE,"Plan2"}</definedName>
    <definedName name="plss" hidden="1">{#N/A,#N/A,FALSE,"Plan1";#N/A,#N/A,FALSE,"Plan2"}</definedName>
    <definedName name="PMUR">#REF!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>#REF!</definedName>
    <definedName name="PRAZO">#REF!</definedName>
    <definedName name="PRAZO_EDITAL">#REF!</definedName>
    <definedName name="PRAZO_ORC">#REF!</definedName>
    <definedName name="prazo2">#REF!</definedName>
    <definedName name="PRE">#REF!</definedName>
    <definedName name="PREÇ">OFFSET(#REF!,0,0,COUNTA(#REF!),1)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 hidden="1">{#N/A,#N/A,FALSE,"$170M Cash";#N/A,#N/A,FALSE,"$250M Cash";#N/A,#N/A,FALSE,"$325M Cash"}</definedName>
    <definedName name="Print_Area_MI">#REF!</definedName>
    <definedName name="PRINT_TITLES_MI">#REF!</definedName>
    <definedName name="programa">#REF!</definedName>
    <definedName name="Programaa">#REF!</definedName>
    <definedName name="projeto_nome_com">IF((COUNTA(#REF!)-2)&gt;1,"TERRENO "&amp;VLOOKUP(#REF!,#REF!,8,0),VLOOKUP(#REF!,#REF!,3,0))</definedName>
    <definedName name="PROPAGANDA">#REF!</definedName>
    <definedName name="ptirigyiotut" hidden="1">{#N/A,#N/A,FALSE,"Plan1";#N/A,#N/A,FALSE,"Plan2"}</definedName>
    <definedName name="PWER3" hidden="1">{#N/A,#N/A,FALSE,"Plan1";#N/A,#N/A,FALSE,"Plan2"}</definedName>
    <definedName name="q">#REF!</definedName>
    <definedName name="QCLIENTE_PCLIENTE">#REF!</definedName>
    <definedName name="QCliente_PCliente1">#REF!</definedName>
    <definedName name="qe">#REF!</definedName>
    <definedName name="qee">#REF!</definedName>
    <definedName name="qkqh1" hidden="1">{#N/A,#N/A,FALSE,"명세표"}</definedName>
    <definedName name="QOAS_POAS">#REF!</definedName>
    <definedName name="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>#REF!:#REF!</definedName>
    <definedName name="QQQQQQQQ" hidden="1">#REF!</definedName>
    <definedName name="QREAL_PCLIENTE">#REF!</definedName>
    <definedName name="QReal_PCliente1">#REF!</definedName>
    <definedName name="QSQWSE" hidden="1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P">#REF!</definedName>
    <definedName name="QUATRO">#REF!</definedName>
    <definedName name="QUINZE">#REF!</definedName>
    <definedName name="qwdqw" hidden="1">{#N/A,#N/A,FALSE,"Plan1";#N/A,#N/A,FALSE,"Plan2"}</definedName>
    <definedName name="qweqwe" hidden="1">{#N/A,#N/A,FALSE,"Plan1";#N/A,#N/A,FALSE,"Plan2"}</definedName>
    <definedName name="qweqwe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hidden="1">#REF!</definedName>
    <definedName name="qwqw" hidden="1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 hidden="1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>#REF!</definedName>
    <definedName name="REL_RJ">#REF!</definedName>
    <definedName name="REL_SP">#REF!</definedName>
    <definedName name="relat3">#REF!</definedName>
    <definedName name="ren">#REF!</definedName>
    <definedName name="REPETIÇÃO">#REF!</definedName>
    <definedName name="ReqC">#REF!</definedName>
    <definedName name="Responsável_Rel_Controladoria">#REF!</definedName>
    <definedName name="resum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 hidden="1">{#N/A,#N/A,TRUE,"Quinzena 01 à 15-04-98 "}</definedName>
    <definedName name="REV">#REF!</definedName>
    <definedName name="RF" hidden="1">{#N/A,#N/A,FALSE,"CCTV"}</definedName>
    <definedName name="rgedrfrgfdg" hidden="1">{#N/A,#N/A,FALSE,"Plan1";#N/A,#N/A,FALSE,"Plan2"}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SwapState" hidden="1">"True"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 hidden="1">#REF!</definedName>
    <definedName name="rrrrr" hidden="1">{"'장비'!$A$3:$M$12"}</definedName>
    <definedName name="rrrrrrrr" hidden="1">{"'장비'!$A$3:$M$12"}</definedName>
    <definedName name="rrrrrrrrrrr" hidden="1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 hidden="1">{"'장비'!$A$3:$M$12"}</definedName>
    <definedName name="s">#REF!</definedName>
    <definedName name="s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hidden="1">{#N/A,#N/A,FALSE,"Plan1";#N/A,#N/A,FALSE,"Plan2"}</definedName>
    <definedName name="sa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hidden="1">{#N/A,#N/A,FALSE,"Plan1";#N/A,#N/A,FALSE,"Plan2"}</definedName>
    <definedName name="SADSRTR" hidden="1">{#N/A,#N/A,FALSE,"Plan1";#N/A,#N/A,FALSE,"Plan2"}</definedName>
    <definedName name="sadwde" hidden="1">{#N/A,#N/A,FALSE,"Plan1";#N/A,#N/A,FALSE,"Plan2"}</definedName>
    <definedName name="Salas">#REF!</definedName>
    <definedName name="sanjay" hidden="1">{#N/A,#N/A,FALSE,"TABLE"}</definedName>
    <definedName name="sapata">#REF!</definedName>
    <definedName name="SAPBEXrevision" hidden="1">14</definedName>
    <definedName name="SAPBEXsysID" hidden="1">"BW3"</definedName>
    <definedName name="SAPBEXwbID" hidden="1">"3SO04G3IWYENSZLK6QOKKYLB2"</definedName>
    <definedName name="SAS" hidden="1">{#N/A,#N/A,FALSE,"Plan1";#N/A,#N/A,FALSE,"Plan2"}</definedName>
    <definedName name="sasads" hidden="1">{#N/A,#N/A,FALSE,"Plan1";#N/A,#N/A,FALSE,"Plan2"}</definedName>
    <definedName name="SC" hidden="1">#REF!</definedName>
    <definedName name="sçadldfsfd" hidden="1">25</definedName>
    <definedName name="sda">#REF!</definedName>
    <definedName name="sda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hidden="1">{#N/A,#N/A,FALSE,"Plan1";#N/A,#N/A,FALSE,"Plan2"}</definedName>
    <definedName name="sdckd" hidden="1">{#N/A,#N/A,FALSE,"Plan1";#N/A,#N/A,FALSE,"Plan2"}</definedName>
    <definedName name="SDDFKSEDE" hidden="1">{#N/A,#N/A,FALSE,"Plan1";#N/A,#N/A,FALSE,"Plan2"}</definedName>
    <definedName name="sddkslker" hidden="1">{#N/A,#N/A,FALSE,"Plan1";#N/A,#N/A,FALSE,"Plan2"}</definedName>
    <definedName name="sdefr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hidden="1">#REF!</definedName>
    <definedName name="sd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hidden="1">{#N/A,#N/A,FALSE,"Plan1";#N/A,#N/A,FALSE,"Plan2"}</definedName>
    <definedName name="sdfdfc" hidden="1">{#N/A,#N/A,FALSE,"Plan1";#N/A,#N/A,FALSE,"Plan2"}</definedName>
    <definedName name="sdfd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hidden="1">{#N/A,#N/A,FALSE,"Plan1";#N/A,#N/A,FALSE,"Plan2"}</definedName>
    <definedName name="sdfdsf" hidden="1">{#N/A,#N/A,FALSE,"Plan1";#N/A,#N/A,FALSE,"Plan2"}</definedName>
    <definedName name="sdfdsf\da" hidden="1">{#N/A,#N/A,FALSE,"Plan1";#N/A,#N/A,FALSE,"Plan2"}</definedName>
    <definedName name="SDFEDRT" hidden="1">{#N/A,#N/A,FALSE,"Plan1";#N/A,#N/A,FALSE,"Plan2"}</definedName>
    <definedName name="sdfer" hidden="1">{#N/A,#N/A,FALSE,"Plan1";#N/A,#N/A,FALSE,"Plan2"}</definedName>
    <definedName name="sdferr" hidden="1">{#N/A,#N/A,FALSE,"Plan1";#N/A,#N/A,FALSE,"Plan2"}</definedName>
    <definedName name="sdfe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hidden="1">{#N/A,#N/A,FALSE,"Plan1";#N/A,#N/A,FALSE,"Plan2"}</definedName>
    <definedName name="sdfgtr" hidden="1">{#N/A,#N/A,FALSE,"Plan1";#N/A,#N/A,FALSE,"Plan2"}</definedName>
    <definedName name="sdfjdetrt" hidden="1">{#N/A,#N/A,FALSE,"Plan1";#N/A,#N/A,FALSE,"Plan2"}</definedName>
    <definedName name="SDFJDRTJEIDR" hidden="1">{#N/A,#N/A,FALSE,"Plan1";#N/A,#N/A,FALSE,"Plan2"}</definedName>
    <definedName name="sdfjergtij" hidden="1">{#N/A,#N/A,FALSE,"Plan1";#N/A,#N/A,FALSE,"Plan2"}</definedName>
    <definedName name="SDFOPJKWE" hidden="1">{#N/A,#N/A,FALSE,"Plan1";#N/A,#N/A,FALSE,"Plan2"}</definedName>
    <definedName name="sdfrdt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hidden="1">{#N/A,#N/A,FALSE,"Plan1";#N/A,#N/A,FALSE,"Plan2"}</definedName>
    <definedName name="SDFRTKK" hidden="1">{#N/A,#N/A,FALSE,"Plan1";#N/A,#N/A,FALSE,"Plan2"}</definedName>
    <definedName name="SDFRTR" hidden="1">{#N/A,#N/A,FALSE,"Plan1";#N/A,#N/A,FALSE,"Plan2"}</definedName>
    <definedName name="sdfry6" hidden="1">{#N/A,#N/A,FALSE,"Plan1";#N/A,#N/A,FALSE,"Plan2"}</definedName>
    <definedName name="sdfsaf" hidden="1">{#N/A,#N/A,FALSE,"Plan1";#N/A,#N/A,FALSE,"Plan2"}</definedName>
    <definedName name="sdfsd" hidden="1">{"'Estimativa de Lançamento-JAN'!$A$1:$AI$85"}</definedName>
    <definedName name="sdfsdfg" hidden="1">{#N/A,#N/A,FALSE,"Plan1";#N/A,#N/A,FALSE,"Plan2"}</definedName>
    <definedName name="SDFSDFK" hidden="1">{#N/A,#N/A,FALSE,"Plan1";#N/A,#N/A,FALSE,"Plan2"}</definedName>
    <definedName name="sdfsdgftret" hidden="1">{#N/A,#N/A,FALSE,"Plan1";#N/A,#N/A,FALSE,"Plan2"}</definedName>
    <definedName name="sdfsdr" hidden="1">1</definedName>
    <definedName name="sdfsf" hidden="1">{#N/A,#N/A,FALSE,"Plan1";#N/A,#N/A,FALSE,"Plan2"}</definedName>
    <definedName name="SDFSFRT" hidden="1">{"Econ Consolidado",#N/A,FALSE,"Econ Consol";"Fluxo de Caixa",#N/A,FALSE,"Fluxo Caixa";"Investimentos",#N/A,FALSE,"Investimentos"}</definedName>
    <definedName name="sdfsr" hidden="1">{#N/A,#N/A,FALSE,"Plan1";#N/A,#N/A,FALSE,"Plan2"}</definedName>
    <definedName name="sdfty" hidden="1">{#N/A,#N/A,FALSE,"Plan1";#N/A,#N/A,FALSE,"Plan2"}</definedName>
    <definedName name="sdgdf" hidden="1">{#N/A,#N/A,FALSE,"Plan1";#N/A,#N/A,FALSE,"Plan2"}</definedName>
    <definedName name="sdgfrt" hidden="1">{#N/A,#N/A,FALSE,"Plan1";#N/A,#N/A,FALSE,"Plan2"}</definedName>
    <definedName name="sdgft" hidden="1">{#N/A,#N/A,FALSE,"Plan1";#N/A,#N/A,FALSE,"Plan2"}</definedName>
    <definedName name="sdgt" hidden="1">{#N/A,#N/A,FALSE,"Plan1";#N/A,#N/A,FALSE,"Plan2"}</definedName>
    <definedName name="sdgtry" hidden="1">#REF!</definedName>
    <definedName name="sdhfghdsfg" hidden="1">{#N/A,#N/A,FALSE,"Plan1";#N/A,#N/A,FALSE,"Plan2"}</definedName>
    <definedName name="SDHFJKHDFJRE" hidden="1">{#N/A,#N/A,FALSE,"Plan1";#N/A,#N/A,FALSE,"Plan2"}</definedName>
    <definedName name="SDHKFDRKGTR" hidden="1">{#N/A,#N/A,FALSE,"Plan1";#N/A,#N/A,FALSE,"Plan2"}</definedName>
    <definedName name="sdjdswger" hidden="1">{#N/A,#N/A,FALSE,"Plan1";#N/A,#N/A,FALSE,"Plan2"}</definedName>
    <definedName name="sdjfdf" hidden="1">{#N/A,#N/A,FALSE,"Plan1";#N/A,#N/A,FALSE,"Plan2"}</definedName>
    <definedName name="sdjfhdjk" hidden="1">{#N/A,#N/A,FALSE,"Plan1";#N/A,#N/A,FALSE,"Plan2"}</definedName>
    <definedName name="SDJFJDER" hidden="1">{#N/A,#N/A,FALSE,"Plan1";#N/A,#N/A,FALSE,"Plan2"}</definedName>
    <definedName name="sdjflsdjfl" hidden="1">{#N/A,#N/A,FALSE,"Plan1";#N/A,#N/A,FALSE,"Plan2"}</definedName>
    <definedName name="SDJHF" hidden="1">{#N/A,#N/A,FALSE,"Plan1";#N/A,#N/A,FALSE,"Plan2"}</definedName>
    <definedName name="sdjrderertrr" hidden="1">{#N/A,#N/A,FALSE,"Plan1";#N/A,#N/A,FALSE,"Plan2"}</definedName>
    <definedName name="sdkdjk" hidden="1">{#N/A,#N/A,FALSE,"Plan1";#N/A,#N/A,FALSE,"Plan2"}</definedName>
    <definedName name="sdkfjhkdgfh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hidden="1">{#N/A,#N/A,FALSE,"Plan1";#N/A,#N/A,FALSE,"Plan2"}</definedName>
    <definedName name="sdkk" hidden="1">{#N/A,#N/A,FALSE,"Plan1";#N/A,#N/A,FALSE,"Plan2"}</definedName>
    <definedName name="sdlfsdflj" hidden="1">{#N/A,#N/A,FALSE,"Plan1";#N/A,#N/A,FALSE,"Plan2"}</definedName>
    <definedName name="sdmfmdfsgfd" hidden="1">{#N/A,#N/A,FALSE,"Plan1";#N/A,#N/A,FALSE,"Plan2"}</definedName>
    <definedName name="sd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hidden="1">{#N/A,#N/A,FALSE,"Plan1";#N/A,#N/A,FALSE,"Plan2"}</definedName>
    <definedName name="sdsd" hidden="1">{#N/A,#N/A,FALSE,"Plan1";#N/A,#N/A,FALSE,"Plan2"}</definedName>
    <definedName name="sdser" hidden="1">{#N/A,#N/A,FALSE,"Plan1";#N/A,#N/A,FALSE,"Plan2"}</definedName>
    <definedName name="sdsre" hidden="1">{#N/A,#N/A,FALSE,"Plan1";#N/A,#N/A,FALSE,"Plan2"}</definedName>
    <definedName name="sdss" hidden="1">{#N/A,#N/A,FALSE,"Plan1";#N/A,#N/A,FALSE,"Plan2"}</definedName>
    <definedName name="sdtrtg" hidden="1">#REF!</definedName>
    <definedName name="sdusi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hidden="1">{"Econ Consolidado",#N/A,FALSE,"Econ Consol";"Fluxo de Caixa",#N/A,FALSE,"Fluxo Caixa";"Investimentos",#N/A,FALSE,"Investimentos"}</definedName>
    <definedName name="sdxfrt" hidden="1">{#N/A,#N/A,FALSE,"Plan1";#N/A,#N/A,FALSE,"Plan2"}</definedName>
    <definedName name="SDZFERF" hidden="1">{#N/A,#N/A,FALSE,"Plan1";#N/A,#N/A,FALSE,"Plan2"}</definedName>
    <definedName name="se">#REF!</definedName>
    <definedName name="SEDE">#REF!</definedName>
    <definedName name="sefret4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>#REF!</definedName>
    <definedName name="segftru" hidden="1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 hidden="1">3</definedName>
    <definedName name="SEQUENCIA">#REF!</definedName>
    <definedName name="SEREWRSWE" hidden="1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 hidden="1">{#N/A,#N/A,FALSE,"Plan1";#N/A,#N/A,FALSE,"Plan2"}</definedName>
    <definedName name="sfcre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hidden="1">{#N/A,#N/A,FALSE,"Plan1";#N/A,#N/A,FALSE,"Plan2"}</definedName>
    <definedName name="sfds" hidden="1">{#N/A,#N/A,FALSE,"Plan1";#N/A,#N/A,FALSE,"Plan2"}</definedName>
    <definedName name="sfdsd" hidden="1">{#N/A,#N/A,FALSE,"Plan1";#N/A,#N/A,FALSE,"Plan2"}</definedName>
    <definedName name="SFDSF" hidden="1">34</definedName>
    <definedName name="sfrsdrgt" hidden="1">{#N/A,#N/A,FALSE,"Plan1";#N/A,#N/A,FALSE,"Plan2"}</definedName>
    <definedName name="SFRT" hidden="1">{#N/A,#N/A,FALSE,"Plan1";#N/A,#N/A,FALSE,"Plan2"}</definedName>
    <definedName name="sfsdferf" hidden="1">{#N/A,#N/A,FALSE,"Plan1";#N/A,#N/A,FALSE,"Plan2"}</definedName>
    <definedName name="sfsdfs" hidden="1">34</definedName>
    <definedName name="SFSDS" hidden="1">{#N/A,#N/A,FALSE,"Plan1";#N/A,#N/A,FALSE,"Plan2"}</definedName>
    <definedName name="SGarantia">#REF!</definedName>
    <definedName name="sgtghty" hidden="1">{#N/A,#N/A,FALSE,"Plan1";#N/A,#N/A,FALSE,"Plan2"}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7">#N/A</definedName>
    <definedName name="SHARED_FORMULA_8">#N/A</definedName>
    <definedName name="SHARED_FORMULA_9">#N/A</definedName>
    <definedName name="SIH">#REF!</definedName>
    <definedName name="SISTEM1">#REF!</definedName>
    <definedName name="SISTEM2">#REF!</definedName>
    <definedName name="SIV">#REF!</definedName>
    <definedName name="sjawe" hidden="1">{#N/A,#N/A,FALSE,"Plan1";#N/A,#N/A,FALSE,"Plan2"}</definedName>
    <definedName name="sjdffd" hidden="1">{#N/A,#N/A,FALSE,"Plan1";#N/A,#N/A,FALSE,"Plan2"}</definedName>
    <definedName name="SJDFHDJ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hidden="1">{#N/A,#N/A,FALSE,"Plan1";#N/A,#N/A,FALSE,"Plan2"}</definedName>
    <definedName name="SJDKJDE" hidden="1">{"Econ Consolidado",#N/A,FALSE,"Econ Consol";"Fluxo de Caixa",#N/A,FALSE,"Fluxo Caixa";"Investimentos",#N/A,FALSE,"Investimentos"}</definedName>
    <definedName name="sjekwjri" hidden="1">{#N/A,#N/A,FALSE,"Plan1";#N/A,#N/A,FALSE,"Plan2"}</definedName>
    <definedName name="sjfkdhsfds" hidden="1">{#N/A,#N/A,FALSE,"Plan1";#N/A,#N/A,FALSE,"Plan2"}</definedName>
    <definedName name="sjkdljslkrje" hidden="1">{#N/A,#N/A,FALSE,"Plan1";#N/A,#N/A,FALSE,"Plan2"}</definedName>
    <definedName name="skadadaszs" hidden="1">{#N/A,#N/A,FALSE,"Plan1";#N/A,#N/A,FALSE,"Plan2"}</definedName>
    <definedName name="SKASH" hidden="1">{#N/A,#N/A,FALSE,"Plan1";#N/A,#N/A,FALSE,"Plan2"}</definedName>
    <definedName name="skldfrde" hidden="1">{#N/A,#N/A,FALSE,"Plan1";#N/A,#N/A,FALSE,"Plan2"}</definedName>
    <definedName name="skosroer" hidden="1">{#N/A,#N/A,FALSE,"Plan1";#N/A,#N/A,FALSE,"Plan2"}</definedName>
    <definedName name="SO">#REF!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a">#REF!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hidden="1">{#N/A,#N/A,FALSE,"Plan1";#N/A,#N/A,FALSE,"Plan2"}</definedName>
    <definedName name="SR" hidden="1">#REF!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hidden="1">#REF!</definedName>
    <definedName name="sssss" hidden="1">#REF!</definedName>
    <definedName name="stake_cury">#REF!</definedName>
    <definedName name="status_projeto" hidden="1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 hidden="1">#REF!</definedName>
    <definedName name="susref">#REF!</definedName>
    <definedName name="Swvu.Características." hidden="1">#REF!</definedName>
    <definedName name="Swvu.Ciclos." hidden="1">#REF!</definedName>
    <definedName name="Swvu.Custos." hidden="1">#REF!</definedName>
    <definedName name="Swvu.PLANILHA2." hidden="1">#REF!</definedName>
    <definedName name="Swvu.Recursos." hidden="1">#REF!</definedName>
    <definedName name="T_actual">#REF!</definedName>
    <definedName name="t_cc">#REF!</definedName>
    <definedName name="t_KSB1_Transport">#REF!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 hidden="1">{"'Edit'!$A$1:$V$2277"}</definedName>
    <definedName name="TESTANDO" hidden="1">{#N/A,#N/A,TRUE,"Quinzena 01 à 15-04-98 "}</definedName>
    <definedName name="teste">#REF!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 hidden="1">1</definedName>
    <definedName name="thjgsergsr" hidden="1">{#N/A,#N/A,FALSE,"Plan1";#N/A,#N/A,FALSE,"Plan2"}</definedName>
    <definedName name="THYJ" hidden="1">{#N/A,#N/A,FALSE,"Plan1";#N/A,#N/A,FALSE,"Plan2"}</definedName>
    <definedName name="tihjgih" hidden="1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>#REF!</definedName>
    <definedName name="_xlnm.Print_Titles">#REF!</definedName>
    <definedName name="Títulos_impressão_IM">#REF!</definedName>
    <definedName name="TMO">#REF!</definedName>
    <definedName name="TOLTAL2">#REF!</definedName>
    <definedName name="TOT">#REF!</definedName>
    <definedName name="tot3estac">#REF!</definedName>
    <definedName name="TOTAIS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 hidden="1">{#N/A,#N/A,FALSE,"Plan1";#N/A,#N/A,FALSE,"Plan2"}</definedName>
    <definedName name="TRP">#REF!</definedName>
    <definedName name="TTT">#REF!</definedName>
    <definedName name="TURNO">#REF!</definedName>
    <definedName name="tuyedjsksj" hidden="1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 hidden="1">{#N/A,#N/A,FALSE,"Plan1";#N/A,#N/A,FALSE,"Plan2"}</definedName>
    <definedName name="u" hidden="1">{#N/A,#N/A,FALSE,"ET-CAPA";#N/A,#N/A,FALSE,"ET-PAG1";#N/A,#N/A,FALSE,"ET-PAG2";#N/A,#N/A,FALSE,"ET-PAG3";#N/A,#N/A,FALSE,"ET-PAG4";#N/A,#N/A,FALSE,"ET-PAG5"}</definedName>
    <definedName name="udhgfhfg" hidden="1">{#N/A,#N/A,FALSE,"Plan1";#N/A,#N/A,FALSE,"Plan2"}</definedName>
    <definedName name="ueiutriuef" hidden="1">{#N/A,#N/A,FALSE,"Plan1";#N/A,#N/A,FALSE,"Plan2"}</definedName>
    <definedName name="UENSIT">#REF!</definedName>
    <definedName name="UENSITS">#REF!</definedName>
    <definedName name="UHGSDUS" hidden="1">{#N/A,#N/A,FALSE,"Plan1";#N/A,#N/A,FALSE,"Plan2"}</definedName>
    <definedName name="UI" hidden="1">#REF!</definedName>
    <definedName name="UIHWER45R" hidden="1">{#N/A,#N/A,FALSE,"Plan1";#N/A,#N/A,FALSE,"Plan2"}</definedName>
    <definedName name="uiosderuiu" hidden="1">{#N/A,#N/A,FALSE,"Plan1";#N/A,#N/A,FALSE,"Plan2"}</definedName>
    <definedName name="UIOURET" hidden="1">{#N/A,#N/A,FALSE,"Plan1";#N/A,#N/A,FALSE,"Plan2"}</definedName>
    <definedName name="uiwuer" hidden="1">{#N/A,#N/A,FALSE,"Plan1";#N/A,#N/A,FALSE,"Plan2"}</definedName>
    <definedName name="UKHDFDSGUDFKD" hidden="1">{#N/A,#N/A,FALSE,"Plan1";#N/A,#N/A,FALSE,"Plan2"}</definedName>
    <definedName name="UM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>OFFSET(#REF!,0,0,COUNTA(#REF!),1)</definedName>
    <definedName name="un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hidden="1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 hidden="1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 hidden="1">{#N/A,#N/A,TRUE,"Quinzena 01 à 15-04-98 "}</definedName>
    <definedName name="versao_estudo">#REF!</definedName>
    <definedName name="vfbg">#REF!</definedName>
    <definedName name="vfnij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hidden="1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 hidden="1">IF(#REF!="Ativa",OFFSET(INDEX(rng_list_classificacao,MATCH(#REF!,rng_list_classificacao,0)),1,0,COUNTA(rng_list_classificacao)-1),#REF!)</definedName>
    <definedName name="vld_regional" hidden="1">OFFSET(INDEX(rng_list_regional,MATCH(#REF!,rng_list_regional,0)),1,0,COUNTA(rng_list_regional)-1)</definedName>
    <definedName name="vld_segmento" hidden="1">IF(#REF!="Ativa",OFFSET(INDEX(rng_list_segmento,MATCH(#REF!,rng_list_segmento,0)),1,0,COUNTA(rng_list_segmento)-1),#REF!)</definedName>
    <definedName name="vld_sociedade" hidden="1">OFFSET(INDEX(rng_list_sociedade,MATCH(#REF!,rng_list_sociedade,0)),1,0,COUNTA(rng_list_sociedade)-1)</definedName>
    <definedName name="vld_status_empresa" hidden="1">OFFSET(INDEX(rng_list_status_empresa,MATCH(#REF!,rng_list_status_empresa,0)),1,0,COUNTA(rng_list_status_empresa)-1)</definedName>
    <definedName name="vld_status_lancamento" hidden="1">IF(#REF!="Ativa",OFFSET(INDEX(rng_list_status_lancamento,MATCH(#REF!,rng_list_status_lancamento,0)),1,0,COUNTA(rng_list_status_lancamento)-1),#REF!)</definedName>
    <definedName name="vld_status_projeto" hidden="1">IF(#REF!="Ativa",OFFSET(INDEX(rng_list_status_projeto,MATCH(#REF!,rng_list_status_projeto,0)),1,0,COUNTA(rng_list_status_projeto)-1),#REF!)</definedName>
    <definedName name="vld_status_viabilidade" hidden="1">OFFSET(INDEX(rng_list_status_viabilidade,MATCH(#REF!,rng_list_status_viabilidade,0)),1,0,COUNTA(rng_list_status_viabilidade)-1)</definedName>
    <definedName name="VOLUME1">#REF!</definedName>
    <definedName name="VOLUME2">#REF!</definedName>
    <definedName name="VOLUME3">#REF!</definedName>
    <definedName name="VSDHFGDFGR" hidden="1">{#N/A,#N/A,FALSE,"Plan1";#N/A,#N/A,FALSE,"Plan2"}</definedName>
    <definedName name="vvbb" hidden="1">{"tabela",#N/A,FALSE,"Tabela";"decoração",#N/A,FALSE,"Decor.";"Informações",#N/A,FALSE,"Inform."}</definedName>
    <definedName name="vvcbnb" hidden="1">{#N/A,#N/A,FALSE,"Plan1";#N/A,#N/A,FALSE,"Plan2"}</definedName>
    <definedName name="vvvvv" hidden="1">{"Econ Consolidado",#N/A,FALSE,"Econ Consol";"Fluxo de Caixa",#N/A,FALSE,"Fluxo Caixa";"Investimentos",#N/A,FALSE,"Investimentos"}</definedName>
    <definedName name="vvvvvv" hidden="1">{#N/A,#N/A,FALSE,"Plan1";#N/A,#N/A,FALSE,"Plan2"}</definedName>
    <definedName name="vvvvvvvvvvvvvvvvv" hidden="1">{"HW",#N/A,FALSE,"1998"}</definedName>
    <definedName name="VX" hidden="1">#REF!</definedName>
    <definedName name="w">#REF!</definedName>
    <definedName name="wacc">#REF!</definedName>
    <definedName name="wadalrdjlae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hidden="1">#REF!</definedName>
    <definedName name="WE" hidden="1">#REF!</definedName>
    <definedName name="weki_9701.xls" hidden="1">#REF!</definedName>
    <definedName name="wekir9701.xls" hidden="1">#REF!</definedName>
    <definedName name="werw4tr" hidden="1">{#N/A,#N/A,FALSE,"Plan1";#N/A,#N/A,FALSE,"Plan2"}</definedName>
    <definedName name="wetoedjtkdr" hidden="1">{#N/A,#N/A,FALSE,"Plan1";#N/A,#N/A,FALSE,"Plan2"}</definedName>
    <definedName name="WHATS" hidden="1">{"'Edit'!$A$1:$V$2277"}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 hidden="1">{#N/A,#N/A,FALSE,"Plan1";#N/A,#N/A,FALSE,"Plan2"}</definedName>
    <definedName name="WLQ" hidden="1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 hidden="1">{#N/A,#N/A,FALSE,"CCTV"}</definedName>
    <definedName name="wrn.BM." hidden="1">{#N/A,#N/A,FALSE,"CCTV"}</definedName>
    <definedName name="wrn.Brita98.xls." hidden="1">{#N/A,#N/A,TRUE,"Quinzena 01 à 15-04-98 "}</definedName>
    <definedName name="wrn.Completo.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hidden="1">{"EconCons",#N/A,TRUE,"Econômico - Consolidado";"CaixaCons",#N/A,TRUE,"Caixa - Consolidado";"InvestCons",#N/A,TRUE,"Invest Consolidado"}</definedName>
    <definedName name="wrn.Consolidado." hidden="1">{"Econ Consolidado",#N/A,FALSE,"Econ Consol";"Fluxo de Caixa",#N/A,FALSE,"Fluxo Caixa";"Investimentos",#N/A,FALSE,"Investimentos"}</definedName>
    <definedName name="wrn.GERAL." hidden="1">{#N/A,#N/A,FALSE,"ET-CAPA";#N/A,#N/A,FALSE,"ET-PAG1";#N/A,#N/A,FALSE,"ET-PAG2";#N/A,#N/A,FALSE,"ET-PAG3";#N/A,#N/A,FALSE,"ET-PAG4";#N/A,#N/A,FALSE,"ET-PAG5"}</definedName>
    <definedName name="wrn.HAGE." hidden="1">{#N/A,#N/A,FALSE,"cdi";#N/A,#N/A,FALSE,"debent";#N/A,#N/A,FALSE,"fdos";#N/A,#N/A,FALSE,"resumo"}</definedName>
    <definedName name="wrn.HAGE01" hidden="1">{#N/A,#N/A,FALSE,"cdi";#N/A,#N/A,FALSE,"debent";#N/A,#N/A,FALSE,"fdos";#N/A,#N/A,FALSE,"resumo"}</definedName>
    <definedName name="wrn.HW." hidden="1">{"HW",#N/A,FALSE,"1998"}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hidden="1">{#N/A,#N/A,FALSE,"Plan1";#N/A,#N/A,FALSE,"Plan2"}</definedName>
    <definedName name="wrn.Imprimir." hidden="1">{"tabela",#N/A,FALSE,"Tabela";"decoração",#N/A,FALSE,"Decor.";"Informações",#N/A,FALSE,"Inform."}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hidden="1">{#N/A,#N/A,FALSE,"Global Wls Trend";#N/A,#N/A,FALSE,"Region Trend";#N/A,#N/A,FALSE,"PBU Trend"}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hidden="1">{#N/A,#N/A,FALSE,"F-01"}</definedName>
    <definedName name="wrn.Planiha._.de._.Medição._.F._.01._1" hidden="1">{#N/A,#N/A,FALSE,"F-01"}</definedName>
    <definedName name="wrn.Planilha_de_Medição_F_02" hidden="1">{#N/A,#N/A,FALSE,"F-01"}</definedName>
    <definedName name="wrn.print._.all." hidden="1">{#N/A,#N/A,FALSE,"$170M Cash";#N/A,#N/A,FALSE,"$250M Cash";#N/A,#N/A,FALSE,"$325M Cash"}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hidden="1">{#N/A,#N/A,FALSE,"Sheet1";#N/A,#N/A,FALSE,"Sheet2";#N/A,#N/A,FALSE,"Sheet3"}</definedName>
    <definedName name="wrn.PrintPrev1." hidden="1">{#N/A,#N/A,FALSE,"Sheet4";#N/A,#N/A,FALSE,"Sheet5";#N/A,#N/A,FALSE,"Sheet6"}</definedName>
    <definedName name="wrn.PrintPrev2." hidden="1">{#N/A,#N/A,FALSE,"Sheet7";#N/A,#N/A,FALSE,"Sheet8";#N/A,#N/A,FALSE,"Sheet9"}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hidden="1">{#N/A,#N/A,FALSE,"TABLE"}</definedName>
    <definedName name="wrn.TERCEIRO.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hidden="1">{#N/A,#N/A,FALSE,"명세표"}</definedName>
    <definedName name="wrn.Unidades." hidden="1">{"Rio Branco",#N/A,FALSE,"Rio Branco";"Itajaí",#N/A,FALSE,"Itajaí";"Pinheiro Machado",#N/A,FALSE,"PMachado";"Esteio",#N/A,FALSE,"Esteio"}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hidden="1">{#N/A,#N/A,FALSE,"Sheet1";#N/A,#N/A,FALSE,"Sheet2";#N/A,#N/A,FALSE,"TAB96-1"}</definedName>
    <definedName name="wrn.보호계전기." hidden="1">{#N/A,#N/A,FALSE,"ENG'G(보호계전기)"}</definedName>
    <definedName name="wrn.현장._.NCR._.분석." hidden="1">{#N/A,#N/A,FALSE,"현장 NCR 분석";#N/A,#N/A,FALSE,"현장품질감사";#N/A,#N/A,FALSE,"현장품질감사"}</definedName>
    <definedName name="wrn1.Cons." hidden="1">{"EconCons",#N/A,TRUE,"Econômico - Consolidado";"CaixaCons",#N/A,TRUE,"Caixa - Consolidado";"InvestCons",#N/A,TRUE,"Invest Consolidado"}</definedName>
    <definedName name="wrn1.print._.all." hidden="1">{#N/A,#N/A,FALSE,"$170M Cash";#N/A,#N/A,FALSE,"$250M Cash";#N/A,#N/A,FALSE,"$325M Cash"}</definedName>
    <definedName name="WRS" hidden="1">{"'장비'!$A$3:$M$12"}</definedName>
    <definedName name="wrt" hidden="1">{#N/A,#N/A,FALSE,"$170M Cash";#N/A,#N/A,FALSE,"$250M Cash";#N/A,#N/A,FALSE,"$325M Cash"}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 hidden="1">{#N/A,#N/A,FALSE,"Plan1";#N/A,#N/A,FALSE,"Plan2"}</definedName>
    <definedName name="xcgjkfghf" hidden="1">{#N/A,#N/A,FALSE,"Plan1";#N/A,#N/A,FALSE,"Plan2"}</definedName>
    <definedName name="XCGJKVHFDG" hidden="1">{#N/A,#N/A,FALSE,"Plan1";#N/A,#N/A,FALSE,"Plan2"}</definedName>
    <definedName name="xcgtrt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 hidden="1">{#N/A,#N/A,FALSE,"Plan1";#N/A,#N/A,FALSE,"Plan2"}</definedName>
    <definedName name="xcndj" hidden="1">{#N/A,#N/A,FALSE,"Plan1";#N/A,#N/A,FALSE,"Plan2"}</definedName>
    <definedName name="XCV">#REF!</definedName>
    <definedName name="XCVGGT" hidden="1">{#N/A,#N/A,FALSE,"Plan1";#N/A,#N/A,FALSE,"Plan2"}</definedName>
    <definedName name="XCVI">#REF!</definedName>
    <definedName name="XCVII">#REF!</definedName>
    <definedName name="XCVIII">#REF!</definedName>
    <definedName name="xcvrg" hidden="1">{#N/A,#N/A,FALSE,"Plan1";#N/A,#N/A,FALSE,"Plan2"}</definedName>
    <definedName name="XDATA">#REF!</definedName>
    <definedName name="xdfe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hidden="1">{#N/A,#N/A,FALSE,"Plan1";#N/A,#N/A,FALSE,"Plan2"}</definedName>
    <definedName name="xfdlfj" hidden="1">{#N/A,#N/A,FALSE,"Plan1";#N/A,#N/A,FALSE,"Plan2"}</definedName>
    <definedName name="xfdxfdf" hidden="1">{#N/A,#N/A,FALSE,"Plan1";#N/A,#N/A,FALSE,"Plan2"}</definedName>
    <definedName name="XFJKLDJKLG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hidden="1">{#N/A,#N/A,FALSE,"Plan1";#N/A,#N/A,FALSE,"Plan2"}</definedName>
    <definedName name="X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hidden="1">{"Econ Consolidado",#N/A,FALSE,"Econ Consol";"Fluxo de Caixa",#N/A,FALSE,"Fluxo Caixa";"Investimentos",#N/A,FALSE,"Investimentos"}</definedName>
    <definedName name="xfvgcfgt" hidden="1">{#N/A,#N/A,FALSE,"Plan1";#N/A,#N/A,FALSE,"Plan2"}</definedName>
    <definedName name="xgrg" hidden="1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 hidden="1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 hidden="1">{#N/A,#N/A,FALSE,"Global by BU";#N/A,#N/A,FALSE,"U.S. by BU";#N/A,#N/A,FALSE,"Canada by BU";#N/A,#N/A,FALSE,"Europe by BU";#N/A,#N/A,FALSE,"Asia by BU";#N/A,#N/A,FALSE,"Cala by BU"}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ColumnsCount" hidden="1">1</definedName>
    <definedName name="XRefCopy2" hidden="1">#REF!</definedName>
    <definedName name="XRefCopy3Row" hidden="1">#REF!</definedName>
    <definedName name="XRefCopy4Row" hidden="1">#REF!</definedName>
    <definedName name="XRefCopy6" hidden="1">#REF!</definedName>
    <definedName name="XRefCopyRangeCount" hidden="1">1</definedName>
    <definedName name="XRefPaste2" hidden="1">#REF!</definedName>
    <definedName name="XRefPaste4" hidden="1">#REF!</definedName>
    <definedName name="XRefPaste5" hidden="1">#REF!</definedName>
    <definedName name="XRefPaste6" hidden="1">#REF!</definedName>
    <definedName name="XRefPaste7Row" hidden="1">#REF!</definedName>
    <definedName name="XRefPasteRangeCount" hidden="1">1</definedName>
    <definedName name="XRESP">#REF!</definedName>
    <definedName name="XTITRES">#REF!</definedName>
    <definedName name="XV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>#REF!</definedName>
    <definedName name="xxxxxxxxxxxxxx" hidden="1">{#N/A,#N/A,FALSE,"Plan1";#N/A,#N/A,FALSE,"Plan2"}</definedName>
    <definedName name="xzfrt" hidden="1">{#N/A,#N/A,FALSE,"Plan1";#N/A,#N/A,FALSE,"Plan2"}</definedName>
    <definedName name="yeitrtged" hidden="1">{#N/A,#N/A,FALSE,"Plan1";#N/A,#N/A,FALSE,"Plan2"}</definedName>
    <definedName name="yhdfiuygrui" hidden="1">{#N/A,#N/A,FALSE,"Plan1";#N/A,#N/A,FALSE,"Plan2"}</definedName>
    <definedName name="YRGUYDRIY" hidden="1">{"Econ Consolidado",#N/A,FALSE,"Econ Consol";"Fluxo de Caixa",#N/A,FALSE,"Fluxo Caixa";"Investimentos",#N/A,FALSE,"Investimentos"}</definedName>
    <definedName name="ytdju">#REF!</definedName>
    <definedName name="yuegursdmksf" hidden="1">{#N/A,#N/A,FALSE,"Plan1";#N/A,#N/A,FALSE,"Plan2"}</definedName>
    <definedName name="yuekl4fr" hidden="1">{#N/A,#N/A,FALSE,"Plan1";#N/A,#N/A,FALSE,"Plan2"}</definedName>
    <definedName name="yureytuyrea" hidden="1">{#N/A,#N/A,FALSE,"Plan1";#N/A,#N/A,FALSE,"Plan2"}</definedName>
    <definedName name="z" hidden="1">{"'Estimativa de Lançamento-JAN'!$A$1:$AI$85"}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 hidden="1">#REF!</definedName>
    <definedName name="Z_15697660_066E_11D5_AF15_00010242ED40_.wvu.PrintTitles" hidden="1">#REF!</definedName>
    <definedName name="Z_15697660_066E_11D5_AF15_00010242ED40_.wvu.Rows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 hidden="1">#REF!</definedName>
    <definedName name="Z_4CA4BF7C_65C1_4E25_8563_22DF58586D2C_.wvu.PrintTitles" hidden="1">#REF!</definedName>
    <definedName name="Z_4CA4BF7C_65C1_4E25_8563_22DF58586D2C_.wvu.Rows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hidden="1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 hidden="1">#REF!</definedName>
    <definedName name="Z_9066F505_4944_4582_AAF9_B40B49D59413_.wvu.PrintTitles" hidden="1">#REF!</definedName>
    <definedName name="Z_9066F505_4944_4582_AAF9_B40B49D59413_.wvu.Rows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hidden="1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 hidden="1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 hidden="1">{#N/A,#N/A,FALSE,"Plan1";#N/A,#N/A,FALSE,"Plan2"}</definedName>
    <definedName name="zcsdrfrt" hidden="1">{#N/A,#N/A,FALSE,"Plan1";#N/A,#N/A,FALSE,"Plan2"}</definedName>
    <definedName name="ZDRE" hidden="1">{#N/A,#N/A,FALSE,"Plan1";#N/A,#N/A,FALSE,"Plan2"}</definedName>
    <definedName name="ZEZE">#REF!</definedName>
    <definedName name="ZIN">#REF!</definedName>
    <definedName name="ZINS">#REF!</definedName>
    <definedName name="ZSADF" hidden="1">{#N/A,#N/A,FALSE,"Plan1";#N/A,#N/A,FALSE,"Plan2"}</definedName>
    <definedName name="zsads" hidden="1">{#N/A,#N/A,FALSE,"Plan1";#N/A,#N/A,FALSE,"Plan2"}</definedName>
    <definedName name="ZSDFSETR" hidden="1">#REF!</definedName>
    <definedName name="zsd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hidden="1">{#N/A,#N/A,FALSE,"Plan1";#N/A,#N/A,FALSE,"Plan2"}</definedName>
    <definedName name="zxcdsf" hidden="1">#REF!</definedName>
    <definedName name="zxcfdstrrt" hidden="1">{#N/A,#N/A,FALSE,"Plan1";#N/A,#N/A,FALSE,"Plan2"}</definedName>
    <definedName name="zxcx" hidden="1">{#N/A,#N/A,FALSE,"Plan1";#N/A,#N/A,FALSE,"Plan2"}</definedName>
    <definedName name="ZXFC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hidden="1">{#N/A,#N/A,FALSE,"Plan1";#N/A,#N/A,FALSE,"Plan2"}</definedName>
    <definedName name="ZZ">#REF!</definedName>
    <definedName name="zzdftr" hidden="1">{#N/A,#N/A,FALSE,"Plan1";#N/A,#N/A,FALSE,"Plan2"}</definedName>
    <definedName name="zzz">#REF!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hidden="1">{"'장비'!$A$3:$M$12"}</definedName>
    <definedName name="가나다" hidden="1">#REF!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hidden="1">#REF!</definedName>
    <definedName name="계약고햔황2" hidden="1">#REF!</definedName>
    <definedName name="계약고현황2" hidden="1">#REF!</definedName>
    <definedName name="고문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hidden="1">{#N/A,#N/A,FALSE,"ENG'G(보호계전기)"}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hidden="1">#REF!</definedName>
    <definedName name="내역" hidden="1">{#N/A,#N/A,FALSE,"CCTV"}</definedName>
    <definedName name="ㄷㄳ" hidden="1">{"'장비'!$A$3:$M$12"}</definedName>
    <definedName name="ㄷㄷㄷㄷ" hidden="1">{"'장비'!$A$3:$M$12"}</definedName>
    <definedName name="ㄷㅈㅂㄷ" hidden="1">{"'장비'!$A$3:$M$12"}</definedName>
    <definedName name="당초계획" hidden="1">#REF!</definedName>
    <definedName name="도면외주" hidden="1">#REF!</definedName>
    <definedName name="도면용역비" hidden="1">#REF!</definedName>
    <definedName name="ㄹㄹ" hidden="1">{"'장비'!$A$3:$M$12"}</definedName>
    <definedName name="ㄹㄹㄹ" hidden="1">#REF!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hidden="1">{#N/A,#N/A,FALSE,"현장 NCR 분석";#N/A,#N/A,FALSE,"현장품질감사";#N/A,#N/A,FALSE,"현장품질감사"}</definedName>
    <definedName name="ㅁ" hidden="1">{#N/A,#N/A,FALSE,"명세표"}</definedName>
    <definedName name="ㅁㄱ해ㅜ5" hidden="1">#REF!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hidden="1">{#N/A,#N/A,FALSE,"명세표"}</definedName>
    <definedName name="ㅁㅁㅁ" hidden="1">#REF!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hidden="1">{#N/A,#N/A,FALSE,"명세표"}</definedName>
    <definedName name="ㅂㅂㅂㅂ" hidden="1">{#N/A,#N/A,FALSE,"명세표"}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hidden="1">{"'장비'!$A$3:$M$12"}</definedName>
    <definedName name="ㅂㅈㄷ" hidden="1">{"'장비'!$A$3:$M$12"}</definedName>
    <definedName name="ㅂㅈㄷㄷㅂㅈㅈㅂ" hidden="1">{"'장비'!$A$3:$M$12"}</definedName>
    <definedName name="ㅂㅈㄷㅂㅈ" hidden="1">{"'장비'!$A$3:$M$12"}</definedName>
    <definedName name="ㅂㅈㄷㅂㅈㅈㅂㄷ" hidden="1">{"'장비'!$A$3:$M$12"}</definedName>
    <definedName name="ㅂㅈㄷㅈㅂㄷ" hidden="1">{"'장비'!$A$3:$M$12"}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hidden="1">#REF!</definedName>
    <definedName name="보호" hidden="1">{#N/A,#N/A,FALSE,"ENG'G(보호계전기)"}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hidden="1">#REF!</definedName>
    <definedName name="부손익" hidden="1">{#N/A,#N/A,FALSE,"현장 NCR 분석";#N/A,#N/A,FALSE,"현장품질감사";#N/A,#N/A,FALSE,"현장품질감사"}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hidden="1">{"'장비'!$A$3:$M$12"}</definedName>
    <definedName name="ㅅㅅㅅㅅㅅ" hidden="1">{"'장비'!$A$3:$M$12"}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hidden="1">#REF!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hidden="1">#REF!</definedName>
    <definedName name="산출" hidden="1">#REF!</definedName>
    <definedName name="새안" hidden="1">{#N/A,#N/A,FALSE,"TABLE"}</definedName>
    <definedName name="석항" hidden="1">{#N/A,#N/A,FALSE,"명세표"}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hidden="1">#REF!</definedName>
    <definedName name="쇼ㅗㅎ로" hidden="1">{"'장비'!$A$3:$M$12"}</definedName>
    <definedName name="수" hidden="1">#REF!</definedName>
    <definedName name="수당" hidden="1">#N/A</definedName>
    <definedName name="신설" hidden="1">{#N/A,#N/A,FALSE,"명세표"}</definedName>
    <definedName name="실적총괄1" hidden="1">#REF!</definedName>
    <definedName name="실총" hidden="1">#REF!</definedName>
    <definedName name="ㅇㄹㄹ" hidden="1">#REF!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hidden="1">#REF!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hidden="1">#REF!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hidden="1">{#N/A,#N/A,FALSE,"명세표"}</definedName>
    <definedName name="ㅈㅈㅈㅈ" hidden="1">{#N/A,#N/A,FALSE,"명세표"}</definedName>
    <definedName name="자미" hidden="1">{#N/A,#N/A,FALSE,"명세표"}</definedName>
    <definedName name="자운" hidden="1">#REF!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hidden="1">#REF!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hidden="1">#REF!</definedName>
    <definedName name="조직표현장" hidden="1">#REF!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hidden="1">{#N/A,#N/A,FALSE,"ENG'G(보호계전기)"}</definedName>
    <definedName name="집계" hidden="1">{#N/A,#N/A,FALSE,"명세표"}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hidden="1">{#N/A,#N/A,FALSE,"명세표"}</definedName>
    <definedName name="ㅋㅋㅋ" hidden="1">{#N/A,#N/A,FALSE,"명세표"}</definedName>
    <definedName name="ㅌㅌ" hidden="1">{#N/A,#N/A,FALSE,"명세표"}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hidden="1">{"'장비'!$A$3:$M$12"}</definedName>
    <definedName name="하하하" hidden="1">{#N/A,#N/A,FALSE,"명세표"}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hidden="1">{#N/A,#N/A,FALSE,"명세표"}</definedName>
    <definedName name="ㅏㅏㅏ" hidden="1">{#N/A,#N/A,FALSE,"명세표"}</definedName>
    <definedName name="ㅔㅔ" hidden="1">{#N/A,#N/A,FALSE,"명세표"}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hidden="1">{"'장비'!$A$3:$M$12"}</definedName>
    <definedName name="ㅗㅗ" hidden="1">{#N/A,#N/A,FALSE,"명세표"}</definedName>
    <definedName name="ㅗㅗㅗㅗㅗ" hidden="1">{"'장비'!$A$3:$M$12"}</definedName>
    <definedName name="ㅛ" hidden="1">{"'장비'!$A$3:$M$12"}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hidden="1">{"'장비'!$A$3:$M$12"}</definedName>
    <definedName name="ㅜ" hidden="1">{#N/A,#N/A,FALSE,"명세표"}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hidden="1">{#N/A,#N/A,FALSE,"명세표"}</definedName>
  </definedNames>
  <calcPr calcId="191029"/>
  <pivotCaches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2" l="1"/>
  <c r="B8" i="2"/>
  <c r="AF766" i="8"/>
  <c r="AF765" i="8" s="1"/>
  <c r="I6" i="2"/>
  <c r="B18" i="2"/>
  <c r="B16" i="2"/>
  <c r="B9" i="2"/>
  <c r="B14" i="2"/>
  <c r="B10" i="2"/>
  <c r="AF479" i="8"/>
  <c r="AF478" i="8"/>
  <c r="B12" i="2" s="1"/>
  <c r="H7" i="2" l="1"/>
  <c r="B17" i="2"/>
  <c r="AF480" i="8"/>
  <c r="AG14" i="8"/>
  <c r="V24" i="5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4" i="1"/>
  <c r="D3" i="1"/>
  <c r="D18" i="2"/>
  <c r="B16" i="1"/>
  <c r="B15" i="1"/>
  <c r="D14" i="2"/>
  <c r="B10" i="1"/>
  <c r="E7" i="2"/>
  <c r="D9" i="2"/>
  <c r="B8" i="1"/>
  <c r="E8" i="2"/>
  <c r="B7" i="2"/>
  <c r="D7" i="2" s="1"/>
  <c r="B6" i="2"/>
  <c r="B6" i="1" s="1"/>
  <c r="B5" i="2"/>
  <c r="B4" i="2"/>
  <c r="B3" i="2"/>
  <c r="B4" i="1" s="1"/>
  <c r="C4" i="1" s="1"/>
  <c r="B2" i="2"/>
  <c r="B13" i="2"/>
  <c r="N21" i="5"/>
  <c r="N14" i="5"/>
  <c r="N9" i="5"/>
  <c r="R23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R8" i="5"/>
  <c r="P8" i="5"/>
  <c r="L8" i="5"/>
  <c r="S24" i="5"/>
  <c r="Q24" i="5"/>
  <c r="O24" i="5"/>
  <c r="R24" i="5" l="1"/>
  <c r="B7" i="1"/>
  <c r="B14" i="1"/>
  <c r="B5" i="1"/>
  <c r="C5" i="1" s="1"/>
  <c r="D17" i="2"/>
  <c r="B18" i="1"/>
  <c r="E9" i="2"/>
  <c r="B11" i="2"/>
  <c r="B19" i="2" s="1"/>
  <c r="D13" i="2"/>
  <c r="B13" i="1"/>
  <c r="B9" i="1"/>
  <c r="C9" i="1" s="1"/>
  <c r="D8" i="2"/>
  <c r="B3" i="1"/>
  <c r="C3" i="1" s="1"/>
  <c r="E10" i="2"/>
  <c r="T24" i="5"/>
  <c r="P24" i="5"/>
  <c r="C8" i="1"/>
  <c r="F10" i="2" l="1"/>
  <c r="B11" i="1"/>
  <c r="I7" i="2"/>
  <c r="D11" i="2"/>
  <c r="B20" i="2"/>
  <c r="B17" i="1"/>
  <c r="D12" i="2"/>
  <c r="B12" i="1"/>
  <c r="I24" i="5"/>
  <c r="K24" i="5"/>
  <c r="M23" i="5"/>
  <c r="N23" i="5" s="1"/>
  <c r="M22" i="5"/>
  <c r="N22" i="5" s="1"/>
  <c r="M20" i="5"/>
  <c r="N20" i="5" s="1"/>
  <c r="M19" i="5"/>
  <c r="N19" i="5" s="1"/>
  <c r="M18" i="5"/>
  <c r="N18" i="5" s="1"/>
  <c r="M17" i="5"/>
  <c r="N17" i="5" s="1"/>
  <c r="M16" i="5"/>
  <c r="N16" i="5" s="1"/>
  <c r="M15" i="5"/>
  <c r="N15" i="5" s="1"/>
  <c r="M13" i="5"/>
  <c r="N13" i="5" s="1"/>
  <c r="M12" i="5"/>
  <c r="N12" i="5" s="1"/>
  <c r="M11" i="5"/>
  <c r="N11" i="5" s="1"/>
  <c r="M10" i="5"/>
  <c r="N10" i="5" s="1"/>
  <c r="M8" i="5"/>
  <c r="N8" i="5" s="1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8" i="5"/>
  <c r="N24" i="5" l="1"/>
  <c r="M24" i="5"/>
  <c r="L24" i="5"/>
  <c r="J24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8" i="5"/>
  <c r="C11" i="1"/>
  <c r="C12" i="1"/>
  <c r="C13" i="1"/>
  <c r="C14" i="1"/>
  <c r="C17" i="1"/>
  <c r="C18" i="1"/>
  <c r="U4" i="5"/>
  <c r="B3" i="7" l="1"/>
  <c r="I5" i="7" l="1"/>
  <c r="H3" i="7"/>
  <c r="J3" i="7" s="1"/>
  <c r="W24" i="5"/>
  <c r="L7" i="7" l="1"/>
  <c r="AE502" i="1" l="1"/>
  <c r="G5" i="5" l="1"/>
  <c r="A6" i="1" l="1"/>
  <c r="A18" i="1" l="1"/>
  <c r="A17" i="1"/>
  <c r="A16" i="1"/>
  <c r="A15" i="1"/>
  <c r="A14" i="1"/>
  <c r="A13" i="1"/>
  <c r="A12" i="1"/>
  <c r="A11" i="1"/>
  <c r="A10" i="1"/>
  <c r="A9" i="1"/>
  <c r="A8" i="1"/>
  <c r="A7" i="1"/>
  <c r="A4" i="1"/>
  <c r="A3" i="1"/>
  <c r="G24" i="5" l="1"/>
  <c r="H24" i="5" l="1"/>
  <c r="E24" i="5"/>
  <c r="F24" i="5" l="1"/>
  <c r="F7" i="7" l="1"/>
  <c r="AJ9" i="5" l="1"/>
  <c r="AJ10" i="5"/>
  <c r="AJ11" i="5"/>
  <c r="AJ12" i="5"/>
  <c r="AJ13" i="5"/>
  <c r="AJ14" i="5"/>
  <c r="AJ15" i="5"/>
  <c r="AJ16" i="5"/>
  <c r="AJ17" i="5"/>
  <c r="AJ18" i="5"/>
  <c r="AJ19" i="5"/>
  <c r="AJ20" i="5"/>
  <c r="AJ21" i="5"/>
  <c r="AJ22" i="5"/>
  <c r="AJ23" i="5"/>
  <c r="AJ8" i="5"/>
  <c r="AH9" i="5"/>
  <c r="AH14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8" i="5"/>
  <c r="AJ24" i="5" l="1"/>
  <c r="AG23" i="5"/>
  <c r="AH23" i="5" s="1"/>
  <c r="AG22" i="5"/>
  <c r="AH22" i="5" s="1"/>
  <c r="AG21" i="5"/>
  <c r="AH21" i="5" s="1"/>
  <c r="AG20" i="5"/>
  <c r="AH20" i="5" s="1"/>
  <c r="AG19" i="5"/>
  <c r="AH19" i="5" s="1"/>
  <c r="AG18" i="5"/>
  <c r="AH18" i="5" s="1"/>
  <c r="AG17" i="5"/>
  <c r="AH17" i="5" s="1"/>
  <c r="AG16" i="5"/>
  <c r="AH16" i="5" s="1"/>
  <c r="AG15" i="5"/>
  <c r="AH15" i="5" s="1"/>
  <c r="AG13" i="5"/>
  <c r="AH13" i="5" s="1"/>
  <c r="AG12" i="5"/>
  <c r="AG11" i="5"/>
  <c r="AH11" i="5" s="1"/>
  <c r="AG10" i="5"/>
  <c r="AH10" i="5" s="1"/>
  <c r="AG8" i="5"/>
  <c r="AH8" i="5" s="1"/>
  <c r="AE24" i="5"/>
  <c r="AF24" i="5"/>
  <c r="AG24" i="5" l="1"/>
  <c r="AH12" i="5"/>
  <c r="AH24" i="5" s="1"/>
  <c r="C24" i="5" l="1"/>
  <c r="D24" i="5" l="1"/>
  <c r="AD23" i="5" l="1"/>
  <c r="AD22" i="5"/>
  <c r="AD21" i="5"/>
  <c r="AD20" i="5"/>
  <c r="AD19" i="5"/>
  <c r="AD17" i="5"/>
  <c r="AD12" i="5"/>
  <c r="AD11" i="5"/>
  <c r="AD10" i="5"/>
  <c r="AD9" i="5"/>
  <c r="D19" i="1" l="1"/>
  <c r="AD15" i="5" l="1"/>
  <c r="AD16" i="5"/>
  <c r="AD18" i="5"/>
  <c r="AC14" i="5"/>
  <c r="AD14" i="5" s="1"/>
  <c r="AC13" i="5"/>
  <c r="AD13" i="5" s="1"/>
  <c r="AC8" i="5"/>
  <c r="AD8" i="5" s="1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8" i="5"/>
  <c r="AL9" i="5"/>
  <c r="AL10" i="5"/>
  <c r="AL11" i="5"/>
  <c r="AL12" i="5"/>
  <c r="AL13" i="5"/>
  <c r="AL14" i="5"/>
  <c r="AL15" i="5"/>
  <c r="AL16" i="5"/>
  <c r="AL17" i="5"/>
  <c r="AL18" i="5"/>
  <c r="AL19" i="5"/>
  <c r="AL20" i="5"/>
  <c r="AL21" i="5"/>
  <c r="AL22" i="5"/>
  <c r="AL23" i="5"/>
  <c r="AL8" i="5" l="1"/>
  <c r="AA24" i="5"/>
  <c r="AC24" i="5"/>
  <c r="AC26" i="5" s="1"/>
  <c r="AI24" i="5"/>
  <c r="AK24" i="5"/>
  <c r="AD24" i="5" l="1"/>
  <c r="AB24" i="5"/>
  <c r="AL24" i="5"/>
  <c r="D3" i="7" l="1"/>
  <c r="D7" i="7" l="1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6" i="7"/>
  <c r="D4" i="7"/>
  <c r="J8" i="7"/>
  <c r="J7" i="7"/>
  <c r="J6" i="7"/>
  <c r="J4" i="7"/>
  <c r="J9" i="7"/>
  <c r="J5" i="7"/>
  <c r="D21" i="7"/>
  <c r="D5" i="7"/>
  <c r="D16" i="2" l="1"/>
  <c r="C16" i="1"/>
  <c r="D15" i="2" l="1"/>
  <c r="C15" i="1" l="1"/>
  <c r="C7" i="1" l="1"/>
  <c r="D10" i="2" l="1"/>
  <c r="C10" i="1"/>
  <c r="D5" i="2" l="1"/>
  <c r="D3" i="2" l="1"/>
  <c r="D4" i="2" l="1"/>
  <c r="D6" i="2" l="1"/>
  <c r="C6" i="1"/>
  <c r="D2" i="2" l="1"/>
  <c r="D19" i="2"/>
  <c r="F19" i="2" l="1"/>
  <c r="C19" i="1"/>
  <c r="B19" i="1"/>
  <c r="D20" i="2"/>
  <c r="D21" i="2" l="1"/>
  <c r="D22" i="2"/>
  <c r="C14" i="2"/>
  <c r="C15" i="2"/>
  <c r="C3" i="2"/>
  <c r="C6" i="2"/>
  <c r="C8" i="2"/>
  <c r="C16" i="2"/>
  <c r="C9" i="2"/>
  <c r="C17" i="2"/>
  <c r="C2" i="2"/>
  <c r="C10" i="2"/>
  <c r="C18" i="2"/>
  <c r="C5" i="2"/>
  <c r="C4" i="2"/>
  <c r="C12" i="2"/>
  <c r="C11" i="2"/>
  <c r="C7" i="2"/>
  <c r="C13" i="2"/>
  <c r="C19" i="2"/>
  <c r="C20" i="2" l="1"/>
  <c r="H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Larissa Oliveira</author>
    <author>tc={2BD625B1-ABDE-4BB2-B4E5-9585C5E73455}</author>
    <author>tc={E7011368-3FE6-4A88-B09A-0C8D568432B3}</author>
    <author>tc={2D33D676-4E26-4CDC-863A-E73BC6826037}</author>
  </authors>
  <commentList>
    <comment ref="G7" authorId="0" shapeId="0" xr:uid="{EB744E63-643D-4E6B-8623-27A23D49D0D3}">
      <text>
        <r>
          <rPr>
            <b/>
            <sz val="9"/>
            <color indexed="81"/>
            <rFont val="Segoe UI"/>
            <family val="2"/>
          </rPr>
          <t>Larissa Oliveira:</t>
        </r>
        <r>
          <rPr>
            <sz val="9"/>
            <color indexed="81"/>
            <rFont val="Segoe UI"/>
            <family val="2"/>
          </rPr>
          <t xml:space="preserve">
VALOR SEM IMPREVISTOS
</t>
        </r>
      </text>
    </comment>
    <comment ref="G9" authorId="0" shapeId="0" xr:uid="{2628993E-7906-41D1-B87E-822F23785EEF}">
      <text>
        <r>
          <rPr>
            <b/>
            <sz val="9"/>
            <color indexed="81"/>
            <rFont val="Segoe UI"/>
            <family val="2"/>
          </rPr>
          <t>Larissa Oliveira:</t>
        </r>
        <r>
          <rPr>
            <sz val="9"/>
            <color indexed="81"/>
            <rFont val="Segoe UI"/>
            <family val="2"/>
          </rPr>
          <t xml:space="preserve">
VERBA DE ESCAVAÇÃO REPASSADA PELO RAVELLO, E FOI CONSIDERADO SOMENTE ESCAVAÇÃO COM BOTA FORA DE BLOCOS BALDRAMES E LASTRO DE BRITA</t>
        </r>
      </text>
    </comment>
    <comment ref="I10" authorId="1" shapeId="0" xr:uid="{2BD625B1-ABDE-4BB2-B4E5-9585C5E73455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Considerando contenção
</t>
        </r>
      </text>
    </comment>
    <comment ref="K10" authorId="2" shapeId="0" xr:uid="{E7011368-3FE6-4A88-B09A-0C8D568432B3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Considerando contenção
</t>
        </r>
      </text>
    </comment>
    <comment ref="W18" authorId="3" shapeId="0" xr:uid="{2D33D676-4E26-4CDC-863A-E73BC682603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SAK ASPEN</t>
        </r>
      </text>
    </comment>
  </commentList>
</comments>
</file>

<file path=xl/sharedStrings.xml><?xml version="1.0" encoding="utf-8"?>
<sst xmlns="http://schemas.openxmlformats.org/spreadsheetml/2006/main" count="2930" uniqueCount="1713">
  <si>
    <t>ETAPA</t>
  </si>
  <si>
    <t>VALOR</t>
  </si>
  <si>
    <t>VALOR / 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</si>
  <si>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</si>
  <si>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</si>
  <si>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</si>
  <si>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</si>
  <si>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</si>
  <si>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IMPERMEABILIZAÇÃO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</si>
  <si>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</si>
  <si>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</si>
  <si>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</si>
  <si>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</si>
  <si>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</si>
  <si>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TOTAL</t>
  </si>
  <si>
    <t>VALOR ORÇADO</t>
  </si>
  <si>
    <t>%</t>
  </si>
  <si>
    <t>GERENCIAMENTO TÉCNICO E ADMINISTRATIVO</t>
  </si>
  <si>
    <t>REVESTIMENTOS INTERNOS EM PISO E PAREDE</t>
  </si>
  <si>
    <t>REVESTIMENTOS E ACABAMENTOS INTERNOS EM TETO</t>
  </si>
  <si>
    <t>IMPREVISTOS E CONTINGENCIAS</t>
  </si>
  <si>
    <t>COBERTURA</t>
  </si>
  <si>
    <t>EQUIPAMENTOS E SISTEMAS ESPECIAIS</t>
  </si>
  <si>
    <t>GERENCIAMENTO TECNICO E ADMINISTRATIVO</t>
  </si>
  <si>
    <t>DATA BASE</t>
  </si>
  <si>
    <t>ÁREA CONSTRUÍDA</t>
  </si>
  <si>
    <t>m²</t>
  </si>
  <si>
    <t>CUB</t>
  </si>
  <si>
    <t>VALOR / M2</t>
  </si>
  <si>
    <t>INDEXADO</t>
  </si>
  <si>
    <t>MÉDIAS</t>
  </si>
  <si>
    <t>MÍNIMA</t>
  </si>
  <si>
    <t>MÁXIMA</t>
  </si>
  <si>
    <t>DIFERENÇAS EM QUNATITATIVOS:</t>
  </si>
  <si>
    <t>PISOS - AREAS TECNICAS E LAJES APENAS COM CONTRAPISO, SEM REVESTIMENTO</t>
  </si>
  <si>
    <t>HABITAH</t>
  </si>
  <si>
    <t>DOM BOSCO</t>
  </si>
  <si>
    <t>SAN MARINO</t>
  </si>
  <si>
    <t>LIBERATO</t>
  </si>
  <si>
    <t>DESCRIÇÃO</t>
  </si>
  <si>
    <t>DOM</t>
  </si>
  <si>
    <t>PAESSAGGIO</t>
  </si>
  <si>
    <t>THOZEN</t>
  </si>
  <si>
    <t>GRAN TORINO</t>
  </si>
  <si>
    <t>RAVELLO</t>
  </si>
  <si>
    <t>ÁREA (m²)</t>
  </si>
  <si>
    <t>VALOR TOTAL</t>
  </si>
  <si>
    <t>VALOR POR ÁREA PRIVATIVA (R$/m²)</t>
  </si>
  <si>
    <t>área</t>
  </si>
  <si>
    <t>ÁREA DE LAZER</t>
  </si>
  <si>
    <t>CONTENÇÃO</t>
  </si>
  <si>
    <t>JUSTIFICATIVA</t>
  </si>
  <si>
    <t>Rótulos de Linha</t>
  </si>
  <si>
    <t>Total Geral</t>
  </si>
  <si>
    <t>BRAVA - VALLEY</t>
  </si>
  <si>
    <t>----------&gt;</t>
  </si>
  <si>
    <t>VALOR POR UNIDADE TIPO 01</t>
  </si>
  <si>
    <t>VALOR POR UNIDADE TIPO 02</t>
  </si>
  <si>
    <t>VALOR POR UNIDADE TIPO 03</t>
  </si>
  <si>
    <t>VALOR POR UNIDADE TIPO 04</t>
  </si>
  <si>
    <t>VALOR POR UNIDADE ESTÚDIO</t>
  </si>
  <si>
    <t>VALOR POR UNIDADE GARDEN</t>
  </si>
  <si>
    <t>QUANT.</t>
  </si>
  <si>
    <t>609/610</t>
  </si>
  <si>
    <t>701 a 1901</t>
  </si>
  <si>
    <t xml:space="preserve">703 a 1903 / 704 a 1904 / 709 a 1909 / 710 a 1910 / </t>
  </si>
  <si>
    <t>705 a 1905</t>
  </si>
  <si>
    <t>702 a 1902</t>
  </si>
  <si>
    <t>706 a 1906</t>
  </si>
  <si>
    <t>707 a 1907</t>
  </si>
  <si>
    <t>708 a 1908</t>
  </si>
  <si>
    <t>INFRAESTRUTURA E CONTENÇÃO</t>
  </si>
  <si>
    <t>OBRAS DE REFERÊNCIA</t>
  </si>
  <si>
    <t>Soma de %</t>
  </si>
  <si>
    <t>BRAVA OCEAN</t>
  </si>
  <si>
    <t>parede diafragma</t>
  </si>
  <si>
    <t>MOVIEMNTAÇÃO DE TERRA</t>
  </si>
  <si>
    <t>BRASIN</t>
  </si>
  <si>
    <t>LUMIS</t>
  </si>
  <si>
    <t>ADDA</t>
  </si>
  <si>
    <t>Orçamento</t>
  </si>
  <si>
    <t>Obra</t>
  </si>
  <si>
    <t>45 - FG - SCENARIUM</t>
  </si>
  <si>
    <t>Unidade construtiva</t>
  </si>
  <si>
    <t>1 - OBRA</t>
  </si>
  <si>
    <t>Tipo de obra</t>
  </si>
  <si>
    <t>1 - Construção Civil</t>
  </si>
  <si>
    <t>Endereço da obra</t>
  </si>
  <si>
    <t>Itajaí/SC</t>
  </si>
  <si>
    <t>Versão do orçamento</t>
  </si>
  <si>
    <t>1 - 09/08/2024 - 15:04:45</t>
  </si>
  <si>
    <t>Data base</t>
  </si>
  <si>
    <t>09/08/2024</t>
  </si>
  <si>
    <t>BDI</t>
  </si>
  <si>
    <t>não aplicado</t>
  </si>
  <si>
    <t>Encargos sociais</t>
  </si>
  <si>
    <t>Preços expressos em</t>
  </si>
  <si>
    <t>R$ (REAL)</t>
  </si>
  <si>
    <t>Código</t>
  </si>
  <si>
    <t>Descrição</t>
  </si>
  <si>
    <t>Un.</t>
  </si>
  <si>
    <t>Quantidade orçada</t>
  </si>
  <si>
    <t>Preço unitário</t>
  </si>
  <si>
    <t>Preço total</t>
  </si>
  <si>
    <t xml:space="preserve">01 </t>
  </si>
  <si>
    <t>CUSTOS PRELIMINARES, ADMINISTRATIVOS E OPERAÇÕES</t>
  </si>
  <si>
    <t xml:space="preserve">01.001 </t>
  </si>
  <si>
    <t>SERVIÇOS TÉCNICOS</t>
  </si>
  <si>
    <t xml:space="preserve">01.001.001 </t>
  </si>
  <si>
    <t>Seviços topográficos</t>
  </si>
  <si>
    <t xml:space="preserve">01.001.001.001 </t>
  </si>
  <si>
    <t>Levantamento Topografico</t>
  </si>
  <si>
    <t>vb</t>
  </si>
  <si>
    <t xml:space="preserve">01.001.002 </t>
  </si>
  <si>
    <t>Ensaios e Laudos</t>
  </si>
  <si>
    <t xml:space="preserve">01.001.002.001 </t>
  </si>
  <si>
    <t>Controle Tecnológico de Concreto</t>
  </si>
  <si>
    <t xml:space="preserve">01.001.002.002 </t>
  </si>
  <si>
    <t>Ensaios de prova de carga de fundação</t>
  </si>
  <si>
    <t xml:space="preserve">01.001.002.003 </t>
  </si>
  <si>
    <t>Ensaio de guarda corpo</t>
  </si>
  <si>
    <t xml:space="preserve">01.001.002.004 </t>
  </si>
  <si>
    <t>Ensaio de arrancamento de fachada</t>
  </si>
  <si>
    <t xml:space="preserve">01.001.002.005 </t>
  </si>
  <si>
    <t>Ensaio de arrancamento de gancho da cobertura</t>
  </si>
  <si>
    <t xml:space="preserve">01.001.002.006 </t>
  </si>
  <si>
    <t>Ensaio Acústico</t>
  </si>
  <si>
    <t xml:space="preserve">01.001.002.007 </t>
  </si>
  <si>
    <t>Ensaio de Integridade PIT</t>
  </si>
  <si>
    <t xml:space="preserve">01.001.002.008 </t>
  </si>
  <si>
    <t>Estudo concreto massa - bloco de fundação</t>
  </si>
  <si>
    <t xml:space="preserve">01.001.002.009 </t>
  </si>
  <si>
    <t>Laudo de vizinhança</t>
  </si>
  <si>
    <t xml:space="preserve">01.001.002.010 </t>
  </si>
  <si>
    <t>Laudo de estanqueidade das esquadrias</t>
  </si>
  <si>
    <t xml:space="preserve">01.001.002.011 </t>
  </si>
  <si>
    <t>Laudo de higienização/limpeza da caixa d'água</t>
  </si>
  <si>
    <t>un</t>
  </si>
  <si>
    <t xml:space="preserve">01.001.002.012 </t>
  </si>
  <si>
    <t>Monitoramento de recalque prédios vizinhos</t>
  </si>
  <si>
    <t xml:space="preserve">01.001.002.013 </t>
  </si>
  <si>
    <t>Monitoramento de verticalidade de prédios vizinhos</t>
  </si>
  <si>
    <t xml:space="preserve">01.001.003 </t>
  </si>
  <si>
    <t>Estudos</t>
  </si>
  <si>
    <t xml:space="preserve">01.001.003.001 </t>
  </si>
  <si>
    <t>Memoriais Descritivos</t>
  </si>
  <si>
    <t xml:space="preserve">01.001.003.002 </t>
  </si>
  <si>
    <t>Estudo Geológico</t>
  </si>
  <si>
    <t xml:space="preserve">01.001.003.003 </t>
  </si>
  <si>
    <t>Estudo Ambiental</t>
  </si>
  <si>
    <t xml:space="preserve">01.001.003.004 </t>
  </si>
  <si>
    <t>Sondagem Terreno</t>
  </si>
  <si>
    <t xml:space="preserve">01.001.003.005 </t>
  </si>
  <si>
    <t>Projeto De Canteiro</t>
  </si>
  <si>
    <t xml:space="preserve">01.001.004 </t>
  </si>
  <si>
    <t>Projetos</t>
  </si>
  <si>
    <t xml:space="preserve">01.001.004.001 </t>
  </si>
  <si>
    <t>Projeto Arquitetônico Legal</t>
  </si>
  <si>
    <t xml:space="preserve">01.001.004.002 </t>
  </si>
  <si>
    <t>Projeto Arquitetônico Executivo</t>
  </si>
  <si>
    <t xml:space="preserve">01.001.004.003 </t>
  </si>
  <si>
    <t>Projeto Arquitetônico Interiores</t>
  </si>
  <si>
    <t xml:space="preserve">01.001.004.004 </t>
  </si>
  <si>
    <t>Projeto Arquitetônico De Fachada</t>
  </si>
  <si>
    <t xml:space="preserve">01.001.004.005 </t>
  </si>
  <si>
    <t>Projeto De Terraplenagem</t>
  </si>
  <si>
    <t xml:space="preserve">01.001.004.006 </t>
  </si>
  <si>
    <t>Projeto De Fundação</t>
  </si>
  <si>
    <t xml:space="preserve">01.001.004.007 </t>
  </si>
  <si>
    <t>Projeto Estrutural Em Concreto Armado</t>
  </si>
  <si>
    <t xml:space="preserve">01.001.004.008 </t>
  </si>
  <si>
    <t>Projeto De Estrutura Metálica</t>
  </si>
  <si>
    <t xml:space="preserve">01.001.004.009 </t>
  </si>
  <si>
    <t>Projeto Elétrico/Comunicação/Telefonia/Luminotécnico</t>
  </si>
  <si>
    <t xml:space="preserve">01.001.004.010 </t>
  </si>
  <si>
    <t>Projeto De Automação</t>
  </si>
  <si>
    <t xml:space="preserve">01.001.004.011 </t>
  </si>
  <si>
    <t>Projeto Hidrossanitário/Drenagem/Pluvial</t>
  </si>
  <si>
    <t xml:space="preserve">01.001.004.012 </t>
  </si>
  <si>
    <t>Projeto De Irrigação</t>
  </si>
  <si>
    <t xml:space="preserve">01.001.004.013 </t>
  </si>
  <si>
    <t>Projeto Preventivo (Ppci - Plano De Prevenção E Proteção Contra Incêndios) E Gás</t>
  </si>
  <si>
    <t xml:space="preserve">01.001.004.014 </t>
  </si>
  <si>
    <t>Projeto De Climatização/Exautão</t>
  </si>
  <si>
    <t xml:space="preserve">01.001.004.015 </t>
  </si>
  <si>
    <t>Projeto De Impermeabilização</t>
  </si>
  <si>
    <t xml:space="preserve">01.001.004.016 </t>
  </si>
  <si>
    <t>Projeto De Esquadrias</t>
  </si>
  <si>
    <t xml:space="preserve">01.001.004.017 </t>
  </si>
  <si>
    <t>Projeto De Forro</t>
  </si>
  <si>
    <t xml:space="preserve">01.001.004.018 </t>
  </si>
  <si>
    <t>Protjeto De Sonorização</t>
  </si>
  <si>
    <t xml:space="preserve">01.001.004.019 </t>
  </si>
  <si>
    <t>Projeto De Piscina</t>
  </si>
  <si>
    <t xml:space="preserve">01.001.004.020 </t>
  </si>
  <si>
    <t>Projeto De Comunicação Visual</t>
  </si>
  <si>
    <t xml:space="preserve">01.001.004.021 </t>
  </si>
  <si>
    <t>Projeto De Paisagismo</t>
  </si>
  <si>
    <t xml:space="preserve">01.001.004.022 </t>
  </si>
  <si>
    <t>Elaboração de As Built</t>
  </si>
  <si>
    <t xml:space="preserve">01.001.005 </t>
  </si>
  <si>
    <t>Consultorias</t>
  </si>
  <si>
    <t xml:space="preserve">01.001.005.001 </t>
  </si>
  <si>
    <t>Consultorias Técnicas De Esquadrias</t>
  </si>
  <si>
    <t xml:space="preserve">01.001.005.002 </t>
  </si>
  <si>
    <t>Consultoria Técnica De Fachada</t>
  </si>
  <si>
    <t xml:space="preserve">01.001.005.003 </t>
  </si>
  <si>
    <t>Orçamento E Planejamento</t>
  </si>
  <si>
    <t xml:space="preserve">01.002 </t>
  </si>
  <si>
    <t>SERVIÇOS PRELIMINARES E CANTEIRO DE OBRA</t>
  </si>
  <si>
    <t xml:space="preserve">01.002.001 </t>
  </si>
  <si>
    <t>Serviços preliminares</t>
  </si>
  <si>
    <t xml:space="preserve">01.002.001.001 </t>
  </si>
  <si>
    <t>Placa de obra</t>
  </si>
  <si>
    <t xml:space="preserve">01.002.001.002 </t>
  </si>
  <si>
    <t>Tapume diferenciado (Obra Scenarium)</t>
  </si>
  <si>
    <t xml:space="preserve">01.002.001.003 </t>
  </si>
  <si>
    <t>Portão de Obra</t>
  </si>
  <si>
    <t xml:space="preserve">01.002.001.004 </t>
  </si>
  <si>
    <t>Calçada provisória, execuão de piso intertravado</t>
  </si>
  <si>
    <t>m2</t>
  </si>
  <si>
    <t xml:space="preserve">01.002.001.005 </t>
  </si>
  <si>
    <t>Gabarito de obra</t>
  </si>
  <si>
    <t>m</t>
  </si>
  <si>
    <t xml:space="preserve">01.002.002 </t>
  </si>
  <si>
    <t>Construção de Canteiro de Obras</t>
  </si>
  <si>
    <t xml:space="preserve">01.002.002.001 </t>
  </si>
  <si>
    <t>Aquisição Container - 5 unidades</t>
  </si>
  <si>
    <t xml:space="preserve">01.002.002.002 </t>
  </si>
  <si>
    <t>Construções provisórias (escritório, almoxarifado, vestiário e baias de material)</t>
  </si>
  <si>
    <t xml:space="preserve">01.002.002.003 </t>
  </si>
  <si>
    <t>Mobiliário e equipamentos de apoio a obra</t>
  </si>
  <si>
    <t xml:space="preserve">01.002.002.004 </t>
  </si>
  <si>
    <t>Plano logístico de canteiro</t>
  </si>
  <si>
    <t xml:space="preserve">01.002.002.005 </t>
  </si>
  <si>
    <t>Refeitório para funcionários</t>
  </si>
  <si>
    <t xml:space="preserve">01.002.002.006 </t>
  </si>
  <si>
    <t>Sala do cliente (incluso EPIs, equipamentos, parte civil e decoração)</t>
  </si>
  <si>
    <t xml:space="preserve">01.002.003 </t>
  </si>
  <si>
    <t>Ligações Provisórias</t>
  </si>
  <si>
    <t xml:space="preserve">01.002.003.001 </t>
  </si>
  <si>
    <t>Instalações Provisórias - Elétricas, comunicação, Dados e Hidrossanitários</t>
  </si>
  <si>
    <t xml:space="preserve">01.002.003.002 </t>
  </si>
  <si>
    <t>Sistema de bombeamento provisório</t>
  </si>
  <si>
    <t>mes</t>
  </si>
  <si>
    <t xml:space="preserve">01.002.003.003 </t>
  </si>
  <si>
    <t>Sistema para tratamento de efluentes de tinta e argamassa</t>
  </si>
  <si>
    <t>t</t>
  </si>
  <si>
    <t xml:space="preserve">01.002.004 </t>
  </si>
  <si>
    <t>Seguro de obra</t>
  </si>
  <si>
    <t xml:space="preserve">01.002.004.001 </t>
  </si>
  <si>
    <t xml:space="preserve">01.003 </t>
  </si>
  <si>
    <t>CUSTOS DE OPERAÇÃO</t>
  </si>
  <si>
    <t xml:space="preserve">01.003.001 </t>
  </si>
  <si>
    <t>Despesas de consumo e manutenção</t>
  </si>
  <si>
    <t xml:space="preserve">01.003.001.001 </t>
  </si>
  <si>
    <t>Consumo Mensal de Canteiro: Agua, Luz, Internet, telefone, Coleta de Lixo</t>
  </si>
  <si>
    <t xml:space="preserve">01.003.001.002 </t>
  </si>
  <si>
    <t>Consumos - Alimentação</t>
  </si>
  <si>
    <t xml:space="preserve">01.003.001.003 </t>
  </si>
  <si>
    <t>Consumo Mensal de Canteiro: Material de Escritório e Higiêne e Limpeza</t>
  </si>
  <si>
    <t xml:space="preserve">01.003.001.004 </t>
  </si>
  <si>
    <t>Manutenção Tapume e Calçada</t>
  </si>
  <si>
    <t xml:space="preserve">01.003.001.005 </t>
  </si>
  <si>
    <t>Consumo Mensal de Canteiro: Limpeza Geral da Obra</t>
  </si>
  <si>
    <t xml:space="preserve">01.003.001.006 </t>
  </si>
  <si>
    <t>Remoção de entulho</t>
  </si>
  <si>
    <t>m3</t>
  </si>
  <si>
    <t xml:space="preserve">01.003.001.007 </t>
  </si>
  <si>
    <t>Plotagens e impressões</t>
  </si>
  <si>
    <t xml:space="preserve">01.003.001.008 </t>
  </si>
  <si>
    <t>Fretes</t>
  </si>
  <si>
    <t xml:space="preserve">01.003.001.009 </t>
  </si>
  <si>
    <t>Despesas Com Vizinhos</t>
  </si>
  <si>
    <t xml:space="preserve">01.003.001.010 </t>
  </si>
  <si>
    <t>Gerador Autônomo De Energia</t>
  </si>
  <si>
    <t xml:space="preserve">01.003.001.011 </t>
  </si>
  <si>
    <t>Manutenção Canteiro</t>
  </si>
  <si>
    <t xml:space="preserve">01.003.001.012 </t>
  </si>
  <si>
    <t>Manutenção Elétrica Provisória</t>
  </si>
  <si>
    <t xml:space="preserve">01.003.001.013 </t>
  </si>
  <si>
    <t>Manutenção Hidrossanitário Provisória</t>
  </si>
  <si>
    <t xml:space="preserve">01.003.001.014 </t>
  </si>
  <si>
    <t>Consumo de Medicamento de Emergência</t>
  </si>
  <si>
    <t xml:space="preserve">01.003.001.015 </t>
  </si>
  <si>
    <t>Kit Socorrista</t>
  </si>
  <si>
    <t xml:space="preserve">01.003.001.016 </t>
  </si>
  <si>
    <t xml:space="preserve">Detetização Canteiro </t>
  </si>
  <si>
    <t xml:space="preserve">01.003.002 </t>
  </si>
  <si>
    <t>Equipamentos de Proteção Coletivas</t>
  </si>
  <si>
    <t xml:space="preserve">01.003.002.001 </t>
  </si>
  <si>
    <t>Sinalização De Obra</t>
  </si>
  <si>
    <t xml:space="preserve">01.003.002.002 </t>
  </si>
  <si>
    <t>Bandeja Salva Vida Primária</t>
  </si>
  <si>
    <t xml:space="preserve">01.003.002.003 </t>
  </si>
  <si>
    <t>Proteção-Linha De Vida</t>
  </si>
  <si>
    <t xml:space="preserve">01.003.002.004 </t>
  </si>
  <si>
    <t>Entelamento Da Fachada</t>
  </si>
  <si>
    <t xml:space="preserve">01.003.002.005 </t>
  </si>
  <si>
    <t>Proteção Com Sistema SLQA - Intermediário</t>
  </si>
  <si>
    <t xml:space="preserve">01.003.002.006 </t>
  </si>
  <si>
    <t>Proteção de periferia metálica</t>
  </si>
  <si>
    <t xml:space="preserve">01.003.002.007 </t>
  </si>
  <si>
    <t>Fechamento Removivel De Vãos Em Madeira</t>
  </si>
  <si>
    <t xml:space="preserve">01.003.002.008 </t>
  </si>
  <si>
    <t>Montagem e desmontagem de equipamento de proteção coletiva</t>
  </si>
  <si>
    <t xml:space="preserve">01.003.003 </t>
  </si>
  <si>
    <t>Custos de Vigilância e Portaria</t>
  </si>
  <si>
    <t xml:space="preserve">01.003.003.001 </t>
  </si>
  <si>
    <t xml:space="preserve">01.003.004 </t>
  </si>
  <si>
    <t>Despesas Administr. De apoio a Obra (M.O.)</t>
  </si>
  <si>
    <t xml:space="preserve">01.003.004.001 </t>
  </si>
  <si>
    <t>Equipamentos de Proteção Individual - EPI</t>
  </si>
  <si>
    <t xml:space="preserve">01.003.004.002 </t>
  </si>
  <si>
    <t>Ferramentas</t>
  </si>
  <si>
    <t xml:space="preserve">01.003.004.003 </t>
  </si>
  <si>
    <t>Equipe Indireta - Engenheiro Civil</t>
  </si>
  <si>
    <t xml:space="preserve">01.003.004.004 </t>
  </si>
  <si>
    <t>Equipe Indireta - Mestre De Obras</t>
  </si>
  <si>
    <t xml:space="preserve">01.003.004.005 </t>
  </si>
  <si>
    <t>Equipe Indireta - Almoxarife</t>
  </si>
  <si>
    <t xml:space="preserve">01.003.004.006 </t>
  </si>
  <si>
    <t>Equipe Indireta - Auxiliar De Engenharia</t>
  </si>
  <si>
    <t xml:space="preserve">01.003.004.007 </t>
  </si>
  <si>
    <t>Equipe Indireta - Estagiário De Engenharia</t>
  </si>
  <si>
    <t xml:space="preserve">01.003.004.008 </t>
  </si>
  <si>
    <t>Equipe Indireta - Operador De Guincho</t>
  </si>
  <si>
    <t xml:space="preserve">01.003.004.009 </t>
  </si>
  <si>
    <t xml:space="preserve">01.003.004.010 </t>
  </si>
  <si>
    <t>Equipe Indireta - Lider de Obra</t>
  </si>
  <si>
    <t xml:space="preserve">01.003.004.011 </t>
  </si>
  <si>
    <t>Equipe Indireta - Auxiliar de Almoxarife</t>
  </si>
  <si>
    <t xml:space="preserve">01.003.004.012 </t>
  </si>
  <si>
    <t>Equipe Indireta - Auxiliar de Logística</t>
  </si>
  <si>
    <t xml:space="preserve">01.003.004.013 </t>
  </si>
  <si>
    <t>Equipe Indireta - Aprendiz</t>
  </si>
  <si>
    <t xml:space="preserve">01.003.004.014 </t>
  </si>
  <si>
    <t>Equipe Indireta -  Multioperador de máquinas</t>
  </si>
  <si>
    <t xml:space="preserve">01.003.004.015 </t>
  </si>
  <si>
    <t>Técnico de segurança do trabalho</t>
  </si>
  <si>
    <t xml:space="preserve">01.003.004.016 </t>
  </si>
  <si>
    <t>Emissão de ART</t>
  </si>
  <si>
    <t xml:space="preserve">02 </t>
  </si>
  <si>
    <t>EQUIPAMENTOS</t>
  </si>
  <si>
    <t xml:space="preserve">02.001 </t>
  </si>
  <si>
    <t xml:space="preserve">02.001.001 </t>
  </si>
  <si>
    <t>Equipamentos de carga e transporte</t>
  </si>
  <si>
    <t xml:space="preserve">02.001.001.001 </t>
  </si>
  <si>
    <t>Aquisição de Carrinho Plataforma</t>
  </si>
  <si>
    <t xml:space="preserve">02.001.001.002 </t>
  </si>
  <si>
    <t>Locação Manipulador Telescópico</t>
  </si>
  <si>
    <t xml:space="preserve">02.001.001.003 </t>
  </si>
  <si>
    <t>Aquisição Carrinho Mini Paletes</t>
  </si>
  <si>
    <t xml:space="preserve">02.001.001.004 </t>
  </si>
  <si>
    <t>Locação de Rompedor</t>
  </si>
  <si>
    <t>mês</t>
  </si>
  <si>
    <t xml:space="preserve">02.001.001.005 </t>
  </si>
  <si>
    <t>Locação de Martelete</t>
  </si>
  <si>
    <t xml:space="preserve">02.001.002 </t>
  </si>
  <si>
    <t>Logística de obra (M.O. e equipamentos)</t>
  </si>
  <si>
    <t xml:space="preserve">02.001.002.001 </t>
  </si>
  <si>
    <t>Locação de Veículo De Apoio: Carro Utilitário</t>
  </si>
  <si>
    <t xml:space="preserve">02.001.002.002 </t>
  </si>
  <si>
    <t>Locação Guindaste</t>
  </si>
  <si>
    <t>dia</t>
  </si>
  <si>
    <t xml:space="preserve">02.001.002.003 </t>
  </si>
  <si>
    <t>Locação Empilhadeira</t>
  </si>
  <si>
    <t xml:space="preserve">02.001.003 </t>
  </si>
  <si>
    <t>Equipamentos de obra</t>
  </si>
  <si>
    <t xml:space="preserve">02.001.003.001 </t>
  </si>
  <si>
    <t>Locação Elevador Cremalheira</t>
  </si>
  <si>
    <t xml:space="preserve">02.001.003.002 </t>
  </si>
  <si>
    <t>Montagem E Desmontagem Elevador Cremalheira</t>
  </si>
  <si>
    <t xml:space="preserve">02.001.003.003 </t>
  </si>
  <si>
    <t>Mobilização E Desmobilização Elevador Cremalheira</t>
  </si>
  <si>
    <t xml:space="preserve">02.001.003.004 </t>
  </si>
  <si>
    <t>Locação Grua Torre Fixa</t>
  </si>
  <si>
    <t xml:space="preserve">02.001.003.005 </t>
  </si>
  <si>
    <t>Montagem E Desmontagem  Grua</t>
  </si>
  <si>
    <t xml:space="preserve">02.001.003.006 </t>
  </si>
  <si>
    <t>Mobilização E Desmobilização  Grua</t>
  </si>
  <si>
    <t xml:space="preserve">02.001.003.007 </t>
  </si>
  <si>
    <t>Estrutura de Base para Grua - 2,5x2,5m</t>
  </si>
  <si>
    <t xml:space="preserve">02.001.004 </t>
  </si>
  <si>
    <t>Sistemas de suporte para trabalho em altura para fachada</t>
  </si>
  <si>
    <t xml:space="preserve">03 </t>
  </si>
  <si>
    <t xml:space="preserve">03.001 </t>
  </si>
  <si>
    <t>SERVIÇOS EM TERRA</t>
  </si>
  <si>
    <t xml:space="preserve">03.001.001 </t>
  </si>
  <si>
    <t>Limpeza de terreno</t>
  </si>
  <si>
    <t xml:space="preserve">03.001.001.001 </t>
  </si>
  <si>
    <t>Limpeza Terreno Permanente</t>
  </si>
  <si>
    <t xml:space="preserve">03.001.002 </t>
  </si>
  <si>
    <t>Corte e aterro</t>
  </si>
  <si>
    <t xml:space="preserve">03.001.002.001 </t>
  </si>
  <si>
    <t>Serviço de Terraplenagem / Escavação e Carga Mecanizada em Corte - Desaterro Solo</t>
  </si>
  <si>
    <t xml:space="preserve">03.001.002.002 </t>
  </si>
  <si>
    <t>Serviço de Terraplenagem / Escavação e Carga Mecanizada em Corte - Desaterro Rocha</t>
  </si>
  <si>
    <t xml:space="preserve">03.001.002.003 </t>
  </si>
  <si>
    <t>Serviço de Terraplenagem / Espalhamento / Umedecimento / Compactação em Material de 1º Categoria - 95% PN - Aterro</t>
  </si>
  <si>
    <t xml:space="preserve">03.001.003 </t>
  </si>
  <si>
    <t>Escavação e Reaterro de Valas</t>
  </si>
  <si>
    <t xml:space="preserve">03.001.003.001 </t>
  </si>
  <si>
    <t>Escavação mecanizada para blocos de coroamento e baldrames, com previsão de forma</t>
  </si>
  <si>
    <t xml:space="preserve">03.001.003.002 </t>
  </si>
  <si>
    <t>Reaterro mecanizado para blocos de coroamento e baldrames, com miniescavadeira</t>
  </si>
  <si>
    <t xml:space="preserve">03.001.004 </t>
  </si>
  <si>
    <t>Lastro de estrutura de concreto</t>
  </si>
  <si>
    <t xml:space="preserve">03.001.004.001 </t>
  </si>
  <si>
    <t>Lastro De Concreto Magro, Espessura De 5 Cm</t>
  </si>
  <si>
    <t xml:space="preserve">03.001.005 </t>
  </si>
  <si>
    <t>Compactação mecânica do solo</t>
  </si>
  <si>
    <t xml:space="preserve">03.001.005.001 </t>
  </si>
  <si>
    <t>Apiloamento de solo para elementos de infraestrutura</t>
  </si>
  <si>
    <t xml:space="preserve">03.001.006 </t>
  </si>
  <si>
    <t>Movimentação de bota - fora</t>
  </si>
  <si>
    <t xml:space="preserve">03.001.006.001 </t>
  </si>
  <si>
    <t>Serviço de Bota-fora - Escavação Vertical</t>
  </si>
  <si>
    <t xml:space="preserve">03.001.006.002 </t>
  </si>
  <si>
    <t>Serviço de Bota-fora - Valas de Infraestrutura</t>
  </si>
  <si>
    <t xml:space="preserve">03.001.006.003 </t>
  </si>
  <si>
    <t>Serviço de Bota-fora - Estaca</t>
  </si>
  <si>
    <t xml:space="preserve">03.002 </t>
  </si>
  <si>
    <t>FUNDAÇÃO PROFUNDA</t>
  </si>
  <si>
    <t xml:space="preserve">03.002.001 </t>
  </si>
  <si>
    <t>Execução de estacas</t>
  </si>
  <si>
    <t xml:space="preserve">03.002.001.001 </t>
  </si>
  <si>
    <t>Execucao Estaca Raiz 400Mm</t>
  </si>
  <si>
    <t xml:space="preserve">03.002.001.002 </t>
  </si>
  <si>
    <t>Execucao Estaca Helice Continua 040Cm</t>
  </si>
  <si>
    <t xml:space="preserve">03.002.001.003 </t>
  </si>
  <si>
    <t>Execucao Estaca Helice Continua 060Cm</t>
  </si>
  <si>
    <t xml:space="preserve">03.002.001.004 </t>
  </si>
  <si>
    <t>Mobilizacao/Desmobilizacao Equipamento Fundacao - Estaca Raíz</t>
  </si>
  <si>
    <t xml:space="preserve">03.002.001.005 </t>
  </si>
  <si>
    <t>Mobilizacao/Desmobilizacao Equipamento Fundacao - Estaca Helice</t>
  </si>
  <si>
    <t xml:space="preserve">03.002.002 </t>
  </si>
  <si>
    <t>Armação e Espaçadores</t>
  </si>
  <si>
    <t xml:space="preserve">03.002.002.001 </t>
  </si>
  <si>
    <t xml:space="preserve"> Armacao Estaca Aco Ca-50 Ø 6.3mm Corte E Dobra Em Indústria</t>
  </si>
  <si>
    <t>kg</t>
  </si>
  <si>
    <t xml:space="preserve">03.002.002.002 </t>
  </si>
  <si>
    <t xml:space="preserve"> Armacao Estaca Aco Ca-50 Ø 12.5mm Corte E Dobra Em Indústria</t>
  </si>
  <si>
    <t xml:space="preserve">03.002.002.003 </t>
  </si>
  <si>
    <t xml:space="preserve"> Armacao Estaca Aco Ca-50 Ø 16.0mm Corte E Dobra Em Indústria</t>
  </si>
  <si>
    <t xml:space="preserve">03.002.002.004 </t>
  </si>
  <si>
    <t xml:space="preserve"> Armacao Estaca Aco Ca-50 Ø 25.0mm Corte E Dobra Em Indústria</t>
  </si>
  <si>
    <t xml:space="preserve">03.002.003 </t>
  </si>
  <si>
    <t>Concreto/argamassa</t>
  </si>
  <si>
    <t xml:space="preserve">03.002.003.001 </t>
  </si>
  <si>
    <t>Concreto de Estaca Fck = 40 Mpa / Bombeável</t>
  </si>
  <si>
    <t xml:space="preserve">03.002.003.002 </t>
  </si>
  <si>
    <t>Argamassa de Estaca Fck=30MPa / Bombeável</t>
  </si>
  <si>
    <t xml:space="preserve">03.002.004 </t>
  </si>
  <si>
    <t>Arrasamento de estacas</t>
  </si>
  <si>
    <t xml:space="preserve">03.002.004.001 </t>
  </si>
  <si>
    <t>Serviço de Arrasamento Mecanizado de Estacas</t>
  </si>
  <si>
    <t xml:space="preserve">03.003 </t>
  </si>
  <si>
    <t xml:space="preserve">03.003.001 </t>
  </si>
  <si>
    <t>Execução da contenção, viga de coroamento e mureta Guia</t>
  </si>
  <si>
    <t xml:space="preserve">03.003.001.001 </t>
  </si>
  <si>
    <t>Serviço de grampeamento de talude</t>
  </si>
  <si>
    <t xml:space="preserve">03.003.001.002 </t>
  </si>
  <si>
    <t>Fabricação e montagem de forma para mureta guia - em madeira Compensada Resinada</t>
  </si>
  <si>
    <t xml:space="preserve">03.003.001.003 </t>
  </si>
  <si>
    <t>Fabricação e montagem de forma para muro de fllexão - em madeira Compensada Resinada</t>
  </si>
  <si>
    <t xml:space="preserve">03.003.001.004 </t>
  </si>
  <si>
    <t>Serviço Especializado Parede Diafragma</t>
  </si>
  <si>
    <t xml:space="preserve">03.003.001.005 </t>
  </si>
  <si>
    <t>Serviço de Atirantamento de Contenção</t>
  </si>
  <si>
    <t xml:space="preserve">03.003.002 </t>
  </si>
  <si>
    <t>Armação e Espaadores</t>
  </si>
  <si>
    <t xml:space="preserve">03.003.002.001 </t>
  </si>
  <si>
    <t>Armacao Fundação Aco Ca-50 Ø 6.3Mm Corte E Dobra Em Indústria</t>
  </si>
  <si>
    <t xml:space="preserve">03.003.002.002 </t>
  </si>
  <si>
    <t>Armacao Fundação Aco Ca-50 Ø 8.0Mm Corte E Dobra Em Indústria</t>
  </si>
  <si>
    <t xml:space="preserve">03.003.002.003 </t>
  </si>
  <si>
    <t>Armacao Fundação Aco Ca-50 Ø 10.0Mm Corte E Dobra Em Indústria</t>
  </si>
  <si>
    <t xml:space="preserve">03.003.002.004 </t>
  </si>
  <si>
    <t>Armacao Fundação Aco Ca-50 Ø 12.5Mm Corte E Dobra Em Indústria</t>
  </si>
  <si>
    <t xml:space="preserve">03.003.002.005 </t>
  </si>
  <si>
    <t>Armacao Fundação Aco Ca-50 Ø 16.0Mm Corte E Dobra Em Indústria</t>
  </si>
  <si>
    <t xml:space="preserve">03.003.002.006 </t>
  </si>
  <si>
    <t>Armacao Fundação Aco Ca-50 Ø 20.0Mm Corte E Dobra Em Indústria</t>
  </si>
  <si>
    <t xml:space="preserve">03.003.003 </t>
  </si>
  <si>
    <t xml:space="preserve">03.003.003.001 </t>
  </si>
  <si>
    <t>Concreto de Contenção Fck = 30 Mpa / Bombeável (com Impermeabilizante)</t>
  </si>
  <si>
    <t xml:space="preserve">03.003.003.002 </t>
  </si>
  <si>
    <t>Concreto de Contenção Fck = 35 Mpa / Bombeável (com Impermeabilizante)</t>
  </si>
  <si>
    <t xml:space="preserve">03.003.004 </t>
  </si>
  <si>
    <t>Mão de obra contenção</t>
  </si>
  <si>
    <t xml:space="preserve">03.003.004.001 </t>
  </si>
  <si>
    <t>Mao de obra para apoio de execução de contenção</t>
  </si>
  <si>
    <t xml:space="preserve">03.004 </t>
  </si>
  <si>
    <t>BLOCOS COROAMENTO, VIGAS E CISTERNAS</t>
  </si>
  <si>
    <t xml:space="preserve">03.004.001 </t>
  </si>
  <si>
    <t>Formas</t>
  </si>
  <si>
    <t xml:space="preserve">03.004.001.001 </t>
  </si>
  <si>
    <t>Fabricação e montagem de forma para bloco de fundação - em madeira Compensada Resinada</t>
  </si>
  <si>
    <t xml:space="preserve">03.004.001.002 </t>
  </si>
  <si>
    <t>Fabricação e montagem de forma para cisterna - em madeira Compensada Resinada</t>
  </si>
  <si>
    <t xml:space="preserve">03.004.002 </t>
  </si>
  <si>
    <t xml:space="preserve">03.004.002.001 </t>
  </si>
  <si>
    <t xml:space="preserve">03.004.002.002 </t>
  </si>
  <si>
    <t xml:space="preserve">03.004.002.003 </t>
  </si>
  <si>
    <t xml:space="preserve">03.004.002.004 </t>
  </si>
  <si>
    <t xml:space="preserve">03.004.002.005 </t>
  </si>
  <si>
    <t xml:space="preserve">03.004.002.006 </t>
  </si>
  <si>
    <t xml:space="preserve">03.004.002.007 </t>
  </si>
  <si>
    <t>Armacao Fundação Aco Ca-50 Ø 25.0Mm Corte E Dobra Em Indústria</t>
  </si>
  <si>
    <t xml:space="preserve">03.004.002.008 </t>
  </si>
  <si>
    <t>Armacao em Tela Estrutura Aco Ca-60 Q283</t>
  </si>
  <si>
    <t xml:space="preserve">03.004.003 </t>
  </si>
  <si>
    <t xml:space="preserve">03.004.003.001 </t>
  </si>
  <si>
    <t>Concreto da Fundação Rasa Fck = 35 Mpa / Bombeável (com Impermeabilizante)</t>
  </si>
  <si>
    <t xml:space="preserve">03.004.004 </t>
  </si>
  <si>
    <t>Mão de obra infraestrutura</t>
  </si>
  <si>
    <t xml:space="preserve">03.004.004.001 </t>
  </si>
  <si>
    <t>Mao de obra para execução de infraestrutura de concreto armado</t>
  </si>
  <si>
    <t xml:space="preserve">04 </t>
  </si>
  <si>
    <t xml:space="preserve">04.001 </t>
  </si>
  <si>
    <t>SUPRAESTRUTURA - EMBASAMENTO</t>
  </si>
  <si>
    <t xml:space="preserve">04.001.001 </t>
  </si>
  <si>
    <t xml:space="preserve">04.001.001.001 </t>
  </si>
  <si>
    <t>Fabricação de Fôrma Para Pilares e Estruturas Similares - em Chapa de Madeira Compensada Plastificada - E=20mm</t>
  </si>
  <si>
    <t xml:space="preserve">04.001.001.002 </t>
  </si>
  <si>
    <t>Fabricação de Fôrma Para vigas e Estruturas Similares - em Chapa de Madeira Compensada Plastificada - E=20mm</t>
  </si>
  <si>
    <t xml:space="preserve">04.001.001.003 </t>
  </si>
  <si>
    <t>Fabricação De Fôrma Para Lajes, Em Chapa De Madeira Compensada Plastificada, E = 20 MM</t>
  </si>
  <si>
    <t xml:space="preserve">04.001.001.004 </t>
  </si>
  <si>
    <t>Montagem e desmontagem de fôrma para pilares - em chapa de madeira compensada plastificada</t>
  </si>
  <si>
    <t xml:space="preserve">04.001.001.005 </t>
  </si>
  <si>
    <t>Montagem e desmontagem de fôrma para vigas - em chapa de madeira compensada plastificada</t>
  </si>
  <si>
    <t xml:space="preserve">04.001.001.006 </t>
  </si>
  <si>
    <t>Montagem e desmontagem de fôrma para lajes, em chapa de madeira compensada plastificada</t>
  </si>
  <si>
    <t xml:space="preserve">04.001.001.007 </t>
  </si>
  <si>
    <t>Locação de escoramento metálico pe direito simples</t>
  </si>
  <si>
    <t xml:space="preserve">04.001.002 </t>
  </si>
  <si>
    <t xml:space="preserve">04.001.002.001 </t>
  </si>
  <si>
    <t>Armacao Estrutura Aco Ca-50 Ø 6.3Mm Corte E Dobra Em Indústria</t>
  </si>
  <si>
    <t xml:space="preserve">04.001.002.002 </t>
  </si>
  <si>
    <t>Armacao Estrutura Aco Ca-50 Ø 8.0Mm Corte E Dobra Em Indústria</t>
  </si>
  <si>
    <t xml:space="preserve">04.001.002.003 </t>
  </si>
  <si>
    <t>Armacao Estrutura Aco Ca-50 Ø 10.0Mm Corte E Dobra Em Indústria</t>
  </si>
  <si>
    <t xml:space="preserve">04.001.002.004 </t>
  </si>
  <si>
    <t>Armacao Estrutura Aco Ca-50 Ø 12.5Mm Corte E Dobra Em Indústria</t>
  </si>
  <si>
    <t xml:space="preserve">04.001.002.005 </t>
  </si>
  <si>
    <t>Armacao Estrutura Aco Ca-50 Ø 16.0Mm Corte E Dobra Em Indústria</t>
  </si>
  <si>
    <t xml:space="preserve">04.001.002.006 </t>
  </si>
  <si>
    <t>Armacao Estrutura Aco Ca-50 Ø 20.0Mm Corte E Dobra Em Indústria</t>
  </si>
  <si>
    <t xml:space="preserve">04.001.002.007 </t>
  </si>
  <si>
    <t>Armacao Estrutura Aco Ca-50 Ø 25.0Mm Corte E Dobra Em Indústria</t>
  </si>
  <si>
    <t xml:space="preserve">04.001.002.008 </t>
  </si>
  <si>
    <t>Armacao em Tela Estrutura Aco Ca-60 Q335</t>
  </si>
  <si>
    <t xml:space="preserve">04.001.002.009 </t>
  </si>
  <si>
    <t>Armacao em Tela Estrutura Aco Ca-60 Q75</t>
  </si>
  <si>
    <t xml:space="preserve">04.001.003 </t>
  </si>
  <si>
    <t xml:space="preserve">04.001.003.001 </t>
  </si>
  <si>
    <t>Concreto da Estrutura Fck = 35 Mpa / Bombeável</t>
  </si>
  <si>
    <t xml:space="preserve">04.001.003.002 </t>
  </si>
  <si>
    <t>Concreto da Estrutura Fck = 35 Mpa / Bombeável (com aditivo impermeabilizante)</t>
  </si>
  <si>
    <t xml:space="preserve">04.001.004 </t>
  </si>
  <si>
    <t>Escadas pré moldadas</t>
  </si>
  <si>
    <t xml:space="preserve">04.001.004.001 </t>
  </si>
  <si>
    <t>Fornecimento de escadas pré-moldadas</t>
  </si>
  <si>
    <t xml:space="preserve">04.001.005 </t>
  </si>
  <si>
    <t>Mão de obra supraestrutura</t>
  </si>
  <si>
    <t xml:space="preserve">04.001.005.001 </t>
  </si>
  <si>
    <t>Mao de obra para execucacao de supraestrutura de concreto armado</t>
  </si>
  <si>
    <t xml:space="preserve">04.002 </t>
  </si>
  <si>
    <t>SUPRAESTRUTURA - TORRE</t>
  </si>
  <si>
    <t xml:space="preserve">04.002.001 </t>
  </si>
  <si>
    <t xml:space="preserve">04.002.001.001 </t>
  </si>
  <si>
    <t xml:space="preserve">04.002.001.002 </t>
  </si>
  <si>
    <t xml:space="preserve">04.002.001.003 </t>
  </si>
  <si>
    <t xml:space="preserve">04.002.001.004 </t>
  </si>
  <si>
    <t xml:space="preserve">04.002.001.005 </t>
  </si>
  <si>
    <t xml:space="preserve">04.002.001.006 </t>
  </si>
  <si>
    <t xml:space="preserve">04.002.001.007 </t>
  </si>
  <si>
    <t xml:space="preserve">04.002.002 </t>
  </si>
  <si>
    <t xml:space="preserve">04.002.002.001 </t>
  </si>
  <si>
    <t xml:space="preserve">04.002.002.002 </t>
  </si>
  <si>
    <t xml:space="preserve">04.002.002.003 </t>
  </si>
  <si>
    <t xml:space="preserve">04.002.002.004 </t>
  </si>
  <si>
    <t xml:space="preserve">04.002.002.005 </t>
  </si>
  <si>
    <t xml:space="preserve">04.002.002.006 </t>
  </si>
  <si>
    <t xml:space="preserve">04.002.002.007 </t>
  </si>
  <si>
    <t xml:space="preserve">04.002.002.008 </t>
  </si>
  <si>
    <t>Armacao em Tela Estrutura Aco Ca-60 Q196</t>
  </si>
  <si>
    <t xml:space="preserve">04.002.002.009 </t>
  </si>
  <si>
    <t>Armacao em Tela Estrutura Aco Ca-60 Q246</t>
  </si>
  <si>
    <t xml:space="preserve">04.002.002.010 </t>
  </si>
  <si>
    <t>Cordoalha de aço para concreto protendido CP190 RB, diâmetro de 12,7mm</t>
  </si>
  <si>
    <t xml:space="preserve">04.002.002.011 </t>
  </si>
  <si>
    <t>Ancoragem ativa e passiva para protensão</t>
  </si>
  <si>
    <t xml:space="preserve">04.002.002.012 </t>
  </si>
  <si>
    <t>Serviço Especializado para Execução de Sistema de Protensao e Acessórios</t>
  </si>
  <si>
    <t xml:space="preserve">04.002.003 </t>
  </si>
  <si>
    <t xml:space="preserve">04.002.003.001 </t>
  </si>
  <si>
    <t xml:space="preserve">04.002.003.002 </t>
  </si>
  <si>
    <t xml:space="preserve">04.002.004 </t>
  </si>
  <si>
    <t xml:space="preserve">04.002.004.001 </t>
  </si>
  <si>
    <t xml:space="preserve">04.002.005 </t>
  </si>
  <si>
    <t xml:space="preserve">04.002.005.001 </t>
  </si>
  <si>
    <t xml:space="preserve">04.003 </t>
  </si>
  <si>
    <t>SUPRAESTRUTURA - PAVIMENTOS TÉCNICOS</t>
  </si>
  <si>
    <t xml:space="preserve">04.003.001 </t>
  </si>
  <si>
    <t xml:space="preserve">04.003.001.001 </t>
  </si>
  <si>
    <t xml:space="preserve">04.003.001.002 </t>
  </si>
  <si>
    <t xml:space="preserve">04.003.001.003 </t>
  </si>
  <si>
    <t xml:space="preserve">04.003.001.004 </t>
  </si>
  <si>
    <t xml:space="preserve">04.003.001.005 </t>
  </si>
  <si>
    <t xml:space="preserve">04.003.001.006 </t>
  </si>
  <si>
    <t xml:space="preserve">04.003.001.007 </t>
  </si>
  <si>
    <t xml:space="preserve">04.003.002 </t>
  </si>
  <si>
    <t xml:space="preserve">04.003.002.001 </t>
  </si>
  <si>
    <t xml:space="preserve">04.003.002.002 </t>
  </si>
  <si>
    <t xml:space="preserve">04.003.002.003 </t>
  </si>
  <si>
    <t xml:space="preserve">04.003.002.004 </t>
  </si>
  <si>
    <t xml:space="preserve">04.003.002.005 </t>
  </si>
  <si>
    <t xml:space="preserve">04.003.002.006 </t>
  </si>
  <si>
    <t xml:space="preserve">04.003.003 </t>
  </si>
  <si>
    <t xml:space="preserve">04.003.003.001 </t>
  </si>
  <si>
    <t xml:space="preserve">04.003.003.002 </t>
  </si>
  <si>
    <t xml:space="preserve">04.003.004 </t>
  </si>
  <si>
    <t xml:space="preserve">04.003.004.001 </t>
  </si>
  <si>
    <t xml:space="preserve">05 </t>
  </si>
  <si>
    <t>PAREDES E DIVISÓRIAS</t>
  </si>
  <si>
    <t xml:space="preserve">05.001 </t>
  </si>
  <si>
    <t>PAREDES E DIVISÓRIAS -  ÁREA COMUM</t>
  </si>
  <si>
    <t xml:space="preserve">05.001.001 </t>
  </si>
  <si>
    <t>Alvenaria de Tijolo Ceramico e Concreto Celular</t>
  </si>
  <si>
    <t xml:space="preserve">05.001.001.001 </t>
  </si>
  <si>
    <t>Alvenaria Com Blocos De Concreto Celular Auto Clavado - 12,5X30X60Cm</t>
  </si>
  <si>
    <t xml:space="preserve">05.001.002 </t>
  </si>
  <si>
    <t>Serviços complementares para alvenaria de vedação</t>
  </si>
  <si>
    <t xml:space="preserve">05.001.002.001 </t>
  </si>
  <si>
    <t>Encunhamento De Alvenaria De Vedação Com Argamassa Expansiva</t>
  </si>
  <si>
    <t xml:space="preserve">05.001.002.002 </t>
  </si>
  <si>
    <t>Tela soldada para Amarração Alvenaria</t>
  </si>
  <si>
    <t xml:space="preserve">05.001.003 </t>
  </si>
  <si>
    <t>Divisória de Gesso Acartonado</t>
  </si>
  <si>
    <t xml:space="preserve">05.001.003.001 </t>
  </si>
  <si>
    <t>Parede Com Sistema Em Chapas De Gesso Para Drywall, Uso Interno, Montante 70mm, Com Uma Face Simples Standard e isolamento com Lâ de Pet (ST/70)</t>
  </si>
  <si>
    <t xml:space="preserve">05.001.003.002 </t>
  </si>
  <si>
    <t>Parede Com Sistema Em Chapas De Gesso Para Drywall, Uso Interno, Montante 70mm, Com Duas Face Simples Resistente à umidade e isolamento com Lâ de Vidro (RU/70/RU)</t>
  </si>
  <si>
    <t xml:space="preserve">05.001.003.003 </t>
  </si>
  <si>
    <t>Parede Com Sistema Em Chapas De Gesso Para Drywall, Uso Interno, Montante 70mm, Com Duas Face Duplas Resistente à Fogo e isolamento com Lâ de Pet (2RF/70/2RF)</t>
  </si>
  <si>
    <t xml:space="preserve">05.001.003.004 </t>
  </si>
  <si>
    <t>Parede Com Sistema Em Chapas De Gesso Para Drywall, Uso Interno, Montante 70mm, Com Uma Face Dupla Standart e isolamento com Lâ de Pet (70/2ST)</t>
  </si>
  <si>
    <t xml:space="preserve">05.001.003.005 </t>
  </si>
  <si>
    <t>Parede Com Sistema Em Chapas De Gesso Para Drywall, Uso Interno, Montante 70mm, Com Uma Face Simples Resistente à umidade e isolamento com Lâ de Vidro (70/RU)</t>
  </si>
  <si>
    <t xml:space="preserve">05.001.003.006 </t>
  </si>
  <si>
    <t>Parede Com Sistema Em Chapas De Gesso Para Drywall, Uso Interno, Montante 70mm, Com Uma Face Dupla Standart+Resistente à umidade e isolamento com Lâ de Pet (70/ST+RU)</t>
  </si>
  <si>
    <t xml:space="preserve">05.001.003.007 </t>
  </si>
  <si>
    <t>Parede Com Sistema Em Chapas De Gesso Para Drywall, Uso Interno, Montante 90mm, Com Duas Face Simples Standart e Resistente à umidade e isolamento com Lâ de Vidro (ST/90/RU)</t>
  </si>
  <si>
    <t xml:space="preserve">05.001.003.008 </t>
  </si>
  <si>
    <t>Parede Com Sistema Em Chapas De Gesso Para Drywall, Uso Interno, Montante 90mm, Com Duas Face Simples Standart e isolamento com Lâ de Pet (ST/90/ST)</t>
  </si>
  <si>
    <t xml:space="preserve">05.001.003.009 </t>
  </si>
  <si>
    <t>Parede Com Sistema Em Chapas De Gesso Para Drywall, Uso Interno, Montante 90mm, Com Duas Face Simples Resistente à umidade e isolamento com Lâ de Vidro (RU/90/RU)</t>
  </si>
  <si>
    <t xml:space="preserve">05.001.003.010 </t>
  </si>
  <si>
    <t>Parede Com Sistema Em Chapas De Gesso Para Drywall, Uso Interno, Montante 90mm, Com Duas Face Duplas Resistente à Fogo e isolamento com Lâ de Pet (2RF/90/2RF)</t>
  </si>
  <si>
    <t xml:space="preserve">05.001.003.011 </t>
  </si>
  <si>
    <t>Parede Com Sistema Em Chapas De Gesso Para Drywall, Uso Interno, Montante 90mm, Com Duas Face Duplas Standart e isolamento com Lâ de Pet (2ST/90R/2ST)</t>
  </si>
  <si>
    <t xml:space="preserve">05.001.003.012 </t>
  </si>
  <si>
    <t>Parede Com Sistema Em Chapas De Gesso Para Drywall, Uso Interno, Montante 90mm, Com Duas Face Duplas Resistente à Fogo e Standart+Resistente à umidade e isolamento com Lâ de Pet (2ST/90R/ST+RU)</t>
  </si>
  <si>
    <t xml:space="preserve">05.001.003.013 </t>
  </si>
  <si>
    <t>Parede Com Sistema Em Chapas De Gesso Para Drywall, Uso Interno, Montante 90mm, Com Uma Face Dupla Standart+Resistente à umidade e isolamento com Lâ de Pet (90/ST+RU)</t>
  </si>
  <si>
    <t xml:space="preserve">05.001.003.014 </t>
  </si>
  <si>
    <t>Parede Com Sistema Em Chapas De Gesso Para Drywall, Uso Interno, Montante 48mm, Com Uma Face Simples Resistente à umidade e isolamento com Lâ de Vidro (48/RU)</t>
  </si>
  <si>
    <t xml:space="preserve">05.001.003.015 </t>
  </si>
  <si>
    <t>Parede Com Sistema Em Chapas De Gesso Para Drywall, Uso Interno, Montante 48mm, Com Uma Face Simples Standart e isolamento com Lâ de Pet (48/ST)</t>
  </si>
  <si>
    <t xml:space="preserve">05.001.003.016 </t>
  </si>
  <si>
    <t>Fechamento em Chapa De Gesso Standart (ST COLADA)</t>
  </si>
  <si>
    <t xml:space="preserve">05.001.003.017 </t>
  </si>
  <si>
    <t>Fechamento em Chapa De Gesso Resistente à umidade (RU COLADA)</t>
  </si>
  <si>
    <t xml:space="preserve">05.001.003.018 </t>
  </si>
  <si>
    <t>Fechamento em Chapa De Gesso Resistente à fogo (RF COLADA)</t>
  </si>
  <si>
    <t xml:space="preserve">05.001.003.019 </t>
  </si>
  <si>
    <t>Fechamento em Chapa Cimentícia (AQ COLADA)</t>
  </si>
  <si>
    <t xml:space="preserve">05.001.004 </t>
  </si>
  <si>
    <t>Steel frame</t>
  </si>
  <si>
    <t xml:space="preserve">05.001.004.001 </t>
  </si>
  <si>
    <t>Parede Com Sistema Em Chapas Para Steel Frame, Montante 90mm, Com Duas Faces Simples Placa Cimentícia e Standard e isolamento com Lâ de Rocha (AQ/90/ST)</t>
  </si>
  <si>
    <t xml:space="preserve">05.001.004.002 </t>
  </si>
  <si>
    <t>Parede Com Sistema Em Chapas Para Steel Frame, Montante 90mm, Com Duas Faces Simples Placa Cimentícia e isolamento com Lâ de Rocha (AQ/90/AQ)</t>
  </si>
  <si>
    <t xml:space="preserve">05.001.004.003 </t>
  </si>
  <si>
    <t>Parede Com Sistema Em Chapas Para Steel Frame, Montante 90mm, Com Duas Faces Simples Placa Cimentícia e Resistente à umidade e isolamento com Lâ de Rocha (AQ/90/RU)</t>
  </si>
  <si>
    <t xml:space="preserve">05.001.004.004 </t>
  </si>
  <si>
    <t>Parede Com Sistema Em Chapas Para Steel Frame, Montante 140mm, Com Duas Faces Simples Placa Cimentícia e isolamento com Lâ de Rocha (AQ/140/AQ)</t>
  </si>
  <si>
    <t xml:space="preserve">05.001.004.005 </t>
  </si>
  <si>
    <t>Parede Com Sistema Em Chapas Para Steel Frame, Montante 140mm, Com Duas Faces Simples Placa Cimentícia e Standard e isolamento com Lâ de Rocha (AQ/140/ST)</t>
  </si>
  <si>
    <t xml:space="preserve">05.001.005 </t>
  </si>
  <si>
    <t>Mão de obra</t>
  </si>
  <si>
    <t xml:space="preserve">05.001.005.001 </t>
  </si>
  <si>
    <t>Mao de Obra para Execução de Alvenaria de Vedação - internas e externas</t>
  </si>
  <si>
    <t xml:space="preserve">05.001.005.002 </t>
  </si>
  <si>
    <t>Mao de Obra Empreitada - Instalação de Parede de Drywall</t>
  </si>
  <si>
    <t xml:space="preserve">05.001.005.003 </t>
  </si>
  <si>
    <t>Mao de Obra para Execução de Paredes em Steel Frame</t>
  </si>
  <si>
    <t xml:space="preserve">05.002 </t>
  </si>
  <si>
    <t>PAREDES E DIVISÓRIAS - EMBASAMENTO</t>
  </si>
  <si>
    <t xml:space="preserve">05.002.001 </t>
  </si>
  <si>
    <t xml:space="preserve">05.002.001.001 </t>
  </si>
  <si>
    <t xml:space="preserve">05.002.002 </t>
  </si>
  <si>
    <t xml:space="preserve">05.002.002.001 </t>
  </si>
  <si>
    <t xml:space="preserve">05.002.002.002 </t>
  </si>
  <si>
    <t xml:space="preserve">05.002.003 </t>
  </si>
  <si>
    <t xml:space="preserve">05.002.003.001 </t>
  </si>
  <si>
    <t>Parede Com Sistema Em Chapas De Gesso Para Drywall, Uso Interno, Montante 70mm, Com Uma Face Simples Standard (ST/70)</t>
  </si>
  <si>
    <t xml:space="preserve">05.002.003.002 </t>
  </si>
  <si>
    <t xml:space="preserve">05.002.003.003 </t>
  </si>
  <si>
    <t>Parede Com Sistema Em Chapas De Gesso Para Drywall, Uso Interno, Montante 70mm, Com Duas Face Simples Standart e Resistente à umidade e isolamento com Lâ de Pet (ST/70/RU)</t>
  </si>
  <si>
    <t xml:space="preserve">05.002.003.004 </t>
  </si>
  <si>
    <t>Parede Com Sistema Em Chapas De Gesso Para Drywall, Uso Interno, Montante 70mm, Com Duas Face Simples Standart e isolamento com Lâ de Pet (ST/70/ST)</t>
  </si>
  <si>
    <t xml:space="preserve">05.002.003.005 </t>
  </si>
  <si>
    <t xml:space="preserve">05.002.003.006 </t>
  </si>
  <si>
    <t xml:space="preserve">05.002.003.007 </t>
  </si>
  <si>
    <t xml:space="preserve">05.002.003.008 </t>
  </si>
  <si>
    <t>Parede Com Sistema Em Chapas De Gesso Para Drywall, Uso Interno, Montante 90mm, Com Duas Face Simples Resistente à Fogo e isolamento com Lâ de Pet (RF/90/RF)</t>
  </si>
  <si>
    <t xml:space="preserve">05.002.003.009 </t>
  </si>
  <si>
    <t xml:space="preserve">05.002.003.010 </t>
  </si>
  <si>
    <t xml:space="preserve">05.002.003.011 </t>
  </si>
  <si>
    <t xml:space="preserve">05.002.003.012 </t>
  </si>
  <si>
    <t xml:space="preserve">05.002.004 </t>
  </si>
  <si>
    <t xml:space="preserve">05.002.004.001 </t>
  </si>
  <si>
    <t>Parede Com Sistema Em Chapas Para Steel Frame, Montante 900mm, Com Uma Face Simples e Uma Face dupla Placa Cimentícia e Resistente à Fogo e isolamento com Lâ de Rocha (AQ/90/2RF)</t>
  </si>
  <si>
    <t xml:space="preserve">05.002.004.002 </t>
  </si>
  <si>
    <t xml:space="preserve">05.002.005 </t>
  </si>
  <si>
    <t xml:space="preserve">05.002.005.001 </t>
  </si>
  <si>
    <t xml:space="preserve">05.002.005.002 </t>
  </si>
  <si>
    <t xml:space="preserve">05.002.005.003 </t>
  </si>
  <si>
    <t xml:space="preserve">05.003 </t>
  </si>
  <si>
    <t>PAREDES E DIVISÓRIAS - TORRE</t>
  </si>
  <si>
    <t xml:space="preserve">05.003.001 </t>
  </si>
  <si>
    <t xml:space="preserve">05.003.001.001 </t>
  </si>
  <si>
    <t xml:space="preserve">05.003.001.002 </t>
  </si>
  <si>
    <t xml:space="preserve">Alvenaria de vedação de blocos cerâmicos furados na horizontal de 19,0x19x29cm (espessura 19,0 cm) com argamassa estabilizada de assentamento </t>
  </si>
  <si>
    <t xml:space="preserve">05.003.002 </t>
  </si>
  <si>
    <t xml:space="preserve">05.003.002.001 </t>
  </si>
  <si>
    <t xml:space="preserve">05.003.002.002 </t>
  </si>
  <si>
    <t xml:space="preserve">05.003.003 </t>
  </si>
  <si>
    <t xml:space="preserve">05.003.003.001 </t>
  </si>
  <si>
    <t xml:space="preserve">05.003.003.002 </t>
  </si>
  <si>
    <t xml:space="preserve">05.003.003.003 </t>
  </si>
  <si>
    <t>Parede Com Sistema Em Chapas De Gesso Para Drywall, Uso Interno, Montante 70mm, Com Duas Face Simples Standart e Resistente à umidade e isolamento com Lâ de Vidro(ST/70/RU)</t>
  </si>
  <si>
    <t xml:space="preserve">05.003.003.004 </t>
  </si>
  <si>
    <t>Parede Com Sistema Em Chapas De Gesso Para Drywall, Uso Interno, Montante 70mm, Com Duas Face Simples Standart  e isolamento com Lâ de Vidro (ST/70/ST)</t>
  </si>
  <si>
    <t xml:space="preserve">05.003.003.005 </t>
  </si>
  <si>
    <t xml:space="preserve">05.003.003.006 </t>
  </si>
  <si>
    <t xml:space="preserve">05.003.003.007 </t>
  </si>
  <si>
    <t xml:space="preserve">05.003.003.008 </t>
  </si>
  <si>
    <t>Parede Com Sistema Em Chapas De Gesso Para Drywall, Uso Interno, Montante 90mm, Com Uma Face Simples Standart e isolamento com Lâ de Pet (ST/90)</t>
  </si>
  <si>
    <t xml:space="preserve">05.003.003.009 </t>
  </si>
  <si>
    <t>Parede Com Sistema Em Chapas De Gesso Para Drywall, Uso Interno, Montante 90mm, Com Uma Face Dupla Standart e isolamento com Lâ de Pet (90/2ST)</t>
  </si>
  <si>
    <t xml:space="preserve">05.003.003.010 </t>
  </si>
  <si>
    <t xml:space="preserve">05.003.003.011 </t>
  </si>
  <si>
    <t xml:space="preserve">05.003.003.012 </t>
  </si>
  <si>
    <t xml:space="preserve">05.003.003.013 </t>
  </si>
  <si>
    <t xml:space="preserve">05.003.003.014 </t>
  </si>
  <si>
    <t xml:space="preserve">05.003.003.015 </t>
  </si>
  <si>
    <t>Parede Com Sistema Em Chapas De Gesso Para Drywall, Uso Interno, Montante 90mm, Com Duas Face Duplas Resistente à umidade+Standart e isolamento com Lâ de Pet (RU+ST/90/ST+RU)</t>
  </si>
  <si>
    <t xml:space="preserve">05.003.003.016 </t>
  </si>
  <si>
    <t xml:space="preserve">05.003.003.017 </t>
  </si>
  <si>
    <t xml:space="preserve">05.003.003.018 </t>
  </si>
  <si>
    <t xml:space="preserve">05.003.003.019 </t>
  </si>
  <si>
    <t xml:space="preserve">05.003.003.020 </t>
  </si>
  <si>
    <t xml:space="preserve">05.003.003.021 </t>
  </si>
  <si>
    <t xml:space="preserve">05.003.003.022 </t>
  </si>
  <si>
    <t xml:space="preserve">05.003.004 </t>
  </si>
  <si>
    <t xml:space="preserve">05.003.004.001 </t>
  </si>
  <si>
    <t>Parede Com Sistema Em Chapas Para Steel Frame, Montante 70mm, Com Uma Face Simples Placa Cimentícia e isolamento com Lâ de Rocha (70/AQ)</t>
  </si>
  <si>
    <t xml:space="preserve">05.003.004.002 </t>
  </si>
  <si>
    <t>Parede Com Sistema Em Chapas Para Steel Frame, Montante 90mm, Com Uma Face Simples Placa Cimentícia e isolamento com Lâ de Rocha (90/AQ)</t>
  </si>
  <si>
    <t xml:space="preserve">05.003.004.003 </t>
  </si>
  <si>
    <t xml:space="preserve">05.003.004.004 </t>
  </si>
  <si>
    <t xml:space="preserve">05.003.004.005 </t>
  </si>
  <si>
    <t xml:space="preserve">05.003.004.006 </t>
  </si>
  <si>
    <t xml:space="preserve">05.003.004.007 </t>
  </si>
  <si>
    <t>Parede Com Sistema Em Chapas Para Steel Frame, Montante 140mm, Com Duas Faces Simples Placa Cimentícia e Resistente à Fogo e isolamento com Lâ de Rocha (AQ/140/RF)</t>
  </si>
  <si>
    <t xml:space="preserve">05.003.004.008 </t>
  </si>
  <si>
    <t xml:space="preserve">05.003.004.009 </t>
  </si>
  <si>
    <t>Parede Com Sistema Em Chapas Para Steel Frame, Montante 140mm, Com Uma Face Simples e Uma Face dupla Placa Cimentícia e Resistente à Fogo e isolamento com Lâ de Rocha (AQ/140/2RF)</t>
  </si>
  <si>
    <t xml:space="preserve">05.003.005 </t>
  </si>
  <si>
    <t xml:space="preserve">05.003.005.001 </t>
  </si>
  <si>
    <t xml:space="preserve">05.003.005.002 </t>
  </si>
  <si>
    <t xml:space="preserve">05.003.005.003 </t>
  </si>
  <si>
    <t xml:space="preserve">05.004 </t>
  </si>
  <si>
    <t>PAREDES E DIVISÓRIAS - PAVIMENTOS TÉCNICOS</t>
  </si>
  <si>
    <t xml:space="preserve">05.004.001 </t>
  </si>
  <si>
    <t xml:space="preserve">05.004.001.001 </t>
  </si>
  <si>
    <t xml:space="preserve">05.004.002 </t>
  </si>
  <si>
    <t xml:space="preserve">05.004.002.001 </t>
  </si>
  <si>
    <t xml:space="preserve">05.004.002.002 </t>
  </si>
  <si>
    <t xml:space="preserve">05.004.003 </t>
  </si>
  <si>
    <t xml:space="preserve">05.004.003.001 </t>
  </si>
  <si>
    <t xml:space="preserve">05.004.003.002 </t>
  </si>
  <si>
    <t xml:space="preserve">05.004.003.003 </t>
  </si>
  <si>
    <t xml:space="preserve">05.004.003.004 </t>
  </si>
  <si>
    <t xml:space="preserve">05.004.004 </t>
  </si>
  <si>
    <t xml:space="preserve">05.004.004.001 </t>
  </si>
  <si>
    <t xml:space="preserve">05.004.004.002 </t>
  </si>
  <si>
    <t xml:space="preserve">05.004.005 </t>
  </si>
  <si>
    <t xml:space="preserve">05.004.005.001 </t>
  </si>
  <si>
    <t xml:space="preserve">05.004.005.002 </t>
  </si>
  <si>
    <t xml:space="preserve">05.004.005.003 </t>
  </si>
  <si>
    <t xml:space="preserve">06 </t>
  </si>
  <si>
    <t>SISTEMAS E INSTALAÇÕES HIDROSSANITÁRIAS E DRENAGEM</t>
  </si>
  <si>
    <t xml:space="preserve">06.001 </t>
  </si>
  <si>
    <t xml:space="preserve">06.001.001 </t>
  </si>
  <si>
    <t>Entrada de água (cavalete e rede, torneiras térreo/garagens)</t>
  </si>
  <si>
    <t xml:space="preserve">06.001.001.001 </t>
  </si>
  <si>
    <t>Entrada de Abastecimento de Água</t>
  </si>
  <si>
    <t xml:space="preserve">06.001.001.002 </t>
  </si>
  <si>
    <t>Hidrômetros e válvulas do sistema</t>
  </si>
  <si>
    <t xml:space="preserve">06.001.002 </t>
  </si>
  <si>
    <t>Sistema de bombas e pressurização</t>
  </si>
  <si>
    <t xml:space="preserve">06.001.002.001 </t>
  </si>
  <si>
    <t>Sistema de bombas e pressurização hidráulica</t>
  </si>
  <si>
    <t xml:space="preserve">06.001.002.002 </t>
  </si>
  <si>
    <t>Sistema de bombas e pressurização sanitária</t>
  </si>
  <si>
    <t xml:space="preserve">06.001.003 </t>
  </si>
  <si>
    <t>Prumadas, ramias e distribuição</t>
  </si>
  <si>
    <t xml:space="preserve">06.001.003.001 </t>
  </si>
  <si>
    <t>Instalacoes de Agua Fria</t>
  </si>
  <si>
    <t xml:space="preserve">06.001.003.002 </t>
  </si>
  <si>
    <t>Instalações de água quente</t>
  </si>
  <si>
    <t xml:space="preserve">06.001.003.003 </t>
  </si>
  <si>
    <t>Instalações de Água Pluviais</t>
  </si>
  <si>
    <t xml:space="preserve">06.001.003.004 </t>
  </si>
  <si>
    <t>Instalações de Esgoto</t>
  </si>
  <si>
    <t xml:space="preserve">06.001.003.005 </t>
  </si>
  <si>
    <t>Sistema de isolamento com Polipex 10mm</t>
  </si>
  <si>
    <t xml:space="preserve">06.001.004 </t>
  </si>
  <si>
    <t xml:space="preserve">06.001.004.001 </t>
  </si>
  <si>
    <t>Mão de obra para execução de instalações hidráulicas e drenagem</t>
  </si>
  <si>
    <t xml:space="preserve">07 </t>
  </si>
  <si>
    <t>INSTALAÇÕES ELÉTRICAS, LÓGICAS E TELEFÔNICAS</t>
  </si>
  <si>
    <t xml:space="preserve">07.001 </t>
  </si>
  <si>
    <t xml:space="preserve">07.001.001 </t>
  </si>
  <si>
    <t>Entrada de energia, subestação e barramento blindado</t>
  </si>
  <si>
    <t xml:space="preserve">07.001.001.001 </t>
  </si>
  <si>
    <t>Entrada de Energia e Melhoria de Rede</t>
  </si>
  <si>
    <t xml:space="preserve">07.001.001.002 </t>
  </si>
  <si>
    <t>Subestação</t>
  </si>
  <si>
    <t xml:space="preserve">07.001.001.003 </t>
  </si>
  <si>
    <t>Sistema Gerador</t>
  </si>
  <si>
    <t xml:space="preserve">07.001.001.004 </t>
  </si>
  <si>
    <t>Sistema de Barramento Blindado</t>
  </si>
  <si>
    <t xml:space="preserve">07.001.002 </t>
  </si>
  <si>
    <t>Para-raio</t>
  </si>
  <si>
    <t xml:space="preserve">07.001.002.001 </t>
  </si>
  <si>
    <t>Sistema SPDA</t>
  </si>
  <si>
    <t xml:space="preserve">07.001.003 </t>
  </si>
  <si>
    <t xml:space="preserve">Estações de recarga carros elétricos </t>
  </si>
  <si>
    <t xml:space="preserve">07.001.003.001 </t>
  </si>
  <si>
    <t>Infraestrutura para carregamento de carro elétrico</t>
  </si>
  <si>
    <t>pto</t>
  </si>
  <si>
    <t xml:space="preserve">07.001.004 </t>
  </si>
  <si>
    <t xml:space="preserve">Quadros de distribuições </t>
  </si>
  <si>
    <t xml:space="preserve">07.001.004.001 </t>
  </si>
  <si>
    <t>Quadros de distribuições e disjuntores</t>
  </si>
  <si>
    <t xml:space="preserve">07.001.005 </t>
  </si>
  <si>
    <t>Eletrodutos e caixinhas (sem suporte)</t>
  </si>
  <si>
    <t xml:space="preserve">07.001.005.001 </t>
  </si>
  <si>
    <t>Eletrodutos, eletrocalhas e caixas</t>
  </si>
  <si>
    <t xml:space="preserve">07.001.006 </t>
  </si>
  <si>
    <t>Fiação</t>
  </si>
  <si>
    <t xml:space="preserve">07.001.006.001 </t>
  </si>
  <si>
    <t>Fios e Cabos Elétricos</t>
  </si>
  <si>
    <t xml:space="preserve">07.001.007 </t>
  </si>
  <si>
    <t>Suportes, módulos e acabamentos elétricos</t>
  </si>
  <si>
    <t xml:space="preserve">07.001.007.001 </t>
  </si>
  <si>
    <t xml:space="preserve">07.001.008 </t>
  </si>
  <si>
    <t>Instalações de comunicação</t>
  </si>
  <si>
    <t xml:space="preserve">07.001.008.001 </t>
  </si>
  <si>
    <t>Telefonia/lógica/internet</t>
  </si>
  <si>
    <t xml:space="preserve">07.001.009 </t>
  </si>
  <si>
    <t xml:space="preserve">07.001.009.001 </t>
  </si>
  <si>
    <t>Mao de obra de instalações eletricas</t>
  </si>
  <si>
    <t xml:space="preserve">08 </t>
  </si>
  <si>
    <t>REVESTIMENTOS EM ARGAMASSA DE PISO, PAREDE E TETO</t>
  </si>
  <si>
    <t xml:space="preserve">08.001 </t>
  </si>
  <si>
    <t>REVESTIMENTOS EM ARGAMASSA DE PISO, PAREDE E TETO - ÁREA COMUM</t>
  </si>
  <si>
    <t xml:space="preserve">08.001.001 </t>
  </si>
  <si>
    <t>Contrapiso</t>
  </si>
  <si>
    <t xml:space="preserve">08.001.001.001 </t>
  </si>
  <si>
    <t>Contrapiso de Regularização de Base para Revestimento de Piso, com argamassa industrializada (e = 3,5 cm)</t>
  </si>
  <si>
    <t xml:space="preserve">08.001.001.002 </t>
  </si>
  <si>
    <t>Contrapiso de Regularização de Base para Revestimento de Piso, com argamassa industrializada (e = 5 cm)</t>
  </si>
  <si>
    <t xml:space="preserve">08.001.001.003 </t>
  </si>
  <si>
    <t>Contrapiso Acustico de Regularização de Base para Revestimento de Piso, com argamassa industrializada (e = 3,5 cm) e manta de borracha (e = 2 mm)</t>
  </si>
  <si>
    <t xml:space="preserve">08.001.001.004 </t>
  </si>
  <si>
    <t>Contrapiso Estruturado de Base para Revestimento de Piso, com argamassa industrializada (e = 0,5 cm)</t>
  </si>
  <si>
    <t xml:space="preserve">08.001.001.005 </t>
  </si>
  <si>
    <t>Contrapiso de Regularização de Base para Revestimento de Piso, com argamassa industrializada (e = 2 cm)</t>
  </si>
  <si>
    <t xml:space="preserve">08.001.002 </t>
  </si>
  <si>
    <t>Revestimento Interno</t>
  </si>
  <si>
    <t xml:space="preserve">08.001.002.001 </t>
  </si>
  <si>
    <t>Chapisco aplicado em alvenarias internas, com colher de pedreiro, de argamassa indstrializada</t>
  </si>
  <si>
    <t xml:space="preserve">08.001.002.002 </t>
  </si>
  <si>
    <t>Chapisco aplicado em estruturas de concreto, com desempenadeira dentada, de argamassa industrializada colante</t>
  </si>
  <si>
    <t xml:space="preserve">08.001.002.003 </t>
  </si>
  <si>
    <t>Reboco interno em argamassa industrializada, espessura de 20mm, com execucao de taliscas</t>
  </si>
  <si>
    <t xml:space="preserve">08.001.002.004 </t>
  </si>
  <si>
    <t>Estucamento de estrutura de concreto em pilares e vigas</t>
  </si>
  <si>
    <t xml:space="preserve">08.001.002.005 </t>
  </si>
  <si>
    <t>Estucamento de estrutura de concreto em teto</t>
  </si>
  <si>
    <t xml:space="preserve">08.001.003 </t>
  </si>
  <si>
    <t>Revestimento Fachada</t>
  </si>
  <si>
    <t xml:space="preserve">08.001.003.001 </t>
  </si>
  <si>
    <t>Chapisco aplicado em alvenarias externas, com colher de pedreiro, de argamassa industrializada</t>
  </si>
  <si>
    <t xml:space="preserve">08.001.003.002 </t>
  </si>
  <si>
    <t xml:space="preserve">08.001.003.003 </t>
  </si>
  <si>
    <t>Reboco externo em argamassa industrializada, espessura de 25mm</t>
  </si>
  <si>
    <t xml:space="preserve">08.001.004 </t>
  </si>
  <si>
    <t xml:space="preserve">08.001.004.001 </t>
  </si>
  <si>
    <t>Mao de obra para execucao de contrapiso comum e acústico</t>
  </si>
  <si>
    <t xml:space="preserve">08.001.004.002 </t>
  </si>
  <si>
    <t>Mao de obra para execucao de contrapiso estruturado</t>
  </si>
  <si>
    <t xml:space="preserve">08.001.004.003 </t>
  </si>
  <si>
    <t>Mao de obra para reboco interno, incluindo chapisco</t>
  </si>
  <si>
    <t xml:space="preserve">08.001.004.004 </t>
  </si>
  <si>
    <t>Mao de obra para estucamento de estrutura em concreto</t>
  </si>
  <si>
    <t xml:space="preserve">08.001.004.005 </t>
  </si>
  <si>
    <t>Mao de obra para reboco externo, inclui chapisco</t>
  </si>
  <si>
    <t xml:space="preserve">08.002 </t>
  </si>
  <si>
    <t>REVESTIMENTOS EM ARGAMASSA DE PISO, PAREDE E TETO - EMBASAMENTO</t>
  </si>
  <si>
    <t xml:space="preserve">08.002.001 </t>
  </si>
  <si>
    <t xml:space="preserve">08.002.001.001 </t>
  </si>
  <si>
    <t>Contrapiso de Regularização de Base para Revestimento de Piso, com argamassa industrializada (e = 3 cm)</t>
  </si>
  <si>
    <t xml:space="preserve">08.002.001.002 </t>
  </si>
  <si>
    <t xml:space="preserve">08.002.001.003 </t>
  </si>
  <si>
    <t>Contrapiso de Regularização de Base para Revestimento de Piso, com argamassa industrializada (e = 40 cm)</t>
  </si>
  <si>
    <t xml:space="preserve">08.002.001.004 </t>
  </si>
  <si>
    <t>Acabamento Polido Para Piso De Concreto Armado Ou Laje Sobre Solo De Alta Resistência</t>
  </si>
  <si>
    <t xml:space="preserve">08.002.002 </t>
  </si>
  <si>
    <t xml:space="preserve">08.002.002.001 </t>
  </si>
  <si>
    <t xml:space="preserve">08.002.002.002 </t>
  </si>
  <si>
    <t xml:space="preserve">08.002.002.003 </t>
  </si>
  <si>
    <t xml:space="preserve">08.002.002.004 </t>
  </si>
  <si>
    <t xml:space="preserve">08.002.002.005 </t>
  </si>
  <si>
    <t xml:space="preserve">08.002.003 </t>
  </si>
  <si>
    <t xml:space="preserve">08.002.003.001 </t>
  </si>
  <si>
    <t xml:space="preserve">08.002.003.002 </t>
  </si>
  <si>
    <t xml:space="preserve">08.002.003.003 </t>
  </si>
  <si>
    <t xml:space="preserve">08.002.004 </t>
  </si>
  <si>
    <t xml:space="preserve">08.002.004.001 </t>
  </si>
  <si>
    <t xml:space="preserve">08.002.004.002 </t>
  </si>
  <si>
    <t>Mao de obra para execucao de polimento de piso</t>
  </si>
  <si>
    <t xml:space="preserve">08.002.004.003 </t>
  </si>
  <si>
    <t xml:space="preserve">08.002.004.004 </t>
  </si>
  <si>
    <t xml:space="preserve">08.002.004.005 </t>
  </si>
  <si>
    <t xml:space="preserve">08.003 </t>
  </si>
  <si>
    <t>REVESTIMENTOS EM ARGAMASSA DE PISO, PAREDE E TETO - TORRE</t>
  </si>
  <si>
    <t xml:space="preserve">08.003.001 </t>
  </si>
  <si>
    <t xml:space="preserve">08.003.001.001 </t>
  </si>
  <si>
    <t xml:space="preserve">08.003.001.002 </t>
  </si>
  <si>
    <t>Contrapiso Acustico de Regularização de Base para Revestimento de Piso, com argamassa industrializada (e = 5 cm) e manta de borracha (e = 2 mm)</t>
  </si>
  <si>
    <t xml:space="preserve">08.003.001.003 </t>
  </si>
  <si>
    <t xml:space="preserve">08.003.001.004 </t>
  </si>
  <si>
    <t xml:space="preserve">08.003.002 </t>
  </si>
  <si>
    <t xml:space="preserve">08.003.002.001 </t>
  </si>
  <si>
    <t xml:space="preserve">08.003.002.002 </t>
  </si>
  <si>
    <t xml:space="preserve">08.003.002.003 </t>
  </si>
  <si>
    <t xml:space="preserve">08.003.002.004 </t>
  </si>
  <si>
    <t xml:space="preserve">08.003.002.005 </t>
  </si>
  <si>
    <t xml:space="preserve">08.003.003 </t>
  </si>
  <si>
    <t xml:space="preserve">08.003.003.001 </t>
  </si>
  <si>
    <t xml:space="preserve">08.003.003.002 </t>
  </si>
  <si>
    <t xml:space="preserve">08.003.004 </t>
  </si>
  <si>
    <t xml:space="preserve">08.003.004.001 </t>
  </si>
  <si>
    <t xml:space="preserve">08.003.004.002 </t>
  </si>
  <si>
    <t xml:space="preserve">08.003.004.003 </t>
  </si>
  <si>
    <t xml:space="preserve">08.003.004.004 </t>
  </si>
  <si>
    <t xml:space="preserve">08.004 </t>
  </si>
  <si>
    <t>REVESTIMENTOS EM ARGAMASSA DE PISO, PAREDE E TETO - PAVIMENTOS TÉCNICOS</t>
  </si>
  <si>
    <t xml:space="preserve">08.004.001 </t>
  </si>
  <si>
    <t xml:space="preserve">08.004.001.001 </t>
  </si>
  <si>
    <t xml:space="preserve">08.004.001.002 </t>
  </si>
  <si>
    <t xml:space="preserve">08.004.002 </t>
  </si>
  <si>
    <t xml:space="preserve">08.004.002.001 </t>
  </si>
  <si>
    <t xml:space="preserve">08.004.002.002 </t>
  </si>
  <si>
    <t xml:space="preserve">08.004.002.003 </t>
  </si>
  <si>
    <t xml:space="preserve">08.004.002.004 </t>
  </si>
  <si>
    <t xml:space="preserve">08.004.002.005 </t>
  </si>
  <si>
    <t xml:space="preserve">08.004.003 </t>
  </si>
  <si>
    <t xml:space="preserve">08.004.003.001 </t>
  </si>
  <si>
    <t xml:space="preserve">08.004.003.002 </t>
  </si>
  <si>
    <t xml:space="preserve">08.004.003.003 </t>
  </si>
  <si>
    <t xml:space="preserve">08.004.004 </t>
  </si>
  <si>
    <t xml:space="preserve">08.004.004.001 </t>
  </si>
  <si>
    <t xml:space="preserve">08.004.004.002 </t>
  </si>
  <si>
    <t xml:space="preserve">08.004.004.003 </t>
  </si>
  <si>
    <t xml:space="preserve">08.004.004.004 </t>
  </si>
  <si>
    <t xml:space="preserve">09 </t>
  </si>
  <si>
    <t>FORRO</t>
  </si>
  <si>
    <t xml:space="preserve">09.001 </t>
  </si>
  <si>
    <t>FORRO - ÁREA COMUM</t>
  </si>
  <si>
    <t xml:space="preserve">09.001.001 </t>
  </si>
  <si>
    <t>Revestimento de Gesso</t>
  </si>
  <si>
    <t xml:space="preserve">09.001.001.001 </t>
  </si>
  <si>
    <t>Forro de Gesso Acartonada para Áreas Secas - material e mão de obra</t>
  </si>
  <si>
    <t xml:space="preserve">09.001.001.002 </t>
  </si>
  <si>
    <t>Forro de Gesso Acartonada para Áreas Molhadas - material e mão de obra</t>
  </si>
  <si>
    <t xml:space="preserve">09.001.002 </t>
  </si>
  <si>
    <t>Revestimentos Epeciais</t>
  </si>
  <si>
    <t xml:space="preserve">09.001.002.001 </t>
  </si>
  <si>
    <t>Forro de madeira - material e mão de obra</t>
  </si>
  <si>
    <t xml:space="preserve">09.001.002.002 </t>
  </si>
  <si>
    <t>Forro de ACM- material e mão de obra</t>
  </si>
  <si>
    <t xml:space="preserve">09.001.002.003 </t>
  </si>
  <si>
    <t>Revestimento em Forro com Mármore Travertino Bruto, rejunte cimentício</t>
  </si>
  <si>
    <t xml:space="preserve">09.002 </t>
  </si>
  <si>
    <t>FORRO - EMBASAMENTO</t>
  </si>
  <si>
    <t xml:space="preserve">09.002.001 </t>
  </si>
  <si>
    <t xml:space="preserve">09.002.001.001 </t>
  </si>
  <si>
    <t xml:space="preserve">09.003 </t>
  </si>
  <si>
    <t>FORRO - TORRE</t>
  </si>
  <si>
    <t xml:space="preserve">09.003.001 </t>
  </si>
  <si>
    <t xml:space="preserve">09.003.001.001 </t>
  </si>
  <si>
    <t xml:space="preserve">09.003.001.002 </t>
  </si>
  <si>
    <t xml:space="preserve">09.003.002 </t>
  </si>
  <si>
    <t>FORRO - PAVIMENTOS TÉCNICOS</t>
  </si>
  <si>
    <t xml:space="preserve">09.003.003 </t>
  </si>
  <si>
    <t xml:space="preserve">09.003.003.001 </t>
  </si>
  <si>
    <t xml:space="preserve">10 </t>
  </si>
  <si>
    <t>IMPERMEABILIZAÇÃO E TRATAMENTOS</t>
  </si>
  <si>
    <t xml:space="preserve">10.001 </t>
  </si>
  <si>
    <t>IMPERMEABILIZAÇÃO E TRATAMENTOS - ÁREA COMUM</t>
  </si>
  <si>
    <t xml:space="preserve">10.001.001 </t>
  </si>
  <si>
    <t>Regularização e proteção mecânica</t>
  </si>
  <si>
    <t xml:space="preserve">10.001.001.001 </t>
  </si>
  <si>
    <t>Regularizacao de superficie para impermeabilizacao</t>
  </si>
  <si>
    <t xml:space="preserve">10.001.002 </t>
  </si>
  <si>
    <t>Impermeabilizações</t>
  </si>
  <si>
    <t xml:space="preserve">10.001.002.001 </t>
  </si>
  <si>
    <t>Impermeabilização De Superfície Com Argamassa Polimérica, 3 Demãos</t>
  </si>
  <si>
    <t xml:space="preserve">10.001.002.002 </t>
  </si>
  <si>
    <t>Impermeabilização De Superfície Com Aspersão de CWS e CWS100 - Processo FG</t>
  </si>
  <si>
    <t xml:space="preserve">10.001.002.003 </t>
  </si>
  <si>
    <t>Tratamento De Alinhamento do Drywall com Martique e Tarucel</t>
  </si>
  <si>
    <t xml:space="preserve">10.001.002.004 </t>
  </si>
  <si>
    <t>Tratamento De Ralo Ou Ponto Emergente Com Argamassa Polimérica Reforçado Com Tela De Poliéster</t>
  </si>
  <si>
    <t xml:space="preserve">10.001.003 </t>
  </si>
  <si>
    <t xml:space="preserve">10.001.003.001 </t>
  </si>
  <si>
    <t>Mão de obra para regularização de superfície</t>
  </si>
  <si>
    <t xml:space="preserve">10.001.003.002 </t>
  </si>
  <si>
    <t>Mão de obra impermeabilização de argamassa polimérica</t>
  </si>
  <si>
    <t xml:space="preserve">10.001.003.003 </t>
  </si>
  <si>
    <t>Mão de obra impermeabilização de aspersão de CWS</t>
  </si>
  <si>
    <t xml:space="preserve">10.001.003.004 </t>
  </si>
  <si>
    <t>Mão de obra tratamento de ralo com manta de poliéster</t>
  </si>
  <si>
    <t xml:space="preserve">10.002 </t>
  </si>
  <si>
    <t>IMPERMEABILIZAÇÃO E TRATAMENTOS - EMBASAMENTO</t>
  </si>
  <si>
    <t xml:space="preserve">10.002.001 </t>
  </si>
  <si>
    <t xml:space="preserve">10.002.001.001 </t>
  </si>
  <si>
    <t xml:space="preserve">10.002.002 </t>
  </si>
  <si>
    <t xml:space="preserve">10.002.002.001 </t>
  </si>
  <si>
    <t xml:space="preserve">10.002.002.002 </t>
  </si>
  <si>
    <t xml:space="preserve">10.002.002.003 </t>
  </si>
  <si>
    <t xml:space="preserve">10.002.002.004 </t>
  </si>
  <si>
    <t>Impermeabilização com resina acrílica e perfil extrudado neoprene (jeene)</t>
  </si>
  <si>
    <t xml:space="preserve">10.002.003 </t>
  </si>
  <si>
    <t xml:space="preserve">10.002.003.001 </t>
  </si>
  <si>
    <t xml:space="preserve">10.002.003.002 </t>
  </si>
  <si>
    <t xml:space="preserve">10.002.003.003 </t>
  </si>
  <si>
    <t xml:space="preserve">10.002.003.004 </t>
  </si>
  <si>
    <t>Mão de obra tratamento de junta com resina e perfil extrudado neoprene</t>
  </si>
  <si>
    <t xml:space="preserve">10.003 </t>
  </si>
  <si>
    <t>IMPERMEABILIZAÇÃO E TRATAMENTOS - TORRE</t>
  </si>
  <si>
    <t xml:space="preserve">10.003.001 </t>
  </si>
  <si>
    <t xml:space="preserve">10.003.001.001 </t>
  </si>
  <si>
    <t xml:space="preserve">10.003.002 </t>
  </si>
  <si>
    <t xml:space="preserve">10.003.002.001 </t>
  </si>
  <si>
    <t xml:space="preserve">10.003.002.002 </t>
  </si>
  <si>
    <t xml:space="preserve">10.003.002.003 </t>
  </si>
  <si>
    <t xml:space="preserve">10.003.002.004 </t>
  </si>
  <si>
    <t xml:space="preserve">10.003.003 </t>
  </si>
  <si>
    <t xml:space="preserve">10.003.003.001 </t>
  </si>
  <si>
    <t xml:space="preserve">10.003.003.002 </t>
  </si>
  <si>
    <t xml:space="preserve">10.003.003.003 </t>
  </si>
  <si>
    <t xml:space="preserve">10.003.003.004 </t>
  </si>
  <si>
    <t xml:space="preserve">10.004 </t>
  </si>
  <si>
    <t>IMPERMEABILIZAÇÃO E TRATAMENTOS - PAVIMENTOS TÉCNICOS</t>
  </si>
  <si>
    <t xml:space="preserve">10.004.001 </t>
  </si>
  <si>
    <t xml:space="preserve">10.004.001.001 </t>
  </si>
  <si>
    <t xml:space="preserve">10.004.002 </t>
  </si>
  <si>
    <t xml:space="preserve">10.004.002.001 </t>
  </si>
  <si>
    <t xml:space="preserve">10.004.002.002 </t>
  </si>
  <si>
    <t xml:space="preserve">10.004.002.003 </t>
  </si>
  <si>
    <t xml:space="preserve">10.004.003 </t>
  </si>
  <si>
    <t xml:space="preserve">10.004.003.001 </t>
  </si>
  <si>
    <t xml:space="preserve">10.004.003.002 </t>
  </si>
  <si>
    <t xml:space="preserve">10.004.003.003 </t>
  </si>
  <si>
    <t xml:space="preserve">11 </t>
  </si>
  <si>
    <t>SISTEMAS DE PINTURA</t>
  </si>
  <si>
    <t xml:space="preserve">11.001 </t>
  </si>
  <si>
    <t>PINTURA INTERNA - ÁREA COMUM</t>
  </si>
  <si>
    <t xml:space="preserve">11.001.001 </t>
  </si>
  <si>
    <t>Sistema de pintura em piso</t>
  </si>
  <si>
    <t xml:space="preserve">11.001.001.001 </t>
  </si>
  <si>
    <t>Pintura Epoxi Em Piso 2 Demaos - Aplicacao Em Garagens - Incluindo Faixas Demarcatorias</t>
  </si>
  <si>
    <t xml:space="preserve">11.001.001.002 </t>
  </si>
  <si>
    <t>Pintura Epoxi a Base de Água em Rodapé, 2 Demaos - 10cm</t>
  </si>
  <si>
    <t xml:space="preserve">11.001.002 </t>
  </si>
  <si>
    <t>Sistema de pintura em parede</t>
  </si>
  <si>
    <t xml:space="preserve">11.001.002.001 </t>
  </si>
  <si>
    <t>Fundo Preparador Em Paredes Internas, 1 demao</t>
  </si>
  <si>
    <t xml:space="preserve">11.001.002.002 </t>
  </si>
  <si>
    <t>Massa Latex PVA Em Paredes Internas 2 Demaos</t>
  </si>
  <si>
    <t xml:space="preserve">11.001.002.003 </t>
  </si>
  <si>
    <t>Pintura Com Tinta Latex Acrilica, Acabamento Fosco Em Paredes Internas, 2 Demaos</t>
  </si>
  <si>
    <t xml:space="preserve">11.001.002.004 </t>
  </si>
  <si>
    <t>Pintura Com Tinta Latex Acrilica, Acabamento Fosco Em Paredes Internas, 3 Demaos</t>
  </si>
  <si>
    <t xml:space="preserve">11.001.002.005 </t>
  </si>
  <si>
    <t>Textura Acrilica Aplicacao Em Paredes Internas - 1 Demao</t>
  </si>
  <si>
    <t xml:space="preserve">11.001.002.006 </t>
  </si>
  <si>
    <t>Textura Monolítica, Aplicacao Em Paredes Internas,1 Demao</t>
  </si>
  <si>
    <t xml:space="preserve">11.001.003 </t>
  </si>
  <si>
    <t>Sistema de pintura em teto</t>
  </si>
  <si>
    <t xml:space="preserve">11.001.003.001 </t>
  </si>
  <si>
    <t>Fundo Preparador Em Teto, 1 demao</t>
  </si>
  <si>
    <t xml:space="preserve">11.001.003.002 </t>
  </si>
  <si>
    <t>Massa Latex PVA Em Teto, 2 Demaos</t>
  </si>
  <si>
    <t xml:space="preserve">11.001.003.003 </t>
  </si>
  <si>
    <t>Pintura Com Tinta Latex Acrilica, Acabamento Fosco Em Teto, 3 Demaos</t>
  </si>
  <si>
    <t xml:space="preserve">11.001.003.004 </t>
  </si>
  <si>
    <t>Pintura Com Tinta Latex Acrilica, Acabamento Acetinado Em Teto, 3 Demaos</t>
  </si>
  <si>
    <t xml:space="preserve">11.001.003.005 </t>
  </si>
  <si>
    <t>Textura Acrilica, Aplicacao Em Teto,1 Demao</t>
  </si>
  <si>
    <t xml:space="preserve">11.001.004 </t>
  </si>
  <si>
    <t>Pinturas diversas</t>
  </si>
  <si>
    <t xml:space="preserve">11.001.004.001 </t>
  </si>
  <si>
    <t>Pintura Com Tinta Esmalte Sintético, Em Madeira/Corrimão, 3 Demaos</t>
  </si>
  <si>
    <t xml:space="preserve">11.001.005 </t>
  </si>
  <si>
    <t xml:space="preserve">11.001.005.001 </t>
  </si>
  <si>
    <t>Mao De Obra Para Pintura Epoxi Em Piso, 2 demãos (Incluindo Faixas De Demarcacao)</t>
  </si>
  <si>
    <t xml:space="preserve">11.001.005.002 </t>
  </si>
  <si>
    <t>Mao De Obra Para Pintura Epoxi Em Rodape, 2 Demaos</t>
  </si>
  <si>
    <t xml:space="preserve">11.001.005.003 </t>
  </si>
  <si>
    <t>Mao De Obra Para Pintura de Poço do Elevador, 2 Demaos</t>
  </si>
  <si>
    <t xml:space="preserve">11.001.005.004 </t>
  </si>
  <si>
    <t>Mao De Obra Para Pintura Acrilica Em Paredes, 3 Demaos</t>
  </si>
  <si>
    <t xml:space="preserve">11.001.005.005 </t>
  </si>
  <si>
    <t>Mao De Obra Para Pintura Acrílica Em Teto 3 Demaos</t>
  </si>
  <si>
    <t xml:space="preserve">11.001.005.006 </t>
  </si>
  <si>
    <t>Mao De Obra Para Aplicacao De Textura Acrilica Em Paredes Internas 1 Demao</t>
  </si>
  <si>
    <t xml:space="preserve">11.001.005.007 </t>
  </si>
  <si>
    <t>Mao de obra para Textura Monolitica em Paredes Internas, 1 demao</t>
  </si>
  <si>
    <t xml:space="preserve">11.001.005.008 </t>
  </si>
  <si>
    <t>Mao De Obra Para Aplicacao De Textura Acrilica Em Teto, 1 Demao</t>
  </si>
  <si>
    <t xml:space="preserve">11.001.005.009 </t>
  </si>
  <si>
    <t>Mão De Obra Para Pintura Com Tinta Esmalte Sintético, Em Madeira/Corrimão, 3 Demaos</t>
  </si>
  <si>
    <t xml:space="preserve">11.002 </t>
  </si>
  <si>
    <t>PINTURA INTERNA - EMBASAMENTO</t>
  </si>
  <si>
    <t xml:space="preserve">11.002.001 </t>
  </si>
  <si>
    <t xml:space="preserve">11.002.001.001 </t>
  </si>
  <si>
    <t xml:space="preserve">11.002.001.002 </t>
  </si>
  <si>
    <t>Pintura Epoxi Em Piso, 2 Demaos, Aplicacao Em Garagens, Àreas Técnicas, Antecamara E Escadaria</t>
  </si>
  <si>
    <t xml:space="preserve">11.002.001.003 </t>
  </si>
  <si>
    <t xml:space="preserve">11.002.002 </t>
  </si>
  <si>
    <t xml:space="preserve">11.002.002.001 </t>
  </si>
  <si>
    <t xml:space="preserve">11.002.002.002 </t>
  </si>
  <si>
    <t xml:space="preserve">11.002.002.003 </t>
  </si>
  <si>
    <t xml:space="preserve">11.002.002.004 </t>
  </si>
  <si>
    <t xml:space="preserve">11.002.002.005 </t>
  </si>
  <si>
    <t xml:space="preserve">11.002.002.006 </t>
  </si>
  <si>
    <t>Pintura Epoxi a Base de Água em Parede, 2 Demaos</t>
  </si>
  <si>
    <t xml:space="preserve">11.002.002.007 </t>
  </si>
  <si>
    <t xml:space="preserve">Pintura Epoxi a Base de Água em Parede - Demarcação de Faixa de Garagem, 2 Demaos </t>
  </si>
  <si>
    <t xml:space="preserve">11.002.003 </t>
  </si>
  <si>
    <t xml:space="preserve">11.002.003.001 </t>
  </si>
  <si>
    <t xml:space="preserve">11.002.003.002 </t>
  </si>
  <si>
    <t xml:space="preserve">11.002.003.003 </t>
  </si>
  <si>
    <t xml:space="preserve">11.002.003.004 </t>
  </si>
  <si>
    <t xml:space="preserve">11.002.004 </t>
  </si>
  <si>
    <t xml:space="preserve">11.002.004.001 </t>
  </si>
  <si>
    <t xml:space="preserve">11.002.005 </t>
  </si>
  <si>
    <t xml:space="preserve">11.002.005.001 </t>
  </si>
  <si>
    <t xml:space="preserve">11.002.005.002 </t>
  </si>
  <si>
    <t xml:space="preserve">11.002.005.003 </t>
  </si>
  <si>
    <t xml:space="preserve">11.002.005.004 </t>
  </si>
  <si>
    <t xml:space="preserve">11.002.005.005 </t>
  </si>
  <si>
    <t xml:space="preserve">11.002.005.006 </t>
  </si>
  <si>
    <t>Mao De Obra Para Pintura Epoxi Em Paredes, 2 Demaos</t>
  </si>
  <si>
    <t xml:space="preserve">11.002.005.007 </t>
  </si>
  <si>
    <t xml:space="preserve">11.002.005.008 </t>
  </si>
  <si>
    <t xml:space="preserve">11.002.005.009 </t>
  </si>
  <si>
    <t xml:space="preserve">11.003 </t>
  </si>
  <si>
    <t>PINTURA INTERNA - TORRE</t>
  </si>
  <si>
    <t xml:space="preserve">11.003.001 </t>
  </si>
  <si>
    <t xml:space="preserve">11.003.001.001 </t>
  </si>
  <si>
    <t xml:space="preserve">11.003.001.002 </t>
  </si>
  <si>
    <t xml:space="preserve">11.003.002 </t>
  </si>
  <si>
    <t xml:space="preserve">11.003.002.001 </t>
  </si>
  <si>
    <t xml:space="preserve">11.003.002.002 </t>
  </si>
  <si>
    <t xml:space="preserve">11.003.002.003 </t>
  </si>
  <si>
    <t>Massa Acrílica Em Paredes Internas, 2 Demaos</t>
  </si>
  <si>
    <t xml:space="preserve">11.003.002.004 </t>
  </si>
  <si>
    <t xml:space="preserve">11.003.002.005 </t>
  </si>
  <si>
    <t xml:space="preserve">11.003.002.006 </t>
  </si>
  <si>
    <t xml:space="preserve">11.003.002.007 </t>
  </si>
  <si>
    <t xml:space="preserve">11.003.003 </t>
  </si>
  <si>
    <t xml:space="preserve">11.003.003.001 </t>
  </si>
  <si>
    <t xml:space="preserve">11.003.003.002 </t>
  </si>
  <si>
    <t xml:space="preserve">11.003.003.003 </t>
  </si>
  <si>
    <t xml:space="preserve">11.003.003.004 </t>
  </si>
  <si>
    <t xml:space="preserve">11.003.004 </t>
  </si>
  <si>
    <t xml:space="preserve">11.003.004.001 </t>
  </si>
  <si>
    <t xml:space="preserve">11.003.005 </t>
  </si>
  <si>
    <t xml:space="preserve">11.003.005.001 </t>
  </si>
  <si>
    <t xml:space="preserve">11.003.005.002 </t>
  </si>
  <si>
    <t xml:space="preserve">11.003.005.003 </t>
  </si>
  <si>
    <t xml:space="preserve">11.003.005.004 </t>
  </si>
  <si>
    <t xml:space="preserve">11.003.005.005 </t>
  </si>
  <si>
    <t xml:space="preserve">11.003.005.006 </t>
  </si>
  <si>
    <t xml:space="preserve">11.003.005.007 </t>
  </si>
  <si>
    <t xml:space="preserve">11.003.005.008 </t>
  </si>
  <si>
    <t xml:space="preserve">11.003.005.009 </t>
  </si>
  <si>
    <t xml:space="preserve">11.004 </t>
  </si>
  <si>
    <t>PINTURA INTERNA - PAVIMENTOS TÉCNICOS</t>
  </si>
  <si>
    <t xml:space="preserve">11.004.001 </t>
  </si>
  <si>
    <t xml:space="preserve">11.004.001.001 </t>
  </si>
  <si>
    <t xml:space="preserve">11.004.001.002 </t>
  </si>
  <si>
    <t xml:space="preserve">11.004.002 </t>
  </si>
  <si>
    <t xml:space="preserve">11.004.002.001 </t>
  </si>
  <si>
    <t xml:space="preserve">11.004.002.002 </t>
  </si>
  <si>
    <t xml:space="preserve">11.004.002.003 </t>
  </si>
  <si>
    <t xml:space="preserve">11.004.002.004 </t>
  </si>
  <si>
    <t xml:space="preserve">11.004.002.005 </t>
  </si>
  <si>
    <t xml:space="preserve">11.004.003 </t>
  </si>
  <si>
    <t xml:space="preserve">11.004.003.001 </t>
  </si>
  <si>
    <t xml:space="preserve">11.004.003.002 </t>
  </si>
  <si>
    <t xml:space="preserve">11.004.003.003 </t>
  </si>
  <si>
    <t xml:space="preserve">11.004.003.004 </t>
  </si>
  <si>
    <t xml:space="preserve">11.004.004 </t>
  </si>
  <si>
    <t xml:space="preserve">11.004.004.001 </t>
  </si>
  <si>
    <t xml:space="preserve">11.004.004.002 </t>
  </si>
  <si>
    <t xml:space="preserve">11.004.004.003 </t>
  </si>
  <si>
    <t xml:space="preserve">11.004.004.004 </t>
  </si>
  <si>
    <t xml:space="preserve">11.004.004.005 </t>
  </si>
  <si>
    <t xml:space="preserve">11.004.004.006 </t>
  </si>
  <si>
    <t xml:space="preserve">11.004.004.007 </t>
  </si>
  <si>
    <t xml:space="preserve">11.005 </t>
  </si>
  <si>
    <t>PINTURA EXTERNA</t>
  </si>
  <si>
    <t xml:space="preserve">11.005.001 </t>
  </si>
  <si>
    <t xml:space="preserve">11.005.001.001 </t>
  </si>
  <si>
    <t>Textura Monolítica, Aplicacao Em Paredes Externas, 1 Demao</t>
  </si>
  <si>
    <t xml:space="preserve">11.005.001.002 </t>
  </si>
  <si>
    <t>Fundo Preparador Em Paredes Externas, 1 demao</t>
  </si>
  <si>
    <t xml:space="preserve">11.005.001.003 </t>
  </si>
  <si>
    <t>Pintura Com Tinta Latex Acrilica, Acabamento Fosco Em Paredes Externas, 2 Demaos</t>
  </si>
  <si>
    <t xml:space="preserve">11.005.001.004 </t>
  </si>
  <si>
    <t>Textura Acrilica, Aplicacao Em Paredes Externas,1 Demao</t>
  </si>
  <si>
    <t xml:space="preserve">11.005.002 </t>
  </si>
  <si>
    <t xml:space="preserve">11.005.002.001 </t>
  </si>
  <si>
    <t>Mao de obra para Textura Monolitica em Paredes Externas, 1 demao</t>
  </si>
  <si>
    <t xml:space="preserve">11.005.002.002 </t>
  </si>
  <si>
    <t>Mao de obra para Pintura Acrilica em Paredes Externas, 2 demaos</t>
  </si>
  <si>
    <t xml:space="preserve">11.005.002.003 </t>
  </si>
  <si>
    <t>Mao de obra para Textura em paredes externas, 1 demão</t>
  </si>
  <si>
    <t xml:space="preserve">12 </t>
  </si>
  <si>
    <t>ACABAMENTOS DE PISO E PAREDE</t>
  </si>
  <si>
    <t xml:space="preserve">12.001 </t>
  </si>
  <si>
    <t>ACABAMENTOS DE PISO E PAREDE - ÁREA COMUM</t>
  </si>
  <si>
    <t xml:space="preserve">12.001.001 </t>
  </si>
  <si>
    <t>Acabamentos de piso</t>
  </si>
  <si>
    <t xml:space="preserve">12.001.001.001 </t>
  </si>
  <si>
    <t>Piso elevado em marmore Travertino bruto 5cm - MAT + MO</t>
  </si>
  <si>
    <t xml:space="preserve">12.001.001.002 </t>
  </si>
  <si>
    <t>Piso elevado em marmore Travertino bruto 80 cm - MAT + MO</t>
  </si>
  <si>
    <t xml:space="preserve">12.001.001.003 </t>
  </si>
  <si>
    <t>Revestimento com Madeira Natural - Material e Mão de Obra</t>
  </si>
  <si>
    <t xml:space="preserve">12.001.001.004 </t>
  </si>
  <si>
    <t>Revestimento em Piso com Mármore Travertino Bruto, rejunte cimentício</t>
  </si>
  <si>
    <t xml:space="preserve">12.001.001.005 </t>
  </si>
  <si>
    <t>Revestimento em Piso com Pedra Natural, com rejunte cimentício</t>
  </si>
  <si>
    <t xml:space="preserve">12.001.001.006 </t>
  </si>
  <si>
    <t>Revestimento em Porcelanato Piso, rejunte acrílico - 100x100cm</t>
  </si>
  <si>
    <t xml:space="preserve">12.001.001.007 </t>
  </si>
  <si>
    <t>Revestimento de Piso Vinílico em Area Comum - material e mão de obra</t>
  </si>
  <si>
    <t xml:space="preserve">12.001.001.008 </t>
  </si>
  <si>
    <t>Revestimento de Piso Vinílico em Academia - material e mão de obra</t>
  </si>
  <si>
    <t xml:space="preserve">12.001.001.009 </t>
  </si>
  <si>
    <t>Revestimento de Piso Emborrachado em Area Comum - material e mão de obra</t>
  </si>
  <si>
    <t xml:space="preserve">12.001.001.010 </t>
  </si>
  <si>
    <t>Revestimento Rodapé Porcelanato 100x100cm Padrão Alto, rejunte acrílico - altura 15cm</t>
  </si>
  <si>
    <t xml:space="preserve">12.001.001.011 </t>
  </si>
  <si>
    <t>Revestimento Rodapé com mármore travertino bruto, com rejunte cimentício - altura 20cm</t>
  </si>
  <si>
    <t xml:space="preserve">12.001.001.012 </t>
  </si>
  <si>
    <t>Revestimento Rodapé com mármore travertino bruto, com rejunte cimentício - altura 80cm</t>
  </si>
  <si>
    <t xml:space="preserve">12.001.001.013 </t>
  </si>
  <si>
    <t>Rodapé em alumínio, altura 3cm</t>
  </si>
  <si>
    <t xml:space="preserve">12.001.002 </t>
  </si>
  <si>
    <t>Detalhes em Granito</t>
  </si>
  <si>
    <t xml:space="preserve">12.001.002.001 </t>
  </si>
  <si>
    <t>Pingadeira em Mármore Travertino, acabamento polido - largura 20cm</t>
  </si>
  <si>
    <t xml:space="preserve">12.001.002.002 </t>
  </si>
  <si>
    <t>Pingadeira em Mármore Travertino, acabamento polido - largura 30cm</t>
  </si>
  <si>
    <t xml:space="preserve">12.001.003 </t>
  </si>
  <si>
    <t>Acabamento de Parede Interna</t>
  </si>
  <si>
    <t xml:space="preserve">12.001.003.001 </t>
  </si>
  <si>
    <t>Revestimento em Parede Interna com Mármore Travertino Bruto, rejunte cimentício</t>
  </si>
  <si>
    <t xml:space="preserve">12.001.003.002 </t>
  </si>
  <si>
    <t xml:space="preserve">12.001.003.003 </t>
  </si>
  <si>
    <t>Revestimento em Porcelanato Parede interno Médio Padrão Acetinado, rejunte acrílico - 60x120cm</t>
  </si>
  <si>
    <t xml:space="preserve">12.001.004 </t>
  </si>
  <si>
    <t>Acabamento de Parede Externa</t>
  </si>
  <si>
    <t xml:space="preserve">12.001.004.001 </t>
  </si>
  <si>
    <t>Revestimento e esculturas em muro com mármore travertino bruto - MAT + MO</t>
  </si>
  <si>
    <t xml:space="preserve">12.001.004.002 </t>
  </si>
  <si>
    <t>Revestimento em Parede Externa com Mármore Travertino Bruto, rejunte cimentício</t>
  </si>
  <si>
    <t xml:space="preserve">12.001.004.003 </t>
  </si>
  <si>
    <t>Revestimento em Porcelanato Parede externo, rejunte acrílico - 280x280cm</t>
  </si>
  <si>
    <t xml:space="preserve">12.001.005 </t>
  </si>
  <si>
    <t>Juntas de Dilatação</t>
  </si>
  <si>
    <t xml:space="preserve">12.001.005.001 </t>
  </si>
  <si>
    <t>Perfil Junta de Dilatação de Borracha e Inox</t>
  </si>
  <si>
    <t xml:space="preserve">12.001.006 </t>
  </si>
  <si>
    <t xml:space="preserve">12.001.006.001 </t>
  </si>
  <si>
    <t>Mao de obra para colocacao e rejuntamento de revestimento cerâmico/porcelanato em piso</t>
  </si>
  <si>
    <t xml:space="preserve">12.001.006.002 </t>
  </si>
  <si>
    <t>Mao de obra para colocacao e rejuntamento de revestimento cerâmico/porcelanato em parede interna</t>
  </si>
  <si>
    <t xml:space="preserve">12.001.006.003 </t>
  </si>
  <si>
    <t>Mao de obra para Colocacao e Rejuntamento de Revestimento Ceramico/Porcelanato em Parede Externa</t>
  </si>
  <si>
    <t xml:space="preserve">12.001.006.004 </t>
  </si>
  <si>
    <t>Mao de Obra para Aplicacao de Pedra Natural em Paredes Externas</t>
  </si>
  <si>
    <t xml:space="preserve">12.001.006.005 </t>
  </si>
  <si>
    <t>Mao de obra Rodapé Porcelanato/ Cerâmico</t>
  </si>
  <si>
    <t xml:space="preserve">12.001.006.006 </t>
  </si>
  <si>
    <t>Mao de obra Rodapé Pedra Natural - altura até 30cm</t>
  </si>
  <si>
    <t xml:space="preserve">12.001.006.007 </t>
  </si>
  <si>
    <t>Mao de obra Rodapé Pedra Natural - altura até 100cm</t>
  </si>
  <si>
    <t xml:space="preserve">12.001.006.008 </t>
  </si>
  <si>
    <t>Mao de obra Rodapé PVC / Aluminio</t>
  </si>
  <si>
    <t xml:space="preserve">12.001.006.009 </t>
  </si>
  <si>
    <t>Mao de obra para aplicacao de pedra natural em Soleiras e Pingadeiras</t>
  </si>
  <si>
    <t xml:space="preserve">12.001.006.010 </t>
  </si>
  <si>
    <t>Mao de obra para aplicacao de pedra natural</t>
  </si>
  <si>
    <t xml:space="preserve">12.002 </t>
  </si>
  <si>
    <t>ACABAMENTOS INTERNOS EM PISO - EMBASAMENTO</t>
  </si>
  <si>
    <t xml:space="preserve">12.002.001 </t>
  </si>
  <si>
    <t xml:space="preserve">12.002.001.001 </t>
  </si>
  <si>
    <t>Revestimento em Porcelanato Padrão Popular Natural, rejunte acrílico - 50x50cm</t>
  </si>
  <si>
    <t xml:space="preserve">12.002.001.002 </t>
  </si>
  <si>
    <t>Revestimento em Porcelanato Piso Médio Padrão Natural, rejunte acrílico - 60x60cm</t>
  </si>
  <si>
    <t xml:space="preserve">12.002.001.003 </t>
  </si>
  <si>
    <t xml:space="preserve">12.002.001.004 </t>
  </si>
  <si>
    <t xml:space="preserve">12.002.001.005 </t>
  </si>
  <si>
    <t>Revestimento Rodapé Porcelanato 50x50cm Padrão Popular, rejunte acrílico - altura 10cm</t>
  </si>
  <si>
    <t xml:space="preserve">12.002.001.006 </t>
  </si>
  <si>
    <t>Revestimento Rodapé Porcelanato 60x60cm Padrão Médio, rejunte acrílico - altura 10cm</t>
  </si>
  <si>
    <t xml:space="preserve">12.002.001.007 </t>
  </si>
  <si>
    <t>Revestimento Rodapé Porcelanato 60x60cm Padrão Médio, rejunte acrílico - altura 15cm</t>
  </si>
  <si>
    <t xml:space="preserve">12.002.001.008 </t>
  </si>
  <si>
    <t xml:space="preserve">12.002.002 </t>
  </si>
  <si>
    <t xml:space="preserve">12.002.002.001 </t>
  </si>
  <si>
    <t>Revestimento em Porcelanato Parede interno, rejunte acrílico - 14,5x14,5cm</t>
  </si>
  <si>
    <t xml:space="preserve">12.002.002.002 </t>
  </si>
  <si>
    <t xml:space="preserve">12.002.002.003 </t>
  </si>
  <si>
    <t>Revestimento em parede com pedra natural, com rejunte cimentício</t>
  </si>
  <si>
    <t xml:space="preserve">12.002.003 </t>
  </si>
  <si>
    <t xml:space="preserve">12.002.003.001 </t>
  </si>
  <si>
    <t xml:space="preserve">12.002.004 </t>
  </si>
  <si>
    <t>Acabamento de Piso de Calçadas</t>
  </si>
  <si>
    <t xml:space="preserve">12.002.004.001 </t>
  </si>
  <si>
    <t>Revestimento em Ladrilho Hidráulico Cimentício</t>
  </si>
  <si>
    <t xml:space="preserve">12.002.004.002 </t>
  </si>
  <si>
    <t>Calçada/passeio em piso intertravado, com bloco retangular cor natural de 20x10cm, espessura 8cm</t>
  </si>
  <si>
    <t xml:space="preserve">12.002.005 </t>
  </si>
  <si>
    <t xml:space="preserve">12.002.005.001 </t>
  </si>
  <si>
    <t xml:space="preserve">12.002.005.002 </t>
  </si>
  <si>
    <t xml:space="preserve">12.002.005.003 </t>
  </si>
  <si>
    <t xml:space="preserve">12.002.005.004 </t>
  </si>
  <si>
    <t xml:space="preserve">12.002.005.005 </t>
  </si>
  <si>
    <t>Mão de obra para colocação de ladrilho hidráulico cimentício</t>
  </si>
  <si>
    <t xml:space="preserve">12.002.005.006 </t>
  </si>
  <si>
    <t>Mão de obra para execução de piso intertravado</t>
  </si>
  <si>
    <t xml:space="preserve">12.002.005.007 </t>
  </si>
  <si>
    <t xml:space="preserve">12.003 </t>
  </si>
  <si>
    <t>ACABAMENTOS INTERNOS EM PISO - TORRE</t>
  </si>
  <si>
    <t xml:space="preserve">12.003.001 </t>
  </si>
  <si>
    <t xml:space="preserve">12.003.001.001 </t>
  </si>
  <si>
    <t xml:space="preserve">12.003.001.002 </t>
  </si>
  <si>
    <t xml:space="preserve">12.003.001.003 </t>
  </si>
  <si>
    <t xml:space="preserve">12.003.001.004 </t>
  </si>
  <si>
    <t xml:space="preserve">12.003.001.005 </t>
  </si>
  <si>
    <t xml:space="preserve">12.003.001.006 </t>
  </si>
  <si>
    <t>Revestimento em Porcelanato Alto Padrão Resistente a Escorregamento, rejunte acrílico - 20x20cm</t>
  </si>
  <si>
    <t xml:space="preserve">12.003.001.007 </t>
  </si>
  <si>
    <t xml:space="preserve">12.003.001.008 </t>
  </si>
  <si>
    <t>Revestimento em Porcelanato Alto Padrão Acetinado, rejunte acrílico -  90x90cm</t>
  </si>
  <si>
    <t xml:space="preserve">12.003.001.009 </t>
  </si>
  <si>
    <t xml:space="preserve">12.003.001.010 </t>
  </si>
  <si>
    <t>Revestimento em Porcelanato Alto Padrão Polido, rejunte acrílico - 120x120cm</t>
  </si>
  <si>
    <t xml:space="preserve">12.003.001.011 </t>
  </si>
  <si>
    <t>Revestimento de Piso Vinílico em Area Privativa - material e mão de obra</t>
  </si>
  <si>
    <t xml:space="preserve">12.003.001.012 </t>
  </si>
  <si>
    <t xml:space="preserve">12.003.001.013 </t>
  </si>
  <si>
    <t xml:space="preserve">12.003.001.014 </t>
  </si>
  <si>
    <t>Revestimento Rodapé Madeira - altura 20cm</t>
  </si>
  <si>
    <t xml:space="preserve">12.003.002 </t>
  </si>
  <si>
    <t xml:space="preserve">12.003.002.001 </t>
  </si>
  <si>
    <t>Revestimento em Peitoril com Mármore Travertino, com rejunte cimentício - largura 20cm</t>
  </si>
  <si>
    <t xml:space="preserve">12.003.002.002 </t>
  </si>
  <si>
    <t>Revestimento em Soleira com Mármore Travertino, com rejunte cimentício - largura 20cm</t>
  </si>
  <si>
    <t xml:space="preserve">12.003.003 </t>
  </si>
  <si>
    <t xml:space="preserve">12.003.003.001 </t>
  </si>
  <si>
    <t xml:space="preserve">12.003.003.002 </t>
  </si>
  <si>
    <t>Revestimento em Porcelanato Parede interno Alto Padrão Acetinado, rejunte acrílico - 90x90cm</t>
  </si>
  <si>
    <t xml:space="preserve">12.003.004 </t>
  </si>
  <si>
    <t xml:space="preserve">12.003.004.001 </t>
  </si>
  <si>
    <t xml:space="preserve">12.003.004.002 </t>
  </si>
  <si>
    <t>Sistema de sustentação de borda com Metalon</t>
  </si>
  <si>
    <t xml:space="preserve">12.003.005 </t>
  </si>
  <si>
    <t xml:space="preserve">12.003.005.001 </t>
  </si>
  <si>
    <t xml:space="preserve">12.003.005.002 </t>
  </si>
  <si>
    <t xml:space="preserve">12.003.005.003 </t>
  </si>
  <si>
    <t xml:space="preserve">12.003.005.004 </t>
  </si>
  <si>
    <t xml:space="preserve">12.003.005.005 </t>
  </si>
  <si>
    <t xml:space="preserve">12.003.005.006 </t>
  </si>
  <si>
    <t>Mao de obra Rodapé Madeira</t>
  </si>
  <si>
    <t xml:space="preserve">12.003.005.007 </t>
  </si>
  <si>
    <t xml:space="preserve">12.003.005.008 </t>
  </si>
  <si>
    <t xml:space="preserve">12.004 </t>
  </si>
  <si>
    <t>ACABAMENTOS INTERNOS EM PISO - TÉCNICO</t>
  </si>
  <si>
    <t xml:space="preserve">12.004.001 </t>
  </si>
  <si>
    <t xml:space="preserve">12.004.001.001 </t>
  </si>
  <si>
    <t xml:space="preserve">12.004.001.002 </t>
  </si>
  <si>
    <t xml:space="preserve">12.004.001.003 </t>
  </si>
  <si>
    <t xml:space="preserve">12.004.001.004 </t>
  </si>
  <si>
    <t xml:space="preserve">12.004.002 </t>
  </si>
  <si>
    <t xml:space="preserve">12.004.002.001 </t>
  </si>
  <si>
    <t xml:space="preserve">12.004.003 </t>
  </si>
  <si>
    <t xml:space="preserve">12.004.003.001 </t>
  </si>
  <si>
    <t xml:space="preserve">12.004.004 </t>
  </si>
  <si>
    <t xml:space="preserve">12.004.004.001 </t>
  </si>
  <si>
    <t xml:space="preserve">12.004.004.002 </t>
  </si>
  <si>
    <t xml:space="preserve">12.004.004.003 </t>
  </si>
  <si>
    <t xml:space="preserve">12.004.004.004 </t>
  </si>
  <si>
    <t xml:space="preserve">12.004.004.005 </t>
  </si>
  <si>
    <t xml:space="preserve">13 </t>
  </si>
  <si>
    <t xml:space="preserve">13.001 </t>
  </si>
  <si>
    <t>ESQUADRIAS DE ALUMÍNIO</t>
  </si>
  <si>
    <t xml:space="preserve">13.001.001 </t>
  </si>
  <si>
    <t>Contramarco</t>
  </si>
  <si>
    <t xml:space="preserve">13.001.001.001 </t>
  </si>
  <si>
    <t>Contramarcos Fixados com Parafuso</t>
  </si>
  <si>
    <t xml:space="preserve">13.001.002 </t>
  </si>
  <si>
    <t>Esquadrias de alumínio</t>
  </si>
  <si>
    <t xml:space="preserve">13.001.002.001 </t>
  </si>
  <si>
    <t>Esquadrias de alumínio - fornecimento e instalação</t>
  </si>
  <si>
    <t xml:space="preserve">13.001.002.002 </t>
  </si>
  <si>
    <t>Grelha de Ventilação Permanente em Aço Inox</t>
  </si>
  <si>
    <t xml:space="preserve">13.001.002.003 </t>
  </si>
  <si>
    <t>Tela Area Tecnica em Aço Inox</t>
  </si>
  <si>
    <t xml:space="preserve">13.001.002.004 </t>
  </si>
  <si>
    <t>Tela  Elevador em Aço Galvanizado</t>
  </si>
  <si>
    <t xml:space="preserve">13.001.002.005 </t>
  </si>
  <si>
    <t>Moldura em alumínio para churrasqueiras - fornecimento e instalação</t>
  </si>
  <si>
    <t xml:space="preserve">13.001.003 </t>
  </si>
  <si>
    <t>Esquadrias de Alumínio Unitizadas</t>
  </si>
  <si>
    <t xml:space="preserve">13.001.003.001 </t>
  </si>
  <si>
    <t>Esquadrias de Alumínio Unitizadas - fornecimento e instalação</t>
  </si>
  <si>
    <t xml:space="preserve">13.002 </t>
  </si>
  <si>
    <t>ESQUADRIAS DE MADEIRA</t>
  </si>
  <si>
    <t xml:space="preserve">13.002.001 </t>
  </si>
  <si>
    <t>Esquadrias de Madeira Área Comum</t>
  </si>
  <si>
    <t xml:space="preserve">13.002.001.001 </t>
  </si>
  <si>
    <t>Porta de madeira- abrir - folha leve/média - 60x210cm (kit completo) - fixação com espuma expansiva</t>
  </si>
  <si>
    <t xml:space="preserve">13.002.001.002 </t>
  </si>
  <si>
    <t>Porta de madeira- abrir - folha leve/média - 70x210cm (kit completo) - fixação com espuma expansiva</t>
  </si>
  <si>
    <t xml:space="preserve">13.002.001.003 </t>
  </si>
  <si>
    <t>Porta de madeira- abrir - folha leve/média - 80x210cm (kit completo) - fixação com espuma expansiva</t>
  </si>
  <si>
    <t xml:space="preserve">13.002.001.004 </t>
  </si>
  <si>
    <t>Porta de madeira- abrir - folha leve/média - 90x210cm (kit completo) - fixação com espuma expansiva</t>
  </si>
  <si>
    <t xml:space="preserve">13.002.001.005 </t>
  </si>
  <si>
    <t>Porta de madeira- pivotante - folha leve/média - 153x210cm (kit completo) - fixação com espuma expansiva</t>
  </si>
  <si>
    <t xml:space="preserve">13.002.002 </t>
  </si>
  <si>
    <t>Esquadrias de Madeira Embasamento</t>
  </si>
  <si>
    <t xml:space="preserve">13.002.002.001 </t>
  </si>
  <si>
    <t xml:space="preserve">13.002.002.002 </t>
  </si>
  <si>
    <t xml:space="preserve">13.002.002.003 </t>
  </si>
  <si>
    <t xml:space="preserve">13.002.003 </t>
  </si>
  <si>
    <t>Esquadrias de Madeira Torre</t>
  </si>
  <si>
    <t xml:space="preserve">13.002.003.001 </t>
  </si>
  <si>
    <t xml:space="preserve">13.002.003.002 </t>
  </si>
  <si>
    <t xml:space="preserve">13.002.003.003 </t>
  </si>
  <si>
    <t xml:space="preserve">13.002.003.004 </t>
  </si>
  <si>
    <t xml:space="preserve">13.002.003.005 </t>
  </si>
  <si>
    <t>Porta de madeira- correr - folha leve/média - 70x210cm (kit completo) - fixação com espuma expansiva</t>
  </si>
  <si>
    <t xml:space="preserve">13.002.003.006 </t>
  </si>
  <si>
    <t>Porta de madeira- correr - folha leve/média - 80x210cm (kit completo) - fixação com espuma expansiva</t>
  </si>
  <si>
    <t xml:space="preserve">13.002.003.007 </t>
  </si>
  <si>
    <t>Porta de madeira- correr (trilho lateral) - folha leve/média - 70x210cm (kit completo) - fixação com espuma expansiva</t>
  </si>
  <si>
    <t xml:space="preserve">13.002.004 </t>
  </si>
  <si>
    <t xml:space="preserve">13.002.004.001 </t>
  </si>
  <si>
    <t>Mão de obra para colocação de portas de madeira</t>
  </si>
  <si>
    <t xml:space="preserve">13.002.005 </t>
  </si>
  <si>
    <t>PORTAS CORTA FOGO</t>
  </si>
  <si>
    <t xml:space="preserve">13.002.006 </t>
  </si>
  <si>
    <t>Portas Corta Fogo Área comum</t>
  </si>
  <si>
    <t xml:space="preserve">13.002.006.001 </t>
  </si>
  <si>
    <t>Esquadrias Metálicas - Porta Corta Fogo P90 90x210 - fornecimento e instalacao</t>
  </si>
  <si>
    <t xml:space="preserve">13.002.007 </t>
  </si>
  <si>
    <t>Portas Corta Fogo Embasamento</t>
  </si>
  <si>
    <t xml:space="preserve">13.002.007.001 </t>
  </si>
  <si>
    <t xml:space="preserve">13.002.008 </t>
  </si>
  <si>
    <t>Portas Corta Fogo Torre</t>
  </si>
  <si>
    <t xml:space="preserve">13.002.008.001 </t>
  </si>
  <si>
    <t xml:space="preserve">13.002.009 </t>
  </si>
  <si>
    <t>Portas Corta Fogo Técnicos</t>
  </si>
  <si>
    <t xml:space="preserve">13.002.009.001 </t>
  </si>
  <si>
    <t xml:space="preserve">13.002.010 </t>
  </si>
  <si>
    <t xml:space="preserve">13.002.010.001 </t>
  </si>
  <si>
    <t>Mão de obra para colocação de portas corta-fogo</t>
  </si>
  <si>
    <t xml:space="preserve">14 </t>
  </si>
  <si>
    <t>SISTEMAS E INSTALAÇÕES ESPECIAIS</t>
  </si>
  <si>
    <t xml:space="preserve">14.001 </t>
  </si>
  <si>
    <t>SISTEMAS CONTRA INCÊNDIO</t>
  </si>
  <si>
    <t xml:space="preserve">14.001.001 </t>
  </si>
  <si>
    <t>Sistema de detecção e alarme</t>
  </si>
  <si>
    <t xml:space="preserve">14.001.001.001 </t>
  </si>
  <si>
    <t xml:space="preserve">14.001.002 </t>
  </si>
  <si>
    <t>Extintores e placas de sinalização</t>
  </si>
  <si>
    <t xml:space="preserve">14.001.002.001 </t>
  </si>
  <si>
    <t xml:space="preserve">14.001.003 </t>
  </si>
  <si>
    <t>Automação iluminação de emergência</t>
  </si>
  <si>
    <t xml:space="preserve">14.001.003.001 </t>
  </si>
  <si>
    <t xml:space="preserve">14.001.004 </t>
  </si>
  <si>
    <t>SHP - hidrantes e mangotinhos</t>
  </si>
  <si>
    <t xml:space="preserve">14.001.004.001 </t>
  </si>
  <si>
    <t>Sistema de hidrantes e magotinhos (SHP)</t>
  </si>
  <si>
    <t xml:space="preserve">14.001.005 </t>
  </si>
  <si>
    <t>Mão de obra parte civil e acessórios</t>
  </si>
  <si>
    <t xml:space="preserve">14.001.005.001 </t>
  </si>
  <si>
    <t>Mão de obra instalações preventivas</t>
  </si>
  <si>
    <t xml:space="preserve">14.002 </t>
  </si>
  <si>
    <t>ELEVADORES</t>
  </si>
  <si>
    <t xml:space="preserve">14.002.001 </t>
  </si>
  <si>
    <t>Elevadores</t>
  </si>
  <si>
    <t xml:space="preserve">14.002.001.001 </t>
  </si>
  <si>
    <t xml:space="preserve">14.003 </t>
  </si>
  <si>
    <t>CLIMATIZAÇÃO E EXAUSTÃO</t>
  </si>
  <si>
    <t xml:space="preserve">14.003.001 </t>
  </si>
  <si>
    <t>Infraestrutura de Climatização</t>
  </si>
  <si>
    <t xml:space="preserve">14.003.001.001 </t>
  </si>
  <si>
    <t xml:space="preserve">14.003.002 </t>
  </si>
  <si>
    <t>Equipamentos Climatização</t>
  </si>
  <si>
    <t xml:space="preserve">14.003.002.001 </t>
  </si>
  <si>
    <t>Equipamentos de Climatização</t>
  </si>
  <si>
    <t xml:space="preserve">14.003.003 </t>
  </si>
  <si>
    <t>Infra sistemas de exaustão</t>
  </si>
  <si>
    <t xml:space="preserve">14.003.003.001 </t>
  </si>
  <si>
    <t>Infraestrutura e Equipamentos de Exaustão para Ambientes Enclausurados</t>
  </si>
  <si>
    <t xml:space="preserve">14.003.003.002 </t>
  </si>
  <si>
    <t>Exaustão de Churrasqueiras á Carvão</t>
  </si>
  <si>
    <t xml:space="preserve">14.003.003.003 </t>
  </si>
  <si>
    <t>Exaustão de Churrasqueiras á Gás</t>
  </si>
  <si>
    <t xml:space="preserve">14.003.003.004 </t>
  </si>
  <si>
    <t>Exaustão de Coifas</t>
  </si>
  <si>
    <t xml:space="preserve">14.003.003.005 </t>
  </si>
  <si>
    <t>Exaustão de Aquecedores de Passagem</t>
  </si>
  <si>
    <t xml:space="preserve">14.003.003.006 </t>
  </si>
  <si>
    <t>Infraestrutura e Equipamentos de Exaustão de Subsolo</t>
  </si>
  <si>
    <t xml:space="preserve">14.003.004 </t>
  </si>
  <si>
    <t xml:space="preserve">14.003.004.001 </t>
  </si>
  <si>
    <t>Mão de obra para instalações de climatização e exaustão</t>
  </si>
  <si>
    <t xml:space="preserve">14.004 </t>
  </si>
  <si>
    <t>INSTALAÇÕES DE GÁS</t>
  </si>
  <si>
    <t xml:space="preserve">14.004.001 </t>
  </si>
  <si>
    <t>Gás</t>
  </si>
  <si>
    <t xml:space="preserve">14.004.001.001 </t>
  </si>
  <si>
    <t>Instalações de Gás</t>
  </si>
  <si>
    <t xml:space="preserve">14.004.002 </t>
  </si>
  <si>
    <t xml:space="preserve">14.004.002.001 </t>
  </si>
  <si>
    <t>Mão de obra para instalações de gás</t>
  </si>
  <si>
    <t xml:space="preserve">14.005 </t>
  </si>
  <si>
    <t>AUTOMAÇÃO</t>
  </si>
  <si>
    <t xml:space="preserve">14.005.001 </t>
  </si>
  <si>
    <t>Automação</t>
  </si>
  <si>
    <t xml:space="preserve">14.005.001.001 </t>
  </si>
  <si>
    <t>Infraestrutura de automação</t>
  </si>
  <si>
    <t xml:space="preserve">14.005.001.002 </t>
  </si>
  <si>
    <t>Sistema de interfone / controle de acesso</t>
  </si>
  <si>
    <t xml:space="preserve">14.005.001.003 </t>
  </si>
  <si>
    <t>Instalação de CFTV</t>
  </si>
  <si>
    <t xml:space="preserve">14.005.001.004 </t>
  </si>
  <si>
    <t>Automatização de portões</t>
  </si>
  <si>
    <t xml:space="preserve">14.005.001.005 </t>
  </si>
  <si>
    <t>Sistema de aspiração central</t>
  </si>
  <si>
    <t xml:space="preserve">15 </t>
  </si>
  <si>
    <t>SERVIÇOS COMPLEMENTARES E FINAIS</t>
  </si>
  <si>
    <t xml:space="preserve">15.001 </t>
  </si>
  <si>
    <t>LOUÇAS E METAIS</t>
  </si>
  <si>
    <t xml:space="preserve">15.001.001 </t>
  </si>
  <si>
    <t>Louças</t>
  </si>
  <si>
    <t xml:space="preserve">15.001.001.001 </t>
  </si>
  <si>
    <t xml:space="preserve">15.001.002 </t>
  </si>
  <si>
    <t>Metais e Acessórios</t>
  </si>
  <si>
    <t xml:space="preserve">15.001.002.001 </t>
  </si>
  <si>
    <t xml:space="preserve">15.001.003 </t>
  </si>
  <si>
    <t xml:space="preserve">15.001.003.001 </t>
  </si>
  <si>
    <t>Mão de obra para instalação de louças e metais</t>
  </si>
  <si>
    <t xml:space="preserve">15.002 </t>
  </si>
  <si>
    <t xml:space="preserve">15.002.001 </t>
  </si>
  <si>
    <t>Cobertura</t>
  </si>
  <si>
    <t xml:space="preserve">15.002.001.001 </t>
  </si>
  <si>
    <t>Estrutura de Cobertura Metálica (Guarita e Bar Molhado)</t>
  </si>
  <si>
    <t xml:space="preserve">15.002.002 </t>
  </si>
  <si>
    <t>Pergolado</t>
  </si>
  <si>
    <t xml:space="preserve">15.002.002.001 </t>
  </si>
  <si>
    <t>Pergolado Metálico - material e mão de obra</t>
  </si>
  <si>
    <t xml:space="preserve">15.002.002.002 </t>
  </si>
  <si>
    <t>Pergolado Metálico Curvo - material e mão de obra</t>
  </si>
  <si>
    <t xml:space="preserve">15.003 </t>
  </si>
  <si>
    <t>ACESSÓRIOS E SERRALHERIA</t>
  </si>
  <si>
    <t xml:space="preserve">15.003.001 </t>
  </si>
  <si>
    <t>Corrimão de Escadas</t>
  </si>
  <si>
    <t xml:space="preserve">15.003.001.001 </t>
  </si>
  <si>
    <t>Corrimão de madeira - fornecimento e instalação</t>
  </si>
  <si>
    <t xml:space="preserve">15.003.001.002 </t>
  </si>
  <si>
    <t>Corrimão inox para áreas externas - fornecimento e instalação</t>
  </si>
  <si>
    <t xml:space="preserve">15.003.002 </t>
  </si>
  <si>
    <t xml:space="preserve">Piscinas, saunas, banheiras e SPA's </t>
  </si>
  <si>
    <t xml:space="preserve">15.003.002.001 </t>
  </si>
  <si>
    <t>Equipamentos e fornecimento de piscinas IGUI</t>
  </si>
  <si>
    <t xml:space="preserve">15.003.002.002 </t>
  </si>
  <si>
    <t>Equipamentos de sauna seca e umida</t>
  </si>
  <si>
    <t xml:space="preserve">15.003.002.003 </t>
  </si>
  <si>
    <t>Equipamentos e fornecimento de piscinas</t>
  </si>
  <si>
    <t xml:space="preserve">15.003.003 </t>
  </si>
  <si>
    <t>Serviços de Serralheria</t>
  </si>
  <si>
    <t xml:space="preserve">15.003.003.001 </t>
  </si>
  <si>
    <t>Escada helicoidal em ferro</t>
  </si>
  <si>
    <t xml:space="preserve">15.003.003.002 </t>
  </si>
  <si>
    <t>Nicho de banheiro para embutir em fibra</t>
  </si>
  <si>
    <t xml:space="preserve">15.003.004 </t>
  </si>
  <si>
    <t>Balizador e acessórios pináculo</t>
  </si>
  <si>
    <t xml:space="preserve">15.003.004.001 </t>
  </si>
  <si>
    <t>Balizador bate-rodas</t>
  </si>
  <si>
    <t xml:space="preserve">15.003.004.002 </t>
  </si>
  <si>
    <t>Esquadrias Metálicas - Alçapão 80x80 - fornecimento e instalacao</t>
  </si>
  <si>
    <t xml:space="preserve">15.004 </t>
  </si>
  <si>
    <t xml:space="preserve">15.004.001 </t>
  </si>
  <si>
    <t>Laudos e equipamentos de entrega para o condomínio</t>
  </si>
  <si>
    <t xml:space="preserve">15.004.001.001 </t>
  </si>
  <si>
    <t>Elaboração de Laudo Técnico De Vistoria De Entrega</t>
  </si>
  <si>
    <t xml:space="preserve">15.004.002 </t>
  </si>
  <si>
    <t>Limpeza Final de Obra</t>
  </si>
  <si>
    <t xml:space="preserve">15.004.002.001 </t>
  </si>
  <si>
    <t>Limpeza Final</t>
  </si>
  <si>
    <t xml:space="preserve">15.004.003 </t>
  </si>
  <si>
    <t>Mobilização e Desmobilização</t>
  </si>
  <si>
    <t xml:space="preserve">15.004.003.001 </t>
  </si>
  <si>
    <t>Desmobilização de pessoal, maquinas e equipamentos</t>
  </si>
  <si>
    <t xml:space="preserve">16 </t>
  </si>
  <si>
    <t>DECORAÇÃO E MOBILIÁRIO ÁREA COMUM</t>
  </si>
  <si>
    <t xml:space="preserve">16.001 </t>
  </si>
  <si>
    <t>Mobiliário e decoração interna</t>
  </si>
  <si>
    <t xml:space="preserve">16.001.000.001 </t>
  </si>
  <si>
    <t xml:space="preserve">16.001.001 </t>
  </si>
  <si>
    <t>Mobiliário e decoração externa</t>
  </si>
  <si>
    <t xml:space="preserve">16.001.001.001 </t>
  </si>
  <si>
    <t xml:space="preserve">16.001.002 </t>
  </si>
  <si>
    <t>Eletrodomésticos e Equipamentos</t>
  </si>
  <si>
    <t xml:space="preserve">16.001.002.001 </t>
  </si>
  <si>
    <t xml:space="preserve">16.001.003 </t>
  </si>
  <si>
    <t>Paisagismo</t>
  </si>
  <si>
    <t xml:space="preserve">16.001.003.001 </t>
  </si>
  <si>
    <t xml:space="preserve">16.001.004 </t>
  </si>
  <si>
    <t>Comunicação visual</t>
  </si>
  <si>
    <t xml:space="preserve">16.001.004.001 </t>
  </si>
  <si>
    <t>Comunicação Visual</t>
  </si>
  <si>
    <t xml:space="preserve">17 </t>
  </si>
  <si>
    <t xml:space="preserve">IMPREVISTOS E CONTINGÊNCIAS </t>
  </si>
  <si>
    <t xml:space="preserve">17.001 </t>
  </si>
  <si>
    <t xml:space="preserve">17.001.001 </t>
  </si>
  <si>
    <t>Imprevistos e contingências</t>
  </si>
  <si>
    <t>Total da unidade construtiva</t>
  </si>
  <si>
    <t>Total da obra</t>
  </si>
  <si>
    <t>SIENGE / SOFTPLAN</t>
  </si>
  <si>
    <t>TETO</t>
  </si>
  <si>
    <t>EXTERNO</t>
  </si>
  <si>
    <t>INTERNO</t>
  </si>
  <si>
    <t>Bastante horizontal - pedras</t>
  </si>
  <si>
    <t>Bastante horizontal - soluções mais otimizadas (grampeamento e muro de flexão)</t>
  </si>
  <si>
    <t>Tubulação k5</t>
  </si>
  <si>
    <t>Piscinas igui, aspiração central, escada helicoidal, nichos, exaustçao de subsolo</t>
  </si>
  <si>
    <t>Marmore travertino R$ 1600,00/m2</t>
  </si>
  <si>
    <t>pergolados</t>
  </si>
  <si>
    <t>Mobiliario assinado</t>
  </si>
  <si>
    <t>especiais</t>
  </si>
  <si>
    <t>acaba</t>
  </si>
  <si>
    <t>CUB/SC media</t>
  </si>
  <si>
    <t>CUB/SC  R16-A</t>
  </si>
  <si>
    <t xml:space="preserve">13.001.002.006 </t>
  </si>
  <si>
    <t>Guarda Corpo de Vidro Estrutural - fornecimento e instalação</t>
  </si>
  <si>
    <t xml:space="preserve">13.001.002.007 </t>
  </si>
  <si>
    <t>Guarda Corpo de Vidro Autoportante - fornecimento e instalação</t>
  </si>
  <si>
    <t xml:space="preserve">13.001.002.008 </t>
  </si>
  <si>
    <t>Guarda Corpo de Vidro e Aluminio - fornecimento e instalação</t>
  </si>
  <si>
    <t xml:space="preserve">13.001.002.009 </t>
  </si>
  <si>
    <t>Guarda Corpo vidro, com suporte de fixação em piso -  fornecimento e instalação</t>
  </si>
  <si>
    <t xml:space="preserve">13.002.001.006 </t>
  </si>
  <si>
    <t>Brise Filetado Arkwood - material e mão de obra</t>
  </si>
  <si>
    <t xml:space="preserve">13.002.003.008 </t>
  </si>
  <si>
    <t xml:space="preserve">17.001.001.001 </t>
  </si>
  <si>
    <t>SCENARIUM</t>
  </si>
  <si>
    <t xml:space="preserve">16.001.001.002 </t>
  </si>
  <si>
    <t>Playground - material e mão de obra</t>
  </si>
  <si>
    <t>16/12/2024 - 13:20:56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</si>
</sst>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##,###,##0.00"/>
    <numFmt numFmtId="167" formatCode="#,###,##0.00"/>
    <numFmt numFmtId="168" formatCode="##,##0.00"/>
    <numFmt numFmtId="169" formatCode="0.0000"/>
    <numFmt numFmtId="170" formatCode="##,##0.0000"/>
    <numFmt numFmtId="171" formatCode="###,##0.00"/>
    <numFmt numFmtId="172" formatCode="###,##0.0000"/>
    <numFmt numFmtId="173" formatCode="#,##0.0000"/>
    <numFmt numFmtId="174" formatCode="#0.0000"/>
    <numFmt numFmtId="175" formatCode="##0.0000"/>
    <numFmt numFmtId="176" formatCode="#,###,##0.0000"/>
    <numFmt numFmtId="177" formatCode="##0.00"/>
    <numFmt numFmtId="178" formatCode="#0.00"/>
    <numFmt numFmtId="179" formatCode="###,###,##0.00"/>
    <numFmt numFmtId="180" formatCode="_(&quot;R$&quot;* #,##0.00_);_(&quot;R$&quot;* \(#,##0.00\);_(&quot;R$&quot;* &quot;-&quot;??_);_(@_)"/>
  </numFmts>
  <fonts count="3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b/>
      <sz val="11"/>
      <color rgb="FFF5F5F5"/>
      <name val="Poppins"/>
    </font>
    <font>
      <sz val="11"/>
      <color theme="1"/>
      <name val="Poppins"/>
    </font>
    <font>
      <sz val="10"/>
      <color theme="1"/>
      <name val="Poppins"/>
    </font>
    <font>
      <sz val="11"/>
      <color theme="1"/>
      <name val="Calibri"/>
      <family val="2"/>
    </font>
    <font>
      <sz val="8"/>
      <color theme="1"/>
      <name val="Poppins"/>
    </font>
    <font>
      <sz val="11"/>
      <color theme="1"/>
      <name val="Calibri"/>
      <family val="2"/>
      <scheme val="minor"/>
    </font>
    <font>
      <sz val="10"/>
      <color rgb="FF19212D"/>
      <name val="Arial"/>
      <family val="2"/>
    </font>
    <font>
      <sz val="11"/>
      <color theme="1"/>
      <name val="Calibri"/>
      <family val="2"/>
      <scheme val="minor"/>
    </font>
    <font>
      <sz val="11"/>
      <name val="Poppins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Poppins"/>
    </font>
    <font>
      <sz val="8"/>
      <color rgb="FF3B3B3B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color theme="1"/>
      <name val="Poppins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1212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21212"/>
        <bgColor theme="0"/>
      </patternFill>
    </fill>
    <fill>
      <patternFill patternType="solid">
        <fgColor rgb="FFFFFFFF"/>
        <bgColor indexed="8"/>
      </patternFill>
    </fill>
    <fill>
      <patternFill patternType="solid">
        <fgColor theme="1" tint="0.749992370372631"/>
        <bgColor indexed="64"/>
      </patternFill>
    </fill>
    <fill>
      <patternFill patternType="solid">
        <fgColor theme="1" tint="0.749992370372631"/>
        <bgColor rgb="FF255AE5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65">
    <border>
      <left/>
      <right/>
      <top/>
      <bottom/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6464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6464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/>
      <right style="medium">
        <color indexed="64"/>
      </right>
      <top style="hair">
        <color rgb="FF000000"/>
      </top>
      <bottom style="hair">
        <color rgb="FF000000"/>
      </bottom>
      <diagonal/>
    </border>
    <border>
      <left/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646464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646464"/>
      </right>
      <top/>
      <bottom style="hair">
        <color rgb="FF000000"/>
      </bottom>
      <diagonal/>
    </border>
    <border>
      <left/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/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thin">
        <color rgb="FF646464"/>
      </right>
      <top/>
      <bottom style="thin">
        <color indexed="64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  <diagonal/>
    </border>
    <border>
      <left/>
      <right style="hair">
        <color rgb="FF010000"/>
      </right>
      <top style="hair">
        <color rgb="FF010000"/>
      </top>
      <bottom/>
      <diagonal/>
    </border>
    <border>
      <left style="hair">
        <color rgb="FF010000"/>
      </left>
      <right style="hair">
        <color rgb="FF010000"/>
      </right>
      <top/>
      <bottom/>
      <diagonal/>
    </border>
    <border>
      <left/>
      <right style="hair">
        <color rgb="FF010000"/>
      </right>
      <top/>
      <bottom/>
      <diagonal/>
    </border>
    <border>
      <left style="hair">
        <color rgb="FF010000"/>
      </left>
      <right style="hair">
        <color rgb="FF010000"/>
      </right>
      <top/>
      <bottom style="hair">
        <color rgb="FF010000"/>
      </bottom>
      <diagonal/>
    </border>
    <border>
      <left/>
      <right style="hair">
        <color rgb="FF010000"/>
      </right>
      <top/>
      <bottom style="hair">
        <color rgb="FF010000"/>
      </bottom>
      <diagonal/>
    </border>
    <border>
      <left/>
      <right/>
      <top/>
      <bottom style="hair">
        <color rgb="FF010000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/>
      <right/>
      <top style="hair">
        <color rgb="FF010000"/>
      </top>
      <bottom/>
      <diagonal/>
    </border>
  </borders>
  <cellStyleXfs count="18">
    <xf numFmtId="0" fontId="0" fillId="0" borderId="0"/>
    <xf numFmtId="44" fontId="14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6" fillId="0" borderId="4"/>
    <xf numFmtId="9" fontId="6" fillId="0" borderId="4" applyFont="0" applyFill="0" applyBorder="0" applyAlignment="0" applyProtection="0"/>
    <xf numFmtId="0" fontId="21" fillId="8" borderId="4" applyNumberFormat="0" applyFont="0" applyFill="0" applyBorder="0" applyAlignment="0" applyProtection="0">
      <alignment horizontal="left" vertical="top" wrapText="1"/>
    </xf>
    <xf numFmtId="0" fontId="4" fillId="0" borderId="4"/>
    <xf numFmtId="9" fontId="4" fillId="0" borderId="4" applyFont="0" applyFill="0" applyBorder="0" applyAlignment="0" applyProtection="0"/>
    <xf numFmtId="9" fontId="24" fillId="0" borderId="0" applyFont="0" applyFill="0" applyBorder="0" applyAlignment="0" applyProtection="0"/>
    <xf numFmtId="0" fontId="27" fillId="0" borderId="4"/>
    <xf numFmtId="9" fontId="27" fillId="0" borderId="4" applyFont="0" applyFill="0" applyBorder="0" applyAlignment="0" applyProtection="0"/>
    <xf numFmtId="44" fontId="27" fillId="0" borderId="4" applyFont="0" applyFill="0" applyBorder="0" applyAlignment="0" applyProtection="0"/>
    <xf numFmtId="42" fontId="27" fillId="0" borderId="4" applyFont="0" applyFill="0" applyBorder="0" applyAlignment="0" applyProtection="0"/>
    <xf numFmtId="43" fontId="27" fillId="0" borderId="4" applyFont="0" applyFill="0" applyBorder="0" applyAlignment="0" applyProtection="0"/>
    <xf numFmtId="41" fontId="27" fillId="0" borderId="4" applyFont="0" applyFill="0" applyBorder="0" applyAlignment="0" applyProtection="0"/>
    <xf numFmtId="0" fontId="27" fillId="0" borderId="4" applyNumberFormat="0" applyFont="0" applyFill="0" applyBorder="0" applyAlignment="0" applyProtection="0"/>
    <xf numFmtId="180" fontId="27" fillId="0" borderId="4" applyFont="0" applyFill="0" applyBorder="0" applyAlignment="0" applyProtection="0"/>
    <xf numFmtId="0" fontId="27" fillId="0" borderId="4" applyNumberFormat="0" applyFont="0" applyFill="0" applyBorder="0" applyAlignment="0" applyProtection="0"/>
  </cellStyleXfs>
  <cellXfs count="225">
    <xf numFmtId="0" fontId="0" fillId="0" borderId="0" xfId="0"/>
    <xf numFmtId="0" fontId="10" fillId="0" borderId="0" xfId="0" applyFont="1"/>
    <xf numFmtId="0" fontId="10" fillId="3" borderId="1" xfId="0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4" fontId="10" fillId="0" borderId="0" xfId="0" applyNumberFormat="1" applyFont="1" applyAlignment="1">
      <alignment vertical="center"/>
    </xf>
    <xf numFmtId="164" fontId="10" fillId="0" borderId="0" xfId="0" applyNumberFormat="1" applyFont="1"/>
    <xf numFmtId="0" fontId="11" fillId="0" borderId="0" xfId="0" applyFont="1" applyAlignment="1">
      <alignment vertical="center"/>
    </xf>
    <xf numFmtId="0" fontId="10" fillId="4" borderId="1" xfId="0" applyFont="1" applyFill="1" applyBorder="1" applyAlignment="1">
      <alignment horizontal="left" vertical="center"/>
    </xf>
    <xf numFmtId="10" fontId="10" fillId="4" borderId="2" xfId="0" applyNumberFormat="1" applyFont="1" applyFill="1" applyBorder="1" applyAlignment="1">
      <alignment horizontal="center" vertical="center"/>
    </xf>
    <xf numFmtId="10" fontId="10" fillId="3" borderId="2" xfId="0" applyNumberFormat="1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4" fontId="12" fillId="0" borderId="0" xfId="0" applyNumberFormat="1" applyFont="1"/>
    <xf numFmtId="165" fontId="13" fillId="0" borderId="0" xfId="0" applyNumberFormat="1" applyFont="1" applyAlignment="1">
      <alignment horizontal="left"/>
    </xf>
    <xf numFmtId="165" fontId="11" fillId="0" borderId="0" xfId="0" applyNumberFormat="1" applyFont="1" applyAlignment="1">
      <alignment vertical="center"/>
    </xf>
    <xf numFmtId="164" fontId="10" fillId="4" borderId="2" xfId="0" applyNumberFormat="1" applyFont="1" applyFill="1" applyBorder="1" applyAlignment="1">
      <alignment horizontal="center" vertical="center"/>
    </xf>
    <xf numFmtId="164" fontId="10" fillId="3" borderId="2" xfId="0" applyNumberFormat="1" applyFont="1" applyFill="1" applyBorder="1" applyAlignment="1">
      <alignment horizontal="center" vertical="center"/>
    </xf>
    <xf numFmtId="0" fontId="0" fillId="0" borderId="4" xfId="0" applyBorder="1"/>
    <xf numFmtId="44" fontId="0" fillId="0" borderId="7" xfId="1" applyFont="1" applyBorder="1"/>
    <xf numFmtId="0" fontId="15" fillId="0" borderId="0" xfId="0" applyFont="1"/>
    <xf numFmtId="44" fontId="0" fillId="0" borderId="7" xfId="1" applyFont="1" applyFill="1" applyBorder="1"/>
    <xf numFmtId="0" fontId="7" fillId="0" borderId="0" xfId="0" applyFont="1"/>
    <xf numFmtId="0" fontId="0" fillId="0" borderId="0" xfId="0" applyAlignment="1">
      <alignment horizontal="center"/>
    </xf>
    <xf numFmtId="0" fontId="20" fillId="0" borderId="14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11" fillId="0" borderId="16" xfId="0" applyFont="1" applyBorder="1" applyAlignment="1">
      <alignment horizontal="center" vertical="center"/>
    </xf>
    <xf numFmtId="0" fontId="10" fillId="4" borderId="17" xfId="0" applyFont="1" applyFill="1" applyBorder="1" applyAlignment="1">
      <alignment horizontal="left" vertical="center"/>
    </xf>
    <xf numFmtId="0" fontId="10" fillId="3" borderId="17" xfId="0" applyFont="1" applyFill="1" applyBorder="1" applyAlignment="1">
      <alignment horizontal="left" vertical="center"/>
    </xf>
    <xf numFmtId="0" fontId="10" fillId="4" borderId="18" xfId="0" applyFont="1" applyFill="1" applyBorder="1" applyAlignment="1">
      <alignment horizontal="left" vertical="center"/>
    </xf>
    <xf numFmtId="0" fontId="10" fillId="3" borderId="19" xfId="0" applyFont="1" applyFill="1" applyBorder="1" applyAlignment="1">
      <alignment horizontal="left" vertical="center"/>
    </xf>
    <xf numFmtId="0" fontId="10" fillId="4" borderId="19" xfId="0" applyFont="1" applyFill="1" applyBorder="1" applyAlignment="1">
      <alignment horizontal="left" vertical="center"/>
    </xf>
    <xf numFmtId="0" fontId="10" fillId="4" borderId="20" xfId="0" applyFont="1" applyFill="1" applyBorder="1" applyAlignment="1">
      <alignment horizontal="left" vertical="center"/>
    </xf>
    <xf numFmtId="0" fontId="10" fillId="4" borderId="21" xfId="0" applyFont="1" applyFill="1" applyBorder="1" applyAlignment="1">
      <alignment horizontal="left" vertical="center"/>
    </xf>
    <xf numFmtId="44" fontId="0" fillId="0" borderId="22" xfId="1" applyFont="1" applyBorder="1"/>
    <xf numFmtId="44" fontId="0" fillId="0" borderId="22" xfId="1" applyFont="1" applyFill="1" applyBorder="1"/>
    <xf numFmtId="0" fontId="0" fillId="0" borderId="9" xfId="0" applyBorder="1"/>
    <xf numFmtId="0" fontId="8" fillId="7" borderId="13" xfId="0" applyFont="1" applyFill="1" applyBorder="1" applyAlignment="1">
      <alignment horizontal="left" vertical="center"/>
    </xf>
    <xf numFmtId="44" fontId="19" fillId="5" borderId="24" xfId="0" applyNumberFormat="1" applyFont="1" applyFill="1" applyBorder="1"/>
    <xf numFmtId="44" fontId="19" fillId="5" borderId="24" xfId="0" applyNumberFormat="1" applyFont="1" applyFill="1" applyBorder="1" applyAlignment="1">
      <alignment horizontal="center"/>
    </xf>
    <xf numFmtId="0" fontId="19" fillId="5" borderId="5" xfId="0" applyFont="1" applyFill="1" applyBorder="1"/>
    <xf numFmtId="0" fontId="19" fillId="5" borderId="8" xfId="0" applyFont="1" applyFill="1" applyBorder="1"/>
    <xf numFmtId="43" fontId="0" fillId="0" borderId="0" xfId="2" applyFont="1"/>
    <xf numFmtId="43" fontId="19" fillId="5" borderId="10" xfId="2" applyFont="1" applyFill="1" applyBorder="1" applyAlignment="1">
      <alignment horizontal="center"/>
    </xf>
    <xf numFmtId="43" fontId="0" fillId="0" borderId="10" xfId="2" applyFont="1" applyBorder="1"/>
    <xf numFmtId="43" fontId="0" fillId="0" borderId="31" xfId="2" applyFont="1" applyBorder="1"/>
    <xf numFmtId="43" fontId="19" fillId="5" borderId="24" xfId="2" applyFont="1" applyFill="1" applyBorder="1"/>
    <xf numFmtId="43" fontId="10" fillId="0" borderId="0" xfId="2" applyFont="1" applyAlignment="1">
      <alignment horizontal="center"/>
    </xf>
    <xf numFmtId="0" fontId="8" fillId="2" borderId="10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center" vertical="center"/>
    </xf>
    <xf numFmtId="9" fontId="8" fillId="2" borderId="10" xfId="0" applyNumberFormat="1" applyFont="1" applyFill="1" applyBorder="1" applyAlignment="1">
      <alignment horizontal="center" vertical="center"/>
    </xf>
    <xf numFmtId="164" fontId="8" fillId="2" borderId="10" xfId="0" applyNumberFormat="1" applyFont="1" applyFill="1" applyBorder="1" applyAlignment="1">
      <alignment horizontal="center" vertical="center"/>
    </xf>
    <xf numFmtId="17" fontId="8" fillId="2" borderId="10" xfId="0" applyNumberFormat="1" applyFont="1" applyFill="1" applyBorder="1" applyAlignment="1">
      <alignment horizontal="center" vertical="center"/>
    </xf>
    <xf numFmtId="44" fontId="0" fillId="6" borderId="23" xfId="1" applyFont="1" applyFill="1" applyBorder="1"/>
    <xf numFmtId="44" fontId="19" fillId="6" borderId="24" xfId="0" applyNumberFormat="1" applyFont="1" applyFill="1" applyBorder="1"/>
    <xf numFmtId="2" fontId="8" fillId="2" borderId="10" xfId="0" applyNumberFormat="1" applyFont="1" applyFill="1" applyBorder="1" applyAlignment="1">
      <alignment horizontal="center" vertical="center"/>
    </xf>
    <xf numFmtId="17" fontId="0" fillId="0" borderId="6" xfId="0" applyNumberFormat="1" applyBorder="1"/>
    <xf numFmtId="43" fontId="3" fillId="0" borderId="10" xfId="2" applyFont="1" applyBorder="1"/>
    <xf numFmtId="44" fontId="10" fillId="3" borderId="2" xfId="1" applyFont="1" applyFill="1" applyBorder="1" applyAlignment="1">
      <alignment horizontal="left" vertical="center"/>
    </xf>
    <xf numFmtId="44" fontId="10" fillId="4" borderId="2" xfId="1" applyFont="1" applyFill="1" applyBorder="1" applyAlignment="1">
      <alignment horizontal="left" vertical="center"/>
    </xf>
    <xf numFmtId="44" fontId="17" fillId="4" borderId="2" xfId="1" applyFont="1" applyFill="1" applyBorder="1" applyAlignment="1">
      <alignment horizontal="left" vertical="center"/>
    </xf>
    <xf numFmtId="44" fontId="8" fillId="2" borderId="10" xfId="1" applyFont="1" applyFill="1" applyBorder="1" applyAlignment="1">
      <alignment horizontal="left" vertical="center"/>
    </xf>
    <xf numFmtId="44" fontId="8" fillId="2" borderId="10" xfId="1" applyFont="1" applyFill="1" applyBorder="1" applyAlignment="1">
      <alignment horizontal="center" vertical="center"/>
    </xf>
    <xf numFmtId="44" fontId="10" fillId="3" borderId="3" xfId="1" applyFont="1" applyFill="1" applyBorder="1" applyAlignment="1">
      <alignment horizontal="center" vertical="center"/>
    </xf>
    <xf numFmtId="44" fontId="10" fillId="4" borderId="3" xfId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43" fontId="10" fillId="0" borderId="0" xfId="0" applyNumberFormat="1" applyFont="1"/>
    <xf numFmtId="0" fontId="8" fillId="2" borderId="5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center" vertical="center"/>
    </xf>
    <xf numFmtId="0" fontId="10" fillId="4" borderId="33" xfId="0" applyFont="1" applyFill="1" applyBorder="1" applyAlignment="1">
      <alignment horizontal="left" vertical="center"/>
    </xf>
    <xf numFmtId="44" fontId="10" fillId="3" borderId="34" xfId="1" applyFont="1" applyFill="1" applyBorder="1" applyAlignment="1">
      <alignment horizontal="center" vertical="center"/>
    </xf>
    <xf numFmtId="44" fontId="10" fillId="4" borderId="35" xfId="1" applyFont="1" applyFill="1" applyBorder="1" applyAlignment="1">
      <alignment horizontal="center" vertical="center"/>
    </xf>
    <xf numFmtId="0" fontId="10" fillId="4" borderId="36" xfId="0" applyFont="1" applyFill="1" applyBorder="1" applyAlignment="1">
      <alignment horizontal="left" vertical="center"/>
    </xf>
    <xf numFmtId="44" fontId="10" fillId="4" borderId="37" xfId="1" applyFont="1" applyFill="1" applyBorder="1" applyAlignment="1">
      <alignment horizontal="center" vertical="center"/>
    </xf>
    <xf numFmtId="10" fontId="13" fillId="0" borderId="0" xfId="8" applyNumberFormat="1" applyFont="1" applyAlignment="1">
      <alignment horizontal="left"/>
    </xf>
    <xf numFmtId="43" fontId="8" fillId="2" borderId="10" xfId="2" applyFont="1" applyFill="1" applyBorder="1" applyAlignment="1">
      <alignment horizontal="center" vertical="center"/>
    </xf>
    <xf numFmtId="0" fontId="0" fillId="9" borderId="0" xfId="0" applyFill="1"/>
    <xf numFmtId="0" fontId="19" fillId="9" borderId="5" xfId="0" applyFont="1" applyFill="1" applyBorder="1"/>
    <xf numFmtId="0" fontId="11" fillId="9" borderId="15" xfId="0" applyFont="1" applyFill="1" applyBorder="1" applyAlignment="1">
      <alignment vertical="center"/>
    </xf>
    <xf numFmtId="17" fontId="0" fillId="9" borderId="6" xfId="0" applyNumberFormat="1" applyFill="1" applyBorder="1"/>
    <xf numFmtId="17" fontId="3" fillId="9" borderId="6" xfId="0" applyNumberFormat="1" applyFont="1" applyFill="1" applyBorder="1"/>
    <xf numFmtId="0" fontId="19" fillId="9" borderId="8" xfId="0" applyFont="1" applyFill="1" applyBorder="1"/>
    <xf numFmtId="0" fontId="0" fillId="9" borderId="9" xfId="0" applyFill="1" applyBorder="1"/>
    <xf numFmtId="0" fontId="8" fillId="10" borderId="30" xfId="0" applyFont="1" applyFill="1" applyBorder="1" applyAlignment="1">
      <alignment horizontal="center" vertical="center"/>
    </xf>
    <xf numFmtId="0" fontId="8" fillId="10" borderId="24" xfId="0" applyFont="1" applyFill="1" applyBorder="1" applyAlignment="1">
      <alignment horizontal="center" vertical="center"/>
    </xf>
    <xf numFmtId="0" fontId="8" fillId="10" borderId="25" xfId="0" applyFont="1" applyFill="1" applyBorder="1" applyAlignment="1">
      <alignment horizontal="center" vertical="center"/>
    </xf>
    <xf numFmtId="44" fontId="19" fillId="9" borderId="24" xfId="0" applyNumberFormat="1" applyFont="1" applyFill="1" applyBorder="1" applyAlignment="1">
      <alignment horizontal="center"/>
    </xf>
    <xf numFmtId="44" fontId="19" fillId="9" borderId="30" xfId="0" applyNumberFormat="1" applyFont="1" applyFill="1" applyBorder="1" applyAlignment="1">
      <alignment horizontal="center"/>
    </xf>
    <xf numFmtId="44" fontId="19" fillId="9" borderId="25" xfId="0" applyNumberFormat="1" applyFont="1" applyFill="1" applyBorder="1" applyAlignment="1">
      <alignment horizontal="center"/>
    </xf>
    <xf numFmtId="44" fontId="0" fillId="9" borderId="22" xfId="1" applyFont="1" applyFill="1" applyBorder="1"/>
    <xf numFmtId="44" fontId="0" fillId="9" borderId="23" xfId="1" applyFont="1" applyFill="1" applyBorder="1"/>
    <xf numFmtId="44" fontId="0" fillId="9" borderId="29" xfId="1" applyFont="1" applyFill="1" applyBorder="1"/>
    <xf numFmtId="44" fontId="3" fillId="9" borderId="22" xfId="1" applyFont="1" applyFill="1" applyBorder="1"/>
    <xf numFmtId="44" fontId="0" fillId="9" borderId="26" xfId="1" applyFont="1" applyFill="1" applyBorder="1"/>
    <xf numFmtId="44" fontId="0" fillId="9" borderId="27" xfId="1" applyFont="1" applyFill="1" applyBorder="1"/>
    <xf numFmtId="44" fontId="22" fillId="9" borderId="7" xfId="1" applyFont="1" applyFill="1" applyBorder="1"/>
    <xf numFmtId="44" fontId="0" fillId="9" borderId="7" xfId="1" applyFont="1" applyFill="1" applyBorder="1"/>
    <xf numFmtId="44" fontId="18" fillId="9" borderId="27" xfId="1" applyFont="1" applyFill="1" applyBorder="1"/>
    <xf numFmtId="44" fontId="5" fillId="9" borderId="27" xfId="1" applyFont="1" applyFill="1" applyBorder="1"/>
    <xf numFmtId="44" fontId="18" fillId="9" borderId="28" xfId="1" applyFont="1" applyFill="1" applyBorder="1"/>
    <xf numFmtId="44" fontId="19" fillId="9" borderId="24" xfId="0" applyNumberFormat="1" applyFont="1" applyFill="1" applyBorder="1"/>
    <xf numFmtId="44" fontId="23" fillId="9" borderId="24" xfId="0" applyNumberFormat="1" applyFont="1" applyFill="1" applyBorder="1"/>
    <xf numFmtId="0" fontId="15" fillId="9" borderId="0" xfId="0" applyFont="1" applyFill="1"/>
    <xf numFmtId="0" fontId="7" fillId="9" borderId="0" xfId="0" applyFont="1" applyFill="1"/>
    <xf numFmtId="2" fontId="0" fillId="9" borderId="0" xfId="0" applyNumberFormat="1" applyFill="1"/>
    <xf numFmtId="0" fontId="8" fillId="2" borderId="32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4" fontId="10" fillId="3" borderId="42" xfId="0" applyNumberFormat="1" applyFont="1" applyFill="1" applyBorder="1" applyAlignment="1">
      <alignment horizontal="center" vertical="center"/>
    </xf>
    <xf numFmtId="43" fontId="8" fillId="2" borderId="38" xfId="2" applyFont="1" applyFill="1" applyBorder="1" applyAlignment="1">
      <alignment horizontal="center" vertical="center"/>
    </xf>
    <xf numFmtId="43" fontId="8" fillId="2" borderId="32" xfId="2" applyFont="1" applyFill="1" applyBorder="1" applyAlignment="1">
      <alignment horizontal="center" vertical="center"/>
    </xf>
    <xf numFmtId="43" fontId="10" fillId="4" borderId="42" xfId="2" applyFont="1" applyFill="1" applyBorder="1" applyAlignment="1">
      <alignment horizontal="center" vertical="center"/>
    </xf>
    <xf numFmtId="164" fontId="10" fillId="3" borderId="44" xfId="0" applyNumberFormat="1" applyFont="1" applyFill="1" applyBorder="1" applyAlignment="1">
      <alignment horizontal="center" vertical="center"/>
    </xf>
    <xf numFmtId="164" fontId="10" fillId="4" borderId="44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right" vertical="center"/>
    </xf>
    <xf numFmtId="44" fontId="8" fillId="2" borderId="12" xfId="1" applyFont="1" applyFill="1" applyBorder="1" applyAlignment="1">
      <alignment horizontal="right" vertical="center"/>
    </xf>
    <xf numFmtId="164" fontId="8" fillId="2" borderId="12" xfId="0" applyNumberFormat="1" applyFont="1" applyFill="1" applyBorder="1" applyAlignment="1">
      <alignment horizontal="center" vertical="center"/>
    </xf>
    <xf numFmtId="43" fontId="9" fillId="2" borderId="43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3" fontId="10" fillId="0" borderId="0" xfId="0" applyNumberFormat="1" applyFont="1" applyAlignment="1">
      <alignment vertical="center"/>
    </xf>
    <xf numFmtId="44" fontId="0" fillId="0" borderId="0" xfId="0" applyNumberFormat="1"/>
    <xf numFmtId="0" fontId="2" fillId="0" borderId="0" xfId="0" quotePrefix="1" applyFont="1"/>
    <xf numFmtId="0" fontId="8" fillId="2" borderId="38" xfId="0" applyFont="1" applyFill="1" applyBorder="1" applyAlignment="1">
      <alignment horizontal="center" vertical="center"/>
    </xf>
    <xf numFmtId="4" fontId="10" fillId="4" borderId="45" xfId="0" applyNumberFormat="1" applyFont="1" applyFill="1" applyBorder="1" applyAlignment="1">
      <alignment horizontal="center" vertical="center"/>
    </xf>
    <xf numFmtId="4" fontId="10" fillId="3" borderId="46" xfId="0" applyNumberFormat="1" applyFont="1" applyFill="1" applyBorder="1" applyAlignment="1">
      <alignment horizontal="center" vertical="center"/>
    </xf>
    <xf numFmtId="4" fontId="10" fillId="4" borderId="41" xfId="0" applyNumberFormat="1" applyFont="1" applyFill="1" applyBorder="1" applyAlignment="1">
      <alignment horizontal="center" vertical="center"/>
    </xf>
    <xf numFmtId="0" fontId="8" fillId="2" borderId="47" xfId="0" applyFont="1" applyFill="1" applyBorder="1" applyAlignment="1">
      <alignment horizontal="center" vertical="center"/>
    </xf>
    <xf numFmtId="44" fontId="10" fillId="4" borderId="34" xfId="1" applyFont="1" applyFill="1" applyBorder="1" applyAlignment="1">
      <alignment vertical="center"/>
    </xf>
    <xf numFmtId="4" fontId="10" fillId="4" borderId="48" xfId="0" applyNumberFormat="1" applyFont="1" applyFill="1" applyBorder="1" applyAlignment="1">
      <alignment horizontal="center" vertical="center"/>
    </xf>
    <xf numFmtId="4" fontId="10" fillId="3" borderId="44" xfId="0" applyNumberFormat="1" applyFont="1" applyFill="1" applyBorder="1" applyAlignment="1">
      <alignment horizontal="center" vertical="center"/>
    </xf>
    <xf numFmtId="4" fontId="10" fillId="4" borderId="49" xfId="0" applyNumberFormat="1" applyFont="1" applyFill="1" applyBorder="1" applyAlignment="1">
      <alignment horizontal="center" vertical="center"/>
    </xf>
    <xf numFmtId="4" fontId="10" fillId="4" borderId="50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10" fillId="4" borderId="51" xfId="0" applyFont="1" applyFill="1" applyBorder="1" applyAlignment="1">
      <alignment horizontal="left" vertical="center"/>
    </xf>
    <xf numFmtId="0" fontId="10" fillId="3" borderId="53" xfId="0" applyFont="1" applyFill="1" applyBorder="1" applyAlignment="1">
      <alignment horizontal="left" vertical="center"/>
    </xf>
    <xf numFmtId="44" fontId="10" fillId="3" borderId="52" xfId="1" applyFont="1" applyFill="1" applyBorder="1" applyAlignment="1">
      <alignment horizontal="center" vertical="center"/>
    </xf>
    <xf numFmtId="44" fontId="10" fillId="4" borderId="54" xfId="1" applyFont="1" applyFill="1" applyBorder="1" applyAlignment="1">
      <alignment horizontal="center" vertical="center"/>
    </xf>
    <xf numFmtId="0" fontId="10" fillId="4" borderId="55" xfId="0" applyFont="1" applyFill="1" applyBorder="1" applyAlignment="1">
      <alignment horizontal="left" vertical="center"/>
    </xf>
    <xf numFmtId="44" fontId="10" fillId="4" borderId="26" xfId="1" applyFont="1" applyFill="1" applyBorder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29" fillId="4" borderId="51" xfId="0" applyFont="1" applyFill="1" applyBorder="1" applyAlignment="1">
      <alignment horizontal="left" vertical="center"/>
    </xf>
    <xf numFmtId="4" fontId="29" fillId="4" borderId="45" xfId="0" applyNumberFormat="1" applyFont="1" applyFill="1" applyBorder="1" applyAlignment="1">
      <alignment horizontal="center" vertical="center"/>
    </xf>
    <xf numFmtId="4" fontId="29" fillId="4" borderId="48" xfId="0" applyNumberFormat="1" applyFont="1" applyFill="1" applyBorder="1" applyAlignment="1">
      <alignment horizontal="center" vertical="center"/>
    </xf>
    <xf numFmtId="44" fontId="29" fillId="4" borderId="52" xfId="1" applyFont="1" applyFill="1" applyBorder="1" applyAlignment="1">
      <alignment vertical="center"/>
    </xf>
    <xf numFmtId="44" fontId="19" fillId="5" borderId="30" xfId="0" applyNumberFormat="1" applyFont="1" applyFill="1" applyBorder="1" applyAlignment="1">
      <alignment horizontal="center"/>
    </xf>
    <xf numFmtId="44" fontId="19" fillId="5" borderId="25" xfId="0" applyNumberFormat="1" applyFont="1" applyFill="1" applyBorder="1" applyAlignment="1">
      <alignment horizontal="center"/>
    </xf>
    <xf numFmtId="44" fontId="1" fillId="0" borderId="22" xfId="1" applyFont="1" applyBorder="1"/>
    <xf numFmtId="44" fontId="22" fillId="0" borderId="7" xfId="1" applyFont="1" applyBorder="1"/>
    <xf numFmtId="4" fontId="11" fillId="0" borderId="0" xfId="0" applyNumberFormat="1" applyFont="1" applyAlignment="1">
      <alignment vertical="center"/>
    </xf>
    <xf numFmtId="43" fontId="11" fillId="0" borderId="0" xfId="0" applyNumberFormat="1" applyFont="1" applyAlignment="1">
      <alignment vertical="center"/>
    </xf>
    <xf numFmtId="0" fontId="11" fillId="0" borderId="4" xfId="0" applyFont="1" applyBorder="1" applyAlignment="1">
      <alignment vertical="center"/>
    </xf>
    <xf numFmtId="44" fontId="0" fillId="0" borderId="26" xfId="1" applyFont="1" applyBorder="1"/>
    <xf numFmtId="44" fontId="0" fillId="0" borderId="27" xfId="1" applyFont="1" applyBorder="1"/>
    <xf numFmtId="44" fontId="18" fillId="0" borderId="27" xfId="1" applyFont="1" applyBorder="1"/>
    <xf numFmtId="44" fontId="22" fillId="0" borderId="27" xfId="1" applyFont="1" applyBorder="1"/>
    <xf numFmtId="44" fontId="0" fillId="0" borderId="8" xfId="1" applyFont="1" applyBorder="1"/>
    <xf numFmtId="44" fontId="22" fillId="0" borderId="28" xfId="1" applyFont="1" applyBorder="1"/>
    <xf numFmtId="0" fontId="27" fillId="0" borderId="4" xfId="9"/>
    <xf numFmtId="4" fontId="27" fillId="0" borderId="4" xfId="9" applyNumberFormat="1"/>
    <xf numFmtId="2" fontId="27" fillId="0" borderId="4" xfId="9" applyNumberFormat="1"/>
    <xf numFmtId="44" fontId="11" fillId="0" borderId="0" xfId="0" applyNumberFormat="1" applyFont="1" applyAlignment="1">
      <alignment vertical="center"/>
    </xf>
    <xf numFmtId="44" fontId="11" fillId="0" borderId="0" xfId="1" applyFont="1" applyAlignment="1">
      <alignment vertical="center"/>
    </xf>
    <xf numFmtId="0" fontId="10" fillId="12" borderId="0" xfId="0" applyFont="1" applyFill="1" applyAlignment="1">
      <alignment vertical="center"/>
    </xf>
    <xf numFmtId="0" fontId="34" fillId="0" borderId="63" xfId="0" applyFont="1" applyBorder="1" applyAlignment="1">
      <alignment horizontal="left" vertical="top" wrapText="1"/>
    </xf>
    <xf numFmtId="0" fontId="35" fillId="0" borderId="63" xfId="0" applyFont="1" applyBorder="1" applyAlignment="1">
      <alignment horizontal="left" vertical="top" wrapText="1"/>
    </xf>
    <xf numFmtId="0" fontId="34" fillId="11" borderId="63" xfId="0" applyFont="1" applyFill="1" applyBorder="1" applyAlignment="1">
      <alignment horizontal="left" vertical="top" wrapText="1"/>
    </xf>
    <xf numFmtId="0" fontId="37" fillId="0" borderId="64" xfId="0" applyFont="1" applyBorder="1" applyAlignment="1">
      <alignment horizontal="left" vertical="top" wrapText="1"/>
    </xf>
    <xf numFmtId="0" fontId="37" fillId="0" borderId="64" xfId="0" applyFont="1" applyBorder="1" applyAlignment="1">
      <alignment horizontal="center" vertical="top" wrapText="1"/>
    </xf>
    <xf numFmtId="0" fontId="37" fillId="0" borderId="64" xfId="0" applyFont="1" applyBorder="1" applyAlignment="1">
      <alignment horizontal="right" vertical="top" wrapText="1"/>
    </xf>
    <xf numFmtId="173" fontId="35" fillId="0" borderId="63" xfId="0" applyNumberFormat="1" applyFont="1" applyBorder="1" applyAlignment="1">
      <alignment horizontal="right" vertical="top" wrapText="1"/>
    </xf>
    <xf numFmtId="0" fontId="35" fillId="0" borderId="63" xfId="0" applyFont="1" applyBorder="1" applyAlignment="1">
      <alignment horizontal="right" vertical="top" wrapText="1"/>
    </xf>
    <xf numFmtId="167" fontId="35" fillId="0" borderId="63" xfId="0" applyNumberFormat="1" applyFont="1" applyBorder="1" applyAlignment="1">
      <alignment horizontal="right" vertical="top" wrapText="1"/>
    </xf>
    <xf numFmtId="0" fontId="34" fillId="0" borderId="63" xfId="0" applyFont="1" applyBorder="1" applyAlignment="1">
      <alignment horizontal="left" vertical="top" wrapText="1"/>
    </xf>
    <xf numFmtId="0" fontId="34" fillId="0" borderId="63" xfId="0" applyFont="1" applyBorder="1" applyAlignment="1">
      <alignment horizontal="right" vertical="top" wrapText="1"/>
    </xf>
    <xf numFmtId="167" fontId="34" fillId="0" borderId="63" xfId="0" applyNumberFormat="1" applyFont="1" applyBorder="1" applyAlignment="1">
      <alignment horizontal="right" vertical="top" wrapText="1"/>
    </xf>
    <xf numFmtId="0" fontId="35" fillId="0" borderId="63" xfId="0" applyFont="1" applyBorder="1" applyAlignment="1">
      <alignment horizontal="left" vertical="top" wrapText="1"/>
    </xf>
    <xf numFmtId="169" fontId="35" fillId="0" borderId="63" xfId="0" applyNumberFormat="1" applyFont="1" applyBorder="1" applyAlignment="1">
      <alignment horizontal="right" vertical="top" wrapText="1"/>
    </xf>
    <xf numFmtId="176" fontId="35" fillId="0" borderId="63" xfId="0" applyNumberFormat="1" applyFont="1" applyBorder="1" applyAlignment="1">
      <alignment horizontal="right" vertical="top" wrapText="1"/>
    </xf>
    <xf numFmtId="0" fontId="34" fillId="11" borderId="63" xfId="0" applyFont="1" applyFill="1" applyBorder="1" applyAlignment="1">
      <alignment horizontal="right" vertical="top" wrapText="1"/>
    </xf>
    <xf numFmtId="0" fontId="30" fillId="0" borderId="56" xfId="0" applyFont="1" applyBorder="1" applyAlignment="1">
      <alignment horizontal="center" vertical="center" wrapText="1"/>
    </xf>
    <xf numFmtId="0" fontId="30" fillId="0" borderId="58" xfId="0" applyFont="1" applyBorder="1" applyAlignment="1">
      <alignment horizontal="center" vertical="center" wrapText="1"/>
    </xf>
    <xf numFmtId="0" fontId="31" fillId="0" borderId="57" xfId="0" applyFont="1" applyBorder="1" applyAlignment="1">
      <alignment horizontal="center" vertical="top" wrapText="1"/>
    </xf>
    <xf numFmtId="0" fontId="32" fillId="0" borderId="59" xfId="0" applyFont="1" applyBorder="1" applyAlignment="1">
      <alignment horizontal="center" vertical="top" wrapText="1"/>
    </xf>
    <xf numFmtId="0" fontId="30" fillId="0" borderId="60" xfId="0" applyFont="1" applyBorder="1" applyAlignment="1">
      <alignment horizontal="center" vertical="center" wrapText="1"/>
    </xf>
    <xf numFmtId="0" fontId="31" fillId="0" borderId="61" xfId="0" applyFont="1" applyBorder="1" applyAlignment="1">
      <alignment horizontal="center" vertical="top" wrapText="1"/>
    </xf>
    <xf numFmtId="0" fontId="33" fillId="0" borderId="62" xfId="0" applyFont="1" applyBorder="1" applyAlignment="1">
      <alignment horizontal="center" vertical="center" wrapText="1"/>
    </xf>
    <xf numFmtId="0" fontId="33" fillId="0" borderId="62" xfId="0" applyFont="1" applyBorder="1" applyAlignment="1">
      <alignment horizontal="center" vertical="top" wrapText="1"/>
    </xf>
    <xf numFmtId="175" fontId="35" fillId="0" borderId="63" xfId="0" applyNumberFormat="1" applyFont="1" applyBorder="1" applyAlignment="1">
      <alignment horizontal="right" vertical="top" wrapText="1"/>
    </xf>
    <xf numFmtId="0" fontId="33" fillId="0" borderId="62" xfId="0" applyFont="1" applyBorder="1" applyAlignment="1">
      <alignment horizontal="left" vertical="top" wrapText="1"/>
    </xf>
    <xf numFmtId="0" fontId="34" fillId="11" borderId="63" xfId="0" applyFont="1" applyFill="1" applyBorder="1" applyAlignment="1">
      <alignment horizontal="left" vertical="top" wrapText="1"/>
    </xf>
    <xf numFmtId="168" fontId="34" fillId="0" borderId="63" xfId="0" applyNumberFormat="1" applyFont="1" applyBorder="1" applyAlignment="1">
      <alignment horizontal="right" vertical="top" wrapText="1"/>
    </xf>
    <xf numFmtId="170" fontId="35" fillId="0" borderId="63" xfId="0" applyNumberFormat="1" applyFont="1" applyBorder="1" applyAlignment="1">
      <alignment horizontal="right" vertical="top" wrapText="1"/>
    </xf>
    <xf numFmtId="168" fontId="35" fillId="0" borderId="63" xfId="0" applyNumberFormat="1" applyFont="1" applyBorder="1" applyAlignment="1">
      <alignment horizontal="right" vertical="top" wrapText="1"/>
    </xf>
    <xf numFmtId="166" fontId="34" fillId="0" borderId="63" xfId="0" applyNumberFormat="1" applyFont="1" applyBorder="1" applyAlignment="1">
      <alignment horizontal="right" vertical="top" wrapText="1"/>
    </xf>
    <xf numFmtId="171" fontId="34" fillId="0" borderId="63" xfId="0" applyNumberFormat="1" applyFont="1" applyBorder="1" applyAlignment="1">
      <alignment horizontal="right" vertical="top" wrapText="1"/>
    </xf>
    <xf numFmtId="172" fontId="35" fillId="0" borderId="63" xfId="0" applyNumberFormat="1" applyFont="1" applyBorder="1" applyAlignment="1">
      <alignment horizontal="right" vertical="top" wrapText="1"/>
    </xf>
    <xf numFmtId="171" fontId="35" fillId="0" borderId="63" xfId="0" applyNumberFormat="1" applyFont="1" applyBorder="1" applyAlignment="1">
      <alignment horizontal="right" vertical="top" wrapText="1"/>
    </xf>
    <xf numFmtId="4" fontId="35" fillId="0" borderId="63" xfId="0" applyNumberFormat="1" applyFont="1" applyBorder="1" applyAlignment="1">
      <alignment horizontal="right" vertical="top" wrapText="1"/>
    </xf>
    <xf numFmtId="174" fontId="35" fillId="0" borderId="63" xfId="0" applyNumberFormat="1" applyFont="1" applyBorder="1" applyAlignment="1">
      <alignment horizontal="right" vertical="top" wrapText="1"/>
    </xf>
    <xf numFmtId="2" fontId="34" fillId="0" borderId="63" xfId="0" applyNumberFormat="1" applyFont="1" applyBorder="1" applyAlignment="1">
      <alignment horizontal="right" vertical="top" wrapText="1"/>
    </xf>
    <xf numFmtId="2" fontId="35" fillId="0" borderId="63" xfId="0" applyNumberFormat="1" applyFont="1" applyBorder="1" applyAlignment="1">
      <alignment horizontal="right" vertical="top" wrapText="1"/>
    </xf>
    <xf numFmtId="177" fontId="35" fillId="0" borderId="63" xfId="0" applyNumberFormat="1" applyFont="1" applyBorder="1" applyAlignment="1">
      <alignment horizontal="right" vertical="top" wrapText="1"/>
    </xf>
    <xf numFmtId="4" fontId="34" fillId="0" borderId="63" xfId="0" applyNumberFormat="1" applyFont="1" applyBorder="1" applyAlignment="1">
      <alignment horizontal="right" vertical="top" wrapText="1"/>
    </xf>
    <xf numFmtId="177" fontId="34" fillId="0" borderId="63" xfId="0" applyNumberFormat="1" applyFont="1" applyBorder="1" applyAlignment="1">
      <alignment horizontal="right" vertical="top" wrapText="1"/>
    </xf>
    <xf numFmtId="178" fontId="35" fillId="0" borderId="63" xfId="0" applyNumberFormat="1" applyFont="1" applyBorder="1" applyAlignment="1">
      <alignment horizontal="right" vertical="top" wrapText="1"/>
    </xf>
    <xf numFmtId="178" fontId="34" fillId="0" borderId="63" xfId="0" applyNumberFormat="1" applyFont="1" applyBorder="1" applyAlignment="1">
      <alignment horizontal="right" vertical="top" wrapText="1"/>
    </xf>
    <xf numFmtId="179" fontId="34" fillId="11" borderId="63" xfId="0" applyNumberFormat="1" applyFont="1" applyFill="1" applyBorder="1" applyAlignment="1">
      <alignment horizontal="right" vertical="top" wrapText="1"/>
    </xf>
    <xf numFmtId="0" fontId="36" fillId="0" borderId="62" xfId="0" applyFont="1" applyBorder="1" applyAlignment="1">
      <alignment horizontal="left" vertical="top" wrapText="1"/>
    </xf>
    <xf numFmtId="0" fontId="36" fillId="0" borderId="62" xfId="0" applyFont="1" applyBorder="1" applyAlignment="1">
      <alignment horizontal="center" vertical="top" wrapText="1"/>
    </xf>
    <xf numFmtId="0" fontId="36" fillId="0" borderId="62" xfId="0" applyFont="1" applyBorder="1" applyAlignment="1">
      <alignment horizontal="right" vertical="top" wrapText="1"/>
    </xf>
    <xf numFmtId="0" fontId="8" fillId="2" borderId="40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9" fillId="2" borderId="38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49" fontId="8" fillId="2" borderId="10" xfId="0" applyNumberFormat="1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10" borderId="30" xfId="0" applyFont="1" applyFill="1" applyBorder="1" applyAlignment="1">
      <alignment horizontal="center" vertical="center"/>
    </xf>
    <xf numFmtId="0" fontId="8" fillId="10" borderId="24" xfId="0" applyFont="1" applyFill="1" applyBorder="1" applyAlignment="1">
      <alignment horizontal="center" vertical="center"/>
    </xf>
    <xf numFmtId="0" fontId="8" fillId="10" borderId="25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</cellXfs>
  <cellStyles count="18">
    <cellStyle name="Comma" xfId="13" xr:uid="{E2495C3D-05B2-469D-A325-9E7D92DA2F3B}"/>
    <cellStyle name="Comma [0]" xfId="14" xr:uid="{44ABDC62-3951-4F90-ABA7-6023D88253DD}"/>
    <cellStyle name="Currency" xfId="11" xr:uid="{14DEEE8E-527F-400C-9206-55B3128A709D}"/>
    <cellStyle name="Currency [0]" xfId="12" xr:uid="{1BC83A66-A0A7-4781-920C-AE94A2148E25}"/>
    <cellStyle name="Moeda" xfId="1" builtinId="4"/>
    <cellStyle name="Moeda 11" xfId="16" xr:uid="{33F07C57-1871-4D6A-9C1C-BA1A6DE666C0}"/>
    <cellStyle name="Normal" xfId="0" builtinId="0"/>
    <cellStyle name="Normal 2" xfId="3" xr:uid="{89934119-66BE-4554-8D7F-F4FDAB4F0E33}"/>
    <cellStyle name="Normal 2 2" xfId="6" xr:uid="{EB197A13-9FED-4877-A4E3-048D58D22801}"/>
    <cellStyle name="Normal 3" xfId="5" xr:uid="{0FC85E54-A6EF-4239-A1A3-0FA1C71DFB15}"/>
    <cellStyle name="Normal 4" xfId="9" xr:uid="{37F1575F-465B-4574-A867-C76AD952775B}"/>
    <cellStyle name="Normal 4 2" xfId="17" xr:uid="{06C16262-4E0F-4ED6-89A4-2AF25093EABE}"/>
    <cellStyle name="Normal 5" xfId="15" xr:uid="{9E7B59AB-ECD8-4409-BEF9-0A7A202D68D1}"/>
    <cellStyle name="Percent" xfId="10" xr:uid="{914B3196-6B1D-40E7-BA15-E7DACE9C3D21}"/>
    <cellStyle name="Porcentagem" xfId="8" builtinId="5"/>
    <cellStyle name="Porcentagem 2" xfId="4" xr:uid="{910739D4-B953-4402-8BEC-DCBA788BEB45}"/>
    <cellStyle name="Porcentagem 2 2" xfId="7" xr:uid="{D40EBD32-8BF0-4FFA-8654-F17219436412}"/>
    <cellStyle name="Vírgula" xfId="2" builtinId="3"/>
  </cellStyles>
  <dxfs count="3"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</dxfs>
  <tableStyles count="1" defaultTableStyle="TableStyleMedium2" defaultPivotStyle="PivotStyleLight16">
    <tableStyle name="Estilo de Tabela 1" pivot="0" count="0" xr9:uid="{F473FC82-7B3E-476E-95A0-25A52ED2C825}"/>
  </tableStyles>
  <colors>
    <mruColors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[CTN-FGE-SCN - Apresentação Orçamento - R00.xlsx]ORÇAMENTO_EXECUTIVO!Tabela dinâmica1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ORÇAMENTO_EXECUTIVO!$B$25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ORÇAMENTO_EXECUTIVO!$A$26:$A$44</c:f>
              <c:strCache>
                <c:ptCount val="18"/>
                <c:pt idx="0">
                  <c:v>SUPRAESTRUTURA</c:v>
                </c:pt>
                <c:pt idx="1">
                  <c:v>IMPREVISTOS E CONTINGENCIAS</c:v>
                </c:pt>
                <c:pt idx="2">
                  <c:v>ACABAMENTOS EM PISO E PAREDE</c:v>
                </c:pt>
                <c:pt idx="3">
                  <c:v>GERENCIAMENTO TÉCNICO E ADMINISTRATIVO</c:v>
                </c:pt>
                <c:pt idx="4">
                  <c:v>INSTALAÇÕES ELÉTRICAS, HIDRÁULICAS, GLP E PREVENTIVAS</c:v>
                </c:pt>
                <c:pt idx="5">
                  <c:v>REVESTIMENTOS E ACABAMENTOS DE FACHADA</c:v>
                </c:pt>
                <c:pt idx="6">
                  <c:v>PAREDES E DIVISÓRIAS</c:v>
                </c:pt>
                <c:pt idx="7">
                  <c:v>EQUIPAMENTOS E SISTEMAS ESPECIAIS</c:v>
                </c:pt>
                <c:pt idx="8">
                  <c:v>ESQUADRIAS, VIDROS E FERRAGENS</c:v>
                </c:pt>
                <c:pt idx="9">
                  <c:v>SERVIÇOS COMPLEMENTARES</c:v>
                </c:pt>
                <c:pt idx="10">
                  <c:v>INFRAESTRUTURA</c:v>
                </c:pt>
                <c:pt idx="11">
                  <c:v>CONTENÇÃO</c:v>
                </c:pt>
                <c:pt idx="12">
                  <c:v>PINTURA INTERNA</c:v>
                </c:pt>
                <c:pt idx="13">
                  <c:v>REVESTIMENTOS INTERNOS EM PISO E PAREDE</c:v>
                </c:pt>
                <c:pt idx="14">
                  <c:v>MOVIEMNTAÇÃO DE TERRA</c:v>
                </c:pt>
                <c:pt idx="15">
                  <c:v>REVESTIMENTOS E ACABAMENTOS INTERNOS EM TETO</c:v>
                </c:pt>
                <c:pt idx="16">
                  <c:v>IMPERMEABILIZAÇÃO</c:v>
                </c:pt>
                <c:pt idx="17">
                  <c:v>COBERTURA</c:v>
                </c:pt>
              </c:strCache>
            </c:strRef>
          </c:cat>
          <c:val>
            <c:numRef>
              <c:f>ORÇAMENTO_EXECUTIVO!$B$26:$B$44</c:f>
              <c:numCache>
                <c:formatCode>0.00%</c:formatCode>
                <c:ptCount val="18"/>
                <c:pt idx="0">
                  <c:v>0.13721716555953822</c:v>
                </c:pt>
                <c:pt idx="1">
                  <c:v>0.13043478260869565</c:v>
                </c:pt>
                <c:pt idx="2">
                  <c:v>0.12252728597939937</c:v>
                </c:pt>
                <c:pt idx="3">
                  <c:v>0.10362447734528171</c:v>
                </c:pt>
                <c:pt idx="4">
                  <c:v>7.6993587264686608E-2</c:v>
                </c:pt>
                <c:pt idx="5">
                  <c:v>6.2136749374158758E-2</c:v>
                </c:pt>
                <c:pt idx="6">
                  <c:v>6.1364610552374743E-2</c:v>
                </c:pt>
                <c:pt idx="7">
                  <c:v>5.8595253406380408E-2</c:v>
                </c:pt>
                <c:pt idx="8">
                  <c:v>5.8515314190662734E-2</c:v>
                </c:pt>
                <c:pt idx="9">
                  <c:v>4.8183369691096593E-2</c:v>
                </c:pt>
                <c:pt idx="10">
                  <c:v>3.8051995449883275E-2</c:v>
                </c:pt>
                <c:pt idx="11">
                  <c:v>2.2860406984246056E-2</c:v>
                </c:pt>
                <c:pt idx="12">
                  <c:v>2.0323820541817739E-2</c:v>
                </c:pt>
                <c:pt idx="13">
                  <c:v>1.6400571102505309E-2</c:v>
                </c:pt>
                <c:pt idx="14">
                  <c:v>1.3966543486370702E-2</c:v>
                </c:pt>
                <c:pt idx="15">
                  <c:v>1.2096577710547663E-2</c:v>
                </c:pt>
                <c:pt idx="16">
                  <c:v>1.1019659315813736E-2</c:v>
                </c:pt>
                <c:pt idx="17">
                  <c:v>5.6878294365404663E-3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87-49D7-AB97-18AC6E3D59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0824671"/>
        <c:axId val="1220826111"/>
      </c:barChart>
      <c:catAx>
        <c:axId val="122082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0826111"/>
        <c:crosses val="autoZero"/>
        <c:auto val="1"/>
        <c:lblAlgn val="ctr"/>
        <c:lblOffset val="100"/>
        <c:noMultiLvlLbl val="0"/>
      </c:catAx>
      <c:valAx>
        <c:axId val="1220826111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220824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9525</xdr:rowOff>
    </xdr:from>
    <xdr:to>
      <xdr:col>2</xdr:col>
      <xdr:colOff>114300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31820C-073E-4767-A6F4-3E709B6B0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9525"/>
          <a:ext cx="685800" cy="495300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 editAs="oneCell">
    <xdr:from>
      <xdr:col>0</xdr:col>
      <xdr:colOff>190500</xdr:colOff>
      <xdr:row>0</xdr:row>
      <xdr:rowOff>9525</xdr:rowOff>
    </xdr:from>
    <xdr:to>
      <xdr:col>2</xdr:col>
      <xdr:colOff>114300</xdr:colOff>
      <xdr:row>2</xdr:row>
      <xdr:rowOff>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4A1C3C43-26F4-48B4-BDCA-B31439F98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7620"/>
          <a:ext cx="685800" cy="502920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 editAs="oneCell">
    <xdr:from>
      <xdr:col>0</xdr:col>
      <xdr:colOff>190500</xdr:colOff>
      <xdr:row>0</xdr:row>
      <xdr:rowOff>9525</xdr:rowOff>
    </xdr:from>
    <xdr:to>
      <xdr:col>2</xdr:col>
      <xdr:colOff>114300</xdr:colOff>
      <xdr:row>2</xdr:row>
      <xdr:rowOff>635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7E35E8D5-376A-4CBD-B7B1-927803B39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9525"/>
          <a:ext cx="685800" cy="495300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 editAs="oneCell">
    <xdr:from>
      <xdr:col>0</xdr:col>
      <xdr:colOff>190500</xdr:colOff>
      <xdr:row>0</xdr:row>
      <xdr:rowOff>9525</xdr:rowOff>
    </xdr:from>
    <xdr:to>
      <xdr:col>2</xdr:col>
      <xdr:colOff>114300</xdr:colOff>
      <xdr:row>2</xdr:row>
      <xdr:rowOff>635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5306916A-3D40-4209-989C-F9FA89AED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9525"/>
          <a:ext cx="685800" cy="495300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 editAs="oneCell">
    <xdr:from>
      <xdr:col>0</xdr:col>
      <xdr:colOff>190500</xdr:colOff>
      <xdr:row>0</xdr:row>
      <xdr:rowOff>9525</xdr:rowOff>
    </xdr:from>
    <xdr:to>
      <xdr:col>2</xdr:col>
      <xdr:colOff>114300</xdr:colOff>
      <xdr:row>2</xdr:row>
      <xdr:rowOff>635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DE264B4E-8B7D-42B9-B362-9A16E849D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7620"/>
          <a:ext cx="685800" cy="502920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 editAs="oneCell">
    <xdr:from>
      <xdr:col>0</xdr:col>
      <xdr:colOff>190500</xdr:colOff>
      <xdr:row>0</xdr:row>
      <xdr:rowOff>9525</xdr:rowOff>
    </xdr:from>
    <xdr:to>
      <xdr:col>2</xdr:col>
      <xdr:colOff>114300</xdr:colOff>
      <xdr:row>2</xdr:row>
      <xdr:rowOff>3175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AF65ECBA-8888-4EF0-87F9-5203592A2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7620"/>
          <a:ext cx="685800" cy="502920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 editAs="oneCell">
    <xdr:from>
      <xdr:col>0</xdr:col>
      <xdr:colOff>190500</xdr:colOff>
      <xdr:row>0</xdr:row>
      <xdr:rowOff>9525</xdr:rowOff>
    </xdr:from>
    <xdr:to>
      <xdr:col>2</xdr:col>
      <xdr:colOff>114300</xdr:colOff>
      <xdr:row>2</xdr:row>
      <xdr:rowOff>1270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147EDA8B-DD5B-463F-8A6E-EF853A23B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7620"/>
          <a:ext cx="685800" cy="502920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 editAs="oneCell">
    <xdr:from>
      <xdr:col>0</xdr:col>
      <xdr:colOff>190500</xdr:colOff>
      <xdr:row>0</xdr:row>
      <xdr:rowOff>9525</xdr:rowOff>
    </xdr:from>
    <xdr:to>
      <xdr:col>2</xdr:col>
      <xdr:colOff>114300</xdr:colOff>
      <xdr:row>2</xdr:row>
      <xdr:rowOff>1270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78AC68BC-9B92-45EF-A71D-9FFA8AF95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7620"/>
          <a:ext cx="685800" cy="502920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 editAs="oneCell">
    <xdr:from>
      <xdr:col>0</xdr:col>
      <xdr:colOff>190500</xdr:colOff>
      <xdr:row>0</xdr:row>
      <xdr:rowOff>9525</xdr:rowOff>
    </xdr:from>
    <xdr:to>
      <xdr:col>2</xdr:col>
      <xdr:colOff>114300</xdr:colOff>
      <xdr:row>2</xdr:row>
      <xdr:rowOff>1270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477EF709-5601-4EA3-A6AA-D46D6A0EC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7620"/>
          <a:ext cx="685800" cy="502920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 editAs="oneCell">
    <xdr:from>
      <xdr:col>0</xdr:col>
      <xdr:colOff>190500</xdr:colOff>
      <xdr:row>0</xdr:row>
      <xdr:rowOff>9525</xdr:rowOff>
    </xdr:from>
    <xdr:to>
      <xdr:col>2</xdr:col>
      <xdr:colOff>114300</xdr:colOff>
      <xdr:row>1</xdr:row>
      <xdr:rowOff>243840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FF7039B9-8B78-4CEB-BBB3-28D40720B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9525"/>
          <a:ext cx="685800" cy="495300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25</xdr:row>
      <xdr:rowOff>65496</xdr:rowOff>
    </xdr:from>
    <xdr:to>
      <xdr:col>8</xdr:col>
      <xdr:colOff>533400</xdr:colOff>
      <xdr:row>36</xdr:row>
      <xdr:rowOff>110672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24C4238-0A2A-FD2A-28D2-ACF6DA0DE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FG%20Empreendimentos/2024.06%20-%20Scenarium/04.%20Custo/03.4%20Custo%20-%20Fechamento/CTN_FGE_SCN%20-%20Or&#231;amento_R00(Recuperado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ra"/>
      <sheetName val="Resumo"/>
      <sheetName val="Projeção torre"/>
      <sheetName val="Planilha1"/>
      <sheetName val="Planilha3"/>
      <sheetName val="ARQ-A COMUM"/>
      <sheetName val="ARQ-EMBASAMENTO"/>
      <sheetName val="ARQ-TORRE E PAV TECNICOS"/>
      <sheetName val="Cotações"/>
      <sheetName val="Canteiro"/>
      <sheetName val="EPC's"/>
      <sheetName val="Ensaios"/>
      <sheetName val="Cont."/>
      <sheetName val="CONTENÇÃO"/>
      <sheetName val="Estacas"/>
      <sheetName val="Arm. estacas"/>
      <sheetName val="Blocos"/>
      <sheetName val="Vigas Fundação"/>
      <sheetName val="Tabela de Aço"/>
      <sheetName val="Pilares de arranque"/>
      <sheetName val="Cisterna"/>
      <sheetName val="Bl. portico"/>
      <sheetName val="INFRA"/>
      <sheetName val="Vigas"/>
      <sheetName val="Pilares"/>
      <sheetName val="Lajes"/>
      <sheetName val="Escadas"/>
      <sheetName val="MURO"/>
      <sheetName val="SUPRA EMB"/>
      <sheetName val="EMBASAMENTO"/>
      <sheetName val="TORRE"/>
      <sheetName val="PAV TECNICOS"/>
      <sheetName val="PROTENSÃO"/>
      <sheetName val="SUPRS TORRE"/>
      <sheetName val="ESCORAMENTO"/>
      <sheetName val="INSTALAÇÕES"/>
      <sheetName val="HIDRO"/>
      <sheetName val="ELETRICA"/>
      <sheetName val="INTERFONIA"/>
      <sheetName val="CONTROLE DE ACESSO"/>
      <sheetName val="PORTÕES"/>
      <sheetName val="Precificação esq "/>
      <sheetName val="ESQUADRIAS"/>
      <sheetName val="EXAUST. ENCLAUS"/>
      <sheetName val="EXAUSTÃO"/>
      <sheetName val="CLIMATIZAÇÃO"/>
      <sheetName val="PONTOS HIDRO"/>
      <sheetName val="PISCINAS "/>
      <sheetName val="LOUÇAS E METAIS-PAV"/>
      <sheetName val="LOUÇAS E METAIS"/>
      <sheetName val="MOBILIARIO"/>
      <sheetName val="EQUIPAMENTOS"/>
    </sheetNames>
    <sheetDataSet>
      <sheetData sheetId="0">
        <row r="68">
          <cell r="C68">
            <v>7709706.0960875629</v>
          </cell>
        </row>
        <row r="69">
          <cell r="C69">
            <v>7027221.2552292142</v>
          </cell>
        </row>
        <row r="70">
          <cell r="C70">
            <v>4258014.9108199999</v>
          </cell>
        </row>
        <row r="71">
          <cell r="C71">
            <v>2631205.1326299999</v>
          </cell>
        </row>
        <row r="73">
          <cell r="C73">
            <v>5514483.7846010001</v>
          </cell>
        </row>
        <row r="74">
          <cell r="C74">
            <v>39012238.664303005</v>
          </cell>
        </row>
        <row r="75">
          <cell r="C75">
            <v>24623392.822967637</v>
          </cell>
        </row>
        <row r="76">
          <cell r="C76">
            <v>9188310.9708361644</v>
          </cell>
        </row>
        <row r="77">
          <cell r="C77">
            <v>8339297.9691857779</v>
          </cell>
        </row>
        <row r="78">
          <cell r="C78">
            <v>9820861.2050000001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ichelle Oliveira" id="{9A9401D4-DFED-44C9-A3FD-9C3061420AEF}" userId="5e761594a592f5f8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ia Bragatto" refreshedDate="45641.857703472226" createdVersion="8" refreshedVersion="7" minRefreshableVersion="3" recordCount="18" xr:uid="{C082F6C7-D69D-4DF8-9173-00CAB2ADAFBE}">
  <cacheSource type="worksheet">
    <worksheetSource ref="A1:D19" sheet="ORÇAMENTO_EXECUTIVO"/>
  </cacheSource>
  <cacheFields count="4">
    <cacheField name="ETAPA" numFmtId="0">
      <sharedItems count="22">
        <s v="GERENCIAMENTO TÉCNICO E ADMINISTRATIVO"/>
        <s v="MOVIEMNTAÇÃO DE TERRA"/>
        <s v="INFRAESTRUTURA"/>
        <s v="CONTENÇÃO"/>
        <s v="SUPRAESTRUTURA"/>
        <s v="PAREDES E DIVISÓRIAS"/>
        <s v="INSTALAÇÕES ELÉTRICAS, HIDRÁULICAS, GLP E PREVENTIVAS"/>
        <s v="EQUIPAMENTOS E SISTEMAS ESPECIAIS"/>
        <s v="IMPERMEABILIZAÇÃO"/>
        <s v="REVESTIMENTOS INTERNOS EM PISO E PAREDE"/>
        <s v="REVESTIMENTOS E ACABAMENTOS INTERNOS EM TETO"/>
        <s v="ACABAMENTOS EM PISO E PAREDE"/>
        <s v="PINTURA INTERNA"/>
        <s v="ESQUADRIAS, VIDROS E FERRAGENS"/>
        <s v="COBERTURA"/>
        <s v="REVESTIMENTOS E ACABAMENTOS DE FACHADA"/>
        <s v="SERVIÇOS COMPLEMENTARES"/>
        <s v="IMPREVISTOS E CONTINGENCIAS"/>
        <s v="INFRAESTRUTURA E CONTENÇÃO" u="1"/>
        <s v="MOVIMENTAÇÃO DE TERRA" u="1"/>
        <s v="ALVENARIA" u="1"/>
        <s v="_x0009_CONTENÇÃO" u="1"/>
      </sharedItems>
    </cacheField>
    <cacheField name="VALOR ORÇADO" numFmtId="44">
      <sharedItems containsSemiMixedTypes="0" containsString="0" containsNumber="1" minValue="1253778.1100000001" maxValue="30247017.850000001"/>
    </cacheField>
    <cacheField name="%" numFmtId="10">
      <sharedItems containsSemiMixedTypes="0" containsString="0" containsNumber="1" minValue="5.6878294365404663E-3" maxValue="0.13721716555953822"/>
    </cacheField>
    <cacheField name="VALOR / m²" numFmtId="44">
      <sharedItems containsSemiMixedTypes="0" containsString="0" containsNumber="1" minValue="29.655729476743929" maxValue="715.435507833076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n v="22842123.309999999"/>
    <n v="0.10362447734528171"/>
    <n v="540.28685311453273"/>
  </r>
  <r>
    <x v="1"/>
    <n v="3078669.41"/>
    <n v="1.3966543486370702E-2"/>
    <n v="72.820052003688943"/>
  </r>
  <r>
    <x v="2"/>
    <n v="8387867.3699999992"/>
    <n v="3.8051995449883275E-2"/>
    <n v="198.39900188680718"/>
  </r>
  <r>
    <x v="3"/>
    <n v="5039159.17"/>
    <n v="2.2860406984246056E-2"/>
    <n v="119.19169743342661"/>
  </r>
  <r>
    <x v="4"/>
    <n v="30247017.850000001"/>
    <n v="0.13721716555953822"/>
    <n v="715.43550783307649"/>
  </r>
  <r>
    <x v="5"/>
    <n v="13526707.560000001"/>
    <n v="6.1364610552374743E-2"/>
    <n v="319.94846369616943"/>
  </r>
  <r>
    <x v="6"/>
    <n v="16971830.009999998"/>
    <n v="7.6993587264686608E-2"/>
    <n v="401.43626331284736"/>
  </r>
  <r>
    <x v="7"/>
    <n v="12916253.359999999"/>
    <n v="5.8595253406380408E-2"/>
    <n v="305.50933410158581"/>
  </r>
  <r>
    <x v="8"/>
    <n v="2429082.62"/>
    <n v="1.1019659315813736E-2"/>
    <n v="57.455315642239412"/>
  </r>
  <r>
    <x v="9"/>
    <n v="3615206.3400000008"/>
    <n v="1.6400571102505309E-2"/>
    <n v="85.510809581489298"/>
  </r>
  <r>
    <x v="10"/>
    <n v="2666469.6100000003"/>
    <n v="1.2096577710547663E-2"/>
    <n v="63.070252049717865"/>
  </r>
  <r>
    <x v="11"/>
    <n v="27008902.210000001"/>
    <n v="0.12252728597939937"/>
    <n v="638.84405941940656"/>
  </r>
  <r>
    <x v="12"/>
    <n v="4480015.0199999996"/>
    <n v="2.0323820541817739E-2"/>
    <n v="105.96620919220668"/>
  </r>
  <r>
    <x v="13"/>
    <n v="12898632.220000001"/>
    <n v="5.8515314190662734E-2"/>
    <n v="305.09253964908748"/>
  </r>
  <r>
    <x v="14"/>
    <n v="1253778.1100000001"/>
    <n v="5.6878294365404663E-3"/>
    <n v="29.655729476743929"/>
  </r>
  <r>
    <x v="15"/>
    <n v="13696911.460000001"/>
    <n v="6.2136749374158758E-2"/>
    <n v="323.97431226859891"/>
  </r>
  <r>
    <x v="16"/>
    <n v="10621143.77"/>
    <n v="4.8183369691096593E-2"/>
    <n v="251.22289491616991"/>
  </r>
  <r>
    <x v="17"/>
    <n v="28751965.410000008"/>
    <n v="0.13043478260869565"/>
    <n v="680.072894336669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AF7EE-B52B-4C88-BF48-6F2290D8BD72}" name="Tabela dinâ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1">
  <location ref="A25:B44" firstHeaderRow="1" firstDataRow="1" firstDataCol="1"/>
  <pivotFields count="4">
    <pivotField axis="axisRow" showAll="0" sortType="descending">
      <items count="23">
        <item x="11"/>
        <item m="1" x="20"/>
        <item x="14"/>
        <item x="7"/>
        <item x="13"/>
        <item x="0"/>
        <item x="8"/>
        <item x="17"/>
        <item x="2"/>
        <item x="6"/>
        <item x="12"/>
        <item x="15"/>
        <item x="10"/>
        <item x="9"/>
        <item x="16"/>
        <item x="4"/>
        <item m="1" x="19"/>
        <item m="1" x="21"/>
        <item m="1" x="18"/>
        <item x="1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0"/>
  </rowFields>
  <rowItems count="19">
    <i>
      <x v="15"/>
    </i>
    <i>
      <x v="7"/>
    </i>
    <i>
      <x/>
    </i>
    <i>
      <x v="5"/>
    </i>
    <i>
      <x v="9"/>
    </i>
    <i>
      <x v="11"/>
    </i>
    <i>
      <x v="21"/>
    </i>
    <i>
      <x v="3"/>
    </i>
    <i>
      <x v="4"/>
    </i>
    <i>
      <x v="14"/>
    </i>
    <i>
      <x v="8"/>
    </i>
    <i>
      <x v="20"/>
    </i>
    <i>
      <x v="10"/>
    </i>
    <i>
      <x v="13"/>
    </i>
    <i>
      <x v="19"/>
    </i>
    <i>
      <x v="12"/>
    </i>
    <i>
      <x v="6"/>
    </i>
    <i>
      <x v="2"/>
    </i>
    <i t="grand">
      <x/>
    </i>
  </rowItems>
  <colItems count="1">
    <i/>
  </colItems>
  <dataFields count="1">
    <dataField name="Soma de %" fld="2" baseField="0" baseItem="15" numFmtId="1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10" dT="2024-04-30T13:04:05.62" personId="{9A9401D4-DFED-44C9-A3FD-9C3061420AEF}" id="{2BD625B1-ABDE-4BB2-B4E5-9585C5E73455}">
    <text xml:space="preserve">Considerando contenção
</text>
  </threadedComment>
  <threadedComment ref="K10" dT="2024-04-30T13:04:05.62" personId="{9A9401D4-DFED-44C9-A3FD-9C3061420AEF}" id="{E7011368-3FE6-4A88-B09A-0C8D568432B3}">
    <text xml:space="preserve">Considerando contenção
</text>
  </threadedComment>
  <threadedComment ref="O18" dT="2024-05-07T04:01:27.80" personId="{9A9401D4-DFED-44C9-A3FD-9C3061420AEF}" id="{2D33D676-4E26-4CDC-863A-E73BC6826037}">
    <text>SAK ASPEN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BC9CA-E474-4456-B8EC-A36D825AD18E}">
  <dimension ref="A1:AG1004"/>
  <sheetViews>
    <sheetView topLeftCell="A976" zoomScale="120" zoomScaleNormal="120" workbookViewId="0">
      <selection activeCell="A976" sqref="A1:AE1048576"/>
    </sheetView>
  </sheetViews>
  <sheetFormatPr defaultColWidth="9.140625" defaultRowHeight="15" x14ac:dyDescent="0.25"/>
  <cols>
    <col min="1" max="1" width="10.28515625" customWidth="1"/>
    <col min="2" max="2" width="1.140625" customWidth="1"/>
    <col min="3" max="3" width="3.85546875" customWidth="1"/>
    <col min="4" max="4" width="3.5703125" customWidth="1"/>
    <col min="5" max="5" width="11.140625" customWidth="1"/>
    <col min="6" max="6" width="2.7109375" customWidth="1"/>
    <col min="7" max="7" width="1.140625" customWidth="1"/>
    <col min="8" max="8" width="3.7109375" customWidth="1"/>
    <col min="9" max="9" width="2.7109375" customWidth="1"/>
    <col min="10" max="10" width="1.140625" customWidth="1"/>
    <col min="11" max="11" width="5.5703125" customWidth="1"/>
    <col min="12" max="12" width="1.85546875" customWidth="1"/>
    <col min="13" max="13" width="1.140625" customWidth="1"/>
    <col min="14" max="15" width="1.85546875" customWidth="1"/>
    <col min="16" max="16" width="3.7109375" customWidth="1"/>
    <col min="17" max="17" width="2.7109375" customWidth="1"/>
    <col min="18" max="18" width="1.140625" customWidth="1"/>
    <col min="19" max="19" width="1.85546875" customWidth="1"/>
    <col min="20" max="20" width="1.140625" customWidth="1"/>
    <col min="21" max="21" width="1.85546875" customWidth="1"/>
    <col min="22" max="22" width="3.7109375" customWidth="1"/>
    <col min="23" max="24" width="1.140625" customWidth="1"/>
    <col min="25" max="25" width="2.7109375" customWidth="1"/>
    <col min="26" max="26" width="1.140625" customWidth="1"/>
    <col min="27" max="27" width="3.7109375" customWidth="1"/>
    <col min="28" max="28" width="2.7109375" customWidth="1"/>
    <col min="29" max="29" width="1.140625" customWidth="1"/>
    <col min="30" max="30" width="1.85546875" customWidth="1"/>
    <col min="31" max="31" width="9.42578125" customWidth="1"/>
    <col min="32" max="33" width="13" style="161" bestFit="1" customWidth="1"/>
    <col min="34" max="16384" width="9.140625" style="161"/>
  </cols>
  <sheetData>
    <row r="1" spans="1:33" ht="20.65" customHeight="1" x14ac:dyDescent="0.2">
      <c r="A1" s="183"/>
      <c r="B1" s="183"/>
      <c r="C1" s="183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</row>
    <row r="2" spans="1:33" ht="20.85" customHeight="1" x14ac:dyDescent="0.2">
      <c r="A2" s="184"/>
      <c r="B2" s="184"/>
      <c r="C2" s="184"/>
      <c r="D2" s="186" t="s">
        <v>80</v>
      </c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</row>
    <row r="3" spans="1:33" ht="20.65" customHeight="1" x14ac:dyDescent="0.2">
      <c r="A3" s="187"/>
      <c r="B3" s="187"/>
      <c r="C3" s="187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</row>
    <row r="4" spans="1:33" ht="10.9" customHeight="1" x14ac:dyDescent="0.2">
      <c r="A4" s="189"/>
      <c r="B4" s="189"/>
      <c r="C4" s="189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</row>
    <row r="5" spans="1:33" ht="9.75" customHeight="1" x14ac:dyDescent="0.2">
      <c r="A5" s="182" t="s">
        <v>81</v>
      </c>
      <c r="B5" s="182"/>
      <c r="C5" s="182"/>
      <c r="D5" s="182"/>
      <c r="E5" s="179" t="s">
        <v>82</v>
      </c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9"/>
      <c r="AD5" s="179"/>
      <c r="AE5" s="179"/>
    </row>
    <row r="6" spans="1:33" ht="9.75" customHeight="1" x14ac:dyDescent="0.2">
      <c r="A6" s="182" t="s">
        <v>83</v>
      </c>
      <c r="B6" s="182"/>
      <c r="C6" s="182"/>
      <c r="D6" s="182"/>
      <c r="E6" s="179" t="s">
        <v>84</v>
      </c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</row>
    <row r="7" spans="1:33" ht="9.75" customHeight="1" x14ac:dyDescent="0.2">
      <c r="A7" s="182" t="s">
        <v>85</v>
      </c>
      <c r="B7" s="182"/>
      <c r="C7" s="182"/>
      <c r="D7" s="182"/>
      <c r="E7" s="179" t="s">
        <v>86</v>
      </c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79"/>
      <c r="AE7" s="179"/>
    </row>
    <row r="8" spans="1:33" ht="9.75" customHeight="1" x14ac:dyDescent="0.2">
      <c r="A8" s="182" t="s">
        <v>87</v>
      </c>
      <c r="B8" s="182"/>
      <c r="C8" s="182"/>
      <c r="D8" s="182"/>
      <c r="E8" s="179" t="s">
        <v>88</v>
      </c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79"/>
    </row>
    <row r="9" spans="1:33" ht="9.75" customHeight="1" x14ac:dyDescent="0.2">
      <c r="A9" s="182" t="s">
        <v>89</v>
      </c>
      <c r="B9" s="182"/>
      <c r="C9" s="182"/>
      <c r="D9" s="182"/>
      <c r="E9" s="179" t="s">
        <v>90</v>
      </c>
      <c r="F9" s="179"/>
      <c r="G9" s="179"/>
      <c r="H9" s="179"/>
      <c r="I9" s="179"/>
      <c r="J9" s="179"/>
      <c r="K9" s="179"/>
      <c r="L9" s="182" t="s">
        <v>91</v>
      </c>
      <c r="M9" s="182"/>
      <c r="N9" s="182"/>
      <c r="O9" s="182"/>
      <c r="P9" s="182"/>
      <c r="Q9" s="182"/>
      <c r="R9" s="182"/>
      <c r="S9" s="182"/>
      <c r="T9" s="182"/>
      <c r="U9" s="182"/>
      <c r="V9" s="179" t="s">
        <v>92</v>
      </c>
      <c r="W9" s="179"/>
      <c r="X9" s="179"/>
      <c r="Y9" s="179"/>
      <c r="Z9" s="179"/>
      <c r="AA9" s="179"/>
      <c r="AB9" s="179"/>
      <c r="AC9" s="179"/>
      <c r="AD9" s="179"/>
      <c r="AE9" s="179"/>
    </row>
    <row r="10" spans="1:33" ht="9.75" customHeight="1" x14ac:dyDescent="0.2">
      <c r="A10" s="182" t="s">
        <v>93</v>
      </c>
      <c r="B10" s="182"/>
      <c r="C10" s="182"/>
      <c r="D10" s="182"/>
      <c r="E10" s="179" t="s">
        <v>94</v>
      </c>
      <c r="F10" s="179"/>
      <c r="G10" s="179"/>
      <c r="H10" s="179"/>
      <c r="I10" s="179"/>
      <c r="J10" s="179"/>
      <c r="K10" s="179"/>
      <c r="L10" s="182" t="s">
        <v>95</v>
      </c>
      <c r="M10" s="182"/>
      <c r="N10" s="182"/>
      <c r="O10" s="182"/>
      <c r="P10" s="182"/>
      <c r="Q10" s="182"/>
      <c r="R10" s="182"/>
      <c r="S10" s="182"/>
      <c r="T10" s="182"/>
      <c r="U10" s="182"/>
      <c r="V10" s="179" t="s">
        <v>94</v>
      </c>
      <c r="W10" s="179"/>
      <c r="X10" s="179"/>
      <c r="Y10" s="179"/>
      <c r="Z10" s="179"/>
      <c r="AA10" s="179"/>
      <c r="AB10" s="179"/>
      <c r="AC10" s="179"/>
      <c r="AD10" s="179"/>
      <c r="AE10" s="179"/>
    </row>
    <row r="11" spans="1:33" ht="9.75" customHeight="1" x14ac:dyDescent="0.2">
      <c r="A11" s="182" t="s">
        <v>96</v>
      </c>
      <c r="B11" s="182"/>
      <c r="C11" s="182"/>
      <c r="D11" s="182"/>
      <c r="E11" s="179" t="s">
        <v>97</v>
      </c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</row>
    <row r="12" spans="1:33" ht="10.9" customHeight="1" x14ac:dyDescent="0.2">
      <c r="A12" s="192"/>
      <c r="B12" s="192"/>
      <c r="C12" s="192"/>
      <c r="D12" s="192"/>
      <c r="E12" s="192"/>
      <c r="F12" s="19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2"/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</row>
    <row r="13" spans="1:33" ht="9.75" customHeight="1" x14ac:dyDescent="0.2">
      <c r="A13" s="169" t="s">
        <v>98</v>
      </c>
      <c r="B13" s="193" t="s">
        <v>99</v>
      </c>
      <c r="C13" s="193"/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193" t="s">
        <v>100</v>
      </c>
      <c r="O13" s="193"/>
      <c r="P13" s="193"/>
      <c r="Q13" s="182" t="s">
        <v>101</v>
      </c>
      <c r="R13" s="182"/>
      <c r="S13" s="182"/>
      <c r="T13" s="182"/>
      <c r="U13" s="182"/>
      <c r="V13" s="182"/>
      <c r="W13" s="182" t="s">
        <v>102</v>
      </c>
      <c r="X13" s="182"/>
      <c r="Y13" s="182"/>
      <c r="Z13" s="182"/>
      <c r="AA13" s="182"/>
      <c r="AB13" s="182"/>
      <c r="AC13" s="182" t="s">
        <v>103</v>
      </c>
      <c r="AD13" s="182"/>
      <c r="AE13" s="182"/>
    </row>
    <row r="14" spans="1:33" ht="9.75" customHeight="1" x14ac:dyDescent="0.2">
      <c r="A14" s="167" t="s">
        <v>104</v>
      </c>
      <c r="B14" s="176" t="s">
        <v>105</v>
      </c>
      <c r="C14" s="176"/>
      <c r="D14" s="176"/>
      <c r="E14" s="176"/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97">
        <v>19628776.989999998</v>
      </c>
      <c r="AD14" s="177"/>
      <c r="AE14" s="177"/>
      <c r="AG14" s="162">
        <f>AC14+AC131</f>
        <v>22842123.309999999</v>
      </c>
    </row>
    <row r="15" spans="1:33" ht="9.75" customHeight="1" x14ac:dyDescent="0.2">
      <c r="A15" s="167" t="s">
        <v>106</v>
      </c>
      <c r="B15" s="176" t="s">
        <v>107</v>
      </c>
      <c r="C15" s="176"/>
      <c r="D15" s="176"/>
      <c r="E15" s="176"/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8">
        <v>3054816</v>
      </c>
      <c r="AD15" s="177"/>
      <c r="AE15" s="177"/>
    </row>
    <row r="16" spans="1:33" ht="9.75" customHeight="1" x14ac:dyDescent="0.2">
      <c r="A16" s="167" t="s">
        <v>108</v>
      </c>
      <c r="B16" s="176" t="s">
        <v>109</v>
      </c>
      <c r="C16" s="176"/>
      <c r="D16" s="176"/>
      <c r="E16" s="176"/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94">
        <v>24541.24</v>
      </c>
      <c r="AD16" s="177"/>
      <c r="AE16" s="177"/>
    </row>
    <row r="17" spans="1:31" ht="9.6" customHeight="1" x14ac:dyDescent="0.2">
      <c r="A17" s="168" t="s">
        <v>110</v>
      </c>
      <c r="B17" s="179" t="s">
        <v>111</v>
      </c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 t="s">
        <v>112</v>
      </c>
      <c r="O17" s="179"/>
      <c r="P17" s="179"/>
      <c r="Q17" s="180">
        <v>1</v>
      </c>
      <c r="R17" s="174"/>
      <c r="S17" s="174"/>
      <c r="T17" s="174"/>
      <c r="U17" s="174"/>
      <c r="V17" s="174"/>
      <c r="W17" s="195">
        <v>24541.24</v>
      </c>
      <c r="X17" s="174"/>
      <c r="Y17" s="174"/>
      <c r="Z17" s="174"/>
      <c r="AA17" s="174"/>
      <c r="AB17" s="174"/>
      <c r="AC17" s="196">
        <v>24541.24</v>
      </c>
      <c r="AD17" s="174"/>
      <c r="AE17" s="174"/>
    </row>
    <row r="18" spans="1:31" ht="9.75" customHeight="1" x14ac:dyDescent="0.2">
      <c r="A18" s="167" t="s">
        <v>113</v>
      </c>
      <c r="B18" s="176" t="s">
        <v>114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98">
        <v>506428.07</v>
      </c>
      <c r="AD18" s="177"/>
      <c r="AE18" s="177"/>
    </row>
    <row r="19" spans="1:31" ht="9.6" customHeight="1" x14ac:dyDescent="0.2">
      <c r="A19" s="168" t="s">
        <v>115</v>
      </c>
      <c r="B19" s="179" t="s">
        <v>116</v>
      </c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 t="s">
        <v>112</v>
      </c>
      <c r="O19" s="179"/>
      <c r="P19" s="179"/>
      <c r="Q19" s="180">
        <v>1</v>
      </c>
      <c r="R19" s="174"/>
      <c r="S19" s="174"/>
      <c r="T19" s="174"/>
      <c r="U19" s="174"/>
      <c r="V19" s="174"/>
      <c r="W19" s="199">
        <v>261480</v>
      </c>
      <c r="X19" s="174"/>
      <c r="Y19" s="174"/>
      <c r="Z19" s="174"/>
      <c r="AA19" s="174"/>
      <c r="AB19" s="174"/>
      <c r="AC19" s="200">
        <v>261480</v>
      </c>
      <c r="AD19" s="174"/>
      <c r="AE19" s="174"/>
    </row>
    <row r="20" spans="1:31" ht="9.6" customHeight="1" x14ac:dyDescent="0.2">
      <c r="A20" s="168" t="s">
        <v>117</v>
      </c>
      <c r="B20" s="179" t="s">
        <v>118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 t="s">
        <v>112</v>
      </c>
      <c r="O20" s="179"/>
      <c r="P20" s="179"/>
      <c r="Q20" s="180">
        <v>1</v>
      </c>
      <c r="R20" s="174"/>
      <c r="S20" s="174"/>
      <c r="T20" s="174"/>
      <c r="U20" s="174"/>
      <c r="V20" s="174"/>
      <c r="W20" s="195">
        <v>19166.150000000001</v>
      </c>
      <c r="X20" s="174"/>
      <c r="Y20" s="174"/>
      <c r="Z20" s="174"/>
      <c r="AA20" s="174"/>
      <c r="AB20" s="174"/>
      <c r="AC20" s="196">
        <v>19166.150000000001</v>
      </c>
      <c r="AD20" s="174"/>
      <c r="AE20" s="174"/>
    </row>
    <row r="21" spans="1:31" ht="9.6" customHeight="1" x14ac:dyDescent="0.2">
      <c r="A21" s="168" t="s">
        <v>119</v>
      </c>
      <c r="B21" s="179" t="s">
        <v>120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 t="s">
        <v>112</v>
      </c>
      <c r="O21" s="179"/>
      <c r="P21" s="179"/>
      <c r="Q21" s="180">
        <v>1</v>
      </c>
      <c r="R21" s="174"/>
      <c r="S21" s="174"/>
      <c r="T21" s="174"/>
      <c r="U21" s="174"/>
      <c r="V21" s="174"/>
      <c r="W21" s="195">
        <v>57300</v>
      </c>
      <c r="X21" s="174"/>
      <c r="Y21" s="174"/>
      <c r="Z21" s="174"/>
      <c r="AA21" s="174"/>
      <c r="AB21" s="174"/>
      <c r="AC21" s="196">
        <v>57300</v>
      </c>
      <c r="AD21" s="174"/>
      <c r="AE21" s="174"/>
    </row>
    <row r="22" spans="1:31" ht="9.6" customHeight="1" x14ac:dyDescent="0.2">
      <c r="A22" s="168" t="s">
        <v>121</v>
      </c>
      <c r="B22" s="179" t="s">
        <v>122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  <c r="N22" s="179" t="s">
        <v>112</v>
      </c>
      <c r="O22" s="179"/>
      <c r="P22" s="179"/>
      <c r="Q22" s="180">
        <v>1</v>
      </c>
      <c r="R22" s="174"/>
      <c r="S22" s="174"/>
      <c r="T22" s="174"/>
      <c r="U22" s="174"/>
      <c r="V22" s="174"/>
      <c r="W22" s="195">
        <v>11040</v>
      </c>
      <c r="X22" s="174"/>
      <c r="Y22" s="174"/>
      <c r="Z22" s="174"/>
      <c r="AA22" s="174"/>
      <c r="AB22" s="174"/>
      <c r="AC22" s="196">
        <v>11040</v>
      </c>
      <c r="AD22" s="174"/>
      <c r="AE22" s="174"/>
    </row>
    <row r="23" spans="1:31" ht="9.6" customHeight="1" x14ac:dyDescent="0.2">
      <c r="A23" s="168" t="s">
        <v>123</v>
      </c>
      <c r="B23" s="179" t="s">
        <v>124</v>
      </c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 t="s">
        <v>112</v>
      </c>
      <c r="O23" s="179"/>
      <c r="P23" s="179"/>
      <c r="Q23" s="180">
        <v>1</v>
      </c>
      <c r="R23" s="174"/>
      <c r="S23" s="174"/>
      <c r="T23" s="174"/>
      <c r="U23" s="174"/>
      <c r="V23" s="174"/>
      <c r="W23" s="173">
        <v>4500</v>
      </c>
      <c r="X23" s="174"/>
      <c r="Y23" s="174"/>
      <c r="Z23" s="174"/>
      <c r="AA23" s="174"/>
      <c r="AB23" s="174"/>
      <c r="AC23" s="201">
        <v>4500</v>
      </c>
      <c r="AD23" s="174"/>
      <c r="AE23" s="174"/>
    </row>
    <row r="24" spans="1:31" ht="9.6" customHeight="1" x14ac:dyDescent="0.2">
      <c r="A24" s="168" t="s">
        <v>125</v>
      </c>
      <c r="B24" s="179" t="s">
        <v>126</v>
      </c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 t="s">
        <v>112</v>
      </c>
      <c r="O24" s="179"/>
      <c r="P24" s="179"/>
      <c r="Q24" s="180">
        <v>1</v>
      </c>
      <c r="R24" s="174"/>
      <c r="S24" s="174"/>
      <c r="T24" s="174"/>
      <c r="U24" s="174"/>
      <c r="V24" s="174"/>
      <c r="W24" s="195">
        <v>22000</v>
      </c>
      <c r="X24" s="174"/>
      <c r="Y24" s="174"/>
      <c r="Z24" s="174"/>
      <c r="AA24" s="174"/>
      <c r="AB24" s="174"/>
      <c r="AC24" s="196">
        <v>22000</v>
      </c>
      <c r="AD24" s="174"/>
      <c r="AE24" s="174"/>
    </row>
    <row r="25" spans="1:31" ht="9.6" customHeight="1" x14ac:dyDescent="0.2">
      <c r="A25" s="168" t="s">
        <v>127</v>
      </c>
      <c r="B25" s="179" t="s">
        <v>128</v>
      </c>
      <c r="C25" s="179"/>
      <c r="D25" s="179"/>
      <c r="E25" s="179"/>
      <c r="F25" s="179"/>
      <c r="G25" s="179"/>
      <c r="H25" s="179"/>
      <c r="I25" s="179"/>
      <c r="J25" s="179"/>
      <c r="K25" s="179"/>
      <c r="L25" s="179"/>
      <c r="M25" s="179"/>
      <c r="N25" s="179" t="s">
        <v>112</v>
      </c>
      <c r="O25" s="179"/>
      <c r="P25" s="179"/>
      <c r="Q25" s="180">
        <v>1</v>
      </c>
      <c r="R25" s="174"/>
      <c r="S25" s="174"/>
      <c r="T25" s="174"/>
      <c r="U25" s="174"/>
      <c r="V25" s="174"/>
      <c r="W25" s="195">
        <v>14500</v>
      </c>
      <c r="X25" s="174"/>
      <c r="Y25" s="174"/>
      <c r="Z25" s="174"/>
      <c r="AA25" s="174"/>
      <c r="AB25" s="174"/>
      <c r="AC25" s="196">
        <v>14500</v>
      </c>
      <c r="AD25" s="174"/>
      <c r="AE25" s="174"/>
    </row>
    <row r="26" spans="1:31" ht="9.6" customHeight="1" x14ac:dyDescent="0.2">
      <c r="A26" s="168" t="s">
        <v>129</v>
      </c>
      <c r="B26" s="179" t="s">
        <v>130</v>
      </c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179"/>
      <c r="N26" s="179" t="s">
        <v>112</v>
      </c>
      <c r="O26" s="179"/>
      <c r="P26" s="179"/>
      <c r="Q26" s="180">
        <v>1</v>
      </c>
      <c r="R26" s="174"/>
      <c r="S26" s="174"/>
      <c r="T26" s="174"/>
      <c r="U26" s="174"/>
      <c r="V26" s="174"/>
      <c r="W26" s="173">
        <v>3625</v>
      </c>
      <c r="X26" s="174"/>
      <c r="Y26" s="174"/>
      <c r="Z26" s="174"/>
      <c r="AA26" s="174"/>
      <c r="AB26" s="174"/>
      <c r="AC26" s="201">
        <v>3625</v>
      </c>
      <c r="AD26" s="174"/>
      <c r="AE26" s="174"/>
    </row>
    <row r="27" spans="1:31" ht="9.6" customHeight="1" x14ac:dyDescent="0.2">
      <c r="A27" s="168" t="s">
        <v>131</v>
      </c>
      <c r="B27" s="179" t="s">
        <v>132</v>
      </c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 t="s">
        <v>112</v>
      </c>
      <c r="O27" s="179"/>
      <c r="P27" s="179"/>
      <c r="Q27" s="180">
        <v>1</v>
      </c>
      <c r="R27" s="174"/>
      <c r="S27" s="174"/>
      <c r="T27" s="174"/>
      <c r="U27" s="174"/>
      <c r="V27" s="174"/>
      <c r="W27" s="173">
        <v>7196.92</v>
      </c>
      <c r="X27" s="174"/>
      <c r="Y27" s="174"/>
      <c r="Z27" s="174"/>
      <c r="AA27" s="174"/>
      <c r="AB27" s="174"/>
      <c r="AC27" s="201">
        <v>7196.92</v>
      </c>
      <c r="AD27" s="174"/>
      <c r="AE27" s="174"/>
    </row>
    <row r="28" spans="1:31" ht="9.6" customHeight="1" x14ac:dyDescent="0.2">
      <c r="A28" s="168" t="s">
        <v>133</v>
      </c>
      <c r="B28" s="179" t="s">
        <v>134</v>
      </c>
      <c r="C28" s="179"/>
      <c r="D28" s="179"/>
      <c r="E28" s="179"/>
      <c r="F28" s="179"/>
      <c r="G28" s="179"/>
      <c r="H28" s="179"/>
      <c r="I28" s="179"/>
      <c r="J28" s="179"/>
      <c r="K28" s="179"/>
      <c r="L28" s="179"/>
      <c r="M28" s="179"/>
      <c r="N28" s="179" t="s">
        <v>112</v>
      </c>
      <c r="O28" s="179"/>
      <c r="P28" s="179"/>
      <c r="Q28" s="180">
        <v>1</v>
      </c>
      <c r="R28" s="174"/>
      <c r="S28" s="174"/>
      <c r="T28" s="174"/>
      <c r="U28" s="174"/>
      <c r="V28" s="174"/>
      <c r="W28" s="195">
        <v>41300</v>
      </c>
      <c r="X28" s="174"/>
      <c r="Y28" s="174"/>
      <c r="Z28" s="174"/>
      <c r="AA28" s="174"/>
      <c r="AB28" s="174"/>
      <c r="AC28" s="196">
        <v>41300</v>
      </c>
      <c r="AD28" s="174"/>
      <c r="AE28" s="174"/>
    </row>
    <row r="29" spans="1:31" ht="9.6" customHeight="1" x14ac:dyDescent="0.2">
      <c r="A29" s="168" t="s">
        <v>135</v>
      </c>
      <c r="B29" s="179" t="s">
        <v>136</v>
      </c>
      <c r="C29" s="179"/>
      <c r="D29" s="179"/>
      <c r="E29" s="179"/>
      <c r="F29" s="179"/>
      <c r="G29" s="179"/>
      <c r="H29" s="179"/>
      <c r="I29" s="179"/>
      <c r="J29" s="179"/>
      <c r="K29" s="179"/>
      <c r="L29" s="179"/>
      <c r="M29" s="179"/>
      <c r="N29" s="179" t="s">
        <v>137</v>
      </c>
      <c r="O29" s="179"/>
      <c r="P29" s="179"/>
      <c r="Q29" s="180">
        <v>8</v>
      </c>
      <c r="R29" s="174"/>
      <c r="S29" s="174"/>
      <c r="T29" s="174"/>
      <c r="U29" s="174"/>
      <c r="V29" s="174"/>
      <c r="W29" s="173">
        <v>2940</v>
      </c>
      <c r="X29" s="174"/>
      <c r="Y29" s="174"/>
      <c r="Z29" s="174"/>
      <c r="AA29" s="174"/>
      <c r="AB29" s="174"/>
      <c r="AC29" s="196">
        <v>23520</v>
      </c>
      <c r="AD29" s="174"/>
      <c r="AE29" s="174"/>
    </row>
    <row r="30" spans="1:31" ht="9.6" customHeight="1" x14ac:dyDescent="0.2">
      <c r="A30" s="168" t="s">
        <v>138</v>
      </c>
      <c r="B30" s="179" t="s">
        <v>139</v>
      </c>
      <c r="C30" s="179"/>
      <c r="D30" s="179"/>
      <c r="E30" s="179"/>
      <c r="F30" s="179"/>
      <c r="G30" s="179"/>
      <c r="H30" s="179"/>
      <c r="I30" s="179"/>
      <c r="J30" s="179"/>
      <c r="K30" s="179"/>
      <c r="L30" s="179"/>
      <c r="M30" s="179"/>
      <c r="N30" s="179" t="s">
        <v>112</v>
      </c>
      <c r="O30" s="179"/>
      <c r="P30" s="179"/>
      <c r="Q30" s="180">
        <v>1</v>
      </c>
      <c r="R30" s="174"/>
      <c r="S30" s="174"/>
      <c r="T30" s="174"/>
      <c r="U30" s="174"/>
      <c r="V30" s="174"/>
      <c r="W30" s="195">
        <v>20400</v>
      </c>
      <c r="X30" s="174"/>
      <c r="Y30" s="174"/>
      <c r="Z30" s="174"/>
      <c r="AA30" s="174"/>
      <c r="AB30" s="174"/>
      <c r="AC30" s="196">
        <v>20400</v>
      </c>
      <c r="AD30" s="174"/>
      <c r="AE30" s="174"/>
    </row>
    <row r="31" spans="1:31" ht="9.6" customHeight="1" x14ac:dyDescent="0.2">
      <c r="A31" s="168" t="s">
        <v>140</v>
      </c>
      <c r="B31" s="179" t="s">
        <v>141</v>
      </c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 t="s">
        <v>112</v>
      </c>
      <c r="O31" s="179"/>
      <c r="P31" s="179"/>
      <c r="Q31" s="180">
        <v>1</v>
      </c>
      <c r="R31" s="174"/>
      <c r="S31" s="174"/>
      <c r="T31" s="174"/>
      <c r="U31" s="174"/>
      <c r="V31" s="174"/>
      <c r="W31" s="195">
        <v>20400</v>
      </c>
      <c r="X31" s="174"/>
      <c r="Y31" s="174"/>
      <c r="Z31" s="174"/>
      <c r="AA31" s="174"/>
      <c r="AB31" s="174"/>
      <c r="AC31" s="196">
        <v>20400</v>
      </c>
      <c r="AD31" s="174"/>
      <c r="AE31" s="174"/>
    </row>
    <row r="32" spans="1:31" ht="9.75" customHeight="1" x14ac:dyDescent="0.2">
      <c r="A32" s="167" t="s">
        <v>142</v>
      </c>
      <c r="B32" s="176" t="s">
        <v>143</v>
      </c>
      <c r="C32" s="176"/>
      <c r="D32" s="176"/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98">
        <v>161621.89000000001</v>
      </c>
      <c r="AD32" s="177"/>
      <c r="AE32" s="177"/>
    </row>
    <row r="33" spans="1:31" ht="9.6" customHeight="1" x14ac:dyDescent="0.2">
      <c r="A33" s="168" t="s">
        <v>144</v>
      </c>
      <c r="B33" s="179" t="s">
        <v>145</v>
      </c>
      <c r="C33" s="179"/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 t="s">
        <v>112</v>
      </c>
      <c r="O33" s="179"/>
      <c r="P33" s="179"/>
      <c r="Q33" s="180">
        <v>1</v>
      </c>
      <c r="R33" s="174"/>
      <c r="S33" s="174"/>
      <c r="T33" s="174"/>
      <c r="U33" s="174"/>
      <c r="V33" s="174"/>
      <c r="W33" s="195">
        <v>12134.38</v>
      </c>
      <c r="X33" s="174"/>
      <c r="Y33" s="174"/>
      <c r="Z33" s="174"/>
      <c r="AA33" s="174"/>
      <c r="AB33" s="174"/>
      <c r="AC33" s="196">
        <v>12134.38</v>
      </c>
      <c r="AD33" s="174"/>
      <c r="AE33" s="174"/>
    </row>
    <row r="34" spans="1:31" ht="9.6" customHeight="1" x14ac:dyDescent="0.2">
      <c r="A34" s="168" t="s">
        <v>146</v>
      </c>
      <c r="B34" s="179" t="s">
        <v>147</v>
      </c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M34" s="179"/>
      <c r="N34" s="179" t="s">
        <v>112</v>
      </c>
      <c r="O34" s="179"/>
      <c r="P34" s="179"/>
      <c r="Q34" s="180">
        <v>1</v>
      </c>
      <c r="R34" s="174"/>
      <c r="S34" s="174"/>
      <c r="T34" s="174"/>
      <c r="U34" s="174"/>
      <c r="V34" s="174"/>
      <c r="W34" s="195">
        <v>20811.77</v>
      </c>
      <c r="X34" s="174"/>
      <c r="Y34" s="174"/>
      <c r="Z34" s="174"/>
      <c r="AA34" s="174"/>
      <c r="AB34" s="174"/>
      <c r="AC34" s="196">
        <v>20811.77</v>
      </c>
      <c r="AD34" s="174"/>
      <c r="AE34" s="174"/>
    </row>
    <row r="35" spans="1:31" ht="9.6" customHeight="1" x14ac:dyDescent="0.2">
      <c r="A35" s="168" t="s">
        <v>148</v>
      </c>
      <c r="B35" s="179" t="s">
        <v>149</v>
      </c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 t="s">
        <v>112</v>
      </c>
      <c r="O35" s="179"/>
      <c r="P35" s="179"/>
      <c r="Q35" s="180">
        <v>1</v>
      </c>
      <c r="R35" s="174"/>
      <c r="S35" s="174"/>
      <c r="T35" s="174"/>
      <c r="U35" s="174"/>
      <c r="V35" s="174"/>
      <c r="W35" s="195">
        <v>38843.9</v>
      </c>
      <c r="X35" s="174"/>
      <c r="Y35" s="174"/>
      <c r="Z35" s="174"/>
      <c r="AA35" s="174"/>
      <c r="AB35" s="174"/>
      <c r="AC35" s="196">
        <v>38843.9</v>
      </c>
      <c r="AD35" s="174"/>
      <c r="AE35" s="174"/>
    </row>
    <row r="36" spans="1:31" ht="9.6" customHeight="1" x14ac:dyDescent="0.2">
      <c r="A36" s="168" t="s">
        <v>150</v>
      </c>
      <c r="B36" s="179" t="s">
        <v>151</v>
      </c>
      <c r="C36" s="179"/>
      <c r="D36" s="179"/>
      <c r="E36" s="179"/>
      <c r="F36" s="179"/>
      <c r="G36" s="179"/>
      <c r="H36" s="179"/>
      <c r="I36" s="179"/>
      <c r="J36" s="179"/>
      <c r="K36" s="179"/>
      <c r="L36" s="179"/>
      <c r="M36" s="179"/>
      <c r="N36" s="179" t="s">
        <v>112</v>
      </c>
      <c r="O36" s="179"/>
      <c r="P36" s="179"/>
      <c r="Q36" s="180">
        <v>1</v>
      </c>
      <c r="R36" s="174"/>
      <c r="S36" s="174"/>
      <c r="T36" s="174"/>
      <c r="U36" s="174"/>
      <c r="V36" s="174"/>
      <c r="W36" s="195">
        <v>79927.03</v>
      </c>
      <c r="X36" s="174"/>
      <c r="Y36" s="174"/>
      <c r="Z36" s="174"/>
      <c r="AA36" s="174"/>
      <c r="AB36" s="174"/>
      <c r="AC36" s="196">
        <v>79927.03</v>
      </c>
      <c r="AD36" s="174"/>
      <c r="AE36" s="174"/>
    </row>
    <row r="37" spans="1:31" ht="9.6" customHeight="1" x14ac:dyDescent="0.2">
      <c r="A37" s="168" t="s">
        <v>152</v>
      </c>
      <c r="B37" s="179" t="s">
        <v>153</v>
      </c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 t="s">
        <v>112</v>
      </c>
      <c r="O37" s="179"/>
      <c r="P37" s="179"/>
      <c r="Q37" s="180">
        <v>1</v>
      </c>
      <c r="R37" s="174"/>
      <c r="S37" s="174"/>
      <c r="T37" s="174"/>
      <c r="U37" s="174"/>
      <c r="V37" s="174"/>
      <c r="W37" s="173">
        <v>9904.81</v>
      </c>
      <c r="X37" s="174"/>
      <c r="Y37" s="174"/>
      <c r="Z37" s="174"/>
      <c r="AA37" s="174"/>
      <c r="AB37" s="174"/>
      <c r="AC37" s="201">
        <v>9904.81</v>
      </c>
      <c r="AD37" s="174"/>
      <c r="AE37" s="174"/>
    </row>
    <row r="38" spans="1:31" ht="9.75" customHeight="1" x14ac:dyDescent="0.2">
      <c r="A38" s="167" t="s">
        <v>154</v>
      </c>
      <c r="B38" s="176" t="s">
        <v>155</v>
      </c>
      <c r="C38" s="176"/>
      <c r="D38" s="176"/>
      <c r="E38" s="176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8">
        <v>2176104.2599999998</v>
      </c>
      <c r="AD38" s="177"/>
      <c r="AE38" s="177"/>
    </row>
    <row r="39" spans="1:31" ht="9.6" customHeight="1" x14ac:dyDescent="0.2">
      <c r="A39" s="168" t="s">
        <v>156</v>
      </c>
      <c r="B39" s="179" t="s">
        <v>157</v>
      </c>
      <c r="C39" s="179"/>
      <c r="D39" s="179"/>
      <c r="E39" s="179"/>
      <c r="F39" s="179"/>
      <c r="G39" s="179"/>
      <c r="H39" s="179"/>
      <c r="I39" s="179"/>
      <c r="J39" s="179"/>
      <c r="K39" s="179"/>
      <c r="L39" s="179"/>
      <c r="M39" s="179"/>
      <c r="N39" s="179" t="s">
        <v>112</v>
      </c>
      <c r="O39" s="179"/>
      <c r="P39" s="179"/>
      <c r="Q39" s="180">
        <v>1</v>
      </c>
      <c r="R39" s="174"/>
      <c r="S39" s="174"/>
      <c r="T39" s="174"/>
      <c r="U39" s="174"/>
      <c r="V39" s="174"/>
      <c r="W39" s="199">
        <v>103045.52</v>
      </c>
      <c r="X39" s="174"/>
      <c r="Y39" s="174"/>
      <c r="Z39" s="174"/>
      <c r="AA39" s="174"/>
      <c r="AB39" s="174"/>
      <c r="AC39" s="200">
        <v>103045.52</v>
      </c>
      <c r="AD39" s="174"/>
      <c r="AE39" s="174"/>
    </row>
    <row r="40" spans="1:31" ht="9.6" customHeight="1" x14ac:dyDescent="0.2">
      <c r="A40" s="168" t="s">
        <v>158</v>
      </c>
      <c r="B40" s="179" t="s">
        <v>159</v>
      </c>
      <c r="C40" s="179"/>
      <c r="D40" s="179"/>
      <c r="E40" s="179"/>
      <c r="F40" s="179"/>
      <c r="G40" s="179"/>
      <c r="H40" s="179"/>
      <c r="I40" s="179"/>
      <c r="J40" s="179"/>
      <c r="K40" s="179"/>
      <c r="L40" s="179"/>
      <c r="M40" s="179"/>
      <c r="N40" s="179" t="s">
        <v>112</v>
      </c>
      <c r="O40" s="179"/>
      <c r="P40" s="179"/>
      <c r="Q40" s="180">
        <v>1</v>
      </c>
      <c r="R40" s="174"/>
      <c r="S40" s="174"/>
      <c r="T40" s="174"/>
      <c r="U40" s="174"/>
      <c r="V40" s="174"/>
      <c r="W40" s="199">
        <v>507333.24</v>
      </c>
      <c r="X40" s="174"/>
      <c r="Y40" s="174"/>
      <c r="Z40" s="174"/>
      <c r="AA40" s="174"/>
      <c r="AB40" s="174"/>
      <c r="AC40" s="200">
        <v>507333.24</v>
      </c>
      <c r="AD40" s="174"/>
      <c r="AE40" s="174"/>
    </row>
    <row r="41" spans="1:31" ht="9.6" customHeight="1" x14ac:dyDescent="0.2">
      <c r="A41" s="168" t="s">
        <v>160</v>
      </c>
      <c r="B41" s="179" t="s">
        <v>161</v>
      </c>
      <c r="C41" s="179"/>
      <c r="D41" s="179"/>
      <c r="E41" s="179"/>
      <c r="F41" s="179"/>
      <c r="G41" s="179"/>
      <c r="H41" s="179"/>
      <c r="I41" s="179"/>
      <c r="J41" s="179"/>
      <c r="K41" s="179"/>
      <c r="L41" s="179"/>
      <c r="M41" s="179"/>
      <c r="N41" s="179" t="s">
        <v>112</v>
      </c>
      <c r="O41" s="179"/>
      <c r="P41" s="179"/>
      <c r="Q41" s="180">
        <v>1</v>
      </c>
      <c r="R41" s="174"/>
      <c r="S41" s="174"/>
      <c r="T41" s="174"/>
      <c r="U41" s="174"/>
      <c r="V41" s="174"/>
      <c r="W41" s="199">
        <v>352596.6</v>
      </c>
      <c r="X41" s="174"/>
      <c r="Y41" s="174"/>
      <c r="Z41" s="174"/>
      <c r="AA41" s="174"/>
      <c r="AB41" s="174"/>
      <c r="AC41" s="200">
        <v>352596.6</v>
      </c>
      <c r="AD41" s="174"/>
      <c r="AE41" s="174"/>
    </row>
    <row r="42" spans="1:31" ht="9.6" customHeight="1" x14ac:dyDescent="0.2">
      <c r="A42" s="168" t="s">
        <v>162</v>
      </c>
      <c r="B42" s="179" t="s">
        <v>163</v>
      </c>
      <c r="C42" s="179"/>
      <c r="D42" s="179"/>
      <c r="E42" s="179"/>
      <c r="F42" s="179"/>
      <c r="G42" s="179"/>
      <c r="H42" s="179"/>
      <c r="I42" s="179"/>
      <c r="J42" s="179"/>
      <c r="K42" s="179"/>
      <c r="L42" s="179"/>
      <c r="M42" s="179"/>
      <c r="N42" s="179" t="s">
        <v>112</v>
      </c>
      <c r="O42" s="179"/>
      <c r="P42" s="179"/>
      <c r="Q42" s="180">
        <v>1</v>
      </c>
      <c r="R42" s="174"/>
      <c r="S42" s="174"/>
      <c r="T42" s="174"/>
      <c r="U42" s="174"/>
      <c r="V42" s="174"/>
      <c r="W42" s="195">
        <v>61810.1</v>
      </c>
      <c r="X42" s="174"/>
      <c r="Y42" s="174"/>
      <c r="Z42" s="174"/>
      <c r="AA42" s="174"/>
      <c r="AB42" s="174"/>
      <c r="AC42" s="196">
        <v>61810.1</v>
      </c>
      <c r="AD42" s="174"/>
      <c r="AE42" s="174"/>
    </row>
    <row r="43" spans="1:31" ht="9.6" customHeight="1" x14ac:dyDescent="0.2">
      <c r="A43" s="168" t="s">
        <v>164</v>
      </c>
      <c r="B43" s="179" t="s">
        <v>165</v>
      </c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 t="s">
        <v>112</v>
      </c>
      <c r="O43" s="179"/>
      <c r="P43" s="179"/>
      <c r="Q43" s="180">
        <v>1</v>
      </c>
      <c r="R43" s="174"/>
      <c r="S43" s="174"/>
      <c r="T43" s="174"/>
      <c r="U43" s="174"/>
      <c r="V43" s="174"/>
      <c r="W43" s="173">
        <v>9385.58</v>
      </c>
      <c r="X43" s="174"/>
      <c r="Y43" s="174"/>
      <c r="Z43" s="174"/>
      <c r="AA43" s="174"/>
      <c r="AB43" s="174"/>
      <c r="AC43" s="201">
        <v>9385.58</v>
      </c>
      <c r="AD43" s="174"/>
      <c r="AE43" s="174"/>
    </row>
    <row r="44" spans="1:31" ht="9.6" customHeight="1" x14ac:dyDescent="0.2">
      <c r="A44" s="168" t="s">
        <v>166</v>
      </c>
      <c r="B44" s="179" t="s">
        <v>167</v>
      </c>
      <c r="C44" s="179"/>
      <c r="D44" s="179"/>
      <c r="E44" s="179"/>
      <c r="F44" s="179"/>
      <c r="G44" s="179"/>
      <c r="H44" s="179"/>
      <c r="I44" s="179"/>
      <c r="J44" s="179"/>
      <c r="K44" s="179"/>
      <c r="L44" s="179"/>
      <c r="M44" s="179"/>
      <c r="N44" s="179" t="s">
        <v>112</v>
      </c>
      <c r="O44" s="179"/>
      <c r="P44" s="179"/>
      <c r="Q44" s="180">
        <v>1</v>
      </c>
      <c r="R44" s="174"/>
      <c r="S44" s="174"/>
      <c r="T44" s="174"/>
      <c r="U44" s="174"/>
      <c r="V44" s="174"/>
      <c r="W44" s="199">
        <v>146572.70000000001</v>
      </c>
      <c r="X44" s="174"/>
      <c r="Y44" s="174"/>
      <c r="Z44" s="174"/>
      <c r="AA44" s="174"/>
      <c r="AB44" s="174"/>
      <c r="AC44" s="200">
        <v>146572.70000000001</v>
      </c>
      <c r="AD44" s="174"/>
      <c r="AE44" s="174"/>
    </row>
    <row r="45" spans="1:31" ht="9.6" customHeight="1" x14ac:dyDescent="0.2">
      <c r="A45" s="168" t="s">
        <v>168</v>
      </c>
      <c r="B45" s="179" t="s">
        <v>169</v>
      </c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 t="s">
        <v>112</v>
      </c>
      <c r="O45" s="179"/>
      <c r="P45" s="179"/>
      <c r="Q45" s="180">
        <v>1</v>
      </c>
      <c r="R45" s="174"/>
      <c r="S45" s="174"/>
      <c r="T45" s="174"/>
      <c r="U45" s="174"/>
      <c r="V45" s="174"/>
      <c r="W45" s="199">
        <v>193725.57</v>
      </c>
      <c r="X45" s="174"/>
      <c r="Y45" s="174"/>
      <c r="Z45" s="174"/>
      <c r="AA45" s="174"/>
      <c r="AB45" s="174"/>
      <c r="AC45" s="200">
        <v>193725.57</v>
      </c>
      <c r="AD45" s="174"/>
      <c r="AE45" s="174"/>
    </row>
    <row r="46" spans="1:31" ht="9.6" customHeight="1" x14ac:dyDescent="0.2">
      <c r="A46" s="168" t="s">
        <v>170</v>
      </c>
      <c r="B46" s="179" t="s">
        <v>171</v>
      </c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79" t="s">
        <v>112</v>
      </c>
      <c r="O46" s="179"/>
      <c r="P46" s="179"/>
      <c r="Q46" s="180">
        <v>1</v>
      </c>
      <c r="R46" s="174"/>
      <c r="S46" s="174"/>
      <c r="T46" s="174"/>
      <c r="U46" s="174"/>
      <c r="V46" s="174"/>
      <c r="W46" s="195">
        <v>18795.63</v>
      </c>
      <c r="X46" s="174"/>
      <c r="Y46" s="174"/>
      <c r="Z46" s="174"/>
      <c r="AA46" s="174"/>
      <c r="AB46" s="174"/>
      <c r="AC46" s="196">
        <v>18795.63</v>
      </c>
      <c r="AD46" s="174"/>
      <c r="AE46" s="174"/>
    </row>
    <row r="47" spans="1:31" ht="9.6" customHeight="1" x14ac:dyDescent="0.2">
      <c r="A47" s="168" t="s">
        <v>172</v>
      </c>
      <c r="B47" s="179" t="s">
        <v>173</v>
      </c>
      <c r="C47" s="179"/>
      <c r="D47" s="179"/>
      <c r="E47" s="179"/>
      <c r="F47" s="179"/>
      <c r="G47" s="179"/>
      <c r="H47" s="179"/>
      <c r="I47" s="179"/>
      <c r="J47" s="179"/>
      <c r="K47" s="179"/>
      <c r="L47" s="179"/>
      <c r="M47" s="179"/>
      <c r="N47" s="179" t="s">
        <v>112</v>
      </c>
      <c r="O47" s="179"/>
      <c r="P47" s="179"/>
      <c r="Q47" s="180">
        <v>1</v>
      </c>
      <c r="R47" s="174"/>
      <c r="S47" s="174"/>
      <c r="T47" s="174"/>
      <c r="U47" s="174"/>
      <c r="V47" s="174"/>
      <c r="W47" s="199">
        <v>299127.96000000002</v>
      </c>
      <c r="X47" s="174"/>
      <c r="Y47" s="174"/>
      <c r="Z47" s="174"/>
      <c r="AA47" s="174"/>
      <c r="AB47" s="174"/>
      <c r="AC47" s="200">
        <v>299127.96000000002</v>
      </c>
      <c r="AD47" s="174"/>
      <c r="AE47" s="174"/>
    </row>
    <row r="48" spans="1:31" ht="9.6" customHeight="1" x14ac:dyDescent="0.2">
      <c r="A48" s="168" t="s">
        <v>174</v>
      </c>
      <c r="B48" s="179" t="s">
        <v>175</v>
      </c>
      <c r="C48" s="179"/>
      <c r="D48" s="179"/>
      <c r="E48" s="179"/>
      <c r="F48" s="179"/>
      <c r="G48" s="179"/>
      <c r="H48" s="179"/>
      <c r="I48" s="179"/>
      <c r="J48" s="179"/>
      <c r="K48" s="179"/>
      <c r="L48" s="179"/>
      <c r="M48" s="179"/>
      <c r="N48" s="179" t="s">
        <v>112</v>
      </c>
      <c r="O48" s="179"/>
      <c r="P48" s="179"/>
      <c r="Q48" s="180">
        <v>1</v>
      </c>
      <c r="R48" s="174"/>
      <c r="S48" s="174"/>
      <c r="T48" s="174"/>
      <c r="U48" s="174"/>
      <c r="V48" s="174"/>
      <c r="W48" s="195">
        <v>13564.85</v>
      </c>
      <c r="X48" s="174"/>
      <c r="Y48" s="174"/>
      <c r="Z48" s="174"/>
      <c r="AA48" s="174"/>
      <c r="AB48" s="174"/>
      <c r="AC48" s="196">
        <v>13564.85</v>
      </c>
      <c r="AD48" s="174"/>
      <c r="AE48" s="174"/>
    </row>
    <row r="49" spans="1:31" ht="9.6" customHeight="1" x14ac:dyDescent="0.2">
      <c r="A49" s="168" t="s">
        <v>176</v>
      </c>
      <c r="B49" s="179" t="s">
        <v>177</v>
      </c>
      <c r="C49" s="179"/>
      <c r="D49" s="179"/>
      <c r="E49" s="179"/>
      <c r="F49" s="179"/>
      <c r="G49" s="179"/>
      <c r="H49" s="179"/>
      <c r="I49" s="179"/>
      <c r="J49" s="179"/>
      <c r="K49" s="179"/>
      <c r="L49" s="179"/>
      <c r="M49" s="179"/>
      <c r="N49" s="179" t="s">
        <v>112</v>
      </c>
      <c r="O49" s="179"/>
      <c r="P49" s="179"/>
      <c r="Q49" s="180">
        <v>1</v>
      </c>
      <c r="R49" s="174"/>
      <c r="S49" s="174"/>
      <c r="T49" s="174"/>
      <c r="U49" s="174"/>
      <c r="V49" s="174"/>
      <c r="W49" s="199">
        <v>122902.57</v>
      </c>
      <c r="X49" s="174"/>
      <c r="Y49" s="174"/>
      <c r="Z49" s="174"/>
      <c r="AA49" s="174"/>
      <c r="AB49" s="174"/>
      <c r="AC49" s="200">
        <v>122902.57</v>
      </c>
      <c r="AD49" s="174"/>
      <c r="AE49" s="174"/>
    </row>
    <row r="50" spans="1:31" ht="9.6" customHeight="1" x14ac:dyDescent="0.2">
      <c r="A50" s="168" t="s">
        <v>178</v>
      </c>
      <c r="B50" s="179" t="s">
        <v>179</v>
      </c>
      <c r="C50" s="179"/>
      <c r="D50" s="179"/>
      <c r="E50" s="179"/>
      <c r="F50" s="179"/>
      <c r="G50" s="179"/>
      <c r="H50" s="179"/>
      <c r="I50" s="179"/>
      <c r="J50" s="179"/>
      <c r="K50" s="179"/>
      <c r="L50" s="179"/>
      <c r="M50" s="179"/>
      <c r="N50" s="179" t="s">
        <v>112</v>
      </c>
      <c r="O50" s="179"/>
      <c r="P50" s="179"/>
      <c r="Q50" s="180">
        <v>1</v>
      </c>
      <c r="R50" s="174"/>
      <c r="S50" s="174"/>
      <c r="T50" s="174"/>
      <c r="U50" s="174"/>
      <c r="V50" s="174"/>
      <c r="W50" s="195">
        <v>23250.16</v>
      </c>
      <c r="X50" s="174"/>
      <c r="Y50" s="174"/>
      <c r="Z50" s="174"/>
      <c r="AA50" s="174"/>
      <c r="AB50" s="174"/>
      <c r="AC50" s="196">
        <v>23250.16</v>
      </c>
      <c r="AD50" s="174"/>
      <c r="AE50" s="174"/>
    </row>
    <row r="51" spans="1:31" ht="19.350000000000001" customHeight="1" x14ac:dyDescent="0.2">
      <c r="A51" s="168" t="s">
        <v>180</v>
      </c>
      <c r="B51" s="179" t="s">
        <v>181</v>
      </c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 t="s">
        <v>112</v>
      </c>
      <c r="O51" s="179"/>
      <c r="P51" s="179"/>
      <c r="Q51" s="180">
        <v>1</v>
      </c>
      <c r="R51" s="174"/>
      <c r="S51" s="174"/>
      <c r="T51" s="174"/>
      <c r="U51" s="174"/>
      <c r="V51" s="174"/>
      <c r="W51" s="195">
        <v>58264.92</v>
      </c>
      <c r="X51" s="174"/>
      <c r="Y51" s="174"/>
      <c r="Z51" s="174"/>
      <c r="AA51" s="174"/>
      <c r="AB51" s="174"/>
      <c r="AC51" s="196">
        <v>58264.92</v>
      </c>
      <c r="AD51" s="174"/>
      <c r="AE51" s="174"/>
    </row>
    <row r="52" spans="1:31" ht="9.6" customHeight="1" x14ac:dyDescent="0.2">
      <c r="A52" s="168" t="s">
        <v>182</v>
      </c>
      <c r="B52" s="179" t="s">
        <v>183</v>
      </c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 t="s">
        <v>112</v>
      </c>
      <c r="O52" s="179"/>
      <c r="P52" s="179"/>
      <c r="Q52" s="180">
        <v>1</v>
      </c>
      <c r="R52" s="174"/>
      <c r="S52" s="174"/>
      <c r="T52" s="174"/>
      <c r="U52" s="174"/>
      <c r="V52" s="174"/>
      <c r="W52" s="195">
        <v>52672.53</v>
      </c>
      <c r="X52" s="174"/>
      <c r="Y52" s="174"/>
      <c r="Z52" s="174"/>
      <c r="AA52" s="174"/>
      <c r="AB52" s="174"/>
      <c r="AC52" s="196">
        <v>52672.53</v>
      </c>
      <c r="AD52" s="174"/>
      <c r="AE52" s="174"/>
    </row>
    <row r="53" spans="1:31" ht="9.6" customHeight="1" x14ac:dyDescent="0.2">
      <c r="A53" s="168" t="s">
        <v>184</v>
      </c>
      <c r="B53" s="179" t="s">
        <v>185</v>
      </c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 t="s">
        <v>112</v>
      </c>
      <c r="O53" s="179"/>
      <c r="P53" s="179"/>
      <c r="Q53" s="180">
        <v>1</v>
      </c>
      <c r="R53" s="174"/>
      <c r="S53" s="174"/>
      <c r="T53" s="174"/>
      <c r="U53" s="174"/>
      <c r="V53" s="174"/>
      <c r="W53" s="195">
        <v>20609.099999999999</v>
      </c>
      <c r="X53" s="174"/>
      <c r="Y53" s="174"/>
      <c r="Z53" s="174"/>
      <c r="AA53" s="174"/>
      <c r="AB53" s="174"/>
      <c r="AC53" s="196">
        <v>20609.099999999999</v>
      </c>
      <c r="AD53" s="174"/>
      <c r="AE53" s="174"/>
    </row>
    <row r="54" spans="1:31" ht="9.6" customHeight="1" x14ac:dyDescent="0.2">
      <c r="A54" s="168" t="s">
        <v>186</v>
      </c>
      <c r="B54" s="179" t="s">
        <v>187</v>
      </c>
      <c r="C54" s="179"/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N54" s="179" t="s">
        <v>112</v>
      </c>
      <c r="O54" s="179"/>
      <c r="P54" s="179"/>
      <c r="Q54" s="180">
        <v>1</v>
      </c>
      <c r="R54" s="174"/>
      <c r="S54" s="174"/>
      <c r="T54" s="174"/>
      <c r="U54" s="174"/>
      <c r="V54" s="174"/>
      <c r="W54" s="195">
        <v>24730.92</v>
      </c>
      <c r="X54" s="174"/>
      <c r="Y54" s="174"/>
      <c r="Z54" s="174"/>
      <c r="AA54" s="174"/>
      <c r="AB54" s="174"/>
      <c r="AC54" s="196">
        <v>24730.92</v>
      </c>
      <c r="AD54" s="174"/>
      <c r="AE54" s="174"/>
    </row>
    <row r="55" spans="1:31" ht="9.6" customHeight="1" x14ac:dyDescent="0.2">
      <c r="A55" s="168" t="s">
        <v>188</v>
      </c>
      <c r="B55" s="179" t="s">
        <v>189</v>
      </c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 t="s">
        <v>112</v>
      </c>
      <c r="O55" s="179"/>
      <c r="P55" s="179"/>
      <c r="Q55" s="180">
        <v>1</v>
      </c>
      <c r="R55" s="174"/>
      <c r="S55" s="174"/>
      <c r="T55" s="174"/>
      <c r="U55" s="174"/>
      <c r="V55" s="174"/>
      <c r="W55" s="195">
        <v>19025</v>
      </c>
      <c r="X55" s="174"/>
      <c r="Y55" s="174"/>
      <c r="Z55" s="174"/>
      <c r="AA55" s="174"/>
      <c r="AB55" s="174"/>
      <c r="AC55" s="196">
        <v>19025</v>
      </c>
      <c r="AD55" s="174"/>
      <c r="AE55" s="174"/>
    </row>
    <row r="56" spans="1:31" ht="9.6" customHeight="1" x14ac:dyDescent="0.2">
      <c r="A56" s="168" t="s">
        <v>190</v>
      </c>
      <c r="B56" s="179" t="s">
        <v>191</v>
      </c>
      <c r="C56" s="179"/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79" t="s">
        <v>112</v>
      </c>
      <c r="O56" s="179"/>
      <c r="P56" s="179"/>
      <c r="Q56" s="180">
        <v>1</v>
      </c>
      <c r="R56" s="174"/>
      <c r="S56" s="174"/>
      <c r="T56" s="174"/>
      <c r="U56" s="174"/>
      <c r="V56" s="174"/>
      <c r="W56" s="195">
        <v>10304.549999999999</v>
      </c>
      <c r="X56" s="174"/>
      <c r="Y56" s="174"/>
      <c r="Z56" s="174"/>
      <c r="AA56" s="174"/>
      <c r="AB56" s="174"/>
      <c r="AC56" s="196">
        <v>10304.549999999999</v>
      </c>
      <c r="AD56" s="174"/>
      <c r="AE56" s="174"/>
    </row>
    <row r="57" spans="1:31" ht="9.6" customHeight="1" x14ac:dyDescent="0.2">
      <c r="A57" s="168" t="s">
        <v>192</v>
      </c>
      <c r="B57" s="179" t="s">
        <v>193</v>
      </c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 t="s">
        <v>112</v>
      </c>
      <c r="O57" s="179"/>
      <c r="P57" s="179"/>
      <c r="Q57" s="180">
        <v>1</v>
      </c>
      <c r="R57" s="174"/>
      <c r="S57" s="174"/>
      <c r="T57" s="174"/>
      <c r="U57" s="174"/>
      <c r="V57" s="174"/>
      <c r="W57" s="195">
        <v>58125.4</v>
      </c>
      <c r="X57" s="174"/>
      <c r="Y57" s="174"/>
      <c r="Z57" s="174"/>
      <c r="AA57" s="174"/>
      <c r="AB57" s="174"/>
      <c r="AC57" s="196">
        <v>58125.4</v>
      </c>
      <c r="AD57" s="174"/>
      <c r="AE57" s="174"/>
    </row>
    <row r="58" spans="1:31" ht="9.6" customHeight="1" x14ac:dyDescent="0.2">
      <c r="A58" s="168" t="s">
        <v>194</v>
      </c>
      <c r="B58" s="179" t="s">
        <v>195</v>
      </c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 t="s">
        <v>112</v>
      </c>
      <c r="O58" s="179"/>
      <c r="P58" s="179"/>
      <c r="Q58" s="180">
        <v>1</v>
      </c>
      <c r="R58" s="174"/>
      <c r="S58" s="174"/>
      <c r="T58" s="174"/>
      <c r="U58" s="174"/>
      <c r="V58" s="174"/>
      <c r="W58" s="173">
        <v>5073.33</v>
      </c>
      <c r="X58" s="174"/>
      <c r="Y58" s="174"/>
      <c r="Z58" s="174"/>
      <c r="AA58" s="174"/>
      <c r="AB58" s="174"/>
      <c r="AC58" s="201">
        <v>5073.33</v>
      </c>
      <c r="AD58" s="174"/>
      <c r="AE58" s="174"/>
    </row>
    <row r="59" spans="1:31" ht="9.6" customHeight="1" x14ac:dyDescent="0.2">
      <c r="A59" s="168" t="s">
        <v>196</v>
      </c>
      <c r="B59" s="179" t="s">
        <v>197</v>
      </c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 t="s">
        <v>112</v>
      </c>
      <c r="O59" s="179"/>
      <c r="P59" s="179"/>
      <c r="Q59" s="180">
        <v>1</v>
      </c>
      <c r="R59" s="174"/>
      <c r="S59" s="174"/>
      <c r="T59" s="174"/>
      <c r="U59" s="174"/>
      <c r="V59" s="174"/>
      <c r="W59" s="195">
        <v>28539.040000000001</v>
      </c>
      <c r="X59" s="174"/>
      <c r="Y59" s="174"/>
      <c r="Z59" s="174"/>
      <c r="AA59" s="174"/>
      <c r="AB59" s="174"/>
      <c r="AC59" s="196">
        <v>28539.040000000001</v>
      </c>
      <c r="AD59" s="174"/>
      <c r="AE59" s="174"/>
    </row>
    <row r="60" spans="1:31" ht="9.6" customHeight="1" x14ac:dyDescent="0.2">
      <c r="A60" s="168" t="s">
        <v>198</v>
      </c>
      <c r="B60" s="179" t="s">
        <v>199</v>
      </c>
      <c r="C60" s="179"/>
      <c r="D60" s="179"/>
      <c r="E60" s="179"/>
      <c r="F60" s="179"/>
      <c r="G60" s="179"/>
      <c r="H60" s="179"/>
      <c r="I60" s="179"/>
      <c r="J60" s="179"/>
      <c r="K60" s="179"/>
      <c r="L60" s="179"/>
      <c r="M60" s="179"/>
      <c r="N60" s="179" t="s">
        <v>112</v>
      </c>
      <c r="O60" s="179"/>
      <c r="P60" s="179"/>
      <c r="Q60" s="180">
        <v>1</v>
      </c>
      <c r="R60" s="174"/>
      <c r="S60" s="174"/>
      <c r="T60" s="174"/>
      <c r="U60" s="174"/>
      <c r="V60" s="174"/>
      <c r="W60" s="195">
        <v>46648.99</v>
      </c>
      <c r="X60" s="174"/>
      <c r="Y60" s="174"/>
      <c r="Z60" s="174"/>
      <c r="AA60" s="174"/>
      <c r="AB60" s="174"/>
      <c r="AC60" s="196">
        <v>46648.99</v>
      </c>
      <c r="AD60" s="174"/>
      <c r="AE60" s="174"/>
    </row>
    <row r="61" spans="1:31" ht="9.75" customHeight="1" x14ac:dyDescent="0.2">
      <c r="A61" s="167" t="s">
        <v>200</v>
      </c>
      <c r="B61" s="176" t="s">
        <v>201</v>
      </c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7"/>
      <c r="R61" s="177"/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98">
        <v>186120.54</v>
      </c>
      <c r="AD61" s="177"/>
      <c r="AE61" s="177"/>
    </row>
    <row r="62" spans="1:31" ht="9.6" customHeight="1" x14ac:dyDescent="0.2">
      <c r="A62" s="168" t="s">
        <v>202</v>
      </c>
      <c r="B62" s="179" t="s">
        <v>203</v>
      </c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79"/>
      <c r="N62" s="179" t="s">
        <v>112</v>
      </c>
      <c r="O62" s="179"/>
      <c r="P62" s="179"/>
      <c r="Q62" s="180">
        <v>1</v>
      </c>
      <c r="R62" s="174"/>
      <c r="S62" s="174"/>
      <c r="T62" s="174"/>
      <c r="U62" s="174"/>
      <c r="V62" s="174"/>
      <c r="W62" s="199">
        <v>120000</v>
      </c>
      <c r="X62" s="174"/>
      <c r="Y62" s="174"/>
      <c r="Z62" s="174"/>
      <c r="AA62" s="174"/>
      <c r="AB62" s="174"/>
      <c r="AC62" s="200">
        <v>120000</v>
      </c>
      <c r="AD62" s="174"/>
      <c r="AE62" s="174"/>
    </row>
    <row r="63" spans="1:31" ht="9.6" customHeight="1" x14ac:dyDescent="0.2">
      <c r="A63" s="168" t="s">
        <v>204</v>
      </c>
      <c r="B63" s="179" t="s">
        <v>205</v>
      </c>
      <c r="C63" s="179"/>
      <c r="D63" s="179"/>
      <c r="E63" s="179"/>
      <c r="F63" s="179"/>
      <c r="G63" s="179"/>
      <c r="H63" s="179"/>
      <c r="I63" s="179"/>
      <c r="J63" s="179"/>
      <c r="K63" s="179"/>
      <c r="L63" s="179"/>
      <c r="M63" s="179"/>
      <c r="N63" s="179" t="s">
        <v>112</v>
      </c>
      <c r="O63" s="179"/>
      <c r="P63" s="179"/>
      <c r="Q63" s="180">
        <v>1</v>
      </c>
      <c r="R63" s="174"/>
      <c r="S63" s="174"/>
      <c r="T63" s="174"/>
      <c r="U63" s="174"/>
      <c r="V63" s="174"/>
      <c r="W63" s="195">
        <v>18120.54</v>
      </c>
      <c r="X63" s="174"/>
      <c r="Y63" s="174"/>
      <c r="Z63" s="174"/>
      <c r="AA63" s="174"/>
      <c r="AB63" s="174"/>
      <c r="AC63" s="196">
        <v>18120.54</v>
      </c>
      <c r="AD63" s="174"/>
      <c r="AE63" s="174"/>
    </row>
    <row r="64" spans="1:31" ht="9.6" customHeight="1" x14ac:dyDescent="0.2">
      <c r="A64" s="168" t="s">
        <v>206</v>
      </c>
      <c r="B64" s="179" t="s">
        <v>207</v>
      </c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M64" s="179"/>
      <c r="N64" s="179" t="s">
        <v>112</v>
      </c>
      <c r="O64" s="179"/>
      <c r="P64" s="179"/>
      <c r="Q64" s="180">
        <v>1</v>
      </c>
      <c r="R64" s="174"/>
      <c r="S64" s="174"/>
      <c r="T64" s="174"/>
      <c r="U64" s="174"/>
      <c r="V64" s="174"/>
      <c r="W64" s="195">
        <v>48000</v>
      </c>
      <c r="X64" s="174"/>
      <c r="Y64" s="174"/>
      <c r="Z64" s="174"/>
      <c r="AA64" s="174"/>
      <c r="AB64" s="174"/>
      <c r="AC64" s="196">
        <v>48000</v>
      </c>
      <c r="AD64" s="174"/>
      <c r="AE64" s="174"/>
    </row>
    <row r="65" spans="1:31" ht="9.75" customHeight="1" x14ac:dyDescent="0.2">
      <c r="A65" s="167" t="s">
        <v>208</v>
      </c>
      <c r="B65" s="176" t="s">
        <v>209</v>
      </c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8">
        <v>3881854.83</v>
      </c>
      <c r="AD65" s="177"/>
      <c r="AE65" s="177"/>
    </row>
    <row r="66" spans="1:31" ht="9.75" customHeight="1" x14ac:dyDescent="0.2">
      <c r="A66" s="167" t="s">
        <v>210</v>
      </c>
      <c r="B66" s="176" t="s">
        <v>211</v>
      </c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98">
        <v>358144.29</v>
      </c>
      <c r="AD66" s="177"/>
      <c r="AE66" s="177"/>
    </row>
    <row r="67" spans="1:31" ht="9.6" customHeight="1" x14ac:dyDescent="0.2">
      <c r="A67" s="168" t="s">
        <v>212</v>
      </c>
      <c r="B67" s="179" t="s">
        <v>213</v>
      </c>
      <c r="C67" s="179"/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 t="s">
        <v>137</v>
      </c>
      <c r="O67" s="179"/>
      <c r="P67" s="179"/>
      <c r="Q67" s="180">
        <v>1</v>
      </c>
      <c r="R67" s="174"/>
      <c r="S67" s="174"/>
      <c r="T67" s="174"/>
      <c r="U67" s="174"/>
      <c r="V67" s="174"/>
      <c r="W67" s="173">
        <v>1680</v>
      </c>
      <c r="X67" s="174"/>
      <c r="Y67" s="174"/>
      <c r="Z67" s="174"/>
      <c r="AA67" s="174"/>
      <c r="AB67" s="174"/>
      <c r="AC67" s="201">
        <v>1680</v>
      </c>
      <c r="AD67" s="174"/>
      <c r="AE67" s="174"/>
    </row>
    <row r="68" spans="1:31" ht="9.6" customHeight="1" x14ac:dyDescent="0.2">
      <c r="A68" s="168" t="s">
        <v>214</v>
      </c>
      <c r="B68" s="179" t="s">
        <v>215</v>
      </c>
      <c r="C68" s="179"/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79" t="s">
        <v>112</v>
      </c>
      <c r="O68" s="179"/>
      <c r="P68" s="179"/>
      <c r="Q68" s="180">
        <v>1</v>
      </c>
      <c r="R68" s="174"/>
      <c r="S68" s="174"/>
      <c r="T68" s="174"/>
      <c r="U68" s="174"/>
      <c r="V68" s="174"/>
      <c r="W68" s="199">
        <v>343117.71</v>
      </c>
      <c r="X68" s="174"/>
      <c r="Y68" s="174"/>
      <c r="Z68" s="174"/>
      <c r="AA68" s="174"/>
      <c r="AB68" s="174"/>
      <c r="AC68" s="200">
        <v>343117.71</v>
      </c>
      <c r="AD68" s="174"/>
      <c r="AE68" s="174"/>
    </row>
    <row r="69" spans="1:31" ht="9.6" customHeight="1" x14ac:dyDescent="0.2">
      <c r="A69" s="168" t="s">
        <v>216</v>
      </c>
      <c r="B69" s="179" t="s">
        <v>217</v>
      </c>
      <c r="C69" s="179"/>
      <c r="D69" s="179"/>
      <c r="E69" s="179"/>
      <c r="F69" s="179"/>
      <c r="G69" s="179"/>
      <c r="H69" s="179"/>
      <c r="I69" s="179"/>
      <c r="J69" s="179"/>
      <c r="K69" s="179"/>
      <c r="L69" s="179"/>
      <c r="M69" s="179"/>
      <c r="N69" s="179" t="s">
        <v>137</v>
      </c>
      <c r="O69" s="179"/>
      <c r="P69" s="179"/>
      <c r="Q69" s="180">
        <v>1</v>
      </c>
      <c r="R69" s="174"/>
      <c r="S69" s="174"/>
      <c r="T69" s="174"/>
      <c r="U69" s="174"/>
      <c r="V69" s="174"/>
      <c r="W69" s="173">
        <v>1884</v>
      </c>
      <c r="X69" s="174"/>
      <c r="Y69" s="174"/>
      <c r="Z69" s="174"/>
      <c r="AA69" s="174"/>
      <c r="AB69" s="174"/>
      <c r="AC69" s="201">
        <v>1884</v>
      </c>
      <c r="AD69" s="174"/>
      <c r="AE69" s="174"/>
    </row>
    <row r="70" spans="1:31" ht="9.6" customHeight="1" x14ac:dyDescent="0.2">
      <c r="A70" s="168" t="s">
        <v>218</v>
      </c>
      <c r="B70" s="179" t="s">
        <v>219</v>
      </c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 t="s">
        <v>220</v>
      </c>
      <c r="O70" s="179"/>
      <c r="P70" s="179"/>
      <c r="Q70" s="202">
        <v>65.97</v>
      </c>
      <c r="R70" s="174"/>
      <c r="S70" s="174"/>
      <c r="T70" s="174"/>
      <c r="U70" s="174"/>
      <c r="V70" s="174"/>
      <c r="W70" s="191">
        <v>102.777</v>
      </c>
      <c r="X70" s="174"/>
      <c r="Y70" s="174"/>
      <c r="Z70" s="174"/>
      <c r="AA70" s="174"/>
      <c r="AB70" s="174"/>
      <c r="AC70" s="201">
        <v>6780.2</v>
      </c>
      <c r="AD70" s="174"/>
      <c r="AE70" s="174"/>
    </row>
    <row r="71" spans="1:31" ht="9.6" customHeight="1" x14ac:dyDescent="0.2">
      <c r="A71" s="168" t="s">
        <v>221</v>
      </c>
      <c r="B71" s="179" t="s">
        <v>222</v>
      </c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  <c r="N71" s="179" t="s">
        <v>223</v>
      </c>
      <c r="O71" s="179"/>
      <c r="P71" s="179"/>
      <c r="Q71" s="191">
        <v>411.71</v>
      </c>
      <c r="R71" s="174"/>
      <c r="S71" s="174"/>
      <c r="T71" s="174"/>
      <c r="U71" s="174"/>
      <c r="V71" s="174"/>
      <c r="W71" s="202">
        <v>11.372999999999999</v>
      </c>
      <c r="X71" s="174"/>
      <c r="Y71" s="174"/>
      <c r="Z71" s="174"/>
      <c r="AA71" s="174"/>
      <c r="AB71" s="174"/>
      <c r="AC71" s="201">
        <v>4682.38</v>
      </c>
      <c r="AD71" s="174"/>
      <c r="AE71" s="174"/>
    </row>
    <row r="72" spans="1:31" ht="9.75" customHeight="1" x14ac:dyDescent="0.2">
      <c r="A72" s="167" t="s">
        <v>224</v>
      </c>
      <c r="B72" s="176" t="s">
        <v>225</v>
      </c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7"/>
      <c r="R72" s="177"/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98">
        <v>410687.6</v>
      </c>
      <c r="AD72" s="177"/>
      <c r="AE72" s="177"/>
    </row>
    <row r="73" spans="1:31" ht="9.6" customHeight="1" x14ac:dyDescent="0.2">
      <c r="A73" s="168" t="s">
        <v>226</v>
      </c>
      <c r="B73" s="179" t="s">
        <v>227</v>
      </c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 t="s">
        <v>112</v>
      </c>
      <c r="O73" s="179"/>
      <c r="P73" s="179"/>
      <c r="Q73" s="180">
        <v>1</v>
      </c>
      <c r="R73" s="174"/>
      <c r="S73" s="174"/>
      <c r="T73" s="174"/>
      <c r="U73" s="174"/>
      <c r="V73" s="174"/>
      <c r="W73" s="195">
        <v>45000</v>
      </c>
      <c r="X73" s="174"/>
      <c r="Y73" s="174"/>
      <c r="Z73" s="174"/>
      <c r="AA73" s="174"/>
      <c r="AB73" s="174"/>
      <c r="AC73" s="196">
        <v>45000</v>
      </c>
      <c r="AD73" s="174"/>
      <c r="AE73" s="174"/>
    </row>
    <row r="74" spans="1:31" ht="19.350000000000001" customHeight="1" x14ac:dyDescent="0.2">
      <c r="A74" s="168" t="s">
        <v>228</v>
      </c>
      <c r="B74" s="179" t="s">
        <v>229</v>
      </c>
      <c r="C74" s="179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 t="s">
        <v>112</v>
      </c>
      <c r="O74" s="179"/>
      <c r="P74" s="179"/>
      <c r="Q74" s="180">
        <v>1</v>
      </c>
      <c r="R74" s="174"/>
      <c r="S74" s="174"/>
      <c r="T74" s="174"/>
      <c r="U74" s="174"/>
      <c r="V74" s="174"/>
      <c r="W74" s="199">
        <v>198400.54</v>
      </c>
      <c r="X74" s="174"/>
      <c r="Y74" s="174"/>
      <c r="Z74" s="174"/>
      <c r="AA74" s="174"/>
      <c r="AB74" s="174"/>
      <c r="AC74" s="200">
        <v>198400.54</v>
      </c>
      <c r="AD74" s="174"/>
      <c r="AE74" s="174"/>
    </row>
    <row r="75" spans="1:31" ht="9.6" customHeight="1" x14ac:dyDescent="0.2">
      <c r="A75" s="168" t="s">
        <v>230</v>
      </c>
      <c r="B75" s="179" t="s">
        <v>231</v>
      </c>
      <c r="C75" s="179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 t="s">
        <v>112</v>
      </c>
      <c r="O75" s="179"/>
      <c r="P75" s="179"/>
      <c r="Q75" s="180">
        <v>1</v>
      </c>
      <c r="R75" s="174"/>
      <c r="S75" s="174"/>
      <c r="T75" s="174"/>
      <c r="U75" s="174"/>
      <c r="V75" s="174"/>
      <c r="W75" s="195">
        <v>83300</v>
      </c>
      <c r="X75" s="174"/>
      <c r="Y75" s="174"/>
      <c r="Z75" s="174"/>
      <c r="AA75" s="174"/>
      <c r="AB75" s="174"/>
      <c r="AC75" s="196">
        <v>83300</v>
      </c>
      <c r="AD75" s="174"/>
      <c r="AE75" s="174"/>
    </row>
    <row r="76" spans="1:31" ht="9.6" customHeight="1" x14ac:dyDescent="0.2">
      <c r="A76" s="168" t="s">
        <v>232</v>
      </c>
      <c r="B76" s="179" t="s">
        <v>233</v>
      </c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 t="s">
        <v>112</v>
      </c>
      <c r="O76" s="179"/>
      <c r="P76" s="179"/>
      <c r="Q76" s="180">
        <v>1</v>
      </c>
      <c r="R76" s="174"/>
      <c r="S76" s="174"/>
      <c r="T76" s="174"/>
      <c r="U76" s="174"/>
      <c r="V76" s="174"/>
      <c r="W76" s="173">
        <v>7923.848</v>
      </c>
      <c r="X76" s="174"/>
      <c r="Y76" s="174"/>
      <c r="Z76" s="174"/>
      <c r="AA76" s="174"/>
      <c r="AB76" s="174"/>
      <c r="AC76" s="201">
        <v>7923.85</v>
      </c>
      <c r="AD76" s="174"/>
      <c r="AE76" s="174"/>
    </row>
    <row r="77" spans="1:31" ht="9.6" customHeight="1" x14ac:dyDescent="0.2">
      <c r="A77" s="168" t="s">
        <v>234</v>
      </c>
      <c r="B77" s="179" t="s">
        <v>235</v>
      </c>
      <c r="C77" s="179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 t="s">
        <v>112</v>
      </c>
      <c r="O77" s="179"/>
      <c r="P77" s="179"/>
      <c r="Q77" s="180">
        <v>1</v>
      </c>
      <c r="R77" s="174"/>
      <c r="S77" s="174"/>
      <c r="T77" s="174"/>
      <c r="U77" s="174"/>
      <c r="V77" s="174"/>
      <c r="W77" s="195">
        <v>56046.28</v>
      </c>
      <c r="X77" s="174"/>
      <c r="Y77" s="174"/>
      <c r="Z77" s="174"/>
      <c r="AA77" s="174"/>
      <c r="AB77" s="174"/>
      <c r="AC77" s="196">
        <v>56046.28</v>
      </c>
      <c r="AD77" s="174"/>
      <c r="AE77" s="174"/>
    </row>
    <row r="78" spans="1:31" ht="9.6" customHeight="1" x14ac:dyDescent="0.2">
      <c r="A78" s="168" t="s">
        <v>236</v>
      </c>
      <c r="B78" s="179" t="s">
        <v>237</v>
      </c>
      <c r="C78" s="179"/>
      <c r="D78" s="179"/>
      <c r="E78" s="179"/>
      <c r="F78" s="179"/>
      <c r="G78" s="179"/>
      <c r="H78" s="179"/>
      <c r="I78" s="179"/>
      <c r="J78" s="179"/>
      <c r="K78" s="179"/>
      <c r="L78" s="179"/>
      <c r="M78" s="179"/>
      <c r="N78" s="179" t="s">
        <v>112</v>
      </c>
      <c r="O78" s="179"/>
      <c r="P78" s="179"/>
      <c r="Q78" s="180">
        <v>1</v>
      </c>
      <c r="R78" s="174"/>
      <c r="S78" s="174"/>
      <c r="T78" s="174"/>
      <c r="U78" s="174"/>
      <c r="V78" s="174"/>
      <c r="W78" s="195">
        <v>20016.93</v>
      </c>
      <c r="X78" s="174"/>
      <c r="Y78" s="174"/>
      <c r="Z78" s="174"/>
      <c r="AA78" s="174"/>
      <c r="AB78" s="174"/>
      <c r="AC78" s="196">
        <v>20016.93</v>
      </c>
      <c r="AD78" s="174"/>
      <c r="AE78" s="174"/>
    </row>
    <row r="79" spans="1:31" ht="9.75" customHeight="1" x14ac:dyDescent="0.2">
      <c r="A79" s="167" t="s">
        <v>238</v>
      </c>
      <c r="B79" s="176" t="s">
        <v>239</v>
      </c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7"/>
      <c r="R79" s="177"/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8">
        <v>2830043.96</v>
      </c>
      <c r="AD79" s="177"/>
      <c r="AE79" s="177"/>
    </row>
    <row r="80" spans="1:31" ht="19.350000000000001" customHeight="1" x14ac:dyDescent="0.2">
      <c r="A80" s="168" t="s">
        <v>240</v>
      </c>
      <c r="B80" s="179" t="s">
        <v>241</v>
      </c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 t="s">
        <v>112</v>
      </c>
      <c r="O80" s="179"/>
      <c r="P80" s="179"/>
      <c r="Q80" s="180">
        <v>1</v>
      </c>
      <c r="R80" s="174"/>
      <c r="S80" s="174"/>
      <c r="T80" s="174"/>
      <c r="U80" s="174"/>
      <c r="V80" s="174"/>
      <c r="W80" s="199">
        <v>268829.96000000002</v>
      </c>
      <c r="X80" s="174"/>
      <c r="Y80" s="174"/>
      <c r="Z80" s="174"/>
      <c r="AA80" s="174"/>
      <c r="AB80" s="174"/>
      <c r="AC80" s="200">
        <v>268829.96000000002</v>
      </c>
      <c r="AD80" s="174"/>
      <c r="AE80" s="174"/>
    </row>
    <row r="81" spans="1:31" ht="9.6" customHeight="1" x14ac:dyDescent="0.2">
      <c r="A81" s="168" t="s">
        <v>242</v>
      </c>
      <c r="B81" s="179" t="s">
        <v>243</v>
      </c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 t="s">
        <v>244</v>
      </c>
      <c r="O81" s="179"/>
      <c r="P81" s="179"/>
      <c r="Q81" s="202">
        <v>12</v>
      </c>
      <c r="R81" s="174"/>
      <c r="S81" s="174"/>
      <c r="T81" s="174"/>
      <c r="U81" s="174"/>
      <c r="V81" s="174"/>
      <c r="W81" s="199">
        <v>174000</v>
      </c>
      <c r="X81" s="174"/>
      <c r="Y81" s="174"/>
      <c r="Z81" s="174"/>
      <c r="AA81" s="174"/>
      <c r="AB81" s="174"/>
      <c r="AC81" s="175">
        <v>2088000</v>
      </c>
      <c r="AD81" s="174"/>
      <c r="AE81" s="174"/>
    </row>
    <row r="82" spans="1:31" ht="9.6" customHeight="1" x14ac:dyDescent="0.2">
      <c r="A82" s="168" t="s">
        <v>245</v>
      </c>
      <c r="B82" s="179" t="s">
        <v>246</v>
      </c>
      <c r="C82" s="179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179" t="s">
        <v>247</v>
      </c>
      <c r="O82" s="179"/>
      <c r="P82" s="179"/>
      <c r="Q82" s="173">
        <v>1352.04</v>
      </c>
      <c r="R82" s="174"/>
      <c r="S82" s="174"/>
      <c r="T82" s="174"/>
      <c r="U82" s="174"/>
      <c r="V82" s="174"/>
      <c r="W82" s="191">
        <v>350</v>
      </c>
      <c r="X82" s="174"/>
      <c r="Y82" s="174"/>
      <c r="Z82" s="174"/>
      <c r="AA82" s="174"/>
      <c r="AB82" s="174"/>
      <c r="AC82" s="200">
        <v>473214</v>
      </c>
      <c r="AD82" s="174"/>
      <c r="AE82" s="174"/>
    </row>
    <row r="83" spans="1:31" ht="9.75" customHeight="1" x14ac:dyDescent="0.2">
      <c r="A83" s="167" t="s">
        <v>248</v>
      </c>
      <c r="B83" s="176" t="s">
        <v>249</v>
      </c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7"/>
      <c r="R83" s="177"/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98">
        <v>282978.98</v>
      </c>
      <c r="AD83" s="177"/>
      <c r="AE83" s="177"/>
    </row>
    <row r="84" spans="1:31" ht="9.6" customHeight="1" x14ac:dyDescent="0.2">
      <c r="A84" s="168" t="s">
        <v>250</v>
      </c>
      <c r="B84" s="179" t="s">
        <v>249</v>
      </c>
      <c r="C84" s="179"/>
      <c r="D84" s="179"/>
      <c r="E84" s="179"/>
      <c r="F84" s="179"/>
      <c r="G84" s="179"/>
      <c r="H84" s="179"/>
      <c r="I84" s="179"/>
      <c r="J84" s="179"/>
      <c r="K84" s="179"/>
      <c r="L84" s="179"/>
      <c r="M84" s="179"/>
      <c r="N84" s="179" t="s">
        <v>112</v>
      </c>
      <c r="O84" s="179"/>
      <c r="P84" s="179"/>
      <c r="Q84" s="180">
        <v>1</v>
      </c>
      <c r="R84" s="174"/>
      <c r="S84" s="174"/>
      <c r="T84" s="174"/>
      <c r="U84" s="174"/>
      <c r="V84" s="174"/>
      <c r="W84" s="199">
        <v>282978.98</v>
      </c>
      <c r="X84" s="174"/>
      <c r="Y84" s="174"/>
      <c r="Z84" s="174"/>
      <c r="AA84" s="174"/>
      <c r="AB84" s="174"/>
      <c r="AC84" s="200">
        <v>282978.98</v>
      </c>
      <c r="AD84" s="174"/>
      <c r="AE84" s="174"/>
    </row>
    <row r="85" spans="1:31" ht="9.75" customHeight="1" x14ac:dyDescent="0.2">
      <c r="A85" s="167" t="s">
        <v>251</v>
      </c>
      <c r="B85" s="176" t="s">
        <v>252</v>
      </c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7"/>
      <c r="R85" s="177"/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97">
        <v>12692106.16</v>
      </c>
      <c r="AD85" s="177"/>
      <c r="AE85" s="177"/>
    </row>
    <row r="86" spans="1:31" ht="9.75" customHeight="1" x14ac:dyDescent="0.2">
      <c r="A86" s="167" t="s">
        <v>253</v>
      </c>
      <c r="B86" s="176" t="s">
        <v>254</v>
      </c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7"/>
      <c r="R86" s="177"/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8">
        <v>3836998.47</v>
      </c>
      <c r="AD86" s="177"/>
      <c r="AE86" s="177"/>
    </row>
    <row r="87" spans="1:31" ht="19.350000000000001" customHeight="1" x14ac:dyDescent="0.2">
      <c r="A87" s="168" t="s">
        <v>255</v>
      </c>
      <c r="B87" s="179" t="s">
        <v>256</v>
      </c>
      <c r="C87" s="179"/>
      <c r="D87" s="179"/>
      <c r="E87" s="179"/>
      <c r="F87" s="179"/>
      <c r="G87" s="179"/>
      <c r="H87" s="179"/>
      <c r="I87" s="179"/>
      <c r="J87" s="179"/>
      <c r="K87" s="179"/>
      <c r="L87" s="179"/>
      <c r="M87" s="179"/>
      <c r="N87" s="179" t="s">
        <v>244</v>
      </c>
      <c r="O87" s="179"/>
      <c r="P87" s="179"/>
      <c r="Q87" s="202">
        <v>49</v>
      </c>
      <c r="R87" s="174"/>
      <c r="S87" s="174"/>
      <c r="T87" s="174"/>
      <c r="U87" s="174"/>
      <c r="V87" s="174"/>
      <c r="W87" s="195">
        <v>15991.06</v>
      </c>
      <c r="X87" s="174"/>
      <c r="Y87" s="174"/>
      <c r="Z87" s="174"/>
      <c r="AA87" s="174"/>
      <c r="AB87" s="174"/>
      <c r="AC87" s="200">
        <v>783561.94</v>
      </c>
      <c r="AD87" s="174"/>
      <c r="AE87" s="174"/>
    </row>
    <row r="88" spans="1:31" ht="9.6" customHeight="1" x14ac:dyDescent="0.2">
      <c r="A88" s="168" t="s">
        <v>257</v>
      </c>
      <c r="B88" s="179" t="s">
        <v>258</v>
      </c>
      <c r="C88" s="179"/>
      <c r="D88" s="179"/>
      <c r="E88" s="179"/>
      <c r="F88" s="179"/>
      <c r="G88" s="179"/>
      <c r="H88" s="179"/>
      <c r="I88" s="179"/>
      <c r="J88" s="179"/>
      <c r="K88" s="179"/>
      <c r="L88" s="179"/>
      <c r="M88" s="179"/>
      <c r="N88" s="179" t="s">
        <v>244</v>
      </c>
      <c r="O88" s="179"/>
      <c r="P88" s="179"/>
      <c r="Q88" s="202">
        <v>49</v>
      </c>
      <c r="R88" s="174"/>
      <c r="S88" s="174"/>
      <c r="T88" s="174"/>
      <c r="U88" s="174"/>
      <c r="V88" s="174"/>
      <c r="W88" s="195">
        <v>19100</v>
      </c>
      <c r="X88" s="174"/>
      <c r="Y88" s="174"/>
      <c r="Z88" s="174"/>
      <c r="AA88" s="174"/>
      <c r="AB88" s="174"/>
      <c r="AC88" s="200">
        <v>935900</v>
      </c>
      <c r="AD88" s="174"/>
      <c r="AE88" s="174"/>
    </row>
    <row r="89" spans="1:31" ht="19.350000000000001" customHeight="1" x14ac:dyDescent="0.2">
      <c r="A89" s="168" t="s">
        <v>259</v>
      </c>
      <c r="B89" s="179" t="s">
        <v>260</v>
      </c>
      <c r="C89" s="179"/>
      <c r="D89" s="179"/>
      <c r="E89" s="179"/>
      <c r="F89" s="179"/>
      <c r="G89" s="179"/>
      <c r="H89" s="179"/>
      <c r="I89" s="179"/>
      <c r="J89" s="179"/>
      <c r="K89" s="179"/>
      <c r="L89" s="179"/>
      <c r="M89" s="179"/>
      <c r="N89" s="179" t="s">
        <v>244</v>
      </c>
      <c r="O89" s="179"/>
      <c r="P89" s="179"/>
      <c r="Q89" s="202">
        <v>49</v>
      </c>
      <c r="R89" s="174"/>
      <c r="S89" s="174"/>
      <c r="T89" s="174"/>
      <c r="U89" s="174"/>
      <c r="V89" s="174"/>
      <c r="W89" s="173">
        <v>4959.5600000000004</v>
      </c>
      <c r="X89" s="174"/>
      <c r="Y89" s="174"/>
      <c r="Z89" s="174"/>
      <c r="AA89" s="174"/>
      <c r="AB89" s="174"/>
      <c r="AC89" s="200">
        <v>243018.44</v>
      </c>
      <c r="AD89" s="174"/>
      <c r="AE89" s="174"/>
    </row>
    <row r="90" spans="1:31" ht="9.6" customHeight="1" x14ac:dyDescent="0.2">
      <c r="A90" s="168" t="s">
        <v>261</v>
      </c>
      <c r="B90" s="179" t="s">
        <v>262</v>
      </c>
      <c r="C90" s="179"/>
      <c r="D90" s="179"/>
      <c r="E90" s="179"/>
      <c r="F90" s="179"/>
      <c r="G90" s="179"/>
      <c r="H90" s="179"/>
      <c r="I90" s="179"/>
      <c r="J90" s="179"/>
      <c r="K90" s="179"/>
      <c r="L90" s="179"/>
      <c r="M90" s="179"/>
      <c r="N90" s="179" t="s">
        <v>244</v>
      </c>
      <c r="O90" s="179"/>
      <c r="P90" s="179"/>
      <c r="Q90" s="202">
        <v>49</v>
      </c>
      <c r="R90" s="174"/>
      <c r="S90" s="174"/>
      <c r="T90" s="174"/>
      <c r="U90" s="174"/>
      <c r="V90" s="174"/>
      <c r="W90" s="191">
        <v>250</v>
      </c>
      <c r="X90" s="174"/>
      <c r="Y90" s="174"/>
      <c r="Z90" s="174"/>
      <c r="AA90" s="174"/>
      <c r="AB90" s="174"/>
      <c r="AC90" s="196">
        <v>12250</v>
      </c>
      <c r="AD90" s="174"/>
      <c r="AE90" s="174"/>
    </row>
    <row r="91" spans="1:31" ht="9.6" customHeight="1" x14ac:dyDescent="0.2">
      <c r="A91" s="168" t="s">
        <v>263</v>
      </c>
      <c r="B91" s="179" t="s">
        <v>264</v>
      </c>
      <c r="C91" s="179"/>
      <c r="D91" s="179"/>
      <c r="E91" s="179"/>
      <c r="F91" s="179"/>
      <c r="G91" s="179"/>
      <c r="H91" s="179"/>
      <c r="I91" s="179"/>
      <c r="J91" s="179"/>
      <c r="K91" s="179"/>
      <c r="L91" s="179"/>
      <c r="M91" s="179"/>
      <c r="N91" s="179" t="s">
        <v>244</v>
      </c>
      <c r="O91" s="179"/>
      <c r="P91" s="179"/>
      <c r="Q91" s="202">
        <v>49</v>
      </c>
      <c r="R91" s="174"/>
      <c r="S91" s="174"/>
      <c r="T91" s="174"/>
      <c r="U91" s="174"/>
      <c r="V91" s="174"/>
      <c r="W91" s="195">
        <v>11340</v>
      </c>
      <c r="X91" s="174"/>
      <c r="Y91" s="174"/>
      <c r="Z91" s="174"/>
      <c r="AA91" s="174"/>
      <c r="AB91" s="174"/>
      <c r="AC91" s="200">
        <v>555660</v>
      </c>
      <c r="AD91" s="174"/>
      <c r="AE91" s="174"/>
    </row>
    <row r="92" spans="1:31" ht="9.6" customHeight="1" x14ac:dyDescent="0.2">
      <c r="A92" s="168" t="s">
        <v>265</v>
      </c>
      <c r="B92" s="179" t="s">
        <v>266</v>
      </c>
      <c r="C92" s="179"/>
      <c r="D92" s="179"/>
      <c r="E92" s="179"/>
      <c r="F92" s="179"/>
      <c r="G92" s="179"/>
      <c r="H92" s="179"/>
      <c r="I92" s="179"/>
      <c r="J92" s="179"/>
      <c r="K92" s="179"/>
      <c r="L92" s="179"/>
      <c r="M92" s="179"/>
      <c r="N92" s="179" t="s">
        <v>267</v>
      </c>
      <c r="O92" s="179"/>
      <c r="P92" s="179"/>
      <c r="Q92" s="173">
        <v>5073.33</v>
      </c>
      <c r="R92" s="174"/>
      <c r="S92" s="174"/>
      <c r="T92" s="174"/>
      <c r="U92" s="174"/>
      <c r="V92" s="174"/>
      <c r="W92" s="202">
        <v>80</v>
      </c>
      <c r="X92" s="174"/>
      <c r="Y92" s="174"/>
      <c r="Z92" s="174"/>
      <c r="AA92" s="174"/>
      <c r="AB92" s="174"/>
      <c r="AC92" s="200">
        <v>405866.4</v>
      </c>
      <c r="AD92" s="174"/>
      <c r="AE92" s="174"/>
    </row>
    <row r="93" spans="1:31" ht="9.6" customHeight="1" x14ac:dyDescent="0.2">
      <c r="A93" s="168" t="s">
        <v>268</v>
      </c>
      <c r="B93" s="179" t="s">
        <v>269</v>
      </c>
      <c r="C93" s="179"/>
      <c r="D93" s="179"/>
      <c r="E93" s="179"/>
      <c r="F93" s="179"/>
      <c r="G93" s="179"/>
      <c r="H93" s="179"/>
      <c r="I93" s="179"/>
      <c r="J93" s="179"/>
      <c r="K93" s="179"/>
      <c r="L93" s="179"/>
      <c r="M93" s="179"/>
      <c r="N93" s="179" t="s">
        <v>244</v>
      </c>
      <c r="O93" s="179"/>
      <c r="P93" s="179"/>
      <c r="Q93" s="202">
        <v>49</v>
      </c>
      <c r="R93" s="174"/>
      <c r="S93" s="174"/>
      <c r="T93" s="174"/>
      <c r="U93" s="174"/>
      <c r="V93" s="174"/>
      <c r="W93" s="173">
        <v>1480.77</v>
      </c>
      <c r="X93" s="174"/>
      <c r="Y93" s="174"/>
      <c r="Z93" s="174"/>
      <c r="AA93" s="174"/>
      <c r="AB93" s="174"/>
      <c r="AC93" s="196">
        <v>72557.73</v>
      </c>
      <c r="AD93" s="174"/>
      <c r="AE93" s="174"/>
    </row>
    <row r="94" spans="1:31" ht="9.6" customHeight="1" x14ac:dyDescent="0.2">
      <c r="A94" s="168" t="s">
        <v>270</v>
      </c>
      <c r="B94" s="179" t="s">
        <v>271</v>
      </c>
      <c r="C94" s="179"/>
      <c r="D94" s="179"/>
      <c r="E94" s="179"/>
      <c r="F94" s="179"/>
      <c r="G94" s="179"/>
      <c r="H94" s="179"/>
      <c r="I94" s="179"/>
      <c r="J94" s="179"/>
      <c r="K94" s="179"/>
      <c r="L94" s="179"/>
      <c r="M94" s="179"/>
      <c r="N94" s="179" t="s">
        <v>112</v>
      </c>
      <c r="O94" s="179"/>
      <c r="P94" s="179"/>
      <c r="Q94" s="180">
        <v>1</v>
      </c>
      <c r="R94" s="174"/>
      <c r="S94" s="174"/>
      <c r="T94" s="174"/>
      <c r="U94" s="174"/>
      <c r="V94" s="174"/>
      <c r="W94" s="195">
        <v>44492.86</v>
      </c>
      <c r="X94" s="174"/>
      <c r="Y94" s="174"/>
      <c r="Z94" s="174"/>
      <c r="AA94" s="174"/>
      <c r="AB94" s="174"/>
      <c r="AC94" s="196">
        <v>44492.86</v>
      </c>
      <c r="AD94" s="174"/>
      <c r="AE94" s="174"/>
    </row>
    <row r="95" spans="1:31" ht="9.6" customHeight="1" x14ac:dyDescent="0.2">
      <c r="A95" s="168" t="s">
        <v>272</v>
      </c>
      <c r="B95" s="179" t="s">
        <v>273</v>
      </c>
      <c r="C95" s="179"/>
      <c r="D95" s="179"/>
      <c r="E95" s="179"/>
      <c r="F95" s="179"/>
      <c r="G95" s="179"/>
      <c r="H95" s="179"/>
      <c r="I95" s="179"/>
      <c r="J95" s="179"/>
      <c r="K95" s="179"/>
      <c r="L95" s="179"/>
      <c r="M95" s="179"/>
      <c r="N95" s="179" t="s">
        <v>112</v>
      </c>
      <c r="O95" s="179"/>
      <c r="P95" s="179"/>
      <c r="Q95" s="180">
        <v>1</v>
      </c>
      <c r="R95" s="174"/>
      <c r="S95" s="174"/>
      <c r="T95" s="174"/>
      <c r="U95" s="174"/>
      <c r="V95" s="174"/>
      <c r="W95" s="195">
        <v>34225.269999999997</v>
      </c>
      <c r="X95" s="174"/>
      <c r="Y95" s="174"/>
      <c r="Z95" s="174"/>
      <c r="AA95" s="174"/>
      <c r="AB95" s="174"/>
      <c r="AC95" s="196">
        <v>34225.269999999997</v>
      </c>
      <c r="AD95" s="174"/>
      <c r="AE95" s="174"/>
    </row>
    <row r="96" spans="1:31" ht="9.6" customHeight="1" x14ac:dyDescent="0.2">
      <c r="A96" s="168" t="s">
        <v>274</v>
      </c>
      <c r="B96" s="179" t="s">
        <v>275</v>
      </c>
      <c r="C96" s="179"/>
      <c r="D96" s="179"/>
      <c r="E96" s="179"/>
      <c r="F96" s="179"/>
      <c r="G96" s="179"/>
      <c r="H96" s="179"/>
      <c r="I96" s="179"/>
      <c r="J96" s="179"/>
      <c r="K96" s="179"/>
      <c r="L96" s="179"/>
      <c r="M96" s="179"/>
      <c r="N96" s="179" t="s">
        <v>112</v>
      </c>
      <c r="O96" s="179"/>
      <c r="P96" s="179"/>
      <c r="Q96" s="180">
        <v>1</v>
      </c>
      <c r="R96" s="174"/>
      <c r="S96" s="174"/>
      <c r="T96" s="174"/>
      <c r="U96" s="174"/>
      <c r="V96" s="174"/>
      <c r="W96" s="199">
        <v>196503.54</v>
      </c>
      <c r="X96" s="174"/>
      <c r="Y96" s="174"/>
      <c r="Z96" s="174"/>
      <c r="AA96" s="174"/>
      <c r="AB96" s="174"/>
      <c r="AC96" s="200">
        <v>196503.54</v>
      </c>
      <c r="AD96" s="174"/>
      <c r="AE96" s="174"/>
    </row>
    <row r="97" spans="1:31" ht="9.6" customHeight="1" x14ac:dyDescent="0.2">
      <c r="A97" s="168" t="s">
        <v>276</v>
      </c>
      <c r="B97" s="179" t="s">
        <v>277</v>
      </c>
      <c r="C97" s="179"/>
      <c r="D97" s="179"/>
      <c r="E97" s="179"/>
      <c r="F97" s="179"/>
      <c r="G97" s="179"/>
      <c r="H97" s="179"/>
      <c r="I97" s="179"/>
      <c r="J97" s="179"/>
      <c r="K97" s="179"/>
      <c r="L97" s="179"/>
      <c r="M97" s="179"/>
      <c r="N97" s="179" t="s">
        <v>244</v>
      </c>
      <c r="O97" s="179"/>
      <c r="P97" s="179"/>
      <c r="Q97" s="202">
        <v>49</v>
      </c>
      <c r="R97" s="174"/>
      <c r="S97" s="174"/>
      <c r="T97" s="174"/>
      <c r="U97" s="174"/>
      <c r="V97" s="174"/>
      <c r="W97" s="173">
        <v>3814.9</v>
      </c>
      <c r="X97" s="174"/>
      <c r="Y97" s="174"/>
      <c r="Z97" s="174"/>
      <c r="AA97" s="174"/>
      <c r="AB97" s="174"/>
      <c r="AC97" s="200">
        <v>186930.1</v>
      </c>
      <c r="AD97" s="174"/>
      <c r="AE97" s="174"/>
    </row>
    <row r="98" spans="1:31" ht="9.6" customHeight="1" x14ac:dyDescent="0.2">
      <c r="A98" s="168" t="s">
        <v>278</v>
      </c>
      <c r="B98" s="179" t="s">
        <v>279</v>
      </c>
      <c r="C98" s="179"/>
      <c r="D98" s="179"/>
      <c r="E98" s="179"/>
      <c r="F98" s="179"/>
      <c r="G98" s="179"/>
      <c r="H98" s="179"/>
      <c r="I98" s="179"/>
      <c r="J98" s="179"/>
      <c r="K98" s="179"/>
      <c r="L98" s="179"/>
      <c r="M98" s="179"/>
      <c r="N98" s="179" t="s">
        <v>244</v>
      </c>
      <c r="O98" s="179"/>
      <c r="P98" s="179"/>
      <c r="Q98" s="202">
        <v>49</v>
      </c>
      <c r="R98" s="174"/>
      <c r="S98" s="174"/>
      <c r="T98" s="174"/>
      <c r="U98" s="174"/>
      <c r="V98" s="174"/>
      <c r="W98" s="173">
        <v>3052.11</v>
      </c>
      <c r="X98" s="174"/>
      <c r="Y98" s="174"/>
      <c r="Z98" s="174"/>
      <c r="AA98" s="174"/>
      <c r="AB98" s="174"/>
      <c r="AC98" s="200">
        <v>149553.39000000001</v>
      </c>
      <c r="AD98" s="174"/>
      <c r="AE98" s="174"/>
    </row>
    <row r="99" spans="1:31" ht="9.6" customHeight="1" x14ac:dyDescent="0.2">
      <c r="A99" s="168" t="s">
        <v>280</v>
      </c>
      <c r="B99" s="179" t="s">
        <v>281</v>
      </c>
      <c r="C99" s="179"/>
      <c r="D99" s="179"/>
      <c r="E99" s="179"/>
      <c r="F99" s="179"/>
      <c r="G99" s="179"/>
      <c r="H99" s="179"/>
      <c r="I99" s="179"/>
      <c r="J99" s="179"/>
      <c r="K99" s="179"/>
      <c r="L99" s="179"/>
      <c r="M99" s="179"/>
      <c r="N99" s="179" t="s">
        <v>244</v>
      </c>
      <c r="O99" s="179"/>
      <c r="P99" s="179"/>
      <c r="Q99" s="202">
        <v>49</v>
      </c>
      <c r="R99" s="174"/>
      <c r="S99" s="174"/>
      <c r="T99" s="174"/>
      <c r="U99" s="174"/>
      <c r="V99" s="174"/>
      <c r="W99" s="173">
        <v>2671.19</v>
      </c>
      <c r="X99" s="174"/>
      <c r="Y99" s="174"/>
      <c r="Z99" s="174"/>
      <c r="AA99" s="174"/>
      <c r="AB99" s="174"/>
      <c r="AC99" s="200">
        <v>130888.31</v>
      </c>
      <c r="AD99" s="174"/>
      <c r="AE99" s="174"/>
    </row>
    <row r="100" spans="1:31" ht="9.6" customHeight="1" x14ac:dyDescent="0.2">
      <c r="A100" s="168" t="s">
        <v>282</v>
      </c>
      <c r="B100" s="179" t="s">
        <v>283</v>
      </c>
      <c r="C100" s="179"/>
      <c r="D100" s="179"/>
      <c r="E100" s="179"/>
      <c r="F100" s="179"/>
      <c r="G100" s="179"/>
      <c r="H100" s="179"/>
      <c r="I100" s="179"/>
      <c r="J100" s="179"/>
      <c r="K100" s="179"/>
      <c r="L100" s="179"/>
      <c r="M100" s="179"/>
      <c r="N100" s="179" t="s">
        <v>244</v>
      </c>
      <c r="O100" s="179"/>
      <c r="P100" s="179"/>
      <c r="Q100" s="202">
        <v>49</v>
      </c>
      <c r="R100" s="174"/>
      <c r="S100" s="174"/>
      <c r="T100" s="174"/>
      <c r="U100" s="174"/>
      <c r="V100" s="174"/>
      <c r="W100" s="173">
        <v>1410.01</v>
      </c>
      <c r="X100" s="174"/>
      <c r="Y100" s="174"/>
      <c r="Z100" s="174"/>
      <c r="AA100" s="174"/>
      <c r="AB100" s="174"/>
      <c r="AC100" s="196">
        <v>69090.490000000005</v>
      </c>
      <c r="AD100" s="174"/>
      <c r="AE100" s="174"/>
    </row>
    <row r="101" spans="1:31" ht="9.6" customHeight="1" x14ac:dyDescent="0.2">
      <c r="A101" s="168" t="s">
        <v>284</v>
      </c>
      <c r="B101" s="179" t="s">
        <v>285</v>
      </c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 t="s">
        <v>112</v>
      </c>
      <c r="O101" s="179"/>
      <c r="P101" s="179"/>
      <c r="Q101" s="180">
        <v>1</v>
      </c>
      <c r="R101" s="174"/>
      <c r="S101" s="174"/>
      <c r="T101" s="174"/>
      <c r="U101" s="174"/>
      <c r="V101" s="174"/>
      <c r="W101" s="195">
        <v>12000</v>
      </c>
      <c r="X101" s="174"/>
      <c r="Y101" s="174"/>
      <c r="Z101" s="174"/>
      <c r="AA101" s="174"/>
      <c r="AB101" s="174"/>
      <c r="AC101" s="196">
        <v>12000</v>
      </c>
      <c r="AD101" s="174"/>
      <c r="AE101" s="174"/>
    </row>
    <row r="102" spans="1:31" ht="9.6" customHeight="1" x14ac:dyDescent="0.2">
      <c r="A102" s="168" t="s">
        <v>286</v>
      </c>
      <c r="B102" s="179" t="s">
        <v>287</v>
      </c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 t="s">
        <v>112</v>
      </c>
      <c r="O102" s="179"/>
      <c r="P102" s="179"/>
      <c r="Q102" s="180">
        <v>1</v>
      </c>
      <c r="R102" s="174"/>
      <c r="S102" s="174"/>
      <c r="T102" s="174"/>
      <c r="U102" s="174"/>
      <c r="V102" s="174"/>
      <c r="W102" s="173">
        <v>4500</v>
      </c>
      <c r="X102" s="174"/>
      <c r="Y102" s="174"/>
      <c r="Z102" s="174"/>
      <c r="AA102" s="174"/>
      <c r="AB102" s="174"/>
      <c r="AC102" s="201">
        <v>4500</v>
      </c>
      <c r="AD102" s="174"/>
      <c r="AE102" s="174"/>
    </row>
    <row r="103" spans="1:31" ht="9.75" customHeight="1" x14ac:dyDescent="0.2">
      <c r="A103" s="167" t="s">
        <v>288</v>
      </c>
      <c r="B103" s="176" t="s">
        <v>289</v>
      </c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7"/>
      <c r="R103" s="177"/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8">
        <v>2135751.21</v>
      </c>
      <c r="AD103" s="177"/>
      <c r="AE103" s="177"/>
    </row>
    <row r="104" spans="1:31" ht="9.6" customHeight="1" x14ac:dyDescent="0.2">
      <c r="A104" s="168" t="s">
        <v>290</v>
      </c>
      <c r="B104" s="179" t="s">
        <v>291</v>
      </c>
      <c r="C104" s="179"/>
      <c r="D104" s="179"/>
      <c r="E104" s="179"/>
      <c r="F104" s="179"/>
      <c r="G104" s="179"/>
      <c r="H104" s="179"/>
      <c r="I104" s="179"/>
      <c r="J104" s="179"/>
      <c r="K104" s="179"/>
      <c r="L104" s="179"/>
      <c r="M104" s="179"/>
      <c r="N104" s="179" t="s">
        <v>112</v>
      </c>
      <c r="O104" s="179"/>
      <c r="P104" s="179"/>
      <c r="Q104" s="180">
        <v>1</v>
      </c>
      <c r="R104" s="174"/>
      <c r="S104" s="174"/>
      <c r="T104" s="174"/>
      <c r="U104" s="174"/>
      <c r="V104" s="174"/>
      <c r="W104" s="195">
        <v>24730.92</v>
      </c>
      <c r="X104" s="174"/>
      <c r="Y104" s="174"/>
      <c r="Z104" s="174"/>
      <c r="AA104" s="174"/>
      <c r="AB104" s="174"/>
      <c r="AC104" s="196">
        <v>24730.92</v>
      </c>
      <c r="AD104" s="174"/>
      <c r="AE104" s="174"/>
    </row>
    <row r="105" spans="1:31" ht="9.6" customHeight="1" x14ac:dyDescent="0.2">
      <c r="A105" s="168" t="s">
        <v>292</v>
      </c>
      <c r="B105" s="179" t="s">
        <v>293</v>
      </c>
      <c r="C105" s="179"/>
      <c r="D105" s="179"/>
      <c r="E105" s="179"/>
      <c r="F105" s="179"/>
      <c r="G105" s="179"/>
      <c r="H105" s="179"/>
      <c r="I105" s="179"/>
      <c r="J105" s="179"/>
      <c r="K105" s="179"/>
      <c r="L105" s="179"/>
      <c r="M105" s="179"/>
      <c r="N105" s="179" t="s">
        <v>223</v>
      </c>
      <c r="O105" s="179"/>
      <c r="P105" s="179"/>
      <c r="Q105" s="191">
        <v>386</v>
      </c>
      <c r="R105" s="174"/>
      <c r="S105" s="174"/>
      <c r="T105" s="174"/>
      <c r="U105" s="174"/>
      <c r="V105" s="174"/>
      <c r="W105" s="191">
        <v>408.8116</v>
      </c>
      <c r="X105" s="174"/>
      <c r="Y105" s="174"/>
      <c r="Z105" s="174"/>
      <c r="AA105" s="174"/>
      <c r="AB105" s="174"/>
      <c r="AC105" s="200">
        <v>157801.28</v>
      </c>
      <c r="AD105" s="174"/>
      <c r="AE105" s="174"/>
    </row>
    <row r="106" spans="1:31" ht="9.6" customHeight="1" x14ac:dyDescent="0.2">
      <c r="A106" s="168" t="s">
        <v>294</v>
      </c>
      <c r="B106" s="179" t="s">
        <v>295</v>
      </c>
      <c r="C106" s="179"/>
      <c r="D106" s="179"/>
      <c r="E106" s="179"/>
      <c r="F106" s="179"/>
      <c r="G106" s="179"/>
      <c r="H106" s="179"/>
      <c r="I106" s="179"/>
      <c r="J106" s="179"/>
      <c r="K106" s="179"/>
      <c r="L106" s="179"/>
      <c r="M106" s="179"/>
      <c r="N106" s="179" t="s">
        <v>223</v>
      </c>
      <c r="O106" s="179"/>
      <c r="P106" s="179"/>
      <c r="Q106" s="191">
        <v>615.12</v>
      </c>
      <c r="R106" s="174"/>
      <c r="S106" s="174"/>
      <c r="T106" s="174"/>
      <c r="U106" s="174"/>
      <c r="V106" s="174"/>
      <c r="W106" s="191">
        <v>103.50879999999999</v>
      </c>
      <c r="X106" s="174"/>
      <c r="Y106" s="174"/>
      <c r="Z106" s="174"/>
      <c r="AA106" s="174"/>
      <c r="AB106" s="174"/>
      <c r="AC106" s="196">
        <v>63670.33</v>
      </c>
      <c r="AD106" s="174"/>
      <c r="AE106" s="174"/>
    </row>
    <row r="107" spans="1:31" ht="9.6" customHeight="1" x14ac:dyDescent="0.2">
      <c r="A107" s="168" t="s">
        <v>296</v>
      </c>
      <c r="B107" s="179" t="s">
        <v>297</v>
      </c>
      <c r="C107" s="179"/>
      <c r="D107" s="179"/>
      <c r="E107" s="179"/>
      <c r="F107" s="179"/>
      <c r="G107" s="179"/>
      <c r="H107" s="179"/>
      <c r="I107" s="179"/>
      <c r="J107" s="179"/>
      <c r="K107" s="179"/>
      <c r="L107" s="179"/>
      <c r="M107" s="179"/>
      <c r="N107" s="179" t="s">
        <v>220</v>
      </c>
      <c r="O107" s="179"/>
      <c r="P107" s="179"/>
      <c r="Q107" s="195">
        <v>11510.52</v>
      </c>
      <c r="R107" s="174"/>
      <c r="S107" s="174"/>
      <c r="T107" s="174"/>
      <c r="U107" s="174"/>
      <c r="V107" s="174"/>
      <c r="W107" s="202">
        <v>11.241199999999999</v>
      </c>
      <c r="X107" s="174"/>
      <c r="Y107" s="174"/>
      <c r="Z107" s="174"/>
      <c r="AA107" s="174"/>
      <c r="AB107" s="174"/>
      <c r="AC107" s="200">
        <v>129392.06</v>
      </c>
      <c r="AD107" s="174"/>
      <c r="AE107" s="174"/>
    </row>
    <row r="108" spans="1:31" ht="9.6" customHeight="1" x14ac:dyDescent="0.2">
      <c r="A108" s="168" t="s">
        <v>298</v>
      </c>
      <c r="B108" s="179" t="s">
        <v>299</v>
      </c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179"/>
      <c r="N108" s="179" t="s">
        <v>223</v>
      </c>
      <c r="O108" s="179"/>
      <c r="P108" s="179"/>
      <c r="Q108" s="191">
        <v>386</v>
      </c>
      <c r="R108" s="174"/>
      <c r="S108" s="174"/>
      <c r="T108" s="174"/>
      <c r="U108" s="174"/>
      <c r="V108" s="174"/>
      <c r="W108" s="173">
        <v>1968.75</v>
      </c>
      <c r="X108" s="174"/>
      <c r="Y108" s="174"/>
      <c r="Z108" s="174"/>
      <c r="AA108" s="174"/>
      <c r="AB108" s="174"/>
      <c r="AC108" s="200">
        <v>759937.5</v>
      </c>
      <c r="AD108" s="174"/>
      <c r="AE108" s="174"/>
    </row>
    <row r="109" spans="1:31" ht="9.6" customHeight="1" x14ac:dyDescent="0.2">
      <c r="A109" s="168" t="s">
        <v>300</v>
      </c>
      <c r="B109" s="179" t="s">
        <v>301</v>
      </c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 t="s">
        <v>223</v>
      </c>
      <c r="O109" s="179"/>
      <c r="P109" s="179"/>
      <c r="Q109" s="173">
        <v>1544</v>
      </c>
      <c r="R109" s="174"/>
      <c r="S109" s="174"/>
      <c r="T109" s="174"/>
      <c r="U109" s="174"/>
      <c r="V109" s="174"/>
      <c r="W109" s="191">
        <v>486</v>
      </c>
      <c r="X109" s="174"/>
      <c r="Y109" s="174"/>
      <c r="Z109" s="174"/>
      <c r="AA109" s="174"/>
      <c r="AB109" s="174"/>
      <c r="AC109" s="200">
        <v>750384</v>
      </c>
      <c r="AD109" s="174"/>
      <c r="AE109" s="174"/>
    </row>
    <row r="110" spans="1:31" ht="9.6" customHeight="1" x14ac:dyDescent="0.2">
      <c r="A110" s="168" t="s">
        <v>302</v>
      </c>
      <c r="B110" s="179" t="s">
        <v>303</v>
      </c>
      <c r="C110" s="179"/>
      <c r="D110" s="179"/>
      <c r="E110" s="179"/>
      <c r="F110" s="179"/>
      <c r="G110" s="179"/>
      <c r="H110" s="179"/>
      <c r="I110" s="179"/>
      <c r="J110" s="179"/>
      <c r="K110" s="179"/>
      <c r="L110" s="179"/>
      <c r="M110" s="179"/>
      <c r="N110" s="179" t="s">
        <v>220</v>
      </c>
      <c r="O110" s="179"/>
      <c r="P110" s="179"/>
      <c r="Q110" s="191">
        <v>237.6</v>
      </c>
      <c r="R110" s="174"/>
      <c r="S110" s="174"/>
      <c r="T110" s="174"/>
      <c r="U110" s="174"/>
      <c r="V110" s="174"/>
      <c r="W110" s="202">
        <v>47.159599999999998</v>
      </c>
      <c r="X110" s="174"/>
      <c r="Y110" s="174"/>
      <c r="Z110" s="174"/>
      <c r="AA110" s="174"/>
      <c r="AB110" s="174"/>
      <c r="AC110" s="196">
        <v>11205.12</v>
      </c>
      <c r="AD110" s="174"/>
      <c r="AE110" s="174"/>
    </row>
    <row r="111" spans="1:31" ht="9.6" customHeight="1" x14ac:dyDescent="0.2">
      <c r="A111" s="168" t="s">
        <v>304</v>
      </c>
      <c r="B111" s="179" t="s">
        <v>305</v>
      </c>
      <c r="C111" s="179"/>
      <c r="D111" s="179"/>
      <c r="E111" s="179"/>
      <c r="F111" s="179"/>
      <c r="G111" s="179"/>
      <c r="H111" s="179"/>
      <c r="I111" s="179"/>
      <c r="J111" s="179"/>
      <c r="K111" s="179"/>
      <c r="L111" s="179"/>
      <c r="M111" s="179"/>
      <c r="N111" s="179" t="s">
        <v>244</v>
      </c>
      <c r="O111" s="179"/>
      <c r="P111" s="179"/>
      <c r="Q111" s="202">
        <v>49</v>
      </c>
      <c r="R111" s="174"/>
      <c r="S111" s="174"/>
      <c r="T111" s="174"/>
      <c r="U111" s="174"/>
      <c r="V111" s="174"/>
      <c r="W111" s="173">
        <v>4870</v>
      </c>
      <c r="X111" s="174"/>
      <c r="Y111" s="174"/>
      <c r="Z111" s="174"/>
      <c r="AA111" s="174"/>
      <c r="AB111" s="174"/>
      <c r="AC111" s="200">
        <v>238630</v>
      </c>
      <c r="AD111" s="174"/>
      <c r="AE111" s="174"/>
    </row>
    <row r="112" spans="1:31" ht="9.75" customHeight="1" x14ac:dyDescent="0.2">
      <c r="A112" s="167" t="s">
        <v>306</v>
      </c>
      <c r="B112" s="176" t="s">
        <v>307</v>
      </c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7"/>
      <c r="R112" s="177"/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98">
        <v>492058</v>
      </c>
      <c r="AD112" s="177"/>
      <c r="AE112" s="177"/>
    </row>
    <row r="113" spans="1:31" ht="9.6" customHeight="1" x14ac:dyDescent="0.2">
      <c r="A113" s="168" t="s">
        <v>308</v>
      </c>
      <c r="B113" s="179" t="s">
        <v>307</v>
      </c>
      <c r="C113" s="179"/>
      <c r="D113" s="179"/>
      <c r="E113" s="179"/>
      <c r="F113" s="179"/>
      <c r="G113" s="179"/>
      <c r="H113" s="179"/>
      <c r="I113" s="179"/>
      <c r="J113" s="179"/>
      <c r="K113" s="179"/>
      <c r="L113" s="179"/>
      <c r="M113" s="179"/>
      <c r="N113" s="179" t="s">
        <v>244</v>
      </c>
      <c r="O113" s="179"/>
      <c r="P113" s="179"/>
      <c r="Q113" s="202">
        <v>49</v>
      </c>
      <c r="R113" s="174"/>
      <c r="S113" s="174"/>
      <c r="T113" s="174"/>
      <c r="U113" s="174"/>
      <c r="V113" s="174"/>
      <c r="W113" s="195">
        <v>10042</v>
      </c>
      <c r="X113" s="174"/>
      <c r="Y113" s="174"/>
      <c r="Z113" s="174"/>
      <c r="AA113" s="174"/>
      <c r="AB113" s="174"/>
      <c r="AC113" s="200">
        <v>492058</v>
      </c>
      <c r="AD113" s="174"/>
      <c r="AE113" s="174"/>
    </row>
    <row r="114" spans="1:31" ht="9.75" customHeight="1" x14ac:dyDescent="0.2">
      <c r="A114" s="167" t="s">
        <v>309</v>
      </c>
      <c r="B114" s="176" t="s">
        <v>310</v>
      </c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7"/>
      <c r="R114" s="177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8">
        <v>6227298.4800000004</v>
      </c>
      <c r="AD114" s="177"/>
      <c r="AE114" s="177"/>
    </row>
    <row r="115" spans="1:31" ht="9.6" customHeight="1" x14ac:dyDescent="0.2">
      <c r="A115" s="168" t="s">
        <v>311</v>
      </c>
      <c r="B115" s="179" t="s">
        <v>312</v>
      </c>
      <c r="C115" s="179"/>
      <c r="D115" s="179"/>
      <c r="E115" s="179"/>
      <c r="F115" s="179"/>
      <c r="G115" s="179"/>
      <c r="H115" s="179"/>
      <c r="I115" s="179"/>
      <c r="J115" s="179"/>
      <c r="K115" s="179"/>
      <c r="L115" s="179"/>
      <c r="M115" s="179"/>
      <c r="N115" s="179" t="s">
        <v>112</v>
      </c>
      <c r="O115" s="179"/>
      <c r="P115" s="179"/>
      <c r="Q115" s="180">
        <v>1</v>
      </c>
      <c r="R115" s="174"/>
      <c r="S115" s="174"/>
      <c r="T115" s="174"/>
      <c r="U115" s="174"/>
      <c r="V115" s="174"/>
      <c r="W115" s="195">
        <v>95500</v>
      </c>
      <c r="X115" s="174"/>
      <c r="Y115" s="174"/>
      <c r="Z115" s="174"/>
      <c r="AA115" s="174"/>
      <c r="AB115" s="174"/>
      <c r="AC115" s="196">
        <v>95500</v>
      </c>
      <c r="AD115" s="174"/>
      <c r="AE115" s="174"/>
    </row>
    <row r="116" spans="1:31" ht="9.6" customHeight="1" x14ac:dyDescent="0.2">
      <c r="A116" s="168" t="s">
        <v>313</v>
      </c>
      <c r="B116" s="179" t="s">
        <v>314</v>
      </c>
      <c r="C116" s="179"/>
      <c r="D116" s="179"/>
      <c r="E116" s="179"/>
      <c r="F116" s="179"/>
      <c r="G116" s="179"/>
      <c r="H116" s="179"/>
      <c r="I116" s="179"/>
      <c r="J116" s="179"/>
      <c r="K116" s="179"/>
      <c r="L116" s="179"/>
      <c r="M116" s="179"/>
      <c r="N116" s="179" t="s">
        <v>112</v>
      </c>
      <c r="O116" s="179"/>
      <c r="P116" s="179"/>
      <c r="Q116" s="180">
        <v>1</v>
      </c>
      <c r="R116" s="174"/>
      <c r="S116" s="174"/>
      <c r="T116" s="174"/>
      <c r="U116" s="174"/>
      <c r="V116" s="174"/>
      <c r="W116" s="199">
        <v>146400</v>
      </c>
      <c r="X116" s="174"/>
      <c r="Y116" s="174"/>
      <c r="Z116" s="174"/>
      <c r="AA116" s="174"/>
      <c r="AB116" s="174"/>
      <c r="AC116" s="200">
        <v>146400</v>
      </c>
      <c r="AD116" s="174"/>
      <c r="AE116" s="174"/>
    </row>
    <row r="117" spans="1:31" ht="9.6" customHeight="1" x14ac:dyDescent="0.2">
      <c r="A117" s="168" t="s">
        <v>315</v>
      </c>
      <c r="B117" s="179" t="s">
        <v>316</v>
      </c>
      <c r="C117" s="179"/>
      <c r="D117" s="179"/>
      <c r="E117" s="179"/>
      <c r="F117" s="179"/>
      <c r="G117" s="179"/>
      <c r="H117" s="179"/>
      <c r="I117" s="179"/>
      <c r="J117" s="179"/>
      <c r="K117" s="179"/>
      <c r="L117" s="179"/>
      <c r="M117" s="179"/>
      <c r="N117" s="179" t="s">
        <v>244</v>
      </c>
      <c r="O117" s="179"/>
      <c r="P117" s="179"/>
      <c r="Q117" s="202">
        <v>49</v>
      </c>
      <c r="R117" s="174"/>
      <c r="S117" s="174"/>
      <c r="T117" s="174"/>
      <c r="U117" s="174"/>
      <c r="V117" s="174"/>
      <c r="W117" s="195">
        <v>31811.19</v>
      </c>
      <c r="X117" s="174"/>
      <c r="Y117" s="174"/>
      <c r="Z117" s="174"/>
      <c r="AA117" s="174"/>
      <c r="AB117" s="174"/>
      <c r="AC117" s="175">
        <v>1558748.31</v>
      </c>
      <c r="AD117" s="174"/>
      <c r="AE117" s="174"/>
    </row>
    <row r="118" spans="1:31" ht="9.6" customHeight="1" x14ac:dyDescent="0.2">
      <c r="A118" s="168" t="s">
        <v>317</v>
      </c>
      <c r="B118" s="179" t="s">
        <v>318</v>
      </c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79"/>
      <c r="N118" s="179" t="s">
        <v>244</v>
      </c>
      <c r="O118" s="179"/>
      <c r="P118" s="179"/>
      <c r="Q118" s="202">
        <v>49</v>
      </c>
      <c r="R118" s="174"/>
      <c r="S118" s="174"/>
      <c r="T118" s="174"/>
      <c r="U118" s="174"/>
      <c r="V118" s="174"/>
      <c r="W118" s="195">
        <v>22918.1</v>
      </c>
      <c r="X118" s="174"/>
      <c r="Y118" s="174"/>
      <c r="Z118" s="174"/>
      <c r="AA118" s="174"/>
      <c r="AB118" s="174"/>
      <c r="AC118" s="175">
        <v>1122986.8999999999</v>
      </c>
      <c r="AD118" s="174"/>
      <c r="AE118" s="174"/>
    </row>
    <row r="119" spans="1:31" ht="9.6" customHeight="1" x14ac:dyDescent="0.2">
      <c r="A119" s="168" t="s">
        <v>319</v>
      </c>
      <c r="B119" s="179" t="s">
        <v>320</v>
      </c>
      <c r="C119" s="179"/>
      <c r="D119" s="179"/>
      <c r="E119" s="179"/>
      <c r="F119" s="179"/>
      <c r="G119" s="179"/>
      <c r="H119" s="179"/>
      <c r="I119" s="179"/>
      <c r="J119" s="179"/>
      <c r="K119" s="179"/>
      <c r="L119" s="179"/>
      <c r="M119" s="179"/>
      <c r="N119" s="179" t="s">
        <v>244</v>
      </c>
      <c r="O119" s="179"/>
      <c r="P119" s="179"/>
      <c r="Q119" s="202">
        <v>49</v>
      </c>
      <c r="R119" s="174"/>
      <c r="S119" s="174"/>
      <c r="T119" s="174"/>
      <c r="U119" s="174"/>
      <c r="V119" s="174"/>
      <c r="W119" s="173">
        <v>7284.92</v>
      </c>
      <c r="X119" s="174"/>
      <c r="Y119" s="174"/>
      <c r="Z119" s="174"/>
      <c r="AA119" s="174"/>
      <c r="AB119" s="174"/>
      <c r="AC119" s="200">
        <v>356961.08</v>
      </c>
      <c r="AD119" s="174"/>
      <c r="AE119" s="174"/>
    </row>
    <row r="120" spans="1:31" ht="9.6" customHeight="1" x14ac:dyDescent="0.2">
      <c r="A120" s="168" t="s">
        <v>321</v>
      </c>
      <c r="B120" s="179" t="s">
        <v>322</v>
      </c>
      <c r="C120" s="179"/>
      <c r="D120" s="179"/>
      <c r="E120" s="179"/>
      <c r="F120" s="179"/>
      <c r="G120" s="179"/>
      <c r="H120" s="179"/>
      <c r="I120" s="179"/>
      <c r="J120" s="179"/>
      <c r="K120" s="179"/>
      <c r="L120" s="179"/>
      <c r="M120" s="179"/>
      <c r="N120" s="179" t="s">
        <v>244</v>
      </c>
      <c r="O120" s="179"/>
      <c r="P120" s="179"/>
      <c r="Q120" s="202">
        <v>49</v>
      </c>
      <c r="R120" s="174"/>
      <c r="S120" s="174"/>
      <c r="T120" s="174"/>
      <c r="U120" s="174"/>
      <c r="V120" s="174"/>
      <c r="W120" s="173">
        <v>7061.69</v>
      </c>
      <c r="X120" s="174"/>
      <c r="Y120" s="174"/>
      <c r="Z120" s="174"/>
      <c r="AA120" s="174"/>
      <c r="AB120" s="174"/>
      <c r="AC120" s="200">
        <v>346022.81</v>
      </c>
      <c r="AD120" s="174"/>
      <c r="AE120" s="174"/>
    </row>
    <row r="121" spans="1:31" ht="9.6" customHeight="1" x14ac:dyDescent="0.2">
      <c r="A121" s="168" t="s">
        <v>323</v>
      </c>
      <c r="B121" s="179" t="s">
        <v>324</v>
      </c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 t="s">
        <v>244</v>
      </c>
      <c r="O121" s="179"/>
      <c r="P121" s="179"/>
      <c r="Q121" s="202">
        <v>49</v>
      </c>
      <c r="R121" s="174"/>
      <c r="S121" s="174"/>
      <c r="T121" s="174"/>
      <c r="U121" s="174"/>
      <c r="V121" s="174"/>
      <c r="W121" s="173">
        <v>7264.76</v>
      </c>
      <c r="X121" s="174"/>
      <c r="Y121" s="174"/>
      <c r="Z121" s="174"/>
      <c r="AA121" s="174"/>
      <c r="AB121" s="174"/>
      <c r="AC121" s="200">
        <v>355973.24</v>
      </c>
      <c r="AD121" s="174"/>
      <c r="AE121" s="174"/>
    </row>
    <row r="122" spans="1:31" ht="9.6" customHeight="1" x14ac:dyDescent="0.2">
      <c r="A122" s="168" t="s">
        <v>325</v>
      </c>
      <c r="B122" s="179" t="s">
        <v>326</v>
      </c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 t="s">
        <v>244</v>
      </c>
      <c r="O122" s="179"/>
      <c r="P122" s="179"/>
      <c r="Q122" s="202">
        <v>24</v>
      </c>
      <c r="R122" s="174"/>
      <c r="S122" s="174"/>
      <c r="T122" s="174"/>
      <c r="U122" s="174"/>
      <c r="V122" s="174"/>
      <c r="W122" s="173">
        <v>5557.2</v>
      </c>
      <c r="X122" s="174"/>
      <c r="Y122" s="174"/>
      <c r="Z122" s="174"/>
      <c r="AA122" s="174"/>
      <c r="AB122" s="174"/>
      <c r="AC122" s="200">
        <v>133372.79999999999</v>
      </c>
      <c r="AD122" s="174"/>
      <c r="AE122" s="174"/>
    </row>
    <row r="123" spans="1:31" ht="9.6" customHeight="1" x14ac:dyDescent="0.2">
      <c r="A123" s="168" t="s">
        <v>327</v>
      </c>
      <c r="B123" s="179" t="s">
        <v>326</v>
      </c>
      <c r="C123" s="179"/>
      <c r="D123" s="179"/>
      <c r="E123" s="179"/>
      <c r="F123" s="179"/>
      <c r="G123" s="179"/>
      <c r="H123" s="179"/>
      <c r="I123" s="179"/>
      <c r="J123" s="179"/>
      <c r="K123" s="179"/>
      <c r="L123" s="179"/>
      <c r="M123" s="179"/>
      <c r="N123" s="179" t="s">
        <v>244</v>
      </c>
      <c r="O123" s="179"/>
      <c r="P123" s="179"/>
      <c r="Q123" s="202">
        <v>28</v>
      </c>
      <c r="R123" s="174"/>
      <c r="S123" s="174"/>
      <c r="T123" s="174"/>
      <c r="U123" s="174"/>
      <c r="V123" s="174"/>
      <c r="W123" s="173">
        <v>5557.2</v>
      </c>
      <c r="X123" s="174"/>
      <c r="Y123" s="174"/>
      <c r="Z123" s="174"/>
      <c r="AA123" s="174"/>
      <c r="AB123" s="174"/>
      <c r="AC123" s="200">
        <v>155601.60000000001</v>
      </c>
      <c r="AD123" s="174"/>
      <c r="AE123" s="174"/>
    </row>
    <row r="124" spans="1:31" ht="9.6" customHeight="1" x14ac:dyDescent="0.2">
      <c r="A124" s="168" t="s">
        <v>328</v>
      </c>
      <c r="B124" s="179" t="s">
        <v>329</v>
      </c>
      <c r="C124" s="179"/>
      <c r="D124" s="179"/>
      <c r="E124" s="179"/>
      <c r="F124" s="179"/>
      <c r="G124" s="179"/>
      <c r="H124" s="179"/>
      <c r="I124" s="179"/>
      <c r="J124" s="179"/>
      <c r="K124" s="179"/>
      <c r="L124" s="179"/>
      <c r="M124" s="179"/>
      <c r="N124" s="179" t="s">
        <v>244</v>
      </c>
      <c r="O124" s="179"/>
      <c r="P124" s="179"/>
      <c r="Q124" s="202">
        <v>35</v>
      </c>
      <c r="R124" s="174"/>
      <c r="S124" s="174"/>
      <c r="T124" s="174"/>
      <c r="U124" s="174"/>
      <c r="V124" s="174"/>
      <c r="W124" s="173">
        <v>8739.7199999999993</v>
      </c>
      <c r="X124" s="174"/>
      <c r="Y124" s="174"/>
      <c r="Z124" s="174"/>
      <c r="AA124" s="174"/>
      <c r="AB124" s="174"/>
      <c r="AC124" s="200">
        <v>305890.2</v>
      </c>
      <c r="AD124" s="174"/>
      <c r="AE124" s="174"/>
    </row>
    <row r="125" spans="1:31" ht="9.6" customHeight="1" x14ac:dyDescent="0.2">
      <c r="A125" s="168" t="s">
        <v>330</v>
      </c>
      <c r="B125" s="179" t="s">
        <v>331</v>
      </c>
      <c r="C125" s="179"/>
      <c r="D125" s="179"/>
      <c r="E125" s="179"/>
      <c r="F125" s="179"/>
      <c r="G125" s="179"/>
      <c r="H125" s="179"/>
      <c r="I125" s="179"/>
      <c r="J125" s="179"/>
      <c r="K125" s="179"/>
      <c r="L125" s="179"/>
      <c r="M125" s="179"/>
      <c r="N125" s="179" t="s">
        <v>244</v>
      </c>
      <c r="O125" s="179"/>
      <c r="P125" s="179"/>
      <c r="Q125" s="202">
        <v>41</v>
      </c>
      <c r="R125" s="174"/>
      <c r="S125" s="174"/>
      <c r="T125" s="174"/>
      <c r="U125" s="174"/>
      <c r="V125" s="174"/>
      <c r="W125" s="173">
        <v>4512.95</v>
      </c>
      <c r="X125" s="174"/>
      <c r="Y125" s="174"/>
      <c r="Z125" s="174"/>
      <c r="AA125" s="174"/>
      <c r="AB125" s="174"/>
      <c r="AC125" s="200">
        <v>185030.95</v>
      </c>
      <c r="AD125" s="174"/>
      <c r="AE125" s="174"/>
    </row>
    <row r="126" spans="1:31" ht="9.6" customHeight="1" x14ac:dyDescent="0.2">
      <c r="A126" s="168" t="s">
        <v>332</v>
      </c>
      <c r="B126" s="179" t="s">
        <v>333</v>
      </c>
      <c r="C126" s="179"/>
      <c r="D126" s="179"/>
      <c r="E126" s="179"/>
      <c r="F126" s="179"/>
      <c r="G126" s="179"/>
      <c r="H126" s="179"/>
      <c r="I126" s="179"/>
      <c r="J126" s="179"/>
      <c r="K126" s="179"/>
      <c r="L126" s="179"/>
      <c r="M126" s="179"/>
      <c r="N126" s="179" t="s">
        <v>244</v>
      </c>
      <c r="O126" s="179"/>
      <c r="P126" s="179"/>
      <c r="Q126" s="202">
        <v>32</v>
      </c>
      <c r="R126" s="174"/>
      <c r="S126" s="174"/>
      <c r="T126" s="174"/>
      <c r="U126" s="174"/>
      <c r="V126" s="174"/>
      <c r="W126" s="195">
        <v>22055.72</v>
      </c>
      <c r="X126" s="174"/>
      <c r="Y126" s="174"/>
      <c r="Z126" s="174"/>
      <c r="AA126" s="174"/>
      <c r="AB126" s="174"/>
      <c r="AC126" s="200">
        <v>705783.04</v>
      </c>
      <c r="AD126" s="174"/>
      <c r="AE126" s="174"/>
    </row>
    <row r="127" spans="1:31" ht="9.6" customHeight="1" x14ac:dyDescent="0.2">
      <c r="A127" s="168" t="s">
        <v>334</v>
      </c>
      <c r="B127" s="179" t="s">
        <v>335</v>
      </c>
      <c r="C127" s="179"/>
      <c r="D127" s="179"/>
      <c r="E127" s="179"/>
      <c r="F127" s="179"/>
      <c r="G127" s="179"/>
      <c r="H127" s="179"/>
      <c r="I127" s="179"/>
      <c r="J127" s="179"/>
      <c r="K127" s="179"/>
      <c r="L127" s="179"/>
      <c r="M127" s="179"/>
      <c r="N127" s="179" t="s">
        <v>244</v>
      </c>
      <c r="O127" s="179"/>
      <c r="P127" s="179"/>
      <c r="Q127" s="202">
        <v>49</v>
      </c>
      <c r="R127" s="174"/>
      <c r="S127" s="174"/>
      <c r="T127" s="174"/>
      <c r="U127" s="174"/>
      <c r="V127" s="174"/>
      <c r="W127" s="173">
        <v>1526.26</v>
      </c>
      <c r="X127" s="174"/>
      <c r="Y127" s="174"/>
      <c r="Z127" s="174"/>
      <c r="AA127" s="174"/>
      <c r="AB127" s="174"/>
      <c r="AC127" s="196">
        <v>74786.740000000005</v>
      </c>
      <c r="AD127" s="174"/>
      <c r="AE127" s="174"/>
    </row>
    <row r="128" spans="1:31" ht="9.6" customHeight="1" x14ac:dyDescent="0.2">
      <c r="A128" s="168" t="s">
        <v>336</v>
      </c>
      <c r="B128" s="179" t="s">
        <v>337</v>
      </c>
      <c r="C128" s="179"/>
      <c r="D128" s="179"/>
      <c r="E128" s="179"/>
      <c r="F128" s="179"/>
      <c r="G128" s="179"/>
      <c r="H128" s="179"/>
      <c r="I128" s="179"/>
      <c r="J128" s="179"/>
      <c r="K128" s="179"/>
      <c r="L128" s="179"/>
      <c r="M128" s="179"/>
      <c r="N128" s="179" t="s">
        <v>244</v>
      </c>
      <c r="O128" s="179"/>
      <c r="P128" s="179"/>
      <c r="Q128" s="202">
        <v>49</v>
      </c>
      <c r="R128" s="174"/>
      <c r="S128" s="174"/>
      <c r="T128" s="174"/>
      <c r="U128" s="174"/>
      <c r="V128" s="174"/>
      <c r="W128" s="173">
        <v>5557.2</v>
      </c>
      <c r="X128" s="174"/>
      <c r="Y128" s="174"/>
      <c r="Z128" s="174"/>
      <c r="AA128" s="174"/>
      <c r="AB128" s="174"/>
      <c r="AC128" s="200">
        <v>272302.8</v>
      </c>
      <c r="AD128" s="174"/>
      <c r="AE128" s="174"/>
    </row>
    <row r="129" spans="1:31" ht="9.6" customHeight="1" x14ac:dyDescent="0.2">
      <c r="A129" s="168" t="s">
        <v>338</v>
      </c>
      <c r="B129" s="179" t="s">
        <v>339</v>
      </c>
      <c r="C129" s="179"/>
      <c r="D129" s="179"/>
      <c r="E129" s="179"/>
      <c r="F129" s="179"/>
      <c r="G129" s="179"/>
      <c r="H129" s="179"/>
      <c r="I129" s="179"/>
      <c r="J129" s="179"/>
      <c r="K129" s="179"/>
      <c r="L129" s="179"/>
      <c r="M129" s="179"/>
      <c r="N129" s="179" t="s">
        <v>244</v>
      </c>
      <c r="O129" s="179"/>
      <c r="P129" s="179"/>
      <c r="Q129" s="202">
        <v>49</v>
      </c>
      <c r="R129" s="174"/>
      <c r="S129" s="174"/>
      <c r="T129" s="174"/>
      <c r="U129" s="174"/>
      <c r="V129" s="174"/>
      <c r="W129" s="173">
        <v>7958.1</v>
      </c>
      <c r="X129" s="174"/>
      <c r="Y129" s="174"/>
      <c r="Z129" s="174"/>
      <c r="AA129" s="174"/>
      <c r="AB129" s="174"/>
      <c r="AC129" s="200">
        <v>389946.9</v>
      </c>
      <c r="AD129" s="174"/>
      <c r="AE129" s="174"/>
    </row>
    <row r="130" spans="1:31" ht="9.6" customHeight="1" x14ac:dyDescent="0.2">
      <c r="A130" s="168" t="s">
        <v>340</v>
      </c>
      <c r="B130" s="179" t="s">
        <v>341</v>
      </c>
      <c r="C130" s="179"/>
      <c r="D130" s="179"/>
      <c r="E130" s="179"/>
      <c r="F130" s="179"/>
      <c r="G130" s="179"/>
      <c r="H130" s="179"/>
      <c r="I130" s="179"/>
      <c r="J130" s="179"/>
      <c r="K130" s="179"/>
      <c r="L130" s="179"/>
      <c r="M130" s="179"/>
      <c r="N130" s="179" t="s">
        <v>112</v>
      </c>
      <c r="O130" s="179"/>
      <c r="P130" s="179"/>
      <c r="Q130" s="180">
        <v>1</v>
      </c>
      <c r="R130" s="174"/>
      <c r="S130" s="174"/>
      <c r="T130" s="174"/>
      <c r="U130" s="174"/>
      <c r="V130" s="174"/>
      <c r="W130" s="195">
        <v>21991.11</v>
      </c>
      <c r="X130" s="174"/>
      <c r="Y130" s="174"/>
      <c r="Z130" s="174"/>
      <c r="AA130" s="174"/>
      <c r="AB130" s="174"/>
      <c r="AC130" s="196">
        <v>21991.11</v>
      </c>
      <c r="AD130" s="174"/>
      <c r="AE130" s="174"/>
    </row>
    <row r="131" spans="1:31" ht="9.75" customHeight="1" x14ac:dyDescent="0.2">
      <c r="A131" s="167" t="s">
        <v>342</v>
      </c>
      <c r="B131" s="176" t="s">
        <v>343</v>
      </c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7"/>
      <c r="R131" s="177"/>
      <c r="S131" s="177"/>
      <c r="T131" s="177"/>
      <c r="U131" s="177"/>
      <c r="V131" s="177"/>
      <c r="W131" s="177"/>
      <c r="X131" s="177"/>
      <c r="Y131" s="177"/>
      <c r="Z131" s="177"/>
      <c r="AA131" s="177"/>
      <c r="AB131" s="177"/>
      <c r="AC131" s="178">
        <v>3213346.32</v>
      </c>
      <c r="AD131" s="177"/>
      <c r="AE131" s="177"/>
    </row>
    <row r="132" spans="1:31" ht="9.75" customHeight="1" x14ac:dyDescent="0.2">
      <c r="A132" s="167" t="s">
        <v>344</v>
      </c>
      <c r="B132" s="176" t="s">
        <v>343</v>
      </c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7"/>
      <c r="R132" s="177"/>
      <c r="S132" s="177"/>
      <c r="T132" s="177"/>
      <c r="U132" s="177"/>
      <c r="V132" s="177"/>
      <c r="W132" s="177"/>
      <c r="X132" s="177"/>
      <c r="Y132" s="177"/>
      <c r="Z132" s="177"/>
      <c r="AA132" s="177"/>
      <c r="AB132" s="177"/>
      <c r="AC132" s="178">
        <v>3213346.32</v>
      </c>
      <c r="AD132" s="177"/>
      <c r="AE132" s="177"/>
    </row>
    <row r="133" spans="1:31" ht="9.75" customHeight="1" x14ac:dyDescent="0.2">
      <c r="A133" s="167" t="s">
        <v>345</v>
      </c>
      <c r="B133" s="176" t="s">
        <v>346</v>
      </c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7"/>
      <c r="R133" s="177"/>
      <c r="S133" s="177"/>
      <c r="T133" s="177"/>
      <c r="U133" s="177"/>
      <c r="V133" s="177"/>
      <c r="W133" s="177"/>
      <c r="X133" s="177"/>
      <c r="Y133" s="177"/>
      <c r="Z133" s="177"/>
      <c r="AA133" s="177"/>
      <c r="AB133" s="177"/>
      <c r="AC133" s="198">
        <v>473632</v>
      </c>
      <c r="AD133" s="177"/>
      <c r="AE133" s="177"/>
    </row>
    <row r="134" spans="1:31" ht="9.6" customHeight="1" x14ac:dyDescent="0.2">
      <c r="A134" s="168" t="s">
        <v>347</v>
      </c>
      <c r="B134" s="179" t="s">
        <v>348</v>
      </c>
      <c r="C134" s="179"/>
      <c r="D134" s="179"/>
      <c r="E134" s="179"/>
      <c r="F134" s="179"/>
      <c r="G134" s="179"/>
      <c r="H134" s="179"/>
      <c r="I134" s="179"/>
      <c r="J134" s="179"/>
      <c r="K134" s="179"/>
      <c r="L134" s="179"/>
      <c r="M134" s="179"/>
      <c r="N134" s="179" t="s">
        <v>137</v>
      </c>
      <c r="O134" s="179"/>
      <c r="P134" s="179"/>
      <c r="Q134" s="202">
        <v>10</v>
      </c>
      <c r="R134" s="174"/>
      <c r="S134" s="174"/>
      <c r="T134" s="174"/>
      <c r="U134" s="174"/>
      <c r="V134" s="174"/>
      <c r="W134" s="173">
        <v>1100</v>
      </c>
      <c r="X134" s="174"/>
      <c r="Y134" s="174"/>
      <c r="Z134" s="174"/>
      <c r="AA134" s="174"/>
      <c r="AB134" s="174"/>
      <c r="AC134" s="196">
        <v>11000</v>
      </c>
      <c r="AD134" s="174"/>
      <c r="AE134" s="174"/>
    </row>
    <row r="135" spans="1:31" ht="9.6" customHeight="1" x14ac:dyDescent="0.2">
      <c r="A135" s="168" t="s">
        <v>349</v>
      </c>
      <c r="B135" s="179" t="s">
        <v>350</v>
      </c>
      <c r="C135" s="179"/>
      <c r="D135" s="179"/>
      <c r="E135" s="179"/>
      <c r="F135" s="179"/>
      <c r="G135" s="179"/>
      <c r="H135" s="179"/>
      <c r="I135" s="179"/>
      <c r="J135" s="179"/>
      <c r="K135" s="179"/>
      <c r="L135" s="179"/>
      <c r="M135" s="179"/>
      <c r="N135" s="179" t="s">
        <v>244</v>
      </c>
      <c r="O135" s="179"/>
      <c r="P135" s="179"/>
      <c r="Q135" s="202">
        <v>12</v>
      </c>
      <c r="R135" s="174"/>
      <c r="S135" s="174"/>
      <c r="T135" s="174"/>
      <c r="U135" s="174"/>
      <c r="V135" s="174"/>
      <c r="W135" s="195">
        <v>31878</v>
      </c>
      <c r="X135" s="174"/>
      <c r="Y135" s="174"/>
      <c r="Z135" s="174"/>
      <c r="AA135" s="174"/>
      <c r="AB135" s="174"/>
      <c r="AC135" s="200">
        <v>382536</v>
      </c>
      <c r="AD135" s="174"/>
      <c r="AE135" s="174"/>
    </row>
    <row r="136" spans="1:31" ht="9.6" customHeight="1" x14ac:dyDescent="0.2">
      <c r="A136" s="168" t="s">
        <v>351</v>
      </c>
      <c r="B136" s="179" t="s">
        <v>352</v>
      </c>
      <c r="C136" s="179"/>
      <c r="D136" s="179"/>
      <c r="E136" s="179"/>
      <c r="F136" s="179"/>
      <c r="G136" s="179"/>
      <c r="H136" s="179"/>
      <c r="I136" s="179"/>
      <c r="J136" s="179"/>
      <c r="K136" s="179"/>
      <c r="L136" s="179"/>
      <c r="M136" s="179"/>
      <c r="N136" s="179" t="s">
        <v>137</v>
      </c>
      <c r="O136" s="179"/>
      <c r="P136" s="179"/>
      <c r="Q136" s="202">
        <v>10</v>
      </c>
      <c r="R136" s="174"/>
      <c r="S136" s="174"/>
      <c r="T136" s="174"/>
      <c r="U136" s="174"/>
      <c r="V136" s="174"/>
      <c r="W136" s="191">
        <v>548</v>
      </c>
      <c r="X136" s="174"/>
      <c r="Y136" s="174"/>
      <c r="Z136" s="174"/>
      <c r="AA136" s="174"/>
      <c r="AB136" s="174"/>
      <c r="AC136" s="201">
        <v>5480</v>
      </c>
      <c r="AD136" s="174"/>
      <c r="AE136" s="174"/>
    </row>
    <row r="137" spans="1:31" ht="9.6" customHeight="1" x14ac:dyDescent="0.2">
      <c r="A137" s="168" t="s">
        <v>353</v>
      </c>
      <c r="B137" s="179" t="s">
        <v>354</v>
      </c>
      <c r="C137" s="179"/>
      <c r="D137" s="179"/>
      <c r="E137" s="179"/>
      <c r="F137" s="179"/>
      <c r="G137" s="179"/>
      <c r="H137" s="179"/>
      <c r="I137" s="179"/>
      <c r="J137" s="179"/>
      <c r="K137" s="179"/>
      <c r="L137" s="179"/>
      <c r="M137" s="179"/>
      <c r="N137" s="179" t="s">
        <v>355</v>
      </c>
      <c r="O137" s="179"/>
      <c r="P137" s="179"/>
      <c r="Q137" s="202">
        <v>24</v>
      </c>
      <c r="R137" s="174"/>
      <c r="S137" s="174"/>
      <c r="T137" s="174"/>
      <c r="U137" s="174"/>
      <c r="V137" s="174"/>
      <c r="W137" s="173">
        <v>1811</v>
      </c>
      <c r="X137" s="174"/>
      <c r="Y137" s="174"/>
      <c r="Z137" s="174"/>
      <c r="AA137" s="174"/>
      <c r="AB137" s="174"/>
      <c r="AC137" s="196">
        <v>43464</v>
      </c>
      <c r="AD137" s="174"/>
      <c r="AE137" s="174"/>
    </row>
    <row r="138" spans="1:31" ht="9.6" customHeight="1" x14ac:dyDescent="0.2">
      <c r="A138" s="168" t="s">
        <v>356</v>
      </c>
      <c r="B138" s="179" t="s">
        <v>357</v>
      </c>
      <c r="C138" s="179"/>
      <c r="D138" s="179"/>
      <c r="E138" s="179"/>
      <c r="F138" s="179"/>
      <c r="G138" s="179"/>
      <c r="H138" s="179"/>
      <c r="I138" s="179"/>
      <c r="J138" s="179"/>
      <c r="K138" s="179"/>
      <c r="L138" s="179"/>
      <c r="M138" s="179"/>
      <c r="N138" s="179" t="s">
        <v>355</v>
      </c>
      <c r="O138" s="179"/>
      <c r="P138" s="179"/>
      <c r="Q138" s="202">
        <v>24</v>
      </c>
      <c r="R138" s="174"/>
      <c r="S138" s="174"/>
      <c r="T138" s="174"/>
      <c r="U138" s="174"/>
      <c r="V138" s="174"/>
      <c r="W138" s="173">
        <v>1298</v>
      </c>
      <c r="X138" s="174"/>
      <c r="Y138" s="174"/>
      <c r="Z138" s="174"/>
      <c r="AA138" s="174"/>
      <c r="AB138" s="174"/>
      <c r="AC138" s="196">
        <v>31152</v>
      </c>
      <c r="AD138" s="174"/>
      <c r="AE138" s="174"/>
    </row>
    <row r="139" spans="1:31" ht="9.75" customHeight="1" x14ac:dyDescent="0.2">
      <c r="A139" s="167" t="s">
        <v>358</v>
      </c>
      <c r="B139" s="176" t="s">
        <v>359</v>
      </c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7"/>
      <c r="R139" s="177"/>
      <c r="S139" s="177"/>
      <c r="T139" s="177"/>
      <c r="U139" s="177"/>
      <c r="V139" s="177"/>
      <c r="W139" s="177"/>
      <c r="X139" s="177"/>
      <c r="Y139" s="177"/>
      <c r="Z139" s="177"/>
      <c r="AA139" s="177"/>
      <c r="AB139" s="177"/>
      <c r="AC139" s="178">
        <v>1512099.8400000001</v>
      </c>
      <c r="AD139" s="177"/>
      <c r="AE139" s="177"/>
    </row>
    <row r="140" spans="1:31" ht="9.6" customHeight="1" x14ac:dyDescent="0.2">
      <c r="A140" s="168" t="s">
        <v>360</v>
      </c>
      <c r="B140" s="179" t="s">
        <v>361</v>
      </c>
      <c r="C140" s="179"/>
      <c r="D140" s="179"/>
      <c r="E140" s="179"/>
      <c r="F140" s="179"/>
      <c r="G140" s="179"/>
      <c r="H140" s="179"/>
      <c r="I140" s="179"/>
      <c r="J140" s="179"/>
      <c r="K140" s="179"/>
      <c r="L140" s="179"/>
      <c r="M140" s="179"/>
      <c r="N140" s="179" t="s">
        <v>244</v>
      </c>
      <c r="O140" s="179"/>
      <c r="P140" s="179"/>
      <c r="Q140" s="202">
        <v>49</v>
      </c>
      <c r="R140" s="174"/>
      <c r="S140" s="174"/>
      <c r="T140" s="174"/>
      <c r="U140" s="174"/>
      <c r="V140" s="174"/>
      <c r="W140" s="173">
        <v>9000</v>
      </c>
      <c r="X140" s="174"/>
      <c r="Y140" s="174"/>
      <c r="Z140" s="174"/>
      <c r="AA140" s="174"/>
      <c r="AB140" s="174"/>
      <c r="AC140" s="200">
        <v>441000</v>
      </c>
      <c r="AD140" s="174"/>
      <c r="AE140" s="174"/>
    </row>
    <row r="141" spans="1:31" ht="9.6" customHeight="1" x14ac:dyDescent="0.2">
      <c r="A141" s="168" t="s">
        <v>362</v>
      </c>
      <c r="B141" s="179" t="s">
        <v>363</v>
      </c>
      <c r="C141" s="179"/>
      <c r="D141" s="179"/>
      <c r="E141" s="179"/>
      <c r="F141" s="179"/>
      <c r="G141" s="179"/>
      <c r="H141" s="179"/>
      <c r="I141" s="179"/>
      <c r="J141" s="179"/>
      <c r="K141" s="179"/>
      <c r="L141" s="179"/>
      <c r="M141" s="179"/>
      <c r="N141" s="179" t="s">
        <v>364</v>
      </c>
      <c r="O141" s="179"/>
      <c r="P141" s="179"/>
      <c r="Q141" s="202">
        <v>48</v>
      </c>
      <c r="R141" s="174"/>
      <c r="S141" s="174"/>
      <c r="T141" s="174"/>
      <c r="U141" s="174"/>
      <c r="V141" s="174"/>
      <c r="W141" s="173">
        <v>1733.33</v>
      </c>
      <c r="X141" s="174"/>
      <c r="Y141" s="174"/>
      <c r="Z141" s="174"/>
      <c r="AA141" s="174"/>
      <c r="AB141" s="174"/>
      <c r="AC141" s="196">
        <v>83199.839999999997</v>
      </c>
      <c r="AD141" s="174"/>
      <c r="AE141" s="174"/>
    </row>
    <row r="142" spans="1:31" ht="9.6" customHeight="1" x14ac:dyDescent="0.2">
      <c r="A142" s="168" t="s">
        <v>365</v>
      </c>
      <c r="B142" s="179" t="s">
        <v>366</v>
      </c>
      <c r="C142" s="179"/>
      <c r="D142" s="179"/>
      <c r="E142" s="179"/>
      <c r="F142" s="179"/>
      <c r="G142" s="179"/>
      <c r="H142" s="179"/>
      <c r="I142" s="179"/>
      <c r="J142" s="179"/>
      <c r="K142" s="179"/>
      <c r="L142" s="179"/>
      <c r="M142" s="179"/>
      <c r="N142" s="179" t="s">
        <v>244</v>
      </c>
      <c r="O142" s="179"/>
      <c r="P142" s="179"/>
      <c r="Q142" s="202">
        <v>37</v>
      </c>
      <c r="R142" s="174"/>
      <c r="S142" s="174"/>
      <c r="T142" s="174"/>
      <c r="U142" s="174"/>
      <c r="V142" s="174"/>
      <c r="W142" s="195">
        <v>26700</v>
      </c>
      <c r="X142" s="174"/>
      <c r="Y142" s="174"/>
      <c r="Z142" s="174"/>
      <c r="AA142" s="174"/>
      <c r="AB142" s="174"/>
      <c r="AC142" s="200">
        <v>987900</v>
      </c>
      <c r="AD142" s="174"/>
      <c r="AE142" s="174"/>
    </row>
    <row r="143" spans="1:31" ht="9.75" customHeight="1" x14ac:dyDescent="0.2">
      <c r="A143" s="167" t="s">
        <v>367</v>
      </c>
      <c r="B143" s="176" t="s">
        <v>368</v>
      </c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7"/>
      <c r="R143" s="177"/>
      <c r="S143" s="177"/>
      <c r="T143" s="177"/>
      <c r="U143" s="177"/>
      <c r="V143" s="177"/>
      <c r="W143" s="177"/>
      <c r="X143" s="177"/>
      <c r="Y143" s="177"/>
      <c r="Z143" s="177"/>
      <c r="AA143" s="177"/>
      <c r="AB143" s="177"/>
      <c r="AC143" s="178">
        <v>1227614.48</v>
      </c>
      <c r="AD143" s="177"/>
      <c r="AE143" s="177"/>
    </row>
    <row r="144" spans="1:31" ht="9.6" customHeight="1" x14ac:dyDescent="0.2">
      <c r="A144" s="168" t="s">
        <v>369</v>
      </c>
      <c r="B144" s="179" t="s">
        <v>370</v>
      </c>
      <c r="C144" s="179"/>
      <c r="D144" s="179"/>
      <c r="E144" s="179"/>
      <c r="F144" s="179"/>
      <c r="G144" s="179"/>
      <c r="H144" s="179"/>
      <c r="I144" s="179"/>
      <c r="J144" s="179"/>
      <c r="K144" s="179"/>
      <c r="L144" s="179"/>
      <c r="M144" s="179"/>
      <c r="N144" s="179" t="s">
        <v>244</v>
      </c>
      <c r="O144" s="179"/>
      <c r="P144" s="179"/>
      <c r="Q144" s="202">
        <v>28</v>
      </c>
      <c r="R144" s="174"/>
      <c r="S144" s="174"/>
      <c r="T144" s="174"/>
      <c r="U144" s="174"/>
      <c r="V144" s="174"/>
      <c r="W144" s="195">
        <v>19200</v>
      </c>
      <c r="X144" s="174"/>
      <c r="Y144" s="174"/>
      <c r="Z144" s="174"/>
      <c r="AA144" s="174"/>
      <c r="AB144" s="174"/>
      <c r="AC144" s="200">
        <v>537600</v>
      </c>
      <c r="AD144" s="174"/>
      <c r="AE144" s="174"/>
    </row>
    <row r="145" spans="1:31" ht="9.6" customHeight="1" x14ac:dyDescent="0.2">
      <c r="A145" s="168" t="s">
        <v>371</v>
      </c>
      <c r="B145" s="179" t="s">
        <v>372</v>
      </c>
      <c r="C145" s="179"/>
      <c r="D145" s="179"/>
      <c r="E145" s="179"/>
      <c r="F145" s="179"/>
      <c r="G145" s="179"/>
      <c r="H145" s="179"/>
      <c r="I145" s="179"/>
      <c r="J145" s="179"/>
      <c r="K145" s="179"/>
      <c r="L145" s="179"/>
      <c r="M145" s="179"/>
      <c r="N145" s="179" t="s">
        <v>137</v>
      </c>
      <c r="O145" s="179"/>
      <c r="P145" s="179"/>
      <c r="Q145" s="180">
        <v>2</v>
      </c>
      <c r="R145" s="174"/>
      <c r="S145" s="174"/>
      <c r="T145" s="174"/>
      <c r="U145" s="174"/>
      <c r="V145" s="174"/>
      <c r="W145" s="195">
        <v>16300</v>
      </c>
      <c r="X145" s="174"/>
      <c r="Y145" s="174"/>
      <c r="Z145" s="174"/>
      <c r="AA145" s="174"/>
      <c r="AB145" s="174"/>
      <c r="AC145" s="196">
        <v>32600</v>
      </c>
      <c r="AD145" s="174"/>
      <c r="AE145" s="174"/>
    </row>
    <row r="146" spans="1:31" ht="9.6" customHeight="1" x14ac:dyDescent="0.2">
      <c r="A146" s="168" t="s">
        <v>373</v>
      </c>
      <c r="B146" s="179" t="s">
        <v>374</v>
      </c>
      <c r="C146" s="179"/>
      <c r="D146" s="179"/>
      <c r="E146" s="179"/>
      <c r="F146" s="179"/>
      <c r="G146" s="179"/>
      <c r="H146" s="179"/>
      <c r="I146" s="179"/>
      <c r="J146" s="179"/>
      <c r="K146" s="179"/>
      <c r="L146" s="179"/>
      <c r="M146" s="179"/>
      <c r="N146" s="179" t="s">
        <v>137</v>
      </c>
      <c r="O146" s="179"/>
      <c r="P146" s="179"/>
      <c r="Q146" s="180">
        <v>2</v>
      </c>
      <c r="R146" s="174"/>
      <c r="S146" s="174"/>
      <c r="T146" s="174"/>
      <c r="U146" s="174"/>
      <c r="V146" s="174"/>
      <c r="W146" s="173">
        <v>1328</v>
      </c>
      <c r="X146" s="174"/>
      <c r="Y146" s="174"/>
      <c r="Z146" s="174"/>
      <c r="AA146" s="174"/>
      <c r="AB146" s="174"/>
      <c r="AC146" s="201">
        <v>2656</v>
      </c>
      <c r="AD146" s="174"/>
      <c r="AE146" s="174"/>
    </row>
    <row r="147" spans="1:31" ht="9.6" customHeight="1" x14ac:dyDescent="0.2">
      <c r="A147" s="168" t="s">
        <v>375</v>
      </c>
      <c r="B147" s="179" t="s">
        <v>376</v>
      </c>
      <c r="C147" s="179"/>
      <c r="D147" s="179"/>
      <c r="E147" s="179"/>
      <c r="F147" s="179"/>
      <c r="G147" s="179"/>
      <c r="H147" s="179"/>
      <c r="I147" s="179"/>
      <c r="J147" s="179"/>
      <c r="K147" s="179"/>
      <c r="L147" s="179"/>
      <c r="M147" s="179"/>
      <c r="N147" s="179" t="s">
        <v>244</v>
      </c>
      <c r="O147" s="179"/>
      <c r="P147" s="179"/>
      <c r="Q147" s="202">
        <v>24</v>
      </c>
      <c r="R147" s="174"/>
      <c r="S147" s="174"/>
      <c r="T147" s="174"/>
      <c r="U147" s="174"/>
      <c r="V147" s="174"/>
      <c r="W147" s="173">
        <v>9800</v>
      </c>
      <c r="X147" s="174"/>
      <c r="Y147" s="174"/>
      <c r="Z147" s="174"/>
      <c r="AA147" s="174"/>
      <c r="AB147" s="174"/>
      <c r="AC147" s="200">
        <v>235200</v>
      </c>
      <c r="AD147" s="174"/>
      <c r="AE147" s="174"/>
    </row>
    <row r="148" spans="1:31" ht="9.6" customHeight="1" x14ac:dyDescent="0.2">
      <c r="A148" s="168" t="s">
        <v>377</v>
      </c>
      <c r="B148" s="179" t="s">
        <v>378</v>
      </c>
      <c r="C148" s="179"/>
      <c r="D148" s="179"/>
      <c r="E148" s="179"/>
      <c r="F148" s="179"/>
      <c r="G148" s="179"/>
      <c r="H148" s="179"/>
      <c r="I148" s="179"/>
      <c r="J148" s="179"/>
      <c r="K148" s="179"/>
      <c r="L148" s="179"/>
      <c r="M148" s="179"/>
      <c r="N148" s="179" t="s">
        <v>137</v>
      </c>
      <c r="O148" s="179"/>
      <c r="P148" s="179"/>
      <c r="Q148" s="180">
        <v>3</v>
      </c>
      <c r="R148" s="174"/>
      <c r="S148" s="174"/>
      <c r="T148" s="174"/>
      <c r="U148" s="174"/>
      <c r="V148" s="174"/>
      <c r="W148" s="199">
        <v>100000</v>
      </c>
      <c r="X148" s="174"/>
      <c r="Y148" s="174"/>
      <c r="Z148" s="174"/>
      <c r="AA148" s="174"/>
      <c r="AB148" s="174"/>
      <c r="AC148" s="200">
        <v>300000</v>
      </c>
      <c r="AD148" s="174"/>
      <c r="AE148" s="174"/>
    </row>
    <row r="149" spans="1:31" ht="9.6" customHeight="1" x14ac:dyDescent="0.2">
      <c r="A149" s="168" t="s">
        <v>379</v>
      </c>
      <c r="B149" s="179" t="s">
        <v>380</v>
      </c>
      <c r="C149" s="179"/>
      <c r="D149" s="179"/>
      <c r="E149" s="179"/>
      <c r="F149" s="179"/>
      <c r="G149" s="179"/>
      <c r="H149" s="179"/>
      <c r="I149" s="179"/>
      <c r="J149" s="179"/>
      <c r="K149" s="179"/>
      <c r="L149" s="179"/>
      <c r="M149" s="179"/>
      <c r="N149" s="179" t="s">
        <v>112</v>
      </c>
      <c r="O149" s="179"/>
      <c r="P149" s="179"/>
      <c r="Q149" s="180">
        <v>2</v>
      </c>
      <c r="R149" s="174"/>
      <c r="S149" s="174"/>
      <c r="T149" s="174"/>
      <c r="U149" s="174"/>
      <c r="V149" s="174"/>
      <c r="W149" s="195">
        <v>24000</v>
      </c>
      <c r="X149" s="174"/>
      <c r="Y149" s="174"/>
      <c r="Z149" s="174"/>
      <c r="AA149" s="174"/>
      <c r="AB149" s="174"/>
      <c r="AC149" s="196">
        <v>48000</v>
      </c>
      <c r="AD149" s="174"/>
      <c r="AE149" s="174"/>
    </row>
    <row r="150" spans="1:31" ht="9.6" customHeight="1" x14ac:dyDescent="0.2">
      <c r="A150" s="168" t="s">
        <v>381</v>
      </c>
      <c r="B150" s="179" t="s">
        <v>382</v>
      </c>
      <c r="C150" s="179"/>
      <c r="D150" s="179"/>
      <c r="E150" s="179"/>
      <c r="F150" s="179"/>
      <c r="G150" s="179"/>
      <c r="H150" s="179"/>
      <c r="I150" s="179"/>
      <c r="J150" s="179"/>
      <c r="K150" s="179"/>
      <c r="L150" s="179"/>
      <c r="M150" s="179"/>
      <c r="N150" s="179" t="s">
        <v>137</v>
      </c>
      <c r="O150" s="179"/>
      <c r="P150" s="179"/>
      <c r="Q150" s="180">
        <v>2</v>
      </c>
      <c r="R150" s="174"/>
      <c r="S150" s="174"/>
      <c r="T150" s="174"/>
      <c r="U150" s="174"/>
      <c r="V150" s="174"/>
      <c r="W150" s="195">
        <v>35779.241199999997</v>
      </c>
      <c r="X150" s="174"/>
      <c r="Y150" s="174"/>
      <c r="Z150" s="174"/>
      <c r="AA150" s="174"/>
      <c r="AB150" s="174"/>
      <c r="AC150" s="196">
        <v>71558.48</v>
      </c>
      <c r="AD150" s="174"/>
      <c r="AE150" s="174"/>
    </row>
    <row r="151" spans="1:31" ht="9.75" customHeight="1" x14ac:dyDescent="0.2">
      <c r="A151" s="167" t="s">
        <v>383</v>
      </c>
      <c r="B151" s="176" t="s">
        <v>384</v>
      </c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7"/>
      <c r="R151" s="177"/>
      <c r="S151" s="177"/>
      <c r="T151" s="177"/>
      <c r="U151" s="177"/>
      <c r="V151" s="177"/>
      <c r="W151" s="177"/>
      <c r="X151" s="177"/>
      <c r="Y151" s="177"/>
      <c r="Z151" s="177"/>
      <c r="AA151" s="177"/>
      <c r="AB151" s="177"/>
      <c r="AC151" s="203">
        <v>0</v>
      </c>
      <c r="AD151" s="177"/>
      <c r="AE151" s="177"/>
    </row>
    <row r="152" spans="1:31" ht="9.75" customHeight="1" x14ac:dyDescent="0.2">
      <c r="A152" s="167" t="s">
        <v>385</v>
      </c>
      <c r="B152" s="176" t="s">
        <v>4</v>
      </c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7"/>
      <c r="R152" s="177"/>
      <c r="S152" s="177"/>
      <c r="T152" s="177"/>
      <c r="U152" s="177"/>
      <c r="V152" s="177"/>
      <c r="W152" s="177"/>
      <c r="X152" s="177"/>
      <c r="Y152" s="177"/>
      <c r="Z152" s="177"/>
      <c r="AA152" s="177"/>
      <c r="AB152" s="177"/>
      <c r="AC152" s="197">
        <v>16507105.880000001</v>
      </c>
      <c r="AD152" s="177"/>
      <c r="AE152" s="177"/>
    </row>
    <row r="153" spans="1:31" ht="9.75" customHeight="1" x14ac:dyDescent="0.2">
      <c r="A153" s="167" t="s">
        <v>386</v>
      </c>
      <c r="B153" s="176" t="s">
        <v>387</v>
      </c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7"/>
      <c r="R153" s="177"/>
      <c r="S153" s="177"/>
      <c r="T153" s="177"/>
      <c r="U153" s="177"/>
      <c r="V153" s="177"/>
      <c r="W153" s="177"/>
      <c r="X153" s="177"/>
      <c r="Y153" s="177"/>
      <c r="Z153" s="177"/>
      <c r="AA153" s="177"/>
      <c r="AB153" s="177"/>
      <c r="AC153" s="178">
        <v>3078669.41</v>
      </c>
      <c r="AD153" s="177"/>
      <c r="AE153" s="177"/>
    </row>
    <row r="154" spans="1:31" ht="9.75" customHeight="1" x14ac:dyDescent="0.2">
      <c r="A154" s="167" t="s">
        <v>388</v>
      </c>
      <c r="B154" s="176" t="s">
        <v>389</v>
      </c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7"/>
      <c r="R154" s="177"/>
      <c r="S154" s="177"/>
      <c r="T154" s="177"/>
      <c r="U154" s="177"/>
      <c r="V154" s="177"/>
      <c r="W154" s="177"/>
      <c r="X154" s="177"/>
      <c r="Y154" s="177"/>
      <c r="Z154" s="177"/>
      <c r="AA154" s="177"/>
      <c r="AB154" s="177"/>
      <c r="AC154" s="194">
        <v>13178.17</v>
      </c>
      <c r="AD154" s="177"/>
      <c r="AE154" s="177"/>
    </row>
    <row r="155" spans="1:31" ht="9.6" customHeight="1" x14ac:dyDescent="0.2">
      <c r="A155" s="168" t="s">
        <v>390</v>
      </c>
      <c r="B155" s="179" t="s">
        <v>391</v>
      </c>
      <c r="C155" s="179"/>
      <c r="D155" s="179"/>
      <c r="E155" s="179"/>
      <c r="F155" s="179"/>
      <c r="G155" s="179"/>
      <c r="H155" s="179"/>
      <c r="I155" s="179"/>
      <c r="J155" s="179"/>
      <c r="K155" s="179"/>
      <c r="L155" s="179"/>
      <c r="M155" s="179"/>
      <c r="N155" s="179" t="s">
        <v>220</v>
      </c>
      <c r="O155" s="179"/>
      <c r="P155" s="179"/>
      <c r="Q155" s="173">
        <v>8035.47</v>
      </c>
      <c r="R155" s="174"/>
      <c r="S155" s="174"/>
      <c r="T155" s="174"/>
      <c r="U155" s="174"/>
      <c r="V155" s="174"/>
      <c r="W155" s="180">
        <v>1.64</v>
      </c>
      <c r="X155" s="174"/>
      <c r="Y155" s="174"/>
      <c r="Z155" s="174"/>
      <c r="AA155" s="174"/>
      <c r="AB155" s="174"/>
      <c r="AC155" s="196">
        <v>13178.17</v>
      </c>
      <c r="AD155" s="174"/>
      <c r="AE155" s="174"/>
    </row>
    <row r="156" spans="1:31" ht="9.75" customHeight="1" x14ac:dyDescent="0.2">
      <c r="A156" s="167" t="s">
        <v>392</v>
      </c>
      <c r="B156" s="176" t="s">
        <v>393</v>
      </c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7"/>
      <c r="R156" s="177"/>
      <c r="S156" s="177"/>
      <c r="T156" s="177"/>
      <c r="U156" s="177"/>
      <c r="V156" s="177"/>
      <c r="W156" s="177"/>
      <c r="X156" s="177"/>
      <c r="Y156" s="177"/>
      <c r="Z156" s="177"/>
      <c r="AA156" s="177"/>
      <c r="AB156" s="177"/>
      <c r="AC156" s="198">
        <v>124552.34</v>
      </c>
      <c r="AD156" s="177"/>
      <c r="AE156" s="177"/>
    </row>
    <row r="157" spans="1:31" ht="19.350000000000001" customHeight="1" x14ac:dyDescent="0.2">
      <c r="A157" s="168" t="s">
        <v>394</v>
      </c>
      <c r="B157" s="179" t="s">
        <v>395</v>
      </c>
      <c r="C157" s="179"/>
      <c r="D157" s="179"/>
      <c r="E157" s="179"/>
      <c r="F157" s="179"/>
      <c r="G157" s="179"/>
      <c r="H157" s="179"/>
      <c r="I157" s="179"/>
      <c r="J157" s="179"/>
      <c r="K157" s="179"/>
      <c r="L157" s="179"/>
      <c r="M157" s="179"/>
      <c r="N157" s="179" t="s">
        <v>267</v>
      </c>
      <c r="O157" s="179"/>
      <c r="P157" s="179"/>
      <c r="Q157" s="195">
        <v>30940.799999999999</v>
      </c>
      <c r="R157" s="174"/>
      <c r="S157" s="174"/>
      <c r="T157" s="174"/>
      <c r="U157" s="174"/>
      <c r="V157" s="174"/>
      <c r="W157" s="180">
        <v>2.66</v>
      </c>
      <c r="X157" s="174"/>
      <c r="Y157" s="174"/>
      <c r="Z157" s="174"/>
      <c r="AA157" s="174"/>
      <c r="AB157" s="174"/>
      <c r="AC157" s="196">
        <v>82302.53</v>
      </c>
      <c r="AD157" s="174"/>
      <c r="AE157" s="174"/>
    </row>
    <row r="158" spans="1:31" ht="19.350000000000001" customHeight="1" x14ac:dyDescent="0.2">
      <c r="A158" s="168" t="s">
        <v>396</v>
      </c>
      <c r="B158" s="179" t="s">
        <v>397</v>
      </c>
      <c r="C158" s="179"/>
      <c r="D158" s="179"/>
      <c r="E158" s="179"/>
      <c r="F158" s="179"/>
      <c r="G158" s="179"/>
      <c r="H158" s="179"/>
      <c r="I158" s="179"/>
      <c r="J158" s="179"/>
      <c r="K158" s="179"/>
      <c r="L158" s="179"/>
      <c r="M158" s="179"/>
      <c r="N158" s="179" t="s">
        <v>267</v>
      </c>
      <c r="O158" s="179"/>
      <c r="P158" s="179"/>
      <c r="Q158" s="173">
        <v>9580.33</v>
      </c>
      <c r="R158" s="174"/>
      <c r="S158" s="174"/>
      <c r="T158" s="174"/>
      <c r="U158" s="174"/>
      <c r="V158" s="174"/>
      <c r="W158" s="180">
        <v>4.41</v>
      </c>
      <c r="X158" s="174"/>
      <c r="Y158" s="174"/>
      <c r="Z158" s="174"/>
      <c r="AA158" s="174"/>
      <c r="AB158" s="174"/>
      <c r="AC158" s="196">
        <v>42249.26</v>
      </c>
      <c r="AD158" s="174"/>
      <c r="AE158" s="174"/>
    </row>
    <row r="159" spans="1:31" ht="19.350000000000001" customHeight="1" x14ac:dyDescent="0.2">
      <c r="A159" s="168" t="s">
        <v>398</v>
      </c>
      <c r="B159" s="179" t="s">
        <v>399</v>
      </c>
      <c r="C159" s="179"/>
      <c r="D159" s="179"/>
      <c r="E159" s="179"/>
      <c r="F159" s="179"/>
      <c r="G159" s="179"/>
      <c r="H159" s="179"/>
      <c r="I159" s="179"/>
      <c r="J159" s="179"/>
      <c r="K159" s="179"/>
      <c r="L159" s="179"/>
      <c r="M159" s="179"/>
      <c r="N159" s="179" t="s">
        <v>267</v>
      </c>
      <c r="O159" s="179"/>
      <c r="P159" s="179"/>
      <c r="Q159" s="180">
        <v>0.06</v>
      </c>
      <c r="R159" s="174"/>
      <c r="S159" s="174"/>
      <c r="T159" s="174"/>
      <c r="U159" s="174"/>
      <c r="V159" s="174"/>
      <c r="W159" s="180">
        <v>9.09</v>
      </c>
      <c r="X159" s="174"/>
      <c r="Y159" s="174"/>
      <c r="Z159" s="174"/>
      <c r="AA159" s="174"/>
      <c r="AB159" s="174"/>
      <c r="AC159" s="204">
        <v>0.55000000000000004</v>
      </c>
      <c r="AD159" s="174"/>
      <c r="AE159" s="174"/>
    </row>
    <row r="160" spans="1:31" ht="9.75" customHeight="1" x14ac:dyDescent="0.2">
      <c r="A160" s="167" t="s">
        <v>400</v>
      </c>
      <c r="B160" s="176" t="s">
        <v>401</v>
      </c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7"/>
      <c r="R160" s="177"/>
      <c r="S160" s="177"/>
      <c r="T160" s="177"/>
      <c r="U160" s="177"/>
      <c r="V160" s="177"/>
      <c r="W160" s="177"/>
      <c r="X160" s="177"/>
      <c r="Y160" s="177"/>
      <c r="Z160" s="177"/>
      <c r="AA160" s="177"/>
      <c r="AB160" s="177"/>
      <c r="AC160" s="198">
        <v>307032.5</v>
      </c>
      <c r="AD160" s="177"/>
      <c r="AE160" s="177"/>
    </row>
    <row r="161" spans="1:31" ht="19.350000000000001" customHeight="1" x14ac:dyDescent="0.2">
      <c r="A161" s="168" t="s">
        <v>402</v>
      </c>
      <c r="B161" s="179" t="s">
        <v>403</v>
      </c>
      <c r="C161" s="179"/>
      <c r="D161" s="179"/>
      <c r="E161" s="179"/>
      <c r="F161" s="179"/>
      <c r="G161" s="179"/>
      <c r="H161" s="179"/>
      <c r="I161" s="179"/>
      <c r="J161" s="179"/>
      <c r="K161" s="179"/>
      <c r="L161" s="179"/>
      <c r="M161" s="179"/>
      <c r="N161" s="179" t="s">
        <v>267</v>
      </c>
      <c r="O161" s="179"/>
      <c r="P161" s="179"/>
      <c r="Q161" s="173">
        <v>6867.96</v>
      </c>
      <c r="R161" s="174"/>
      <c r="S161" s="174"/>
      <c r="T161" s="174"/>
      <c r="U161" s="174"/>
      <c r="V161" s="174"/>
      <c r="W161" s="202">
        <v>36.36</v>
      </c>
      <c r="X161" s="174"/>
      <c r="Y161" s="174"/>
      <c r="Z161" s="174"/>
      <c r="AA161" s="174"/>
      <c r="AB161" s="174"/>
      <c r="AC161" s="200">
        <v>249719.03</v>
      </c>
      <c r="AD161" s="174"/>
      <c r="AE161" s="174"/>
    </row>
    <row r="162" spans="1:31" ht="19.350000000000001" customHeight="1" x14ac:dyDescent="0.2">
      <c r="A162" s="168" t="s">
        <v>404</v>
      </c>
      <c r="B162" s="179" t="s">
        <v>405</v>
      </c>
      <c r="C162" s="179"/>
      <c r="D162" s="179"/>
      <c r="E162" s="179"/>
      <c r="F162" s="179"/>
      <c r="G162" s="179"/>
      <c r="H162" s="179"/>
      <c r="I162" s="179"/>
      <c r="J162" s="179"/>
      <c r="K162" s="179"/>
      <c r="L162" s="179"/>
      <c r="M162" s="179"/>
      <c r="N162" s="179" t="s">
        <v>267</v>
      </c>
      <c r="O162" s="179"/>
      <c r="P162" s="179"/>
      <c r="Q162" s="173">
        <v>3939.07</v>
      </c>
      <c r="R162" s="174"/>
      <c r="S162" s="174"/>
      <c r="T162" s="174"/>
      <c r="U162" s="174"/>
      <c r="V162" s="174"/>
      <c r="W162" s="202">
        <v>14.55</v>
      </c>
      <c r="X162" s="174"/>
      <c r="Y162" s="174"/>
      <c r="Z162" s="174"/>
      <c r="AA162" s="174"/>
      <c r="AB162" s="174"/>
      <c r="AC162" s="196">
        <v>57313.47</v>
      </c>
      <c r="AD162" s="174"/>
      <c r="AE162" s="174"/>
    </row>
    <row r="163" spans="1:31" ht="9.75" customHeight="1" x14ac:dyDescent="0.2">
      <c r="A163" s="167" t="s">
        <v>406</v>
      </c>
      <c r="B163" s="176" t="s">
        <v>407</v>
      </c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7"/>
      <c r="R163" s="177"/>
      <c r="S163" s="177"/>
      <c r="T163" s="177"/>
      <c r="U163" s="177"/>
      <c r="V163" s="177"/>
      <c r="W163" s="177"/>
      <c r="X163" s="177"/>
      <c r="Y163" s="177"/>
      <c r="Z163" s="177"/>
      <c r="AA163" s="177"/>
      <c r="AB163" s="177"/>
      <c r="AC163" s="194">
        <v>33731.32</v>
      </c>
      <c r="AD163" s="177"/>
      <c r="AE163" s="177"/>
    </row>
    <row r="164" spans="1:31" ht="9.6" customHeight="1" x14ac:dyDescent="0.2">
      <c r="A164" s="168" t="s">
        <v>408</v>
      </c>
      <c r="B164" s="179" t="s">
        <v>409</v>
      </c>
      <c r="C164" s="179"/>
      <c r="D164" s="179"/>
      <c r="E164" s="179"/>
      <c r="F164" s="179"/>
      <c r="G164" s="179"/>
      <c r="H164" s="179"/>
      <c r="I164" s="179"/>
      <c r="J164" s="179"/>
      <c r="K164" s="179"/>
      <c r="L164" s="179"/>
      <c r="M164" s="179"/>
      <c r="N164" s="179" t="s">
        <v>267</v>
      </c>
      <c r="O164" s="179"/>
      <c r="P164" s="179"/>
      <c r="Q164" s="202">
        <v>73.38</v>
      </c>
      <c r="R164" s="174"/>
      <c r="S164" s="174"/>
      <c r="T164" s="174"/>
      <c r="U164" s="174"/>
      <c r="V164" s="174"/>
      <c r="W164" s="191">
        <v>459.68</v>
      </c>
      <c r="X164" s="174"/>
      <c r="Y164" s="174"/>
      <c r="Z164" s="174"/>
      <c r="AA164" s="174"/>
      <c r="AB164" s="174"/>
      <c r="AC164" s="196">
        <v>33731.32</v>
      </c>
      <c r="AD164" s="174"/>
      <c r="AE164" s="174"/>
    </row>
    <row r="165" spans="1:31" ht="9.75" customHeight="1" x14ac:dyDescent="0.2">
      <c r="A165" s="167" t="s">
        <v>410</v>
      </c>
      <c r="B165" s="176" t="s">
        <v>411</v>
      </c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  <c r="AA165" s="177"/>
      <c r="AB165" s="177"/>
      <c r="AC165" s="194">
        <v>10670.11</v>
      </c>
      <c r="AD165" s="177"/>
      <c r="AE165" s="177"/>
    </row>
    <row r="166" spans="1:31" ht="9.6" customHeight="1" x14ac:dyDescent="0.2">
      <c r="A166" s="168" t="s">
        <v>412</v>
      </c>
      <c r="B166" s="179" t="s">
        <v>413</v>
      </c>
      <c r="C166" s="179"/>
      <c r="D166" s="179"/>
      <c r="E166" s="179"/>
      <c r="F166" s="179"/>
      <c r="G166" s="179"/>
      <c r="H166" s="179"/>
      <c r="I166" s="179"/>
      <c r="J166" s="179"/>
      <c r="K166" s="179"/>
      <c r="L166" s="179"/>
      <c r="M166" s="179"/>
      <c r="N166" s="179" t="s">
        <v>220</v>
      </c>
      <c r="O166" s="179"/>
      <c r="P166" s="179"/>
      <c r="Q166" s="173">
        <v>1467.69</v>
      </c>
      <c r="R166" s="174"/>
      <c r="S166" s="174"/>
      <c r="T166" s="174"/>
      <c r="U166" s="174"/>
      <c r="V166" s="174"/>
      <c r="W166" s="180">
        <v>7.27</v>
      </c>
      <c r="X166" s="174"/>
      <c r="Y166" s="174"/>
      <c r="Z166" s="174"/>
      <c r="AA166" s="174"/>
      <c r="AB166" s="174"/>
      <c r="AC166" s="196">
        <v>10670.11</v>
      </c>
      <c r="AD166" s="174"/>
      <c r="AE166" s="174"/>
    </row>
    <row r="167" spans="1:31" ht="9.75" customHeight="1" x14ac:dyDescent="0.2">
      <c r="A167" s="167" t="s">
        <v>414</v>
      </c>
      <c r="B167" s="176" t="s">
        <v>415</v>
      </c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7"/>
      <c r="R167" s="177"/>
      <c r="S167" s="177"/>
      <c r="T167" s="177"/>
      <c r="U167" s="177"/>
      <c r="V167" s="177"/>
      <c r="W167" s="177"/>
      <c r="X167" s="177"/>
      <c r="Y167" s="177"/>
      <c r="Z167" s="177"/>
      <c r="AA167" s="177"/>
      <c r="AB167" s="177"/>
      <c r="AC167" s="178">
        <v>2589504.9700000002</v>
      </c>
      <c r="AD167" s="177"/>
      <c r="AE167" s="177"/>
    </row>
    <row r="168" spans="1:31" ht="9.6" customHeight="1" x14ac:dyDescent="0.2">
      <c r="A168" s="168" t="s">
        <v>416</v>
      </c>
      <c r="B168" s="179" t="s">
        <v>417</v>
      </c>
      <c r="C168" s="179"/>
      <c r="D168" s="179"/>
      <c r="E168" s="179"/>
      <c r="F168" s="179"/>
      <c r="G168" s="179"/>
      <c r="H168" s="179"/>
      <c r="I168" s="179"/>
      <c r="J168" s="179"/>
      <c r="K168" s="179"/>
      <c r="L168" s="179"/>
      <c r="M168" s="179"/>
      <c r="N168" s="179" t="s">
        <v>267</v>
      </c>
      <c r="O168" s="179"/>
      <c r="P168" s="179"/>
      <c r="Q168" s="195">
        <v>49803.29</v>
      </c>
      <c r="R168" s="174"/>
      <c r="S168" s="174"/>
      <c r="T168" s="174"/>
      <c r="U168" s="174"/>
      <c r="V168" s="174"/>
      <c r="W168" s="202">
        <v>45.45</v>
      </c>
      <c r="X168" s="174"/>
      <c r="Y168" s="174"/>
      <c r="Z168" s="174"/>
      <c r="AA168" s="174"/>
      <c r="AB168" s="174"/>
      <c r="AC168" s="175">
        <v>2263559.5299999998</v>
      </c>
      <c r="AD168" s="174"/>
      <c r="AE168" s="174"/>
    </row>
    <row r="169" spans="1:31" ht="9.6" customHeight="1" x14ac:dyDescent="0.2">
      <c r="A169" s="168" t="s">
        <v>418</v>
      </c>
      <c r="B169" s="179" t="s">
        <v>419</v>
      </c>
      <c r="C169" s="179"/>
      <c r="D169" s="179"/>
      <c r="E169" s="179"/>
      <c r="F169" s="179"/>
      <c r="G169" s="179"/>
      <c r="H169" s="179"/>
      <c r="I169" s="179"/>
      <c r="J169" s="179"/>
      <c r="K169" s="179"/>
      <c r="L169" s="179"/>
      <c r="M169" s="179"/>
      <c r="N169" s="179" t="s">
        <v>220</v>
      </c>
      <c r="O169" s="179"/>
      <c r="P169" s="179"/>
      <c r="Q169" s="173">
        <v>3807.55</v>
      </c>
      <c r="R169" s="174"/>
      <c r="S169" s="174"/>
      <c r="T169" s="174"/>
      <c r="U169" s="174"/>
      <c r="V169" s="174"/>
      <c r="W169" s="202">
        <v>45.45</v>
      </c>
      <c r="X169" s="174"/>
      <c r="Y169" s="174"/>
      <c r="Z169" s="174"/>
      <c r="AA169" s="174"/>
      <c r="AB169" s="174"/>
      <c r="AC169" s="200">
        <v>173053.15</v>
      </c>
      <c r="AD169" s="174"/>
      <c r="AE169" s="174"/>
    </row>
    <row r="170" spans="1:31" ht="9.6" customHeight="1" x14ac:dyDescent="0.2">
      <c r="A170" s="168" t="s">
        <v>420</v>
      </c>
      <c r="B170" s="179" t="s">
        <v>421</v>
      </c>
      <c r="C170" s="179"/>
      <c r="D170" s="179"/>
      <c r="E170" s="179"/>
      <c r="F170" s="179"/>
      <c r="G170" s="179"/>
      <c r="H170" s="179"/>
      <c r="I170" s="179"/>
      <c r="J170" s="179"/>
      <c r="K170" s="179"/>
      <c r="L170" s="179"/>
      <c r="M170" s="179"/>
      <c r="N170" s="179" t="s">
        <v>267</v>
      </c>
      <c r="O170" s="179"/>
      <c r="P170" s="179"/>
      <c r="Q170" s="173">
        <v>2242.48</v>
      </c>
      <c r="R170" s="174"/>
      <c r="S170" s="174"/>
      <c r="T170" s="174"/>
      <c r="U170" s="174"/>
      <c r="V170" s="174"/>
      <c r="W170" s="202">
        <v>68.180000000000007</v>
      </c>
      <c r="X170" s="174"/>
      <c r="Y170" s="174"/>
      <c r="Z170" s="174"/>
      <c r="AA170" s="174"/>
      <c r="AB170" s="174"/>
      <c r="AC170" s="200">
        <v>152892.29</v>
      </c>
      <c r="AD170" s="174"/>
      <c r="AE170" s="174"/>
    </row>
    <row r="171" spans="1:31" ht="9.75" customHeight="1" x14ac:dyDescent="0.2">
      <c r="A171" s="167" t="s">
        <v>422</v>
      </c>
      <c r="B171" s="176" t="s">
        <v>423</v>
      </c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7"/>
      <c r="R171" s="177"/>
      <c r="S171" s="177"/>
      <c r="T171" s="177"/>
      <c r="U171" s="177"/>
      <c r="V171" s="177"/>
      <c r="W171" s="177"/>
      <c r="X171" s="177"/>
      <c r="Y171" s="177"/>
      <c r="Z171" s="177"/>
      <c r="AA171" s="177"/>
      <c r="AB171" s="177"/>
      <c r="AC171" s="178">
        <v>4008546.28</v>
      </c>
      <c r="AD171" s="177"/>
      <c r="AE171" s="177"/>
    </row>
    <row r="172" spans="1:31" ht="9.75" customHeight="1" x14ac:dyDescent="0.2">
      <c r="A172" s="167" t="s">
        <v>424</v>
      </c>
      <c r="B172" s="176" t="s">
        <v>425</v>
      </c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7"/>
      <c r="R172" s="177"/>
      <c r="S172" s="177"/>
      <c r="T172" s="177"/>
      <c r="U172" s="177"/>
      <c r="V172" s="177"/>
      <c r="W172" s="177"/>
      <c r="X172" s="177"/>
      <c r="Y172" s="177"/>
      <c r="Z172" s="177"/>
      <c r="AA172" s="177"/>
      <c r="AB172" s="177"/>
      <c r="AC172" s="178">
        <v>1703821.12</v>
      </c>
      <c r="AD172" s="177"/>
      <c r="AE172" s="177"/>
    </row>
    <row r="173" spans="1:31" ht="9.6" customHeight="1" x14ac:dyDescent="0.2">
      <c r="A173" s="168" t="s">
        <v>426</v>
      </c>
      <c r="B173" s="179" t="s">
        <v>427</v>
      </c>
      <c r="C173" s="179"/>
      <c r="D173" s="179"/>
      <c r="E173" s="179"/>
      <c r="F173" s="179"/>
      <c r="G173" s="179"/>
      <c r="H173" s="179"/>
      <c r="I173" s="179"/>
      <c r="J173" s="179"/>
      <c r="K173" s="179"/>
      <c r="L173" s="179"/>
      <c r="M173" s="179"/>
      <c r="N173" s="179" t="s">
        <v>223</v>
      </c>
      <c r="O173" s="179"/>
      <c r="P173" s="179"/>
      <c r="Q173" s="173">
        <v>2928</v>
      </c>
      <c r="R173" s="174"/>
      <c r="S173" s="174"/>
      <c r="T173" s="174"/>
      <c r="U173" s="174"/>
      <c r="V173" s="174"/>
      <c r="W173" s="191">
        <v>356</v>
      </c>
      <c r="X173" s="174"/>
      <c r="Y173" s="174"/>
      <c r="Z173" s="174"/>
      <c r="AA173" s="174"/>
      <c r="AB173" s="174"/>
      <c r="AC173" s="175">
        <v>1042368</v>
      </c>
      <c r="AD173" s="174"/>
      <c r="AE173" s="174"/>
    </row>
    <row r="174" spans="1:31" ht="9.6" customHeight="1" x14ac:dyDescent="0.2">
      <c r="A174" s="168" t="s">
        <v>428</v>
      </c>
      <c r="B174" s="179" t="s">
        <v>429</v>
      </c>
      <c r="C174" s="179"/>
      <c r="D174" s="179"/>
      <c r="E174" s="179"/>
      <c r="F174" s="179"/>
      <c r="G174" s="179"/>
      <c r="H174" s="179"/>
      <c r="I174" s="179"/>
      <c r="J174" s="179"/>
      <c r="K174" s="179"/>
      <c r="L174" s="179"/>
      <c r="M174" s="179"/>
      <c r="N174" s="179" t="s">
        <v>223</v>
      </c>
      <c r="O174" s="179"/>
      <c r="P174" s="179"/>
      <c r="Q174" s="173">
        <v>1808</v>
      </c>
      <c r="R174" s="174"/>
      <c r="S174" s="174"/>
      <c r="T174" s="174"/>
      <c r="U174" s="174"/>
      <c r="V174" s="174"/>
      <c r="W174" s="191">
        <v>101.44</v>
      </c>
      <c r="X174" s="174"/>
      <c r="Y174" s="174"/>
      <c r="Z174" s="174"/>
      <c r="AA174" s="174"/>
      <c r="AB174" s="174"/>
      <c r="AC174" s="200">
        <v>183403.51999999999</v>
      </c>
      <c r="AD174" s="174"/>
      <c r="AE174" s="174"/>
    </row>
    <row r="175" spans="1:31" ht="9.6" customHeight="1" x14ac:dyDescent="0.2">
      <c r="A175" s="168" t="s">
        <v>430</v>
      </c>
      <c r="B175" s="179" t="s">
        <v>431</v>
      </c>
      <c r="C175" s="179"/>
      <c r="D175" s="179"/>
      <c r="E175" s="179"/>
      <c r="F175" s="179"/>
      <c r="G175" s="179"/>
      <c r="H175" s="179"/>
      <c r="I175" s="179"/>
      <c r="J175" s="179"/>
      <c r="K175" s="179"/>
      <c r="L175" s="179"/>
      <c r="M175" s="179"/>
      <c r="N175" s="179" t="s">
        <v>223</v>
      </c>
      <c r="O175" s="179"/>
      <c r="P175" s="179"/>
      <c r="Q175" s="173">
        <v>3996</v>
      </c>
      <c r="R175" s="174"/>
      <c r="S175" s="174"/>
      <c r="T175" s="174"/>
      <c r="U175" s="174"/>
      <c r="V175" s="174"/>
      <c r="W175" s="191">
        <v>112.6</v>
      </c>
      <c r="X175" s="174"/>
      <c r="Y175" s="174"/>
      <c r="Z175" s="174"/>
      <c r="AA175" s="174"/>
      <c r="AB175" s="174"/>
      <c r="AC175" s="200">
        <v>449949.6</v>
      </c>
      <c r="AD175" s="174"/>
      <c r="AE175" s="174"/>
    </row>
    <row r="176" spans="1:31" ht="9.6" customHeight="1" x14ac:dyDescent="0.2">
      <c r="A176" s="168" t="s">
        <v>432</v>
      </c>
      <c r="B176" s="179" t="s">
        <v>433</v>
      </c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 t="s">
        <v>112</v>
      </c>
      <c r="O176" s="179"/>
      <c r="P176" s="179"/>
      <c r="Q176" s="180">
        <v>1</v>
      </c>
      <c r="R176" s="174"/>
      <c r="S176" s="174"/>
      <c r="T176" s="174"/>
      <c r="U176" s="174"/>
      <c r="V176" s="174"/>
      <c r="W176" s="195">
        <v>15600</v>
      </c>
      <c r="X176" s="174"/>
      <c r="Y176" s="174"/>
      <c r="Z176" s="174"/>
      <c r="AA176" s="174"/>
      <c r="AB176" s="174"/>
      <c r="AC176" s="196">
        <v>15600</v>
      </c>
      <c r="AD176" s="174"/>
      <c r="AE176" s="174"/>
    </row>
    <row r="177" spans="1:31" ht="9.6" customHeight="1" x14ac:dyDescent="0.2">
      <c r="A177" s="168" t="s">
        <v>434</v>
      </c>
      <c r="B177" s="179" t="s">
        <v>435</v>
      </c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 t="s">
        <v>112</v>
      </c>
      <c r="O177" s="179"/>
      <c r="P177" s="179"/>
      <c r="Q177" s="180">
        <v>1</v>
      </c>
      <c r="R177" s="174"/>
      <c r="S177" s="174"/>
      <c r="T177" s="174"/>
      <c r="U177" s="174"/>
      <c r="V177" s="174"/>
      <c r="W177" s="195">
        <v>12500</v>
      </c>
      <c r="X177" s="174"/>
      <c r="Y177" s="174"/>
      <c r="Z177" s="174"/>
      <c r="AA177" s="174"/>
      <c r="AB177" s="174"/>
      <c r="AC177" s="196">
        <v>12500</v>
      </c>
      <c r="AD177" s="174"/>
      <c r="AE177" s="174"/>
    </row>
    <row r="178" spans="1:31" ht="9.75" customHeight="1" x14ac:dyDescent="0.2">
      <c r="A178" s="167" t="s">
        <v>436</v>
      </c>
      <c r="B178" s="176" t="s">
        <v>437</v>
      </c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7"/>
      <c r="R178" s="177"/>
      <c r="S178" s="177"/>
      <c r="T178" s="177"/>
      <c r="U178" s="177"/>
      <c r="V178" s="177"/>
      <c r="W178" s="177"/>
      <c r="X178" s="177"/>
      <c r="Y178" s="177"/>
      <c r="Z178" s="177"/>
      <c r="AA178" s="177"/>
      <c r="AB178" s="177"/>
      <c r="AC178" s="198">
        <v>814385.87</v>
      </c>
      <c r="AD178" s="177"/>
      <c r="AE178" s="177"/>
    </row>
    <row r="179" spans="1:31" ht="9.6" customHeight="1" x14ac:dyDescent="0.2">
      <c r="A179" s="168" t="s">
        <v>438</v>
      </c>
      <c r="B179" s="179" t="s">
        <v>439</v>
      </c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 t="s">
        <v>440</v>
      </c>
      <c r="O179" s="179"/>
      <c r="P179" s="179"/>
      <c r="Q179" s="173">
        <v>9802</v>
      </c>
      <c r="R179" s="174"/>
      <c r="S179" s="174"/>
      <c r="T179" s="174"/>
      <c r="U179" s="174"/>
      <c r="V179" s="174"/>
      <c r="W179" s="180">
        <v>8.2885000000000009</v>
      </c>
      <c r="X179" s="174"/>
      <c r="Y179" s="174"/>
      <c r="Z179" s="174"/>
      <c r="AA179" s="174"/>
      <c r="AB179" s="174"/>
      <c r="AC179" s="196">
        <v>81243.88</v>
      </c>
      <c r="AD179" s="174"/>
      <c r="AE179" s="174"/>
    </row>
    <row r="180" spans="1:31" ht="9.6" customHeight="1" x14ac:dyDescent="0.2">
      <c r="A180" s="168" t="s">
        <v>441</v>
      </c>
      <c r="B180" s="179" t="s">
        <v>442</v>
      </c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 t="s">
        <v>440</v>
      </c>
      <c r="O180" s="179"/>
      <c r="P180" s="179"/>
      <c r="Q180" s="173">
        <v>3460</v>
      </c>
      <c r="R180" s="174"/>
      <c r="S180" s="174"/>
      <c r="T180" s="174"/>
      <c r="U180" s="174"/>
      <c r="V180" s="174"/>
      <c r="W180" s="180">
        <v>7.6778000000000004</v>
      </c>
      <c r="X180" s="174"/>
      <c r="Y180" s="174"/>
      <c r="Z180" s="174"/>
      <c r="AA180" s="174"/>
      <c r="AB180" s="174"/>
      <c r="AC180" s="196">
        <v>26565.19</v>
      </c>
      <c r="AD180" s="174"/>
      <c r="AE180" s="174"/>
    </row>
    <row r="181" spans="1:31" ht="9.6" customHeight="1" x14ac:dyDescent="0.2">
      <c r="A181" s="168" t="s">
        <v>443</v>
      </c>
      <c r="B181" s="179" t="s">
        <v>444</v>
      </c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 t="s">
        <v>440</v>
      </c>
      <c r="O181" s="179"/>
      <c r="P181" s="179"/>
      <c r="Q181" s="195">
        <v>19430</v>
      </c>
      <c r="R181" s="174"/>
      <c r="S181" s="174"/>
      <c r="T181" s="174"/>
      <c r="U181" s="174"/>
      <c r="V181" s="174"/>
      <c r="W181" s="180">
        <v>7.6390000000000002</v>
      </c>
      <c r="X181" s="174"/>
      <c r="Y181" s="174"/>
      <c r="Z181" s="174"/>
      <c r="AA181" s="174"/>
      <c r="AB181" s="174"/>
      <c r="AC181" s="200">
        <v>148425.76999999999</v>
      </c>
      <c r="AD181" s="174"/>
      <c r="AE181" s="174"/>
    </row>
    <row r="182" spans="1:31" ht="9.6" customHeight="1" x14ac:dyDescent="0.2">
      <c r="A182" s="168" t="s">
        <v>445</v>
      </c>
      <c r="B182" s="179" t="s">
        <v>446</v>
      </c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 t="s">
        <v>440</v>
      </c>
      <c r="O182" s="179"/>
      <c r="P182" s="179"/>
      <c r="Q182" s="195">
        <v>71751</v>
      </c>
      <c r="R182" s="174"/>
      <c r="S182" s="174"/>
      <c r="T182" s="174"/>
      <c r="U182" s="174"/>
      <c r="V182" s="174"/>
      <c r="W182" s="180">
        <v>7.7789999999999999</v>
      </c>
      <c r="X182" s="174"/>
      <c r="Y182" s="174"/>
      <c r="Z182" s="174"/>
      <c r="AA182" s="174"/>
      <c r="AB182" s="174"/>
      <c r="AC182" s="200">
        <v>558151.03</v>
      </c>
      <c r="AD182" s="174"/>
      <c r="AE182" s="174"/>
    </row>
    <row r="183" spans="1:31" ht="9.75" customHeight="1" x14ac:dyDescent="0.2">
      <c r="A183" s="167" t="s">
        <v>447</v>
      </c>
      <c r="B183" s="176" t="s">
        <v>448</v>
      </c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7"/>
      <c r="R183" s="177"/>
      <c r="S183" s="177"/>
      <c r="T183" s="177"/>
      <c r="U183" s="177"/>
      <c r="V183" s="177"/>
      <c r="W183" s="177"/>
      <c r="X183" s="177"/>
      <c r="Y183" s="177"/>
      <c r="Z183" s="177"/>
      <c r="AA183" s="177"/>
      <c r="AB183" s="177"/>
      <c r="AC183" s="178">
        <v>1334939.29</v>
      </c>
      <c r="AD183" s="177"/>
      <c r="AE183" s="177"/>
    </row>
    <row r="184" spans="1:31" ht="9.6" customHeight="1" x14ac:dyDescent="0.2">
      <c r="A184" s="168" t="s">
        <v>449</v>
      </c>
      <c r="B184" s="179" t="s">
        <v>450</v>
      </c>
      <c r="C184" s="179"/>
      <c r="D184" s="179"/>
      <c r="E184" s="179"/>
      <c r="F184" s="179"/>
      <c r="G184" s="179"/>
      <c r="H184" s="179"/>
      <c r="I184" s="179"/>
      <c r="J184" s="179"/>
      <c r="K184" s="179"/>
      <c r="L184" s="179"/>
      <c r="M184" s="179"/>
      <c r="N184" s="179" t="s">
        <v>267</v>
      </c>
      <c r="O184" s="179"/>
      <c r="P184" s="179"/>
      <c r="Q184" s="173">
        <v>1357.5</v>
      </c>
      <c r="R184" s="174"/>
      <c r="S184" s="174"/>
      <c r="T184" s="174"/>
      <c r="U184" s="174"/>
      <c r="V184" s="174"/>
      <c r="W184" s="191">
        <v>735.60220000000004</v>
      </c>
      <c r="X184" s="174"/>
      <c r="Y184" s="174"/>
      <c r="Z184" s="174"/>
      <c r="AA184" s="174"/>
      <c r="AB184" s="174"/>
      <c r="AC184" s="200">
        <v>998579.99</v>
      </c>
      <c r="AD184" s="174"/>
      <c r="AE184" s="174"/>
    </row>
    <row r="185" spans="1:31" ht="9.6" customHeight="1" x14ac:dyDescent="0.2">
      <c r="A185" s="168" t="s">
        <v>451</v>
      </c>
      <c r="B185" s="179" t="s">
        <v>452</v>
      </c>
      <c r="C185" s="179"/>
      <c r="D185" s="179"/>
      <c r="E185" s="179"/>
      <c r="F185" s="179"/>
      <c r="G185" s="179"/>
      <c r="H185" s="179"/>
      <c r="I185" s="179"/>
      <c r="J185" s="179"/>
      <c r="K185" s="179"/>
      <c r="L185" s="179"/>
      <c r="M185" s="179"/>
      <c r="N185" s="179" t="s">
        <v>267</v>
      </c>
      <c r="O185" s="179"/>
      <c r="P185" s="179"/>
      <c r="Q185" s="191">
        <v>323.08</v>
      </c>
      <c r="R185" s="174"/>
      <c r="S185" s="174"/>
      <c r="T185" s="174"/>
      <c r="U185" s="174"/>
      <c r="V185" s="174"/>
      <c r="W185" s="173">
        <v>1041.1022</v>
      </c>
      <c r="X185" s="174"/>
      <c r="Y185" s="174"/>
      <c r="Z185" s="174"/>
      <c r="AA185" s="174"/>
      <c r="AB185" s="174"/>
      <c r="AC185" s="200">
        <v>336359.3</v>
      </c>
      <c r="AD185" s="174"/>
      <c r="AE185" s="174"/>
    </row>
    <row r="186" spans="1:31" ht="9.75" customHeight="1" x14ac:dyDescent="0.2">
      <c r="A186" s="167" t="s">
        <v>453</v>
      </c>
      <c r="B186" s="176" t="s">
        <v>454</v>
      </c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7"/>
      <c r="R186" s="177"/>
      <c r="S186" s="177"/>
      <c r="T186" s="177"/>
      <c r="U186" s="177"/>
      <c r="V186" s="177"/>
      <c r="W186" s="177"/>
      <c r="X186" s="177"/>
      <c r="Y186" s="177"/>
      <c r="Z186" s="177"/>
      <c r="AA186" s="177"/>
      <c r="AB186" s="177"/>
      <c r="AC186" s="198">
        <v>155400</v>
      </c>
      <c r="AD186" s="177"/>
      <c r="AE186" s="177"/>
    </row>
    <row r="187" spans="1:31" ht="9.6" customHeight="1" x14ac:dyDescent="0.2">
      <c r="A187" s="168" t="s">
        <v>455</v>
      </c>
      <c r="B187" s="179" t="s">
        <v>456</v>
      </c>
      <c r="C187" s="179"/>
      <c r="D187" s="179"/>
      <c r="E187" s="179"/>
      <c r="F187" s="179"/>
      <c r="G187" s="179"/>
      <c r="H187" s="179"/>
      <c r="I187" s="179"/>
      <c r="J187" s="179"/>
      <c r="K187" s="179"/>
      <c r="L187" s="179"/>
      <c r="M187" s="179"/>
      <c r="N187" s="179" t="s">
        <v>137</v>
      </c>
      <c r="O187" s="179"/>
      <c r="P187" s="179"/>
      <c r="Q187" s="191">
        <v>518</v>
      </c>
      <c r="R187" s="174"/>
      <c r="S187" s="174"/>
      <c r="T187" s="174"/>
      <c r="U187" s="174"/>
      <c r="V187" s="174"/>
      <c r="W187" s="191">
        <v>300</v>
      </c>
      <c r="X187" s="174"/>
      <c r="Y187" s="174"/>
      <c r="Z187" s="174"/>
      <c r="AA187" s="174"/>
      <c r="AB187" s="174"/>
      <c r="AC187" s="200">
        <v>155400</v>
      </c>
      <c r="AD187" s="174"/>
      <c r="AE187" s="174"/>
    </row>
    <row r="188" spans="1:31" ht="9.75" customHeight="1" x14ac:dyDescent="0.2">
      <c r="A188" s="167" t="s">
        <v>457</v>
      </c>
      <c r="B188" s="176" t="s">
        <v>50</v>
      </c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7"/>
      <c r="R188" s="177"/>
      <c r="S188" s="177"/>
      <c r="T188" s="177"/>
      <c r="U188" s="177"/>
      <c r="V188" s="177"/>
      <c r="W188" s="177"/>
      <c r="X188" s="177"/>
      <c r="Y188" s="177"/>
      <c r="Z188" s="177"/>
      <c r="AA188" s="177"/>
      <c r="AB188" s="177"/>
      <c r="AC188" s="178">
        <v>5038678.71</v>
      </c>
      <c r="AD188" s="177"/>
      <c r="AE188" s="177"/>
    </row>
    <row r="189" spans="1:31" ht="9.75" customHeight="1" x14ac:dyDescent="0.2">
      <c r="A189" s="167" t="s">
        <v>458</v>
      </c>
      <c r="B189" s="176" t="s">
        <v>459</v>
      </c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7"/>
      <c r="R189" s="177"/>
      <c r="S189" s="177"/>
      <c r="T189" s="177"/>
      <c r="U189" s="177"/>
      <c r="V189" s="177"/>
      <c r="W189" s="177"/>
      <c r="X189" s="177"/>
      <c r="Y189" s="177"/>
      <c r="Z189" s="177"/>
      <c r="AA189" s="177"/>
      <c r="AB189" s="177"/>
      <c r="AC189" s="178">
        <v>3524448.54</v>
      </c>
      <c r="AD189" s="177"/>
      <c r="AE189" s="177"/>
    </row>
    <row r="190" spans="1:31" ht="9.6" customHeight="1" x14ac:dyDescent="0.2">
      <c r="A190" s="168" t="s">
        <v>460</v>
      </c>
      <c r="B190" s="179" t="s">
        <v>461</v>
      </c>
      <c r="C190" s="179"/>
      <c r="D190" s="179"/>
      <c r="E190" s="179"/>
      <c r="F190" s="179"/>
      <c r="G190" s="179"/>
      <c r="H190" s="179"/>
      <c r="I190" s="179"/>
      <c r="J190" s="179"/>
      <c r="K190" s="179"/>
      <c r="L190" s="179"/>
      <c r="M190" s="179"/>
      <c r="N190" s="179" t="s">
        <v>112</v>
      </c>
      <c r="O190" s="179"/>
      <c r="P190" s="179"/>
      <c r="Q190" s="180">
        <v>1</v>
      </c>
      <c r="R190" s="174"/>
      <c r="S190" s="174"/>
      <c r="T190" s="174"/>
      <c r="U190" s="174"/>
      <c r="V190" s="174"/>
      <c r="W190" s="181">
        <v>2168706</v>
      </c>
      <c r="X190" s="174"/>
      <c r="Y190" s="174"/>
      <c r="Z190" s="174"/>
      <c r="AA190" s="174"/>
      <c r="AB190" s="174"/>
      <c r="AC190" s="175">
        <v>2168706</v>
      </c>
      <c r="AD190" s="174"/>
      <c r="AE190" s="174"/>
    </row>
    <row r="191" spans="1:31" ht="19.350000000000001" customHeight="1" x14ac:dyDescent="0.2">
      <c r="A191" s="168" t="s">
        <v>462</v>
      </c>
      <c r="B191" s="179" t="s">
        <v>463</v>
      </c>
      <c r="C191" s="179"/>
      <c r="D191" s="179"/>
      <c r="E191" s="179"/>
      <c r="F191" s="179"/>
      <c r="G191" s="179"/>
      <c r="H191" s="179"/>
      <c r="I191" s="179"/>
      <c r="J191" s="179"/>
      <c r="K191" s="179"/>
      <c r="L191" s="179"/>
      <c r="M191" s="179"/>
      <c r="N191" s="179" t="s">
        <v>220</v>
      </c>
      <c r="O191" s="179"/>
      <c r="P191" s="179"/>
      <c r="Q191" s="191">
        <v>132</v>
      </c>
      <c r="R191" s="174"/>
      <c r="S191" s="174"/>
      <c r="T191" s="174"/>
      <c r="U191" s="174"/>
      <c r="V191" s="174"/>
      <c r="W191" s="202">
        <v>68.302400000000006</v>
      </c>
      <c r="X191" s="174"/>
      <c r="Y191" s="174"/>
      <c r="Z191" s="174"/>
      <c r="AA191" s="174"/>
      <c r="AB191" s="174"/>
      <c r="AC191" s="201">
        <v>9015.92</v>
      </c>
      <c r="AD191" s="174"/>
      <c r="AE191" s="174"/>
    </row>
    <row r="192" spans="1:31" ht="19.350000000000001" customHeight="1" x14ac:dyDescent="0.2">
      <c r="A192" s="168" t="s">
        <v>464</v>
      </c>
      <c r="B192" s="179" t="s">
        <v>465</v>
      </c>
      <c r="C192" s="179"/>
      <c r="D192" s="179"/>
      <c r="E192" s="179"/>
      <c r="F192" s="179"/>
      <c r="G192" s="179"/>
      <c r="H192" s="179"/>
      <c r="I192" s="179"/>
      <c r="J192" s="179"/>
      <c r="K192" s="179"/>
      <c r="L192" s="179"/>
      <c r="M192" s="179"/>
      <c r="N192" s="179" t="s">
        <v>220</v>
      </c>
      <c r="O192" s="179"/>
      <c r="P192" s="179"/>
      <c r="Q192" s="191">
        <v>517</v>
      </c>
      <c r="R192" s="174"/>
      <c r="S192" s="174"/>
      <c r="T192" s="174"/>
      <c r="U192" s="174"/>
      <c r="V192" s="174"/>
      <c r="W192" s="202">
        <v>94.306799999999996</v>
      </c>
      <c r="X192" s="174"/>
      <c r="Y192" s="174"/>
      <c r="Z192" s="174"/>
      <c r="AA192" s="174"/>
      <c r="AB192" s="174"/>
      <c r="AC192" s="196">
        <v>48756.62</v>
      </c>
      <c r="AD192" s="174"/>
      <c r="AE192" s="174"/>
    </row>
    <row r="193" spans="1:31" ht="9.6" customHeight="1" x14ac:dyDescent="0.2">
      <c r="A193" s="168" t="s">
        <v>466</v>
      </c>
      <c r="B193" s="179" t="s">
        <v>467</v>
      </c>
      <c r="C193" s="179"/>
      <c r="D193" s="179"/>
      <c r="E193" s="179"/>
      <c r="F193" s="179"/>
      <c r="G193" s="179"/>
      <c r="H193" s="179"/>
      <c r="I193" s="179"/>
      <c r="J193" s="179"/>
      <c r="K193" s="179"/>
      <c r="L193" s="179"/>
      <c r="M193" s="179"/>
      <c r="N193" s="179" t="s">
        <v>112</v>
      </c>
      <c r="O193" s="179"/>
      <c r="P193" s="179"/>
      <c r="Q193" s="180">
        <v>1</v>
      </c>
      <c r="R193" s="174"/>
      <c r="S193" s="174"/>
      <c r="T193" s="174"/>
      <c r="U193" s="174"/>
      <c r="V193" s="174"/>
      <c r="W193" s="199">
        <v>854625</v>
      </c>
      <c r="X193" s="174"/>
      <c r="Y193" s="174"/>
      <c r="Z193" s="174"/>
      <c r="AA193" s="174"/>
      <c r="AB193" s="174"/>
      <c r="AC193" s="200">
        <v>854625</v>
      </c>
      <c r="AD193" s="174"/>
      <c r="AE193" s="174"/>
    </row>
    <row r="194" spans="1:31" ht="9.6" customHeight="1" x14ac:dyDescent="0.2">
      <c r="A194" s="168" t="s">
        <v>468</v>
      </c>
      <c r="B194" s="179" t="s">
        <v>469</v>
      </c>
      <c r="C194" s="179"/>
      <c r="D194" s="179"/>
      <c r="E194" s="179"/>
      <c r="F194" s="179"/>
      <c r="G194" s="179"/>
      <c r="H194" s="179"/>
      <c r="I194" s="179"/>
      <c r="J194" s="179"/>
      <c r="K194" s="179"/>
      <c r="L194" s="179"/>
      <c r="M194" s="179"/>
      <c r="N194" s="179" t="s">
        <v>112</v>
      </c>
      <c r="O194" s="179"/>
      <c r="P194" s="179"/>
      <c r="Q194" s="180">
        <v>1</v>
      </c>
      <c r="R194" s="174"/>
      <c r="S194" s="174"/>
      <c r="T194" s="174"/>
      <c r="U194" s="174"/>
      <c r="V194" s="174"/>
      <c r="W194" s="199">
        <v>443345</v>
      </c>
      <c r="X194" s="174"/>
      <c r="Y194" s="174"/>
      <c r="Z194" s="174"/>
      <c r="AA194" s="174"/>
      <c r="AB194" s="174"/>
      <c r="AC194" s="200">
        <v>443345</v>
      </c>
      <c r="AD194" s="174"/>
      <c r="AE194" s="174"/>
    </row>
    <row r="195" spans="1:31" ht="9.75" customHeight="1" x14ac:dyDescent="0.2">
      <c r="A195" s="167" t="s">
        <v>470</v>
      </c>
      <c r="B195" s="176" t="s">
        <v>471</v>
      </c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7"/>
      <c r="R195" s="177"/>
      <c r="S195" s="177"/>
      <c r="T195" s="177"/>
      <c r="U195" s="177"/>
      <c r="V195" s="177"/>
      <c r="W195" s="177"/>
      <c r="X195" s="177"/>
      <c r="Y195" s="177"/>
      <c r="Z195" s="177"/>
      <c r="AA195" s="177"/>
      <c r="AB195" s="177"/>
      <c r="AC195" s="198">
        <v>498308.31</v>
      </c>
      <c r="AD195" s="177"/>
      <c r="AE195" s="177"/>
    </row>
    <row r="196" spans="1:31" ht="9.6" customHeight="1" x14ac:dyDescent="0.2">
      <c r="A196" s="168" t="s">
        <v>472</v>
      </c>
      <c r="B196" s="179" t="s">
        <v>473</v>
      </c>
      <c r="C196" s="179"/>
      <c r="D196" s="179"/>
      <c r="E196" s="179"/>
      <c r="F196" s="179"/>
      <c r="G196" s="179"/>
      <c r="H196" s="179"/>
      <c r="I196" s="179"/>
      <c r="J196" s="179"/>
      <c r="K196" s="179"/>
      <c r="L196" s="179"/>
      <c r="M196" s="179"/>
      <c r="N196" s="179" t="s">
        <v>440</v>
      </c>
      <c r="O196" s="179"/>
      <c r="P196" s="179"/>
      <c r="Q196" s="195">
        <v>15266.63</v>
      </c>
      <c r="R196" s="174"/>
      <c r="S196" s="174"/>
      <c r="T196" s="174"/>
      <c r="U196" s="174"/>
      <c r="V196" s="174"/>
      <c r="W196" s="180">
        <v>7.4527999999999999</v>
      </c>
      <c r="X196" s="174"/>
      <c r="Y196" s="174"/>
      <c r="Z196" s="174"/>
      <c r="AA196" s="174"/>
      <c r="AB196" s="174"/>
      <c r="AC196" s="200">
        <v>113779.14</v>
      </c>
      <c r="AD196" s="174"/>
      <c r="AE196" s="174"/>
    </row>
    <row r="197" spans="1:31" ht="9.6" customHeight="1" x14ac:dyDescent="0.2">
      <c r="A197" s="168" t="s">
        <v>474</v>
      </c>
      <c r="B197" s="179" t="s">
        <v>475</v>
      </c>
      <c r="C197" s="179"/>
      <c r="D197" s="179"/>
      <c r="E197" s="179"/>
      <c r="F197" s="179"/>
      <c r="G197" s="179"/>
      <c r="H197" s="179"/>
      <c r="I197" s="179"/>
      <c r="J197" s="179"/>
      <c r="K197" s="179"/>
      <c r="L197" s="179"/>
      <c r="M197" s="179"/>
      <c r="N197" s="179" t="s">
        <v>440</v>
      </c>
      <c r="O197" s="179"/>
      <c r="P197" s="179"/>
      <c r="Q197" s="173">
        <v>2305.35</v>
      </c>
      <c r="R197" s="174"/>
      <c r="S197" s="174"/>
      <c r="T197" s="174"/>
      <c r="U197" s="174"/>
      <c r="V197" s="174"/>
      <c r="W197" s="180">
        <v>7.3975999999999997</v>
      </c>
      <c r="X197" s="174"/>
      <c r="Y197" s="174"/>
      <c r="Z197" s="174"/>
      <c r="AA197" s="174"/>
      <c r="AB197" s="174"/>
      <c r="AC197" s="196">
        <v>17054.060000000001</v>
      </c>
      <c r="AD197" s="174"/>
      <c r="AE197" s="174"/>
    </row>
    <row r="198" spans="1:31" ht="19.350000000000001" customHeight="1" x14ac:dyDescent="0.2">
      <c r="A198" s="168" t="s">
        <v>476</v>
      </c>
      <c r="B198" s="179" t="s">
        <v>477</v>
      </c>
      <c r="C198" s="179"/>
      <c r="D198" s="179"/>
      <c r="E198" s="179"/>
      <c r="F198" s="179"/>
      <c r="G198" s="179"/>
      <c r="H198" s="179"/>
      <c r="I198" s="179"/>
      <c r="J198" s="179"/>
      <c r="K198" s="179"/>
      <c r="L198" s="179"/>
      <c r="M198" s="179"/>
      <c r="N198" s="179" t="s">
        <v>440</v>
      </c>
      <c r="O198" s="179"/>
      <c r="P198" s="179"/>
      <c r="Q198" s="173">
        <v>4661.0200000000004</v>
      </c>
      <c r="R198" s="174"/>
      <c r="S198" s="174"/>
      <c r="T198" s="174"/>
      <c r="U198" s="174"/>
      <c r="V198" s="174"/>
      <c r="W198" s="180">
        <v>7.0688000000000004</v>
      </c>
      <c r="X198" s="174"/>
      <c r="Y198" s="174"/>
      <c r="Z198" s="174"/>
      <c r="AA198" s="174"/>
      <c r="AB198" s="174"/>
      <c r="AC198" s="196">
        <v>32947.82</v>
      </c>
      <c r="AD198" s="174"/>
      <c r="AE198" s="174"/>
    </row>
    <row r="199" spans="1:31" ht="19.350000000000001" customHeight="1" x14ac:dyDescent="0.2">
      <c r="A199" s="168" t="s">
        <v>478</v>
      </c>
      <c r="B199" s="179" t="s">
        <v>479</v>
      </c>
      <c r="C199" s="179"/>
      <c r="D199" s="179"/>
      <c r="E199" s="179"/>
      <c r="F199" s="179"/>
      <c r="G199" s="179"/>
      <c r="H199" s="179"/>
      <c r="I199" s="179"/>
      <c r="J199" s="179"/>
      <c r="K199" s="179"/>
      <c r="L199" s="179"/>
      <c r="M199" s="179"/>
      <c r="N199" s="179" t="s">
        <v>440</v>
      </c>
      <c r="O199" s="179"/>
      <c r="P199" s="179"/>
      <c r="Q199" s="173">
        <v>3811</v>
      </c>
      <c r="R199" s="174"/>
      <c r="S199" s="174"/>
      <c r="T199" s="174"/>
      <c r="U199" s="174"/>
      <c r="V199" s="174"/>
      <c r="W199" s="180">
        <v>6.8581000000000003</v>
      </c>
      <c r="X199" s="174"/>
      <c r="Y199" s="174"/>
      <c r="Z199" s="174"/>
      <c r="AA199" s="174"/>
      <c r="AB199" s="174"/>
      <c r="AC199" s="196">
        <v>26136.22</v>
      </c>
      <c r="AD199" s="174"/>
      <c r="AE199" s="174"/>
    </row>
    <row r="200" spans="1:31" ht="19.350000000000001" customHeight="1" x14ac:dyDescent="0.2">
      <c r="A200" s="168" t="s">
        <v>480</v>
      </c>
      <c r="B200" s="179" t="s">
        <v>481</v>
      </c>
      <c r="C200" s="179"/>
      <c r="D200" s="179"/>
      <c r="E200" s="179"/>
      <c r="F200" s="179"/>
      <c r="G200" s="179"/>
      <c r="H200" s="179"/>
      <c r="I200" s="179"/>
      <c r="J200" s="179"/>
      <c r="K200" s="179"/>
      <c r="L200" s="179"/>
      <c r="M200" s="179"/>
      <c r="N200" s="179" t="s">
        <v>440</v>
      </c>
      <c r="O200" s="179"/>
      <c r="P200" s="179"/>
      <c r="Q200" s="195">
        <v>18734</v>
      </c>
      <c r="R200" s="174"/>
      <c r="S200" s="174"/>
      <c r="T200" s="174"/>
      <c r="U200" s="174"/>
      <c r="V200" s="174"/>
      <c r="W200" s="180">
        <v>6.8400999999999996</v>
      </c>
      <c r="X200" s="174"/>
      <c r="Y200" s="174"/>
      <c r="Z200" s="174"/>
      <c r="AA200" s="174"/>
      <c r="AB200" s="174"/>
      <c r="AC200" s="200">
        <v>128142.43</v>
      </c>
      <c r="AD200" s="174"/>
      <c r="AE200" s="174"/>
    </row>
    <row r="201" spans="1:31" ht="19.350000000000001" customHeight="1" x14ac:dyDescent="0.2">
      <c r="A201" s="168" t="s">
        <v>482</v>
      </c>
      <c r="B201" s="179" t="s">
        <v>483</v>
      </c>
      <c r="C201" s="179"/>
      <c r="D201" s="179"/>
      <c r="E201" s="179"/>
      <c r="F201" s="179"/>
      <c r="G201" s="179"/>
      <c r="H201" s="179"/>
      <c r="I201" s="179"/>
      <c r="J201" s="179"/>
      <c r="K201" s="179"/>
      <c r="L201" s="179"/>
      <c r="M201" s="179"/>
      <c r="N201" s="179" t="s">
        <v>440</v>
      </c>
      <c r="O201" s="179"/>
      <c r="P201" s="179"/>
      <c r="Q201" s="195">
        <v>26400</v>
      </c>
      <c r="R201" s="174"/>
      <c r="S201" s="174"/>
      <c r="T201" s="174"/>
      <c r="U201" s="174"/>
      <c r="V201" s="174"/>
      <c r="W201" s="180">
        <v>6.8276000000000003</v>
      </c>
      <c r="X201" s="174"/>
      <c r="Y201" s="174"/>
      <c r="Z201" s="174"/>
      <c r="AA201" s="174"/>
      <c r="AB201" s="174"/>
      <c r="AC201" s="200">
        <v>180248.64</v>
      </c>
      <c r="AD201" s="174"/>
      <c r="AE201" s="174"/>
    </row>
    <row r="202" spans="1:31" ht="9.75" customHeight="1" x14ac:dyDescent="0.2">
      <c r="A202" s="167" t="s">
        <v>484</v>
      </c>
      <c r="B202" s="176" t="s">
        <v>448</v>
      </c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7"/>
      <c r="R202" s="177"/>
      <c r="S202" s="177"/>
      <c r="T202" s="177"/>
      <c r="U202" s="177"/>
      <c r="V202" s="177"/>
      <c r="W202" s="177"/>
      <c r="X202" s="177"/>
      <c r="Y202" s="177"/>
      <c r="Z202" s="177"/>
      <c r="AA202" s="177"/>
      <c r="AB202" s="177"/>
      <c r="AC202" s="198">
        <v>588008</v>
      </c>
      <c r="AD202" s="177"/>
      <c r="AE202" s="177"/>
    </row>
    <row r="203" spans="1:31" ht="19.350000000000001" customHeight="1" x14ac:dyDescent="0.2">
      <c r="A203" s="168" t="s">
        <v>485</v>
      </c>
      <c r="B203" s="179" t="s">
        <v>486</v>
      </c>
      <c r="C203" s="179"/>
      <c r="D203" s="179"/>
      <c r="E203" s="179"/>
      <c r="F203" s="179"/>
      <c r="G203" s="179"/>
      <c r="H203" s="179"/>
      <c r="I203" s="179"/>
      <c r="J203" s="179"/>
      <c r="K203" s="179"/>
      <c r="L203" s="179"/>
      <c r="M203" s="179"/>
      <c r="N203" s="179" t="s">
        <v>267</v>
      </c>
      <c r="O203" s="179"/>
      <c r="P203" s="179"/>
      <c r="Q203" s="191">
        <v>734.45</v>
      </c>
      <c r="R203" s="174"/>
      <c r="S203" s="174"/>
      <c r="T203" s="174"/>
      <c r="U203" s="174"/>
      <c r="V203" s="174"/>
      <c r="W203" s="191">
        <v>649.10220000000004</v>
      </c>
      <c r="X203" s="174"/>
      <c r="Y203" s="174"/>
      <c r="Z203" s="174"/>
      <c r="AA203" s="174"/>
      <c r="AB203" s="174"/>
      <c r="AC203" s="200">
        <v>476733.11</v>
      </c>
      <c r="AD203" s="174"/>
      <c r="AE203" s="174"/>
    </row>
    <row r="204" spans="1:31" ht="19.350000000000001" customHeight="1" x14ac:dyDescent="0.2">
      <c r="A204" s="168" t="s">
        <v>487</v>
      </c>
      <c r="B204" s="179" t="s">
        <v>488</v>
      </c>
      <c r="C204" s="179"/>
      <c r="D204" s="179"/>
      <c r="E204" s="179"/>
      <c r="F204" s="179"/>
      <c r="G204" s="179"/>
      <c r="H204" s="179"/>
      <c r="I204" s="179"/>
      <c r="J204" s="179"/>
      <c r="K204" s="179"/>
      <c r="L204" s="179"/>
      <c r="M204" s="179"/>
      <c r="N204" s="179" t="s">
        <v>267</v>
      </c>
      <c r="O204" s="179"/>
      <c r="P204" s="179"/>
      <c r="Q204" s="191">
        <v>168.7</v>
      </c>
      <c r="R204" s="174"/>
      <c r="S204" s="174"/>
      <c r="T204" s="174"/>
      <c r="U204" s="174"/>
      <c r="V204" s="174"/>
      <c r="W204" s="191">
        <v>659.60220000000004</v>
      </c>
      <c r="X204" s="174"/>
      <c r="Y204" s="174"/>
      <c r="Z204" s="174"/>
      <c r="AA204" s="174"/>
      <c r="AB204" s="174"/>
      <c r="AC204" s="200">
        <v>111274.89</v>
      </c>
      <c r="AD204" s="174"/>
      <c r="AE204" s="174"/>
    </row>
    <row r="205" spans="1:31" ht="9.75" customHeight="1" x14ac:dyDescent="0.2">
      <c r="A205" s="167" t="s">
        <v>489</v>
      </c>
      <c r="B205" s="176" t="s">
        <v>490</v>
      </c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7"/>
      <c r="R205" s="177"/>
      <c r="S205" s="177"/>
      <c r="T205" s="177"/>
      <c r="U205" s="177"/>
      <c r="V205" s="177"/>
      <c r="W205" s="177"/>
      <c r="X205" s="177"/>
      <c r="Y205" s="177"/>
      <c r="Z205" s="177"/>
      <c r="AA205" s="177"/>
      <c r="AB205" s="177"/>
      <c r="AC205" s="198">
        <v>427913.86</v>
      </c>
      <c r="AD205" s="177"/>
      <c r="AE205" s="177"/>
    </row>
    <row r="206" spans="1:31" ht="9.6" customHeight="1" x14ac:dyDescent="0.2">
      <c r="A206" s="168" t="s">
        <v>491</v>
      </c>
      <c r="B206" s="179" t="s">
        <v>492</v>
      </c>
      <c r="C206" s="179"/>
      <c r="D206" s="179"/>
      <c r="E206" s="179"/>
      <c r="F206" s="179"/>
      <c r="G206" s="179"/>
      <c r="H206" s="179"/>
      <c r="I206" s="179"/>
      <c r="J206" s="179"/>
      <c r="K206" s="179"/>
      <c r="L206" s="179"/>
      <c r="M206" s="179"/>
      <c r="N206" s="179" t="s">
        <v>267</v>
      </c>
      <c r="O206" s="179"/>
      <c r="P206" s="179"/>
      <c r="Q206" s="191">
        <v>215.45</v>
      </c>
      <c r="R206" s="174"/>
      <c r="S206" s="174"/>
      <c r="T206" s="174"/>
      <c r="U206" s="174"/>
      <c r="V206" s="174"/>
      <c r="W206" s="173">
        <v>1986.14</v>
      </c>
      <c r="X206" s="174"/>
      <c r="Y206" s="174"/>
      <c r="Z206" s="174"/>
      <c r="AA206" s="174"/>
      <c r="AB206" s="174"/>
      <c r="AC206" s="200">
        <v>427913.86</v>
      </c>
      <c r="AD206" s="174"/>
      <c r="AE206" s="174"/>
    </row>
    <row r="207" spans="1:31" ht="9.75" customHeight="1" x14ac:dyDescent="0.2">
      <c r="A207" s="167" t="s">
        <v>493</v>
      </c>
      <c r="B207" s="176" t="s">
        <v>494</v>
      </c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7"/>
      <c r="R207" s="177"/>
      <c r="S207" s="177"/>
      <c r="T207" s="177"/>
      <c r="U207" s="177"/>
      <c r="V207" s="177"/>
      <c r="W207" s="177"/>
      <c r="X207" s="177"/>
      <c r="Y207" s="177"/>
      <c r="Z207" s="177"/>
      <c r="AA207" s="177"/>
      <c r="AB207" s="177"/>
      <c r="AC207" s="178">
        <v>4381211.4800000004</v>
      </c>
      <c r="AD207" s="177"/>
      <c r="AE207" s="177"/>
    </row>
    <row r="208" spans="1:31" ht="9.75" customHeight="1" x14ac:dyDescent="0.2">
      <c r="A208" s="167" t="s">
        <v>495</v>
      </c>
      <c r="B208" s="176" t="s">
        <v>496</v>
      </c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7"/>
      <c r="R208" s="177"/>
      <c r="S208" s="177"/>
      <c r="T208" s="177"/>
      <c r="U208" s="177"/>
      <c r="V208" s="177"/>
      <c r="W208" s="177"/>
      <c r="X208" s="177"/>
      <c r="Y208" s="177"/>
      <c r="Z208" s="177"/>
      <c r="AA208" s="177"/>
      <c r="AB208" s="177"/>
      <c r="AC208" s="198">
        <v>207296.41</v>
      </c>
      <c r="AD208" s="177"/>
      <c r="AE208" s="177"/>
    </row>
    <row r="209" spans="1:31" ht="19.350000000000001" customHeight="1" x14ac:dyDescent="0.2">
      <c r="A209" s="168" t="s">
        <v>497</v>
      </c>
      <c r="B209" s="179" t="s">
        <v>498</v>
      </c>
      <c r="C209" s="179"/>
      <c r="D209" s="179"/>
      <c r="E209" s="179"/>
      <c r="F209" s="179"/>
      <c r="G209" s="179"/>
      <c r="H209" s="179"/>
      <c r="I209" s="179"/>
      <c r="J209" s="179"/>
      <c r="K209" s="179"/>
      <c r="L209" s="179"/>
      <c r="M209" s="179"/>
      <c r="N209" s="179" t="s">
        <v>220</v>
      </c>
      <c r="O209" s="179"/>
      <c r="P209" s="179"/>
      <c r="Q209" s="173">
        <v>2074.98</v>
      </c>
      <c r="R209" s="174"/>
      <c r="S209" s="174"/>
      <c r="T209" s="174"/>
      <c r="U209" s="174"/>
      <c r="V209" s="174"/>
      <c r="W209" s="202">
        <v>68.302400000000006</v>
      </c>
      <c r="X209" s="174"/>
      <c r="Y209" s="174"/>
      <c r="Z209" s="174"/>
      <c r="AA209" s="174"/>
      <c r="AB209" s="174"/>
      <c r="AC209" s="200">
        <v>141726.10999999999</v>
      </c>
      <c r="AD209" s="174"/>
      <c r="AE209" s="174"/>
    </row>
    <row r="210" spans="1:31" ht="19.350000000000001" customHeight="1" x14ac:dyDescent="0.2">
      <c r="A210" s="168" t="s">
        <v>499</v>
      </c>
      <c r="B210" s="179" t="s">
        <v>500</v>
      </c>
      <c r="C210" s="179"/>
      <c r="D210" s="179"/>
      <c r="E210" s="179"/>
      <c r="F210" s="179"/>
      <c r="G210" s="179"/>
      <c r="H210" s="179"/>
      <c r="I210" s="179"/>
      <c r="J210" s="179"/>
      <c r="K210" s="179"/>
      <c r="L210" s="179"/>
      <c r="M210" s="179"/>
      <c r="N210" s="179" t="s">
        <v>220</v>
      </c>
      <c r="O210" s="179"/>
      <c r="P210" s="179"/>
      <c r="Q210" s="191">
        <v>960</v>
      </c>
      <c r="R210" s="174"/>
      <c r="S210" s="174"/>
      <c r="T210" s="174"/>
      <c r="U210" s="174"/>
      <c r="V210" s="174"/>
      <c r="W210" s="202">
        <v>68.302400000000006</v>
      </c>
      <c r="X210" s="174"/>
      <c r="Y210" s="174"/>
      <c r="Z210" s="174"/>
      <c r="AA210" s="174"/>
      <c r="AB210" s="174"/>
      <c r="AC210" s="196">
        <v>65570.3</v>
      </c>
      <c r="AD210" s="174"/>
      <c r="AE210" s="174"/>
    </row>
    <row r="211" spans="1:31" ht="9.75" customHeight="1" x14ac:dyDescent="0.2">
      <c r="A211" s="167" t="s">
        <v>501</v>
      </c>
      <c r="B211" s="176" t="s">
        <v>437</v>
      </c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7"/>
      <c r="R211" s="177"/>
      <c r="S211" s="177"/>
      <c r="T211" s="177"/>
      <c r="U211" s="177"/>
      <c r="V211" s="177"/>
      <c r="W211" s="177"/>
      <c r="X211" s="177"/>
      <c r="Y211" s="177"/>
      <c r="Z211" s="177"/>
      <c r="AA211" s="177"/>
      <c r="AB211" s="177"/>
      <c r="AC211" s="198">
        <v>994817.7</v>
      </c>
      <c r="AD211" s="177"/>
      <c r="AE211" s="177"/>
    </row>
    <row r="212" spans="1:31" ht="9.6" customHeight="1" x14ac:dyDescent="0.2">
      <c r="A212" s="168" t="s">
        <v>502</v>
      </c>
      <c r="B212" s="179" t="s">
        <v>473</v>
      </c>
      <c r="C212" s="179"/>
      <c r="D212" s="179"/>
      <c r="E212" s="179"/>
      <c r="F212" s="179"/>
      <c r="G212" s="179"/>
      <c r="H212" s="179"/>
      <c r="I212" s="179"/>
      <c r="J212" s="179"/>
      <c r="K212" s="179"/>
      <c r="L212" s="179"/>
      <c r="M212" s="179"/>
      <c r="N212" s="179" t="s">
        <v>440</v>
      </c>
      <c r="O212" s="179"/>
      <c r="P212" s="179"/>
      <c r="Q212" s="191">
        <v>918.1</v>
      </c>
      <c r="R212" s="174"/>
      <c r="S212" s="174"/>
      <c r="T212" s="174"/>
      <c r="U212" s="174"/>
      <c r="V212" s="174"/>
      <c r="W212" s="180">
        <v>7.4527999999999999</v>
      </c>
      <c r="X212" s="174"/>
      <c r="Y212" s="174"/>
      <c r="Z212" s="174"/>
      <c r="AA212" s="174"/>
      <c r="AB212" s="174"/>
      <c r="AC212" s="201">
        <v>6842.42</v>
      </c>
      <c r="AD212" s="174"/>
      <c r="AE212" s="174"/>
    </row>
    <row r="213" spans="1:31" ht="9.6" customHeight="1" x14ac:dyDescent="0.2">
      <c r="A213" s="168" t="s">
        <v>503</v>
      </c>
      <c r="B213" s="179" t="s">
        <v>475</v>
      </c>
      <c r="C213" s="179"/>
      <c r="D213" s="179"/>
      <c r="E213" s="179"/>
      <c r="F213" s="179"/>
      <c r="G213" s="179"/>
      <c r="H213" s="179"/>
      <c r="I213" s="179"/>
      <c r="J213" s="179"/>
      <c r="K213" s="179"/>
      <c r="L213" s="179"/>
      <c r="M213" s="179"/>
      <c r="N213" s="179" t="s">
        <v>440</v>
      </c>
      <c r="O213" s="179"/>
      <c r="P213" s="179"/>
      <c r="Q213" s="195">
        <v>10022.700000000001</v>
      </c>
      <c r="R213" s="174"/>
      <c r="S213" s="174"/>
      <c r="T213" s="174"/>
      <c r="U213" s="174"/>
      <c r="V213" s="174"/>
      <c r="W213" s="180">
        <v>7.3975999999999997</v>
      </c>
      <c r="X213" s="174"/>
      <c r="Y213" s="174"/>
      <c r="Z213" s="174"/>
      <c r="AA213" s="174"/>
      <c r="AB213" s="174"/>
      <c r="AC213" s="196">
        <v>74143.929999999993</v>
      </c>
      <c r="AD213" s="174"/>
      <c r="AE213" s="174"/>
    </row>
    <row r="214" spans="1:31" ht="19.350000000000001" customHeight="1" x14ac:dyDescent="0.2">
      <c r="A214" s="168" t="s">
        <v>504</v>
      </c>
      <c r="B214" s="179" t="s">
        <v>477</v>
      </c>
      <c r="C214" s="179"/>
      <c r="D214" s="179"/>
      <c r="E214" s="179"/>
      <c r="F214" s="179"/>
      <c r="G214" s="179"/>
      <c r="H214" s="179"/>
      <c r="I214" s="179"/>
      <c r="J214" s="179"/>
      <c r="K214" s="179"/>
      <c r="L214" s="179"/>
      <c r="M214" s="179"/>
      <c r="N214" s="179" t="s">
        <v>440</v>
      </c>
      <c r="O214" s="179"/>
      <c r="P214" s="179"/>
      <c r="Q214" s="173">
        <v>8189</v>
      </c>
      <c r="R214" s="174"/>
      <c r="S214" s="174"/>
      <c r="T214" s="174"/>
      <c r="U214" s="174"/>
      <c r="V214" s="174"/>
      <c r="W214" s="180">
        <v>7.0688000000000004</v>
      </c>
      <c r="X214" s="174"/>
      <c r="Y214" s="174"/>
      <c r="Z214" s="174"/>
      <c r="AA214" s="174"/>
      <c r="AB214" s="174"/>
      <c r="AC214" s="196">
        <v>57886.400000000001</v>
      </c>
      <c r="AD214" s="174"/>
      <c r="AE214" s="174"/>
    </row>
    <row r="215" spans="1:31" ht="19.350000000000001" customHeight="1" x14ac:dyDescent="0.2">
      <c r="A215" s="168" t="s">
        <v>505</v>
      </c>
      <c r="B215" s="179" t="s">
        <v>479</v>
      </c>
      <c r="C215" s="179"/>
      <c r="D215" s="179"/>
      <c r="E215" s="179"/>
      <c r="F215" s="179"/>
      <c r="G215" s="179"/>
      <c r="H215" s="179"/>
      <c r="I215" s="179"/>
      <c r="J215" s="179"/>
      <c r="K215" s="179"/>
      <c r="L215" s="179"/>
      <c r="M215" s="179"/>
      <c r="N215" s="179" t="s">
        <v>440</v>
      </c>
      <c r="O215" s="179"/>
      <c r="P215" s="179"/>
      <c r="Q215" s="195">
        <v>34849.550000000003</v>
      </c>
      <c r="R215" s="174"/>
      <c r="S215" s="174"/>
      <c r="T215" s="174"/>
      <c r="U215" s="174"/>
      <c r="V215" s="174"/>
      <c r="W215" s="180">
        <v>6.8581000000000003</v>
      </c>
      <c r="X215" s="174"/>
      <c r="Y215" s="174"/>
      <c r="Z215" s="174"/>
      <c r="AA215" s="174"/>
      <c r="AB215" s="174"/>
      <c r="AC215" s="200">
        <v>239001.7</v>
      </c>
      <c r="AD215" s="174"/>
      <c r="AE215" s="174"/>
    </row>
    <row r="216" spans="1:31" ht="19.350000000000001" customHeight="1" x14ac:dyDescent="0.2">
      <c r="A216" s="168" t="s">
        <v>506</v>
      </c>
      <c r="B216" s="179" t="s">
        <v>481</v>
      </c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179" t="s">
        <v>440</v>
      </c>
      <c r="O216" s="179"/>
      <c r="P216" s="179"/>
      <c r="Q216" s="195">
        <v>11973.85</v>
      </c>
      <c r="R216" s="174"/>
      <c r="S216" s="174"/>
      <c r="T216" s="174"/>
      <c r="U216" s="174"/>
      <c r="V216" s="174"/>
      <c r="W216" s="180">
        <v>6.8400999999999996</v>
      </c>
      <c r="X216" s="174"/>
      <c r="Y216" s="174"/>
      <c r="Z216" s="174"/>
      <c r="AA216" s="174"/>
      <c r="AB216" s="174"/>
      <c r="AC216" s="196">
        <v>81902.33</v>
      </c>
      <c r="AD216" s="174"/>
      <c r="AE216" s="174"/>
    </row>
    <row r="217" spans="1:31" ht="19.350000000000001" customHeight="1" x14ac:dyDescent="0.2">
      <c r="A217" s="168" t="s">
        <v>507</v>
      </c>
      <c r="B217" s="179" t="s">
        <v>483</v>
      </c>
      <c r="C217" s="179"/>
      <c r="D217" s="179"/>
      <c r="E217" s="179"/>
      <c r="F217" s="179"/>
      <c r="G217" s="179"/>
      <c r="H217" s="179"/>
      <c r="I217" s="179"/>
      <c r="J217" s="179"/>
      <c r="K217" s="179"/>
      <c r="L217" s="179"/>
      <c r="M217" s="179"/>
      <c r="N217" s="179" t="s">
        <v>440</v>
      </c>
      <c r="O217" s="179"/>
      <c r="P217" s="179"/>
      <c r="Q217" s="173">
        <v>5686.15</v>
      </c>
      <c r="R217" s="174"/>
      <c r="S217" s="174"/>
      <c r="T217" s="174"/>
      <c r="U217" s="174"/>
      <c r="V217" s="174"/>
      <c r="W217" s="180">
        <v>6.8276000000000003</v>
      </c>
      <c r="X217" s="174"/>
      <c r="Y217" s="174"/>
      <c r="Z217" s="174"/>
      <c r="AA217" s="174"/>
      <c r="AB217" s="174"/>
      <c r="AC217" s="196">
        <v>38822.76</v>
      </c>
      <c r="AD217" s="174"/>
      <c r="AE217" s="174"/>
    </row>
    <row r="218" spans="1:31" ht="19.350000000000001" customHeight="1" x14ac:dyDescent="0.2">
      <c r="A218" s="168" t="s">
        <v>508</v>
      </c>
      <c r="B218" s="179" t="s">
        <v>509</v>
      </c>
      <c r="C218" s="179"/>
      <c r="D218" s="179"/>
      <c r="E218" s="179"/>
      <c r="F218" s="179"/>
      <c r="G218" s="179"/>
      <c r="H218" s="179"/>
      <c r="I218" s="179"/>
      <c r="J218" s="179"/>
      <c r="K218" s="179"/>
      <c r="L218" s="179"/>
      <c r="M218" s="179"/>
      <c r="N218" s="179" t="s">
        <v>440</v>
      </c>
      <c r="O218" s="179"/>
      <c r="P218" s="179"/>
      <c r="Q218" s="195">
        <v>47928.9</v>
      </c>
      <c r="R218" s="174"/>
      <c r="S218" s="174"/>
      <c r="T218" s="174"/>
      <c r="U218" s="174"/>
      <c r="V218" s="174"/>
      <c r="W218" s="180">
        <v>6.9713000000000003</v>
      </c>
      <c r="X218" s="174"/>
      <c r="Y218" s="174"/>
      <c r="Z218" s="174"/>
      <c r="AA218" s="174"/>
      <c r="AB218" s="174"/>
      <c r="AC218" s="200">
        <v>334126.74</v>
      </c>
      <c r="AD218" s="174"/>
      <c r="AE218" s="174"/>
    </row>
    <row r="219" spans="1:31" ht="9.6" customHeight="1" x14ac:dyDescent="0.2">
      <c r="A219" s="168" t="s">
        <v>510</v>
      </c>
      <c r="B219" s="179" t="s">
        <v>511</v>
      </c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 t="s">
        <v>440</v>
      </c>
      <c r="O219" s="179"/>
      <c r="P219" s="179"/>
      <c r="Q219" s="195">
        <v>19126.96</v>
      </c>
      <c r="R219" s="174"/>
      <c r="S219" s="174"/>
      <c r="T219" s="174"/>
      <c r="U219" s="174"/>
      <c r="V219" s="174"/>
      <c r="W219" s="180">
        <v>8.4745000000000008</v>
      </c>
      <c r="X219" s="174"/>
      <c r="Y219" s="174"/>
      <c r="Z219" s="174"/>
      <c r="AA219" s="174"/>
      <c r="AB219" s="174"/>
      <c r="AC219" s="200">
        <v>162091.42000000001</v>
      </c>
      <c r="AD219" s="174"/>
      <c r="AE219" s="174"/>
    </row>
    <row r="220" spans="1:31" ht="9.75" customHeight="1" x14ac:dyDescent="0.2">
      <c r="A220" s="167" t="s">
        <v>512</v>
      </c>
      <c r="B220" s="176" t="s">
        <v>448</v>
      </c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7"/>
      <c r="R220" s="177"/>
      <c r="S220" s="177"/>
      <c r="T220" s="177"/>
      <c r="U220" s="177"/>
      <c r="V220" s="177"/>
      <c r="W220" s="177"/>
      <c r="X220" s="177"/>
      <c r="Y220" s="177"/>
      <c r="Z220" s="177"/>
      <c r="AA220" s="177"/>
      <c r="AB220" s="177"/>
      <c r="AC220" s="198">
        <v>792571.41</v>
      </c>
      <c r="AD220" s="177"/>
      <c r="AE220" s="177"/>
    </row>
    <row r="221" spans="1:31" ht="19.350000000000001" customHeight="1" x14ac:dyDescent="0.2">
      <c r="A221" s="168" t="s">
        <v>513</v>
      </c>
      <c r="B221" s="179" t="s">
        <v>514</v>
      </c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 t="s">
        <v>267</v>
      </c>
      <c r="O221" s="179"/>
      <c r="P221" s="179"/>
      <c r="Q221" s="173">
        <v>1201.5899999999999</v>
      </c>
      <c r="R221" s="174"/>
      <c r="S221" s="174"/>
      <c r="T221" s="174"/>
      <c r="U221" s="174"/>
      <c r="V221" s="174"/>
      <c r="W221" s="191">
        <v>659.60220000000004</v>
      </c>
      <c r="X221" s="174"/>
      <c r="Y221" s="174"/>
      <c r="Z221" s="174"/>
      <c r="AA221" s="174"/>
      <c r="AB221" s="174"/>
      <c r="AC221" s="200">
        <v>792571.41</v>
      </c>
      <c r="AD221" s="174"/>
      <c r="AE221" s="174"/>
    </row>
    <row r="222" spans="1:31" ht="9.75" customHeight="1" x14ac:dyDescent="0.2">
      <c r="A222" s="167" t="s">
        <v>515</v>
      </c>
      <c r="B222" s="176" t="s">
        <v>516</v>
      </c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7"/>
      <c r="R222" s="177"/>
      <c r="S222" s="177"/>
      <c r="T222" s="177"/>
      <c r="U222" s="177"/>
      <c r="V222" s="177"/>
      <c r="W222" s="177"/>
      <c r="X222" s="177"/>
      <c r="Y222" s="177"/>
      <c r="Z222" s="177"/>
      <c r="AA222" s="177"/>
      <c r="AB222" s="177"/>
      <c r="AC222" s="178">
        <v>2386525.96</v>
      </c>
      <c r="AD222" s="177"/>
      <c r="AE222" s="177"/>
    </row>
    <row r="223" spans="1:31" ht="9.6" customHeight="1" x14ac:dyDescent="0.2">
      <c r="A223" s="168" t="s">
        <v>517</v>
      </c>
      <c r="B223" s="179" t="s">
        <v>518</v>
      </c>
      <c r="C223" s="179"/>
      <c r="D223" s="179"/>
      <c r="E223" s="179"/>
      <c r="F223" s="179"/>
      <c r="G223" s="179"/>
      <c r="H223" s="179"/>
      <c r="I223" s="179"/>
      <c r="J223" s="179"/>
      <c r="K223" s="179"/>
      <c r="L223" s="179"/>
      <c r="M223" s="179"/>
      <c r="N223" s="179" t="s">
        <v>267</v>
      </c>
      <c r="O223" s="179"/>
      <c r="P223" s="179"/>
      <c r="Q223" s="173">
        <v>1201.5899999999999</v>
      </c>
      <c r="R223" s="174"/>
      <c r="S223" s="174"/>
      <c r="T223" s="174"/>
      <c r="U223" s="174"/>
      <c r="V223" s="174"/>
      <c r="W223" s="173">
        <v>1986.14</v>
      </c>
      <c r="X223" s="174"/>
      <c r="Y223" s="174"/>
      <c r="Z223" s="174"/>
      <c r="AA223" s="174"/>
      <c r="AB223" s="174"/>
      <c r="AC223" s="175">
        <v>2386525.96</v>
      </c>
      <c r="AD223" s="174"/>
      <c r="AE223" s="174"/>
    </row>
    <row r="224" spans="1:31" ht="9.75" customHeight="1" x14ac:dyDescent="0.2">
      <c r="A224" s="167" t="s">
        <v>519</v>
      </c>
      <c r="B224" s="176" t="s">
        <v>5</v>
      </c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7"/>
      <c r="R224" s="177"/>
      <c r="S224" s="177"/>
      <c r="T224" s="177"/>
      <c r="U224" s="177"/>
      <c r="V224" s="177"/>
      <c r="W224" s="177"/>
      <c r="X224" s="177"/>
      <c r="Y224" s="177"/>
      <c r="Z224" s="177"/>
      <c r="AA224" s="177"/>
      <c r="AB224" s="177"/>
      <c r="AC224" s="197">
        <v>30247017.850000001</v>
      </c>
      <c r="AD224" s="177"/>
      <c r="AE224" s="177"/>
    </row>
    <row r="225" spans="1:31" ht="9.75" customHeight="1" x14ac:dyDescent="0.2">
      <c r="A225" s="167" t="s">
        <v>520</v>
      </c>
      <c r="B225" s="176" t="s">
        <v>521</v>
      </c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7"/>
      <c r="R225" s="177"/>
      <c r="S225" s="177"/>
      <c r="T225" s="177"/>
      <c r="U225" s="177"/>
      <c r="V225" s="177"/>
      <c r="W225" s="177"/>
      <c r="X225" s="177"/>
      <c r="Y225" s="177"/>
      <c r="Z225" s="177"/>
      <c r="AA225" s="177"/>
      <c r="AB225" s="177"/>
      <c r="AC225" s="197">
        <v>10034483.960000001</v>
      </c>
      <c r="AD225" s="177"/>
      <c r="AE225" s="177"/>
    </row>
    <row r="226" spans="1:31" ht="9.75" customHeight="1" x14ac:dyDescent="0.2">
      <c r="A226" s="167" t="s">
        <v>522</v>
      </c>
      <c r="B226" s="176" t="s">
        <v>496</v>
      </c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7"/>
      <c r="R226" s="177"/>
      <c r="S226" s="177"/>
      <c r="T226" s="177"/>
      <c r="U226" s="177"/>
      <c r="V226" s="177"/>
      <c r="W226" s="177"/>
      <c r="X226" s="177"/>
      <c r="Y226" s="177"/>
      <c r="Z226" s="177"/>
      <c r="AA226" s="177"/>
      <c r="AB226" s="177"/>
      <c r="AC226" s="178">
        <v>1554376.42</v>
      </c>
      <c r="AD226" s="177"/>
      <c r="AE226" s="177"/>
    </row>
    <row r="227" spans="1:31" ht="19.350000000000001" customHeight="1" x14ac:dyDescent="0.2">
      <c r="A227" s="168" t="s">
        <v>523</v>
      </c>
      <c r="B227" s="179" t="s">
        <v>524</v>
      </c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 t="s">
        <v>220</v>
      </c>
      <c r="O227" s="179"/>
      <c r="P227" s="179"/>
      <c r="Q227" s="191">
        <v>316</v>
      </c>
      <c r="R227" s="174"/>
      <c r="S227" s="174"/>
      <c r="T227" s="174"/>
      <c r="U227" s="174"/>
      <c r="V227" s="174"/>
      <c r="W227" s="191">
        <v>125.398</v>
      </c>
      <c r="X227" s="174"/>
      <c r="Y227" s="174"/>
      <c r="Z227" s="174"/>
      <c r="AA227" s="174"/>
      <c r="AB227" s="174"/>
      <c r="AC227" s="196">
        <v>39625.769999999997</v>
      </c>
      <c r="AD227" s="174"/>
      <c r="AE227" s="174"/>
    </row>
    <row r="228" spans="1:31" ht="19.350000000000001" customHeight="1" x14ac:dyDescent="0.2">
      <c r="A228" s="168" t="s">
        <v>525</v>
      </c>
      <c r="B228" s="179" t="s">
        <v>526</v>
      </c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 t="s">
        <v>220</v>
      </c>
      <c r="O228" s="179"/>
      <c r="P228" s="179"/>
      <c r="Q228" s="173">
        <v>1075.52</v>
      </c>
      <c r="R228" s="174"/>
      <c r="S228" s="174"/>
      <c r="T228" s="174"/>
      <c r="U228" s="174"/>
      <c r="V228" s="174"/>
      <c r="W228" s="202">
        <v>92.820499999999996</v>
      </c>
      <c r="X228" s="174"/>
      <c r="Y228" s="174"/>
      <c r="Z228" s="174"/>
      <c r="AA228" s="174"/>
      <c r="AB228" s="174"/>
      <c r="AC228" s="196">
        <v>99830.3</v>
      </c>
      <c r="AD228" s="174"/>
      <c r="AE228" s="174"/>
    </row>
    <row r="229" spans="1:31" ht="19.350000000000001" customHeight="1" x14ac:dyDescent="0.2">
      <c r="A229" s="168" t="s">
        <v>527</v>
      </c>
      <c r="B229" s="179" t="s">
        <v>528</v>
      </c>
      <c r="C229" s="179"/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 t="s">
        <v>220</v>
      </c>
      <c r="O229" s="179"/>
      <c r="P229" s="179"/>
      <c r="Q229" s="173">
        <v>1971.08</v>
      </c>
      <c r="R229" s="174"/>
      <c r="S229" s="174"/>
      <c r="T229" s="174"/>
      <c r="U229" s="174"/>
      <c r="V229" s="174"/>
      <c r="W229" s="202">
        <v>61.499000000000002</v>
      </c>
      <c r="X229" s="174"/>
      <c r="Y229" s="174"/>
      <c r="Z229" s="174"/>
      <c r="AA229" s="174"/>
      <c r="AB229" s="174"/>
      <c r="AC229" s="200">
        <v>121219.45</v>
      </c>
      <c r="AD229" s="174"/>
      <c r="AE229" s="174"/>
    </row>
    <row r="230" spans="1:31" ht="19.350000000000001" customHeight="1" x14ac:dyDescent="0.2">
      <c r="A230" s="168" t="s">
        <v>529</v>
      </c>
      <c r="B230" s="179" t="s">
        <v>530</v>
      </c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 t="s">
        <v>220</v>
      </c>
      <c r="O230" s="179"/>
      <c r="P230" s="179"/>
      <c r="Q230" s="173">
        <v>1264</v>
      </c>
      <c r="R230" s="174"/>
      <c r="S230" s="174"/>
      <c r="T230" s="174"/>
      <c r="U230" s="174"/>
      <c r="V230" s="174"/>
      <c r="W230" s="180">
        <v>0.51729999999999998</v>
      </c>
      <c r="X230" s="174"/>
      <c r="Y230" s="174"/>
      <c r="Z230" s="174"/>
      <c r="AA230" s="174"/>
      <c r="AB230" s="174"/>
      <c r="AC230" s="205">
        <v>653.87</v>
      </c>
      <c r="AD230" s="174"/>
      <c r="AE230" s="174"/>
    </row>
    <row r="231" spans="1:31" ht="19.350000000000001" customHeight="1" x14ac:dyDescent="0.2">
      <c r="A231" s="168" t="s">
        <v>531</v>
      </c>
      <c r="B231" s="179" t="s">
        <v>532</v>
      </c>
      <c r="C231" s="179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 t="s">
        <v>220</v>
      </c>
      <c r="O231" s="179"/>
      <c r="P231" s="179"/>
      <c r="Q231" s="173">
        <v>4302.09</v>
      </c>
      <c r="R231" s="174"/>
      <c r="S231" s="174"/>
      <c r="T231" s="174"/>
      <c r="U231" s="174"/>
      <c r="V231" s="174"/>
      <c r="W231" s="180">
        <v>2.5363000000000002</v>
      </c>
      <c r="X231" s="174"/>
      <c r="Y231" s="174"/>
      <c r="Z231" s="174"/>
      <c r="AA231" s="174"/>
      <c r="AB231" s="174"/>
      <c r="AC231" s="196">
        <v>10911.39</v>
      </c>
      <c r="AD231" s="174"/>
      <c r="AE231" s="174"/>
    </row>
    <row r="232" spans="1:31" ht="19.350000000000001" customHeight="1" x14ac:dyDescent="0.2">
      <c r="A232" s="168" t="s">
        <v>533</v>
      </c>
      <c r="B232" s="179" t="s">
        <v>534</v>
      </c>
      <c r="C232" s="179"/>
      <c r="D232" s="179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 t="s">
        <v>220</v>
      </c>
      <c r="O232" s="179"/>
      <c r="P232" s="179"/>
      <c r="Q232" s="173">
        <v>7884.33</v>
      </c>
      <c r="R232" s="174"/>
      <c r="S232" s="174"/>
      <c r="T232" s="174"/>
      <c r="U232" s="174"/>
      <c r="V232" s="174"/>
      <c r="W232" s="180">
        <v>0.51729999999999998</v>
      </c>
      <c r="X232" s="174"/>
      <c r="Y232" s="174"/>
      <c r="Z232" s="174"/>
      <c r="AA232" s="174"/>
      <c r="AB232" s="174"/>
      <c r="AC232" s="201">
        <v>4078.56</v>
      </c>
      <c r="AD232" s="174"/>
      <c r="AE232" s="174"/>
    </row>
    <row r="233" spans="1:31" ht="9.6" customHeight="1" x14ac:dyDescent="0.2">
      <c r="A233" s="168" t="s">
        <v>535</v>
      </c>
      <c r="B233" s="179" t="s">
        <v>536</v>
      </c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 t="s">
        <v>220</v>
      </c>
      <c r="O233" s="179"/>
      <c r="P233" s="179"/>
      <c r="Q233" s="195">
        <v>14634.8</v>
      </c>
      <c r="R233" s="174"/>
      <c r="S233" s="174"/>
      <c r="T233" s="174"/>
      <c r="U233" s="174"/>
      <c r="V233" s="174"/>
      <c r="W233" s="202">
        <v>87.33</v>
      </c>
      <c r="X233" s="174"/>
      <c r="Y233" s="174"/>
      <c r="Z233" s="174"/>
      <c r="AA233" s="174"/>
      <c r="AB233" s="174"/>
      <c r="AC233" s="175">
        <v>1278057.08</v>
      </c>
      <c r="AD233" s="174"/>
      <c r="AE233" s="174"/>
    </row>
    <row r="234" spans="1:31" ht="9.75" customHeight="1" x14ac:dyDescent="0.2">
      <c r="A234" s="167" t="s">
        <v>537</v>
      </c>
      <c r="B234" s="176" t="s">
        <v>437</v>
      </c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7"/>
      <c r="R234" s="177"/>
      <c r="S234" s="177"/>
      <c r="T234" s="177"/>
      <c r="U234" s="177"/>
      <c r="V234" s="177"/>
      <c r="W234" s="177"/>
      <c r="X234" s="177"/>
      <c r="Y234" s="177"/>
      <c r="Z234" s="177"/>
      <c r="AA234" s="177"/>
      <c r="AB234" s="177"/>
      <c r="AC234" s="178">
        <v>1623088.5</v>
      </c>
      <c r="AD234" s="177"/>
      <c r="AE234" s="177"/>
    </row>
    <row r="235" spans="1:31" ht="9.6" customHeight="1" x14ac:dyDescent="0.2">
      <c r="A235" s="168" t="s">
        <v>538</v>
      </c>
      <c r="B235" s="179" t="s">
        <v>539</v>
      </c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 t="s">
        <v>440</v>
      </c>
      <c r="O235" s="179"/>
      <c r="P235" s="179"/>
      <c r="Q235" s="173">
        <v>5257.09</v>
      </c>
      <c r="R235" s="174"/>
      <c r="S235" s="174"/>
      <c r="T235" s="174"/>
      <c r="U235" s="174"/>
      <c r="V235" s="174"/>
      <c r="W235" s="180">
        <v>7.5362999999999998</v>
      </c>
      <c r="X235" s="174"/>
      <c r="Y235" s="174"/>
      <c r="Z235" s="174"/>
      <c r="AA235" s="174"/>
      <c r="AB235" s="174"/>
      <c r="AC235" s="196">
        <v>39619.01</v>
      </c>
      <c r="AD235" s="174"/>
      <c r="AE235" s="174"/>
    </row>
    <row r="236" spans="1:31" ht="9.6" customHeight="1" x14ac:dyDescent="0.2">
      <c r="A236" s="168" t="s">
        <v>540</v>
      </c>
      <c r="B236" s="179" t="s">
        <v>541</v>
      </c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 t="s">
        <v>440</v>
      </c>
      <c r="O236" s="179"/>
      <c r="P236" s="179"/>
      <c r="Q236" s="195">
        <v>29648.26</v>
      </c>
      <c r="R236" s="174"/>
      <c r="S236" s="174"/>
      <c r="T236" s="174"/>
      <c r="U236" s="174"/>
      <c r="V236" s="174"/>
      <c r="W236" s="180">
        <v>7.4245999999999999</v>
      </c>
      <c r="X236" s="174"/>
      <c r="Y236" s="174"/>
      <c r="Z236" s="174"/>
      <c r="AA236" s="174"/>
      <c r="AB236" s="174"/>
      <c r="AC236" s="200">
        <v>220126.47</v>
      </c>
      <c r="AD236" s="174"/>
      <c r="AE236" s="174"/>
    </row>
    <row r="237" spans="1:31" ht="19.350000000000001" customHeight="1" x14ac:dyDescent="0.2">
      <c r="A237" s="168" t="s">
        <v>542</v>
      </c>
      <c r="B237" s="179" t="s">
        <v>543</v>
      </c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 t="s">
        <v>440</v>
      </c>
      <c r="O237" s="179"/>
      <c r="P237" s="179"/>
      <c r="Q237" s="195">
        <v>13123.83</v>
      </c>
      <c r="R237" s="174"/>
      <c r="S237" s="174"/>
      <c r="T237" s="174"/>
      <c r="U237" s="174"/>
      <c r="V237" s="174"/>
      <c r="W237" s="180">
        <v>7.0652999999999997</v>
      </c>
      <c r="X237" s="174"/>
      <c r="Y237" s="174"/>
      <c r="Z237" s="174"/>
      <c r="AA237" s="174"/>
      <c r="AB237" s="174"/>
      <c r="AC237" s="196">
        <v>92723.8</v>
      </c>
      <c r="AD237" s="174"/>
      <c r="AE237" s="174"/>
    </row>
    <row r="238" spans="1:31" ht="19.350000000000001" customHeight="1" x14ac:dyDescent="0.2">
      <c r="A238" s="168" t="s">
        <v>544</v>
      </c>
      <c r="B238" s="179" t="s">
        <v>545</v>
      </c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 t="s">
        <v>440</v>
      </c>
      <c r="O238" s="179"/>
      <c r="P238" s="179"/>
      <c r="Q238" s="195">
        <v>47524.05</v>
      </c>
      <c r="R238" s="174"/>
      <c r="S238" s="174"/>
      <c r="T238" s="174"/>
      <c r="U238" s="174"/>
      <c r="V238" s="174"/>
      <c r="W238" s="180">
        <v>6.8705999999999996</v>
      </c>
      <c r="X238" s="174"/>
      <c r="Y238" s="174"/>
      <c r="Z238" s="174"/>
      <c r="AA238" s="174"/>
      <c r="AB238" s="174"/>
      <c r="AC238" s="200">
        <v>326518.74</v>
      </c>
      <c r="AD238" s="174"/>
      <c r="AE238" s="174"/>
    </row>
    <row r="239" spans="1:31" ht="19.350000000000001" customHeight="1" x14ac:dyDescent="0.2">
      <c r="A239" s="168" t="s">
        <v>546</v>
      </c>
      <c r="B239" s="179" t="s">
        <v>547</v>
      </c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 t="s">
        <v>440</v>
      </c>
      <c r="O239" s="179"/>
      <c r="P239" s="179"/>
      <c r="Q239" s="195">
        <v>37339.97</v>
      </c>
      <c r="R239" s="174"/>
      <c r="S239" s="174"/>
      <c r="T239" s="174"/>
      <c r="U239" s="174"/>
      <c r="V239" s="174"/>
      <c r="W239" s="180">
        <v>6.8318000000000003</v>
      </c>
      <c r="X239" s="174"/>
      <c r="Y239" s="174"/>
      <c r="Z239" s="174"/>
      <c r="AA239" s="174"/>
      <c r="AB239" s="174"/>
      <c r="AC239" s="200">
        <v>255099.21</v>
      </c>
      <c r="AD239" s="174"/>
      <c r="AE239" s="174"/>
    </row>
    <row r="240" spans="1:31" ht="19.350000000000001" customHeight="1" x14ac:dyDescent="0.2">
      <c r="A240" s="168" t="s">
        <v>548</v>
      </c>
      <c r="B240" s="179" t="s">
        <v>549</v>
      </c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 t="s">
        <v>440</v>
      </c>
      <c r="O240" s="179"/>
      <c r="P240" s="179"/>
      <c r="Q240" s="195">
        <v>11601.77</v>
      </c>
      <c r="R240" s="174"/>
      <c r="S240" s="174"/>
      <c r="T240" s="174"/>
      <c r="U240" s="174"/>
      <c r="V240" s="174"/>
      <c r="W240" s="180">
        <v>6.8071000000000002</v>
      </c>
      <c r="X240" s="174"/>
      <c r="Y240" s="174"/>
      <c r="Z240" s="174"/>
      <c r="AA240" s="174"/>
      <c r="AB240" s="174"/>
      <c r="AC240" s="196">
        <v>78974.41</v>
      </c>
      <c r="AD240" s="174"/>
      <c r="AE240" s="174"/>
    </row>
    <row r="241" spans="1:31" ht="19.350000000000001" customHeight="1" x14ac:dyDescent="0.2">
      <c r="A241" s="168" t="s">
        <v>550</v>
      </c>
      <c r="B241" s="179" t="s">
        <v>551</v>
      </c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 t="s">
        <v>440</v>
      </c>
      <c r="O241" s="179"/>
      <c r="P241" s="179"/>
      <c r="Q241" s="195">
        <v>33491.46</v>
      </c>
      <c r="R241" s="174"/>
      <c r="S241" s="174"/>
      <c r="T241" s="174"/>
      <c r="U241" s="174"/>
      <c r="V241" s="174"/>
      <c r="W241" s="180">
        <v>7.1851000000000003</v>
      </c>
      <c r="X241" s="174"/>
      <c r="Y241" s="174"/>
      <c r="Z241" s="174"/>
      <c r="AA241" s="174"/>
      <c r="AB241" s="174"/>
      <c r="AC241" s="200">
        <v>240639.49</v>
      </c>
      <c r="AD241" s="174"/>
      <c r="AE241" s="174"/>
    </row>
    <row r="242" spans="1:31" ht="9.6" customHeight="1" x14ac:dyDescent="0.2">
      <c r="A242" s="168" t="s">
        <v>552</v>
      </c>
      <c r="B242" s="179" t="s">
        <v>553</v>
      </c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 t="s">
        <v>440</v>
      </c>
      <c r="O242" s="179"/>
      <c r="P242" s="179"/>
      <c r="Q242" s="195">
        <v>40518.9</v>
      </c>
      <c r="R242" s="174"/>
      <c r="S242" s="174"/>
      <c r="T242" s="174"/>
      <c r="U242" s="174"/>
      <c r="V242" s="174"/>
      <c r="W242" s="180">
        <v>8.8450000000000006</v>
      </c>
      <c r="X242" s="174"/>
      <c r="Y242" s="174"/>
      <c r="Z242" s="174"/>
      <c r="AA242" s="174"/>
      <c r="AB242" s="174"/>
      <c r="AC242" s="200">
        <v>358389.67</v>
      </c>
      <c r="AD242" s="174"/>
      <c r="AE242" s="174"/>
    </row>
    <row r="243" spans="1:31" ht="9.6" customHeight="1" x14ac:dyDescent="0.2">
      <c r="A243" s="168" t="s">
        <v>554</v>
      </c>
      <c r="B243" s="179" t="s">
        <v>555</v>
      </c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 t="s">
        <v>440</v>
      </c>
      <c r="O243" s="179"/>
      <c r="P243" s="179"/>
      <c r="Q243" s="173">
        <v>1243.3800000000001</v>
      </c>
      <c r="R243" s="174"/>
      <c r="S243" s="174"/>
      <c r="T243" s="174"/>
      <c r="U243" s="174"/>
      <c r="V243" s="174"/>
      <c r="W243" s="180">
        <v>8.8450000000000006</v>
      </c>
      <c r="X243" s="174"/>
      <c r="Y243" s="174"/>
      <c r="Z243" s="174"/>
      <c r="AA243" s="174"/>
      <c r="AB243" s="174"/>
      <c r="AC243" s="196">
        <v>10997.7</v>
      </c>
      <c r="AD243" s="174"/>
      <c r="AE243" s="174"/>
    </row>
    <row r="244" spans="1:31" ht="9.75" customHeight="1" x14ac:dyDescent="0.2">
      <c r="A244" s="167" t="s">
        <v>556</v>
      </c>
      <c r="B244" s="176" t="s">
        <v>448</v>
      </c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7"/>
      <c r="R244" s="177"/>
      <c r="S244" s="177"/>
      <c r="T244" s="177"/>
      <c r="U244" s="177"/>
      <c r="V244" s="177"/>
      <c r="W244" s="177"/>
      <c r="X244" s="177"/>
      <c r="Y244" s="177"/>
      <c r="Z244" s="177"/>
      <c r="AA244" s="177"/>
      <c r="AB244" s="177"/>
      <c r="AC244" s="178">
        <v>2711775.04</v>
      </c>
      <c r="AD244" s="177"/>
      <c r="AE244" s="177"/>
    </row>
    <row r="245" spans="1:31" ht="9.6" customHeight="1" x14ac:dyDescent="0.2">
      <c r="A245" s="168" t="s">
        <v>557</v>
      </c>
      <c r="B245" s="179" t="s">
        <v>558</v>
      </c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 t="s">
        <v>267</v>
      </c>
      <c r="O245" s="179"/>
      <c r="P245" s="179"/>
      <c r="Q245" s="191">
        <v>981.51</v>
      </c>
      <c r="R245" s="174"/>
      <c r="S245" s="174"/>
      <c r="T245" s="174"/>
      <c r="U245" s="174"/>
      <c r="V245" s="174"/>
      <c r="W245" s="191">
        <v>599.60220000000004</v>
      </c>
      <c r="X245" s="174"/>
      <c r="Y245" s="174"/>
      <c r="Z245" s="174"/>
      <c r="AA245" s="174"/>
      <c r="AB245" s="174"/>
      <c r="AC245" s="200">
        <v>588515.56000000006</v>
      </c>
      <c r="AD245" s="174"/>
      <c r="AE245" s="174"/>
    </row>
    <row r="246" spans="1:31" ht="19.350000000000001" customHeight="1" x14ac:dyDescent="0.2">
      <c r="A246" s="168" t="s">
        <v>559</v>
      </c>
      <c r="B246" s="179" t="s">
        <v>560</v>
      </c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 t="s">
        <v>267</v>
      </c>
      <c r="O246" s="179"/>
      <c r="P246" s="179"/>
      <c r="Q246" s="173">
        <v>3219</v>
      </c>
      <c r="R246" s="174"/>
      <c r="S246" s="174"/>
      <c r="T246" s="174"/>
      <c r="U246" s="174"/>
      <c r="V246" s="174"/>
      <c r="W246" s="191">
        <v>659.60220000000004</v>
      </c>
      <c r="X246" s="174"/>
      <c r="Y246" s="174"/>
      <c r="Z246" s="174"/>
      <c r="AA246" s="174"/>
      <c r="AB246" s="174"/>
      <c r="AC246" s="175">
        <v>2123259.48</v>
      </c>
      <c r="AD246" s="174"/>
      <c r="AE246" s="174"/>
    </row>
    <row r="247" spans="1:31" ht="9.75" customHeight="1" x14ac:dyDescent="0.2">
      <c r="A247" s="167" t="s">
        <v>561</v>
      </c>
      <c r="B247" s="176" t="s">
        <v>562</v>
      </c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7"/>
      <c r="R247" s="177"/>
      <c r="S247" s="177"/>
      <c r="T247" s="177"/>
      <c r="U247" s="177"/>
      <c r="V247" s="177"/>
      <c r="W247" s="177"/>
      <c r="X247" s="177"/>
      <c r="Y247" s="177"/>
      <c r="Z247" s="177"/>
      <c r="AA247" s="177"/>
      <c r="AB247" s="177"/>
      <c r="AC247" s="194">
        <v>47500</v>
      </c>
      <c r="AD247" s="177"/>
      <c r="AE247" s="177"/>
    </row>
    <row r="248" spans="1:31" ht="9.6" customHeight="1" x14ac:dyDescent="0.2">
      <c r="A248" s="168" t="s">
        <v>563</v>
      </c>
      <c r="B248" s="179" t="s">
        <v>564</v>
      </c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 t="s">
        <v>137</v>
      </c>
      <c r="O248" s="179"/>
      <c r="P248" s="179"/>
      <c r="Q248" s="180">
        <v>5</v>
      </c>
      <c r="R248" s="174"/>
      <c r="S248" s="174"/>
      <c r="T248" s="174"/>
      <c r="U248" s="174"/>
      <c r="V248" s="174"/>
      <c r="W248" s="173">
        <v>9500</v>
      </c>
      <c r="X248" s="174"/>
      <c r="Y248" s="174"/>
      <c r="Z248" s="174"/>
      <c r="AA248" s="174"/>
      <c r="AB248" s="174"/>
      <c r="AC248" s="196">
        <v>47500</v>
      </c>
      <c r="AD248" s="174"/>
      <c r="AE248" s="174"/>
    </row>
    <row r="249" spans="1:31" ht="9.75" customHeight="1" x14ac:dyDescent="0.2">
      <c r="A249" s="167" t="s">
        <v>565</v>
      </c>
      <c r="B249" s="176" t="s">
        <v>566</v>
      </c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7"/>
      <c r="R249" s="177"/>
      <c r="S249" s="177"/>
      <c r="T249" s="177"/>
      <c r="U249" s="177"/>
      <c r="V249" s="177"/>
      <c r="W249" s="177"/>
      <c r="X249" s="177"/>
      <c r="Y249" s="177"/>
      <c r="Z249" s="177"/>
      <c r="AA249" s="177"/>
      <c r="AB249" s="177"/>
      <c r="AC249" s="178">
        <v>4097744</v>
      </c>
      <c r="AD249" s="177"/>
      <c r="AE249" s="177"/>
    </row>
    <row r="250" spans="1:31" ht="9.6" customHeight="1" x14ac:dyDescent="0.2">
      <c r="A250" s="168" t="s">
        <v>567</v>
      </c>
      <c r="B250" s="179" t="s">
        <v>568</v>
      </c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 t="s">
        <v>220</v>
      </c>
      <c r="O250" s="179"/>
      <c r="P250" s="179"/>
      <c r="Q250" s="195">
        <v>14634.8</v>
      </c>
      <c r="R250" s="174"/>
      <c r="S250" s="174"/>
      <c r="T250" s="174"/>
      <c r="U250" s="174"/>
      <c r="V250" s="174"/>
      <c r="W250" s="191">
        <v>280</v>
      </c>
      <c r="X250" s="174"/>
      <c r="Y250" s="174"/>
      <c r="Z250" s="174"/>
      <c r="AA250" s="174"/>
      <c r="AB250" s="174"/>
      <c r="AC250" s="175">
        <v>4097744</v>
      </c>
      <c r="AD250" s="174"/>
      <c r="AE250" s="174"/>
    </row>
    <row r="251" spans="1:31" ht="9.75" customHeight="1" x14ac:dyDescent="0.2">
      <c r="A251" s="167" t="s">
        <v>569</v>
      </c>
      <c r="B251" s="176" t="s">
        <v>570</v>
      </c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7"/>
      <c r="R251" s="177"/>
      <c r="S251" s="177"/>
      <c r="T251" s="177"/>
      <c r="U251" s="177"/>
      <c r="V251" s="177"/>
      <c r="W251" s="177"/>
      <c r="X251" s="177"/>
      <c r="Y251" s="177"/>
      <c r="Z251" s="177"/>
      <c r="AA251" s="177"/>
      <c r="AB251" s="177"/>
      <c r="AC251" s="197">
        <v>19446658.989999998</v>
      </c>
      <c r="AD251" s="177"/>
      <c r="AE251" s="177"/>
    </row>
    <row r="252" spans="1:31" ht="9.75" customHeight="1" x14ac:dyDescent="0.2">
      <c r="A252" s="167" t="s">
        <v>571</v>
      </c>
      <c r="B252" s="176" t="s">
        <v>496</v>
      </c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7"/>
      <c r="R252" s="177"/>
      <c r="S252" s="177"/>
      <c r="T252" s="177"/>
      <c r="U252" s="177"/>
      <c r="V252" s="177"/>
      <c r="W252" s="177"/>
      <c r="X252" s="177"/>
      <c r="Y252" s="177"/>
      <c r="Z252" s="177"/>
      <c r="AA252" s="177"/>
      <c r="AB252" s="177"/>
      <c r="AC252" s="178">
        <v>3055431.6</v>
      </c>
      <c r="AD252" s="177"/>
      <c r="AE252" s="177"/>
    </row>
    <row r="253" spans="1:31" ht="19.350000000000001" customHeight="1" x14ac:dyDescent="0.2">
      <c r="A253" s="168" t="s">
        <v>572</v>
      </c>
      <c r="B253" s="179" t="s">
        <v>524</v>
      </c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 t="s">
        <v>220</v>
      </c>
      <c r="O253" s="179"/>
      <c r="P253" s="179"/>
      <c r="Q253" s="173">
        <v>2436.5</v>
      </c>
      <c r="R253" s="174"/>
      <c r="S253" s="174"/>
      <c r="T253" s="174"/>
      <c r="U253" s="174"/>
      <c r="V253" s="174"/>
      <c r="W253" s="191">
        <v>125.398</v>
      </c>
      <c r="X253" s="174"/>
      <c r="Y253" s="174"/>
      <c r="Z253" s="174"/>
      <c r="AA253" s="174"/>
      <c r="AB253" s="174"/>
      <c r="AC253" s="200">
        <v>305532.23</v>
      </c>
      <c r="AD253" s="174"/>
      <c r="AE253" s="174"/>
    </row>
    <row r="254" spans="1:31" ht="19.350000000000001" customHeight="1" x14ac:dyDescent="0.2">
      <c r="A254" s="168" t="s">
        <v>573</v>
      </c>
      <c r="B254" s="179" t="s">
        <v>526</v>
      </c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 t="s">
        <v>220</v>
      </c>
      <c r="O254" s="179"/>
      <c r="P254" s="179"/>
      <c r="Q254" s="191">
        <v>914</v>
      </c>
      <c r="R254" s="174"/>
      <c r="S254" s="174"/>
      <c r="T254" s="174"/>
      <c r="U254" s="174"/>
      <c r="V254" s="174"/>
      <c r="W254" s="202">
        <v>92.820499999999996</v>
      </c>
      <c r="X254" s="174"/>
      <c r="Y254" s="174"/>
      <c r="Z254" s="174"/>
      <c r="AA254" s="174"/>
      <c r="AB254" s="174"/>
      <c r="AC254" s="196">
        <v>84837.94</v>
      </c>
      <c r="AD254" s="174"/>
      <c r="AE254" s="174"/>
    </row>
    <row r="255" spans="1:31" ht="19.350000000000001" customHeight="1" x14ac:dyDescent="0.2">
      <c r="A255" s="168" t="s">
        <v>574</v>
      </c>
      <c r="B255" s="179" t="s">
        <v>528</v>
      </c>
      <c r="C255" s="179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 t="s">
        <v>220</v>
      </c>
      <c r="O255" s="179"/>
      <c r="P255" s="179"/>
      <c r="Q255" s="173">
        <v>6184.25</v>
      </c>
      <c r="R255" s="174"/>
      <c r="S255" s="174"/>
      <c r="T255" s="174"/>
      <c r="U255" s="174"/>
      <c r="V255" s="174"/>
      <c r="W255" s="202">
        <v>61.499000000000002</v>
      </c>
      <c r="X255" s="174"/>
      <c r="Y255" s="174"/>
      <c r="Z255" s="174"/>
      <c r="AA255" s="174"/>
      <c r="AB255" s="174"/>
      <c r="AC255" s="200">
        <v>380325.19</v>
      </c>
      <c r="AD255" s="174"/>
      <c r="AE255" s="174"/>
    </row>
    <row r="256" spans="1:31" ht="19.350000000000001" customHeight="1" x14ac:dyDescent="0.2">
      <c r="A256" s="168" t="s">
        <v>575</v>
      </c>
      <c r="B256" s="179" t="s">
        <v>530</v>
      </c>
      <c r="C256" s="179"/>
      <c r="D256" s="179"/>
      <c r="E256" s="179"/>
      <c r="F256" s="179"/>
      <c r="G256" s="179"/>
      <c r="H256" s="179"/>
      <c r="I256" s="179"/>
      <c r="J256" s="179"/>
      <c r="K256" s="179"/>
      <c r="L256" s="179"/>
      <c r="M256" s="179"/>
      <c r="N256" s="179" t="s">
        <v>220</v>
      </c>
      <c r="O256" s="179"/>
      <c r="P256" s="179"/>
      <c r="Q256" s="173">
        <v>9746</v>
      </c>
      <c r="R256" s="174"/>
      <c r="S256" s="174"/>
      <c r="T256" s="174"/>
      <c r="U256" s="174"/>
      <c r="V256" s="174"/>
      <c r="W256" s="180">
        <v>0.51729999999999998</v>
      </c>
      <c r="X256" s="174"/>
      <c r="Y256" s="174"/>
      <c r="Z256" s="174"/>
      <c r="AA256" s="174"/>
      <c r="AB256" s="174"/>
      <c r="AC256" s="201">
        <v>5041.6099999999997</v>
      </c>
      <c r="AD256" s="174"/>
      <c r="AE256" s="174"/>
    </row>
    <row r="257" spans="1:31" ht="19.350000000000001" customHeight="1" x14ac:dyDescent="0.2">
      <c r="A257" s="168" t="s">
        <v>576</v>
      </c>
      <c r="B257" s="179" t="s">
        <v>532</v>
      </c>
      <c r="C257" s="179"/>
      <c r="D257" s="179"/>
      <c r="E257" s="179"/>
      <c r="F257" s="179"/>
      <c r="G257" s="179"/>
      <c r="H257" s="179"/>
      <c r="I257" s="179"/>
      <c r="J257" s="179"/>
      <c r="K257" s="179"/>
      <c r="L257" s="179"/>
      <c r="M257" s="179"/>
      <c r="N257" s="179" t="s">
        <v>220</v>
      </c>
      <c r="O257" s="179"/>
      <c r="P257" s="179"/>
      <c r="Q257" s="173">
        <v>3656</v>
      </c>
      <c r="R257" s="174"/>
      <c r="S257" s="174"/>
      <c r="T257" s="174"/>
      <c r="U257" s="174"/>
      <c r="V257" s="174"/>
      <c r="W257" s="180">
        <v>2.5363000000000002</v>
      </c>
      <c r="X257" s="174"/>
      <c r="Y257" s="174"/>
      <c r="Z257" s="174"/>
      <c r="AA257" s="174"/>
      <c r="AB257" s="174"/>
      <c r="AC257" s="201">
        <v>9272.7099999999991</v>
      </c>
      <c r="AD257" s="174"/>
      <c r="AE257" s="174"/>
    </row>
    <row r="258" spans="1:31" ht="19.350000000000001" customHeight="1" x14ac:dyDescent="0.2">
      <c r="A258" s="168" t="s">
        <v>577</v>
      </c>
      <c r="B258" s="179" t="s">
        <v>534</v>
      </c>
      <c r="C258" s="179"/>
      <c r="D258" s="179"/>
      <c r="E258" s="179"/>
      <c r="F258" s="179"/>
      <c r="G258" s="179"/>
      <c r="H258" s="179"/>
      <c r="I258" s="179"/>
      <c r="J258" s="179"/>
      <c r="K258" s="179"/>
      <c r="L258" s="179"/>
      <c r="M258" s="179"/>
      <c r="N258" s="179" t="s">
        <v>220</v>
      </c>
      <c r="O258" s="179"/>
      <c r="P258" s="179"/>
      <c r="Q258" s="195">
        <v>24737</v>
      </c>
      <c r="R258" s="174"/>
      <c r="S258" s="174"/>
      <c r="T258" s="174"/>
      <c r="U258" s="174"/>
      <c r="V258" s="174"/>
      <c r="W258" s="180">
        <v>0.51729999999999998</v>
      </c>
      <c r="X258" s="174"/>
      <c r="Y258" s="174"/>
      <c r="Z258" s="174"/>
      <c r="AA258" s="174"/>
      <c r="AB258" s="174"/>
      <c r="AC258" s="196">
        <v>12796.45</v>
      </c>
      <c r="AD258" s="174"/>
      <c r="AE258" s="174"/>
    </row>
    <row r="259" spans="1:31" ht="9.6" customHeight="1" x14ac:dyDescent="0.2">
      <c r="A259" s="168" t="s">
        <v>578</v>
      </c>
      <c r="B259" s="179" t="s">
        <v>536</v>
      </c>
      <c r="C259" s="179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 t="s">
        <v>220</v>
      </c>
      <c r="O259" s="179"/>
      <c r="P259" s="179"/>
      <c r="Q259" s="195">
        <v>25851.66</v>
      </c>
      <c r="R259" s="174"/>
      <c r="S259" s="174"/>
      <c r="T259" s="174"/>
      <c r="U259" s="174"/>
      <c r="V259" s="174"/>
      <c r="W259" s="202">
        <v>87.33</v>
      </c>
      <c r="X259" s="174"/>
      <c r="Y259" s="174"/>
      <c r="Z259" s="174"/>
      <c r="AA259" s="174"/>
      <c r="AB259" s="174"/>
      <c r="AC259" s="175">
        <v>2257625.4700000002</v>
      </c>
      <c r="AD259" s="174"/>
      <c r="AE259" s="174"/>
    </row>
    <row r="260" spans="1:31" ht="9.75" customHeight="1" x14ac:dyDescent="0.2">
      <c r="A260" s="167" t="s">
        <v>579</v>
      </c>
      <c r="B260" s="176" t="s">
        <v>437</v>
      </c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7"/>
      <c r="R260" s="177"/>
      <c r="S260" s="177"/>
      <c r="T260" s="177"/>
      <c r="U260" s="177"/>
      <c r="V260" s="177"/>
      <c r="W260" s="177"/>
      <c r="X260" s="177"/>
      <c r="Y260" s="177"/>
      <c r="Z260" s="177"/>
      <c r="AA260" s="177"/>
      <c r="AB260" s="177"/>
      <c r="AC260" s="178">
        <v>4148484.76</v>
      </c>
      <c r="AD260" s="177"/>
      <c r="AE260" s="177"/>
    </row>
    <row r="261" spans="1:31" ht="9.6" customHeight="1" x14ac:dyDescent="0.2">
      <c r="A261" s="168" t="s">
        <v>580</v>
      </c>
      <c r="B261" s="179" t="s">
        <v>539</v>
      </c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 t="s">
        <v>440</v>
      </c>
      <c r="O261" s="179"/>
      <c r="P261" s="179"/>
      <c r="Q261" s="195">
        <v>18353.78</v>
      </c>
      <c r="R261" s="174"/>
      <c r="S261" s="174"/>
      <c r="T261" s="174"/>
      <c r="U261" s="174"/>
      <c r="V261" s="174"/>
      <c r="W261" s="180">
        <v>7.5362999999999998</v>
      </c>
      <c r="X261" s="174"/>
      <c r="Y261" s="174"/>
      <c r="Z261" s="174"/>
      <c r="AA261" s="174"/>
      <c r="AB261" s="174"/>
      <c r="AC261" s="200">
        <v>138319.59</v>
      </c>
      <c r="AD261" s="174"/>
      <c r="AE261" s="174"/>
    </row>
    <row r="262" spans="1:31" ht="9.6" customHeight="1" x14ac:dyDescent="0.2">
      <c r="A262" s="168" t="s">
        <v>581</v>
      </c>
      <c r="B262" s="179" t="s">
        <v>541</v>
      </c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 t="s">
        <v>440</v>
      </c>
      <c r="O262" s="179"/>
      <c r="P262" s="179"/>
      <c r="Q262" s="195">
        <v>32488.38</v>
      </c>
      <c r="R262" s="174"/>
      <c r="S262" s="174"/>
      <c r="T262" s="174"/>
      <c r="U262" s="174"/>
      <c r="V262" s="174"/>
      <c r="W262" s="180">
        <v>7.4245999999999999</v>
      </c>
      <c r="X262" s="174"/>
      <c r="Y262" s="174"/>
      <c r="Z262" s="174"/>
      <c r="AA262" s="174"/>
      <c r="AB262" s="174"/>
      <c r="AC262" s="200">
        <v>241213.23</v>
      </c>
      <c r="AD262" s="174"/>
      <c r="AE262" s="174"/>
    </row>
    <row r="263" spans="1:31" ht="19.350000000000001" customHeight="1" x14ac:dyDescent="0.2">
      <c r="A263" s="168" t="s">
        <v>582</v>
      </c>
      <c r="B263" s="179" t="s">
        <v>543</v>
      </c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 t="s">
        <v>440</v>
      </c>
      <c r="O263" s="179"/>
      <c r="P263" s="179"/>
      <c r="Q263" s="195">
        <v>29868.55</v>
      </c>
      <c r="R263" s="174"/>
      <c r="S263" s="174"/>
      <c r="T263" s="174"/>
      <c r="U263" s="174"/>
      <c r="V263" s="174"/>
      <c r="W263" s="180">
        <v>7.0652999999999997</v>
      </c>
      <c r="X263" s="174"/>
      <c r="Y263" s="174"/>
      <c r="Z263" s="174"/>
      <c r="AA263" s="174"/>
      <c r="AB263" s="174"/>
      <c r="AC263" s="200">
        <v>211030.27</v>
      </c>
      <c r="AD263" s="174"/>
      <c r="AE263" s="174"/>
    </row>
    <row r="264" spans="1:31" ht="19.350000000000001" customHeight="1" x14ac:dyDescent="0.2">
      <c r="A264" s="168" t="s">
        <v>583</v>
      </c>
      <c r="B264" s="179" t="s">
        <v>545</v>
      </c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 t="s">
        <v>440</v>
      </c>
      <c r="O264" s="179"/>
      <c r="P264" s="179"/>
      <c r="Q264" s="195">
        <v>82155.03</v>
      </c>
      <c r="R264" s="174"/>
      <c r="S264" s="174"/>
      <c r="T264" s="174"/>
      <c r="U264" s="174"/>
      <c r="V264" s="174"/>
      <c r="W264" s="180">
        <v>6.8705999999999996</v>
      </c>
      <c r="X264" s="174"/>
      <c r="Y264" s="174"/>
      <c r="Z264" s="174"/>
      <c r="AA264" s="174"/>
      <c r="AB264" s="174"/>
      <c r="AC264" s="200">
        <v>564454.35</v>
      </c>
      <c r="AD264" s="174"/>
      <c r="AE264" s="174"/>
    </row>
    <row r="265" spans="1:31" ht="19.350000000000001" customHeight="1" x14ac:dyDescent="0.2">
      <c r="A265" s="168" t="s">
        <v>584</v>
      </c>
      <c r="B265" s="179" t="s">
        <v>547</v>
      </c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 t="s">
        <v>440</v>
      </c>
      <c r="O265" s="179"/>
      <c r="P265" s="179"/>
      <c r="Q265" s="195">
        <v>60734.080000000002</v>
      </c>
      <c r="R265" s="174"/>
      <c r="S265" s="174"/>
      <c r="T265" s="174"/>
      <c r="U265" s="174"/>
      <c r="V265" s="174"/>
      <c r="W265" s="180">
        <v>6.8318000000000003</v>
      </c>
      <c r="X265" s="174"/>
      <c r="Y265" s="174"/>
      <c r="Z265" s="174"/>
      <c r="AA265" s="174"/>
      <c r="AB265" s="174"/>
      <c r="AC265" s="200">
        <v>414923.09</v>
      </c>
      <c r="AD265" s="174"/>
      <c r="AE265" s="174"/>
    </row>
    <row r="266" spans="1:31" ht="19.350000000000001" customHeight="1" x14ac:dyDescent="0.2">
      <c r="A266" s="168" t="s">
        <v>585</v>
      </c>
      <c r="B266" s="179" t="s">
        <v>549</v>
      </c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 t="s">
        <v>440</v>
      </c>
      <c r="O266" s="179"/>
      <c r="P266" s="179"/>
      <c r="Q266" s="195">
        <v>20962.650000000001</v>
      </c>
      <c r="R266" s="174"/>
      <c r="S266" s="174"/>
      <c r="T266" s="174"/>
      <c r="U266" s="174"/>
      <c r="V266" s="174"/>
      <c r="W266" s="180">
        <v>6.8071000000000002</v>
      </c>
      <c r="X266" s="174"/>
      <c r="Y266" s="174"/>
      <c r="Z266" s="174"/>
      <c r="AA266" s="174"/>
      <c r="AB266" s="174"/>
      <c r="AC266" s="200">
        <v>142694.85</v>
      </c>
      <c r="AD266" s="174"/>
      <c r="AE266" s="174"/>
    </row>
    <row r="267" spans="1:31" ht="19.350000000000001" customHeight="1" x14ac:dyDescent="0.2">
      <c r="A267" s="168" t="s">
        <v>586</v>
      </c>
      <c r="B267" s="179" t="s">
        <v>551</v>
      </c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 t="s">
        <v>440</v>
      </c>
      <c r="O267" s="179"/>
      <c r="P267" s="179"/>
      <c r="Q267" s="195">
        <v>27123.1</v>
      </c>
      <c r="R267" s="174"/>
      <c r="S267" s="174"/>
      <c r="T267" s="174"/>
      <c r="U267" s="174"/>
      <c r="V267" s="174"/>
      <c r="W267" s="180">
        <v>7.1851000000000003</v>
      </c>
      <c r="X267" s="174"/>
      <c r="Y267" s="174"/>
      <c r="Z267" s="174"/>
      <c r="AA267" s="174"/>
      <c r="AB267" s="174"/>
      <c r="AC267" s="200">
        <v>194882.19</v>
      </c>
      <c r="AD267" s="174"/>
      <c r="AE267" s="174"/>
    </row>
    <row r="268" spans="1:31" ht="9.6" customHeight="1" x14ac:dyDescent="0.2">
      <c r="A268" s="168" t="s">
        <v>587</v>
      </c>
      <c r="B268" s="179" t="s">
        <v>588</v>
      </c>
      <c r="C268" s="179"/>
      <c r="D268" s="179"/>
      <c r="E268" s="179"/>
      <c r="F268" s="179"/>
      <c r="G268" s="179"/>
      <c r="H268" s="179"/>
      <c r="I268" s="179"/>
      <c r="J268" s="179"/>
      <c r="K268" s="179"/>
      <c r="L268" s="179"/>
      <c r="M268" s="179"/>
      <c r="N268" s="179" t="s">
        <v>440</v>
      </c>
      <c r="O268" s="179"/>
      <c r="P268" s="179"/>
      <c r="Q268" s="195">
        <v>62039.13</v>
      </c>
      <c r="R268" s="174"/>
      <c r="S268" s="174"/>
      <c r="T268" s="174"/>
      <c r="U268" s="174"/>
      <c r="V268" s="174"/>
      <c r="W268" s="180">
        <v>8.5805000000000007</v>
      </c>
      <c r="X268" s="174"/>
      <c r="Y268" s="174"/>
      <c r="Z268" s="174"/>
      <c r="AA268" s="174"/>
      <c r="AB268" s="174"/>
      <c r="AC268" s="200">
        <v>532326.75</v>
      </c>
      <c r="AD268" s="174"/>
      <c r="AE268" s="174"/>
    </row>
    <row r="269" spans="1:31" ht="9.6" customHeight="1" x14ac:dyDescent="0.2">
      <c r="A269" s="168" t="s">
        <v>589</v>
      </c>
      <c r="B269" s="179" t="s">
        <v>590</v>
      </c>
      <c r="C269" s="179"/>
      <c r="D269" s="179"/>
      <c r="E269" s="179"/>
      <c r="F269" s="179"/>
      <c r="G269" s="179"/>
      <c r="H269" s="179"/>
      <c r="I269" s="179"/>
      <c r="J269" s="179"/>
      <c r="K269" s="179"/>
      <c r="L269" s="179"/>
      <c r="M269" s="179"/>
      <c r="N269" s="179" t="s">
        <v>440</v>
      </c>
      <c r="O269" s="179"/>
      <c r="P269" s="179"/>
      <c r="Q269" s="173">
        <v>8487.51</v>
      </c>
      <c r="R269" s="174"/>
      <c r="S269" s="174"/>
      <c r="T269" s="174"/>
      <c r="U269" s="174"/>
      <c r="V269" s="174"/>
      <c r="W269" s="180">
        <v>8.8450000000000006</v>
      </c>
      <c r="X269" s="174"/>
      <c r="Y269" s="174"/>
      <c r="Z269" s="174"/>
      <c r="AA269" s="174"/>
      <c r="AB269" s="174"/>
      <c r="AC269" s="196">
        <v>75072.03</v>
      </c>
      <c r="AD269" s="174"/>
      <c r="AE269" s="174"/>
    </row>
    <row r="270" spans="1:31" ht="19.350000000000001" customHeight="1" x14ac:dyDescent="0.2">
      <c r="A270" s="168" t="s">
        <v>591</v>
      </c>
      <c r="B270" s="179" t="s">
        <v>592</v>
      </c>
      <c r="C270" s="179"/>
      <c r="D270" s="179"/>
      <c r="E270" s="179"/>
      <c r="F270" s="179"/>
      <c r="G270" s="179"/>
      <c r="H270" s="179"/>
      <c r="I270" s="179"/>
      <c r="J270" s="179"/>
      <c r="K270" s="179"/>
      <c r="L270" s="179"/>
      <c r="M270" s="179"/>
      <c r="N270" s="179" t="s">
        <v>440</v>
      </c>
      <c r="O270" s="179"/>
      <c r="P270" s="179"/>
      <c r="Q270" s="195">
        <v>84824.95</v>
      </c>
      <c r="R270" s="174"/>
      <c r="S270" s="174"/>
      <c r="T270" s="174"/>
      <c r="U270" s="174"/>
      <c r="V270" s="174"/>
      <c r="W270" s="180">
        <v>9.1999999999999993</v>
      </c>
      <c r="X270" s="174"/>
      <c r="Y270" s="174"/>
      <c r="Z270" s="174"/>
      <c r="AA270" s="174"/>
      <c r="AB270" s="174"/>
      <c r="AC270" s="200">
        <v>780389.54</v>
      </c>
      <c r="AD270" s="174"/>
      <c r="AE270" s="174"/>
    </row>
    <row r="271" spans="1:31" ht="9.6" customHeight="1" x14ac:dyDescent="0.2">
      <c r="A271" s="168" t="s">
        <v>593</v>
      </c>
      <c r="B271" s="179" t="s">
        <v>594</v>
      </c>
      <c r="C271" s="179"/>
      <c r="D271" s="179"/>
      <c r="E271" s="179"/>
      <c r="F271" s="179"/>
      <c r="G271" s="179"/>
      <c r="H271" s="179"/>
      <c r="I271" s="179"/>
      <c r="J271" s="179"/>
      <c r="K271" s="179"/>
      <c r="L271" s="179"/>
      <c r="M271" s="179"/>
      <c r="N271" s="179" t="s">
        <v>137</v>
      </c>
      <c r="O271" s="179"/>
      <c r="P271" s="179"/>
      <c r="Q271" s="195">
        <v>10280</v>
      </c>
      <c r="R271" s="174"/>
      <c r="S271" s="174"/>
      <c r="T271" s="174"/>
      <c r="U271" s="174"/>
      <c r="V271" s="174"/>
      <c r="W271" s="202">
        <v>24.873899999999999</v>
      </c>
      <c r="X271" s="174"/>
      <c r="Y271" s="174"/>
      <c r="Z271" s="174"/>
      <c r="AA271" s="174"/>
      <c r="AB271" s="174"/>
      <c r="AC271" s="200">
        <v>255703.69</v>
      </c>
      <c r="AD271" s="174"/>
      <c r="AE271" s="174"/>
    </row>
    <row r="272" spans="1:31" ht="19.350000000000001" customHeight="1" x14ac:dyDescent="0.2">
      <c r="A272" s="168" t="s">
        <v>595</v>
      </c>
      <c r="B272" s="179" t="s">
        <v>596</v>
      </c>
      <c r="C272" s="179"/>
      <c r="D272" s="179"/>
      <c r="E272" s="179"/>
      <c r="F272" s="179"/>
      <c r="G272" s="179"/>
      <c r="H272" s="179"/>
      <c r="I272" s="179"/>
      <c r="J272" s="179"/>
      <c r="K272" s="179"/>
      <c r="L272" s="179"/>
      <c r="M272" s="179"/>
      <c r="N272" s="179" t="s">
        <v>112</v>
      </c>
      <c r="O272" s="179"/>
      <c r="P272" s="179"/>
      <c r="Q272" s="180">
        <v>1</v>
      </c>
      <c r="R272" s="174"/>
      <c r="S272" s="174"/>
      <c r="T272" s="174"/>
      <c r="U272" s="174"/>
      <c r="V272" s="174"/>
      <c r="W272" s="199">
        <v>597475.18000000005</v>
      </c>
      <c r="X272" s="174"/>
      <c r="Y272" s="174"/>
      <c r="Z272" s="174"/>
      <c r="AA272" s="174"/>
      <c r="AB272" s="174"/>
      <c r="AC272" s="200">
        <v>597475.18000000005</v>
      </c>
      <c r="AD272" s="174"/>
      <c r="AE272" s="174"/>
    </row>
    <row r="273" spans="1:31" ht="9.75" customHeight="1" x14ac:dyDescent="0.2">
      <c r="A273" s="167" t="s">
        <v>597</v>
      </c>
      <c r="B273" s="176" t="s">
        <v>448</v>
      </c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7"/>
      <c r="R273" s="177"/>
      <c r="S273" s="177"/>
      <c r="T273" s="177"/>
      <c r="U273" s="177"/>
      <c r="V273" s="177"/>
      <c r="W273" s="177"/>
      <c r="X273" s="177"/>
      <c r="Y273" s="177"/>
      <c r="Z273" s="177"/>
      <c r="AA273" s="177"/>
      <c r="AB273" s="177"/>
      <c r="AC273" s="178">
        <v>4652777.83</v>
      </c>
      <c r="AD273" s="177"/>
      <c r="AE273" s="177"/>
    </row>
    <row r="274" spans="1:31" ht="9.6" customHeight="1" x14ac:dyDescent="0.2">
      <c r="A274" s="168" t="s">
        <v>598</v>
      </c>
      <c r="B274" s="179" t="s">
        <v>558</v>
      </c>
      <c r="C274" s="179"/>
      <c r="D274" s="179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 t="s">
        <v>267</v>
      </c>
      <c r="O274" s="179"/>
      <c r="P274" s="179"/>
      <c r="Q274" s="173">
        <v>6525.5</v>
      </c>
      <c r="R274" s="174"/>
      <c r="S274" s="174"/>
      <c r="T274" s="174"/>
      <c r="U274" s="174"/>
      <c r="V274" s="174"/>
      <c r="W274" s="191">
        <v>599.60220000000004</v>
      </c>
      <c r="X274" s="174"/>
      <c r="Y274" s="174"/>
      <c r="Z274" s="174"/>
      <c r="AA274" s="174"/>
      <c r="AB274" s="174"/>
      <c r="AC274" s="175">
        <v>3912704.16</v>
      </c>
      <c r="AD274" s="174"/>
      <c r="AE274" s="174"/>
    </row>
    <row r="275" spans="1:31" ht="19.350000000000001" customHeight="1" x14ac:dyDescent="0.2">
      <c r="A275" s="168" t="s">
        <v>599</v>
      </c>
      <c r="B275" s="179" t="s">
        <v>560</v>
      </c>
      <c r="C275" s="179"/>
      <c r="D275" s="179"/>
      <c r="E275" s="179"/>
      <c r="F275" s="179"/>
      <c r="G275" s="179"/>
      <c r="H275" s="179"/>
      <c r="I275" s="179"/>
      <c r="J275" s="179"/>
      <c r="K275" s="179"/>
      <c r="L275" s="179"/>
      <c r="M275" s="179"/>
      <c r="N275" s="179" t="s">
        <v>267</v>
      </c>
      <c r="O275" s="179"/>
      <c r="P275" s="179"/>
      <c r="Q275" s="173">
        <v>1122</v>
      </c>
      <c r="R275" s="174"/>
      <c r="S275" s="174"/>
      <c r="T275" s="174"/>
      <c r="U275" s="174"/>
      <c r="V275" s="174"/>
      <c r="W275" s="191">
        <v>659.60220000000004</v>
      </c>
      <c r="X275" s="174"/>
      <c r="Y275" s="174"/>
      <c r="Z275" s="174"/>
      <c r="AA275" s="174"/>
      <c r="AB275" s="174"/>
      <c r="AC275" s="200">
        <v>740073.67</v>
      </c>
      <c r="AD275" s="174"/>
      <c r="AE275" s="174"/>
    </row>
    <row r="276" spans="1:31" ht="9.75" customHeight="1" x14ac:dyDescent="0.2">
      <c r="A276" s="167" t="s">
        <v>600</v>
      </c>
      <c r="B276" s="176" t="s">
        <v>562</v>
      </c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7"/>
      <c r="R276" s="177"/>
      <c r="S276" s="177"/>
      <c r="T276" s="177"/>
      <c r="U276" s="177"/>
      <c r="V276" s="177"/>
      <c r="W276" s="177"/>
      <c r="X276" s="177"/>
      <c r="Y276" s="177"/>
      <c r="Z276" s="177"/>
      <c r="AA276" s="177"/>
      <c r="AB276" s="177"/>
      <c r="AC276" s="198">
        <v>351500</v>
      </c>
      <c r="AD276" s="177"/>
      <c r="AE276" s="177"/>
    </row>
    <row r="277" spans="1:31" ht="9.6" customHeight="1" x14ac:dyDescent="0.2">
      <c r="A277" s="168" t="s">
        <v>601</v>
      </c>
      <c r="B277" s="179" t="s">
        <v>564</v>
      </c>
      <c r="C277" s="179"/>
      <c r="D277" s="179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 t="s">
        <v>137</v>
      </c>
      <c r="O277" s="179"/>
      <c r="P277" s="179"/>
      <c r="Q277" s="202">
        <v>37</v>
      </c>
      <c r="R277" s="174"/>
      <c r="S277" s="174"/>
      <c r="T277" s="174"/>
      <c r="U277" s="174"/>
      <c r="V277" s="174"/>
      <c r="W277" s="173">
        <v>9500</v>
      </c>
      <c r="X277" s="174"/>
      <c r="Y277" s="174"/>
      <c r="Z277" s="174"/>
      <c r="AA277" s="174"/>
      <c r="AB277" s="174"/>
      <c r="AC277" s="200">
        <v>351500</v>
      </c>
      <c r="AD277" s="174"/>
      <c r="AE277" s="174"/>
    </row>
    <row r="278" spans="1:31" ht="9.75" customHeight="1" x14ac:dyDescent="0.2">
      <c r="A278" s="167" t="s">
        <v>602</v>
      </c>
      <c r="B278" s="176" t="s">
        <v>566</v>
      </c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7"/>
      <c r="R278" s="177"/>
      <c r="S278" s="177"/>
      <c r="T278" s="177"/>
      <c r="U278" s="177"/>
      <c r="V278" s="177"/>
      <c r="W278" s="177"/>
      <c r="X278" s="177"/>
      <c r="Y278" s="177"/>
      <c r="Z278" s="177"/>
      <c r="AA278" s="177"/>
      <c r="AB278" s="177"/>
      <c r="AC278" s="178">
        <v>7238464.7999999998</v>
      </c>
      <c r="AD278" s="177"/>
      <c r="AE278" s="177"/>
    </row>
    <row r="279" spans="1:31" ht="9.6" customHeight="1" x14ac:dyDescent="0.2">
      <c r="A279" s="168" t="s">
        <v>603</v>
      </c>
      <c r="B279" s="179" t="s">
        <v>568</v>
      </c>
      <c r="C279" s="179"/>
      <c r="D279" s="179"/>
      <c r="E279" s="179"/>
      <c r="F279" s="179"/>
      <c r="G279" s="179"/>
      <c r="H279" s="179"/>
      <c r="I279" s="179"/>
      <c r="J279" s="179"/>
      <c r="K279" s="179"/>
      <c r="L279" s="179"/>
      <c r="M279" s="179"/>
      <c r="N279" s="179" t="s">
        <v>220</v>
      </c>
      <c r="O279" s="179"/>
      <c r="P279" s="179"/>
      <c r="Q279" s="195">
        <v>25851.66</v>
      </c>
      <c r="R279" s="174"/>
      <c r="S279" s="174"/>
      <c r="T279" s="174"/>
      <c r="U279" s="174"/>
      <c r="V279" s="174"/>
      <c r="W279" s="191">
        <v>280</v>
      </c>
      <c r="X279" s="174"/>
      <c r="Y279" s="174"/>
      <c r="Z279" s="174"/>
      <c r="AA279" s="174"/>
      <c r="AB279" s="174"/>
      <c r="AC279" s="175">
        <v>7238464.7999999998</v>
      </c>
      <c r="AD279" s="174"/>
      <c r="AE279" s="174"/>
    </row>
    <row r="280" spans="1:31" ht="9.75" customHeight="1" x14ac:dyDescent="0.2">
      <c r="A280" s="167" t="s">
        <v>604</v>
      </c>
      <c r="B280" s="176" t="s">
        <v>605</v>
      </c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7"/>
      <c r="R280" s="177"/>
      <c r="S280" s="177"/>
      <c r="T280" s="177"/>
      <c r="U280" s="177"/>
      <c r="V280" s="177"/>
      <c r="W280" s="177"/>
      <c r="X280" s="177"/>
      <c r="Y280" s="177"/>
      <c r="Z280" s="177"/>
      <c r="AA280" s="177"/>
      <c r="AB280" s="177"/>
      <c r="AC280" s="198">
        <v>765874.9</v>
      </c>
      <c r="AD280" s="177"/>
      <c r="AE280" s="177"/>
    </row>
    <row r="281" spans="1:31" ht="9.75" customHeight="1" x14ac:dyDescent="0.2">
      <c r="A281" s="167" t="s">
        <v>606</v>
      </c>
      <c r="B281" s="176" t="s">
        <v>496</v>
      </c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7"/>
      <c r="R281" s="177"/>
      <c r="S281" s="177"/>
      <c r="T281" s="177"/>
      <c r="U281" s="177"/>
      <c r="V281" s="177"/>
      <c r="W281" s="177"/>
      <c r="X281" s="177"/>
      <c r="Y281" s="177"/>
      <c r="Z281" s="177"/>
      <c r="AA281" s="177"/>
      <c r="AB281" s="177"/>
      <c r="AC281" s="198">
        <v>171458.02</v>
      </c>
      <c r="AD281" s="177"/>
      <c r="AE281" s="177"/>
    </row>
    <row r="282" spans="1:31" ht="19.350000000000001" customHeight="1" x14ac:dyDescent="0.2">
      <c r="A282" s="168" t="s">
        <v>607</v>
      </c>
      <c r="B282" s="179" t="s">
        <v>524</v>
      </c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 t="s">
        <v>220</v>
      </c>
      <c r="O282" s="179"/>
      <c r="P282" s="179"/>
      <c r="Q282" s="202">
        <v>64.25</v>
      </c>
      <c r="R282" s="174"/>
      <c r="S282" s="174"/>
      <c r="T282" s="174"/>
      <c r="U282" s="174"/>
      <c r="V282" s="174"/>
      <c r="W282" s="191">
        <v>125.398</v>
      </c>
      <c r="X282" s="174"/>
      <c r="Y282" s="174"/>
      <c r="Z282" s="174"/>
      <c r="AA282" s="174"/>
      <c r="AB282" s="174"/>
      <c r="AC282" s="201">
        <v>8056.82</v>
      </c>
      <c r="AD282" s="174"/>
      <c r="AE282" s="174"/>
    </row>
    <row r="283" spans="1:31" ht="19.350000000000001" customHeight="1" x14ac:dyDescent="0.2">
      <c r="A283" s="168" t="s">
        <v>608</v>
      </c>
      <c r="B283" s="179" t="s">
        <v>526</v>
      </c>
      <c r="C283" s="179"/>
      <c r="D283" s="179"/>
      <c r="E283" s="179"/>
      <c r="F283" s="179"/>
      <c r="G283" s="179"/>
      <c r="H283" s="179"/>
      <c r="I283" s="179"/>
      <c r="J283" s="179"/>
      <c r="K283" s="179"/>
      <c r="L283" s="179"/>
      <c r="M283" s="179"/>
      <c r="N283" s="179" t="s">
        <v>220</v>
      </c>
      <c r="O283" s="179"/>
      <c r="P283" s="179"/>
      <c r="Q283" s="202">
        <v>29.75</v>
      </c>
      <c r="R283" s="174"/>
      <c r="S283" s="174"/>
      <c r="T283" s="174"/>
      <c r="U283" s="174"/>
      <c r="V283" s="174"/>
      <c r="W283" s="202">
        <v>92.820499999999996</v>
      </c>
      <c r="X283" s="174"/>
      <c r="Y283" s="174"/>
      <c r="Z283" s="174"/>
      <c r="AA283" s="174"/>
      <c r="AB283" s="174"/>
      <c r="AC283" s="201">
        <v>2761.41</v>
      </c>
      <c r="AD283" s="174"/>
      <c r="AE283" s="174"/>
    </row>
    <row r="284" spans="1:31" ht="19.350000000000001" customHeight="1" x14ac:dyDescent="0.2">
      <c r="A284" s="168" t="s">
        <v>609</v>
      </c>
      <c r="B284" s="179" t="s">
        <v>528</v>
      </c>
      <c r="C284" s="179"/>
      <c r="D284" s="179"/>
      <c r="E284" s="179"/>
      <c r="F284" s="179"/>
      <c r="G284" s="179"/>
      <c r="H284" s="179"/>
      <c r="I284" s="179"/>
      <c r="J284" s="179"/>
      <c r="K284" s="179"/>
      <c r="L284" s="179"/>
      <c r="M284" s="179"/>
      <c r="N284" s="179" t="s">
        <v>220</v>
      </c>
      <c r="O284" s="179"/>
      <c r="P284" s="179"/>
      <c r="Q284" s="202">
        <v>59.25</v>
      </c>
      <c r="R284" s="174"/>
      <c r="S284" s="174"/>
      <c r="T284" s="174"/>
      <c r="U284" s="174"/>
      <c r="V284" s="174"/>
      <c r="W284" s="202">
        <v>61.499000000000002</v>
      </c>
      <c r="X284" s="174"/>
      <c r="Y284" s="174"/>
      <c r="Z284" s="174"/>
      <c r="AA284" s="174"/>
      <c r="AB284" s="174"/>
      <c r="AC284" s="201">
        <v>3643.82</v>
      </c>
      <c r="AD284" s="174"/>
      <c r="AE284" s="174"/>
    </row>
    <row r="285" spans="1:31" ht="19.350000000000001" customHeight="1" x14ac:dyDescent="0.2">
      <c r="A285" s="168" t="s">
        <v>610</v>
      </c>
      <c r="B285" s="179" t="s">
        <v>530</v>
      </c>
      <c r="C285" s="179"/>
      <c r="D285" s="179"/>
      <c r="E285" s="179"/>
      <c r="F285" s="179"/>
      <c r="G285" s="179"/>
      <c r="H285" s="179"/>
      <c r="I285" s="179"/>
      <c r="J285" s="179"/>
      <c r="K285" s="179"/>
      <c r="L285" s="179"/>
      <c r="M285" s="179"/>
      <c r="N285" s="179" t="s">
        <v>220</v>
      </c>
      <c r="O285" s="179"/>
      <c r="P285" s="179"/>
      <c r="Q285" s="191">
        <v>257</v>
      </c>
      <c r="R285" s="174"/>
      <c r="S285" s="174"/>
      <c r="T285" s="174"/>
      <c r="U285" s="174"/>
      <c r="V285" s="174"/>
      <c r="W285" s="180">
        <v>0.51729999999999998</v>
      </c>
      <c r="X285" s="174"/>
      <c r="Y285" s="174"/>
      <c r="Z285" s="174"/>
      <c r="AA285" s="174"/>
      <c r="AB285" s="174"/>
      <c r="AC285" s="205">
        <v>132.94999999999999</v>
      </c>
      <c r="AD285" s="174"/>
      <c r="AE285" s="174"/>
    </row>
    <row r="286" spans="1:31" ht="19.350000000000001" customHeight="1" x14ac:dyDescent="0.2">
      <c r="A286" s="168" t="s">
        <v>611</v>
      </c>
      <c r="B286" s="179" t="s">
        <v>532</v>
      </c>
      <c r="C286" s="179"/>
      <c r="D286" s="179"/>
      <c r="E286" s="179"/>
      <c r="F286" s="179"/>
      <c r="G286" s="179"/>
      <c r="H286" s="179"/>
      <c r="I286" s="179"/>
      <c r="J286" s="179"/>
      <c r="K286" s="179"/>
      <c r="L286" s="179"/>
      <c r="M286" s="179"/>
      <c r="N286" s="179" t="s">
        <v>220</v>
      </c>
      <c r="O286" s="179"/>
      <c r="P286" s="179"/>
      <c r="Q286" s="191">
        <v>119</v>
      </c>
      <c r="R286" s="174"/>
      <c r="S286" s="174"/>
      <c r="T286" s="174"/>
      <c r="U286" s="174"/>
      <c r="V286" s="174"/>
      <c r="W286" s="180">
        <v>2.5363000000000002</v>
      </c>
      <c r="X286" s="174"/>
      <c r="Y286" s="174"/>
      <c r="Z286" s="174"/>
      <c r="AA286" s="174"/>
      <c r="AB286" s="174"/>
      <c r="AC286" s="205">
        <v>301.82</v>
      </c>
      <c r="AD286" s="174"/>
      <c r="AE286" s="174"/>
    </row>
    <row r="287" spans="1:31" ht="19.350000000000001" customHeight="1" x14ac:dyDescent="0.2">
      <c r="A287" s="168" t="s">
        <v>612</v>
      </c>
      <c r="B287" s="179" t="s">
        <v>534</v>
      </c>
      <c r="C287" s="179"/>
      <c r="D287" s="179"/>
      <c r="E287" s="179"/>
      <c r="F287" s="179"/>
      <c r="G287" s="179"/>
      <c r="H287" s="179"/>
      <c r="I287" s="179"/>
      <c r="J287" s="179"/>
      <c r="K287" s="179"/>
      <c r="L287" s="179"/>
      <c r="M287" s="179"/>
      <c r="N287" s="179" t="s">
        <v>220</v>
      </c>
      <c r="O287" s="179"/>
      <c r="P287" s="179"/>
      <c r="Q287" s="191">
        <v>237</v>
      </c>
      <c r="R287" s="174"/>
      <c r="S287" s="174"/>
      <c r="T287" s="174"/>
      <c r="U287" s="174"/>
      <c r="V287" s="174"/>
      <c r="W287" s="180">
        <v>0.51729999999999998</v>
      </c>
      <c r="X287" s="174"/>
      <c r="Y287" s="174"/>
      <c r="Z287" s="174"/>
      <c r="AA287" s="174"/>
      <c r="AB287" s="174"/>
      <c r="AC287" s="205">
        <v>122.6</v>
      </c>
      <c r="AD287" s="174"/>
      <c r="AE287" s="174"/>
    </row>
    <row r="288" spans="1:31" ht="9.6" customHeight="1" x14ac:dyDescent="0.2">
      <c r="A288" s="168" t="s">
        <v>613</v>
      </c>
      <c r="B288" s="179" t="s">
        <v>536</v>
      </c>
      <c r="C288" s="179"/>
      <c r="D288" s="179"/>
      <c r="E288" s="179"/>
      <c r="F288" s="179"/>
      <c r="G288" s="179"/>
      <c r="H288" s="179"/>
      <c r="I288" s="179"/>
      <c r="J288" s="179"/>
      <c r="K288" s="179"/>
      <c r="L288" s="179"/>
      <c r="M288" s="179"/>
      <c r="N288" s="179" t="s">
        <v>220</v>
      </c>
      <c r="O288" s="179"/>
      <c r="P288" s="179"/>
      <c r="Q288" s="173">
        <v>1791.35</v>
      </c>
      <c r="R288" s="174"/>
      <c r="S288" s="174"/>
      <c r="T288" s="174"/>
      <c r="U288" s="174"/>
      <c r="V288" s="174"/>
      <c r="W288" s="202">
        <v>87.33</v>
      </c>
      <c r="X288" s="174"/>
      <c r="Y288" s="174"/>
      <c r="Z288" s="174"/>
      <c r="AA288" s="174"/>
      <c r="AB288" s="174"/>
      <c r="AC288" s="200">
        <v>156438.6</v>
      </c>
      <c r="AD288" s="174"/>
      <c r="AE288" s="174"/>
    </row>
    <row r="289" spans="1:31" ht="9.75" customHeight="1" x14ac:dyDescent="0.2">
      <c r="A289" s="167" t="s">
        <v>614</v>
      </c>
      <c r="B289" s="176" t="s">
        <v>437</v>
      </c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7"/>
      <c r="R289" s="177"/>
      <c r="S289" s="177"/>
      <c r="T289" s="177"/>
      <c r="U289" s="177"/>
      <c r="V289" s="177"/>
      <c r="W289" s="177"/>
      <c r="X289" s="177"/>
      <c r="Y289" s="177"/>
      <c r="Z289" s="177"/>
      <c r="AA289" s="177"/>
      <c r="AB289" s="177"/>
      <c r="AC289" s="194">
        <v>35455.870000000003</v>
      </c>
      <c r="AD289" s="177"/>
      <c r="AE289" s="177"/>
    </row>
    <row r="290" spans="1:31" ht="9.6" customHeight="1" x14ac:dyDescent="0.2">
      <c r="A290" s="168" t="s">
        <v>615</v>
      </c>
      <c r="B290" s="179" t="s">
        <v>539</v>
      </c>
      <c r="C290" s="179"/>
      <c r="D290" s="179"/>
      <c r="E290" s="179"/>
      <c r="F290" s="179"/>
      <c r="G290" s="179"/>
      <c r="H290" s="179"/>
      <c r="I290" s="179"/>
      <c r="J290" s="179"/>
      <c r="K290" s="179"/>
      <c r="L290" s="179"/>
      <c r="M290" s="179"/>
      <c r="N290" s="179" t="s">
        <v>440</v>
      </c>
      <c r="O290" s="179"/>
      <c r="P290" s="179"/>
      <c r="Q290" s="191">
        <v>660.29</v>
      </c>
      <c r="R290" s="174"/>
      <c r="S290" s="174"/>
      <c r="T290" s="174"/>
      <c r="U290" s="174"/>
      <c r="V290" s="174"/>
      <c r="W290" s="180">
        <v>7.5362999999999998</v>
      </c>
      <c r="X290" s="174"/>
      <c r="Y290" s="174"/>
      <c r="Z290" s="174"/>
      <c r="AA290" s="174"/>
      <c r="AB290" s="174"/>
      <c r="AC290" s="201">
        <v>4976.1400000000003</v>
      </c>
      <c r="AD290" s="174"/>
      <c r="AE290" s="174"/>
    </row>
    <row r="291" spans="1:31" ht="9.6" customHeight="1" x14ac:dyDescent="0.2">
      <c r="A291" s="168" t="s">
        <v>616</v>
      </c>
      <c r="B291" s="179" t="s">
        <v>541</v>
      </c>
      <c r="C291" s="179"/>
      <c r="D291" s="179"/>
      <c r="E291" s="179"/>
      <c r="F291" s="179"/>
      <c r="G291" s="179"/>
      <c r="H291" s="179"/>
      <c r="I291" s="179"/>
      <c r="J291" s="179"/>
      <c r="K291" s="179"/>
      <c r="L291" s="179"/>
      <c r="M291" s="179"/>
      <c r="N291" s="179" t="s">
        <v>440</v>
      </c>
      <c r="O291" s="179"/>
      <c r="P291" s="179"/>
      <c r="Q291" s="191">
        <v>404.58</v>
      </c>
      <c r="R291" s="174"/>
      <c r="S291" s="174"/>
      <c r="T291" s="174"/>
      <c r="U291" s="174"/>
      <c r="V291" s="174"/>
      <c r="W291" s="180">
        <v>7.4245999999999999</v>
      </c>
      <c r="X291" s="174"/>
      <c r="Y291" s="174"/>
      <c r="Z291" s="174"/>
      <c r="AA291" s="174"/>
      <c r="AB291" s="174"/>
      <c r="AC291" s="201">
        <v>3003.84</v>
      </c>
      <c r="AD291" s="174"/>
      <c r="AE291" s="174"/>
    </row>
    <row r="292" spans="1:31" ht="19.350000000000001" customHeight="1" x14ac:dyDescent="0.2">
      <c r="A292" s="168" t="s">
        <v>617</v>
      </c>
      <c r="B292" s="179" t="s">
        <v>543</v>
      </c>
      <c r="C292" s="179"/>
      <c r="D292" s="179"/>
      <c r="E292" s="179"/>
      <c r="F292" s="179"/>
      <c r="G292" s="179"/>
      <c r="H292" s="179"/>
      <c r="I292" s="179"/>
      <c r="J292" s="179"/>
      <c r="K292" s="179"/>
      <c r="L292" s="179"/>
      <c r="M292" s="179"/>
      <c r="N292" s="179" t="s">
        <v>440</v>
      </c>
      <c r="O292" s="179"/>
      <c r="P292" s="179"/>
      <c r="Q292" s="173">
        <v>1735.68</v>
      </c>
      <c r="R292" s="174"/>
      <c r="S292" s="174"/>
      <c r="T292" s="174"/>
      <c r="U292" s="174"/>
      <c r="V292" s="174"/>
      <c r="W292" s="180">
        <v>7.0652999999999997</v>
      </c>
      <c r="X292" s="174"/>
      <c r="Y292" s="174"/>
      <c r="Z292" s="174"/>
      <c r="AA292" s="174"/>
      <c r="AB292" s="174"/>
      <c r="AC292" s="196">
        <v>12263.1</v>
      </c>
      <c r="AD292" s="174"/>
      <c r="AE292" s="174"/>
    </row>
    <row r="293" spans="1:31" ht="19.350000000000001" customHeight="1" x14ac:dyDescent="0.2">
      <c r="A293" s="168" t="s">
        <v>618</v>
      </c>
      <c r="B293" s="179" t="s">
        <v>545</v>
      </c>
      <c r="C293" s="179"/>
      <c r="D293" s="179"/>
      <c r="E293" s="179"/>
      <c r="F293" s="179"/>
      <c r="G293" s="179"/>
      <c r="H293" s="179"/>
      <c r="I293" s="179"/>
      <c r="J293" s="179"/>
      <c r="K293" s="179"/>
      <c r="L293" s="179"/>
      <c r="M293" s="179"/>
      <c r="N293" s="179" t="s">
        <v>440</v>
      </c>
      <c r="O293" s="179"/>
      <c r="P293" s="179"/>
      <c r="Q293" s="173">
        <v>1246.58</v>
      </c>
      <c r="R293" s="174"/>
      <c r="S293" s="174"/>
      <c r="T293" s="174"/>
      <c r="U293" s="174"/>
      <c r="V293" s="174"/>
      <c r="W293" s="180">
        <v>6.8705999999999996</v>
      </c>
      <c r="X293" s="174"/>
      <c r="Y293" s="174"/>
      <c r="Z293" s="174"/>
      <c r="AA293" s="174"/>
      <c r="AB293" s="174"/>
      <c r="AC293" s="201">
        <v>8564.75</v>
      </c>
      <c r="AD293" s="174"/>
      <c r="AE293" s="174"/>
    </row>
    <row r="294" spans="1:31" ht="19.350000000000001" customHeight="1" x14ac:dyDescent="0.2">
      <c r="A294" s="168" t="s">
        <v>619</v>
      </c>
      <c r="B294" s="179" t="s">
        <v>547</v>
      </c>
      <c r="C294" s="179"/>
      <c r="D294" s="179"/>
      <c r="E294" s="179"/>
      <c r="F294" s="179"/>
      <c r="G294" s="179"/>
      <c r="H294" s="179"/>
      <c r="I294" s="179"/>
      <c r="J294" s="179"/>
      <c r="K294" s="179"/>
      <c r="L294" s="179"/>
      <c r="M294" s="179"/>
      <c r="N294" s="179" t="s">
        <v>440</v>
      </c>
      <c r="O294" s="179"/>
      <c r="P294" s="179"/>
      <c r="Q294" s="191">
        <v>736.71</v>
      </c>
      <c r="R294" s="174"/>
      <c r="S294" s="174"/>
      <c r="T294" s="174"/>
      <c r="U294" s="174"/>
      <c r="V294" s="174"/>
      <c r="W294" s="180">
        <v>6.8318000000000003</v>
      </c>
      <c r="X294" s="174"/>
      <c r="Y294" s="174"/>
      <c r="Z294" s="174"/>
      <c r="AA294" s="174"/>
      <c r="AB294" s="174"/>
      <c r="AC294" s="201">
        <v>5033.0600000000004</v>
      </c>
      <c r="AD294" s="174"/>
      <c r="AE294" s="174"/>
    </row>
    <row r="295" spans="1:31" ht="19.350000000000001" customHeight="1" x14ac:dyDescent="0.2">
      <c r="A295" s="168" t="s">
        <v>620</v>
      </c>
      <c r="B295" s="179" t="s">
        <v>549</v>
      </c>
      <c r="C295" s="179"/>
      <c r="D295" s="179"/>
      <c r="E295" s="179"/>
      <c r="F295" s="179"/>
      <c r="G295" s="179"/>
      <c r="H295" s="179"/>
      <c r="I295" s="179"/>
      <c r="J295" s="179"/>
      <c r="K295" s="179"/>
      <c r="L295" s="179"/>
      <c r="M295" s="179"/>
      <c r="N295" s="179" t="s">
        <v>440</v>
      </c>
      <c r="O295" s="179"/>
      <c r="P295" s="179"/>
      <c r="Q295" s="191">
        <v>237.25</v>
      </c>
      <c r="R295" s="174"/>
      <c r="S295" s="174"/>
      <c r="T295" s="174"/>
      <c r="U295" s="174"/>
      <c r="V295" s="174"/>
      <c r="W295" s="180">
        <v>6.8071000000000002</v>
      </c>
      <c r="X295" s="174"/>
      <c r="Y295" s="174"/>
      <c r="Z295" s="174"/>
      <c r="AA295" s="174"/>
      <c r="AB295" s="174"/>
      <c r="AC295" s="201">
        <v>1614.98</v>
      </c>
      <c r="AD295" s="174"/>
      <c r="AE295" s="174"/>
    </row>
    <row r="296" spans="1:31" ht="9.75" customHeight="1" x14ac:dyDescent="0.2">
      <c r="A296" s="167" t="s">
        <v>621</v>
      </c>
      <c r="B296" s="176" t="s">
        <v>448</v>
      </c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7"/>
      <c r="R296" s="177"/>
      <c r="S296" s="177"/>
      <c r="T296" s="177"/>
      <c r="U296" s="177"/>
      <c r="V296" s="177"/>
      <c r="W296" s="177"/>
      <c r="X296" s="177"/>
      <c r="Y296" s="177"/>
      <c r="Z296" s="177"/>
      <c r="AA296" s="177"/>
      <c r="AB296" s="177"/>
      <c r="AC296" s="194">
        <v>57383.01</v>
      </c>
      <c r="AD296" s="177"/>
      <c r="AE296" s="177"/>
    </row>
    <row r="297" spans="1:31" ht="9.6" customHeight="1" x14ac:dyDescent="0.2">
      <c r="A297" s="168" t="s">
        <v>622</v>
      </c>
      <c r="B297" s="179" t="s">
        <v>558</v>
      </c>
      <c r="C297" s="179"/>
      <c r="D297" s="179"/>
      <c r="E297" s="179"/>
      <c r="F297" s="179"/>
      <c r="G297" s="179"/>
      <c r="H297" s="179"/>
      <c r="I297" s="179"/>
      <c r="J297" s="179"/>
      <c r="K297" s="179"/>
      <c r="L297" s="179"/>
      <c r="M297" s="179"/>
      <c r="N297" s="179" t="s">
        <v>267</v>
      </c>
      <c r="O297" s="179"/>
      <c r="P297" s="179"/>
      <c r="Q297" s="202">
        <v>66</v>
      </c>
      <c r="R297" s="174"/>
      <c r="S297" s="174"/>
      <c r="T297" s="174"/>
      <c r="U297" s="174"/>
      <c r="V297" s="174"/>
      <c r="W297" s="191">
        <v>599.60220000000004</v>
      </c>
      <c r="X297" s="174"/>
      <c r="Y297" s="174"/>
      <c r="Z297" s="174"/>
      <c r="AA297" s="174"/>
      <c r="AB297" s="174"/>
      <c r="AC297" s="196">
        <v>39573.75</v>
      </c>
      <c r="AD297" s="174"/>
      <c r="AE297" s="174"/>
    </row>
    <row r="298" spans="1:31" ht="19.350000000000001" customHeight="1" x14ac:dyDescent="0.2">
      <c r="A298" s="168" t="s">
        <v>623</v>
      </c>
      <c r="B298" s="179" t="s">
        <v>560</v>
      </c>
      <c r="C298" s="179"/>
      <c r="D298" s="179"/>
      <c r="E298" s="179"/>
      <c r="F298" s="179"/>
      <c r="G298" s="179"/>
      <c r="H298" s="179"/>
      <c r="I298" s="179"/>
      <c r="J298" s="179"/>
      <c r="K298" s="179"/>
      <c r="L298" s="179"/>
      <c r="M298" s="179"/>
      <c r="N298" s="179" t="s">
        <v>267</v>
      </c>
      <c r="O298" s="179"/>
      <c r="P298" s="179"/>
      <c r="Q298" s="202">
        <v>27</v>
      </c>
      <c r="R298" s="174"/>
      <c r="S298" s="174"/>
      <c r="T298" s="174"/>
      <c r="U298" s="174"/>
      <c r="V298" s="174"/>
      <c r="W298" s="191">
        <v>659.60220000000004</v>
      </c>
      <c r="X298" s="174"/>
      <c r="Y298" s="174"/>
      <c r="Z298" s="174"/>
      <c r="AA298" s="174"/>
      <c r="AB298" s="174"/>
      <c r="AC298" s="196">
        <v>17809.259999999998</v>
      </c>
      <c r="AD298" s="174"/>
      <c r="AE298" s="174"/>
    </row>
    <row r="299" spans="1:31" ht="9.75" customHeight="1" x14ac:dyDescent="0.2">
      <c r="A299" s="167" t="s">
        <v>624</v>
      </c>
      <c r="B299" s="176" t="s">
        <v>566</v>
      </c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7"/>
      <c r="R299" s="177"/>
      <c r="S299" s="177"/>
      <c r="T299" s="177"/>
      <c r="U299" s="177"/>
      <c r="V299" s="177"/>
      <c r="W299" s="177"/>
      <c r="X299" s="177"/>
      <c r="Y299" s="177"/>
      <c r="Z299" s="177"/>
      <c r="AA299" s="177"/>
      <c r="AB299" s="177"/>
      <c r="AC299" s="198">
        <v>501578</v>
      </c>
      <c r="AD299" s="177"/>
      <c r="AE299" s="177"/>
    </row>
    <row r="300" spans="1:31" ht="9.6" customHeight="1" x14ac:dyDescent="0.2">
      <c r="A300" s="168" t="s">
        <v>625</v>
      </c>
      <c r="B300" s="179" t="s">
        <v>568</v>
      </c>
      <c r="C300" s="179"/>
      <c r="D300" s="179"/>
      <c r="E300" s="179"/>
      <c r="F300" s="179"/>
      <c r="G300" s="179"/>
      <c r="H300" s="179"/>
      <c r="I300" s="179"/>
      <c r="J300" s="179"/>
      <c r="K300" s="179"/>
      <c r="L300" s="179"/>
      <c r="M300" s="179"/>
      <c r="N300" s="179" t="s">
        <v>220</v>
      </c>
      <c r="O300" s="179"/>
      <c r="P300" s="179"/>
      <c r="Q300" s="173">
        <v>1791.35</v>
      </c>
      <c r="R300" s="174"/>
      <c r="S300" s="174"/>
      <c r="T300" s="174"/>
      <c r="U300" s="174"/>
      <c r="V300" s="174"/>
      <c r="W300" s="191">
        <v>280</v>
      </c>
      <c r="X300" s="174"/>
      <c r="Y300" s="174"/>
      <c r="Z300" s="174"/>
      <c r="AA300" s="174"/>
      <c r="AB300" s="174"/>
      <c r="AC300" s="200">
        <v>501578</v>
      </c>
      <c r="AD300" s="174"/>
      <c r="AE300" s="174"/>
    </row>
    <row r="301" spans="1:31" ht="9.75" customHeight="1" x14ac:dyDescent="0.2">
      <c r="A301" s="167" t="s">
        <v>626</v>
      </c>
      <c r="B301" s="176" t="s">
        <v>627</v>
      </c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7"/>
      <c r="R301" s="177"/>
      <c r="S301" s="177"/>
      <c r="T301" s="177"/>
      <c r="U301" s="177"/>
      <c r="V301" s="177"/>
      <c r="W301" s="177"/>
      <c r="X301" s="177"/>
      <c r="Y301" s="177"/>
      <c r="Z301" s="177"/>
      <c r="AA301" s="177"/>
      <c r="AB301" s="177"/>
      <c r="AC301" s="197">
        <v>13469645.470000001</v>
      </c>
      <c r="AD301" s="177"/>
      <c r="AE301" s="177"/>
    </row>
    <row r="302" spans="1:31" ht="9.75" customHeight="1" x14ac:dyDescent="0.2">
      <c r="A302" s="167" t="s">
        <v>628</v>
      </c>
      <c r="B302" s="176" t="s">
        <v>629</v>
      </c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7"/>
      <c r="R302" s="177"/>
      <c r="S302" s="177"/>
      <c r="T302" s="177"/>
      <c r="U302" s="177"/>
      <c r="V302" s="177"/>
      <c r="W302" s="177"/>
      <c r="X302" s="177"/>
      <c r="Y302" s="177"/>
      <c r="Z302" s="177"/>
      <c r="AA302" s="177"/>
      <c r="AB302" s="177"/>
      <c r="AC302" s="198">
        <v>788841.36</v>
      </c>
      <c r="AD302" s="177"/>
      <c r="AE302" s="177"/>
    </row>
    <row r="303" spans="1:31" ht="9.75" customHeight="1" x14ac:dyDescent="0.2">
      <c r="A303" s="167" t="s">
        <v>630</v>
      </c>
      <c r="B303" s="176" t="s">
        <v>631</v>
      </c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7"/>
      <c r="R303" s="177"/>
      <c r="S303" s="177"/>
      <c r="T303" s="177"/>
      <c r="U303" s="177"/>
      <c r="V303" s="177"/>
      <c r="W303" s="177"/>
      <c r="X303" s="177"/>
      <c r="Y303" s="177"/>
      <c r="Z303" s="177"/>
      <c r="AA303" s="177"/>
      <c r="AB303" s="177"/>
      <c r="AC303" s="198">
        <v>163723.07999999999</v>
      </c>
      <c r="AD303" s="177"/>
      <c r="AE303" s="177"/>
    </row>
    <row r="304" spans="1:31" ht="19.350000000000001" customHeight="1" x14ac:dyDescent="0.2">
      <c r="A304" s="168" t="s">
        <v>632</v>
      </c>
      <c r="B304" s="179" t="s">
        <v>633</v>
      </c>
      <c r="C304" s="179"/>
      <c r="D304" s="179"/>
      <c r="E304" s="179"/>
      <c r="F304" s="179"/>
      <c r="G304" s="179"/>
      <c r="H304" s="179"/>
      <c r="I304" s="179"/>
      <c r="J304" s="179"/>
      <c r="K304" s="179"/>
      <c r="L304" s="179"/>
      <c r="M304" s="179"/>
      <c r="N304" s="179" t="s">
        <v>220</v>
      </c>
      <c r="O304" s="179"/>
      <c r="P304" s="179"/>
      <c r="Q304" s="173">
        <v>1607.65</v>
      </c>
      <c r="R304" s="174"/>
      <c r="S304" s="174"/>
      <c r="T304" s="174"/>
      <c r="U304" s="174"/>
      <c r="V304" s="174"/>
      <c r="W304" s="191">
        <v>101.84</v>
      </c>
      <c r="X304" s="174"/>
      <c r="Y304" s="174"/>
      <c r="Z304" s="174"/>
      <c r="AA304" s="174"/>
      <c r="AB304" s="174"/>
      <c r="AC304" s="200">
        <v>163723.07999999999</v>
      </c>
      <c r="AD304" s="174"/>
      <c r="AE304" s="174"/>
    </row>
    <row r="305" spans="1:31" ht="9.75" customHeight="1" x14ac:dyDescent="0.2">
      <c r="A305" s="167" t="s">
        <v>634</v>
      </c>
      <c r="B305" s="176" t="s">
        <v>635</v>
      </c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7"/>
      <c r="R305" s="177"/>
      <c r="S305" s="177"/>
      <c r="T305" s="177"/>
      <c r="U305" s="177"/>
      <c r="V305" s="177"/>
      <c r="W305" s="177"/>
      <c r="X305" s="177"/>
      <c r="Y305" s="177"/>
      <c r="Z305" s="177"/>
      <c r="AA305" s="177"/>
      <c r="AB305" s="177"/>
      <c r="AC305" s="206">
        <v>4809.26</v>
      </c>
      <c r="AD305" s="177"/>
      <c r="AE305" s="177"/>
    </row>
    <row r="306" spans="1:31" ht="19.350000000000001" customHeight="1" x14ac:dyDescent="0.2">
      <c r="A306" s="168" t="s">
        <v>636</v>
      </c>
      <c r="B306" s="179" t="s">
        <v>637</v>
      </c>
      <c r="C306" s="179"/>
      <c r="D306" s="179"/>
      <c r="E306" s="179"/>
      <c r="F306" s="179"/>
      <c r="G306" s="179"/>
      <c r="H306" s="179"/>
      <c r="I306" s="179"/>
      <c r="J306" s="179"/>
      <c r="K306" s="179"/>
      <c r="L306" s="179"/>
      <c r="M306" s="179"/>
      <c r="N306" s="179" t="s">
        <v>223</v>
      </c>
      <c r="O306" s="179"/>
      <c r="P306" s="179"/>
      <c r="Q306" s="191">
        <v>103.55</v>
      </c>
      <c r="R306" s="174"/>
      <c r="S306" s="174"/>
      <c r="T306" s="174"/>
      <c r="U306" s="174"/>
      <c r="V306" s="174"/>
      <c r="W306" s="202">
        <v>15.04</v>
      </c>
      <c r="X306" s="174"/>
      <c r="Y306" s="174"/>
      <c r="Z306" s="174"/>
      <c r="AA306" s="174"/>
      <c r="AB306" s="174"/>
      <c r="AC306" s="201">
        <v>1557.39</v>
      </c>
      <c r="AD306" s="174"/>
      <c r="AE306" s="174"/>
    </row>
    <row r="307" spans="1:31" ht="9.6" customHeight="1" x14ac:dyDescent="0.2">
      <c r="A307" s="168" t="s">
        <v>638</v>
      </c>
      <c r="B307" s="179" t="s">
        <v>639</v>
      </c>
      <c r="C307" s="179"/>
      <c r="D307" s="179"/>
      <c r="E307" s="179"/>
      <c r="F307" s="179"/>
      <c r="G307" s="179"/>
      <c r="H307" s="179"/>
      <c r="I307" s="179"/>
      <c r="J307" s="179"/>
      <c r="K307" s="179"/>
      <c r="L307" s="179"/>
      <c r="M307" s="179"/>
      <c r="N307" s="179" t="s">
        <v>137</v>
      </c>
      <c r="O307" s="179"/>
      <c r="P307" s="179"/>
      <c r="Q307" s="191">
        <v>904</v>
      </c>
      <c r="R307" s="174"/>
      <c r="S307" s="174"/>
      <c r="T307" s="174"/>
      <c r="U307" s="174"/>
      <c r="V307" s="174"/>
      <c r="W307" s="180">
        <v>3.5972</v>
      </c>
      <c r="X307" s="174"/>
      <c r="Y307" s="174"/>
      <c r="Z307" s="174"/>
      <c r="AA307" s="174"/>
      <c r="AB307" s="174"/>
      <c r="AC307" s="201">
        <v>3251.87</v>
      </c>
      <c r="AD307" s="174"/>
      <c r="AE307" s="174"/>
    </row>
    <row r="308" spans="1:31" ht="9.75" customHeight="1" x14ac:dyDescent="0.2">
      <c r="A308" s="167" t="s">
        <v>640</v>
      </c>
      <c r="B308" s="176" t="s">
        <v>641</v>
      </c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7"/>
      <c r="R308" s="177"/>
      <c r="S308" s="177"/>
      <c r="T308" s="177"/>
      <c r="U308" s="177"/>
      <c r="V308" s="177"/>
      <c r="W308" s="177"/>
      <c r="X308" s="177"/>
      <c r="Y308" s="177"/>
      <c r="Z308" s="177"/>
      <c r="AA308" s="177"/>
      <c r="AB308" s="177"/>
      <c r="AC308" s="198">
        <v>335594.08</v>
      </c>
      <c r="AD308" s="177"/>
      <c r="AE308" s="177"/>
    </row>
    <row r="309" spans="1:31" ht="28.9" customHeight="1" x14ac:dyDescent="0.2">
      <c r="A309" s="168" t="s">
        <v>642</v>
      </c>
      <c r="B309" s="179" t="s">
        <v>643</v>
      </c>
      <c r="C309" s="179"/>
      <c r="D309" s="179"/>
      <c r="E309" s="179"/>
      <c r="F309" s="179"/>
      <c r="G309" s="179"/>
      <c r="H309" s="179"/>
      <c r="I309" s="179"/>
      <c r="J309" s="179"/>
      <c r="K309" s="179"/>
      <c r="L309" s="179"/>
      <c r="M309" s="179"/>
      <c r="N309" s="179" t="s">
        <v>220</v>
      </c>
      <c r="O309" s="179"/>
      <c r="P309" s="179"/>
      <c r="Q309" s="202">
        <v>67.040000000000006</v>
      </c>
      <c r="R309" s="174"/>
      <c r="S309" s="174"/>
      <c r="T309" s="174"/>
      <c r="U309" s="174"/>
      <c r="V309" s="174"/>
      <c r="W309" s="191">
        <v>181.04390000000001</v>
      </c>
      <c r="X309" s="174"/>
      <c r="Y309" s="174"/>
      <c r="Z309" s="174"/>
      <c r="AA309" s="174"/>
      <c r="AB309" s="174"/>
      <c r="AC309" s="196">
        <v>12137.18</v>
      </c>
      <c r="AD309" s="174"/>
      <c r="AE309" s="174"/>
    </row>
    <row r="310" spans="1:31" ht="28.9" customHeight="1" x14ac:dyDescent="0.2">
      <c r="A310" s="168" t="s">
        <v>644</v>
      </c>
      <c r="B310" s="179" t="s">
        <v>645</v>
      </c>
      <c r="C310" s="179"/>
      <c r="D310" s="179"/>
      <c r="E310" s="179"/>
      <c r="F310" s="179"/>
      <c r="G310" s="179"/>
      <c r="H310" s="179"/>
      <c r="I310" s="179"/>
      <c r="J310" s="179"/>
      <c r="K310" s="179"/>
      <c r="L310" s="179"/>
      <c r="M310" s="179"/>
      <c r="N310" s="179" t="s">
        <v>220</v>
      </c>
      <c r="O310" s="179"/>
      <c r="P310" s="179"/>
      <c r="Q310" s="202">
        <v>49.36</v>
      </c>
      <c r="R310" s="174"/>
      <c r="S310" s="174"/>
      <c r="T310" s="174"/>
      <c r="U310" s="174"/>
      <c r="V310" s="174"/>
      <c r="W310" s="191">
        <v>283.8766</v>
      </c>
      <c r="X310" s="174"/>
      <c r="Y310" s="174"/>
      <c r="Z310" s="174"/>
      <c r="AA310" s="174"/>
      <c r="AB310" s="174"/>
      <c r="AC310" s="196">
        <v>14012.15</v>
      </c>
      <c r="AD310" s="174"/>
      <c r="AE310" s="174"/>
    </row>
    <row r="311" spans="1:31" ht="28.9" customHeight="1" x14ac:dyDescent="0.2">
      <c r="A311" s="168" t="s">
        <v>646</v>
      </c>
      <c r="B311" s="179" t="s">
        <v>647</v>
      </c>
      <c r="C311" s="179"/>
      <c r="D311" s="179"/>
      <c r="E311" s="179"/>
      <c r="F311" s="179"/>
      <c r="G311" s="179"/>
      <c r="H311" s="179"/>
      <c r="I311" s="179"/>
      <c r="J311" s="179"/>
      <c r="K311" s="179"/>
      <c r="L311" s="179"/>
      <c r="M311" s="179"/>
      <c r="N311" s="179" t="s">
        <v>220</v>
      </c>
      <c r="O311" s="179"/>
      <c r="P311" s="179"/>
      <c r="Q311" s="202">
        <v>18.54</v>
      </c>
      <c r="R311" s="174"/>
      <c r="S311" s="174"/>
      <c r="T311" s="174"/>
      <c r="U311" s="174"/>
      <c r="V311" s="174"/>
      <c r="W311" s="191">
        <v>222.34209999999999</v>
      </c>
      <c r="X311" s="174"/>
      <c r="Y311" s="174"/>
      <c r="Z311" s="174"/>
      <c r="AA311" s="174"/>
      <c r="AB311" s="174"/>
      <c r="AC311" s="201">
        <v>4122.22</v>
      </c>
      <c r="AD311" s="174"/>
      <c r="AE311" s="174"/>
    </row>
    <row r="312" spans="1:31" ht="28.9" customHeight="1" x14ac:dyDescent="0.2">
      <c r="A312" s="168" t="s">
        <v>648</v>
      </c>
      <c r="B312" s="179" t="s">
        <v>649</v>
      </c>
      <c r="C312" s="179"/>
      <c r="D312" s="179"/>
      <c r="E312" s="179"/>
      <c r="F312" s="179"/>
      <c r="G312" s="179"/>
      <c r="H312" s="179"/>
      <c r="I312" s="179"/>
      <c r="J312" s="179"/>
      <c r="K312" s="179"/>
      <c r="L312" s="179"/>
      <c r="M312" s="179"/>
      <c r="N312" s="179" t="s">
        <v>220</v>
      </c>
      <c r="O312" s="179"/>
      <c r="P312" s="179"/>
      <c r="Q312" s="202">
        <v>38.57</v>
      </c>
      <c r="R312" s="174"/>
      <c r="S312" s="174"/>
      <c r="T312" s="174"/>
      <c r="U312" s="174"/>
      <c r="V312" s="174"/>
      <c r="W312" s="191">
        <v>154.5265</v>
      </c>
      <c r="X312" s="174"/>
      <c r="Y312" s="174"/>
      <c r="Z312" s="174"/>
      <c r="AA312" s="174"/>
      <c r="AB312" s="174"/>
      <c r="AC312" s="201">
        <v>5960.09</v>
      </c>
      <c r="AD312" s="174"/>
      <c r="AE312" s="174"/>
    </row>
    <row r="313" spans="1:31" ht="28.9" customHeight="1" x14ac:dyDescent="0.2">
      <c r="A313" s="168" t="s">
        <v>650</v>
      </c>
      <c r="B313" s="179" t="s">
        <v>651</v>
      </c>
      <c r="C313" s="179"/>
      <c r="D313" s="179"/>
      <c r="E313" s="179"/>
      <c r="F313" s="179"/>
      <c r="G313" s="179"/>
      <c r="H313" s="179"/>
      <c r="I313" s="179"/>
      <c r="J313" s="179"/>
      <c r="K313" s="179"/>
      <c r="L313" s="179"/>
      <c r="M313" s="179"/>
      <c r="N313" s="179" t="s">
        <v>220</v>
      </c>
      <c r="O313" s="179"/>
      <c r="P313" s="179"/>
      <c r="Q313" s="202">
        <v>72.52</v>
      </c>
      <c r="R313" s="174"/>
      <c r="S313" s="174"/>
      <c r="T313" s="174"/>
      <c r="U313" s="174"/>
      <c r="V313" s="174"/>
      <c r="W313" s="191">
        <v>257.4615</v>
      </c>
      <c r="X313" s="174"/>
      <c r="Y313" s="174"/>
      <c r="Z313" s="174"/>
      <c r="AA313" s="174"/>
      <c r="AB313" s="174"/>
      <c r="AC313" s="196">
        <v>18671.11</v>
      </c>
      <c r="AD313" s="174"/>
      <c r="AE313" s="174"/>
    </row>
    <row r="314" spans="1:31" ht="28.9" customHeight="1" x14ac:dyDescent="0.2">
      <c r="A314" s="168" t="s">
        <v>652</v>
      </c>
      <c r="B314" s="179" t="s">
        <v>653</v>
      </c>
      <c r="C314" s="179"/>
      <c r="D314" s="179"/>
      <c r="E314" s="179"/>
      <c r="F314" s="179"/>
      <c r="G314" s="179"/>
      <c r="H314" s="179"/>
      <c r="I314" s="179"/>
      <c r="J314" s="179"/>
      <c r="K314" s="179"/>
      <c r="L314" s="179"/>
      <c r="M314" s="179"/>
      <c r="N314" s="179" t="s">
        <v>220</v>
      </c>
      <c r="O314" s="179"/>
      <c r="P314" s="179"/>
      <c r="Q314" s="180">
        <v>5.65</v>
      </c>
      <c r="R314" s="174"/>
      <c r="S314" s="174"/>
      <c r="T314" s="174"/>
      <c r="U314" s="174"/>
      <c r="V314" s="174"/>
      <c r="W314" s="191">
        <v>159.1369</v>
      </c>
      <c r="X314" s="174"/>
      <c r="Y314" s="174"/>
      <c r="Z314" s="174"/>
      <c r="AA314" s="174"/>
      <c r="AB314" s="174"/>
      <c r="AC314" s="205">
        <v>899.12</v>
      </c>
      <c r="AD314" s="174"/>
      <c r="AE314" s="174"/>
    </row>
    <row r="315" spans="1:31" ht="28.9" customHeight="1" x14ac:dyDescent="0.2">
      <c r="A315" s="168" t="s">
        <v>654</v>
      </c>
      <c r="B315" s="179" t="s">
        <v>655</v>
      </c>
      <c r="C315" s="179"/>
      <c r="D315" s="179"/>
      <c r="E315" s="179"/>
      <c r="F315" s="179"/>
      <c r="G315" s="179"/>
      <c r="H315" s="179"/>
      <c r="I315" s="179"/>
      <c r="J315" s="179"/>
      <c r="K315" s="179"/>
      <c r="L315" s="179"/>
      <c r="M315" s="179"/>
      <c r="N315" s="179" t="s">
        <v>220</v>
      </c>
      <c r="O315" s="179"/>
      <c r="P315" s="179"/>
      <c r="Q315" s="191">
        <v>199.69</v>
      </c>
      <c r="R315" s="174"/>
      <c r="S315" s="174"/>
      <c r="T315" s="174"/>
      <c r="U315" s="174"/>
      <c r="V315" s="174"/>
      <c r="W315" s="191">
        <v>279.44920000000002</v>
      </c>
      <c r="X315" s="174"/>
      <c r="Y315" s="174"/>
      <c r="Z315" s="174"/>
      <c r="AA315" s="174"/>
      <c r="AB315" s="174"/>
      <c r="AC315" s="196">
        <v>55803.21</v>
      </c>
      <c r="AD315" s="174"/>
      <c r="AE315" s="174"/>
    </row>
    <row r="316" spans="1:31" ht="28.9" customHeight="1" x14ac:dyDescent="0.2">
      <c r="A316" s="168" t="s">
        <v>656</v>
      </c>
      <c r="B316" s="179" t="s">
        <v>657</v>
      </c>
      <c r="C316" s="179"/>
      <c r="D316" s="179"/>
      <c r="E316" s="179"/>
      <c r="F316" s="179"/>
      <c r="G316" s="179"/>
      <c r="H316" s="179"/>
      <c r="I316" s="179"/>
      <c r="J316" s="179"/>
      <c r="K316" s="179"/>
      <c r="L316" s="179"/>
      <c r="M316" s="179"/>
      <c r="N316" s="179" t="s">
        <v>220</v>
      </c>
      <c r="O316" s="179"/>
      <c r="P316" s="179"/>
      <c r="Q316" s="191">
        <v>224.06</v>
      </c>
      <c r="R316" s="174"/>
      <c r="S316" s="174"/>
      <c r="T316" s="174"/>
      <c r="U316" s="174"/>
      <c r="V316" s="174"/>
      <c r="W316" s="191">
        <v>166.46680000000001</v>
      </c>
      <c r="X316" s="174"/>
      <c r="Y316" s="174"/>
      <c r="Z316" s="174"/>
      <c r="AA316" s="174"/>
      <c r="AB316" s="174"/>
      <c r="AC316" s="196">
        <v>37298.550000000003</v>
      </c>
      <c r="AD316" s="174"/>
      <c r="AE316" s="174"/>
    </row>
    <row r="317" spans="1:31" ht="28.9" customHeight="1" x14ac:dyDescent="0.2">
      <c r="A317" s="168" t="s">
        <v>658</v>
      </c>
      <c r="B317" s="179" t="s">
        <v>659</v>
      </c>
      <c r="C317" s="179"/>
      <c r="D317" s="179"/>
      <c r="E317" s="179"/>
      <c r="F317" s="179"/>
      <c r="G317" s="179"/>
      <c r="H317" s="179"/>
      <c r="I317" s="179"/>
      <c r="J317" s="179"/>
      <c r="K317" s="179"/>
      <c r="L317" s="179"/>
      <c r="M317" s="179"/>
      <c r="N317" s="179" t="s">
        <v>220</v>
      </c>
      <c r="O317" s="179"/>
      <c r="P317" s="179"/>
      <c r="Q317" s="191">
        <v>139.46</v>
      </c>
      <c r="R317" s="174"/>
      <c r="S317" s="174"/>
      <c r="T317" s="174"/>
      <c r="U317" s="174"/>
      <c r="V317" s="174"/>
      <c r="W317" s="191">
        <v>284.05950000000001</v>
      </c>
      <c r="X317" s="174"/>
      <c r="Y317" s="174"/>
      <c r="Z317" s="174"/>
      <c r="AA317" s="174"/>
      <c r="AB317" s="174"/>
      <c r="AC317" s="196">
        <v>39614.94</v>
      </c>
      <c r="AD317" s="174"/>
      <c r="AE317" s="174"/>
    </row>
    <row r="318" spans="1:31" ht="28.9" customHeight="1" x14ac:dyDescent="0.2">
      <c r="A318" s="168" t="s">
        <v>660</v>
      </c>
      <c r="B318" s="179" t="s">
        <v>661</v>
      </c>
      <c r="C318" s="179"/>
      <c r="D318" s="179"/>
      <c r="E318" s="179"/>
      <c r="F318" s="179"/>
      <c r="G318" s="179"/>
      <c r="H318" s="179"/>
      <c r="I318" s="179"/>
      <c r="J318" s="179"/>
      <c r="K318" s="179"/>
      <c r="L318" s="179"/>
      <c r="M318" s="179"/>
      <c r="N318" s="179" t="s">
        <v>220</v>
      </c>
      <c r="O318" s="179"/>
      <c r="P318" s="179"/>
      <c r="Q318" s="191">
        <v>390.04</v>
      </c>
      <c r="R318" s="174"/>
      <c r="S318" s="174"/>
      <c r="T318" s="174"/>
      <c r="U318" s="174"/>
      <c r="V318" s="174"/>
      <c r="W318" s="191">
        <v>222.52500000000001</v>
      </c>
      <c r="X318" s="174"/>
      <c r="Y318" s="174"/>
      <c r="Z318" s="174"/>
      <c r="AA318" s="174"/>
      <c r="AB318" s="174"/>
      <c r="AC318" s="196">
        <v>86793.65</v>
      </c>
      <c r="AD318" s="174"/>
      <c r="AE318" s="174"/>
    </row>
    <row r="319" spans="1:31" ht="28.9" customHeight="1" x14ac:dyDescent="0.2">
      <c r="A319" s="168" t="s">
        <v>662</v>
      </c>
      <c r="B319" s="179" t="s">
        <v>663</v>
      </c>
      <c r="C319" s="179"/>
      <c r="D319" s="179"/>
      <c r="E319" s="179"/>
      <c r="F319" s="179"/>
      <c r="G319" s="179"/>
      <c r="H319" s="179"/>
      <c r="I319" s="179"/>
      <c r="J319" s="179"/>
      <c r="K319" s="179"/>
      <c r="L319" s="179"/>
      <c r="M319" s="179"/>
      <c r="N319" s="179" t="s">
        <v>220</v>
      </c>
      <c r="O319" s="179"/>
      <c r="P319" s="179"/>
      <c r="Q319" s="202">
        <v>64.7</v>
      </c>
      <c r="R319" s="174"/>
      <c r="S319" s="174"/>
      <c r="T319" s="174"/>
      <c r="U319" s="174"/>
      <c r="V319" s="174"/>
      <c r="W319" s="191">
        <v>186.5616</v>
      </c>
      <c r="X319" s="174"/>
      <c r="Y319" s="174"/>
      <c r="Z319" s="174"/>
      <c r="AA319" s="174"/>
      <c r="AB319" s="174"/>
      <c r="AC319" s="196">
        <v>12070.54</v>
      </c>
      <c r="AD319" s="174"/>
      <c r="AE319" s="174"/>
    </row>
    <row r="320" spans="1:31" ht="38.65" customHeight="1" x14ac:dyDescent="0.2">
      <c r="A320" s="168" t="s">
        <v>664</v>
      </c>
      <c r="B320" s="179" t="s">
        <v>665</v>
      </c>
      <c r="C320" s="179"/>
      <c r="D320" s="179"/>
      <c r="E320" s="179"/>
      <c r="F320" s="179"/>
      <c r="G320" s="179"/>
      <c r="H320" s="179"/>
      <c r="I320" s="179"/>
      <c r="J320" s="179"/>
      <c r="K320" s="179"/>
      <c r="L320" s="179"/>
      <c r="M320" s="179"/>
      <c r="N320" s="179" t="s">
        <v>220</v>
      </c>
      <c r="O320" s="179"/>
      <c r="P320" s="179"/>
      <c r="Q320" s="202">
        <v>13.71</v>
      </c>
      <c r="R320" s="174"/>
      <c r="S320" s="174"/>
      <c r="T320" s="174"/>
      <c r="U320" s="174"/>
      <c r="V320" s="174"/>
      <c r="W320" s="191">
        <v>191.172</v>
      </c>
      <c r="X320" s="174"/>
      <c r="Y320" s="174"/>
      <c r="Z320" s="174"/>
      <c r="AA320" s="174"/>
      <c r="AB320" s="174"/>
      <c r="AC320" s="201">
        <v>2620.9699999999998</v>
      </c>
      <c r="AD320" s="174"/>
      <c r="AE320" s="174"/>
    </row>
    <row r="321" spans="1:31" ht="28.9" customHeight="1" x14ac:dyDescent="0.2">
      <c r="A321" s="168" t="s">
        <v>666</v>
      </c>
      <c r="B321" s="179" t="s">
        <v>667</v>
      </c>
      <c r="C321" s="179"/>
      <c r="D321" s="179"/>
      <c r="E321" s="179"/>
      <c r="F321" s="179"/>
      <c r="G321" s="179"/>
      <c r="H321" s="179"/>
      <c r="I321" s="179"/>
      <c r="J321" s="179"/>
      <c r="K321" s="179"/>
      <c r="L321" s="179"/>
      <c r="M321" s="179"/>
      <c r="N321" s="179" t="s">
        <v>220</v>
      </c>
      <c r="O321" s="179"/>
      <c r="P321" s="179"/>
      <c r="Q321" s="202">
        <v>22.99</v>
      </c>
      <c r="R321" s="174"/>
      <c r="S321" s="174"/>
      <c r="T321" s="174"/>
      <c r="U321" s="174"/>
      <c r="V321" s="174"/>
      <c r="W321" s="191">
        <v>159.31979999999999</v>
      </c>
      <c r="X321" s="174"/>
      <c r="Y321" s="174"/>
      <c r="Z321" s="174"/>
      <c r="AA321" s="174"/>
      <c r="AB321" s="174"/>
      <c r="AC321" s="201">
        <v>3662.76</v>
      </c>
      <c r="AD321" s="174"/>
      <c r="AE321" s="174"/>
    </row>
    <row r="322" spans="1:31" ht="28.9" customHeight="1" x14ac:dyDescent="0.2">
      <c r="A322" s="168" t="s">
        <v>668</v>
      </c>
      <c r="B322" s="179" t="s">
        <v>669</v>
      </c>
      <c r="C322" s="179"/>
      <c r="D322" s="179"/>
      <c r="E322" s="179"/>
      <c r="F322" s="179"/>
      <c r="G322" s="179"/>
      <c r="H322" s="179"/>
      <c r="I322" s="179"/>
      <c r="J322" s="179"/>
      <c r="K322" s="179"/>
      <c r="L322" s="179"/>
      <c r="M322" s="179"/>
      <c r="N322" s="179" t="s">
        <v>220</v>
      </c>
      <c r="O322" s="179"/>
      <c r="P322" s="179"/>
      <c r="Q322" s="202">
        <v>87.41</v>
      </c>
      <c r="R322" s="174"/>
      <c r="S322" s="174"/>
      <c r="T322" s="174"/>
      <c r="U322" s="174"/>
      <c r="V322" s="174"/>
      <c r="W322" s="191">
        <v>190.5342</v>
      </c>
      <c r="X322" s="174"/>
      <c r="Y322" s="174"/>
      <c r="Z322" s="174"/>
      <c r="AA322" s="174"/>
      <c r="AB322" s="174"/>
      <c r="AC322" s="196">
        <v>16654.59</v>
      </c>
      <c r="AD322" s="174"/>
      <c r="AE322" s="174"/>
    </row>
    <row r="323" spans="1:31" ht="28.9" customHeight="1" x14ac:dyDescent="0.2">
      <c r="A323" s="168" t="s">
        <v>670</v>
      </c>
      <c r="B323" s="179" t="s">
        <v>671</v>
      </c>
      <c r="C323" s="179"/>
      <c r="D323" s="179"/>
      <c r="E323" s="179"/>
      <c r="F323" s="179"/>
      <c r="G323" s="179"/>
      <c r="H323" s="179"/>
      <c r="I323" s="179"/>
      <c r="J323" s="179"/>
      <c r="K323" s="179"/>
      <c r="L323" s="179"/>
      <c r="M323" s="179"/>
      <c r="N323" s="179" t="s">
        <v>220</v>
      </c>
      <c r="O323" s="179"/>
      <c r="P323" s="179"/>
      <c r="Q323" s="191">
        <v>199.04</v>
      </c>
      <c r="R323" s="174"/>
      <c r="S323" s="174"/>
      <c r="T323" s="174"/>
      <c r="U323" s="174"/>
      <c r="V323" s="174"/>
      <c r="W323" s="202">
        <v>77.5518</v>
      </c>
      <c r="X323" s="174"/>
      <c r="Y323" s="174"/>
      <c r="Z323" s="174"/>
      <c r="AA323" s="174"/>
      <c r="AB323" s="174"/>
      <c r="AC323" s="196">
        <v>15435.91</v>
      </c>
      <c r="AD323" s="174"/>
      <c r="AE323" s="174"/>
    </row>
    <row r="324" spans="1:31" ht="9.6" customHeight="1" x14ac:dyDescent="0.2">
      <c r="A324" s="168" t="s">
        <v>672</v>
      </c>
      <c r="B324" s="179" t="s">
        <v>673</v>
      </c>
      <c r="C324" s="179"/>
      <c r="D324" s="179"/>
      <c r="E324" s="179"/>
      <c r="F324" s="179"/>
      <c r="G324" s="179"/>
      <c r="H324" s="179"/>
      <c r="I324" s="179"/>
      <c r="J324" s="179"/>
      <c r="K324" s="179"/>
      <c r="L324" s="179"/>
      <c r="M324" s="179"/>
      <c r="N324" s="179" t="s">
        <v>220</v>
      </c>
      <c r="O324" s="179"/>
      <c r="P324" s="179"/>
      <c r="Q324" s="191">
        <v>243.57</v>
      </c>
      <c r="R324" s="174"/>
      <c r="S324" s="174"/>
      <c r="T324" s="174"/>
      <c r="U324" s="174"/>
      <c r="V324" s="174"/>
      <c r="W324" s="202">
        <v>27.966100000000001</v>
      </c>
      <c r="X324" s="174"/>
      <c r="Y324" s="174"/>
      <c r="Z324" s="174"/>
      <c r="AA324" s="174"/>
      <c r="AB324" s="174"/>
      <c r="AC324" s="201">
        <v>6811.7</v>
      </c>
      <c r="AD324" s="174"/>
      <c r="AE324" s="174"/>
    </row>
    <row r="325" spans="1:31" ht="19.350000000000001" customHeight="1" x14ac:dyDescent="0.2">
      <c r="A325" s="168" t="s">
        <v>674</v>
      </c>
      <c r="B325" s="179" t="s">
        <v>675</v>
      </c>
      <c r="C325" s="179"/>
      <c r="D325" s="179"/>
      <c r="E325" s="179"/>
      <c r="F325" s="179"/>
      <c r="G325" s="179"/>
      <c r="H325" s="179"/>
      <c r="I325" s="179"/>
      <c r="J325" s="179"/>
      <c r="K325" s="179"/>
      <c r="L325" s="179"/>
      <c r="M325" s="179"/>
      <c r="N325" s="179" t="s">
        <v>220</v>
      </c>
      <c r="O325" s="179"/>
      <c r="P325" s="179"/>
      <c r="Q325" s="202">
        <v>15.95</v>
      </c>
      <c r="R325" s="174"/>
      <c r="S325" s="174"/>
      <c r="T325" s="174"/>
      <c r="U325" s="174"/>
      <c r="V325" s="174"/>
      <c r="W325" s="202">
        <v>32.576500000000003</v>
      </c>
      <c r="X325" s="174"/>
      <c r="Y325" s="174"/>
      <c r="Z325" s="174"/>
      <c r="AA325" s="174"/>
      <c r="AB325" s="174"/>
      <c r="AC325" s="205">
        <v>519.6</v>
      </c>
      <c r="AD325" s="174"/>
      <c r="AE325" s="174"/>
    </row>
    <row r="326" spans="1:31" ht="9.6" customHeight="1" x14ac:dyDescent="0.2">
      <c r="A326" s="168" t="s">
        <v>676</v>
      </c>
      <c r="B326" s="179" t="s">
        <v>677</v>
      </c>
      <c r="C326" s="179"/>
      <c r="D326" s="179"/>
      <c r="E326" s="179"/>
      <c r="F326" s="179"/>
      <c r="G326" s="179"/>
      <c r="H326" s="179"/>
      <c r="I326" s="179"/>
      <c r="J326" s="179"/>
      <c r="K326" s="179"/>
      <c r="L326" s="179"/>
      <c r="M326" s="179"/>
      <c r="N326" s="179" t="s">
        <v>220</v>
      </c>
      <c r="O326" s="179"/>
      <c r="P326" s="179"/>
      <c r="Q326" s="202">
        <v>24.8</v>
      </c>
      <c r="R326" s="174"/>
      <c r="S326" s="174"/>
      <c r="T326" s="174"/>
      <c r="U326" s="174"/>
      <c r="V326" s="174"/>
      <c r="W326" s="202">
        <v>36.956899999999997</v>
      </c>
      <c r="X326" s="174"/>
      <c r="Y326" s="174"/>
      <c r="Z326" s="174"/>
      <c r="AA326" s="174"/>
      <c r="AB326" s="174"/>
      <c r="AC326" s="205">
        <v>916.53</v>
      </c>
      <c r="AD326" s="174"/>
      <c r="AE326" s="174"/>
    </row>
    <row r="327" spans="1:31" ht="9.6" customHeight="1" x14ac:dyDescent="0.2">
      <c r="A327" s="168" t="s">
        <v>678</v>
      </c>
      <c r="B327" s="179" t="s">
        <v>679</v>
      </c>
      <c r="C327" s="179"/>
      <c r="D327" s="179"/>
      <c r="E327" s="179"/>
      <c r="F327" s="179"/>
      <c r="G327" s="179"/>
      <c r="H327" s="179"/>
      <c r="I327" s="179"/>
      <c r="J327" s="179"/>
      <c r="K327" s="179"/>
      <c r="L327" s="179"/>
      <c r="M327" s="179"/>
      <c r="N327" s="179" t="s">
        <v>220</v>
      </c>
      <c r="O327" s="179"/>
      <c r="P327" s="179"/>
      <c r="Q327" s="202">
        <v>18.989999999999998</v>
      </c>
      <c r="R327" s="174"/>
      <c r="S327" s="174"/>
      <c r="T327" s="174"/>
      <c r="U327" s="174"/>
      <c r="V327" s="174"/>
      <c r="W327" s="202">
        <v>83.689099999999996</v>
      </c>
      <c r="X327" s="174"/>
      <c r="Y327" s="174"/>
      <c r="Z327" s="174"/>
      <c r="AA327" s="174"/>
      <c r="AB327" s="174"/>
      <c r="AC327" s="201">
        <v>1589.26</v>
      </c>
      <c r="AD327" s="174"/>
      <c r="AE327" s="174"/>
    </row>
    <row r="328" spans="1:31" ht="9.75" customHeight="1" x14ac:dyDescent="0.2">
      <c r="A328" s="167" t="s">
        <v>680</v>
      </c>
      <c r="B328" s="176" t="s">
        <v>681</v>
      </c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7"/>
      <c r="R328" s="177"/>
      <c r="S328" s="177"/>
      <c r="T328" s="177"/>
      <c r="U328" s="177"/>
      <c r="V328" s="177"/>
      <c r="W328" s="177"/>
      <c r="X328" s="177"/>
      <c r="Y328" s="177"/>
      <c r="Z328" s="177"/>
      <c r="AA328" s="177"/>
      <c r="AB328" s="177"/>
      <c r="AC328" s="198">
        <v>121317.79</v>
      </c>
      <c r="AD328" s="177"/>
      <c r="AE328" s="177"/>
    </row>
    <row r="329" spans="1:31" ht="28.9" customHeight="1" x14ac:dyDescent="0.2">
      <c r="A329" s="168" t="s">
        <v>682</v>
      </c>
      <c r="B329" s="179" t="s">
        <v>683</v>
      </c>
      <c r="C329" s="179"/>
      <c r="D329" s="179"/>
      <c r="E329" s="179"/>
      <c r="F329" s="179"/>
      <c r="G329" s="179"/>
      <c r="H329" s="179"/>
      <c r="I329" s="179"/>
      <c r="J329" s="179"/>
      <c r="K329" s="179"/>
      <c r="L329" s="179"/>
      <c r="M329" s="179"/>
      <c r="N329" s="179" t="s">
        <v>220</v>
      </c>
      <c r="O329" s="179"/>
      <c r="P329" s="179"/>
      <c r="Q329" s="202">
        <v>88.83</v>
      </c>
      <c r="R329" s="174"/>
      <c r="S329" s="174"/>
      <c r="T329" s="174"/>
      <c r="U329" s="174"/>
      <c r="V329" s="174"/>
      <c r="W329" s="191">
        <v>304.35669999999999</v>
      </c>
      <c r="X329" s="174"/>
      <c r="Y329" s="174"/>
      <c r="Z329" s="174"/>
      <c r="AA329" s="174"/>
      <c r="AB329" s="174"/>
      <c r="AC329" s="196">
        <v>27036.01</v>
      </c>
      <c r="AD329" s="174"/>
      <c r="AE329" s="174"/>
    </row>
    <row r="330" spans="1:31" ht="28.9" customHeight="1" x14ac:dyDescent="0.2">
      <c r="A330" s="168" t="s">
        <v>684</v>
      </c>
      <c r="B330" s="179" t="s">
        <v>685</v>
      </c>
      <c r="C330" s="179"/>
      <c r="D330" s="179"/>
      <c r="E330" s="179"/>
      <c r="F330" s="179"/>
      <c r="G330" s="179"/>
      <c r="H330" s="179"/>
      <c r="I330" s="179"/>
      <c r="J330" s="179"/>
      <c r="K330" s="179"/>
      <c r="L330" s="179"/>
      <c r="M330" s="179"/>
      <c r="N330" s="179" t="s">
        <v>220</v>
      </c>
      <c r="O330" s="179"/>
      <c r="P330" s="179"/>
      <c r="Q330" s="180">
        <v>6.84</v>
      </c>
      <c r="R330" s="174"/>
      <c r="S330" s="174"/>
      <c r="T330" s="174"/>
      <c r="U330" s="174"/>
      <c r="V330" s="174"/>
      <c r="W330" s="191">
        <v>306.22539999999998</v>
      </c>
      <c r="X330" s="174"/>
      <c r="Y330" s="174"/>
      <c r="Z330" s="174"/>
      <c r="AA330" s="174"/>
      <c r="AB330" s="174"/>
      <c r="AC330" s="201">
        <v>2094.58</v>
      </c>
      <c r="AD330" s="174"/>
      <c r="AE330" s="174"/>
    </row>
    <row r="331" spans="1:31" ht="28.9" customHeight="1" x14ac:dyDescent="0.2">
      <c r="A331" s="168" t="s">
        <v>686</v>
      </c>
      <c r="B331" s="179" t="s">
        <v>687</v>
      </c>
      <c r="C331" s="179"/>
      <c r="D331" s="179"/>
      <c r="E331" s="179"/>
      <c r="F331" s="179"/>
      <c r="G331" s="179"/>
      <c r="H331" s="179"/>
      <c r="I331" s="179"/>
      <c r="J331" s="179"/>
      <c r="K331" s="179"/>
      <c r="L331" s="179"/>
      <c r="M331" s="179"/>
      <c r="N331" s="179" t="s">
        <v>220</v>
      </c>
      <c r="O331" s="179"/>
      <c r="P331" s="179"/>
      <c r="Q331" s="191">
        <v>130.88999999999999</v>
      </c>
      <c r="R331" s="174"/>
      <c r="S331" s="174"/>
      <c r="T331" s="174"/>
      <c r="U331" s="174"/>
      <c r="V331" s="174"/>
      <c r="W331" s="191">
        <v>308.96710000000002</v>
      </c>
      <c r="X331" s="174"/>
      <c r="Y331" s="174"/>
      <c r="Z331" s="174"/>
      <c r="AA331" s="174"/>
      <c r="AB331" s="174"/>
      <c r="AC331" s="196">
        <v>40440.699999999997</v>
      </c>
      <c r="AD331" s="174"/>
      <c r="AE331" s="174"/>
    </row>
    <row r="332" spans="1:31" ht="28.9" customHeight="1" x14ac:dyDescent="0.2">
      <c r="A332" s="168" t="s">
        <v>688</v>
      </c>
      <c r="B332" s="179" t="s">
        <v>689</v>
      </c>
      <c r="C332" s="179"/>
      <c r="D332" s="179"/>
      <c r="E332" s="179"/>
      <c r="F332" s="179"/>
      <c r="G332" s="179"/>
      <c r="H332" s="179"/>
      <c r="I332" s="179"/>
      <c r="J332" s="179"/>
      <c r="K332" s="179"/>
      <c r="L332" s="179"/>
      <c r="M332" s="179"/>
      <c r="N332" s="179" t="s">
        <v>220</v>
      </c>
      <c r="O332" s="179"/>
      <c r="P332" s="179"/>
      <c r="Q332" s="202">
        <v>15.99</v>
      </c>
      <c r="R332" s="174"/>
      <c r="S332" s="174"/>
      <c r="T332" s="174"/>
      <c r="U332" s="174"/>
      <c r="V332" s="174"/>
      <c r="W332" s="191">
        <v>404.3109</v>
      </c>
      <c r="X332" s="174"/>
      <c r="Y332" s="174"/>
      <c r="Z332" s="174"/>
      <c r="AA332" s="174"/>
      <c r="AB332" s="174"/>
      <c r="AC332" s="201">
        <v>6464.93</v>
      </c>
      <c r="AD332" s="174"/>
      <c r="AE332" s="174"/>
    </row>
    <row r="333" spans="1:31" ht="28.9" customHeight="1" x14ac:dyDescent="0.2">
      <c r="A333" s="168" t="s">
        <v>690</v>
      </c>
      <c r="B333" s="179" t="s">
        <v>691</v>
      </c>
      <c r="C333" s="179"/>
      <c r="D333" s="179"/>
      <c r="E333" s="179"/>
      <c r="F333" s="179"/>
      <c r="G333" s="179"/>
      <c r="H333" s="179"/>
      <c r="I333" s="179"/>
      <c r="J333" s="179"/>
      <c r="K333" s="179"/>
      <c r="L333" s="179"/>
      <c r="M333" s="179"/>
      <c r="N333" s="179" t="s">
        <v>220</v>
      </c>
      <c r="O333" s="179"/>
      <c r="P333" s="179"/>
      <c r="Q333" s="191">
        <v>129.9</v>
      </c>
      <c r="R333" s="174"/>
      <c r="S333" s="174"/>
      <c r="T333" s="174"/>
      <c r="U333" s="174"/>
      <c r="V333" s="174"/>
      <c r="W333" s="191">
        <v>348.58789999999999</v>
      </c>
      <c r="X333" s="174"/>
      <c r="Y333" s="174"/>
      <c r="Z333" s="174"/>
      <c r="AA333" s="174"/>
      <c r="AB333" s="174"/>
      <c r="AC333" s="196">
        <v>45281.57</v>
      </c>
      <c r="AD333" s="174"/>
      <c r="AE333" s="174"/>
    </row>
    <row r="334" spans="1:31" ht="9.75" customHeight="1" x14ac:dyDescent="0.2">
      <c r="A334" s="167" t="s">
        <v>692</v>
      </c>
      <c r="B334" s="176" t="s">
        <v>693</v>
      </c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7"/>
      <c r="R334" s="177"/>
      <c r="S334" s="177"/>
      <c r="T334" s="177"/>
      <c r="U334" s="177"/>
      <c r="V334" s="177"/>
      <c r="W334" s="177"/>
      <c r="X334" s="177"/>
      <c r="Y334" s="177"/>
      <c r="Z334" s="177"/>
      <c r="AA334" s="177"/>
      <c r="AB334" s="177"/>
      <c r="AC334" s="198">
        <v>163397.15</v>
      </c>
      <c r="AD334" s="177"/>
      <c r="AE334" s="177"/>
    </row>
    <row r="335" spans="1:31" ht="19.350000000000001" customHeight="1" x14ac:dyDescent="0.2">
      <c r="A335" s="168" t="s">
        <v>694</v>
      </c>
      <c r="B335" s="179" t="s">
        <v>695</v>
      </c>
      <c r="C335" s="179"/>
      <c r="D335" s="179"/>
      <c r="E335" s="179"/>
      <c r="F335" s="179"/>
      <c r="G335" s="179"/>
      <c r="H335" s="179"/>
      <c r="I335" s="179"/>
      <c r="J335" s="179"/>
      <c r="K335" s="179"/>
      <c r="L335" s="179"/>
      <c r="M335" s="179"/>
      <c r="N335" s="179" t="s">
        <v>220</v>
      </c>
      <c r="O335" s="179"/>
      <c r="P335" s="179"/>
      <c r="Q335" s="173">
        <v>1607.65</v>
      </c>
      <c r="R335" s="174"/>
      <c r="S335" s="174"/>
      <c r="T335" s="174"/>
      <c r="U335" s="174"/>
      <c r="V335" s="174"/>
      <c r="W335" s="202">
        <v>35</v>
      </c>
      <c r="X335" s="174"/>
      <c r="Y335" s="174"/>
      <c r="Z335" s="174"/>
      <c r="AA335" s="174"/>
      <c r="AB335" s="174"/>
      <c r="AC335" s="196">
        <v>56267.75</v>
      </c>
      <c r="AD335" s="174"/>
      <c r="AE335" s="174"/>
    </row>
    <row r="336" spans="1:31" ht="9.6" customHeight="1" x14ac:dyDescent="0.2">
      <c r="A336" s="168" t="s">
        <v>696</v>
      </c>
      <c r="B336" s="179" t="s">
        <v>697</v>
      </c>
      <c r="C336" s="179"/>
      <c r="D336" s="179"/>
      <c r="E336" s="179"/>
      <c r="F336" s="179"/>
      <c r="G336" s="179"/>
      <c r="H336" s="179"/>
      <c r="I336" s="179"/>
      <c r="J336" s="179"/>
      <c r="K336" s="179"/>
      <c r="L336" s="179"/>
      <c r="M336" s="179"/>
      <c r="N336" s="179" t="s">
        <v>220</v>
      </c>
      <c r="O336" s="179"/>
      <c r="P336" s="179"/>
      <c r="Q336" s="173">
        <v>1896.09</v>
      </c>
      <c r="R336" s="174"/>
      <c r="S336" s="174"/>
      <c r="T336" s="174"/>
      <c r="U336" s="174"/>
      <c r="V336" s="174"/>
      <c r="W336" s="202">
        <v>40</v>
      </c>
      <c r="X336" s="174"/>
      <c r="Y336" s="174"/>
      <c r="Z336" s="174"/>
      <c r="AA336" s="174"/>
      <c r="AB336" s="174"/>
      <c r="AC336" s="196">
        <v>75843.600000000006</v>
      </c>
      <c r="AD336" s="174"/>
      <c r="AE336" s="174"/>
    </row>
    <row r="337" spans="1:31" ht="9.6" customHeight="1" x14ac:dyDescent="0.2">
      <c r="A337" s="168" t="s">
        <v>698</v>
      </c>
      <c r="B337" s="179" t="s">
        <v>699</v>
      </c>
      <c r="C337" s="179"/>
      <c r="D337" s="179"/>
      <c r="E337" s="179"/>
      <c r="F337" s="179"/>
      <c r="G337" s="179"/>
      <c r="H337" s="179"/>
      <c r="I337" s="179"/>
      <c r="J337" s="179"/>
      <c r="K337" s="179"/>
      <c r="L337" s="179"/>
      <c r="M337" s="179"/>
      <c r="N337" s="179" t="s">
        <v>220</v>
      </c>
      <c r="O337" s="179"/>
      <c r="P337" s="179"/>
      <c r="Q337" s="191">
        <v>372.45</v>
      </c>
      <c r="R337" s="174"/>
      <c r="S337" s="174"/>
      <c r="T337" s="174"/>
      <c r="U337" s="174"/>
      <c r="V337" s="174"/>
      <c r="W337" s="202">
        <v>84</v>
      </c>
      <c r="X337" s="174"/>
      <c r="Y337" s="174"/>
      <c r="Z337" s="174"/>
      <c r="AA337" s="174"/>
      <c r="AB337" s="174"/>
      <c r="AC337" s="196">
        <v>31285.8</v>
      </c>
      <c r="AD337" s="174"/>
      <c r="AE337" s="174"/>
    </row>
    <row r="338" spans="1:31" ht="9.75" customHeight="1" x14ac:dyDescent="0.2">
      <c r="A338" s="167" t="s">
        <v>700</v>
      </c>
      <c r="B338" s="176" t="s">
        <v>701</v>
      </c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7"/>
      <c r="R338" s="177"/>
      <c r="S338" s="177"/>
      <c r="T338" s="177"/>
      <c r="U338" s="177"/>
      <c r="V338" s="177"/>
      <c r="W338" s="177"/>
      <c r="X338" s="177"/>
      <c r="Y338" s="177"/>
      <c r="Z338" s="177"/>
      <c r="AA338" s="177"/>
      <c r="AB338" s="177"/>
      <c r="AC338" s="198">
        <v>399822.16</v>
      </c>
      <c r="AD338" s="177"/>
      <c r="AE338" s="177"/>
    </row>
    <row r="339" spans="1:31" ht="9.75" customHeight="1" x14ac:dyDescent="0.2">
      <c r="A339" s="167" t="s">
        <v>702</v>
      </c>
      <c r="B339" s="176" t="s">
        <v>631</v>
      </c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7"/>
      <c r="R339" s="177"/>
      <c r="S339" s="177"/>
      <c r="T339" s="177"/>
      <c r="U339" s="177"/>
      <c r="V339" s="177"/>
      <c r="W339" s="177"/>
      <c r="X339" s="177"/>
      <c r="Y339" s="177"/>
      <c r="Z339" s="177"/>
      <c r="AA339" s="177"/>
      <c r="AB339" s="177"/>
      <c r="AC339" s="206">
        <v>7792.8</v>
      </c>
      <c r="AD339" s="177"/>
      <c r="AE339" s="177"/>
    </row>
    <row r="340" spans="1:31" ht="19.350000000000001" customHeight="1" x14ac:dyDescent="0.2">
      <c r="A340" s="168" t="s">
        <v>703</v>
      </c>
      <c r="B340" s="179" t="s">
        <v>633</v>
      </c>
      <c r="C340" s="179"/>
      <c r="D340" s="179"/>
      <c r="E340" s="179"/>
      <c r="F340" s="179"/>
      <c r="G340" s="179"/>
      <c r="H340" s="179"/>
      <c r="I340" s="179"/>
      <c r="J340" s="179"/>
      <c r="K340" s="179"/>
      <c r="L340" s="179"/>
      <c r="M340" s="179"/>
      <c r="N340" s="179" t="s">
        <v>220</v>
      </c>
      <c r="O340" s="179"/>
      <c r="P340" s="179"/>
      <c r="Q340" s="202">
        <v>76.52</v>
      </c>
      <c r="R340" s="174"/>
      <c r="S340" s="174"/>
      <c r="T340" s="174"/>
      <c r="U340" s="174"/>
      <c r="V340" s="174"/>
      <c r="W340" s="191">
        <v>101.84</v>
      </c>
      <c r="X340" s="174"/>
      <c r="Y340" s="174"/>
      <c r="Z340" s="174"/>
      <c r="AA340" s="174"/>
      <c r="AB340" s="174"/>
      <c r="AC340" s="201">
        <v>7792.8</v>
      </c>
      <c r="AD340" s="174"/>
      <c r="AE340" s="174"/>
    </row>
    <row r="341" spans="1:31" ht="9.75" customHeight="1" x14ac:dyDescent="0.2">
      <c r="A341" s="167" t="s">
        <v>704</v>
      </c>
      <c r="B341" s="176" t="s">
        <v>635</v>
      </c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7"/>
      <c r="R341" s="177"/>
      <c r="S341" s="177"/>
      <c r="T341" s="177"/>
      <c r="U341" s="177"/>
      <c r="V341" s="177"/>
      <c r="W341" s="177"/>
      <c r="X341" s="177"/>
      <c r="Y341" s="177"/>
      <c r="Z341" s="177"/>
      <c r="AA341" s="177"/>
      <c r="AB341" s="177"/>
      <c r="AC341" s="207">
        <v>573.89</v>
      </c>
      <c r="AD341" s="177"/>
      <c r="AE341" s="177"/>
    </row>
    <row r="342" spans="1:31" ht="19.350000000000001" customHeight="1" x14ac:dyDescent="0.2">
      <c r="A342" s="168" t="s">
        <v>705</v>
      </c>
      <c r="B342" s="179" t="s">
        <v>637</v>
      </c>
      <c r="C342" s="179"/>
      <c r="D342" s="179"/>
      <c r="E342" s="179"/>
      <c r="F342" s="179"/>
      <c r="G342" s="179"/>
      <c r="H342" s="179"/>
      <c r="I342" s="179"/>
      <c r="J342" s="179"/>
      <c r="K342" s="179"/>
      <c r="L342" s="179"/>
      <c r="M342" s="179"/>
      <c r="N342" s="179" t="s">
        <v>223</v>
      </c>
      <c r="O342" s="179"/>
      <c r="P342" s="179"/>
      <c r="Q342" s="202">
        <v>28.83</v>
      </c>
      <c r="R342" s="174"/>
      <c r="S342" s="174"/>
      <c r="T342" s="174"/>
      <c r="U342" s="174"/>
      <c r="V342" s="174"/>
      <c r="W342" s="202">
        <v>15.04</v>
      </c>
      <c r="X342" s="174"/>
      <c r="Y342" s="174"/>
      <c r="Z342" s="174"/>
      <c r="AA342" s="174"/>
      <c r="AB342" s="174"/>
      <c r="AC342" s="205">
        <v>433.6</v>
      </c>
      <c r="AD342" s="174"/>
      <c r="AE342" s="174"/>
    </row>
    <row r="343" spans="1:31" ht="9.6" customHeight="1" x14ac:dyDescent="0.2">
      <c r="A343" s="168" t="s">
        <v>706</v>
      </c>
      <c r="B343" s="179" t="s">
        <v>639</v>
      </c>
      <c r="C343" s="179"/>
      <c r="D343" s="179"/>
      <c r="E343" s="179"/>
      <c r="F343" s="179"/>
      <c r="G343" s="179"/>
      <c r="H343" s="179"/>
      <c r="I343" s="179"/>
      <c r="J343" s="179"/>
      <c r="K343" s="179"/>
      <c r="L343" s="179"/>
      <c r="M343" s="179"/>
      <c r="N343" s="179" t="s">
        <v>137</v>
      </c>
      <c r="O343" s="179"/>
      <c r="P343" s="179"/>
      <c r="Q343" s="202">
        <v>39</v>
      </c>
      <c r="R343" s="174"/>
      <c r="S343" s="174"/>
      <c r="T343" s="174"/>
      <c r="U343" s="174"/>
      <c r="V343" s="174"/>
      <c r="W343" s="180">
        <v>3.5972</v>
      </c>
      <c r="X343" s="174"/>
      <c r="Y343" s="174"/>
      <c r="Z343" s="174"/>
      <c r="AA343" s="174"/>
      <c r="AB343" s="174"/>
      <c r="AC343" s="205">
        <v>140.29</v>
      </c>
      <c r="AD343" s="174"/>
      <c r="AE343" s="174"/>
    </row>
    <row r="344" spans="1:31" ht="9.75" customHeight="1" x14ac:dyDescent="0.2">
      <c r="A344" s="167" t="s">
        <v>707</v>
      </c>
      <c r="B344" s="176" t="s">
        <v>641</v>
      </c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7"/>
      <c r="R344" s="177"/>
      <c r="S344" s="177"/>
      <c r="T344" s="177"/>
      <c r="U344" s="177"/>
      <c r="V344" s="177"/>
      <c r="W344" s="177"/>
      <c r="X344" s="177"/>
      <c r="Y344" s="177"/>
      <c r="Z344" s="177"/>
      <c r="AA344" s="177"/>
      <c r="AB344" s="177"/>
      <c r="AC344" s="198">
        <v>299252.05</v>
      </c>
      <c r="AD344" s="177"/>
      <c r="AE344" s="177"/>
    </row>
    <row r="345" spans="1:31" ht="19.350000000000001" customHeight="1" x14ac:dyDescent="0.2">
      <c r="A345" s="168" t="s">
        <v>708</v>
      </c>
      <c r="B345" s="179" t="s">
        <v>709</v>
      </c>
      <c r="C345" s="179"/>
      <c r="D345" s="179"/>
      <c r="E345" s="179"/>
      <c r="F345" s="179"/>
      <c r="G345" s="179"/>
      <c r="H345" s="179"/>
      <c r="I345" s="179"/>
      <c r="J345" s="179"/>
      <c r="K345" s="179"/>
      <c r="L345" s="179"/>
      <c r="M345" s="179"/>
      <c r="N345" s="179" t="s">
        <v>220</v>
      </c>
      <c r="O345" s="179"/>
      <c r="P345" s="179"/>
      <c r="Q345" s="202">
        <v>36.67</v>
      </c>
      <c r="R345" s="174"/>
      <c r="S345" s="174"/>
      <c r="T345" s="174"/>
      <c r="U345" s="174"/>
      <c r="V345" s="174"/>
      <c r="W345" s="191">
        <v>199.30179999999999</v>
      </c>
      <c r="X345" s="174"/>
      <c r="Y345" s="174"/>
      <c r="Z345" s="174"/>
      <c r="AA345" s="174"/>
      <c r="AB345" s="174"/>
      <c r="AC345" s="201">
        <v>7308.4</v>
      </c>
      <c r="AD345" s="174"/>
      <c r="AE345" s="174"/>
    </row>
    <row r="346" spans="1:31" ht="28.9" customHeight="1" x14ac:dyDescent="0.2">
      <c r="A346" s="168" t="s">
        <v>710</v>
      </c>
      <c r="B346" s="179" t="s">
        <v>651</v>
      </c>
      <c r="C346" s="179"/>
      <c r="D346" s="179"/>
      <c r="E346" s="179"/>
      <c r="F346" s="179"/>
      <c r="G346" s="179"/>
      <c r="H346" s="179"/>
      <c r="I346" s="179"/>
      <c r="J346" s="179"/>
      <c r="K346" s="179"/>
      <c r="L346" s="179"/>
      <c r="M346" s="179"/>
      <c r="N346" s="179" t="s">
        <v>220</v>
      </c>
      <c r="O346" s="179"/>
      <c r="P346" s="179"/>
      <c r="Q346" s="202">
        <v>19.899999999999999</v>
      </c>
      <c r="R346" s="174"/>
      <c r="S346" s="174"/>
      <c r="T346" s="174"/>
      <c r="U346" s="174"/>
      <c r="V346" s="174"/>
      <c r="W346" s="191">
        <v>257.4615</v>
      </c>
      <c r="X346" s="174"/>
      <c r="Y346" s="174"/>
      <c r="Z346" s="174"/>
      <c r="AA346" s="174"/>
      <c r="AB346" s="174"/>
      <c r="AC346" s="201">
        <v>5123.4799999999996</v>
      </c>
      <c r="AD346" s="174"/>
      <c r="AE346" s="174"/>
    </row>
    <row r="347" spans="1:31" ht="28.9" customHeight="1" x14ac:dyDescent="0.2">
      <c r="A347" s="168" t="s">
        <v>711</v>
      </c>
      <c r="B347" s="179" t="s">
        <v>712</v>
      </c>
      <c r="C347" s="179"/>
      <c r="D347" s="179"/>
      <c r="E347" s="179"/>
      <c r="F347" s="179"/>
      <c r="G347" s="179"/>
      <c r="H347" s="179"/>
      <c r="I347" s="179"/>
      <c r="J347" s="179"/>
      <c r="K347" s="179"/>
      <c r="L347" s="179"/>
      <c r="M347" s="179"/>
      <c r="N347" s="179" t="s">
        <v>220</v>
      </c>
      <c r="O347" s="179"/>
      <c r="P347" s="179"/>
      <c r="Q347" s="180">
        <v>7.68</v>
      </c>
      <c r="R347" s="174"/>
      <c r="S347" s="174"/>
      <c r="T347" s="174"/>
      <c r="U347" s="174"/>
      <c r="V347" s="174"/>
      <c r="W347" s="191">
        <v>170.89429999999999</v>
      </c>
      <c r="X347" s="174"/>
      <c r="Y347" s="174"/>
      <c r="Z347" s="174"/>
      <c r="AA347" s="174"/>
      <c r="AB347" s="174"/>
      <c r="AC347" s="201">
        <v>1312.47</v>
      </c>
      <c r="AD347" s="174"/>
      <c r="AE347" s="174"/>
    </row>
    <row r="348" spans="1:31" ht="28.9" customHeight="1" x14ac:dyDescent="0.2">
      <c r="A348" s="168" t="s">
        <v>713</v>
      </c>
      <c r="B348" s="179" t="s">
        <v>714</v>
      </c>
      <c r="C348" s="179"/>
      <c r="D348" s="179"/>
      <c r="E348" s="179"/>
      <c r="F348" s="179"/>
      <c r="G348" s="179"/>
      <c r="H348" s="179"/>
      <c r="I348" s="179"/>
      <c r="J348" s="179"/>
      <c r="K348" s="179"/>
      <c r="L348" s="179"/>
      <c r="M348" s="179"/>
      <c r="N348" s="179" t="s">
        <v>220</v>
      </c>
      <c r="O348" s="179"/>
      <c r="P348" s="179"/>
      <c r="Q348" s="191">
        <v>107.65</v>
      </c>
      <c r="R348" s="174"/>
      <c r="S348" s="174"/>
      <c r="T348" s="174"/>
      <c r="U348" s="174"/>
      <c r="V348" s="174"/>
      <c r="W348" s="191">
        <v>166.28389999999999</v>
      </c>
      <c r="X348" s="174"/>
      <c r="Y348" s="174"/>
      <c r="Z348" s="174"/>
      <c r="AA348" s="174"/>
      <c r="AB348" s="174"/>
      <c r="AC348" s="196">
        <v>17900.46</v>
      </c>
      <c r="AD348" s="174"/>
      <c r="AE348" s="174"/>
    </row>
    <row r="349" spans="1:31" ht="28.9" customHeight="1" x14ac:dyDescent="0.2">
      <c r="A349" s="168" t="s">
        <v>715</v>
      </c>
      <c r="B349" s="179" t="s">
        <v>647</v>
      </c>
      <c r="C349" s="179"/>
      <c r="D349" s="179"/>
      <c r="E349" s="179"/>
      <c r="F349" s="179"/>
      <c r="G349" s="179"/>
      <c r="H349" s="179"/>
      <c r="I349" s="179"/>
      <c r="J349" s="179"/>
      <c r="K349" s="179"/>
      <c r="L349" s="179"/>
      <c r="M349" s="179"/>
      <c r="N349" s="179" t="s">
        <v>220</v>
      </c>
      <c r="O349" s="179"/>
      <c r="P349" s="179"/>
      <c r="Q349" s="180">
        <v>8.18</v>
      </c>
      <c r="R349" s="174"/>
      <c r="S349" s="174"/>
      <c r="T349" s="174"/>
      <c r="U349" s="174"/>
      <c r="V349" s="174"/>
      <c r="W349" s="191">
        <v>222.34209999999999</v>
      </c>
      <c r="X349" s="174"/>
      <c r="Y349" s="174"/>
      <c r="Z349" s="174"/>
      <c r="AA349" s="174"/>
      <c r="AB349" s="174"/>
      <c r="AC349" s="201">
        <v>1818.76</v>
      </c>
      <c r="AD349" s="174"/>
      <c r="AE349" s="174"/>
    </row>
    <row r="350" spans="1:31" ht="28.9" customHeight="1" x14ac:dyDescent="0.2">
      <c r="A350" s="168" t="s">
        <v>716</v>
      </c>
      <c r="B350" s="179" t="s">
        <v>655</v>
      </c>
      <c r="C350" s="179"/>
      <c r="D350" s="179"/>
      <c r="E350" s="179"/>
      <c r="F350" s="179"/>
      <c r="G350" s="179"/>
      <c r="H350" s="179"/>
      <c r="I350" s="179"/>
      <c r="J350" s="179"/>
      <c r="K350" s="179"/>
      <c r="L350" s="179"/>
      <c r="M350" s="179"/>
      <c r="N350" s="179" t="s">
        <v>220</v>
      </c>
      <c r="O350" s="179"/>
      <c r="P350" s="179"/>
      <c r="Q350" s="191">
        <v>219.5</v>
      </c>
      <c r="R350" s="174"/>
      <c r="S350" s="174"/>
      <c r="T350" s="174"/>
      <c r="U350" s="174"/>
      <c r="V350" s="174"/>
      <c r="W350" s="191">
        <v>279.44920000000002</v>
      </c>
      <c r="X350" s="174"/>
      <c r="Y350" s="174"/>
      <c r="Z350" s="174"/>
      <c r="AA350" s="174"/>
      <c r="AB350" s="174"/>
      <c r="AC350" s="196">
        <v>61339.1</v>
      </c>
      <c r="AD350" s="174"/>
      <c r="AE350" s="174"/>
    </row>
    <row r="351" spans="1:31" ht="28.9" customHeight="1" x14ac:dyDescent="0.2">
      <c r="A351" s="168" t="s">
        <v>717</v>
      </c>
      <c r="B351" s="179" t="s">
        <v>657</v>
      </c>
      <c r="C351" s="179"/>
      <c r="D351" s="179"/>
      <c r="E351" s="179"/>
      <c r="F351" s="179"/>
      <c r="G351" s="179"/>
      <c r="H351" s="179"/>
      <c r="I351" s="179"/>
      <c r="J351" s="179"/>
      <c r="K351" s="179"/>
      <c r="L351" s="179"/>
      <c r="M351" s="179"/>
      <c r="N351" s="179" t="s">
        <v>220</v>
      </c>
      <c r="O351" s="179"/>
      <c r="P351" s="179"/>
      <c r="Q351" s="191">
        <v>297.02</v>
      </c>
      <c r="R351" s="174"/>
      <c r="S351" s="174"/>
      <c r="T351" s="174"/>
      <c r="U351" s="174"/>
      <c r="V351" s="174"/>
      <c r="W351" s="191">
        <v>166.46680000000001</v>
      </c>
      <c r="X351" s="174"/>
      <c r="Y351" s="174"/>
      <c r="Z351" s="174"/>
      <c r="AA351" s="174"/>
      <c r="AB351" s="174"/>
      <c r="AC351" s="196">
        <v>49443.97</v>
      </c>
      <c r="AD351" s="174"/>
      <c r="AE351" s="174"/>
    </row>
    <row r="352" spans="1:31" ht="28.9" customHeight="1" x14ac:dyDescent="0.2">
      <c r="A352" s="168" t="s">
        <v>718</v>
      </c>
      <c r="B352" s="179" t="s">
        <v>719</v>
      </c>
      <c r="C352" s="179"/>
      <c r="D352" s="179"/>
      <c r="E352" s="179"/>
      <c r="F352" s="179"/>
      <c r="G352" s="179"/>
      <c r="H352" s="179"/>
      <c r="I352" s="179"/>
      <c r="J352" s="179"/>
      <c r="K352" s="179"/>
      <c r="L352" s="179"/>
      <c r="M352" s="179"/>
      <c r="N352" s="179" t="s">
        <v>220</v>
      </c>
      <c r="O352" s="179"/>
      <c r="P352" s="179"/>
      <c r="Q352" s="202">
        <v>40.97</v>
      </c>
      <c r="R352" s="174"/>
      <c r="S352" s="174"/>
      <c r="T352" s="174"/>
      <c r="U352" s="174"/>
      <c r="V352" s="174"/>
      <c r="W352" s="191">
        <v>184.4485</v>
      </c>
      <c r="X352" s="174"/>
      <c r="Y352" s="174"/>
      <c r="Z352" s="174"/>
      <c r="AA352" s="174"/>
      <c r="AB352" s="174"/>
      <c r="AC352" s="201">
        <v>7556.86</v>
      </c>
      <c r="AD352" s="174"/>
      <c r="AE352" s="174"/>
    </row>
    <row r="353" spans="1:31" ht="28.9" customHeight="1" x14ac:dyDescent="0.2">
      <c r="A353" s="168" t="s">
        <v>720</v>
      </c>
      <c r="B353" s="179" t="s">
        <v>659</v>
      </c>
      <c r="C353" s="179"/>
      <c r="D353" s="179"/>
      <c r="E353" s="179"/>
      <c r="F353" s="179"/>
      <c r="G353" s="179"/>
      <c r="H353" s="179"/>
      <c r="I353" s="179"/>
      <c r="J353" s="179"/>
      <c r="K353" s="179"/>
      <c r="L353" s="179"/>
      <c r="M353" s="179"/>
      <c r="N353" s="179" t="s">
        <v>220</v>
      </c>
      <c r="O353" s="179"/>
      <c r="P353" s="179"/>
      <c r="Q353" s="202">
        <v>59.23</v>
      </c>
      <c r="R353" s="174"/>
      <c r="S353" s="174"/>
      <c r="T353" s="174"/>
      <c r="U353" s="174"/>
      <c r="V353" s="174"/>
      <c r="W353" s="191">
        <v>284.05950000000001</v>
      </c>
      <c r="X353" s="174"/>
      <c r="Y353" s="174"/>
      <c r="Z353" s="174"/>
      <c r="AA353" s="174"/>
      <c r="AB353" s="174"/>
      <c r="AC353" s="196">
        <v>16824.84</v>
      </c>
      <c r="AD353" s="174"/>
      <c r="AE353" s="174"/>
    </row>
    <row r="354" spans="1:31" ht="28.9" customHeight="1" x14ac:dyDescent="0.2">
      <c r="A354" s="168" t="s">
        <v>721</v>
      </c>
      <c r="B354" s="179" t="s">
        <v>661</v>
      </c>
      <c r="C354" s="179"/>
      <c r="D354" s="179"/>
      <c r="E354" s="179"/>
      <c r="F354" s="179"/>
      <c r="G354" s="179"/>
      <c r="H354" s="179"/>
      <c r="I354" s="179"/>
      <c r="J354" s="179"/>
      <c r="K354" s="179"/>
      <c r="L354" s="179"/>
      <c r="M354" s="179"/>
      <c r="N354" s="179" t="s">
        <v>220</v>
      </c>
      <c r="O354" s="179"/>
      <c r="P354" s="179"/>
      <c r="Q354" s="191">
        <v>520.26</v>
      </c>
      <c r="R354" s="174"/>
      <c r="S354" s="174"/>
      <c r="T354" s="174"/>
      <c r="U354" s="174"/>
      <c r="V354" s="174"/>
      <c r="W354" s="191">
        <v>222.52500000000001</v>
      </c>
      <c r="X354" s="174"/>
      <c r="Y354" s="174"/>
      <c r="Z354" s="174"/>
      <c r="AA354" s="174"/>
      <c r="AB354" s="174"/>
      <c r="AC354" s="200">
        <v>115770.86</v>
      </c>
      <c r="AD354" s="174"/>
      <c r="AE354" s="174"/>
    </row>
    <row r="355" spans="1:31" ht="28.9" customHeight="1" x14ac:dyDescent="0.2">
      <c r="A355" s="168" t="s">
        <v>722</v>
      </c>
      <c r="B355" s="179" t="s">
        <v>669</v>
      </c>
      <c r="C355" s="179"/>
      <c r="D355" s="179"/>
      <c r="E355" s="179"/>
      <c r="F355" s="179"/>
      <c r="G355" s="179"/>
      <c r="H355" s="179"/>
      <c r="I355" s="179"/>
      <c r="J355" s="179"/>
      <c r="K355" s="179"/>
      <c r="L355" s="179"/>
      <c r="M355" s="179"/>
      <c r="N355" s="179" t="s">
        <v>220</v>
      </c>
      <c r="O355" s="179"/>
      <c r="P355" s="179"/>
      <c r="Q355" s="202">
        <v>36.82</v>
      </c>
      <c r="R355" s="174"/>
      <c r="S355" s="174"/>
      <c r="T355" s="174"/>
      <c r="U355" s="174"/>
      <c r="V355" s="174"/>
      <c r="W355" s="191">
        <v>190.5342</v>
      </c>
      <c r="X355" s="174"/>
      <c r="Y355" s="174"/>
      <c r="Z355" s="174"/>
      <c r="AA355" s="174"/>
      <c r="AB355" s="174"/>
      <c r="AC355" s="201">
        <v>7015.47</v>
      </c>
      <c r="AD355" s="174"/>
      <c r="AE355" s="174"/>
    </row>
    <row r="356" spans="1:31" ht="28.9" customHeight="1" x14ac:dyDescent="0.2">
      <c r="A356" s="168" t="s">
        <v>723</v>
      </c>
      <c r="B356" s="179" t="s">
        <v>671</v>
      </c>
      <c r="C356" s="179"/>
      <c r="D356" s="179"/>
      <c r="E356" s="179"/>
      <c r="F356" s="179"/>
      <c r="G356" s="179"/>
      <c r="H356" s="179"/>
      <c r="I356" s="179"/>
      <c r="J356" s="179"/>
      <c r="K356" s="179"/>
      <c r="L356" s="179"/>
      <c r="M356" s="179"/>
      <c r="N356" s="179" t="s">
        <v>220</v>
      </c>
      <c r="O356" s="179"/>
      <c r="P356" s="179"/>
      <c r="Q356" s="191">
        <v>101.06</v>
      </c>
      <c r="R356" s="174"/>
      <c r="S356" s="174"/>
      <c r="T356" s="174"/>
      <c r="U356" s="174"/>
      <c r="V356" s="174"/>
      <c r="W356" s="202">
        <v>77.5518</v>
      </c>
      <c r="X356" s="174"/>
      <c r="Y356" s="174"/>
      <c r="Z356" s="174"/>
      <c r="AA356" s="174"/>
      <c r="AB356" s="174"/>
      <c r="AC356" s="201">
        <v>7837.38</v>
      </c>
      <c r="AD356" s="174"/>
      <c r="AE356" s="174"/>
    </row>
    <row r="357" spans="1:31" ht="9.75" customHeight="1" x14ac:dyDescent="0.2">
      <c r="A357" s="167" t="s">
        <v>724</v>
      </c>
      <c r="B357" s="176" t="s">
        <v>681</v>
      </c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7"/>
      <c r="R357" s="177"/>
      <c r="S357" s="177"/>
      <c r="T357" s="177"/>
      <c r="U357" s="177"/>
      <c r="V357" s="177"/>
      <c r="W357" s="177"/>
      <c r="X357" s="177"/>
      <c r="Y357" s="177"/>
      <c r="Z357" s="177"/>
      <c r="AA357" s="177"/>
      <c r="AB357" s="177"/>
      <c r="AC357" s="194">
        <v>25170.42</v>
      </c>
      <c r="AD357" s="177"/>
      <c r="AE357" s="177"/>
    </row>
    <row r="358" spans="1:31" ht="38.65" customHeight="1" x14ac:dyDescent="0.2">
      <c r="A358" s="168" t="s">
        <v>725</v>
      </c>
      <c r="B358" s="179" t="s">
        <v>726</v>
      </c>
      <c r="C358" s="179"/>
      <c r="D358" s="179"/>
      <c r="E358" s="179"/>
      <c r="F358" s="179"/>
      <c r="G358" s="179"/>
      <c r="H358" s="179"/>
      <c r="I358" s="179"/>
      <c r="J358" s="179"/>
      <c r="K358" s="179"/>
      <c r="L358" s="179"/>
      <c r="M358" s="179"/>
      <c r="N358" s="179" t="s">
        <v>220</v>
      </c>
      <c r="O358" s="179"/>
      <c r="P358" s="179"/>
      <c r="Q358" s="202">
        <v>23.52</v>
      </c>
      <c r="R358" s="174"/>
      <c r="S358" s="174"/>
      <c r="T358" s="174"/>
      <c r="U358" s="174"/>
      <c r="V358" s="174"/>
      <c r="W358" s="191">
        <v>332.38580000000002</v>
      </c>
      <c r="X358" s="174"/>
      <c r="Y358" s="174"/>
      <c r="Z358" s="174"/>
      <c r="AA358" s="174"/>
      <c r="AB358" s="174"/>
      <c r="AC358" s="201">
        <v>7817.71</v>
      </c>
      <c r="AD358" s="174"/>
      <c r="AE358" s="174"/>
    </row>
    <row r="359" spans="1:31" ht="28.9" customHeight="1" x14ac:dyDescent="0.2">
      <c r="A359" s="168" t="s">
        <v>727</v>
      </c>
      <c r="B359" s="179" t="s">
        <v>691</v>
      </c>
      <c r="C359" s="179"/>
      <c r="D359" s="179"/>
      <c r="E359" s="179"/>
      <c r="F359" s="179"/>
      <c r="G359" s="179"/>
      <c r="H359" s="179"/>
      <c r="I359" s="179"/>
      <c r="J359" s="179"/>
      <c r="K359" s="179"/>
      <c r="L359" s="179"/>
      <c r="M359" s="179"/>
      <c r="N359" s="179" t="s">
        <v>220</v>
      </c>
      <c r="O359" s="179"/>
      <c r="P359" s="179"/>
      <c r="Q359" s="202">
        <v>49.78</v>
      </c>
      <c r="R359" s="174"/>
      <c r="S359" s="174"/>
      <c r="T359" s="174"/>
      <c r="U359" s="174"/>
      <c r="V359" s="174"/>
      <c r="W359" s="191">
        <v>348.58789999999999</v>
      </c>
      <c r="X359" s="174"/>
      <c r="Y359" s="174"/>
      <c r="Z359" s="174"/>
      <c r="AA359" s="174"/>
      <c r="AB359" s="174"/>
      <c r="AC359" s="196">
        <v>17352.71</v>
      </c>
      <c r="AD359" s="174"/>
      <c r="AE359" s="174"/>
    </row>
    <row r="360" spans="1:31" ht="9.75" customHeight="1" x14ac:dyDescent="0.2">
      <c r="A360" s="167" t="s">
        <v>728</v>
      </c>
      <c r="B360" s="176" t="s">
        <v>693</v>
      </c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7"/>
      <c r="R360" s="177"/>
      <c r="S360" s="177"/>
      <c r="T360" s="177"/>
      <c r="U360" s="177"/>
      <c r="V360" s="177"/>
      <c r="W360" s="177"/>
      <c r="X360" s="177"/>
      <c r="Y360" s="177"/>
      <c r="Z360" s="177"/>
      <c r="AA360" s="177"/>
      <c r="AB360" s="177"/>
      <c r="AC360" s="194">
        <v>67033</v>
      </c>
      <c r="AD360" s="177"/>
      <c r="AE360" s="177"/>
    </row>
    <row r="361" spans="1:31" ht="19.350000000000001" customHeight="1" x14ac:dyDescent="0.2">
      <c r="A361" s="168" t="s">
        <v>729</v>
      </c>
      <c r="B361" s="179" t="s">
        <v>695</v>
      </c>
      <c r="C361" s="179"/>
      <c r="D361" s="179"/>
      <c r="E361" s="179"/>
      <c r="F361" s="179"/>
      <c r="G361" s="179"/>
      <c r="H361" s="179"/>
      <c r="I361" s="179"/>
      <c r="J361" s="179"/>
      <c r="K361" s="179"/>
      <c r="L361" s="179"/>
      <c r="M361" s="179"/>
      <c r="N361" s="179" t="s">
        <v>220</v>
      </c>
      <c r="O361" s="179"/>
      <c r="P361" s="179"/>
      <c r="Q361" s="202">
        <v>76.52</v>
      </c>
      <c r="R361" s="174"/>
      <c r="S361" s="174"/>
      <c r="T361" s="174"/>
      <c r="U361" s="174"/>
      <c r="V361" s="174"/>
      <c r="W361" s="202">
        <v>35</v>
      </c>
      <c r="X361" s="174"/>
      <c r="Y361" s="174"/>
      <c r="Z361" s="174"/>
      <c r="AA361" s="174"/>
      <c r="AB361" s="174"/>
      <c r="AC361" s="201">
        <v>2678.2</v>
      </c>
      <c r="AD361" s="174"/>
      <c r="AE361" s="174"/>
    </row>
    <row r="362" spans="1:31" ht="9.6" customHeight="1" x14ac:dyDescent="0.2">
      <c r="A362" s="168" t="s">
        <v>730</v>
      </c>
      <c r="B362" s="179" t="s">
        <v>697</v>
      </c>
      <c r="C362" s="179"/>
      <c r="D362" s="179"/>
      <c r="E362" s="179"/>
      <c r="F362" s="179"/>
      <c r="G362" s="179"/>
      <c r="H362" s="179"/>
      <c r="I362" s="179"/>
      <c r="J362" s="179"/>
      <c r="K362" s="179"/>
      <c r="L362" s="179"/>
      <c r="M362" s="179"/>
      <c r="N362" s="179" t="s">
        <v>220</v>
      </c>
      <c r="O362" s="179"/>
      <c r="P362" s="179"/>
      <c r="Q362" s="173">
        <v>1454.94</v>
      </c>
      <c r="R362" s="174"/>
      <c r="S362" s="174"/>
      <c r="T362" s="174"/>
      <c r="U362" s="174"/>
      <c r="V362" s="174"/>
      <c r="W362" s="202">
        <v>40</v>
      </c>
      <c r="X362" s="174"/>
      <c r="Y362" s="174"/>
      <c r="Z362" s="174"/>
      <c r="AA362" s="174"/>
      <c r="AB362" s="174"/>
      <c r="AC362" s="196">
        <v>58197.599999999999</v>
      </c>
      <c r="AD362" s="174"/>
      <c r="AE362" s="174"/>
    </row>
    <row r="363" spans="1:31" ht="9.6" customHeight="1" x14ac:dyDescent="0.2">
      <c r="A363" s="168" t="s">
        <v>731</v>
      </c>
      <c r="B363" s="179" t="s">
        <v>699</v>
      </c>
      <c r="C363" s="179"/>
      <c r="D363" s="179"/>
      <c r="E363" s="179"/>
      <c r="F363" s="179"/>
      <c r="G363" s="179"/>
      <c r="H363" s="179"/>
      <c r="I363" s="179"/>
      <c r="J363" s="179"/>
      <c r="K363" s="179"/>
      <c r="L363" s="179"/>
      <c r="M363" s="179"/>
      <c r="N363" s="179" t="s">
        <v>220</v>
      </c>
      <c r="O363" s="179"/>
      <c r="P363" s="179"/>
      <c r="Q363" s="202">
        <v>73.3</v>
      </c>
      <c r="R363" s="174"/>
      <c r="S363" s="174"/>
      <c r="T363" s="174"/>
      <c r="U363" s="174"/>
      <c r="V363" s="174"/>
      <c r="W363" s="202">
        <v>84</v>
      </c>
      <c r="X363" s="174"/>
      <c r="Y363" s="174"/>
      <c r="Z363" s="174"/>
      <c r="AA363" s="174"/>
      <c r="AB363" s="174"/>
      <c r="AC363" s="201">
        <v>6157.2</v>
      </c>
      <c r="AD363" s="174"/>
      <c r="AE363" s="174"/>
    </row>
    <row r="364" spans="1:31" ht="9.75" customHeight="1" x14ac:dyDescent="0.2">
      <c r="A364" s="167" t="s">
        <v>732</v>
      </c>
      <c r="B364" s="176" t="s">
        <v>733</v>
      </c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7"/>
      <c r="R364" s="177"/>
      <c r="S364" s="177"/>
      <c r="T364" s="177"/>
      <c r="U364" s="177"/>
      <c r="V364" s="177"/>
      <c r="W364" s="177"/>
      <c r="X364" s="177"/>
      <c r="Y364" s="177"/>
      <c r="Z364" s="177"/>
      <c r="AA364" s="177"/>
      <c r="AB364" s="177"/>
      <c r="AC364" s="197">
        <v>11907975.460000001</v>
      </c>
      <c r="AD364" s="177"/>
      <c r="AE364" s="177"/>
    </row>
    <row r="365" spans="1:31" ht="9.75" customHeight="1" x14ac:dyDescent="0.2">
      <c r="A365" s="167" t="s">
        <v>734</v>
      </c>
      <c r="B365" s="176" t="s">
        <v>631</v>
      </c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7"/>
      <c r="R365" s="177"/>
      <c r="S365" s="177"/>
      <c r="T365" s="177"/>
      <c r="U365" s="177"/>
      <c r="V365" s="177"/>
      <c r="W365" s="177"/>
      <c r="X365" s="177"/>
      <c r="Y365" s="177"/>
      <c r="Z365" s="177"/>
      <c r="AA365" s="177"/>
      <c r="AB365" s="177"/>
      <c r="AC365" s="194">
        <v>84137.19</v>
      </c>
      <c r="AD365" s="177"/>
      <c r="AE365" s="177"/>
    </row>
    <row r="366" spans="1:31" ht="19.350000000000001" customHeight="1" x14ac:dyDescent="0.2">
      <c r="A366" s="168" t="s">
        <v>735</v>
      </c>
      <c r="B366" s="179" t="s">
        <v>633</v>
      </c>
      <c r="C366" s="179"/>
      <c r="D366" s="179"/>
      <c r="E366" s="179"/>
      <c r="F366" s="179"/>
      <c r="G366" s="179"/>
      <c r="H366" s="179"/>
      <c r="I366" s="179"/>
      <c r="J366" s="179"/>
      <c r="K366" s="179"/>
      <c r="L366" s="179"/>
      <c r="M366" s="179"/>
      <c r="N366" s="179" t="s">
        <v>220</v>
      </c>
      <c r="O366" s="179"/>
      <c r="P366" s="179"/>
      <c r="Q366" s="191">
        <v>747.07</v>
      </c>
      <c r="R366" s="174"/>
      <c r="S366" s="174"/>
      <c r="T366" s="174"/>
      <c r="U366" s="174"/>
      <c r="V366" s="174"/>
      <c r="W366" s="191">
        <v>101.84</v>
      </c>
      <c r="X366" s="174"/>
      <c r="Y366" s="174"/>
      <c r="Z366" s="174"/>
      <c r="AA366" s="174"/>
      <c r="AB366" s="174"/>
      <c r="AC366" s="196">
        <v>76081.61</v>
      </c>
      <c r="AD366" s="174"/>
      <c r="AE366" s="174"/>
    </row>
    <row r="367" spans="1:31" ht="28.9" customHeight="1" x14ac:dyDescent="0.2">
      <c r="A367" s="168" t="s">
        <v>736</v>
      </c>
      <c r="B367" s="179" t="s">
        <v>737</v>
      </c>
      <c r="C367" s="179"/>
      <c r="D367" s="179"/>
      <c r="E367" s="179"/>
      <c r="F367" s="179"/>
      <c r="G367" s="179"/>
      <c r="H367" s="179"/>
      <c r="I367" s="179"/>
      <c r="J367" s="179"/>
      <c r="K367" s="179"/>
      <c r="L367" s="179"/>
      <c r="M367" s="179"/>
      <c r="N367" s="179" t="s">
        <v>220</v>
      </c>
      <c r="O367" s="179"/>
      <c r="P367" s="179"/>
      <c r="Q367" s="191">
        <v>152.77000000000001</v>
      </c>
      <c r="R367" s="174"/>
      <c r="S367" s="174"/>
      <c r="T367" s="174"/>
      <c r="U367" s="174"/>
      <c r="V367" s="174"/>
      <c r="W367" s="202">
        <v>52.7301</v>
      </c>
      <c r="X367" s="174"/>
      <c r="Y367" s="174"/>
      <c r="Z367" s="174"/>
      <c r="AA367" s="174"/>
      <c r="AB367" s="174"/>
      <c r="AC367" s="201">
        <v>8055.58</v>
      </c>
      <c r="AD367" s="174"/>
      <c r="AE367" s="174"/>
    </row>
    <row r="368" spans="1:31" ht="9.75" customHeight="1" x14ac:dyDescent="0.2">
      <c r="A368" s="167" t="s">
        <v>738</v>
      </c>
      <c r="B368" s="176" t="s">
        <v>635</v>
      </c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7"/>
      <c r="R368" s="177"/>
      <c r="S368" s="177"/>
      <c r="T368" s="177"/>
      <c r="U368" s="177"/>
      <c r="V368" s="177"/>
      <c r="W368" s="177"/>
      <c r="X368" s="177"/>
      <c r="Y368" s="177"/>
      <c r="Z368" s="177"/>
      <c r="AA368" s="177"/>
      <c r="AB368" s="177"/>
      <c r="AC368" s="194">
        <v>24645.74</v>
      </c>
      <c r="AD368" s="177"/>
      <c r="AE368" s="177"/>
    </row>
    <row r="369" spans="1:31" ht="19.350000000000001" customHeight="1" x14ac:dyDescent="0.2">
      <c r="A369" s="168" t="s">
        <v>739</v>
      </c>
      <c r="B369" s="179" t="s">
        <v>637</v>
      </c>
      <c r="C369" s="179"/>
      <c r="D369" s="179"/>
      <c r="E369" s="179"/>
      <c r="F369" s="179"/>
      <c r="G369" s="179"/>
      <c r="H369" s="179"/>
      <c r="I369" s="179"/>
      <c r="J369" s="179"/>
      <c r="K369" s="179"/>
      <c r="L369" s="179"/>
      <c r="M369" s="179"/>
      <c r="N369" s="179" t="s">
        <v>223</v>
      </c>
      <c r="O369" s="179"/>
      <c r="P369" s="179"/>
      <c r="Q369" s="173">
        <v>1417.92</v>
      </c>
      <c r="R369" s="174"/>
      <c r="S369" s="174"/>
      <c r="T369" s="174"/>
      <c r="U369" s="174"/>
      <c r="V369" s="174"/>
      <c r="W369" s="202">
        <v>15.04</v>
      </c>
      <c r="X369" s="174"/>
      <c r="Y369" s="174"/>
      <c r="Z369" s="174"/>
      <c r="AA369" s="174"/>
      <c r="AB369" s="174"/>
      <c r="AC369" s="196">
        <v>21325.52</v>
      </c>
      <c r="AD369" s="174"/>
      <c r="AE369" s="174"/>
    </row>
    <row r="370" spans="1:31" ht="9.6" customHeight="1" x14ac:dyDescent="0.2">
      <c r="A370" s="168" t="s">
        <v>740</v>
      </c>
      <c r="B370" s="179" t="s">
        <v>639</v>
      </c>
      <c r="C370" s="179"/>
      <c r="D370" s="179"/>
      <c r="E370" s="179"/>
      <c r="F370" s="179"/>
      <c r="G370" s="179"/>
      <c r="H370" s="179"/>
      <c r="I370" s="179"/>
      <c r="J370" s="179"/>
      <c r="K370" s="179"/>
      <c r="L370" s="179"/>
      <c r="M370" s="179"/>
      <c r="N370" s="179" t="s">
        <v>137</v>
      </c>
      <c r="O370" s="179"/>
      <c r="P370" s="179"/>
      <c r="Q370" s="191">
        <v>923</v>
      </c>
      <c r="R370" s="174"/>
      <c r="S370" s="174"/>
      <c r="T370" s="174"/>
      <c r="U370" s="174"/>
      <c r="V370" s="174"/>
      <c r="W370" s="180">
        <v>3.5972</v>
      </c>
      <c r="X370" s="174"/>
      <c r="Y370" s="174"/>
      <c r="Z370" s="174"/>
      <c r="AA370" s="174"/>
      <c r="AB370" s="174"/>
      <c r="AC370" s="201">
        <v>3320.22</v>
      </c>
      <c r="AD370" s="174"/>
      <c r="AE370" s="174"/>
    </row>
    <row r="371" spans="1:31" ht="9.75" customHeight="1" x14ac:dyDescent="0.2">
      <c r="A371" s="167" t="s">
        <v>741</v>
      </c>
      <c r="B371" s="176" t="s">
        <v>641</v>
      </c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7"/>
      <c r="R371" s="177"/>
      <c r="S371" s="177"/>
      <c r="T371" s="177"/>
      <c r="U371" s="177"/>
      <c r="V371" s="177"/>
      <c r="W371" s="177"/>
      <c r="X371" s="177"/>
      <c r="Y371" s="177"/>
      <c r="Z371" s="177"/>
      <c r="AA371" s="177"/>
      <c r="AB371" s="177"/>
      <c r="AC371" s="178">
        <v>7885306.1500000004</v>
      </c>
      <c r="AD371" s="177"/>
      <c r="AE371" s="177"/>
    </row>
    <row r="372" spans="1:31" ht="28.9" customHeight="1" x14ac:dyDescent="0.2">
      <c r="A372" s="168" t="s">
        <v>742</v>
      </c>
      <c r="B372" s="179" t="s">
        <v>643</v>
      </c>
      <c r="C372" s="179"/>
      <c r="D372" s="179"/>
      <c r="E372" s="179"/>
      <c r="F372" s="179"/>
      <c r="G372" s="179"/>
      <c r="H372" s="179"/>
      <c r="I372" s="179"/>
      <c r="J372" s="179"/>
      <c r="K372" s="179"/>
      <c r="L372" s="179"/>
      <c r="M372" s="179"/>
      <c r="N372" s="179" t="s">
        <v>220</v>
      </c>
      <c r="O372" s="179"/>
      <c r="P372" s="179"/>
      <c r="Q372" s="173">
        <v>2259.23</v>
      </c>
      <c r="R372" s="174"/>
      <c r="S372" s="174"/>
      <c r="T372" s="174"/>
      <c r="U372" s="174"/>
      <c r="V372" s="174"/>
      <c r="W372" s="191">
        <v>181.04390000000001</v>
      </c>
      <c r="X372" s="174"/>
      <c r="Y372" s="174"/>
      <c r="Z372" s="174"/>
      <c r="AA372" s="174"/>
      <c r="AB372" s="174"/>
      <c r="AC372" s="200">
        <v>409019.81</v>
      </c>
      <c r="AD372" s="174"/>
      <c r="AE372" s="174"/>
    </row>
    <row r="373" spans="1:31" ht="28.9" customHeight="1" x14ac:dyDescent="0.2">
      <c r="A373" s="168" t="s">
        <v>743</v>
      </c>
      <c r="B373" s="179" t="s">
        <v>649</v>
      </c>
      <c r="C373" s="179"/>
      <c r="D373" s="179"/>
      <c r="E373" s="179"/>
      <c r="F373" s="179"/>
      <c r="G373" s="179"/>
      <c r="H373" s="179"/>
      <c r="I373" s="179"/>
      <c r="J373" s="179"/>
      <c r="K373" s="179"/>
      <c r="L373" s="179"/>
      <c r="M373" s="179"/>
      <c r="N373" s="179" t="s">
        <v>220</v>
      </c>
      <c r="O373" s="179"/>
      <c r="P373" s="179"/>
      <c r="Q373" s="191">
        <v>273.75</v>
      </c>
      <c r="R373" s="174"/>
      <c r="S373" s="174"/>
      <c r="T373" s="174"/>
      <c r="U373" s="174"/>
      <c r="V373" s="174"/>
      <c r="W373" s="191">
        <v>154.5265</v>
      </c>
      <c r="X373" s="174"/>
      <c r="Y373" s="174"/>
      <c r="Z373" s="174"/>
      <c r="AA373" s="174"/>
      <c r="AB373" s="174"/>
      <c r="AC373" s="196">
        <v>42301.63</v>
      </c>
      <c r="AD373" s="174"/>
      <c r="AE373" s="174"/>
    </row>
    <row r="374" spans="1:31" ht="28.9" customHeight="1" x14ac:dyDescent="0.2">
      <c r="A374" s="168" t="s">
        <v>744</v>
      </c>
      <c r="B374" s="179" t="s">
        <v>745</v>
      </c>
      <c r="C374" s="179"/>
      <c r="D374" s="179"/>
      <c r="E374" s="179"/>
      <c r="F374" s="179"/>
      <c r="G374" s="179"/>
      <c r="H374" s="179"/>
      <c r="I374" s="179"/>
      <c r="J374" s="179"/>
      <c r="K374" s="179"/>
      <c r="L374" s="179"/>
      <c r="M374" s="179"/>
      <c r="N374" s="179" t="s">
        <v>220</v>
      </c>
      <c r="O374" s="179"/>
      <c r="P374" s="179"/>
      <c r="Q374" s="191">
        <v>408.05</v>
      </c>
      <c r="R374" s="174"/>
      <c r="S374" s="174"/>
      <c r="T374" s="174"/>
      <c r="U374" s="174"/>
      <c r="V374" s="174"/>
      <c r="W374" s="191">
        <v>279.2663</v>
      </c>
      <c r="X374" s="174"/>
      <c r="Y374" s="174"/>
      <c r="Z374" s="174"/>
      <c r="AA374" s="174"/>
      <c r="AB374" s="174"/>
      <c r="AC374" s="200">
        <v>113954.61</v>
      </c>
      <c r="AD374" s="174"/>
      <c r="AE374" s="174"/>
    </row>
    <row r="375" spans="1:31" ht="28.9" customHeight="1" x14ac:dyDescent="0.2">
      <c r="A375" s="168" t="s">
        <v>746</v>
      </c>
      <c r="B375" s="179" t="s">
        <v>747</v>
      </c>
      <c r="C375" s="179"/>
      <c r="D375" s="179"/>
      <c r="E375" s="179"/>
      <c r="F375" s="179"/>
      <c r="G375" s="179"/>
      <c r="H375" s="179"/>
      <c r="I375" s="179"/>
      <c r="J375" s="179"/>
      <c r="K375" s="179"/>
      <c r="L375" s="179"/>
      <c r="M375" s="179"/>
      <c r="N375" s="179" t="s">
        <v>220</v>
      </c>
      <c r="O375" s="179"/>
      <c r="P375" s="179"/>
      <c r="Q375" s="173">
        <v>1417.55</v>
      </c>
      <c r="R375" s="174"/>
      <c r="S375" s="174"/>
      <c r="T375" s="174"/>
      <c r="U375" s="174"/>
      <c r="V375" s="174"/>
      <c r="W375" s="191">
        <v>309.8947</v>
      </c>
      <c r="X375" s="174"/>
      <c r="Y375" s="174"/>
      <c r="Z375" s="174"/>
      <c r="AA375" s="174"/>
      <c r="AB375" s="174"/>
      <c r="AC375" s="200">
        <v>439291.23</v>
      </c>
      <c r="AD375" s="174"/>
      <c r="AE375" s="174"/>
    </row>
    <row r="376" spans="1:31" ht="28.9" customHeight="1" x14ac:dyDescent="0.2">
      <c r="A376" s="168" t="s">
        <v>748</v>
      </c>
      <c r="B376" s="179" t="s">
        <v>647</v>
      </c>
      <c r="C376" s="179"/>
      <c r="D376" s="179"/>
      <c r="E376" s="179"/>
      <c r="F376" s="179"/>
      <c r="G376" s="179"/>
      <c r="H376" s="179"/>
      <c r="I376" s="179"/>
      <c r="J376" s="179"/>
      <c r="K376" s="179"/>
      <c r="L376" s="179"/>
      <c r="M376" s="179"/>
      <c r="N376" s="179" t="s">
        <v>220</v>
      </c>
      <c r="O376" s="179"/>
      <c r="P376" s="179"/>
      <c r="Q376" s="191">
        <v>127</v>
      </c>
      <c r="R376" s="174"/>
      <c r="S376" s="174"/>
      <c r="T376" s="174"/>
      <c r="U376" s="174"/>
      <c r="V376" s="174"/>
      <c r="W376" s="191">
        <v>222.34209999999999</v>
      </c>
      <c r="X376" s="174"/>
      <c r="Y376" s="174"/>
      <c r="Z376" s="174"/>
      <c r="AA376" s="174"/>
      <c r="AB376" s="174"/>
      <c r="AC376" s="196">
        <v>28237.45</v>
      </c>
      <c r="AD376" s="174"/>
      <c r="AE376" s="174"/>
    </row>
    <row r="377" spans="1:31" ht="28.9" customHeight="1" x14ac:dyDescent="0.2">
      <c r="A377" s="168" t="s">
        <v>749</v>
      </c>
      <c r="B377" s="179" t="s">
        <v>651</v>
      </c>
      <c r="C377" s="179"/>
      <c r="D377" s="179"/>
      <c r="E377" s="179"/>
      <c r="F377" s="179"/>
      <c r="G377" s="179"/>
      <c r="H377" s="179"/>
      <c r="I377" s="179"/>
      <c r="J377" s="179"/>
      <c r="K377" s="179"/>
      <c r="L377" s="179"/>
      <c r="M377" s="179"/>
      <c r="N377" s="179" t="s">
        <v>220</v>
      </c>
      <c r="O377" s="179"/>
      <c r="P377" s="179"/>
      <c r="Q377" s="173">
        <v>8343.56</v>
      </c>
      <c r="R377" s="174"/>
      <c r="S377" s="174"/>
      <c r="T377" s="174"/>
      <c r="U377" s="174"/>
      <c r="V377" s="174"/>
      <c r="W377" s="191">
        <v>257.4615</v>
      </c>
      <c r="X377" s="174"/>
      <c r="Y377" s="174"/>
      <c r="Z377" s="174"/>
      <c r="AA377" s="174"/>
      <c r="AB377" s="174"/>
      <c r="AC377" s="175">
        <v>2148145.4700000002</v>
      </c>
      <c r="AD377" s="174"/>
      <c r="AE377" s="174"/>
    </row>
    <row r="378" spans="1:31" ht="28.9" customHeight="1" x14ac:dyDescent="0.2">
      <c r="A378" s="168" t="s">
        <v>750</v>
      </c>
      <c r="B378" s="179" t="s">
        <v>653</v>
      </c>
      <c r="C378" s="179"/>
      <c r="D378" s="179"/>
      <c r="E378" s="179"/>
      <c r="F378" s="179"/>
      <c r="G378" s="179"/>
      <c r="H378" s="179"/>
      <c r="I378" s="179"/>
      <c r="J378" s="179"/>
      <c r="K378" s="179"/>
      <c r="L378" s="179"/>
      <c r="M378" s="179"/>
      <c r="N378" s="179" t="s">
        <v>220</v>
      </c>
      <c r="O378" s="179"/>
      <c r="P378" s="179"/>
      <c r="Q378" s="173">
        <v>1328.3</v>
      </c>
      <c r="R378" s="174"/>
      <c r="S378" s="174"/>
      <c r="T378" s="174"/>
      <c r="U378" s="174"/>
      <c r="V378" s="174"/>
      <c r="W378" s="191">
        <v>159.1369</v>
      </c>
      <c r="X378" s="174"/>
      <c r="Y378" s="174"/>
      <c r="Z378" s="174"/>
      <c r="AA378" s="174"/>
      <c r="AB378" s="174"/>
      <c r="AC378" s="200">
        <v>211381.54</v>
      </c>
      <c r="AD378" s="174"/>
      <c r="AE378" s="174"/>
    </row>
    <row r="379" spans="1:31" ht="28.9" customHeight="1" x14ac:dyDescent="0.2">
      <c r="A379" s="168" t="s">
        <v>751</v>
      </c>
      <c r="B379" s="179" t="s">
        <v>752</v>
      </c>
      <c r="C379" s="179"/>
      <c r="D379" s="179"/>
      <c r="E379" s="179"/>
      <c r="F379" s="179"/>
      <c r="G379" s="179"/>
      <c r="H379" s="179"/>
      <c r="I379" s="179"/>
      <c r="J379" s="179"/>
      <c r="K379" s="179"/>
      <c r="L379" s="179"/>
      <c r="M379" s="179"/>
      <c r="N379" s="179" t="s">
        <v>220</v>
      </c>
      <c r="O379" s="179"/>
      <c r="P379" s="179"/>
      <c r="Q379" s="191">
        <v>537.05999999999995</v>
      </c>
      <c r="R379" s="174"/>
      <c r="S379" s="174"/>
      <c r="T379" s="174"/>
      <c r="U379" s="174"/>
      <c r="V379" s="174"/>
      <c r="W379" s="191">
        <v>181.2627</v>
      </c>
      <c r="X379" s="174"/>
      <c r="Y379" s="174"/>
      <c r="Z379" s="174"/>
      <c r="AA379" s="174"/>
      <c r="AB379" s="174"/>
      <c r="AC379" s="196">
        <v>97348.95</v>
      </c>
      <c r="AD379" s="174"/>
      <c r="AE379" s="174"/>
    </row>
    <row r="380" spans="1:31" ht="28.9" customHeight="1" x14ac:dyDescent="0.2">
      <c r="A380" s="168" t="s">
        <v>753</v>
      </c>
      <c r="B380" s="179" t="s">
        <v>754</v>
      </c>
      <c r="C380" s="179"/>
      <c r="D380" s="179"/>
      <c r="E380" s="179"/>
      <c r="F380" s="179"/>
      <c r="G380" s="179"/>
      <c r="H380" s="179"/>
      <c r="I380" s="179"/>
      <c r="J380" s="179"/>
      <c r="K380" s="179"/>
      <c r="L380" s="179"/>
      <c r="M380" s="179"/>
      <c r="N380" s="179" t="s">
        <v>220</v>
      </c>
      <c r="O380" s="179"/>
      <c r="P380" s="179"/>
      <c r="Q380" s="191">
        <v>870.73</v>
      </c>
      <c r="R380" s="174"/>
      <c r="S380" s="174"/>
      <c r="T380" s="174"/>
      <c r="U380" s="174"/>
      <c r="V380" s="174"/>
      <c r="W380" s="191">
        <v>154.70939999999999</v>
      </c>
      <c r="X380" s="174"/>
      <c r="Y380" s="174"/>
      <c r="Z380" s="174"/>
      <c r="AA380" s="174"/>
      <c r="AB380" s="174"/>
      <c r="AC380" s="200">
        <v>134710.12</v>
      </c>
      <c r="AD380" s="174"/>
      <c r="AE380" s="174"/>
    </row>
    <row r="381" spans="1:31" ht="28.9" customHeight="1" x14ac:dyDescent="0.2">
      <c r="A381" s="168" t="s">
        <v>755</v>
      </c>
      <c r="B381" s="179" t="s">
        <v>655</v>
      </c>
      <c r="C381" s="179"/>
      <c r="D381" s="179"/>
      <c r="E381" s="179"/>
      <c r="F381" s="179"/>
      <c r="G381" s="179"/>
      <c r="H381" s="179"/>
      <c r="I381" s="179"/>
      <c r="J381" s="179"/>
      <c r="K381" s="179"/>
      <c r="L381" s="179"/>
      <c r="M381" s="179"/>
      <c r="N381" s="179" t="s">
        <v>220</v>
      </c>
      <c r="O381" s="179"/>
      <c r="P381" s="179"/>
      <c r="Q381" s="173">
        <v>3743.1</v>
      </c>
      <c r="R381" s="174"/>
      <c r="S381" s="174"/>
      <c r="T381" s="174"/>
      <c r="U381" s="174"/>
      <c r="V381" s="174"/>
      <c r="W381" s="191">
        <v>279.44920000000002</v>
      </c>
      <c r="X381" s="174"/>
      <c r="Y381" s="174"/>
      <c r="Z381" s="174"/>
      <c r="AA381" s="174"/>
      <c r="AB381" s="174"/>
      <c r="AC381" s="175">
        <v>1046006.3</v>
      </c>
      <c r="AD381" s="174"/>
      <c r="AE381" s="174"/>
    </row>
    <row r="382" spans="1:31" ht="28.9" customHeight="1" x14ac:dyDescent="0.2">
      <c r="A382" s="168" t="s">
        <v>756</v>
      </c>
      <c r="B382" s="179" t="s">
        <v>657</v>
      </c>
      <c r="C382" s="179"/>
      <c r="D382" s="179"/>
      <c r="E382" s="179"/>
      <c r="F382" s="179"/>
      <c r="G382" s="179"/>
      <c r="H382" s="179"/>
      <c r="I382" s="179"/>
      <c r="J382" s="179"/>
      <c r="K382" s="179"/>
      <c r="L382" s="179"/>
      <c r="M382" s="179"/>
      <c r="N382" s="179" t="s">
        <v>220</v>
      </c>
      <c r="O382" s="179"/>
      <c r="P382" s="179"/>
      <c r="Q382" s="173">
        <v>4241.51</v>
      </c>
      <c r="R382" s="174"/>
      <c r="S382" s="174"/>
      <c r="T382" s="174"/>
      <c r="U382" s="174"/>
      <c r="V382" s="174"/>
      <c r="W382" s="191">
        <v>166.46680000000001</v>
      </c>
      <c r="X382" s="174"/>
      <c r="Y382" s="174"/>
      <c r="Z382" s="174"/>
      <c r="AA382" s="174"/>
      <c r="AB382" s="174"/>
      <c r="AC382" s="200">
        <v>706070.6</v>
      </c>
      <c r="AD382" s="174"/>
      <c r="AE382" s="174"/>
    </row>
    <row r="383" spans="1:31" ht="28.9" customHeight="1" x14ac:dyDescent="0.2">
      <c r="A383" s="168" t="s">
        <v>757</v>
      </c>
      <c r="B383" s="179" t="s">
        <v>659</v>
      </c>
      <c r="C383" s="179"/>
      <c r="D383" s="179"/>
      <c r="E383" s="179"/>
      <c r="F383" s="179"/>
      <c r="G383" s="179"/>
      <c r="H383" s="179"/>
      <c r="I383" s="179"/>
      <c r="J383" s="179"/>
      <c r="K383" s="179"/>
      <c r="L383" s="179"/>
      <c r="M383" s="179"/>
      <c r="N383" s="179" t="s">
        <v>220</v>
      </c>
      <c r="O383" s="179"/>
      <c r="P383" s="179"/>
      <c r="Q383" s="191">
        <v>275.08</v>
      </c>
      <c r="R383" s="174"/>
      <c r="S383" s="174"/>
      <c r="T383" s="174"/>
      <c r="U383" s="174"/>
      <c r="V383" s="174"/>
      <c r="W383" s="191">
        <v>284.05950000000001</v>
      </c>
      <c r="X383" s="174"/>
      <c r="Y383" s="174"/>
      <c r="Z383" s="174"/>
      <c r="AA383" s="174"/>
      <c r="AB383" s="174"/>
      <c r="AC383" s="196">
        <v>78139.09</v>
      </c>
      <c r="AD383" s="174"/>
      <c r="AE383" s="174"/>
    </row>
    <row r="384" spans="1:31" ht="28.9" customHeight="1" x14ac:dyDescent="0.2">
      <c r="A384" s="168" t="s">
        <v>758</v>
      </c>
      <c r="B384" s="179" t="s">
        <v>661</v>
      </c>
      <c r="C384" s="179"/>
      <c r="D384" s="179"/>
      <c r="E384" s="179"/>
      <c r="F384" s="179"/>
      <c r="G384" s="179"/>
      <c r="H384" s="179"/>
      <c r="I384" s="179"/>
      <c r="J384" s="179"/>
      <c r="K384" s="179"/>
      <c r="L384" s="179"/>
      <c r="M384" s="179"/>
      <c r="N384" s="179" t="s">
        <v>220</v>
      </c>
      <c r="O384" s="179"/>
      <c r="P384" s="179"/>
      <c r="Q384" s="173">
        <v>2584.8000000000002</v>
      </c>
      <c r="R384" s="174"/>
      <c r="S384" s="174"/>
      <c r="T384" s="174"/>
      <c r="U384" s="174"/>
      <c r="V384" s="174"/>
      <c r="W384" s="191">
        <v>222.52500000000001</v>
      </c>
      <c r="X384" s="174"/>
      <c r="Y384" s="174"/>
      <c r="Z384" s="174"/>
      <c r="AA384" s="174"/>
      <c r="AB384" s="174"/>
      <c r="AC384" s="200">
        <v>575182.62</v>
      </c>
      <c r="AD384" s="174"/>
      <c r="AE384" s="174"/>
    </row>
    <row r="385" spans="1:31" ht="28.9" customHeight="1" x14ac:dyDescent="0.2">
      <c r="A385" s="168" t="s">
        <v>759</v>
      </c>
      <c r="B385" s="179" t="s">
        <v>663</v>
      </c>
      <c r="C385" s="179"/>
      <c r="D385" s="179"/>
      <c r="E385" s="179"/>
      <c r="F385" s="179"/>
      <c r="G385" s="179"/>
      <c r="H385" s="179"/>
      <c r="I385" s="179"/>
      <c r="J385" s="179"/>
      <c r="K385" s="179"/>
      <c r="L385" s="179"/>
      <c r="M385" s="179"/>
      <c r="N385" s="179" t="s">
        <v>220</v>
      </c>
      <c r="O385" s="179"/>
      <c r="P385" s="179"/>
      <c r="Q385" s="173">
        <v>2460.83</v>
      </c>
      <c r="R385" s="174"/>
      <c r="S385" s="174"/>
      <c r="T385" s="174"/>
      <c r="U385" s="174"/>
      <c r="V385" s="174"/>
      <c r="W385" s="191">
        <v>186.5616</v>
      </c>
      <c r="X385" s="174"/>
      <c r="Y385" s="174"/>
      <c r="Z385" s="174"/>
      <c r="AA385" s="174"/>
      <c r="AB385" s="174"/>
      <c r="AC385" s="200">
        <v>459096.38</v>
      </c>
      <c r="AD385" s="174"/>
      <c r="AE385" s="174"/>
    </row>
    <row r="386" spans="1:31" ht="28.9" customHeight="1" x14ac:dyDescent="0.2">
      <c r="A386" s="168" t="s">
        <v>760</v>
      </c>
      <c r="B386" s="179" t="s">
        <v>761</v>
      </c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 t="s">
        <v>220</v>
      </c>
      <c r="O386" s="179"/>
      <c r="P386" s="179"/>
      <c r="Q386" s="173">
        <v>2406.48</v>
      </c>
      <c r="R386" s="174"/>
      <c r="S386" s="174"/>
      <c r="T386" s="174"/>
      <c r="U386" s="174"/>
      <c r="V386" s="174"/>
      <c r="W386" s="191">
        <v>304.15429999999998</v>
      </c>
      <c r="X386" s="174"/>
      <c r="Y386" s="174"/>
      <c r="Z386" s="174"/>
      <c r="AA386" s="174"/>
      <c r="AB386" s="174"/>
      <c r="AC386" s="200">
        <v>731941.24</v>
      </c>
      <c r="AD386" s="174"/>
      <c r="AE386" s="174"/>
    </row>
    <row r="387" spans="1:31" ht="28.9" customHeight="1" x14ac:dyDescent="0.2">
      <c r="A387" s="168" t="s">
        <v>762</v>
      </c>
      <c r="B387" s="179" t="s">
        <v>667</v>
      </c>
      <c r="C387" s="179"/>
      <c r="D387" s="179"/>
      <c r="E387" s="179"/>
      <c r="F387" s="179"/>
      <c r="G387" s="179"/>
      <c r="H387" s="179"/>
      <c r="I387" s="179"/>
      <c r="J387" s="179"/>
      <c r="K387" s="179"/>
      <c r="L387" s="179"/>
      <c r="M387" s="179"/>
      <c r="N387" s="179" t="s">
        <v>220</v>
      </c>
      <c r="O387" s="179"/>
      <c r="P387" s="179"/>
      <c r="Q387" s="191">
        <v>556.66</v>
      </c>
      <c r="R387" s="174"/>
      <c r="S387" s="174"/>
      <c r="T387" s="174"/>
      <c r="U387" s="174"/>
      <c r="V387" s="174"/>
      <c r="W387" s="191">
        <v>159.31979999999999</v>
      </c>
      <c r="X387" s="174"/>
      <c r="Y387" s="174"/>
      <c r="Z387" s="174"/>
      <c r="AA387" s="174"/>
      <c r="AB387" s="174"/>
      <c r="AC387" s="196">
        <v>88686.96</v>
      </c>
      <c r="AD387" s="174"/>
      <c r="AE387" s="174"/>
    </row>
    <row r="388" spans="1:31" ht="38.65" customHeight="1" x14ac:dyDescent="0.2">
      <c r="A388" s="168" t="s">
        <v>763</v>
      </c>
      <c r="B388" s="179" t="s">
        <v>665</v>
      </c>
      <c r="C388" s="179"/>
      <c r="D388" s="179"/>
      <c r="E388" s="179"/>
      <c r="F388" s="179"/>
      <c r="G388" s="179"/>
      <c r="H388" s="179"/>
      <c r="I388" s="179"/>
      <c r="J388" s="179"/>
      <c r="K388" s="179"/>
      <c r="L388" s="179"/>
      <c r="M388" s="179"/>
      <c r="N388" s="179" t="s">
        <v>220</v>
      </c>
      <c r="O388" s="179"/>
      <c r="P388" s="179"/>
      <c r="Q388" s="191">
        <v>600.47</v>
      </c>
      <c r="R388" s="174"/>
      <c r="S388" s="174"/>
      <c r="T388" s="174"/>
      <c r="U388" s="174"/>
      <c r="V388" s="174"/>
      <c r="W388" s="191">
        <v>191.172</v>
      </c>
      <c r="X388" s="174"/>
      <c r="Y388" s="174"/>
      <c r="Z388" s="174"/>
      <c r="AA388" s="174"/>
      <c r="AB388" s="174"/>
      <c r="AC388" s="200">
        <v>114793.05</v>
      </c>
      <c r="AD388" s="174"/>
      <c r="AE388" s="174"/>
    </row>
    <row r="389" spans="1:31" ht="28.9" customHeight="1" x14ac:dyDescent="0.2">
      <c r="A389" s="168" t="s">
        <v>764</v>
      </c>
      <c r="B389" s="179" t="s">
        <v>669</v>
      </c>
      <c r="C389" s="179"/>
      <c r="D389" s="179"/>
      <c r="E389" s="179"/>
      <c r="F389" s="179"/>
      <c r="G389" s="179"/>
      <c r="H389" s="179"/>
      <c r="I389" s="179"/>
      <c r="J389" s="179"/>
      <c r="K389" s="179"/>
      <c r="L389" s="179"/>
      <c r="M389" s="179"/>
      <c r="N389" s="179" t="s">
        <v>220</v>
      </c>
      <c r="O389" s="179"/>
      <c r="P389" s="179"/>
      <c r="Q389" s="191">
        <v>654.51</v>
      </c>
      <c r="R389" s="174"/>
      <c r="S389" s="174"/>
      <c r="T389" s="174"/>
      <c r="U389" s="174"/>
      <c r="V389" s="174"/>
      <c r="W389" s="191">
        <v>190.5342</v>
      </c>
      <c r="X389" s="174"/>
      <c r="Y389" s="174"/>
      <c r="Z389" s="174"/>
      <c r="AA389" s="174"/>
      <c r="AB389" s="174"/>
      <c r="AC389" s="200">
        <v>124706.54</v>
      </c>
      <c r="AD389" s="174"/>
      <c r="AE389" s="174"/>
    </row>
    <row r="390" spans="1:31" ht="28.9" customHeight="1" x14ac:dyDescent="0.2">
      <c r="A390" s="168" t="s">
        <v>765</v>
      </c>
      <c r="B390" s="179" t="s">
        <v>671</v>
      </c>
      <c r="C390" s="179"/>
      <c r="D390" s="179"/>
      <c r="E390" s="179"/>
      <c r="F390" s="179"/>
      <c r="G390" s="179"/>
      <c r="H390" s="179"/>
      <c r="I390" s="179"/>
      <c r="J390" s="179"/>
      <c r="K390" s="179"/>
      <c r="L390" s="179"/>
      <c r="M390" s="179"/>
      <c r="N390" s="179" t="s">
        <v>220</v>
      </c>
      <c r="O390" s="179"/>
      <c r="P390" s="179"/>
      <c r="Q390" s="173">
        <v>3657.58</v>
      </c>
      <c r="R390" s="174"/>
      <c r="S390" s="174"/>
      <c r="T390" s="174"/>
      <c r="U390" s="174"/>
      <c r="V390" s="174"/>
      <c r="W390" s="202">
        <v>77.5518</v>
      </c>
      <c r="X390" s="174"/>
      <c r="Y390" s="174"/>
      <c r="Z390" s="174"/>
      <c r="AA390" s="174"/>
      <c r="AB390" s="174"/>
      <c r="AC390" s="200">
        <v>283651.90999999997</v>
      </c>
      <c r="AD390" s="174"/>
      <c r="AE390" s="174"/>
    </row>
    <row r="391" spans="1:31" ht="9.6" customHeight="1" x14ac:dyDescent="0.2">
      <c r="A391" s="168" t="s">
        <v>766</v>
      </c>
      <c r="B391" s="179" t="s">
        <v>673</v>
      </c>
      <c r="C391" s="179"/>
      <c r="D391" s="179"/>
      <c r="E391" s="179"/>
      <c r="F391" s="179"/>
      <c r="G391" s="179"/>
      <c r="H391" s="179"/>
      <c r="I391" s="179"/>
      <c r="J391" s="179"/>
      <c r="K391" s="179"/>
      <c r="L391" s="179"/>
      <c r="M391" s="179"/>
      <c r="N391" s="179" t="s">
        <v>220</v>
      </c>
      <c r="O391" s="179"/>
      <c r="P391" s="179"/>
      <c r="Q391" s="173">
        <v>1534.4</v>
      </c>
      <c r="R391" s="174"/>
      <c r="S391" s="174"/>
      <c r="T391" s="174"/>
      <c r="U391" s="174"/>
      <c r="V391" s="174"/>
      <c r="W391" s="202">
        <v>27.966100000000001</v>
      </c>
      <c r="X391" s="174"/>
      <c r="Y391" s="174"/>
      <c r="Z391" s="174"/>
      <c r="AA391" s="174"/>
      <c r="AB391" s="174"/>
      <c r="AC391" s="196">
        <v>42911.18</v>
      </c>
      <c r="AD391" s="174"/>
      <c r="AE391" s="174"/>
    </row>
    <row r="392" spans="1:31" ht="19.350000000000001" customHeight="1" x14ac:dyDescent="0.2">
      <c r="A392" s="168" t="s">
        <v>767</v>
      </c>
      <c r="B392" s="179" t="s">
        <v>675</v>
      </c>
      <c r="C392" s="179"/>
      <c r="D392" s="179"/>
      <c r="E392" s="179"/>
      <c r="F392" s="179"/>
      <c r="G392" s="179"/>
      <c r="H392" s="179"/>
      <c r="I392" s="179"/>
      <c r="J392" s="179"/>
      <c r="K392" s="179"/>
      <c r="L392" s="179"/>
      <c r="M392" s="179"/>
      <c r="N392" s="179" t="s">
        <v>220</v>
      </c>
      <c r="O392" s="179"/>
      <c r="P392" s="179"/>
      <c r="Q392" s="202">
        <v>56.06</v>
      </c>
      <c r="R392" s="174"/>
      <c r="S392" s="174"/>
      <c r="T392" s="174"/>
      <c r="U392" s="174"/>
      <c r="V392" s="174"/>
      <c r="W392" s="202">
        <v>32.576500000000003</v>
      </c>
      <c r="X392" s="174"/>
      <c r="Y392" s="174"/>
      <c r="Z392" s="174"/>
      <c r="AA392" s="174"/>
      <c r="AB392" s="174"/>
      <c r="AC392" s="201">
        <v>1826.24</v>
      </c>
      <c r="AD392" s="174"/>
      <c r="AE392" s="174"/>
    </row>
    <row r="393" spans="1:31" ht="9.6" customHeight="1" x14ac:dyDescent="0.2">
      <c r="A393" s="168" t="s">
        <v>768</v>
      </c>
      <c r="B393" s="179" t="s">
        <v>677</v>
      </c>
      <c r="C393" s="179"/>
      <c r="D393" s="179"/>
      <c r="E393" s="179"/>
      <c r="F393" s="179"/>
      <c r="G393" s="179"/>
      <c r="H393" s="179"/>
      <c r="I393" s="179"/>
      <c r="J393" s="179"/>
      <c r="K393" s="179"/>
      <c r="L393" s="179"/>
      <c r="M393" s="179"/>
      <c r="N393" s="179" t="s">
        <v>220</v>
      </c>
      <c r="O393" s="179"/>
      <c r="P393" s="179"/>
      <c r="Q393" s="191">
        <v>213.85</v>
      </c>
      <c r="R393" s="174"/>
      <c r="S393" s="174"/>
      <c r="T393" s="174"/>
      <c r="U393" s="174"/>
      <c r="V393" s="174"/>
      <c r="W393" s="202">
        <v>36.956899999999997</v>
      </c>
      <c r="X393" s="174"/>
      <c r="Y393" s="174"/>
      <c r="Z393" s="174"/>
      <c r="AA393" s="174"/>
      <c r="AB393" s="174"/>
      <c r="AC393" s="201">
        <v>7903.23</v>
      </c>
      <c r="AD393" s="174"/>
      <c r="AE393" s="174"/>
    </row>
    <row r="394" spans="1:31" ht="9.75" customHeight="1" x14ac:dyDescent="0.2">
      <c r="A394" s="167" t="s">
        <v>769</v>
      </c>
      <c r="B394" s="176" t="s">
        <v>681</v>
      </c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7"/>
      <c r="R394" s="177"/>
      <c r="S394" s="177"/>
      <c r="T394" s="177"/>
      <c r="U394" s="177"/>
      <c r="V394" s="177"/>
      <c r="W394" s="177"/>
      <c r="X394" s="177"/>
      <c r="Y394" s="177"/>
      <c r="Z394" s="177"/>
      <c r="AA394" s="177"/>
      <c r="AB394" s="177"/>
      <c r="AC394" s="178">
        <v>2294498.7000000002</v>
      </c>
      <c r="AD394" s="177"/>
      <c r="AE394" s="177"/>
    </row>
    <row r="395" spans="1:31" ht="28.9" customHeight="1" x14ac:dyDescent="0.2">
      <c r="A395" s="168" t="s">
        <v>770</v>
      </c>
      <c r="B395" s="179" t="s">
        <v>771</v>
      </c>
      <c r="C395" s="179"/>
      <c r="D395" s="179"/>
      <c r="E395" s="179"/>
      <c r="F395" s="179"/>
      <c r="G395" s="179"/>
      <c r="H395" s="179"/>
      <c r="I395" s="179"/>
      <c r="J395" s="179"/>
      <c r="K395" s="179"/>
      <c r="L395" s="179"/>
      <c r="M395" s="179"/>
      <c r="N395" s="179" t="s">
        <v>220</v>
      </c>
      <c r="O395" s="179"/>
      <c r="P395" s="179"/>
      <c r="Q395" s="191">
        <v>801.26</v>
      </c>
      <c r="R395" s="174"/>
      <c r="S395" s="174"/>
      <c r="T395" s="174"/>
      <c r="U395" s="174"/>
      <c r="V395" s="174"/>
      <c r="W395" s="191">
        <v>185.10659999999999</v>
      </c>
      <c r="X395" s="174"/>
      <c r="Y395" s="174"/>
      <c r="Z395" s="174"/>
      <c r="AA395" s="174"/>
      <c r="AB395" s="174"/>
      <c r="AC395" s="200">
        <v>148318.51</v>
      </c>
      <c r="AD395" s="174"/>
      <c r="AE395" s="174"/>
    </row>
    <row r="396" spans="1:31" ht="28.9" customHeight="1" x14ac:dyDescent="0.2">
      <c r="A396" s="168" t="s">
        <v>772</v>
      </c>
      <c r="B396" s="179" t="s">
        <v>773</v>
      </c>
      <c r="C396" s="179"/>
      <c r="D396" s="179"/>
      <c r="E396" s="179"/>
      <c r="F396" s="179"/>
      <c r="G396" s="179"/>
      <c r="H396" s="179"/>
      <c r="I396" s="179"/>
      <c r="J396" s="179"/>
      <c r="K396" s="179"/>
      <c r="L396" s="179"/>
      <c r="M396" s="179"/>
      <c r="N396" s="179" t="s">
        <v>220</v>
      </c>
      <c r="O396" s="179"/>
      <c r="P396" s="179"/>
      <c r="Q396" s="202">
        <v>50.71</v>
      </c>
      <c r="R396" s="174"/>
      <c r="S396" s="174"/>
      <c r="T396" s="174"/>
      <c r="U396" s="174"/>
      <c r="V396" s="174"/>
      <c r="W396" s="191">
        <v>240.45500000000001</v>
      </c>
      <c r="X396" s="174"/>
      <c r="Y396" s="174"/>
      <c r="Z396" s="174"/>
      <c r="AA396" s="174"/>
      <c r="AB396" s="174"/>
      <c r="AC396" s="196">
        <v>12193.47</v>
      </c>
      <c r="AD396" s="174"/>
      <c r="AE396" s="174"/>
    </row>
    <row r="397" spans="1:31" ht="28.9" customHeight="1" x14ac:dyDescent="0.2">
      <c r="A397" s="168" t="s">
        <v>774</v>
      </c>
      <c r="B397" s="179" t="s">
        <v>685</v>
      </c>
      <c r="C397" s="179"/>
      <c r="D397" s="179"/>
      <c r="E397" s="179"/>
      <c r="F397" s="179"/>
      <c r="G397" s="179"/>
      <c r="H397" s="179"/>
      <c r="I397" s="179"/>
      <c r="J397" s="179"/>
      <c r="K397" s="179"/>
      <c r="L397" s="179"/>
      <c r="M397" s="179"/>
      <c r="N397" s="179" t="s">
        <v>220</v>
      </c>
      <c r="O397" s="179"/>
      <c r="P397" s="179"/>
      <c r="Q397" s="191">
        <v>584.94000000000005</v>
      </c>
      <c r="R397" s="174"/>
      <c r="S397" s="174"/>
      <c r="T397" s="174"/>
      <c r="U397" s="174"/>
      <c r="V397" s="174"/>
      <c r="W397" s="191">
        <v>306.22539999999998</v>
      </c>
      <c r="X397" s="174"/>
      <c r="Y397" s="174"/>
      <c r="Z397" s="174"/>
      <c r="AA397" s="174"/>
      <c r="AB397" s="174"/>
      <c r="AC397" s="200">
        <v>179123.49</v>
      </c>
      <c r="AD397" s="174"/>
      <c r="AE397" s="174"/>
    </row>
    <row r="398" spans="1:31" ht="28.9" customHeight="1" x14ac:dyDescent="0.2">
      <c r="A398" s="168" t="s">
        <v>775</v>
      </c>
      <c r="B398" s="179" t="s">
        <v>687</v>
      </c>
      <c r="C398" s="179"/>
      <c r="D398" s="179"/>
      <c r="E398" s="179"/>
      <c r="F398" s="179"/>
      <c r="G398" s="179"/>
      <c r="H398" s="179"/>
      <c r="I398" s="179"/>
      <c r="J398" s="179"/>
      <c r="K398" s="179"/>
      <c r="L398" s="179"/>
      <c r="M398" s="179"/>
      <c r="N398" s="179" t="s">
        <v>220</v>
      </c>
      <c r="O398" s="179"/>
      <c r="P398" s="179"/>
      <c r="Q398" s="173">
        <v>2286.9899999999998</v>
      </c>
      <c r="R398" s="174"/>
      <c r="S398" s="174"/>
      <c r="T398" s="174"/>
      <c r="U398" s="174"/>
      <c r="V398" s="174"/>
      <c r="W398" s="191">
        <v>308.96710000000002</v>
      </c>
      <c r="X398" s="174"/>
      <c r="Y398" s="174"/>
      <c r="Z398" s="174"/>
      <c r="AA398" s="174"/>
      <c r="AB398" s="174"/>
      <c r="AC398" s="200">
        <v>706604.67</v>
      </c>
      <c r="AD398" s="174"/>
      <c r="AE398" s="174"/>
    </row>
    <row r="399" spans="1:31" ht="28.9" customHeight="1" x14ac:dyDescent="0.2">
      <c r="A399" s="168" t="s">
        <v>776</v>
      </c>
      <c r="B399" s="179" t="s">
        <v>683</v>
      </c>
      <c r="C399" s="179"/>
      <c r="D399" s="179"/>
      <c r="E399" s="179"/>
      <c r="F399" s="179"/>
      <c r="G399" s="179"/>
      <c r="H399" s="179"/>
      <c r="I399" s="179"/>
      <c r="J399" s="179"/>
      <c r="K399" s="179"/>
      <c r="L399" s="179"/>
      <c r="M399" s="179"/>
      <c r="N399" s="179" t="s">
        <v>220</v>
      </c>
      <c r="O399" s="179"/>
      <c r="P399" s="179"/>
      <c r="Q399" s="191">
        <v>837.85</v>
      </c>
      <c r="R399" s="174"/>
      <c r="S399" s="174"/>
      <c r="T399" s="174"/>
      <c r="U399" s="174"/>
      <c r="V399" s="174"/>
      <c r="W399" s="191">
        <v>304.35669999999999</v>
      </c>
      <c r="X399" s="174"/>
      <c r="Y399" s="174"/>
      <c r="Z399" s="174"/>
      <c r="AA399" s="174"/>
      <c r="AB399" s="174"/>
      <c r="AC399" s="200">
        <v>255005.26</v>
      </c>
      <c r="AD399" s="174"/>
      <c r="AE399" s="174"/>
    </row>
    <row r="400" spans="1:31" ht="28.9" customHeight="1" x14ac:dyDescent="0.2">
      <c r="A400" s="168" t="s">
        <v>777</v>
      </c>
      <c r="B400" s="179" t="s">
        <v>689</v>
      </c>
      <c r="C400" s="179"/>
      <c r="D400" s="179"/>
      <c r="E400" s="179"/>
      <c r="F400" s="179"/>
      <c r="G400" s="179"/>
      <c r="H400" s="179"/>
      <c r="I400" s="179"/>
      <c r="J400" s="179"/>
      <c r="K400" s="179"/>
      <c r="L400" s="179"/>
      <c r="M400" s="179"/>
      <c r="N400" s="179" t="s">
        <v>220</v>
      </c>
      <c r="O400" s="179"/>
      <c r="P400" s="179"/>
      <c r="Q400" s="202">
        <v>19.809999999999999</v>
      </c>
      <c r="R400" s="174"/>
      <c r="S400" s="174"/>
      <c r="T400" s="174"/>
      <c r="U400" s="174"/>
      <c r="V400" s="174"/>
      <c r="W400" s="191">
        <v>404.3109</v>
      </c>
      <c r="X400" s="174"/>
      <c r="Y400" s="174"/>
      <c r="Z400" s="174"/>
      <c r="AA400" s="174"/>
      <c r="AB400" s="174"/>
      <c r="AC400" s="201">
        <v>8009.4</v>
      </c>
      <c r="AD400" s="174"/>
      <c r="AE400" s="174"/>
    </row>
    <row r="401" spans="1:31" ht="28.9" customHeight="1" x14ac:dyDescent="0.2">
      <c r="A401" s="168" t="s">
        <v>778</v>
      </c>
      <c r="B401" s="179" t="s">
        <v>779</v>
      </c>
      <c r="C401" s="179"/>
      <c r="D401" s="179"/>
      <c r="E401" s="179"/>
      <c r="F401" s="179"/>
      <c r="G401" s="179"/>
      <c r="H401" s="179"/>
      <c r="I401" s="179"/>
      <c r="J401" s="179"/>
      <c r="K401" s="179"/>
      <c r="L401" s="179"/>
      <c r="M401" s="179"/>
      <c r="N401" s="179" t="s">
        <v>220</v>
      </c>
      <c r="O401" s="179"/>
      <c r="P401" s="179"/>
      <c r="Q401" s="191">
        <v>541.97</v>
      </c>
      <c r="R401" s="174"/>
      <c r="S401" s="174"/>
      <c r="T401" s="174"/>
      <c r="U401" s="174"/>
      <c r="V401" s="174"/>
      <c r="W401" s="191">
        <v>357.57870000000003</v>
      </c>
      <c r="X401" s="174"/>
      <c r="Y401" s="174"/>
      <c r="Z401" s="174"/>
      <c r="AA401" s="174"/>
      <c r="AB401" s="174"/>
      <c r="AC401" s="200">
        <v>193796.93</v>
      </c>
      <c r="AD401" s="174"/>
      <c r="AE401" s="174"/>
    </row>
    <row r="402" spans="1:31" ht="28.9" customHeight="1" x14ac:dyDescent="0.2">
      <c r="A402" s="168" t="s">
        <v>780</v>
      </c>
      <c r="B402" s="179" t="s">
        <v>691</v>
      </c>
      <c r="C402" s="179"/>
      <c r="D402" s="179"/>
      <c r="E402" s="179"/>
      <c r="F402" s="179"/>
      <c r="G402" s="179"/>
      <c r="H402" s="179"/>
      <c r="I402" s="179"/>
      <c r="J402" s="179"/>
      <c r="K402" s="179"/>
      <c r="L402" s="179"/>
      <c r="M402" s="179"/>
      <c r="N402" s="179" t="s">
        <v>220</v>
      </c>
      <c r="O402" s="179"/>
      <c r="P402" s="179"/>
      <c r="Q402" s="173">
        <v>2164.19</v>
      </c>
      <c r="R402" s="174"/>
      <c r="S402" s="174"/>
      <c r="T402" s="174"/>
      <c r="U402" s="174"/>
      <c r="V402" s="174"/>
      <c r="W402" s="191">
        <v>348.58789999999999</v>
      </c>
      <c r="X402" s="174"/>
      <c r="Y402" s="174"/>
      <c r="Z402" s="174"/>
      <c r="AA402" s="174"/>
      <c r="AB402" s="174"/>
      <c r="AC402" s="200">
        <v>754410.45</v>
      </c>
      <c r="AD402" s="174"/>
      <c r="AE402" s="174"/>
    </row>
    <row r="403" spans="1:31" ht="38.65" customHeight="1" x14ac:dyDescent="0.2">
      <c r="A403" s="168" t="s">
        <v>781</v>
      </c>
      <c r="B403" s="179" t="s">
        <v>782</v>
      </c>
      <c r="C403" s="179"/>
      <c r="D403" s="179"/>
      <c r="E403" s="179"/>
      <c r="F403" s="179"/>
      <c r="G403" s="179"/>
      <c r="H403" s="179"/>
      <c r="I403" s="179"/>
      <c r="J403" s="179"/>
      <c r="K403" s="179"/>
      <c r="L403" s="179"/>
      <c r="M403" s="179"/>
      <c r="N403" s="179" t="s">
        <v>220</v>
      </c>
      <c r="O403" s="179"/>
      <c r="P403" s="179"/>
      <c r="Q403" s="202">
        <v>98.34</v>
      </c>
      <c r="R403" s="174"/>
      <c r="S403" s="174"/>
      <c r="T403" s="174"/>
      <c r="U403" s="174"/>
      <c r="V403" s="174"/>
      <c r="W403" s="191">
        <v>376.61700000000002</v>
      </c>
      <c r="X403" s="174"/>
      <c r="Y403" s="174"/>
      <c r="Z403" s="174"/>
      <c r="AA403" s="174"/>
      <c r="AB403" s="174"/>
      <c r="AC403" s="196">
        <v>37036.519999999997</v>
      </c>
      <c r="AD403" s="174"/>
      <c r="AE403" s="174"/>
    </row>
    <row r="404" spans="1:31" ht="9.75" customHeight="1" x14ac:dyDescent="0.2">
      <c r="A404" s="167" t="s">
        <v>783</v>
      </c>
      <c r="B404" s="176" t="s">
        <v>693</v>
      </c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7"/>
      <c r="R404" s="177"/>
      <c r="S404" s="177"/>
      <c r="T404" s="177"/>
      <c r="U404" s="177"/>
      <c r="V404" s="177"/>
      <c r="W404" s="177"/>
      <c r="X404" s="177"/>
      <c r="Y404" s="177"/>
      <c r="Z404" s="177"/>
      <c r="AA404" s="177"/>
      <c r="AB404" s="177"/>
      <c r="AC404" s="178">
        <v>1619387.68</v>
      </c>
      <c r="AD404" s="177"/>
      <c r="AE404" s="177"/>
    </row>
    <row r="405" spans="1:31" ht="19.350000000000001" customHeight="1" x14ac:dyDescent="0.2">
      <c r="A405" s="168" t="s">
        <v>784</v>
      </c>
      <c r="B405" s="179" t="s">
        <v>695</v>
      </c>
      <c r="C405" s="179"/>
      <c r="D405" s="179"/>
      <c r="E405" s="179"/>
      <c r="F405" s="179"/>
      <c r="G405" s="179"/>
      <c r="H405" s="179"/>
      <c r="I405" s="179"/>
      <c r="J405" s="179"/>
      <c r="K405" s="179"/>
      <c r="L405" s="179"/>
      <c r="M405" s="179"/>
      <c r="N405" s="179" t="s">
        <v>220</v>
      </c>
      <c r="O405" s="179"/>
      <c r="P405" s="179"/>
      <c r="Q405" s="191">
        <v>899.84</v>
      </c>
      <c r="R405" s="174"/>
      <c r="S405" s="174"/>
      <c r="T405" s="174"/>
      <c r="U405" s="174"/>
      <c r="V405" s="174"/>
      <c r="W405" s="202">
        <v>35</v>
      </c>
      <c r="X405" s="174"/>
      <c r="Y405" s="174"/>
      <c r="Z405" s="174"/>
      <c r="AA405" s="174"/>
      <c r="AB405" s="174"/>
      <c r="AC405" s="196">
        <v>31494.400000000001</v>
      </c>
      <c r="AD405" s="174"/>
      <c r="AE405" s="174"/>
    </row>
    <row r="406" spans="1:31" ht="9.6" customHeight="1" x14ac:dyDescent="0.2">
      <c r="A406" s="168" t="s">
        <v>785</v>
      </c>
      <c r="B406" s="179" t="s">
        <v>697</v>
      </c>
      <c r="C406" s="179"/>
      <c r="D406" s="179"/>
      <c r="E406" s="179"/>
      <c r="F406" s="179"/>
      <c r="G406" s="179"/>
      <c r="H406" s="179"/>
      <c r="I406" s="179"/>
      <c r="J406" s="179"/>
      <c r="K406" s="179"/>
      <c r="L406" s="179"/>
      <c r="M406" s="179"/>
      <c r="N406" s="179" t="s">
        <v>220</v>
      </c>
      <c r="O406" s="179"/>
      <c r="P406" s="179"/>
      <c r="Q406" s="195">
        <v>24393.119999999999</v>
      </c>
      <c r="R406" s="174"/>
      <c r="S406" s="174"/>
      <c r="T406" s="174"/>
      <c r="U406" s="174"/>
      <c r="V406" s="174"/>
      <c r="W406" s="202">
        <v>40</v>
      </c>
      <c r="X406" s="174"/>
      <c r="Y406" s="174"/>
      <c r="Z406" s="174"/>
      <c r="AA406" s="174"/>
      <c r="AB406" s="174"/>
      <c r="AC406" s="200">
        <v>975724.8</v>
      </c>
      <c r="AD406" s="174"/>
      <c r="AE406" s="174"/>
    </row>
    <row r="407" spans="1:31" ht="9.6" customHeight="1" x14ac:dyDescent="0.2">
      <c r="A407" s="168" t="s">
        <v>786</v>
      </c>
      <c r="B407" s="179" t="s">
        <v>699</v>
      </c>
      <c r="C407" s="179"/>
      <c r="D407" s="179"/>
      <c r="E407" s="179"/>
      <c r="F407" s="179"/>
      <c r="G407" s="179"/>
      <c r="H407" s="179"/>
      <c r="I407" s="179"/>
      <c r="J407" s="179"/>
      <c r="K407" s="179"/>
      <c r="L407" s="179"/>
      <c r="M407" s="179"/>
      <c r="N407" s="179" t="s">
        <v>220</v>
      </c>
      <c r="O407" s="179"/>
      <c r="P407" s="179"/>
      <c r="Q407" s="173">
        <v>7287.72</v>
      </c>
      <c r="R407" s="174"/>
      <c r="S407" s="174"/>
      <c r="T407" s="174"/>
      <c r="U407" s="174"/>
      <c r="V407" s="174"/>
      <c r="W407" s="202">
        <v>84</v>
      </c>
      <c r="X407" s="174"/>
      <c r="Y407" s="174"/>
      <c r="Z407" s="174"/>
      <c r="AA407" s="174"/>
      <c r="AB407" s="174"/>
      <c r="AC407" s="200">
        <v>612168.48</v>
      </c>
      <c r="AD407" s="174"/>
      <c r="AE407" s="174"/>
    </row>
    <row r="408" spans="1:31" ht="9.75" customHeight="1" x14ac:dyDescent="0.2">
      <c r="A408" s="167" t="s">
        <v>787</v>
      </c>
      <c r="B408" s="176" t="s">
        <v>788</v>
      </c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7"/>
      <c r="R408" s="177"/>
      <c r="S408" s="177"/>
      <c r="T408" s="177"/>
      <c r="U408" s="177"/>
      <c r="V408" s="177"/>
      <c r="W408" s="177"/>
      <c r="X408" s="177"/>
      <c r="Y408" s="177"/>
      <c r="Z408" s="177"/>
      <c r="AA408" s="177"/>
      <c r="AB408" s="177"/>
      <c r="AC408" s="198">
        <v>373006.49</v>
      </c>
      <c r="AD408" s="177"/>
      <c r="AE408" s="177"/>
    </row>
    <row r="409" spans="1:31" ht="9.75" customHeight="1" x14ac:dyDescent="0.2">
      <c r="A409" s="167" t="s">
        <v>789</v>
      </c>
      <c r="B409" s="176" t="s">
        <v>631</v>
      </c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7"/>
      <c r="R409" s="177"/>
      <c r="S409" s="177"/>
      <c r="T409" s="177"/>
      <c r="U409" s="177"/>
      <c r="V409" s="177"/>
      <c r="W409" s="177"/>
      <c r="X409" s="177"/>
      <c r="Y409" s="177"/>
      <c r="Z409" s="177"/>
      <c r="AA409" s="177"/>
      <c r="AB409" s="177"/>
      <c r="AC409" s="194">
        <v>65968.899999999994</v>
      </c>
      <c r="AD409" s="177"/>
      <c r="AE409" s="177"/>
    </row>
    <row r="410" spans="1:31" ht="19.350000000000001" customHeight="1" x14ac:dyDescent="0.2">
      <c r="A410" s="168" t="s">
        <v>790</v>
      </c>
      <c r="B410" s="179" t="s">
        <v>633</v>
      </c>
      <c r="C410" s="179"/>
      <c r="D410" s="179"/>
      <c r="E410" s="179"/>
      <c r="F410" s="179"/>
      <c r="G410" s="179"/>
      <c r="H410" s="179"/>
      <c r="I410" s="179"/>
      <c r="J410" s="179"/>
      <c r="K410" s="179"/>
      <c r="L410" s="179"/>
      <c r="M410" s="179"/>
      <c r="N410" s="179" t="s">
        <v>220</v>
      </c>
      <c r="O410" s="179"/>
      <c r="P410" s="179"/>
      <c r="Q410" s="191">
        <v>647.77</v>
      </c>
      <c r="R410" s="174"/>
      <c r="S410" s="174"/>
      <c r="T410" s="174"/>
      <c r="U410" s="174"/>
      <c r="V410" s="174"/>
      <c r="W410" s="191">
        <v>101.84</v>
      </c>
      <c r="X410" s="174"/>
      <c r="Y410" s="174"/>
      <c r="Z410" s="174"/>
      <c r="AA410" s="174"/>
      <c r="AB410" s="174"/>
      <c r="AC410" s="196">
        <v>65968.899999999994</v>
      </c>
      <c r="AD410" s="174"/>
      <c r="AE410" s="174"/>
    </row>
    <row r="411" spans="1:31" ht="9.75" customHeight="1" x14ac:dyDescent="0.2">
      <c r="A411" s="167" t="s">
        <v>791</v>
      </c>
      <c r="B411" s="176" t="s">
        <v>635</v>
      </c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7"/>
      <c r="R411" s="177"/>
      <c r="S411" s="177"/>
      <c r="T411" s="177"/>
      <c r="U411" s="177"/>
      <c r="V411" s="177"/>
      <c r="W411" s="177"/>
      <c r="X411" s="177"/>
      <c r="Y411" s="177"/>
      <c r="Z411" s="177"/>
      <c r="AA411" s="177"/>
      <c r="AB411" s="177"/>
      <c r="AC411" s="194">
        <v>12215.08</v>
      </c>
      <c r="AD411" s="177"/>
      <c r="AE411" s="177"/>
    </row>
    <row r="412" spans="1:31" ht="19.350000000000001" customHeight="1" x14ac:dyDescent="0.2">
      <c r="A412" s="168" t="s">
        <v>792</v>
      </c>
      <c r="B412" s="179" t="s">
        <v>637</v>
      </c>
      <c r="C412" s="179"/>
      <c r="D412" s="179"/>
      <c r="E412" s="179"/>
      <c r="F412" s="179"/>
      <c r="G412" s="179"/>
      <c r="H412" s="179"/>
      <c r="I412" s="179"/>
      <c r="J412" s="179"/>
      <c r="K412" s="179"/>
      <c r="L412" s="179"/>
      <c r="M412" s="179"/>
      <c r="N412" s="179" t="s">
        <v>223</v>
      </c>
      <c r="O412" s="179"/>
      <c r="P412" s="179"/>
      <c r="Q412" s="191">
        <v>734.68</v>
      </c>
      <c r="R412" s="174"/>
      <c r="S412" s="174"/>
      <c r="T412" s="174"/>
      <c r="U412" s="174"/>
      <c r="V412" s="174"/>
      <c r="W412" s="202">
        <v>15.04</v>
      </c>
      <c r="X412" s="174"/>
      <c r="Y412" s="174"/>
      <c r="Z412" s="174"/>
      <c r="AA412" s="174"/>
      <c r="AB412" s="174"/>
      <c r="AC412" s="196">
        <v>11049.59</v>
      </c>
      <c r="AD412" s="174"/>
      <c r="AE412" s="174"/>
    </row>
    <row r="413" spans="1:31" ht="9.6" customHeight="1" x14ac:dyDescent="0.2">
      <c r="A413" s="168" t="s">
        <v>793</v>
      </c>
      <c r="B413" s="179" t="s">
        <v>639</v>
      </c>
      <c r="C413" s="179"/>
      <c r="D413" s="179"/>
      <c r="E413" s="179"/>
      <c r="F413" s="179"/>
      <c r="G413" s="179"/>
      <c r="H413" s="179"/>
      <c r="I413" s="179"/>
      <c r="J413" s="179"/>
      <c r="K413" s="179"/>
      <c r="L413" s="179"/>
      <c r="M413" s="179"/>
      <c r="N413" s="179" t="s">
        <v>137</v>
      </c>
      <c r="O413" s="179"/>
      <c r="P413" s="179"/>
      <c r="Q413" s="191">
        <v>324</v>
      </c>
      <c r="R413" s="174"/>
      <c r="S413" s="174"/>
      <c r="T413" s="174"/>
      <c r="U413" s="174"/>
      <c r="V413" s="174"/>
      <c r="W413" s="180">
        <v>3.5972</v>
      </c>
      <c r="X413" s="174"/>
      <c r="Y413" s="174"/>
      <c r="Z413" s="174"/>
      <c r="AA413" s="174"/>
      <c r="AB413" s="174"/>
      <c r="AC413" s="201">
        <v>1165.49</v>
      </c>
      <c r="AD413" s="174"/>
      <c r="AE413" s="174"/>
    </row>
    <row r="414" spans="1:31" ht="9.75" customHeight="1" x14ac:dyDescent="0.2">
      <c r="A414" s="167" t="s">
        <v>794</v>
      </c>
      <c r="B414" s="176" t="s">
        <v>641</v>
      </c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7"/>
      <c r="R414" s="177"/>
      <c r="S414" s="177"/>
      <c r="T414" s="177"/>
      <c r="U414" s="177"/>
      <c r="V414" s="177"/>
      <c r="W414" s="177"/>
      <c r="X414" s="177"/>
      <c r="Y414" s="177"/>
      <c r="Z414" s="177"/>
      <c r="AA414" s="177"/>
      <c r="AB414" s="177"/>
      <c r="AC414" s="194">
        <v>63381.13</v>
      </c>
      <c r="AD414" s="177"/>
      <c r="AE414" s="177"/>
    </row>
    <row r="415" spans="1:31" ht="28.9" customHeight="1" x14ac:dyDescent="0.2">
      <c r="A415" s="168" t="s">
        <v>795</v>
      </c>
      <c r="B415" s="179" t="s">
        <v>643</v>
      </c>
      <c r="C415" s="179"/>
      <c r="D415" s="179"/>
      <c r="E415" s="179"/>
      <c r="F415" s="179"/>
      <c r="G415" s="179"/>
      <c r="H415" s="179"/>
      <c r="I415" s="179"/>
      <c r="J415" s="179"/>
      <c r="K415" s="179"/>
      <c r="L415" s="179"/>
      <c r="M415" s="179"/>
      <c r="N415" s="179" t="s">
        <v>220</v>
      </c>
      <c r="O415" s="179"/>
      <c r="P415" s="179"/>
      <c r="Q415" s="180">
        <v>9.5500000000000007</v>
      </c>
      <c r="R415" s="174"/>
      <c r="S415" s="174"/>
      <c r="T415" s="174"/>
      <c r="U415" s="174"/>
      <c r="V415" s="174"/>
      <c r="W415" s="191">
        <v>181.04390000000001</v>
      </c>
      <c r="X415" s="174"/>
      <c r="Y415" s="174"/>
      <c r="Z415" s="174"/>
      <c r="AA415" s="174"/>
      <c r="AB415" s="174"/>
      <c r="AC415" s="201">
        <v>1728.97</v>
      </c>
      <c r="AD415" s="174"/>
      <c r="AE415" s="174"/>
    </row>
    <row r="416" spans="1:31" ht="28.9" customHeight="1" x14ac:dyDescent="0.2">
      <c r="A416" s="168" t="s">
        <v>796</v>
      </c>
      <c r="B416" s="179" t="s">
        <v>661</v>
      </c>
      <c r="C416" s="179"/>
      <c r="D416" s="179"/>
      <c r="E416" s="179"/>
      <c r="F416" s="179"/>
      <c r="G416" s="179"/>
      <c r="H416" s="179"/>
      <c r="I416" s="179"/>
      <c r="J416" s="179"/>
      <c r="K416" s="179"/>
      <c r="L416" s="179"/>
      <c r="M416" s="179"/>
      <c r="N416" s="179" t="s">
        <v>220</v>
      </c>
      <c r="O416" s="179"/>
      <c r="P416" s="179"/>
      <c r="Q416" s="191">
        <v>262.27</v>
      </c>
      <c r="R416" s="174"/>
      <c r="S416" s="174"/>
      <c r="T416" s="174"/>
      <c r="U416" s="174"/>
      <c r="V416" s="174"/>
      <c r="W416" s="191">
        <v>222.52500000000001</v>
      </c>
      <c r="X416" s="174"/>
      <c r="Y416" s="174"/>
      <c r="Z416" s="174"/>
      <c r="AA416" s="174"/>
      <c r="AB416" s="174"/>
      <c r="AC416" s="196">
        <v>58361.63</v>
      </c>
      <c r="AD416" s="174"/>
      <c r="AE416" s="174"/>
    </row>
    <row r="417" spans="1:31" ht="9.6" customHeight="1" x14ac:dyDescent="0.2">
      <c r="A417" s="168" t="s">
        <v>797</v>
      </c>
      <c r="B417" s="179" t="s">
        <v>673</v>
      </c>
      <c r="C417" s="179"/>
      <c r="D417" s="179"/>
      <c r="E417" s="179"/>
      <c r="F417" s="179"/>
      <c r="G417" s="179"/>
      <c r="H417" s="179"/>
      <c r="I417" s="179"/>
      <c r="J417" s="179"/>
      <c r="K417" s="179"/>
      <c r="L417" s="179"/>
      <c r="M417" s="179"/>
      <c r="N417" s="179" t="s">
        <v>220</v>
      </c>
      <c r="O417" s="179"/>
      <c r="P417" s="179"/>
      <c r="Q417" s="202">
        <v>56.53</v>
      </c>
      <c r="R417" s="174"/>
      <c r="S417" s="174"/>
      <c r="T417" s="174"/>
      <c r="U417" s="174"/>
      <c r="V417" s="174"/>
      <c r="W417" s="202">
        <v>27.966100000000001</v>
      </c>
      <c r="X417" s="174"/>
      <c r="Y417" s="174"/>
      <c r="Z417" s="174"/>
      <c r="AA417" s="174"/>
      <c r="AB417" s="174"/>
      <c r="AC417" s="201">
        <v>1580.92</v>
      </c>
      <c r="AD417" s="174"/>
      <c r="AE417" s="174"/>
    </row>
    <row r="418" spans="1:31" ht="19.350000000000001" customHeight="1" x14ac:dyDescent="0.2">
      <c r="A418" s="168" t="s">
        <v>798</v>
      </c>
      <c r="B418" s="179" t="s">
        <v>675</v>
      </c>
      <c r="C418" s="179"/>
      <c r="D418" s="179"/>
      <c r="E418" s="179"/>
      <c r="F418" s="179"/>
      <c r="G418" s="179"/>
      <c r="H418" s="179"/>
      <c r="I418" s="179"/>
      <c r="J418" s="179"/>
      <c r="K418" s="179"/>
      <c r="L418" s="179"/>
      <c r="M418" s="179"/>
      <c r="N418" s="179" t="s">
        <v>220</v>
      </c>
      <c r="O418" s="179"/>
      <c r="P418" s="179"/>
      <c r="Q418" s="202">
        <v>52.48</v>
      </c>
      <c r="R418" s="174"/>
      <c r="S418" s="174"/>
      <c r="T418" s="174"/>
      <c r="U418" s="174"/>
      <c r="V418" s="174"/>
      <c r="W418" s="202">
        <v>32.576500000000003</v>
      </c>
      <c r="X418" s="174"/>
      <c r="Y418" s="174"/>
      <c r="Z418" s="174"/>
      <c r="AA418" s="174"/>
      <c r="AB418" s="174"/>
      <c r="AC418" s="201">
        <v>1709.61</v>
      </c>
      <c r="AD418" s="174"/>
      <c r="AE418" s="174"/>
    </row>
    <row r="419" spans="1:31" ht="9.75" customHeight="1" x14ac:dyDescent="0.2">
      <c r="A419" s="167" t="s">
        <v>799</v>
      </c>
      <c r="B419" s="176" t="s">
        <v>681</v>
      </c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7"/>
      <c r="R419" s="177"/>
      <c r="S419" s="177"/>
      <c r="T419" s="177"/>
      <c r="U419" s="177"/>
      <c r="V419" s="177"/>
      <c r="W419" s="177"/>
      <c r="X419" s="177"/>
      <c r="Y419" s="177"/>
      <c r="Z419" s="177"/>
      <c r="AA419" s="177"/>
      <c r="AB419" s="177"/>
      <c r="AC419" s="198">
        <v>156796.10999999999</v>
      </c>
      <c r="AD419" s="177"/>
      <c r="AE419" s="177"/>
    </row>
    <row r="420" spans="1:31" ht="28.9" customHeight="1" x14ac:dyDescent="0.2">
      <c r="A420" s="168" t="s">
        <v>800</v>
      </c>
      <c r="B420" s="179" t="s">
        <v>685</v>
      </c>
      <c r="C420" s="179"/>
      <c r="D420" s="179"/>
      <c r="E420" s="179"/>
      <c r="F420" s="179"/>
      <c r="G420" s="179"/>
      <c r="H420" s="179"/>
      <c r="I420" s="179"/>
      <c r="J420" s="179"/>
      <c r="K420" s="179"/>
      <c r="L420" s="179"/>
      <c r="M420" s="179"/>
      <c r="N420" s="179" t="s">
        <v>220</v>
      </c>
      <c r="O420" s="179"/>
      <c r="P420" s="179"/>
      <c r="Q420" s="191">
        <v>136.97999999999999</v>
      </c>
      <c r="R420" s="174"/>
      <c r="S420" s="174"/>
      <c r="T420" s="174"/>
      <c r="U420" s="174"/>
      <c r="V420" s="174"/>
      <c r="W420" s="191">
        <v>306.22539999999998</v>
      </c>
      <c r="X420" s="174"/>
      <c r="Y420" s="174"/>
      <c r="Z420" s="174"/>
      <c r="AA420" s="174"/>
      <c r="AB420" s="174"/>
      <c r="AC420" s="196">
        <v>41946.76</v>
      </c>
      <c r="AD420" s="174"/>
      <c r="AE420" s="174"/>
    </row>
    <row r="421" spans="1:31" ht="38.65" customHeight="1" x14ac:dyDescent="0.2">
      <c r="A421" s="168" t="s">
        <v>801</v>
      </c>
      <c r="B421" s="179" t="s">
        <v>782</v>
      </c>
      <c r="C421" s="179"/>
      <c r="D421" s="179"/>
      <c r="E421" s="179"/>
      <c r="F421" s="179"/>
      <c r="G421" s="179"/>
      <c r="H421" s="179"/>
      <c r="I421" s="179"/>
      <c r="J421" s="179"/>
      <c r="K421" s="179"/>
      <c r="L421" s="179"/>
      <c r="M421" s="179"/>
      <c r="N421" s="179" t="s">
        <v>220</v>
      </c>
      <c r="O421" s="179"/>
      <c r="P421" s="179"/>
      <c r="Q421" s="191">
        <v>304.95</v>
      </c>
      <c r="R421" s="174"/>
      <c r="S421" s="174"/>
      <c r="T421" s="174"/>
      <c r="U421" s="174"/>
      <c r="V421" s="174"/>
      <c r="W421" s="191">
        <v>376.61700000000002</v>
      </c>
      <c r="X421" s="174"/>
      <c r="Y421" s="174"/>
      <c r="Z421" s="174"/>
      <c r="AA421" s="174"/>
      <c r="AB421" s="174"/>
      <c r="AC421" s="200">
        <v>114849.35</v>
      </c>
      <c r="AD421" s="174"/>
      <c r="AE421" s="174"/>
    </row>
    <row r="422" spans="1:31" ht="9.75" customHeight="1" x14ac:dyDescent="0.2">
      <c r="A422" s="167" t="s">
        <v>802</v>
      </c>
      <c r="B422" s="176" t="s">
        <v>693</v>
      </c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7"/>
      <c r="R422" s="177"/>
      <c r="S422" s="177"/>
      <c r="T422" s="177"/>
      <c r="U422" s="177"/>
      <c r="V422" s="177"/>
      <c r="W422" s="177"/>
      <c r="X422" s="177"/>
      <c r="Y422" s="177"/>
      <c r="Z422" s="177"/>
      <c r="AA422" s="177"/>
      <c r="AB422" s="177"/>
      <c r="AC422" s="194">
        <v>74645.27</v>
      </c>
      <c r="AD422" s="177"/>
      <c r="AE422" s="177"/>
    </row>
    <row r="423" spans="1:31" ht="19.350000000000001" customHeight="1" x14ac:dyDescent="0.2">
      <c r="A423" s="168" t="s">
        <v>803</v>
      </c>
      <c r="B423" s="179" t="s">
        <v>695</v>
      </c>
      <c r="C423" s="179"/>
      <c r="D423" s="179"/>
      <c r="E423" s="179"/>
      <c r="F423" s="179"/>
      <c r="G423" s="179"/>
      <c r="H423" s="179"/>
      <c r="I423" s="179"/>
      <c r="J423" s="179"/>
      <c r="K423" s="179"/>
      <c r="L423" s="179"/>
      <c r="M423" s="179"/>
      <c r="N423" s="179" t="s">
        <v>220</v>
      </c>
      <c r="O423" s="179"/>
      <c r="P423" s="179"/>
      <c r="Q423" s="191">
        <v>647.77</v>
      </c>
      <c r="R423" s="174"/>
      <c r="S423" s="174"/>
      <c r="T423" s="174"/>
      <c r="U423" s="174"/>
      <c r="V423" s="174"/>
      <c r="W423" s="202">
        <v>35</v>
      </c>
      <c r="X423" s="174"/>
      <c r="Y423" s="174"/>
      <c r="Z423" s="174"/>
      <c r="AA423" s="174"/>
      <c r="AB423" s="174"/>
      <c r="AC423" s="196">
        <v>22671.95</v>
      </c>
      <c r="AD423" s="174"/>
      <c r="AE423" s="174"/>
    </row>
    <row r="424" spans="1:31" ht="9.6" customHeight="1" x14ac:dyDescent="0.2">
      <c r="A424" s="168" t="s">
        <v>804</v>
      </c>
      <c r="B424" s="179" t="s">
        <v>697</v>
      </c>
      <c r="C424" s="179"/>
      <c r="D424" s="179"/>
      <c r="E424" s="179"/>
      <c r="F424" s="179"/>
      <c r="G424" s="179"/>
      <c r="H424" s="179"/>
      <c r="I424" s="179"/>
      <c r="J424" s="179"/>
      <c r="K424" s="179"/>
      <c r="L424" s="179"/>
      <c r="M424" s="179"/>
      <c r="N424" s="179" t="s">
        <v>220</v>
      </c>
      <c r="O424" s="179"/>
      <c r="P424" s="179"/>
      <c r="Q424" s="191">
        <v>371.28</v>
      </c>
      <c r="R424" s="174"/>
      <c r="S424" s="174"/>
      <c r="T424" s="174"/>
      <c r="U424" s="174"/>
      <c r="V424" s="174"/>
      <c r="W424" s="202">
        <v>40</v>
      </c>
      <c r="X424" s="174"/>
      <c r="Y424" s="174"/>
      <c r="Z424" s="174"/>
      <c r="AA424" s="174"/>
      <c r="AB424" s="174"/>
      <c r="AC424" s="196">
        <v>14851.2</v>
      </c>
      <c r="AD424" s="174"/>
      <c r="AE424" s="174"/>
    </row>
    <row r="425" spans="1:31" ht="9.6" customHeight="1" x14ac:dyDescent="0.2">
      <c r="A425" s="168" t="s">
        <v>805</v>
      </c>
      <c r="B425" s="179" t="s">
        <v>699</v>
      </c>
      <c r="C425" s="179"/>
      <c r="D425" s="179"/>
      <c r="E425" s="179"/>
      <c r="F425" s="179"/>
      <c r="G425" s="179"/>
      <c r="H425" s="179"/>
      <c r="I425" s="179"/>
      <c r="J425" s="179"/>
      <c r="K425" s="179"/>
      <c r="L425" s="179"/>
      <c r="M425" s="179"/>
      <c r="N425" s="179" t="s">
        <v>220</v>
      </c>
      <c r="O425" s="179"/>
      <c r="P425" s="179"/>
      <c r="Q425" s="191">
        <v>441.93</v>
      </c>
      <c r="R425" s="174"/>
      <c r="S425" s="174"/>
      <c r="T425" s="174"/>
      <c r="U425" s="174"/>
      <c r="V425" s="174"/>
      <c r="W425" s="202">
        <v>84</v>
      </c>
      <c r="X425" s="174"/>
      <c r="Y425" s="174"/>
      <c r="Z425" s="174"/>
      <c r="AA425" s="174"/>
      <c r="AB425" s="174"/>
      <c r="AC425" s="196">
        <v>37122.120000000003</v>
      </c>
      <c r="AD425" s="174"/>
      <c r="AE425" s="174"/>
    </row>
    <row r="426" spans="1:31" ht="19.350000000000001" customHeight="1" x14ac:dyDescent="0.2">
      <c r="A426" s="167" t="s">
        <v>806</v>
      </c>
      <c r="B426" s="176" t="s">
        <v>807</v>
      </c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7"/>
      <c r="R426" s="177"/>
      <c r="S426" s="177"/>
      <c r="T426" s="177"/>
      <c r="U426" s="177"/>
      <c r="V426" s="177"/>
      <c r="W426" s="177"/>
      <c r="X426" s="177"/>
      <c r="Y426" s="177"/>
      <c r="Z426" s="177"/>
      <c r="AA426" s="177"/>
      <c r="AB426" s="177"/>
      <c r="AC426" s="178">
        <v>7709706.0999999996</v>
      </c>
      <c r="AD426" s="177"/>
      <c r="AE426" s="177"/>
    </row>
    <row r="427" spans="1:31" ht="19.350000000000001" customHeight="1" x14ac:dyDescent="0.2">
      <c r="A427" s="167" t="s">
        <v>808</v>
      </c>
      <c r="B427" s="176" t="s">
        <v>807</v>
      </c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7"/>
      <c r="R427" s="177"/>
      <c r="S427" s="177"/>
      <c r="T427" s="177"/>
      <c r="U427" s="177"/>
      <c r="V427" s="177"/>
      <c r="W427" s="177"/>
      <c r="X427" s="177"/>
      <c r="Y427" s="177"/>
      <c r="Z427" s="177"/>
      <c r="AA427" s="177"/>
      <c r="AB427" s="177"/>
      <c r="AC427" s="178">
        <v>7709706.0999999996</v>
      </c>
      <c r="AD427" s="177"/>
      <c r="AE427" s="177"/>
    </row>
    <row r="428" spans="1:31" ht="9.75" customHeight="1" x14ac:dyDescent="0.2">
      <c r="A428" s="167" t="s">
        <v>809</v>
      </c>
      <c r="B428" s="176" t="s">
        <v>810</v>
      </c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7"/>
      <c r="R428" s="177"/>
      <c r="S428" s="177"/>
      <c r="T428" s="177"/>
      <c r="U428" s="177"/>
      <c r="V428" s="177"/>
      <c r="W428" s="177"/>
      <c r="X428" s="177"/>
      <c r="Y428" s="177"/>
      <c r="Z428" s="177"/>
      <c r="AA428" s="177"/>
      <c r="AB428" s="177"/>
      <c r="AC428" s="194">
        <v>50018.35</v>
      </c>
      <c r="AD428" s="177"/>
      <c r="AE428" s="177"/>
    </row>
    <row r="429" spans="1:31" ht="9.6" customHeight="1" x14ac:dyDescent="0.2">
      <c r="A429" s="168" t="s">
        <v>811</v>
      </c>
      <c r="B429" s="179" t="s">
        <v>812</v>
      </c>
      <c r="C429" s="179"/>
      <c r="D429" s="179"/>
      <c r="E429" s="179"/>
      <c r="F429" s="179"/>
      <c r="G429" s="179"/>
      <c r="H429" s="179"/>
      <c r="I429" s="179"/>
      <c r="J429" s="179"/>
      <c r="K429" s="179"/>
      <c r="L429" s="179"/>
      <c r="M429" s="179"/>
      <c r="N429" s="179" t="s">
        <v>112</v>
      </c>
      <c r="O429" s="179"/>
      <c r="P429" s="179"/>
      <c r="Q429" s="180">
        <v>1</v>
      </c>
      <c r="R429" s="174"/>
      <c r="S429" s="174"/>
      <c r="T429" s="174"/>
      <c r="U429" s="174"/>
      <c r="V429" s="174"/>
      <c r="W429" s="191">
        <v>779.05</v>
      </c>
      <c r="X429" s="174"/>
      <c r="Y429" s="174"/>
      <c r="Z429" s="174"/>
      <c r="AA429" s="174"/>
      <c r="AB429" s="174"/>
      <c r="AC429" s="205">
        <v>779.05</v>
      </c>
      <c r="AD429" s="174"/>
      <c r="AE429" s="174"/>
    </row>
    <row r="430" spans="1:31" ht="9.6" customHeight="1" x14ac:dyDescent="0.2">
      <c r="A430" s="168" t="s">
        <v>813</v>
      </c>
      <c r="B430" s="179" t="s">
        <v>814</v>
      </c>
      <c r="C430" s="179"/>
      <c r="D430" s="179"/>
      <c r="E430" s="179"/>
      <c r="F430" s="179"/>
      <c r="G430" s="179"/>
      <c r="H430" s="179"/>
      <c r="I430" s="179"/>
      <c r="J430" s="179"/>
      <c r="K430" s="179"/>
      <c r="L430" s="179"/>
      <c r="M430" s="179"/>
      <c r="N430" s="179" t="s">
        <v>112</v>
      </c>
      <c r="O430" s="179"/>
      <c r="P430" s="179"/>
      <c r="Q430" s="180">
        <v>1</v>
      </c>
      <c r="R430" s="174"/>
      <c r="S430" s="174"/>
      <c r="T430" s="174"/>
      <c r="U430" s="174"/>
      <c r="V430" s="174"/>
      <c r="W430" s="195">
        <v>49239.3</v>
      </c>
      <c r="X430" s="174"/>
      <c r="Y430" s="174"/>
      <c r="Z430" s="174"/>
      <c r="AA430" s="174"/>
      <c r="AB430" s="174"/>
      <c r="AC430" s="196">
        <v>49239.3</v>
      </c>
      <c r="AD430" s="174"/>
      <c r="AE430" s="174"/>
    </row>
    <row r="431" spans="1:31" ht="9.75" customHeight="1" x14ac:dyDescent="0.2">
      <c r="A431" s="167" t="s">
        <v>815</v>
      </c>
      <c r="B431" s="176" t="s">
        <v>816</v>
      </c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7"/>
      <c r="R431" s="177"/>
      <c r="S431" s="177"/>
      <c r="T431" s="177"/>
      <c r="U431" s="177"/>
      <c r="V431" s="177"/>
      <c r="W431" s="177"/>
      <c r="X431" s="177"/>
      <c r="Y431" s="177"/>
      <c r="Z431" s="177"/>
      <c r="AA431" s="177"/>
      <c r="AB431" s="177"/>
      <c r="AC431" s="198">
        <v>440422.6</v>
      </c>
      <c r="AD431" s="177"/>
      <c r="AE431" s="177"/>
    </row>
    <row r="432" spans="1:31" ht="9.6" customHeight="1" x14ac:dyDescent="0.2">
      <c r="A432" s="168" t="s">
        <v>817</v>
      </c>
      <c r="B432" s="179" t="s">
        <v>818</v>
      </c>
      <c r="C432" s="179"/>
      <c r="D432" s="179"/>
      <c r="E432" s="179"/>
      <c r="F432" s="179"/>
      <c r="G432" s="179"/>
      <c r="H432" s="179"/>
      <c r="I432" s="179"/>
      <c r="J432" s="179"/>
      <c r="K432" s="179"/>
      <c r="L432" s="179"/>
      <c r="M432" s="179"/>
      <c r="N432" s="179" t="s">
        <v>112</v>
      </c>
      <c r="O432" s="179"/>
      <c r="P432" s="179"/>
      <c r="Q432" s="180">
        <v>1</v>
      </c>
      <c r="R432" s="174"/>
      <c r="S432" s="174"/>
      <c r="T432" s="174"/>
      <c r="U432" s="174"/>
      <c r="V432" s="174"/>
      <c r="W432" s="199">
        <v>159795.85999999999</v>
      </c>
      <c r="X432" s="174"/>
      <c r="Y432" s="174"/>
      <c r="Z432" s="174"/>
      <c r="AA432" s="174"/>
      <c r="AB432" s="174"/>
      <c r="AC432" s="200">
        <v>159795.85999999999</v>
      </c>
      <c r="AD432" s="174"/>
      <c r="AE432" s="174"/>
    </row>
    <row r="433" spans="1:31" ht="9.6" customHeight="1" x14ac:dyDescent="0.2">
      <c r="A433" s="168" t="s">
        <v>819</v>
      </c>
      <c r="B433" s="179" t="s">
        <v>820</v>
      </c>
      <c r="C433" s="179"/>
      <c r="D433" s="179"/>
      <c r="E433" s="179"/>
      <c r="F433" s="179"/>
      <c r="G433" s="179"/>
      <c r="H433" s="179"/>
      <c r="I433" s="179"/>
      <c r="J433" s="179"/>
      <c r="K433" s="179"/>
      <c r="L433" s="179"/>
      <c r="M433" s="179"/>
      <c r="N433" s="179" t="s">
        <v>112</v>
      </c>
      <c r="O433" s="179"/>
      <c r="P433" s="179"/>
      <c r="Q433" s="180">
        <v>1</v>
      </c>
      <c r="R433" s="174"/>
      <c r="S433" s="174"/>
      <c r="T433" s="174"/>
      <c r="U433" s="174"/>
      <c r="V433" s="174"/>
      <c r="W433" s="199">
        <v>280626.74</v>
      </c>
      <c r="X433" s="174"/>
      <c r="Y433" s="174"/>
      <c r="Z433" s="174"/>
      <c r="AA433" s="174"/>
      <c r="AB433" s="174"/>
      <c r="AC433" s="200">
        <v>280626.74</v>
      </c>
      <c r="AD433" s="174"/>
      <c r="AE433" s="174"/>
    </row>
    <row r="434" spans="1:31" ht="9.75" customHeight="1" x14ac:dyDescent="0.2">
      <c r="A434" s="167" t="s">
        <v>821</v>
      </c>
      <c r="B434" s="176" t="s">
        <v>822</v>
      </c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7"/>
      <c r="R434" s="177"/>
      <c r="S434" s="177"/>
      <c r="T434" s="177"/>
      <c r="U434" s="177"/>
      <c r="V434" s="177"/>
      <c r="W434" s="177"/>
      <c r="X434" s="177"/>
      <c r="Y434" s="177"/>
      <c r="Z434" s="177"/>
      <c r="AA434" s="177"/>
      <c r="AB434" s="177"/>
      <c r="AC434" s="178">
        <v>5535764.3499999996</v>
      </c>
      <c r="AD434" s="177"/>
      <c r="AE434" s="177"/>
    </row>
    <row r="435" spans="1:31" ht="9.6" customHeight="1" x14ac:dyDescent="0.2">
      <c r="A435" s="168" t="s">
        <v>823</v>
      </c>
      <c r="B435" s="179" t="s">
        <v>824</v>
      </c>
      <c r="C435" s="179"/>
      <c r="D435" s="179"/>
      <c r="E435" s="179"/>
      <c r="F435" s="179"/>
      <c r="G435" s="179"/>
      <c r="H435" s="179"/>
      <c r="I435" s="179"/>
      <c r="J435" s="179"/>
      <c r="K435" s="179"/>
      <c r="L435" s="179"/>
      <c r="M435" s="179"/>
      <c r="N435" s="179" t="s">
        <v>112</v>
      </c>
      <c r="O435" s="179"/>
      <c r="P435" s="179"/>
      <c r="Q435" s="180">
        <v>1</v>
      </c>
      <c r="R435" s="174"/>
      <c r="S435" s="174"/>
      <c r="T435" s="174"/>
      <c r="U435" s="174"/>
      <c r="V435" s="174"/>
      <c r="W435" s="181">
        <v>1955360.93</v>
      </c>
      <c r="X435" s="174"/>
      <c r="Y435" s="174"/>
      <c r="Z435" s="174"/>
      <c r="AA435" s="174"/>
      <c r="AB435" s="174"/>
      <c r="AC435" s="175">
        <v>1955360.93</v>
      </c>
      <c r="AD435" s="174"/>
      <c r="AE435" s="174"/>
    </row>
    <row r="436" spans="1:31" ht="9.6" customHeight="1" x14ac:dyDescent="0.2">
      <c r="A436" s="168" t="s">
        <v>825</v>
      </c>
      <c r="B436" s="179" t="s">
        <v>826</v>
      </c>
      <c r="C436" s="179"/>
      <c r="D436" s="179"/>
      <c r="E436" s="179"/>
      <c r="F436" s="179"/>
      <c r="G436" s="179"/>
      <c r="H436" s="179"/>
      <c r="I436" s="179"/>
      <c r="J436" s="179"/>
      <c r="K436" s="179"/>
      <c r="L436" s="179"/>
      <c r="M436" s="179"/>
      <c r="N436" s="179" t="s">
        <v>112</v>
      </c>
      <c r="O436" s="179"/>
      <c r="P436" s="179"/>
      <c r="Q436" s="180">
        <v>1</v>
      </c>
      <c r="R436" s="174"/>
      <c r="S436" s="174"/>
      <c r="T436" s="174"/>
      <c r="U436" s="174"/>
      <c r="V436" s="174"/>
      <c r="W436" s="181">
        <v>1303573.95</v>
      </c>
      <c r="X436" s="174"/>
      <c r="Y436" s="174"/>
      <c r="Z436" s="174"/>
      <c r="AA436" s="174"/>
      <c r="AB436" s="174"/>
      <c r="AC436" s="175">
        <v>1303573.95</v>
      </c>
      <c r="AD436" s="174"/>
      <c r="AE436" s="174"/>
    </row>
    <row r="437" spans="1:31" ht="9.6" customHeight="1" x14ac:dyDescent="0.2">
      <c r="A437" s="168" t="s">
        <v>827</v>
      </c>
      <c r="B437" s="179" t="s">
        <v>828</v>
      </c>
      <c r="C437" s="179"/>
      <c r="D437" s="179"/>
      <c r="E437" s="179"/>
      <c r="F437" s="179"/>
      <c r="G437" s="179"/>
      <c r="H437" s="179"/>
      <c r="I437" s="179"/>
      <c r="J437" s="179"/>
      <c r="K437" s="179"/>
      <c r="L437" s="179"/>
      <c r="M437" s="179"/>
      <c r="N437" s="179" t="s">
        <v>112</v>
      </c>
      <c r="O437" s="179"/>
      <c r="P437" s="179"/>
      <c r="Q437" s="180">
        <v>1</v>
      </c>
      <c r="R437" s="174"/>
      <c r="S437" s="174"/>
      <c r="T437" s="174"/>
      <c r="U437" s="174"/>
      <c r="V437" s="174"/>
      <c r="W437" s="199">
        <v>602648.84</v>
      </c>
      <c r="X437" s="174"/>
      <c r="Y437" s="174"/>
      <c r="Z437" s="174"/>
      <c r="AA437" s="174"/>
      <c r="AB437" s="174"/>
      <c r="AC437" s="200">
        <v>602648.84</v>
      </c>
      <c r="AD437" s="174"/>
      <c r="AE437" s="174"/>
    </row>
    <row r="438" spans="1:31" ht="9.6" customHeight="1" x14ac:dyDescent="0.2">
      <c r="A438" s="168" t="s">
        <v>829</v>
      </c>
      <c r="B438" s="179" t="s">
        <v>830</v>
      </c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 t="s">
        <v>112</v>
      </c>
      <c r="O438" s="179"/>
      <c r="P438" s="179"/>
      <c r="Q438" s="180">
        <v>1</v>
      </c>
      <c r="R438" s="174"/>
      <c r="S438" s="174"/>
      <c r="T438" s="174"/>
      <c r="U438" s="174"/>
      <c r="V438" s="174"/>
      <c r="W438" s="181">
        <v>1406180.63</v>
      </c>
      <c r="X438" s="174"/>
      <c r="Y438" s="174"/>
      <c r="Z438" s="174"/>
      <c r="AA438" s="174"/>
      <c r="AB438" s="174"/>
      <c r="AC438" s="175">
        <v>1406180.63</v>
      </c>
      <c r="AD438" s="174"/>
      <c r="AE438" s="174"/>
    </row>
    <row r="439" spans="1:31" ht="9.6" customHeight="1" x14ac:dyDescent="0.2">
      <c r="A439" s="168" t="s">
        <v>831</v>
      </c>
      <c r="B439" s="179" t="s">
        <v>832</v>
      </c>
      <c r="C439" s="179"/>
      <c r="D439" s="179"/>
      <c r="E439" s="179"/>
      <c r="F439" s="179"/>
      <c r="G439" s="179"/>
      <c r="H439" s="179"/>
      <c r="I439" s="179"/>
      <c r="J439" s="179"/>
      <c r="K439" s="179"/>
      <c r="L439" s="179"/>
      <c r="M439" s="179"/>
      <c r="N439" s="179" t="s">
        <v>112</v>
      </c>
      <c r="O439" s="179"/>
      <c r="P439" s="179"/>
      <c r="Q439" s="180">
        <v>1</v>
      </c>
      <c r="R439" s="174"/>
      <c r="S439" s="174"/>
      <c r="T439" s="174"/>
      <c r="U439" s="174"/>
      <c r="V439" s="174"/>
      <c r="W439" s="199">
        <v>268000</v>
      </c>
      <c r="X439" s="174"/>
      <c r="Y439" s="174"/>
      <c r="Z439" s="174"/>
      <c r="AA439" s="174"/>
      <c r="AB439" s="174"/>
      <c r="AC439" s="200">
        <v>268000</v>
      </c>
      <c r="AD439" s="174"/>
      <c r="AE439" s="174"/>
    </row>
    <row r="440" spans="1:31" ht="9.75" customHeight="1" x14ac:dyDescent="0.2">
      <c r="A440" s="167" t="s">
        <v>833</v>
      </c>
      <c r="B440" s="176" t="s">
        <v>693</v>
      </c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7"/>
      <c r="R440" s="177"/>
      <c r="S440" s="177"/>
      <c r="T440" s="177"/>
      <c r="U440" s="177"/>
      <c r="V440" s="177"/>
      <c r="W440" s="177"/>
      <c r="X440" s="177"/>
      <c r="Y440" s="177"/>
      <c r="Z440" s="177"/>
      <c r="AA440" s="177"/>
      <c r="AB440" s="177"/>
      <c r="AC440" s="178">
        <v>1683500.8</v>
      </c>
      <c r="AD440" s="177"/>
      <c r="AE440" s="177"/>
    </row>
    <row r="441" spans="1:31" ht="9.6" customHeight="1" x14ac:dyDescent="0.2">
      <c r="A441" s="168" t="s">
        <v>834</v>
      </c>
      <c r="B441" s="179" t="s">
        <v>835</v>
      </c>
      <c r="C441" s="179"/>
      <c r="D441" s="179"/>
      <c r="E441" s="179"/>
      <c r="F441" s="179"/>
      <c r="G441" s="179"/>
      <c r="H441" s="179"/>
      <c r="I441" s="179"/>
      <c r="J441" s="179"/>
      <c r="K441" s="179"/>
      <c r="L441" s="179"/>
      <c r="M441" s="179"/>
      <c r="N441" s="179" t="s">
        <v>220</v>
      </c>
      <c r="O441" s="179"/>
      <c r="P441" s="179"/>
      <c r="Q441" s="195">
        <v>42277.77</v>
      </c>
      <c r="R441" s="174"/>
      <c r="S441" s="174"/>
      <c r="T441" s="174"/>
      <c r="U441" s="174"/>
      <c r="V441" s="174"/>
      <c r="W441" s="202">
        <v>39.82</v>
      </c>
      <c r="X441" s="174"/>
      <c r="Y441" s="174"/>
      <c r="Z441" s="174"/>
      <c r="AA441" s="174"/>
      <c r="AB441" s="174"/>
      <c r="AC441" s="175">
        <v>1683500.8</v>
      </c>
      <c r="AD441" s="174"/>
      <c r="AE441" s="174"/>
    </row>
    <row r="442" spans="1:31" ht="9.75" customHeight="1" x14ac:dyDescent="0.2">
      <c r="A442" s="167" t="s">
        <v>836</v>
      </c>
      <c r="B442" s="176" t="s">
        <v>837</v>
      </c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7"/>
      <c r="R442" s="177"/>
      <c r="S442" s="177"/>
      <c r="T442" s="177"/>
      <c r="U442" s="177"/>
      <c r="V442" s="177"/>
      <c r="W442" s="177"/>
      <c r="X442" s="177"/>
      <c r="Y442" s="177"/>
      <c r="Z442" s="177"/>
      <c r="AA442" s="177"/>
      <c r="AB442" s="177"/>
      <c r="AC442" s="178">
        <v>7027221.2699999996</v>
      </c>
      <c r="AD442" s="177"/>
      <c r="AE442" s="177"/>
    </row>
    <row r="443" spans="1:31" ht="9.75" customHeight="1" x14ac:dyDescent="0.2">
      <c r="A443" s="167" t="s">
        <v>838</v>
      </c>
      <c r="B443" s="176" t="s">
        <v>837</v>
      </c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7"/>
      <c r="R443" s="177"/>
      <c r="S443" s="177"/>
      <c r="T443" s="177"/>
      <c r="U443" s="177"/>
      <c r="V443" s="177"/>
      <c r="W443" s="177"/>
      <c r="X443" s="177"/>
      <c r="Y443" s="177"/>
      <c r="Z443" s="177"/>
      <c r="AA443" s="177"/>
      <c r="AB443" s="177"/>
      <c r="AC443" s="178">
        <v>7027221.2699999996</v>
      </c>
      <c r="AD443" s="177"/>
      <c r="AE443" s="177"/>
    </row>
    <row r="444" spans="1:31" ht="9.75" customHeight="1" x14ac:dyDescent="0.2">
      <c r="A444" s="167" t="s">
        <v>839</v>
      </c>
      <c r="B444" s="176" t="s">
        <v>840</v>
      </c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7"/>
      <c r="R444" s="177"/>
      <c r="S444" s="177"/>
      <c r="T444" s="177"/>
      <c r="U444" s="177"/>
      <c r="V444" s="177"/>
      <c r="W444" s="177"/>
      <c r="X444" s="177"/>
      <c r="Y444" s="177"/>
      <c r="Z444" s="177"/>
      <c r="AA444" s="177"/>
      <c r="AB444" s="177"/>
      <c r="AC444" s="178">
        <v>1702214.34</v>
      </c>
      <c r="AD444" s="177"/>
      <c r="AE444" s="177"/>
    </row>
    <row r="445" spans="1:31" ht="9.6" customHeight="1" x14ac:dyDescent="0.2">
      <c r="A445" s="168" t="s">
        <v>841</v>
      </c>
      <c r="B445" s="179" t="s">
        <v>842</v>
      </c>
      <c r="C445" s="179"/>
      <c r="D445" s="179"/>
      <c r="E445" s="179"/>
      <c r="F445" s="179"/>
      <c r="G445" s="179"/>
      <c r="H445" s="179"/>
      <c r="I445" s="179"/>
      <c r="J445" s="179"/>
      <c r="K445" s="179"/>
      <c r="L445" s="179"/>
      <c r="M445" s="179"/>
      <c r="N445" s="179" t="s">
        <v>112</v>
      </c>
      <c r="O445" s="179"/>
      <c r="P445" s="179"/>
      <c r="Q445" s="180">
        <v>1</v>
      </c>
      <c r="R445" s="174"/>
      <c r="S445" s="174"/>
      <c r="T445" s="174"/>
      <c r="U445" s="174"/>
      <c r="V445" s="174"/>
      <c r="W445" s="195">
        <v>78167.09</v>
      </c>
      <c r="X445" s="174"/>
      <c r="Y445" s="174"/>
      <c r="Z445" s="174"/>
      <c r="AA445" s="174"/>
      <c r="AB445" s="174"/>
      <c r="AC445" s="196">
        <v>78167.09</v>
      </c>
      <c r="AD445" s="174"/>
      <c r="AE445" s="174"/>
    </row>
    <row r="446" spans="1:31" ht="9.6" customHeight="1" x14ac:dyDescent="0.2">
      <c r="A446" s="168" t="s">
        <v>843</v>
      </c>
      <c r="B446" s="179" t="s">
        <v>844</v>
      </c>
      <c r="C446" s="179"/>
      <c r="D446" s="179"/>
      <c r="E446" s="179"/>
      <c r="F446" s="179"/>
      <c r="G446" s="179"/>
      <c r="H446" s="179"/>
      <c r="I446" s="179"/>
      <c r="J446" s="179"/>
      <c r="K446" s="179"/>
      <c r="L446" s="179"/>
      <c r="M446" s="179"/>
      <c r="N446" s="179" t="s">
        <v>112</v>
      </c>
      <c r="O446" s="179"/>
      <c r="P446" s="179"/>
      <c r="Q446" s="180">
        <v>1</v>
      </c>
      <c r="R446" s="174"/>
      <c r="S446" s="174"/>
      <c r="T446" s="174"/>
      <c r="U446" s="174"/>
      <c r="V446" s="174"/>
      <c r="W446" s="199">
        <v>528496.85</v>
      </c>
      <c r="X446" s="174"/>
      <c r="Y446" s="174"/>
      <c r="Z446" s="174"/>
      <c r="AA446" s="174"/>
      <c r="AB446" s="174"/>
      <c r="AC446" s="200">
        <v>528496.85</v>
      </c>
      <c r="AD446" s="174"/>
      <c r="AE446" s="174"/>
    </row>
    <row r="447" spans="1:31" ht="9.6" customHeight="1" x14ac:dyDescent="0.2">
      <c r="A447" s="168" t="s">
        <v>845</v>
      </c>
      <c r="B447" s="179" t="s">
        <v>846</v>
      </c>
      <c r="C447" s="179"/>
      <c r="D447" s="179"/>
      <c r="E447" s="179"/>
      <c r="F447" s="179"/>
      <c r="G447" s="179"/>
      <c r="H447" s="179"/>
      <c r="I447" s="179"/>
      <c r="J447" s="179"/>
      <c r="K447" s="179"/>
      <c r="L447" s="179"/>
      <c r="M447" s="179"/>
      <c r="N447" s="179" t="s">
        <v>112</v>
      </c>
      <c r="O447" s="179"/>
      <c r="P447" s="179"/>
      <c r="Q447" s="180">
        <v>1</v>
      </c>
      <c r="R447" s="174"/>
      <c r="S447" s="174"/>
      <c r="T447" s="174"/>
      <c r="U447" s="174"/>
      <c r="V447" s="174"/>
      <c r="W447" s="199">
        <v>249995</v>
      </c>
      <c r="X447" s="174"/>
      <c r="Y447" s="174"/>
      <c r="Z447" s="174"/>
      <c r="AA447" s="174"/>
      <c r="AB447" s="174"/>
      <c r="AC447" s="200">
        <v>249995</v>
      </c>
      <c r="AD447" s="174"/>
      <c r="AE447" s="174"/>
    </row>
    <row r="448" spans="1:31" ht="9.6" customHeight="1" x14ac:dyDescent="0.2">
      <c r="A448" s="168" t="s">
        <v>847</v>
      </c>
      <c r="B448" s="179" t="s">
        <v>848</v>
      </c>
      <c r="C448" s="179"/>
      <c r="D448" s="179"/>
      <c r="E448" s="179"/>
      <c r="F448" s="179"/>
      <c r="G448" s="179"/>
      <c r="H448" s="179"/>
      <c r="I448" s="179"/>
      <c r="J448" s="179"/>
      <c r="K448" s="179"/>
      <c r="L448" s="179"/>
      <c r="M448" s="179"/>
      <c r="N448" s="179" t="s">
        <v>112</v>
      </c>
      <c r="O448" s="179"/>
      <c r="P448" s="179"/>
      <c r="Q448" s="180">
        <v>1</v>
      </c>
      <c r="R448" s="174"/>
      <c r="S448" s="174"/>
      <c r="T448" s="174"/>
      <c r="U448" s="174"/>
      <c r="V448" s="174"/>
      <c r="W448" s="199">
        <v>845555.4</v>
      </c>
      <c r="X448" s="174"/>
      <c r="Y448" s="174"/>
      <c r="Z448" s="174"/>
      <c r="AA448" s="174"/>
      <c r="AB448" s="174"/>
      <c r="AC448" s="200">
        <v>845555.4</v>
      </c>
      <c r="AD448" s="174"/>
      <c r="AE448" s="174"/>
    </row>
    <row r="449" spans="1:31" ht="9.75" customHeight="1" x14ac:dyDescent="0.2">
      <c r="A449" s="167" t="s">
        <v>849</v>
      </c>
      <c r="B449" s="176" t="s">
        <v>850</v>
      </c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7"/>
      <c r="R449" s="177"/>
      <c r="S449" s="177"/>
      <c r="T449" s="177"/>
      <c r="U449" s="177"/>
      <c r="V449" s="177"/>
      <c r="W449" s="177"/>
      <c r="X449" s="177"/>
      <c r="Y449" s="177"/>
      <c r="Z449" s="177"/>
      <c r="AA449" s="177"/>
      <c r="AB449" s="177"/>
      <c r="AC449" s="198">
        <v>202069.84</v>
      </c>
      <c r="AD449" s="177"/>
      <c r="AE449" s="177"/>
    </row>
    <row r="450" spans="1:31" ht="9.6" customHeight="1" x14ac:dyDescent="0.2">
      <c r="A450" s="168" t="s">
        <v>851</v>
      </c>
      <c r="B450" s="179" t="s">
        <v>852</v>
      </c>
      <c r="C450" s="179"/>
      <c r="D450" s="179"/>
      <c r="E450" s="179"/>
      <c r="F450" s="179"/>
      <c r="G450" s="179"/>
      <c r="H450" s="179"/>
      <c r="I450" s="179"/>
      <c r="J450" s="179"/>
      <c r="K450" s="179"/>
      <c r="L450" s="179"/>
      <c r="M450" s="179"/>
      <c r="N450" s="179" t="s">
        <v>112</v>
      </c>
      <c r="O450" s="179"/>
      <c r="P450" s="179"/>
      <c r="Q450" s="180">
        <v>1</v>
      </c>
      <c r="R450" s="174"/>
      <c r="S450" s="174"/>
      <c r="T450" s="174"/>
      <c r="U450" s="174"/>
      <c r="V450" s="174"/>
      <c r="W450" s="199">
        <v>202069.84</v>
      </c>
      <c r="X450" s="174"/>
      <c r="Y450" s="174"/>
      <c r="Z450" s="174"/>
      <c r="AA450" s="174"/>
      <c r="AB450" s="174"/>
      <c r="AC450" s="200">
        <v>202069.84</v>
      </c>
      <c r="AD450" s="174"/>
      <c r="AE450" s="174"/>
    </row>
    <row r="451" spans="1:31" ht="9.75" customHeight="1" x14ac:dyDescent="0.2">
      <c r="A451" s="167" t="s">
        <v>853</v>
      </c>
      <c r="B451" s="176" t="s">
        <v>854</v>
      </c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7"/>
      <c r="R451" s="177"/>
      <c r="S451" s="177"/>
      <c r="T451" s="177"/>
      <c r="U451" s="177"/>
      <c r="V451" s="177"/>
      <c r="W451" s="177"/>
      <c r="X451" s="177"/>
      <c r="Y451" s="177"/>
      <c r="Z451" s="177"/>
      <c r="AA451" s="177"/>
      <c r="AB451" s="177"/>
      <c r="AC451" s="194">
        <v>57200</v>
      </c>
      <c r="AD451" s="177"/>
      <c r="AE451" s="177"/>
    </row>
    <row r="452" spans="1:31" ht="9.6" customHeight="1" x14ac:dyDescent="0.2">
      <c r="A452" s="168" t="s">
        <v>855</v>
      </c>
      <c r="B452" s="179" t="s">
        <v>856</v>
      </c>
      <c r="C452" s="179"/>
      <c r="D452" s="179"/>
      <c r="E452" s="179"/>
      <c r="F452" s="179"/>
      <c r="G452" s="179"/>
      <c r="H452" s="179"/>
      <c r="I452" s="179"/>
      <c r="J452" s="179"/>
      <c r="K452" s="179"/>
      <c r="L452" s="179"/>
      <c r="M452" s="179"/>
      <c r="N452" s="179" t="s">
        <v>857</v>
      </c>
      <c r="O452" s="179"/>
      <c r="P452" s="179"/>
      <c r="Q452" s="191">
        <v>104</v>
      </c>
      <c r="R452" s="174"/>
      <c r="S452" s="174"/>
      <c r="T452" s="174"/>
      <c r="U452" s="174"/>
      <c r="V452" s="174"/>
      <c r="W452" s="191">
        <v>550</v>
      </c>
      <c r="X452" s="174"/>
      <c r="Y452" s="174"/>
      <c r="Z452" s="174"/>
      <c r="AA452" s="174"/>
      <c r="AB452" s="174"/>
      <c r="AC452" s="196">
        <v>57200</v>
      </c>
      <c r="AD452" s="174"/>
      <c r="AE452" s="174"/>
    </row>
    <row r="453" spans="1:31" ht="9.75" customHeight="1" x14ac:dyDescent="0.2">
      <c r="A453" s="167" t="s">
        <v>858</v>
      </c>
      <c r="B453" s="176" t="s">
        <v>859</v>
      </c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7"/>
      <c r="R453" s="177"/>
      <c r="S453" s="177"/>
      <c r="T453" s="177"/>
      <c r="U453" s="177"/>
      <c r="V453" s="177"/>
      <c r="W453" s="177"/>
      <c r="X453" s="177"/>
      <c r="Y453" s="177"/>
      <c r="Z453" s="177"/>
      <c r="AA453" s="177"/>
      <c r="AB453" s="177"/>
      <c r="AC453" s="198">
        <v>631179.41</v>
      </c>
      <c r="AD453" s="177"/>
      <c r="AE453" s="177"/>
    </row>
    <row r="454" spans="1:31" ht="9.6" customHeight="1" x14ac:dyDescent="0.2">
      <c r="A454" s="168" t="s">
        <v>860</v>
      </c>
      <c r="B454" s="179" t="s">
        <v>861</v>
      </c>
      <c r="C454" s="179"/>
      <c r="D454" s="179"/>
      <c r="E454" s="179"/>
      <c r="F454" s="179"/>
      <c r="G454" s="179"/>
      <c r="H454" s="179"/>
      <c r="I454" s="179"/>
      <c r="J454" s="179"/>
      <c r="K454" s="179"/>
      <c r="L454" s="179"/>
      <c r="M454" s="179"/>
      <c r="N454" s="179" t="s">
        <v>112</v>
      </c>
      <c r="O454" s="179"/>
      <c r="P454" s="179"/>
      <c r="Q454" s="180">
        <v>1</v>
      </c>
      <c r="R454" s="174"/>
      <c r="S454" s="174"/>
      <c r="T454" s="174"/>
      <c r="U454" s="174"/>
      <c r="V454" s="174"/>
      <c r="W454" s="199">
        <v>631179.41</v>
      </c>
      <c r="X454" s="174"/>
      <c r="Y454" s="174"/>
      <c r="Z454" s="174"/>
      <c r="AA454" s="174"/>
      <c r="AB454" s="174"/>
      <c r="AC454" s="200">
        <v>631179.41</v>
      </c>
      <c r="AD454" s="174"/>
      <c r="AE454" s="174"/>
    </row>
    <row r="455" spans="1:31" ht="9.75" customHeight="1" x14ac:dyDescent="0.2">
      <c r="A455" s="167" t="s">
        <v>862</v>
      </c>
      <c r="B455" s="176" t="s">
        <v>863</v>
      </c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7"/>
      <c r="R455" s="177"/>
      <c r="S455" s="177"/>
      <c r="T455" s="177"/>
      <c r="U455" s="177"/>
      <c r="V455" s="177"/>
      <c r="W455" s="177"/>
      <c r="X455" s="177"/>
      <c r="Y455" s="177"/>
      <c r="Z455" s="177"/>
      <c r="AA455" s="177"/>
      <c r="AB455" s="177"/>
      <c r="AC455" s="198">
        <v>426150.75</v>
      </c>
      <c r="AD455" s="177"/>
      <c r="AE455" s="177"/>
    </row>
    <row r="456" spans="1:31" ht="9.6" customHeight="1" x14ac:dyDescent="0.2">
      <c r="A456" s="168" t="s">
        <v>864</v>
      </c>
      <c r="B456" s="179" t="s">
        <v>865</v>
      </c>
      <c r="C456" s="179"/>
      <c r="D456" s="179"/>
      <c r="E456" s="179"/>
      <c r="F456" s="179"/>
      <c r="G456" s="179"/>
      <c r="H456" s="179"/>
      <c r="I456" s="179"/>
      <c r="J456" s="179"/>
      <c r="K456" s="179"/>
      <c r="L456" s="179"/>
      <c r="M456" s="179"/>
      <c r="N456" s="179" t="s">
        <v>112</v>
      </c>
      <c r="O456" s="179"/>
      <c r="P456" s="179"/>
      <c r="Q456" s="180">
        <v>1</v>
      </c>
      <c r="R456" s="174"/>
      <c r="S456" s="174"/>
      <c r="T456" s="174"/>
      <c r="U456" s="174"/>
      <c r="V456" s="174"/>
      <c r="W456" s="199">
        <v>426150.75</v>
      </c>
      <c r="X456" s="174"/>
      <c r="Y456" s="174"/>
      <c r="Z456" s="174"/>
      <c r="AA456" s="174"/>
      <c r="AB456" s="174"/>
      <c r="AC456" s="200">
        <v>426150.75</v>
      </c>
      <c r="AD456" s="174"/>
      <c r="AE456" s="174"/>
    </row>
    <row r="457" spans="1:31" ht="9.75" customHeight="1" x14ac:dyDescent="0.2">
      <c r="A457" s="167" t="s">
        <v>866</v>
      </c>
      <c r="B457" s="176" t="s">
        <v>867</v>
      </c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7"/>
      <c r="R457" s="177"/>
      <c r="S457" s="177"/>
      <c r="T457" s="177"/>
      <c r="U457" s="177"/>
      <c r="V457" s="177"/>
      <c r="W457" s="177"/>
      <c r="X457" s="177"/>
      <c r="Y457" s="177"/>
      <c r="Z457" s="177"/>
      <c r="AA457" s="177"/>
      <c r="AB457" s="177"/>
      <c r="AC457" s="198">
        <v>602135.46</v>
      </c>
      <c r="AD457" s="177"/>
      <c r="AE457" s="177"/>
    </row>
    <row r="458" spans="1:31" ht="9.6" customHeight="1" x14ac:dyDescent="0.2">
      <c r="A458" s="168" t="s">
        <v>868</v>
      </c>
      <c r="B458" s="179" t="s">
        <v>869</v>
      </c>
      <c r="C458" s="179"/>
      <c r="D458" s="179"/>
      <c r="E458" s="179"/>
      <c r="F458" s="179"/>
      <c r="G458" s="179"/>
      <c r="H458" s="179"/>
      <c r="I458" s="179"/>
      <c r="J458" s="179"/>
      <c r="K458" s="179"/>
      <c r="L458" s="179"/>
      <c r="M458" s="179"/>
      <c r="N458" s="179" t="s">
        <v>112</v>
      </c>
      <c r="O458" s="179"/>
      <c r="P458" s="179"/>
      <c r="Q458" s="180">
        <v>1</v>
      </c>
      <c r="R458" s="174"/>
      <c r="S458" s="174"/>
      <c r="T458" s="174"/>
      <c r="U458" s="174"/>
      <c r="V458" s="174"/>
      <c r="W458" s="199">
        <v>602135.46</v>
      </c>
      <c r="X458" s="174"/>
      <c r="Y458" s="174"/>
      <c r="Z458" s="174"/>
      <c r="AA458" s="174"/>
      <c r="AB458" s="174"/>
      <c r="AC458" s="200">
        <v>602135.46</v>
      </c>
      <c r="AD458" s="174"/>
      <c r="AE458" s="174"/>
    </row>
    <row r="459" spans="1:31" ht="9.75" customHeight="1" x14ac:dyDescent="0.2">
      <c r="A459" s="167" t="s">
        <v>870</v>
      </c>
      <c r="B459" s="176" t="s">
        <v>871</v>
      </c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7"/>
      <c r="R459" s="177"/>
      <c r="S459" s="177"/>
      <c r="T459" s="177"/>
      <c r="U459" s="177"/>
      <c r="V459" s="177"/>
      <c r="W459" s="177"/>
      <c r="X459" s="177"/>
      <c r="Y459" s="177"/>
      <c r="Z459" s="177"/>
      <c r="AA459" s="177"/>
      <c r="AB459" s="177"/>
      <c r="AC459" s="198">
        <v>243709.12</v>
      </c>
      <c r="AD459" s="177"/>
      <c r="AE459" s="177"/>
    </row>
    <row r="460" spans="1:31" ht="9.6" customHeight="1" x14ac:dyDescent="0.2">
      <c r="A460" s="168" t="s">
        <v>872</v>
      </c>
      <c r="B460" s="179" t="s">
        <v>871</v>
      </c>
      <c r="C460" s="179"/>
      <c r="D460" s="179"/>
      <c r="E460" s="179"/>
      <c r="F460" s="179"/>
      <c r="G460" s="179"/>
      <c r="H460" s="179"/>
      <c r="I460" s="179"/>
      <c r="J460" s="179"/>
      <c r="K460" s="179"/>
      <c r="L460" s="179"/>
      <c r="M460" s="179"/>
      <c r="N460" s="179" t="s">
        <v>112</v>
      </c>
      <c r="O460" s="179"/>
      <c r="P460" s="179"/>
      <c r="Q460" s="180">
        <v>1</v>
      </c>
      <c r="R460" s="174"/>
      <c r="S460" s="174"/>
      <c r="T460" s="174"/>
      <c r="U460" s="174"/>
      <c r="V460" s="174"/>
      <c r="W460" s="199">
        <v>243709.12</v>
      </c>
      <c r="X460" s="174"/>
      <c r="Y460" s="174"/>
      <c r="Z460" s="174"/>
      <c r="AA460" s="174"/>
      <c r="AB460" s="174"/>
      <c r="AC460" s="200">
        <v>243709.12</v>
      </c>
      <c r="AD460" s="174"/>
      <c r="AE460" s="174"/>
    </row>
    <row r="461" spans="1:31" ht="9.75" customHeight="1" x14ac:dyDescent="0.2">
      <c r="A461" s="167" t="s">
        <v>873</v>
      </c>
      <c r="B461" s="176" t="s">
        <v>874</v>
      </c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7"/>
      <c r="R461" s="177"/>
      <c r="S461" s="177"/>
      <c r="T461" s="177"/>
      <c r="U461" s="177"/>
      <c r="V461" s="177"/>
      <c r="W461" s="177"/>
      <c r="X461" s="177"/>
      <c r="Y461" s="177"/>
      <c r="Z461" s="177"/>
      <c r="AA461" s="177"/>
      <c r="AB461" s="177"/>
      <c r="AC461" s="198">
        <v>524429.5</v>
      </c>
      <c r="AD461" s="177"/>
      <c r="AE461" s="177"/>
    </row>
    <row r="462" spans="1:31" ht="9.6" customHeight="1" x14ac:dyDescent="0.2">
      <c r="A462" s="168" t="s">
        <v>875</v>
      </c>
      <c r="B462" s="179" t="s">
        <v>876</v>
      </c>
      <c r="C462" s="179"/>
      <c r="D462" s="179"/>
      <c r="E462" s="179"/>
      <c r="F462" s="179"/>
      <c r="G462" s="179"/>
      <c r="H462" s="179"/>
      <c r="I462" s="179"/>
      <c r="J462" s="179"/>
      <c r="K462" s="179"/>
      <c r="L462" s="179"/>
      <c r="M462" s="179"/>
      <c r="N462" s="179" t="s">
        <v>112</v>
      </c>
      <c r="O462" s="179"/>
      <c r="P462" s="179"/>
      <c r="Q462" s="180">
        <v>1</v>
      </c>
      <c r="R462" s="174"/>
      <c r="S462" s="174"/>
      <c r="T462" s="174"/>
      <c r="U462" s="174"/>
      <c r="V462" s="174"/>
      <c r="W462" s="199">
        <v>524429.5</v>
      </c>
      <c r="X462" s="174"/>
      <c r="Y462" s="174"/>
      <c r="Z462" s="174"/>
      <c r="AA462" s="174"/>
      <c r="AB462" s="174"/>
      <c r="AC462" s="200">
        <v>524429.5</v>
      </c>
      <c r="AD462" s="174"/>
      <c r="AE462" s="174"/>
    </row>
    <row r="463" spans="1:31" ht="9.75" customHeight="1" x14ac:dyDescent="0.2">
      <c r="A463" s="167" t="s">
        <v>877</v>
      </c>
      <c r="B463" s="176" t="s">
        <v>693</v>
      </c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7"/>
      <c r="R463" s="177"/>
      <c r="S463" s="177"/>
      <c r="T463" s="177"/>
      <c r="U463" s="177"/>
      <c r="V463" s="177"/>
      <c r="W463" s="177"/>
      <c r="X463" s="177"/>
      <c r="Y463" s="177"/>
      <c r="Z463" s="177"/>
      <c r="AA463" s="177"/>
      <c r="AB463" s="177"/>
      <c r="AC463" s="178">
        <v>2638132.85</v>
      </c>
      <c r="AD463" s="177"/>
      <c r="AE463" s="177"/>
    </row>
    <row r="464" spans="1:31" ht="9.6" customHeight="1" x14ac:dyDescent="0.2">
      <c r="A464" s="168" t="s">
        <v>878</v>
      </c>
      <c r="B464" s="179" t="s">
        <v>879</v>
      </c>
      <c r="C464" s="179"/>
      <c r="D464" s="179"/>
      <c r="E464" s="179"/>
      <c r="F464" s="179"/>
      <c r="G464" s="179"/>
      <c r="H464" s="179"/>
      <c r="I464" s="179"/>
      <c r="J464" s="179"/>
      <c r="K464" s="179"/>
      <c r="L464" s="179"/>
      <c r="M464" s="179"/>
      <c r="N464" s="179" t="s">
        <v>220</v>
      </c>
      <c r="O464" s="179"/>
      <c r="P464" s="179"/>
      <c r="Q464" s="195">
        <v>42277.77</v>
      </c>
      <c r="R464" s="174"/>
      <c r="S464" s="174"/>
      <c r="T464" s="174"/>
      <c r="U464" s="174"/>
      <c r="V464" s="174"/>
      <c r="W464" s="202">
        <v>62.4</v>
      </c>
      <c r="X464" s="174"/>
      <c r="Y464" s="174"/>
      <c r="Z464" s="174"/>
      <c r="AA464" s="174"/>
      <c r="AB464" s="174"/>
      <c r="AC464" s="175">
        <v>2638132.85</v>
      </c>
      <c r="AD464" s="174"/>
      <c r="AE464" s="174"/>
    </row>
    <row r="465" spans="1:33" ht="9.75" customHeight="1" x14ac:dyDescent="0.2">
      <c r="A465" s="167" t="s">
        <v>880</v>
      </c>
      <c r="B465" s="176" t="s">
        <v>881</v>
      </c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7"/>
      <c r="R465" s="177"/>
      <c r="S465" s="177"/>
      <c r="T465" s="177"/>
      <c r="U465" s="177"/>
      <c r="V465" s="177"/>
      <c r="W465" s="177"/>
      <c r="X465" s="177"/>
      <c r="Y465" s="177"/>
      <c r="Z465" s="177"/>
      <c r="AA465" s="177"/>
      <c r="AB465" s="177"/>
      <c r="AC465" s="178">
        <v>4258014.9000000004</v>
      </c>
      <c r="AD465" s="177"/>
      <c r="AE465" s="177"/>
    </row>
    <row r="466" spans="1:33" ht="19.350000000000001" customHeight="1" x14ac:dyDescent="0.2">
      <c r="A466" s="167" t="s">
        <v>882</v>
      </c>
      <c r="B466" s="176" t="s">
        <v>883</v>
      </c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7"/>
      <c r="R466" s="177"/>
      <c r="S466" s="177"/>
      <c r="T466" s="177"/>
      <c r="U466" s="177"/>
      <c r="V466" s="177"/>
      <c r="W466" s="177"/>
      <c r="X466" s="177"/>
      <c r="Y466" s="177"/>
      <c r="Z466" s="177"/>
      <c r="AA466" s="177"/>
      <c r="AB466" s="177"/>
      <c r="AC466" s="198">
        <v>558707.84</v>
      </c>
      <c r="AD466" s="177"/>
      <c r="AE466" s="177"/>
    </row>
    <row r="467" spans="1:33" ht="9.75" customHeight="1" x14ac:dyDescent="0.2">
      <c r="A467" s="167" t="s">
        <v>884</v>
      </c>
      <c r="B467" s="176" t="s">
        <v>885</v>
      </c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7"/>
      <c r="R467" s="177"/>
      <c r="S467" s="177"/>
      <c r="T467" s="177"/>
      <c r="U467" s="177"/>
      <c r="V467" s="177"/>
      <c r="W467" s="177"/>
      <c r="X467" s="177"/>
      <c r="Y467" s="177"/>
      <c r="Z467" s="177"/>
      <c r="AA467" s="177"/>
      <c r="AB467" s="177"/>
      <c r="AC467" s="198">
        <v>107965.09</v>
      </c>
      <c r="AD467" s="177"/>
      <c r="AE467" s="177"/>
    </row>
    <row r="468" spans="1:33" ht="19.350000000000001" customHeight="1" x14ac:dyDescent="0.2">
      <c r="A468" s="168" t="s">
        <v>886</v>
      </c>
      <c r="B468" s="179" t="s">
        <v>887</v>
      </c>
      <c r="C468" s="179"/>
      <c r="D468" s="179"/>
      <c r="E468" s="179"/>
      <c r="F468" s="179"/>
      <c r="G468" s="179"/>
      <c r="H468" s="179"/>
      <c r="I468" s="179"/>
      <c r="J468" s="179"/>
      <c r="K468" s="179"/>
      <c r="L468" s="179"/>
      <c r="M468" s="179"/>
      <c r="N468" s="179" t="s">
        <v>220</v>
      </c>
      <c r="O468" s="179"/>
      <c r="P468" s="179"/>
      <c r="Q468" s="173">
        <v>1517.46</v>
      </c>
      <c r="R468" s="174"/>
      <c r="S468" s="174"/>
      <c r="T468" s="174"/>
      <c r="U468" s="174"/>
      <c r="V468" s="174"/>
      <c r="W468" s="202">
        <v>32.728099999999998</v>
      </c>
      <c r="X468" s="174"/>
      <c r="Y468" s="174"/>
      <c r="Z468" s="174"/>
      <c r="AA468" s="174"/>
      <c r="AB468" s="174"/>
      <c r="AC468" s="196">
        <v>49663.58</v>
      </c>
      <c r="AD468" s="174"/>
      <c r="AE468" s="174"/>
    </row>
    <row r="469" spans="1:33" ht="19.350000000000001" customHeight="1" x14ac:dyDescent="0.2">
      <c r="A469" s="168" t="s">
        <v>888</v>
      </c>
      <c r="B469" s="179" t="s">
        <v>889</v>
      </c>
      <c r="C469" s="179"/>
      <c r="D469" s="179"/>
      <c r="E469" s="179"/>
      <c r="F469" s="179"/>
      <c r="G469" s="179"/>
      <c r="H469" s="179"/>
      <c r="I469" s="179"/>
      <c r="J469" s="179"/>
      <c r="K469" s="179"/>
      <c r="L469" s="179"/>
      <c r="M469" s="179"/>
      <c r="N469" s="179" t="s">
        <v>220</v>
      </c>
      <c r="O469" s="179"/>
      <c r="P469" s="179"/>
      <c r="Q469" s="202">
        <v>98.87</v>
      </c>
      <c r="R469" s="174"/>
      <c r="S469" s="174"/>
      <c r="T469" s="174"/>
      <c r="U469" s="174"/>
      <c r="V469" s="174"/>
      <c r="W469" s="202">
        <v>44.629199999999997</v>
      </c>
      <c r="X469" s="174"/>
      <c r="Y469" s="174"/>
      <c r="Z469" s="174"/>
      <c r="AA469" s="174"/>
      <c r="AB469" s="174"/>
      <c r="AC469" s="201">
        <v>4412.49</v>
      </c>
      <c r="AD469" s="174"/>
      <c r="AE469" s="174"/>
    </row>
    <row r="470" spans="1:33" ht="28.9" customHeight="1" x14ac:dyDescent="0.2">
      <c r="A470" s="168" t="s">
        <v>890</v>
      </c>
      <c r="B470" s="179" t="s">
        <v>891</v>
      </c>
      <c r="C470" s="179"/>
      <c r="D470" s="179"/>
      <c r="E470" s="179"/>
      <c r="F470" s="179"/>
      <c r="G470" s="179"/>
      <c r="H470" s="179"/>
      <c r="I470" s="179"/>
      <c r="J470" s="179"/>
      <c r="K470" s="179"/>
      <c r="L470" s="179"/>
      <c r="M470" s="179"/>
      <c r="N470" s="179" t="s">
        <v>220</v>
      </c>
      <c r="O470" s="179"/>
      <c r="P470" s="179"/>
      <c r="Q470" s="191">
        <v>422.8</v>
      </c>
      <c r="R470" s="174"/>
      <c r="S470" s="174"/>
      <c r="T470" s="174"/>
      <c r="U470" s="174"/>
      <c r="V470" s="174"/>
      <c r="W470" s="202">
        <v>98.048100000000005</v>
      </c>
      <c r="X470" s="174"/>
      <c r="Y470" s="174"/>
      <c r="Z470" s="174"/>
      <c r="AA470" s="174"/>
      <c r="AB470" s="174"/>
      <c r="AC470" s="196">
        <v>41454.74</v>
      </c>
      <c r="AD470" s="174"/>
      <c r="AE470" s="174"/>
    </row>
    <row r="471" spans="1:33" ht="19.350000000000001" customHeight="1" x14ac:dyDescent="0.2">
      <c r="A471" s="168" t="s">
        <v>892</v>
      </c>
      <c r="B471" s="179" t="s">
        <v>893</v>
      </c>
      <c r="C471" s="179"/>
      <c r="D471" s="179"/>
      <c r="E471" s="179"/>
      <c r="F471" s="179"/>
      <c r="G471" s="179"/>
      <c r="H471" s="179"/>
      <c r="I471" s="179"/>
      <c r="J471" s="179"/>
      <c r="K471" s="179"/>
      <c r="L471" s="179"/>
      <c r="M471" s="179"/>
      <c r="N471" s="179" t="s">
        <v>220</v>
      </c>
      <c r="O471" s="179"/>
      <c r="P471" s="179"/>
      <c r="Q471" s="191">
        <v>608.80999999999995</v>
      </c>
      <c r="R471" s="174"/>
      <c r="S471" s="174"/>
      <c r="T471" s="174"/>
      <c r="U471" s="174"/>
      <c r="V471" s="174"/>
      <c r="W471" s="202">
        <v>19.961500000000001</v>
      </c>
      <c r="X471" s="174"/>
      <c r="Y471" s="174"/>
      <c r="Z471" s="174"/>
      <c r="AA471" s="174"/>
      <c r="AB471" s="174"/>
      <c r="AC471" s="196">
        <v>12152.76</v>
      </c>
      <c r="AD471" s="174"/>
      <c r="AE471" s="174"/>
    </row>
    <row r="472" spans="1:33" ht="19.350000000000001" customHeight="1" x14ac:dyDescent="0.2">
      <c r="A472" s="168" t="s">
        <v>894</v>
      </c>
      <c r="B472" s="179" t="s">
        <v>895</v>
      </c>
      <c r="C472" s="179"/>
      <c r="D472" s="179"/>
      <c r="E472" s="179"/>
      <c r="F472" s="179"/>
      <c r="G472" s="179"/>
      <c r="H472" s="179"/>
      <c r="I472" s="179"/>
      <c r="J472" s="179"/>
      <c r="K472" s="179"/>
      <c r="L472" s="179"/>
      <c r="M472" s="179"/>
      <c r="N472" s="179" t="s">
        <v>220</v>
      </c>
      <c r="O472" s="179"/>
      <c r="P472" s="179"/>
      <c r="Q472" s="202">
        <v>15.77</v>
      </c>
      <c r="R472" s="174"/>
      <c r="S472" s="174"/>
      <c r="T472" s="174"/>
      <c r="U472" s="174"/>
      <c r="V472" s="174"/>
      <c r="W472" s="202">
        <v>17.851700000000001</v>
      </c>
      <c r="X472" s="174"/>
      <c r="Y472" s="174"/>
      <c r="Z472" s="174"/>
      <c r="AA472" s="174"/>
      <c r="AB472" s="174"/>
      <c r="AC472" s="205">
        <v>281.52</v>
      </c>
      <c r="AD472" s="174"/>
      <c r="AE472" s="174"/>
    </row>
    <row r="473" spans="1:33" ht="9.75" customHeight="1" x14ac:dyDescent="0.2">
      <c r="A473" s="167" t="s">
        <v>896</v>
      </c>
      <c r="B473" s="176" t="s">
        <v>897</v>
      </c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7"/>
      <c r="R473" s="177"/>
      <c r="S473" s="177"/>
      <c r="T473" s="177"/>
      <c r="U473" s="177"/>
      <c r="V473" s="177"/>
      <c r="W473" s="177"/>
      <c r="X473" s="177"/>
      <c r="Y473" s="177"/>
      <c r="Z473" s="177"/>
      <c r="AA473" s="177"/>
      <c r="AB473" s="177"/>
      <c r="AC473" s="194">
        <v>24968.02</v>
      </c>
      <c r="AD473" s="177"/>
      <c r="AE473" s="177"/>
    </row>
    <row r="474" spans="1:33" ht="19.350000000000001" customHeight="1" x14ac:dyDescent="0.2">
      <c r="A474" s="168" t="s">
        <v>898</v>
      </c>
      <c r="B474" s="179" t="s">
        <v>899</v>
      </c>
      <c r="C474" s="179"/>
      <c r="D474" s="179"/>
      <c r="E474" s="179"/>
      <c r="F474" s="179"/>
      <c r="G474" s="179"/>
      <c r="H474" s="179"/>
      <c r="I474" s="179"/>
      <c r="J474" s="179"/>
      <c r="K474" s="179"/>
      <c r="L474" s="179"/>
      <c r="M474" s="179"/>
      <c r="N474" s="179" t="s">
        <v>220</v>
      </c>
      <c r="O474" s="179"/>
      <c r="P474" s="179"/>
      <c r="Q474" s="202">
        <v>89.83</v>
      </c>
      <c r="R474" s="174"/>
      <c r="S474" s="174"/>
      <c r="T474" s="174"/>
      <c r="U474" s="174"/>
      <c r="V474" s="174"/>
      <c r="W474" s="180">
        <v>2.5415000000000001</v>
      </c>
      <c r="X474" s="174"/>
      <c r="Y474" s="174"/>
      <c r="Z474" s="174"/>
      <c r="AA474" s="174"/>
      <c r="AB474" s="174"/>
      <c r="AC474" s="205">
        <v>228.3</v>
      </c>
      <c r="AD474" s="174"/>
      <c r="AE474" s="174"/>
    </row>
    <row r="475" spans="1:33" ht="19.350000000000001" customHeight="1" x14ac:dyDescent="0.2">
      <c r="A475" s="168" t="s">
        <v>900</v>
      </c>
      <c r="B475" s="179" t="s">
        <v>901</v>
      </c>
      <c r="C475" s="179"/>
      <c r="D475" s="179"/>
      <c r="E475" s="179"/>
      <c r="F475" s="179"/>
      <c r="G475" s="179"/>
      <c r="H475" s="179"/>
      <c r="I475" s="179"/>
      <c r="J475" s="179"/>
      <c r="K475" s="179"/>
      <c r="L475" s="179"/>
      <c r="M475" s="179"/>
      <c r="N475" s="179" t="s">
        <v>220</v>
      </c>
      <c r="O475" s="179"/>
      <c r="P475" s="179"/>
      <c r="Q475" s="191">
        <v>580.33000000000004</v>
      </c>
      <c r="R475" s="174"/>
      <c r="S475" s="174"/>
      <c r="T475" s="174"/>
      <c r="U475" s="174"/>
      <c r="V475" s="174"/>
      <c r="W475" s="180">
        <v>7.3898999999999999</v>
      </c>
      <c r="X475" s="174"/>
      <c r="Y475" s="174"/>
      <c r="Z475" s="174"/>
      <c r="AA475" s="174"/>
      <c r="AB475" s="174"/>
      <c r="AC475" s="201">
        <v>4288.58</v>
      </c>
      <c r="AD475" s="174"/>
      <c r="AE475" s="174"/>
    </row>
    <row r="476" spans="1:33" ht="19.350000000000001" customHeight="1" x14ac:dyDescent="0.2">
      <c r="A476" s="168" t="s">
        <v>902</v>
      </c>
      <c r="B476" s="179" t="s">
        <v>903</v>
      </c>
      <c r="C476" s="179"/>
      <c r="D476" s="179"/>
      <c r="E476" s="179"/>
      <c r="F476" s="179"/>
      <c r="G476" s="179"/>
      <c r="H476" s="179"/>
      <c r="I476" s="179"/>
      <c r="J476" s="179"/>
      <c r="K476" s="179"/>
      <c r="L476" s="179"/>
      <c r="M476" s="179"/>
      <c r="N476" s="179" t="s">
        <v>220</v>
      </c>
      <c r="O476" s="179"/>
      <c r="P476" s="179"/>
      <c r="Q476" s="191">
        <v>670.15</v>
      </c>
      <c r="R476" s="174"/>
      <c r="S476" s="174"/>
      <c r="T476" s="174"/>
      <c r="U476" s="174"/>
      <c r="V476" s="174"/>
      <c r="W476" s="202">
        <v>27.131799999999998</v>
      </c>
      <c r="X476" s="174"/>
      <c r="Y476" s="174"/>
      <c r="Z476" s="174"/>
      <c r="AA476" s="174"/>
      <c r="AB476" s="174"/>
      <c r="AC476" s="196">
        <v>18182.38</v>
      </c>
      <c r="AD476" s="174"/>
      <c r="AE476" s="174"/>
    </row>
    <row r="477" spans="1:33" ht="9.6" customHeight="1" x14ac:dyDescent="0.2">
      <c r="A477" s="168" t="s">
        <v>904</v>
      </c>
      <c r="B477" s="179" t="s">
        <v>905</v>
      </c>
      <c r="C477" s="179"/>
      <c r="D477" s="179"/>
      <c r="E477" s="179"/>
      <c r="F477" s="179"/>
      <c r="G477" s="179"/>
      <c r="H477" s="179"/>
      <c r="I477" s="179"/>
      <c r="J477" s="179"/>
      <c r="K477" s="179"/>
      <c r="L477" s="179"/>
      <c r="M477" s="179"/>
      <c r="N477" s="179" t="s">
        <v>220</v>
      </c>
      <c r="O477" s="179"/>
      <c r="P477" s="179"/>
      <c r="Q477" s="191">
        <v>469.21</v>
      </c>
      <c r="R477" s="174"/>
      <c r="S477" s="174"/>
      <c r="T477" s="174"/>
      <c r="U477" s="174"/>
      <c r="V477" s="174"/>
      <c r="W477" s="180">
        <v>4.1980000000000004</v>
      </c>
      <c r="X477" s="174"/>
      <c r="Y477" s="174"/>
      <c r="Z477" s="174"/>
      <c r="AA477" s="174"/>
      <c r="AB477" s="174"/>
      <c r="AC477" s="201">
        <v>1969.74</v>
      </c>
      <c r="AD477" s="174"/>
      <c r="AE477" s="174"/>
    </row>
    <row r="478" spans="1:33" ht="9.6" customHeight="1" x14ac:dyDescent="0.2">
      <c r="A478" s="168" t="s">
        <v>906</v>
      </c>
      <c r="B478" s="179" t="s">
        <v>907</v>
      </c>
      <c r="C478" s="179"/>
      <c r="D478" s="179"/>
      <c r="E478" s="179"/>
      <c r="F478" s="179"/>
      <c r="G478" s="179"/>
      <c r="H478" s="179"/>
      <c r="I478" s="179"/>
      <c r="J478" s="179"/>
      <c r="K478" s="179"/>
      <c r="L478" s="179"/>
      <c r="M478" s="179"/>
      <c r="N478" s="179" t="s">
        <v>220</v>
      </c>
      <c r="O478" s="179"/>
      <c r="P478" s="179"/>
      <c r="Q478" s="202">
        <v>68.89</v>
      </c>
      <c r="R478" s="174"/>
      <c r="S478" s="174"/>
      <c r="T478" s="174"/>
      <c r="U478" s="174"/>
      <c r="V478" s="174"/>
      <c r="W478" s="180">
        <v>4.3404999999999996</v>
      </c>
      <c r="X478" s="174"/>
      <c r="Y478" s="174"/>
      <c r="Z478" s="174"/>
      <c r="AA478" s="174"/>
      <c r="AB478" s="174"/>
      <c r="AC478" s="205">
        <v>299.02</v>
      </c>
      <c r="AD478" s="174"/>
      <c r="AE478" s="174"/>
      <c r="AF478" s="163">
        <f>AC478+AC500+AC522+AC540</f>
        <v>35264.47</v>
      </c>
      <c r="AG478" s="161" t="s">
        <v>1683</v>
      </c>
    </row>
    <row r="479" spans="1:33" ht="9.75" customHeight="1" x14ac:dyDescent="0.2">
      <c r="A479" s="167" t="s">
        <v>908</v>
      </c>
      <c r="B479" s="176" t="s">
        <v>909</v>
      </c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7"/>
      <c r="R479" s="177"/>
      <c r="S479" s="177"/>
      <c r="T479" s="177"/>
      <c r="U479" s="177"/>
      <c r="V479" s="177"/>
      <c r="W479" s="177"/>
      <c r="X479" s="177"/>
      <c r="Y479" s="177"/>
      <c r="Z479" s="177"/>
      <c r="AA479" s="177"/>
      <c r="AB479" s="177"/>
      <c r="AC479" s="198">
        <v>107738.3</v>
      </c>
      <c r="AD479" s="177"/>
      <c r="AE479" s="177"/>
      <c r="AF479" s="162">
        <f>AC479+AC488+AC501+AC510+AC523+AC530+AC541+AC549</f>
        <v>607544.09</v>
      </c>
      <c r="AG479" s="161" t="s">
        <v>1684</v>
      </c>
    </row>
    <row r="480" spans="1:33" ht="19.350000000000001" customHeight="1" x14ac:dyDescent="0.2">
      <c r="A480" s="168" t="s">
        <v>910</v>
      </c>
      <c r="B480" s="179" t="s">
        <v>911</v>
      </c>
      <c r="C480" s="179"/>
      <c r="D480" s="179"/>
      <c r="E480" s="179"/>
      <c r="F480" s="179"/>
      <c r="G480" s="179"/>
      <c r="H480" s="179"/>
      <c r="I480" s="179"/>
      <c r="J480" s="179"/>
      <c r="K480" s="179"/>
      <c r="L480" s="179"/>
      <c r="M480" s="179"/>
      <c r="N480" s="179" t="s">
        <v>220</v>
      </c>
      <c r="O480" s="179"/>
      <c r="P480" s="179"/>
      <c r="Q480" s="173">
        <v>3424.41</v>
      </c>
      <c r="R480" s="174"/>
      <c r="S480" s="174"/>
      <c r="T480" s="174"/>
      <c r="U480" s="174"/>
      <c r="V480" s="174"/>
      <c r="W480" s="180">
        <v>2.5415000000000001</v>
      </c>
      <c r="X480" s="174"/>
      <c r="Y480" s="174"/>
      <c r="Z480" s="174"/>
      <c r="AA480" s="174"/>
      <c r="AB480" s="174"/>
      <c r="AC480" s="201">
        <v>8703.14</v>
      </c>
      <c r="AD480" s="174"/>
      <c r="AE480" s="174"/>
      <c r="AF480" s="162">
        <f>AC465-AF478-AF479</f>
        <v>3615206.3400000008</v>
      </c>
      <c r="AG480" s="161" t="s">
        <v>1685</v>
      </c>
    </row>
    <row r="481" spans="1:31" ht="19.350000000000001" customHeight="1" x14ac:dyDescent="0.2">
      <c r="A481" s="168" t="s">
        <v>912</v>
      </c>
      <c r="B481" s="179" t="s">
        <v>901</v>
      </c>
      <c r="C481" s="179"/>
      <c r="D481" s="179"/>
      <c r="E481" s="179"/>
      <c r="F481" s="179"/>
      <c r="G481" s="179"/>
      <c r="H481" s="179"/>
      <c r="I481" s="179"/>
      <c r="J481" s="179"/>
      <c r="K481" s="179"/>
      <c r="L481" s="179"/>
      <c r="M481" s="179"/>
      <c r="N481" s="179" t="s">
        <v>220</v>
      </c>
      <c r="O481" s="179"/>
      <c r="P481" s="179"/>
      <c r="Q481" s="180">
        <v>0.26</v>
      </c>
      <c r="R481" s="174"/>
      <c r="S481" s="174"/>
      <c r="T481" s="174"/>
      <c r="U481" s="174"/>
      <c r="V481" s="174"/>
      <c r="W481" s="180">
        <v>7.3898999999999999</v>
      </c>
      <c r="X481" s="174"/>
      <c r="Y481" s="174"/>
      <c r="Z481" s="174"/>
      <c r="AA481" s="174"/>
      <c r="AB481" s="174"/>
      <c r="AC481" s="204">
        <v>1.92</v>
      </c>
      <c r="AD481" s="174"/>
      <c r="AE481" s="174"/>
    </row>
    <row r="482" spans="1:31" ht="9.6" customHeight="1" x14ac:dyDescent="0.2">
      <c r="A482" s="168" t="s">
        <v>913</v>
      </c>
      <c r="B482" s="179" t="s">
        <v>914</v>
      </c>
      <c r="C482" s="179"/>
      <c r="D482" s="179"/>
      <c r="E482" s="179"/>
      <c r="F482" s="179"/>
      <c r="G482" s="179"/>
      <c r="H482" s="179"/>
      <c r="I482" s="179"/>
      <c r="J482" s="179"/>
      <c r="K482" s="179"/>
      <c r="L482" s="179"/>
      <c r="M482" s="179"/>
      <c r="N482" s="179" t="s">
        <v>220</v>
      </c>
      <c r="O482" s="179"/>
      <c r="P482" s="179"/>
      <c r="Q482" s="173">
        <v>3424.67</v>
      </c>
      <c r="R482" s="174"/>
      <c r="S482" s="174"/>
      <c r="T482" s="174"/>
      <c r="U482" s="174"/>
      <c r="V482" s="174"/>
      <c r="W482" s="202">
        <v>28.9176</v>
      </c>
      <c r="X482" s="174"/>
      <c r="Y482" s="174"/>
      <c r="Z482" s="174"/>
      <c r="AA482" s="174"/>
      <c r="AB482" s="174"/>
      <c r="AC482" s="196">
        <v>99033.24</v>
      </c>
      <c r="AD482" s="174"/>
      <c r="AE482" s="174"/>
    </row>
    <row r="483" spans="1:31" ht="9.75" customHeight="1" x14ac:dyDescent="0.2">
      <c r="A483" s="167" t="s">
        <v>915</v>
      </c>
      <c r="B483" s="176" t="s">
        <v>693</v>
      </c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7"/>
      <c r="R483" s="177"/>
      <c r="S483" s="177"/>
      <c r="T483" s="177"/>
      <c r="U483" s="177"/>
      <c r="V483" s="177"/>
      <c r="W483" s="177"/>
      <c r="X483" s="177"/>
      <c r="Y483" s="177"/>
      <c r="Z483" s="177"/>
      <c r="AA483" s="177"/>
      <c r="AB483" s="177"/>
      <c r="AC483" s="198">
        <v>318036.43</v>
      </c>
      <c r="AD483" s="177"/>
      <c r="AE483" s="177"/>
    </row>
    <row r="484" spans="1:31" ht="9.6" customHeight="1" x14ac:dyDescent="0.2">
      <c r="A484" s="168" t="s">
        <v>916</v>
      </c>
      <c r="B484" s="179" t="s">
        <v>917</v>
      </c>
      <c r="C484" s="179"/>
      <c r="D484" s="179"/>
      <c r="E484" s="179"/>
      <c r="F484" s="179"/>
      <c r="G484" s="179"/>
      <c r="H484" s="179"/>
      <c r="I484" s="179"/>
      <c r="J484" s="179"/>
      <c r="K484" s="179"/>
      <c r="L484" s="179"/>
      <c r="M484" s="179"/>
      <c r="N484" s="179" t="s">
        <v>220</v>
      </c>
      <c r="O484" s="179"/>
      <c r="P484" s="179"/>
      <c r="Q484" s="173">
        <v>2054.9</v>
      </c>
      <c r="R484" s="174"/>
      <c r="S484" s="174"/>
      <c r="T484" s="174"/>
      <c r="U484" s="174"/>
      <c r="V484" s="174"/>
      <c r="W484" s="202">
        <v>35</v>
      </c>
      <c r="X484" s="174"/>
      <c r="Y484" s="174"/>
      <c r="Z484" s="174"/>
      <c r="AA484" s="174"/>
      <c r="AB484" s="174"/>
      <c r="AC484" s="196">
        <v>71921.5</v>
      </c>
      <c r="AD484" s="174"/>
      <c r="AE484" s="174"/>
    </row>
    <row r="485" spans="1:31" ht="9.6" customHeight="1" x14ac:dyDescent="0.2">
      <c r="A485" s="168" t="s">
        <v>918</v>
      </c>
      <c r="B485" s="179" t="s">
        <v>919</v>
      </c>
      <c r="C485" s="179"/>
      <c r="D485" s="179"/>
      <c r="E485" s="179"/>
      <c r="F485" s="179"/>
      <c r="G485" s="179"/>
      <c r="H485" s="179"/>
      <c r="I485" s="179"/>
      <c r="J485" s="179"/>
      <c r="K485" s="179"/>
      <c r="L485" s="179"/>
      <c r="M485" s="179"/>
      <c r="N485" s="179" t="s">
        <v>220</v>
      </c>
      <c r="O485" s="179"/>
      <c r="P485" s="179"/>
      <c r="Q485" s="191">
        <v>608.80999999999995</v>
      </c>
      <c r="R485" s="174"/>
      <c r="S485" s="174"/>
      <c r="T485" s="174"/>
      <c r="U485" s="174"/>
      <c r="V485" s="174"/>
      <c r="W485" s="202">
        <v>38</v>
      </c>
      <c r="X485" s="174"/>
      <c r="Y485" s="174"/>
      <c r="Z485" s="174"/>
      <c r="AA485" s="174"/>
      <c r="AB485" s="174"/>
      <c r="AC485" s="196">
        <v>23134.78</v>
      </c>
      <c r="AD485" s="174"/>
      <c r="AE485" s="174"/>
    </row>
    <row r="486" spans="1:31" ht="9.6" customHeight="1" x14ac:dyDescent="0.2">
      <c r="A486" s="168" t="s">
        <v>920</v>
      </c>
      <c r="B486" s="179" t="s">
        <v>921</v>
      </c>
      <c r="C486" s="179"/>
      <c r="D486" s="179"/>
      <c r="E486" s="179"/>
      <c r="F486" s="179"/>
      <c r="G486" s="179"/>
      <c r="H486" s="179"/>
      <c r="I486" s="179"/>
      <c r="J486" s="179"/>
      <c r="K486" s="179"/>
      <c r="L486" s="179"/>
      <c r="M486" s="179"/>
      <c r="N486" s="179" t="s">
        <v>220</v>
      </c>
      <c r="O486" s="179"/>
      <c r="P486" s="179"/>
      <c r="Q486" s="191">
        <v>670.15</v>
      </c>
      <c r="R486" s="174"/>
      <c r="S486" s="174"/>
      <c r="T486" s="174"/>
      <c r="U486" s="174"/>
      <c r="V486" s="174"/>
      <c r="W486" s="202">
        <v>34</v>
      </c>
      <c r="X486" s="174"/>
      <c r="Y486" s="174"/>
      <c r="Z486" s="174"/>
      <c r="AA486" s="174"/>
      <c r="AB486" s="174"/>
      <c r="AC486" s="196">
        <v>22785.1</v>
      </c>
      <c r="AD486" s="174"/>
      <c r="AE486" s="174"/>
    </row>
    <row r="487" spans="1:31" ht="9.6" customHeight="1" x14ac:dyDescent="0.2">
      <c r="A487" s="168" t="s">
        <v>922</v>
      </c>
      <c r="B487" s="179" t="s">
        <v>923</v>
      </c>
      <c r="C487" s="179"/>
      <c r="D487" s="179"/>
      <c r="E487" s="179"/>
      <c r="F487" s="179"/>
      <c r="G487" s="179"/>
      <c r="H487" s="179"/>
      <c r="I487" s="179"/>
      <c r="J487" s="179"/>
      <c r="K487" s="179"/>
      <c r="L487" s="179"/>
      <c r="M487" s="179"/>
      <c r="N487" s="179" t="s">
        <v>220</v>
      </c>
      <c r="O487" s="179"/>
      <c r="P487" s="179"/>
      <c r="Q487" s="191">
        <v>538.1</v>
      </c>
      <c r="R487" s="174"/>
      <c r="S487" s="174"/>
      <c r="T487" s="174"/>
      <c r="U487" s="174"/>
      <c r="V487" s="174"/>
      <c r="W487" s="202">
        <v>22</v>
      </c>
      <c r="X487" s="174"/>
      <c r="Y487" s="174"/>
      <c r="Z487" s="174"/>
      <c r="AA487" s="174"/>
      <c r="AB487" s="174"/>
      <c r="AC487" s="196">
        <v>11838.2</v>
      </c>
      <c r="AD487" s="174"/>
      <c r="AE487" s="174"/>
    </row>
    <row r="488" spans="1:31" ht="9.6" customHeight="1" x14ac:dyDescent="0.2">
      <c r="A488" s="168" t="s">
        <v>924</v>
      </c>
      <c r="B488" s="179" t="s">
        <v>925</v>
      </c>
      <c r="C488" s="179"/>
      <c r="D488" s="179"/>
      <c r="E488" s="179"/>
      <c r="F488" s="179"/>
      <c r="G488" s="179"/>
      <c r="H488" s="179"/>
      <c r="I488" s="179"/>
      <c r="J488" s="179"/>
      <c r="K488" s="179"/>
      <c r="L488" s="179"/>
      <c r="M488" s="179"/>
      <c r="N488" s="179" t="s">
        <v>220</v>
      </c>
      <c r="O488" s="179"/>
      <c r="P488" s="179"/>
      <c r="Q488" s="173">
        <v>3424.67</v>
      </c>
      <c r="R488" s="174"/>
      <c r="S488" s="174"/>
      <c r="T488" s="174"/>
      <c r="U488" s="174"/>
      <c r="V488" s="174"/>
      <c r="W488" s="202">
        <v>55</v>
      </c>
      <c r="X488" s="174"/>
      <c r="Y488" s="174"/>
      <c r="Z488" s="174"/>
      <c r="AA488" s="174"/>
      <c r="AB488" s="174"/>
      <c r="AC488" s="200">
        <v>188356.85</v>
      </c>
      <c r="AD488" s="174"/>
      <c r="AE488" s="174"/>
    </row>
    <row r="489" spans="1:31" ht="19.350000000000001" customHeight="1" x14ac:dyDescent="0.2">
      <c r="A489" s="167" t="s">
        <v>926</v>
      </c>
      <c r="B489" s="176" t="s">
        <v>927</v>
      </c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7"/>
      <c r="R489" s="177"/>
      <c r="S489" s="177"/>
      <c r="T489" s="177"/>
      <c r="U489" s="177"/>
      <c r="V489" s="177"/>
      <c r="W489" s="177"/>
      <c r="X489" s="177"/>
      <c r="Y489" s="177"/>
      <c r="Z489" s="177"/>
      <c r="AA489" s="177"/>
      <c r="AB489" s="177"/>
      <c r="AC489" s="198">
        <v>581530.64</v>
      </c>
      <c r="AD489" s="177"/>
      <c r="AE489" s="177"/>
    </row>
    <row r="490" spans="1:31" ht="9.75" customHeight="1" x14ac:dyDescent="0.2">
      <c r="A490" s="167" t="s">
        <v>928</v>
      </c>
      <c r="B490" s="176" t="s">
        <v>885</v>
      </c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7"/>
      <c r="R490" s="177"/>
      <c r="S490" s="177"/>
      <c r="T490" s="177"/>
      <c r="U490" s="177"/>
      <c r="V490" s="177"/>
      <c r="W490" s="177"/>
      <c r="X490" s="177"/>
      <c r="Y490" s="177"/>
      <c r="Z490" s="177"/>
      <c r="AA490" s="177"/>
      <c r="AB490" s="177"/>
      <c r="AC490" s="198">
        <v>151231.69</v>
      </c>
      <c r="AD490" s="177"/>
      <c r="AE490" s="177"/>
    </row>
    <row r="491" spans="1:31" ht="19.350000000000001" customHeight="1" x14ac:dyDescent="0.2">
      <c r="A491" s="168" t="s">
        <v>929</v>
      </c>
      <c r="B491" s="179" t="s">
        <v>930</v>
      </c>
      <c r="C491" s="179"/>
      <c r="D491" s="179"/>
      <c r="E491" s="179"/>
      <c r="F491" s="179"/>
      <c r="G491" s="179"/>
      <c r="H491" s="179"/>
      <c r="I491" s="179"/>
      <c r="J491" s="179"/>
      <c r="K491" s="179"/>
      <c r="L491" s="179"/>
      <c r="M491" s="179"/>
      <c r="N491" s="179" t="s">
        <v>220</v>
      </c>
      <c r="O491" s="179"/>
      <c r="P491" s="179"/>
      <c r="Q491" s="191">
        <v>433.52</v>
      </c>
      <c r="R491" s="174"/>
      <c r="S491" s="174"/>
      <c r="T491" s="174"/>
      <c r="U491" s="174"/>
      <c r="V491" s="174"/>
      <c r="W491" s="202">
        <v>28.052600000000002</v>
      </c>
      <c r="X491" s="174"/>
      <c r="Y491" s="174"/>
      <c r="Z491" s="174"/>
      <c r="AA491" s="174"/>
      <c r="AB491" s="174"/>
      <c r="AC491" s="196">
        <v>12161.36</v>
      </c>
      <c r="AD491" s="174"/>
      <c r="AE491" s="174"/>
    </row>
    <row r="492" spans="1:31" ht="19.350000000000001" customHeight="1" x14ac:dyDescent="0.2">
      <c r="A492" s="168" t="s">
        <v>931</v>
      </c>
      <c r="B492" s="179" t="s">
        <v>889</v>
      </c>
      <c r="C492" s="179"/>
      <c r="D492" s="179"/>
      <c r="E492" s="179"/>
      <c r="F492" s="179"/>
      <c r="G492" s="179"/>
      <c r="H492" s="179"/>
      <c r="I492" s="179"/>
      <c r="J492" s="179"/>
      <c r="K492" s="179"/>
      <c r="L492" s="179"/>
      <c r="M492" s="179"/>
      <c r="N492" s="179" t="s">
        <v>220</v>
      </c>
      <c r="O492" s="179"/>
      <c r="P492" s="179"/>
      <c r="Q492" s="191">
        <v>141.46</v>
      </c>
      <c r="R492" s="174"/>
      <c r="S492" s="174"/>
      <c r="T492" s="174"/>
      <c r="U492" s="174"/>
      <c r="V492" s="174"/>
      <c r="W492" s="202">
        <v>44.629199999999997</v>
      </c>
      <c r="X492" s="174"/>
      <c r="Y492" s="174"/>
      <c r="Z492" s="174"/>
      <c r="AA492" s="174"/>
      <c r="AB492" s="174"/>
      <c r="AC492" s="201">
        <v>6313.25</v>
      </c>
      <c r="AD492" s="174"/>
      <c r="AE492" s="174"/>
    </row>
    <row r="493" spans="1:31" ht="19.350000000000001" customHeight="1" x14ac:dyDescent="0.2">
      <c r="A493" s="168" t="s">
        <v>932</v>
      </c>
      <c r="B493" s="179" t="s">
        <v>933</v>
      </c>
      <c r="C493" s="179"/>
      <c r="D493" s="179"/>
      <c r="E493" s="179"/>
      <c r="F493" s="179"/>
      <c r="G493" s="179"/>
      <c r="H493" s="179"/>
      <c r="I493" s="179"/>
      <c r="J493" s="179"/>
      <c r="K493" s="179"/>
      <c r="L493" s="179"/>
      <c r="M493" s="179"/>
      <c r="N493" s="179" t="s">
        <v>220</v>
      </c>
      <c r="O493" s="179"/>
      <c r="P493" s="179"/>
      <c r="Q493" s="202">
        <v>49.78</v>
      </c>
      <c r="R493" s="174"/>
      <c r="S493" s="174"/>
      <c r="T493" s="174"/>
      <c r="U493" s="174"/>
      <c r="V493" s="174"/>
      <c r="W493" s="191">
        <v>357.03359999999998</v>
      </c>
      <c r="X493" s="174"/>
      <c r="Y493" s="174"/>
      <c r="Z493" s="174"/>
      <c r="AA493" s="174"/>
      <c r="AB493" s="174"/>
      <c r="AC493" s="196">
        <v>17773.13</v>
      </c>
      <c r="AD493" s="174"/>
      <c r="AE493" s="174"/>
    </row>
    <row r="494" spans="1:31" ht="19.350000000000001" customHeight="1" x14ac:dyDescent="0.2">
      <c r="A494" s="168" t="s">
        <v>934</v>
      </c>
      <c r="B494" s="179" t="s">
        <v>935</v>
      </c>
      <c r="C494" s="179"/>
      <c r="D494" s="179"/>
      <c r="E494" s="179"/>
      <c r="F494" s="179"/>
      <c r="G494" s="179"/>
      <c r="H494" s="179"/>
      <c r="I494" s="179"/>
      <c r="J494" s="179"/>
      <c r="K494" s="179"/>
      <c r="L494" s="179"/>
      <c r="M494" s="179"/>
      <c r="N494" s="179" t="s">
        <v>220</v>
      </c>
      <c r="O494" s="179"/>
      <c r="P494" s="179"/>
      <c r="Q494" s="173">
        <v>7175.33</v>
      </c>
      <c r="R494" s="174"/>
      <c r="S494" s="174"/>
      <c r="T494" s="174"/>
      <c r="U494" s="174"/>
      <c r="V494" s="174"/>
      <c r="W494" s="202">
        <v>16.024899999999999</v>
      </c>
      <c r="X494" s="174"/>
      <c r="Y494" s="174"/>
      <c r="Z494" s="174"/>
      <c r="AA494" s="174"/>
      <c r="AB494" s="174"/>
      <c r="AC494" s="200">
        <v>114983.95</v>
      </c>
      <c r="AD494" s="174"/>
      <c r="AE494" s="174"/>
    </row>
    <row r="495" spans="1:31" ht="9.75" customHeight="1" x14ac:dyDescent="0.2">
      <c r="A495" s="167" t="s">
        <v>936</v>
      </c>
      <c r="B495" s="176" t="s">
        <v>897</v>
      </c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7"/>
      <c r="R495" s="177"/>
      <c r="S495" s="177"/>
      <c r="T495" s="177"/>
      <c r="U495" s="177"/>
      <c r="V495" s="177"/>
      <c r="W495" s="177"/>
      <c r="X495" s="177"/>
      <c r="Y495" s="177"/>
      <c r="Z495" s="177"/>
      <c r="AA495" s="177"/>
      <c r="AB495" s="177"/>
      <c r="AC495" s="194">
        <v>50136.1</v>
      </c>
      <c r="AD495" s="177"/>
      <c r="AE495" s="177"/>
    </row>
    <row r="496" spans="1:31" ht="19.350000000000001" customHeight="1" x14ac:dyDescent="0.2">
      <c r="A496" s="168" t="s">
        <v>937</v>
      </c>
      <c r="B496" s="179" t="s">
        <v>899</v>
      </c>
      <c r="C496" s="179"/>
      <c r="D496" s="179"/>
      <c r="E496" s="179"/>
      <c r="F496" s="179"/>
      <c r="G496" s="179"/>
      <c r="H496" s="179"/>
      <c r="I496" s="179"/>
      <c r="J496" s="179"/>
      <c r="K496" s="179"/>
      <c r="L496" s="179"/>
      <c r="M496" s="179"/>
      <c r="N496" s="179" t="s">
        <v>220</v>
      </c>
      <c r="O496" s="179"/>
      <c r="P496" s="179"/>
      <c r="Q496" s="191">
        <v>124.26</v>
      </c>
      <c r="R496" s="174"/>
      <c r="S496" s="174"/>
      <c r="T496" s="174"/>
      <c r="U496" s="174"/>
      <c r="V496" s="174"/>
      <c r="W496" s="180">
        <v>2.5415000000000001</v>
      </c>
      <c r="X496" s="174"/>
      <c r="Y496" s="174"/>
      <c r="Z496" s="174"/>
      <c r="AA496" s="174"/>
      <c r="AB496" s="174"/>
      <c r="AC496" s="205">
        <v>315.81</v>
      </c>
      <c r="AD496" s="174"/>
      <c r="AE496" s="174"/>
    </row>
    <row r="497" spans="1:31" ht="19.350000000000001" customHeight="1" x14ac:dyDescent="0.2">
      <c r="A497" s="168" t="s">
        <v>938</v>
      </c>
      <c r="B497" s="179" t="s">
        <v>901</v>
      </c>
      <c r="C497" s="179"/>
      <c r="D497" s="179"/>
      <c r="E497" s="179"/>
      <c r="F497" s="179"/>
      <c r="G497" s="179"/>
      <c r="H497" s="179"/>
      <c r="I497" s="179"/>
      <c r="J497" s="179"/>
      <c r="K497" s="179"/>
      <c r="L497" s="179"/>
      <c r="M497" s="179"/>
      <c r="N497" s="179" t="s">
        <v>220</v>
      </c>
      <c r="O497" s="179"/>
      <c r="P497" s="179"/>
      <c r="Q497" s="180">
        <v>0</v>
      </c>
      <c r="R497" s="174"/>
      <c r="S497" s="174"/>
      <c r="T497" s="174"/>
      <c r="U497" s="174"/>
      <c r="V497" s="174"/>
      <c r="W497" s="180">
        <v>7.3898999999999999</v>
      </c>
      <c r="X497" s="174"/>
      <c r="Y497" s="174"/>
      <c r="Z497" s="174"/>
      <c r="AA497" s="174"/>
      <c r="AB497" s="174"/>
      <c r="AC497" s="204">
        <v>0</v>
      </c>
      <c r="AD497" s="174"/>
      <c r="AE497" s="174"/>
    </row>
    <row r="498" spans="1:31" ht="19.350000000000001" customHeight="1" x14ac:dyDescent="0.2">
      <c r="A498" s="168" t="s">
        <v>939</v>
      </c>
      <c r="B498" s="179" t="s">
        <v>903</v>
      </c>
      <c r="C498" s="179"/>
      <c r="D498" s="179"/>
      <c r="E498" s="179"/>
      <c r="F498" s="179"/>
      <c r="G498" s="179"/>
      <c r="H498" s="179"/>
      <c r="I498" s="179"/>
      <c r="J498" s="179"/>
      <c r="K498" s="179"/>
      <c r="L498" s="179"/>
      <c r="M498" s="179"/>
      <c r="N498" s="179" t="s">
        <v>220</v>
      </c>
      <c r="O498" s="179"/>
      <c r="P498" s="179"/>
      <c r="Q498" s="191">
        <v>124.26</v>
      </c>
      <c r="R498" s="174"/>
      <c r="S498" s="174"/>
      <c r="T498" s="174"/>
      <c r="U498" s="174"/>
      <c r="V498" s="174"/>
      <c r="W498" s="202">
        <v>27.131799999999998</v>
      </c>
      <c r="X498" s="174"/>
      <c r="Y498" s="174"/>
      <c r="Z498" s="174"/>
      <c r="AA498" s="174"/>
      <c r="AB498" s="174"/>
      <c r="AC498" s="201">
        <v>3371.4</v>
      </c>
      <c r="AD498" s="174"/>
      <c r="AE498" s="174"/>
    </row>
    <row r="499" spans="1:31" ht="9.6" customHeight="1" x14ac:dyDescent="0.2">
      <c r="A499" s="168" t="s">
        <v>940</v>
      </c>
      <c r="B499" s="179" t="s">
        <v>905</v>
      </c>
      <c r="C499" s="179"/>
      <c r="D499" s="179"/>
      <c r="E499" s="179"/>
      <c r="F499" s="179"/>
      <c r="G499" s="179"/>
      <c r="H499" s="179"/>
      <c r="I499" s="179"/>
      <c r="J499" s="179"/>
      <c r="K499" s="179"/>
      <c r="L499" s="179"/>
      <c r="M499" s="179"/>
      <c r="N499" s="179" t="s">
        <v>220</v>
      </c>
      <c r="O499" s="179"/>
      <c r="P499" s="179"/>
      <c r="Q499" s="173">
        <v>3542.23</v>
      </c>
      <c r="R499" s="174"/>
      <c r="S499" s="174"/>
      <c r="T499" s="174"/>
      <c r="U499" s="174"/>
      <c r="V499" s="174"/>
      <c r="W499" s="180">
        <v>4.1980000000000004</v>
      </c>
      <c r="X499" s="174"/>
      <c r="Y499" s="174"/>
      <c r="Z499" s="174"/>
      <c r="AA499" s="174"/>
      <c r="AB499" s="174"/>
      <c r="AC499" s="196">
        <v>14870.28</v>
      </c>
      <c r="AD499" s="174"/>
      <c r="AE499" s="174"/>
    </row>
    <row r="500" spans="1:31" ht="9.6" customHeight="1" x14ac:dyDescent="0.2">
      <c r="A500" s="168" t="s">
        <v>941</v>
      </c>
      <c r="B500" s="179" t="s">
        <v>907</v>
      </c>
      <c r="C500" s="179"/>
      <c r="D500" s="179"/>
      <c r="E500" s="179"/>
      <c r="F500" s="179"/>
      <c r="G500" s="179"/>
      <c r="H500" s="179"/>
      <c r="I500" s="179"/>
      <c r="J500" s="179"/>
      <c r="K500" s="179"/>
      <c r="L500" s="179"/>
      <c r="M500" s="179"/>
      <c r="N500" s="179" t="s">
        <v>220</v>
      </c>
      <c r="O500" s="179"/>
      <c r="P500" s="179"/>
      <c r="Q500" s="173">
        <v>7275.34</v>
      </c>
      <c r="R500" s="174"/>
      <c r="S500" s="174"/>
      <c r="T500" s="174"/>
      <c r="U500" s="174"/>
      <c r="V500" s="174"/>
      <c r="W500" s="180">
        <v>4.3404999999999996</v>
      </c>
      <c r="X500" s="174"/>
      <c r="Y500" s="174"/>
      <c r="Z500" s="174"/>
      <c r="AA500" s="174"/>
      <c r="AB500" s="174"/>
      <c r="AC500" s="196">
        <v>31578.61</v>
      </c>
      <c r="AD500" s="174"/>
      <c r="AE500" s="174"/>
    </row>
    <row r="501" spans="1:31" ht="9.75" customHeight="1" x14ac:dyDescent="0.2">
      <c r="A501" s="167" t="s">
        <v>942</v>
      </c>
      <c r="B501" s="176" t="s">
        <v>909</v>
      </c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7"/>
      <c r="R501" s="177"/>
      <c r="S501" s="177"/>
      <c r="T501" s="177"/>
      <c r="U501" s="177"/>
      <c r="V501" s="177"/>
      <c r="W501" s="177"/>
      <c r="X501" s="177"/>
      <c r="Y501" s="177"/>
      <c r="Z501" s="177"/>
      <c r="AA501" s="177"/>
      <c r="AB501" s="177"/>
      <c r="AC501" s="207">
        <v>465.59</v>
      </c>
      <c r="AD501" s="177"/>
      <c r="AE501" s="177"/>
    </row>
    <row r="502" spans="1:31" ht="19.350000000000001" customHeight="1" x14ac:dyDescent="0.2">
      <c r="A502" s="168" t="s">
        <v>943</v>
      </c>
      <c r="B502" s="179" t="s">
        <v>911</v>
      </c>
      <c r="C502" s="179"/>
      <c r="D502" s="179"/>
      <c r="E502" s="179"/>
      <c r="F502" s="179"/>
      <c r="G502" s="179"/>
      <c r="H502" s="179"/>
      <c r="I502" s="179"/>
      <c r="J502" s="179"/>
      <c r="K502" s="179"/>
      <c r="L502" s="179"/>
      <c r="M502" s="179"/>
      <c r="N502" s="179" t="s">
        <v>220</v>
      </c>
      <c r="O502" s="179"/>
      <c r="P502" s="179"/>
      <c r="Q502" s="202">
        <v>14.8</v>
      </c>
      <c r="R502" s="174"/>
      <c r="S502" s="174"/>
      <c r="T502" s="174"/>
      <c r="U502" s="174"/>
      <c r="V502" s="174"/>
      <c r="W502" s="180">
        <v>2.5415000000000001</v>
      </c>
      <c r="X502" s="174"/>
      <c r="Y502" s="174"/>
      <c r="Z502" s="174"/>
      <c r="AA502" s="174"/>
      <c r="AB502" s="174"/>
      <c r="AC502" s="208">
        <v>37.61</v>
      </c>
      <c r="AD502" s="174"/>
      <c r="AE502" s="174"/>
    </row>
    <row r="503" spans="1:31" ht="19.350000000000001" customHeight="1" x14ac:dyDescent="0.2">
      <c r="A503" s="168" t="s">
        <v>944</v>
      </c>
      <c r="B503" s="179" t="s">
        <v>901</v>
      </c>
      <c r="C503" s="179"/>
      <c r="D503" s="179"/>
      <c r="E503" s="179"/>
      <c r="F503" s="179"/>
      <c r="G503" s="179"/>
      <c r="H503" s="179"/>
      <c r="I503" s="179"/>
      <c r="J503" s="179"/>
      <c r="K503" s="179"/>
      <c r="L503" s="179"/>
      <c r="M503" s="179"/>
      <c r="N503" s="179" t="s">
        <v>220</v>
      </c>
      <c r="O503" s="179"/>
      <c r="P503" s="179"/>
      <c r="Q503" s="180">
        <v>0</v>
      </c>
      <c r="R503" s="174"/>
      <c r="S503" s="174"/>
      <c r="T503" s="174"/>
      <c r="U503" s="174"/>
      <c r="V503" s="174"/>
      <c r="W503" s="180">
        <v>7.3898999999999999</v>
      </c>
      <c r="X503" s="174"/>
      <c r="Y503" s="174"/>
      <c r="Z503" s="174"/>
      <c r="AA503" s="174"/>
      <c r="AB503" s="174"/>
      <c r="AC503" s="204">
        <v>0</v>
      </c>
      <c r="AD503" s="174"/>
      <c r="AE503" s="174"/>
    </row>
    <row r="504" spans="1:31" ht="9.6" customHeight="1" x14ac:dyDescent="0.2">
      <c r="A504" s="168" t="s">
        <v>945</v>
      </c>
      <c r="B504" s="179" t="s">
        <v>914</v>
      </c>
      <c r="C504" s="179"/>
      <c r="D504" s="179"/>
      <c r="E504" s="179"/>
      <c r="F504" s="179"/>
      <c r="G504" s="179"/>
      <c r="H504" s="179"/>
      <c r="I504" s="179"/>
      <c r="J504" s="179"/>
      <c r="K504" s="179"/>
      <c r="L504" s="179"/>
      <c r="M504" s="179"/>
      <c r="N504" s="179" t="s">
        <v>220</v>
      </c>
      <c r="O504" s="179"/>
      <c r="P504" s="179"/>
      <c r="Q504" s="202">
        <v>14.8</v>
      </c>
      <c r="R504" s="174"/>
      <c r="S504" s="174"/>
      <c r="T504" s="174"/>
      <c r="U504" s="174"/>
      <c r="V504" s="174"/>
      <c r="W504" s="202">
        <v>28.9176</v>
      </c>
      <c r="X504" s="174"/>
      <c r="Y504" s="174"/>
      <c r="Z504" s="174"/>
      <c r="AA504" s="174"/>
      <c r="AB504" s="174"/>
      <c r="AC504" s="205">
        <v>427.98</v>
      </c>
      <c r="AD504" s="174"/>
      <c r="AE504" s="174"/>
    </row>
    <row r="505" spans="1:31" ht="9.75" customHeight="1" x14ac:dyDescent="0.2">
      <c r="A505" s="167" t="s">
        <v>946</v>
      </c>
      <c r="B505" s="176" t="s">
        <v>693</v>
      </c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7"/>
      <c r="R505" s="177"/>
      <c r="S505" s="177"/>
      <c r="T505" s="177"/>
      <c r="U505" s="177"/>
      <c r="V505" s="177"/>
      <c r="W505" s="177"/>
      <c r="X505" s="177"/>
      <c r="Y505" s="177"/>
      <c r="Z505" s="177"/>
      <c r="AA505" s="177"/>
      <c r="AB505" s="177"/>
      <c r="AC505" s="198">
        <v>379697.26</v>
      </c>
      <c r="AD505" s="177"/>
      <c r="AE505" s="177"/>
    </row>
    <row r="506" spans="1:31" ht="9.6" customHeight="1" x14ac:dyDescent="0.2">
      <c r="A506" s="168" t="s">
        <v>947</v>
      </c>
      <c r="B506" s="179" t="s">
        <v>917</v>
      </c>
      <c r="C506" s="179"/>
      <c r="D506" s="179"/>
      <c r="E506" s="179"/>
      <c r="F506" s="179"/>
      <c r="G506" s="179"/>
      <c r="H506" s="179"/>
      <c r="I506" s="179"/>
      <c r="J506" s="179"/>
      <c r="K506" s="179"/>
      <c r="L506" s="179"/>
      <c r="M506" s="179"/>
      <c r="N506" s="179" t="s">
        <v>220</v>
      </c>
      <c r="O506" s="179"/>
      <c r="P506" s="179"/>
      <c r="Q506" s="191">
        <v>624.76</v>
      </c>
      <c r="R506" s="174"/>
      <c r="S506" s="174"/>
      <c r="T506" s="174"/>
      <c r="U506" s="174"/>
      <c r="V506" s="174"/>
      <c r="W506" s="202">
        <v>35</v>
      </c>
      <c r="X506" s="174"/>
      <c r="Y506" s="174"/>
      <c r="Z506" s="174"/>
      <c r="AA506" s="174"/>
      <c r="AB506" s="174"/>
      <c r="AC506" s="196">
        <v>21866.6</v>
      </c>
      <c r="AD506" s="174"/>
      <c r="AE506" s="174"/>
    </row>
    <row r="507" spans="1:31" ht="9.6" customHeight="1" x14ac:dyDescent="0.2">
      <c r="A507" s="168" t="s">
        <v>948</v>
      </c>
      <c r="B507" s="179" t="s">
        <v>949</v>
      </c>
      <c r="C507" s="179"/>
      <c r="D507" s="179"/>
      <c r="E507" s="179"/>
      <c r="F507" s="179"/>
      <c r="G507" s="179"/>
      <c r="H507" s="179"/>
      <c r="I507" s="179"/>
      <c r="J507" s="179"/>
      <c r="K507" s="179"/>
      <c r="L507" s="179"/>
      <c r="M507" s="179"/>
      <c r="N507" s="179" t="s">
        <v>220</v>
      </c>
      <c r="O507" s="179"/>
      <c r="P507" s="179"/>
      <c r="Q507" s="173">
        <v>7175.33</v>
      </c>
      <c r="R507" s="174"/>
      <c r="S507" s="174"/>
      <c r="T507" s="174"/>
      <c r="U507" s="174"/>
      <c r="V507" s="174"/>
      <c r="W507" s="202">
        <v>16</v>
      </c>
      <c r="X507" s="174"/>
      <c r="Y507" s="174"/>
      <c r="Z507" s="174"/>
      <c r="AA507" s="174"/>
      <c r="AB507" s="174"/>
      <c r="AC507" s="200">
        <v>114805.28</v>
      </c>
      <c r="AD507" s="174"/>
      <c r="AE507" s="174"/>
    </row>
    <row r="508" spans="1:31" ht="9.6" customHeight="1" x14ac:dyDescent="0.2">
      <c r="A508" s="168" t="s">
        <v>950</v>
      </c>
      <c r="B508" s="179" t="s">
        <v>921</v>
      </c>
      <c r="C508" s="179"/>
      <c r="D508" s="179"/>
      <c r="E508" s="179"/>
      <c r="F508" s="179"/>
      <c r="G508" s="179"/>
      <c r="H508" s="179"/>
      <c r="I508" s="179"/>
      <c r="J508" s="179"/>
      <c r="K508" s="179"/>
      <c r="L508" s="179"/>
      <c r="M508" s="179"/>
      <c r="N508" s="179" t="s">
        <v>220</v>
      </c>
      <c r="O508" s="179"/>
      <c r="P508" s="179"/>
      <c r="Q508" s="191">
        <v>124.26</v>
      </c>
      <c r="R508" s="174"/>
      <c r="S508" s="174"/>
      <c r="T508" s="174"/>
      <c r="U508" s="174"/>
      <c r="V508" s="174"/>
      <c r="W508" s="202">
        <v>34</v>
      </c>
      <c r="X508" s="174"/>
      <c r="Y508" s="174"/>
      <c r="Z508" s="174"/>
      <c r="AA508" s="174"/>
      <c r="AB508" s="174"/>
      <c r="AC508" s="201">
        <v>4224.84</v>
      </c>
      <c r="AD508" s="174"/>
      <c r="AE508" s="174"/>
    </row>
    <row r="509" spans="1:31" ht="9.6" customHeight="1" x14ac:dyDescent="0.2">
      <c r="A509" s="168" t="s">
        <v>951</v>
      </c>
      <c r="B509" s="179" t="s">
        <v>923</v>
      </c>
      <c r="C509" s="179"/>
      <c r="D509" s="179"/>
      <c r="E509" s="179"/>
      <c r="F509" s="179"/>
      <c r="G509" s="179"/>
      <c r="H509" s="179"/>
      <c r="I509" s="179"/>
      <c r="J509" s="179"/>
      <c r="K509" s="179"/>
      <c r="L509" s="179"/>
      <c r="M509" s="179"/>
      <c r="N509" s="179" t="s">
        <v>220</v>
      </c>
      <c r="O509" s="179"/>
      <c r="P509" s="179"/>
      <c r="Q509" s="195">
        <v>10817.57</v>
      </c>
      <c r="R509" s="174"/>
      <c r="S509" s="174"/>
      <c r="T509" s="174"/>
      <c r="U509" s="174"/>
      <c r="V509" s="174"/>
      <c r="W509" s="202">
        <v>22</v>
      </c>
      <c r="X509" s="174"/>
      <c r="Y509" s="174"/>
      <c r="Z509" s="174"/>
      <c r="AA509" s="174"/>
      <c r="AB509" s="174"/>
      <c r="AC509" s="200">
        <v>237986.54</v>
      </c>
      <c r="AD509" s="174"/>
      <c r="AE509" s="174"/>
    </row>
    <row r="510" spans="1:31" ht="9.6" customHeight="1" x14ac:dyDescent="0.2">
      <c r="A510" s="168" t="s">
        <v>952</v>
      </c>
      <c r="B510" s="179" t="s">
        <v>925</v>
      </c>
      <c r="C510" s="179"/>
      <c r="D510" s="179"/>
      <c r="E510" s="179"/>
      <c r="F510" s="179"/>
      <c r="G510" s="179"/>
      <c r="H510" s="179"/>
      <c r="I510" s="179"/>
      <c r="J510" s="179"/>
      <c r="K510" s="179"/>
      <c r="L510" s="179"/>
      <c r="M510" s="179"/>
      <c r="N510" s="179" t="s">
        <v>220</v>
      </c>
      <c r="O510" s="179"/>
      <c r="P510" s="179"/>
      <c r="Q510" s="202">
        <v>14.8</v>
      </c>
      <c r="R510" s="174"/>
      <c r="S510" s="174"/>
      <c r="T510" s="174"/>
      <c r="U510" s="174"/>
      <c r="V510" s="174"/>
      <c r="W510" s="202">
        <v>55</v>
      </c>
      <c r="X510" s="174"/>
      <c r="Y510" s="174"/>
      <c r="Z510" s="174"/>
      <c r="AA510" s="174"/>
      <c r="AB510" s="174"/>
      <c r="AC510" s="205">
        <v>814</v>
      </c>
      <c r="AD510" s="174"/>
      <c r="AE510" s="174"/>
    </row>
    <row r="511" spans="1:31" ht="19.350000000000001" customHeight="1" x14ac:dyDescent="0.2">
      <c r="A511" s="167" t="s">
        <v>953</v>
      </c>
      <c r="B511" s="176" t="s">
        <v>954</v>
      </c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7"/>
      <c r="R511" s="177"/>
      <c r="S511" s="177"/>
      <c r="T511" s="177"/>
      <c r="U511" s="177"/>
      <c r="V511" s="177"/>
      <c r="W511" s="177"/>
      <c r="X511" s="177"/>
      <c r="Y511" s="177"/>
      <c r="Z511" s="177"/>
      <c r="AA511" s="177"/>
      <c r="AB511" s="177"/>
      <c r="AC511" s="178">
        <v>2954325.89</v>
      </c>
      <c r="AD511" s="177"/>
      <c r="AE511" s="177"/>
    </row>
    <row r="512" spans="1:31" ht="9.75" customHeight="1" x14ac:dyDescent="0.2">
      <c r="A512" s="167" t="s">
        <v>955</v>
      </c>
      <c r="B512" s="176" t="s">
        <v>885</v>
      </c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7"/>
      <c r="R512" s="177"/>
      <c r="S512" s="177"/>
      <c r="T512" s="177"/>
      <c r="U512" s="177"/>
      <c r="V512" s="177"/>
      <c r="W512" s="177"/>
      <c r="X512" s="177"/>
      <c r="Y512" s="177"/>
      <c r="Z512" s="177"/>
      <c r="AA512" s="177"/>
      <c r="AB512" s="177"/>
      <c r="AC512" s="178">
        <v>1972216.61</v>
      </c>
      <c r="AD512" s="177"/>
      <c r="AE512" s="177"/>
    </row>
    <row r="513" spans="1:31" ht="19.350000000000001" customHeight="1" x14ac:dyDescent="0.2">
      <c r="A513" s="168" t="s">
        <v>956</v>
      </c>
      <c r="B513" s="179" t="s">
        <v>889</v>
      </c>
      <c r="C513" s="179"/>
      <c r="D513" s="179"/>
      <c r="E513" s="179"/>
      <c r="F513" s="179"/>
      <c r="G513" s="179"/>
      <c r="H513" s="179"/>
      <c r="I513" s="179"/>
      <c r="J513" s="179"/>
      <c r="K513" s="179"/>
      <c r="L513" s="179"/>
      <c r="M513" s="179"/>
      <c r="N513" s="179" t="s">
        <v>220</v>
      </c>
      <c r="O513" s="179"/>
      <c r="P513" s="179"/>
      <c r="Q513" s="173">
        <v>1794.5</v>
      </c>
      <c r="R513" s="174"/>
      <c r="S513" s="174"/>
      <c r="T513" s="174"/>
      <c r="U513" s="174"/>
      <c r="V513" s="174"/>
      <c r="W513" s="202">
        <v>44.629199999999997</v>
      </c>
      <c r="X513" s="174"/>
      <c r="Y513" s="174"/>
      <c r="Z513" s="174"/>
      <c r="AA513" s="174"/>
      <c r="AB513" s="174"/>
      <c r="AC513" s="196">
        <v>80087.100000000006</v>
      </c>
      <c r="AD513" s="174"/>
      <c r="AE513" s="174"/>
    </row>
    <row r="514" spans="1:31" ht="28.9" customHeight="1" x14ac:dyDescent="0.2">
      <c r="A514" s="168" t="s">
        <v>957</v>
      </c>
      <c r="B514" s="179" t="s">
        <v>958</v>
      </c>
      <c r="C514" s="179"/>
      <c r="D514" s="179"/>
      <c r="E514" s="179"/>
      <c r="F514" s="179"/>
      <c r="G514" s="179"/>
      <c r="H514" s="179"/>
      <c r="I514" s="179"/>
      <c r="J514" s="179"/>
      <c r="K514" s="179"/>
      <c r="L514" s="179"/>
      <c r="M514" s="179"/>
      <c r="N514" s="179" t="s">
        <v>220</v>
      </c>
      <c r="O514" s="179"/>
      <c r="P514" s="179"/>
      <c r="Q514" s="195">
        <v>16797.580000000002</v>
      </c>
      <c r="R514" s="174"/>
      <c r="S514" s="174"/>
      <c r="T514" s="174"/>
      <c r="U514" s="174"/>
      <c r="V514" s="174"/>
      <c r="W514" s="191">
        <v>112.0744</v>
      </c>
      <c r="X514" s="174"/>
      <c r="Y514" s="174"/>
      <c r="Z514" s="174"/>
      <c r="AA514" s="174"/>
      <c r="AB514" s="174"/>
      <c r="AC514" s="175">
        <v>1882578.7</v>
      </c>
      <c r="AD514" s="174"/>
      <c r="AE514" s="174"/>
    </row>
    <row r="515" spans="1:31" ht="19.350000000000001" customHeight="1" x14ac:dyDescent="0.2">
      <c r="A515" s="168" t="s">
        <v>959</v>
      </c>
      <c r="B515" s="179" t="s">
        <v>893</v>
      </c>
      <c r="C515" s="179"/>
      <c r="D515" s="179"/>
      <c r="E515" s="179"/>
      <c r="F515" s="179"/>
      <c r="G515" s="179"/>
      <c r="H515" s="179"/>
      <c r="I515" s="179"/>
      <c r="J515" s="179"/>
      <c r="K515" s="179"/>
      <c r="L515" s="179"/>
      <c r="M515" s="179"/>
      <c r="N515" s="179" t="s">
        <v>220</v>
      </c>
      <c r="O515" s="179"/>
      <c r="P515" s="179"/>
      <c r="Q515" s="191">
        <v>428.47</v>
      </c>
      <c r="R515" s="174"/>
      <c r="S515" s="174"/>
      <c r="T515" s="174"/>
      <c r="U515" s="174"/>
      <c r="V515" s="174"/>
      <c r="W515" s="202">
        <v>19.961500000000001</v>
      </c>
      <c r="X515" s="174"/>
      <c r="Y515" s="174"/>
      <c r="Z515" s="174"/>
      <c r="AA515" s="174"/>
      <c r="AB515" s="174"/>
      <c r="AC515" s="201">
        <v>8552.9</v>
      </c>
      <c r="AD515" s="174"/>
      <c r="AE515" s="174"/>
    </row>
    <row r="516" spans="1:31" ht="19.350000000000001" customHeight="1" x14ac:dyDescent="0.2">
      <c r="A516" s="168" t="s">
        <v>960</v>
      </c>
      <c r="B516" s="179" t="s">
        <v>895</v>
      </c>
      <c r="C516" s="179"/>
      <c r="D516" s="179"/>
      <c r="E516" s="179"/>
      <c r="F516" s="179"/>
      <c r="G516" s="179"/>
      <c r="H516" s="179"/>
      <c r="I516" s="179"/>
      <c r="J516" s="179"/>
      <c r="K516" s="179"/>
      <c r="L516" s="179"/>
      <c r="M516" s="179"/>
      <c r="N516" s="179" t="s">
        <v>220</v>
      </c>
      <c r="O516" s="179"/>
      <c r="P516" s="179"/>
      <c r="Q516" s="202">
        <v>55.9</v>
      </c>
      <c r="R516" s="174"/>
      <c r="S516" s="174"/>
      <c r="T516" s="174"/>
      <c r="U516" s="174"/>
      <c r="V516" s="174"/>
      <c r="W516" s="202">
        <v>17.851700000000001</v>
      </c>
      <c r="X516" s="174"/>
      <c r="Y516" s="174"/>
      <c r="Z516" s="174"/>
      <c r="AA516" s="174"/>
      <c r="AB516" s="174"/>
      <c r="AC516" s="205">
        <v>997.91</v>
      </c>
      <c r="AD516" s="174"/>
      <c r="AE516" s="174"/>
    </row>
    <row r="517" spans="1:31" ht="9.75" customHeight="1" x14ac:dyDescent="0.2">
      <c r="A517" s="167" t="s">
        <v>961</v>
      </c>
      <c r="B517" s="176" t="s">
        <v>897</v>
      </c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7"/>
      <c r="R517" s="177"/>
      <c r="S517" s="177"/>
      <c r="T517" s="177"/>
      <c r="U517" s="177"/>
      <c r="V517" s="177"/>
      <c r="W517" s="177"/>
      <c r="X517" s="177"/>
      <c r="Y517" s="177"/>
      <c r="Z517" s="177"/>
      <c r="AA517" s="177"/>
      <c r="AB517" s="177"/>
      <c r="AC517" s="194">
        <v>23992.27</v>
      </c>
      <c r="AD517" s="177"/>
      <c r="AE517" s="177"/>
    </row>
    <row r="518" spans="1:31" ht="19.350000000000001" customHeight="1" x14ac:dyDescent="0.2">
      <c r="A518" s="168" t="s">
        <v>962</v>
      </c>
      <c r="B518" s="179" t="s">
        <v>899</v>
      </c>
      <c r="C518" s="179"/>
      <c r="D518" s="179"/>
      <c r="E518" s="179"/>
      <c r="F518" s="179"/>
      <c r="G518" s="179"/>
      <c r="H518" s="179"/>
      <c r="I518" s="179"/>
      <c r="J518" s="179"/>
      <c r="K518" s="179"/>
      <c r="L518" s="179"/>
      <c r="M518" s="179"/>
      <c r="N518" s="179" t="s">
        <v>220</v>
      </c>
      <c r="O518" s="179"/>
      <c r="P518" s="179"/>
      <c r="Q518" s="191">
        <v>186.69</v>
      </c>
      <c r="R518" s="174"/>
      <c r="S518" s="174"/>
      <c r="T518" s="174"/>
      <c r="U518" s="174"/>
      <c r="V518" s="174"/>
      <c r="W518" s="180">
        <v>2.5415000000000001</v>
      </c>
      <c r="X518" s="174"/>
      <c r="Y518" s="174"/>
      <c r="Z518" s="174"/>
      <c r="AA518" s="174"/>
      <c r="AB518" s="174"/>
      <c r="AC518" s="205">
        <v>474.47</v>
      </c>
      <c r="AD518" s="174"/>
      <c r="AE518" s="174"/>
    </row>
    <row r="519" spans="1:31" ht="19.350000000000001" customHeight="1" x14ac:dyDescent="0.2">
      <c r="A519" s="168" t="s">
        <v>963</v>
      </c>
      <c r="B519" s="179" t="s">
        <v>901</v>
      </c>
      <c r="C519" s="179"/>
      <c r="D519" s="179"/>
      <c r="E519" s="179"/>
      <c r="F519" s="179"/>
      <c r="G519" s="179"/>
      <c r="H519" s="179"/>
      <c r="I519" s="179"/>
      <c r="J519" s="179"/>
      <c r="K519" s="179"/>
      <c r="L519" s="179"/>
      <c r="M519" s="179"/>
      <c r="N519" s="179" t="s">
        <v>220</v>
      </c>
      <c r="O519" s="179"/>
      <c r="P519" s="179"/>
      <c r="Q519" s="191">
        <v>143.19</v>
      </c>
      <c r="R519" s="174"/>
      <c r="S519" s="174"/>
      <c r="T519" s="174"/>
      <c r="U519" s="174"/>
      <c r="V519" s="174"/>
      <c r="W519" s="180">
        <v>7.3898999999999999</v>
      </c>
      <c r="X519" s="174"/>
      <c r="Y519" s="174"/>
      <c r="Z519" s="174"/>
      <c r="AA519" s="174"/>
      <c r="AB519" s="174"/>
      <c r="AC519" s="201">
        <v>1058.1600000000001</v>
      </c>
      <c r="AD519" s="174"/>
      <c r="AE519" s="174"/>
    </row>
    <row r="520" spans="1:31" ht="19.350000000000001" customHeight="1" x14ac:dyDescent="0.2">
      <c r="A520" s="168" t="s">
        <v>964</v>
      </c>
      <c r="B520" s="179" t="s">
        <v>903</v>
      </c>
      <c r="C520" s="179"/>
      <c r="D520" s="179"/>
      <c r="E520" s="179"/>
      <c r="F520" s="179"/>
      <c r="G520" s="179"/>
      <c r="H520" s="179"/>
      <c r="I520" s="179"/>
      <c r="J520" s="179"/>
      <c r="K520" s="179"/>
      <c r="L520" s="179"/>
      <c r="M520" s="179"/>
      <c r="N520" s="179" t="s">
        <v>220</v>
      </c>
      <c r="O520" s="179"/>
      <c r="P520" s="179"/>
      <c r="Q520" s="191">
        <v>329.88</v>
      </c>
      <c r="R520" s="174"/>
      <c r="S520" s="174"/>
      <c r="T520" s="174"/>
      <c r="U520" s="174"/>
      <c r="V520" s="174"/>
      <c r="W520" s="202">
        <v>27.131799999999998</v>
      </c>
      <c r="X520" s="174"/>
      <c r="Y520" s="174"/>
      <c r="Z520" s="174"/>
      <c r="AA520" s="174"/>
      <c r="AB520" s="174"/>
      <c r="AC520" s="201">
        <v>8950.24</v>
      </c>
      <c r="AD520" s="174"/>
      <c r="AE520" s="174"/>
    </row>
    <row r="521" spans="1:31" ht="9.6" customHeight="1" x14ac:dyDescent="0.2">
      <c r="A521" s="168" t="s">
        <v>965</v>
      </c>
      <c r="B521" s="179" t="s">
        <v>905</v>
      </c>
      <c r="C521" s="179"/>
      <c r="D521" s="179"/>
      <c r="E521" s="179"/>
      <c r="F521" s="179"/>
      <c r="G521" s="179"/>
      <c r="H521" s="179"/>
      <c r="I521" s="179"/>
      <c r="J521" s="179"/>
      <c r="K521" s="179"/>
      <c r="L521" s="179"/>
      <c r="M521" s="179"/>
      <c r="N521" s="179" t="s">
        <v>220</v>
      </c>
      <c r="O521" s="179"/>
      <c r="P521" s="179"/>
      <c r="Q521" s="173">
        <v>2549.52</v>
      </c>
      <c r="R521" s="174"/>
      <c r="S521" s="174"/>
      <c r="T521" s="174"/>
      <c r="U521" s="174"/>
      <c r="V521" s="174"/>
      <c r="W521" s="180">
        <v>4.1980000000000004</v>
      </c>
      <c r="X521" s="174"/>
      <c r="Y521" s="174"/>
      <c r="Z521" s="174"/>
      <c r="AA521" s="174"/>
      <c r="AB521" s="174"/>
      <c r="AC521" s="196">
        <v>10702.88</v>
      </c>
      <c r="AD521" s="174"/>
      <c r="AE521" s="174"/>
    </row>
    <row r="522" spans="1:31" ht="9.6" customHeight="1" x14ac:dyDescent="0.2">
      <c r="A522" s="168" t="s">
        <v>966</v>
      </c>
      <c r="B522" s="179" t="s">
        <v>907</v>
      </c>
      <c r="C522" s="179"/>
      <c r="D522" s="179"/>
      <c r="E522" s="179"/>
      <c r="F522" s="179"/>
      <c r="G522" s="179"/>
      <c r="H522" s="179"/>
      <c r="I522" s="179"/>
      <c r="J522" s="179"/>
      <c r="K522" s="179"/>
      <c r="L522" s="179"/>
      <c r="M522" s="179"/>
      <c r="N522" s="179" t="s">
        <v>220</v>
      </c>
      <c r="O522" s="179"/>
      <c r="P522" s="179"/>
      <c r="Q522" s="191">
        <v>646.59</v>
      </c>
      <c r="R522" s="174"/>
      <c r="S522" s="174"/>
      <c r="T522" s="174"/>
      <c r="U522" s="174"/>
      <c r="V522" s="174"/>
      <c r="W522" s="180">
        <v>4.3404999999999996</v>
      </c>
      <c r="X522" s="174"/>
      <c r="Y522" s="174"/>
      <c r="Z522" s="174"/>
      <c r="AA522" s="174"/>
      <c r="AB522" s="174"/>
      <c r="AC522" s="201">
        <v>2806.52</v>
      </c>
      <c r="AD522" s="174"/>
      <c r="AE522" s="174"/>
    </row>
    <row r="523" spans="1:31" ht="9.75" customHeight="1" x14ac:dyDescent="0.2">
      <c r="A523" s="167" t="s">
        <v>967</v>
      </c>
      <c r="B523" s="176" t="s">
        <v>909</v>
      </c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7"/>
      <c r="R523" s="177"/>
      <c r="S523" s="177"/>
      <c r="T523" s="177"/>
      <c r="U523" s="177"/>
      <c r="V523" s="177"/>
      <c r="W523" s="177"/>
      <c r="X523" s="177"/>
      <c r="Y523" s="177"/>
      <c r="Z523" s="177"/>
      <c r="AA523" s="177"/>
      <c r="AB523" s="177"/>
      <c r="AC523" s="194">
        <v>75805.42</v>
      </c>
      <c r="AD523" s="177"/>
      <c r="AE523" s="177"/>
    </row>
    <row r="524" spans="1:31" ht="19.350000000000001" customHeight="1" x14ac:dyDescent="0.2">
      <c r="A524" s="168" t="s">
        <v>968</v>
      </c>
      <c r="B524" s="179" t="s">
        <v>911</v>
      </c>
      <c r="C524" s="179"/>
      <c r="D524" s="179"/>
      <c r="E524" s="179"/>
      <c r="F524" s="179"/>
      <c r="G524" s="179"/>
      <c r="H524" s="179"/>
      <c r="I524" s="179"/>
      <c r="J524" s="179"/>
      <c r="K524" s="179"/>
      <c r="L524" s="179"/>
      <c r="M524" s="179"/>
      <c r="N524" s="179" t="s">
        <v>220</v>
      </c>
      <c r="O524" s="179"/>
      <c r="P524" s="179"/>
      <c r="Q524" s="173">
        <v>2409.65</v>
      </c>
      <c r="R524" s="174"/>
      <c r="S524" s="174"/>
      <c r="T524" s="174"/>
      <c r="U524" s="174"/>
      <c r="V524" s="174"/>
      <c r="W524" s="180">
        <v>2.5415000000000001</v>
      </c>
      <c r="X524" s="174"/>
      <c r="Y524" s="174"/>
      <c r="Z524" s="174"/>
      <c r="AA524" s="174"/>
      <c r="AB524" s="174"/>
      <c r="AC524" s="201">
        <v>6124.13</v>
      </c>
      <c r="AD524" s="174"/>
      <c r="AE524" s="174"/>
    </row>
    <row r="525" spans="1:31" ht="19.350000000000001" customHeight="1" x14ac:dyDescent="0.2">
      <c r="A525" s="168" t="s">
        <v>969</v>
      </c>
      <c r="B525" s="179" t="s">
        <v>914</v>
      </c>
      <c r="C525" s="179"/>
      <c r="D525" s="179"/>
      <c r="E525" s="179"/>
      <c r="F525" s="179"/>
      <c r="G525" s="179"/>
      <c r="H525" s="179"/>
      <c r="I525" s="179"/>
      <c r="J525" s="179"/>
      <c r="K525" s="179"/>
      <c r="L525" s="179"/>
      <c r="M525" s="179"/>
      <c r="N525" s="179" t="s">
        <v>220</v>
      </c>
      <c r="O525" s="179"/>
      <c r="P525" s="179"/>
      <c r="Q525" s="173">
        <v>2409.65</v>
      </c>
      <c r="R525" s="174"/>
      <c r="S525" s="174"/>
      <c r="T525" s="174"/>
      <c r="U525" s="174"/>
      <c r="V525" s="174"/>
      <c r="W525" s="202">
        <v>28.9176</v>
      </c>
      <c r="X525" s="174"/>
      <c r="Y525" s="174"/>
      <c r="Z525" s="174"/>
      <c r="AA525" s="174"/>
      <c r="AB525" s="174"/>
      <c r="AC525" s="196">
        <v>69681.289999999994</v>
      </c>
      <c r="AD525" s="174"/>
      <c r="AE525" s="174"/>
    </row>
    <row r="526" spans="1:31" ht="9.6" customHeight="1" x14ac:dyDescent="0.2">
      <c r="A526" s="167" t="s">
        <v>970</v>
      </c>
      <c r="B526" s="176" t="s">
        <v>693</v>
      </c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7"/>
      <c r="R526" s="177"/>
      <c r="S526" s="177"/>
      <c r="T526" s="177"/>
      <c r="U526" s="177"/>
      <c r="V526" s="177"/>
      <c r="W526" s="177"/>
      <c r="X526" s="177"/>
      <c r="Y526" s="177"/>
      <c r="Z526" s="177"/>
      <c r="AA526" s="177"/>
      <c r="AB526" s="177"/>
      <c r="AC526" s="198">
        <v>882311.59</v>
      </c>
      <c r="AD526" s="177"/>
      <c r="AE526" s="177"/>
    </row>
    <row r="527" spans="1:31" ht="9.75" customHeight="1" x14ac:dyDescent="0.2">
      <c r="A527" s="168" t="s">
        <v>971</v>
      </c>
      <c r="B527" s="179" t="s">
        <v>917</v>
      </c>
      <c r="C527" s="179"/>
      <c r="D527" s="179"/>
      <c r="E527" s="179"/>
      <c r="F527" s="179"/>
      <c r="G527" s="179"/>
      <c r="H527" s="179"/>
      <c r="I527" s="179"/>
      <c r="J527" s="179"/>
      <c r="K527" s="179"/>
      <c r="L527" s="179"/>
      <c r="M527" s="179"/>
      <c r="N527" s="179" t="s">
        <v>220</v>
      </c>
      <c r="O527" s="179"/>
      <c r="P527" s="179"/>
      <c r="Q527" s="195">
        <v>19076.45</v>
      </c>
      <c r="R527" s="174"/>
      <c r="S527" s="174"/>
      <c r="T527" s="174"/>
      <c r="U527" s="174"/>
      <c r="V527" s="174"/>
      <c r="W527" s="202">
        <v>35</v>
      </c>
      <c r="X527" s="174"/>
      <c r="Y527" s="174"/>
      <c r="Z527" s="174"/>
      <c r="AA527" s="174"/>
      <c r="AB527" s="174"/>
      <c r="AC527" s="200">
        <v>667675.75</v>
      </c>
      <c r="AD527" s="174"/>
      <c r="AE527" s="174"/>
    </row>
    <row r="528" spans="1:31" ht="9.6" customHeight="1" x14ac:dyDescent="0.2">
      <c r="A528" s="168" t="s">
        <v>972</v>
      </c>
      <c r="B528" s="179" t="s">
        <v>921</v>
      </c>
      <c r="C528" s="179"/>
      <c r="D528" s="179"/>
      <c r="E528" s="179"/>
      <c r="F528" s="179"/>
      <c r="G528" s="179"/>
      <c r="H528" s="179"/>
      <c r="I528" s="179"/>
      <c r="J528" s="179"/>
      <c r="K528" s="179"/>
      <c r="L528" s="179"/>
      <c r="M528" s="179"/>
      <c r="N528" s="179" t="s">
        <v>220</v>
      </c>
      <c r="O528" s="179"/>
      <c r="P528" s="179"/>
      <c r="Q528" s="191">
        <v>329.88</v>
      </c>
      <c r="R528" s="174"/>
      <c r="S528" s="174"/>
      <c r="T528" s="174"/>
      <c r="U528" s="174"/>
      <c r="V528" s="174"/>
      <c r="W528" s="202">
        <v>34</v>
      </c>
      <c r="X528" s="174"/>
      <c r="Y528" s="174"/>
      <c r="Z528" s="174"/>
      <c r="AA528" s="174"/>
      <c r="AB528" s="174"/>
      <c r="AC528" s="196">
        <v>11215.92</v>
      </c>
      <c r="AD528" s="174"/>
      <c r="AE528" s="174"/>
    </row>
    <row r="529" spans="1:31" ht="9.6" customHeight="1" x14ac:dyDescent="0.2">
      <c r="A529" s="168" t="s">
        <v>973</v>
      </c>
      <c r="B529" s="179" t="s">
        <v>923</v>
      </c>
      <c r="C529" s="179"/>
      <c r="D529" s="179"/>
      <c r="E529" s="179"/>
      <c r="F529" s="179"/>
      <c r="G529" s="179"/>
      <c r="H529" s="179"/>
      <c r="I529" s="179"/>
      <c r="J529" s="179"/>
      <c r="K529" s="179"/>
      <c r="L529" s="179"/>
      <c r="M529" s="179"/>
      <c r="N529" s="179" t="s">
        <v>220</v>
      </c>
      <c r="O529" s="179"/>
      <c r="P529" s="179"/>
      <c r="Q529" s="173">
        <v>3196.11</v>
      </c>
      <c r="R529" s="174"/>
      <c r="S529" s="174"/>
      <c r="T529" s="174"/>
      <c r="U529" s="174"/>
      <c r="V529" s="174"/>
      <c r="W529" s="202">
        <v>22</v>
      </c>
      <c r="X529" s="174"/>
      <c r="Y529" s="174"/>
      <c r="Z529" s="174"/>
      <c r="AA529" s="174"/>
      <c r="AB529" s="174"/>
      <c r="AC529" s="196">
        <v>70314.42</v>
      </c>
      <c r="AD529" s="174"/>
      <c r="AE529" s="174"/>
    </row>
    <row r="530" spans="1:31" ht="9.6" customHeight="1" x14ac:dyDescent="0.2">
      <c r="A530" s="168" t="s">
        <v>974</v>
      </c>
      <c r="B530" s="179" t="s">
        <v>925</v>
      </c>
      <c r="C530" s="179"/>
      <c r="D530" s="179"/>
      <c r="E530" s="179"/>
      <c r="F530" s="179"/>
      <c r="G530" s="179"/>
      <c r="H530" s="179"/>
      <c r="I530" s="179"/>
      <c r="J530" s="179"/>
      <c r="K530" s="179"/>
      <c r="L530" s="179"/>
      <c r="M530" s="179"/>
      <c r="N530" s="179" t="s">
        <v>220</v>
      </c>
      <c r="O530" s="179"/>
      <c r="P530" s="179"/>
      <c r="Q530" s="173">
        <v>2420.1</v>
      </c>
      <c r="R530" s="174"/>
      <c r="S530" s="174"/>
      <c r="T530" s="174"/>
      <c r="U530" s="174"/>
      <c r="V530" s="174"/>
      <c r="W530" s="202">
        <v>55</v>
      </c>
      <c r="X530" s="174"/>
      <c r="Y530" s="174"/>
      <c r="Z530" s="174"/>
      <c r="AA530" s="174"/>
      <c r="AB530" s="174"/>
      <c r="AC530" s="200">
        <v>133105.5</v>
      </c>
      <c r="AD530" s="174"/>
      <c r="AE530" s="174"/>
    </row>
    <row r="531" spans="1:31" ht="9.6" customHeight="1" x14ac:dyDescent="0.2">
      <c r="A531" s="167" t="s">
        <v>975</v>
      </c>
      <c r="B531" s="176" t="s">
        <v>976</v>
      </c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7"/>
      <c r="R531" s="177"/>
      <c r="S531" s="177"/>
      <c r="T531" s="177"/>
      <c r="U531" s="177"/>
      <c r="V531" s="177"/>
      <c r="W531" s="177"/>
      <c r="X531" s="177"/>
      <c r="Y531" s="177"/>
      <c r="Z531" s="177"/>
      <c r="AA531" s="177"/>
      <c r="AB531" s="177"/>
      <c r="AC531" s="198">
        <v>163450.53</v>
      </c>
      <c r="AD531" s="177"/>
      <c r="AE531" s="177"/>
    </row>
    <row r="532" spans="1:31" ht="19.350000000000001" customHeight="1" x14ac:dyDescent="0.2">
      <c r="A532" s="167" t="s">
        <v>977</v>
      </c>
      <c r="B532" s="176" t="s">
        <v>885</v>
      </c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7"/>
      <c r="R532" s="177"/>
      <c r="S532" s="177"/>
      <c r="T532" s="177"/>
      <c r="U532" s="177"/>
      <c r="V532" s="177"/>
      <c r="W532" s="177"/>
      <c r="X532" s="177"/>
      <c r="Y532" s="177"/>
      <c r="Z532" s="177"/>
      <c r="AA532" s="177"/>
      <c r="AB532" s="177"/>
      <c r="AC532" s="194">
        <v>19091.41</v>
      </c>
      <c r="AD532" s="177"/>
      <c r="AE532" s="177"/>
    </row>
    <row r="533" spans="1:31" ht="9.75" customHeight="1" x14ac:dyDescent="0.2">
      <c r="A533" s="168" t="s">
        <v>978</v>
      </c>
      <c r="B533" s="179" t="s">
        <v>889</v>
      </c>
      <c r="C533" s="179"/>
      <c r="D533" s="179"/>
      <c r="E533" s="179"/>
      <c r="F533" s="179"/>
      <c r="G533" s="179"/>
      <c r="H533" s="179"/>
      <c r="I533" s="179"/>
      <c r="J533" s="179"/>
      <c r="K533" s="179"/>
      <c r="L533" s="179"/>
      <c r="M533" s="179"/>
      <c r="N533" s="179" t="s">
        <v>220</v>
      </c>
      <c r="O533" s="179"/>
      <c r="P533" s="179"/>
      <c r="Q533" s="191">
        <v>157.51</v>
      </c>
      <c r="R533" s="174"/>
      <c r="S533" s="174"/>
      <c r="T533" s="174"/>
      <c r="U533" s="174"/>
      <c r="V533" s="174"/>
      <c r="W533" s="202">
        <v>44.629199999999997</v>
      </c>
      <c r="X533" s="174"/>
      <c r="Y533" s="174"/>
      <c r="Z533" s="174"/>
      <c r="AA533" s="174"/>
      <c r="AB533" s="174"/>
      <c r="AC533" s="201">
        <v>7029.55</v>
      </c>
      <c r="AD533" s="174"/>
      <c r="AE533" s="174"/>
    </row>
    <row r="534" spans="1:31" ht="19.350000000000001" customHeight="1" x14ac:dyDescent="0.2">
      <c r="A534" s="168" t="s">
        <v>979</v>
      </c>
      <c r="B534" s="179" t="s">
        <v>895</v>
      </c>
      <c r="C534" s="179"/>
      <c r="D534" s="179"/>
      <c r="E534" s="179"/>
      <c r="F534" s="179"/>
      <c r="G534" s="179"/>
      <c r="H534" s="179"/>
      <c r="I534" s="179"/>
      <c r="J534" s="179"/>
      <c r="K534" s="179"/>
      <c r="L534" s="179"/>
      <c r="M534" s="179"/>
      <c r="N534" s="179" t="s">
        <v>220</v>
      </c>
      <c r="O534" s="179"/>
      <c r="P534" s="179"/>
      <c r="Q534" s="191">
        <v>675.67</v>
      </c>
      <c r="R534" s="174"/>
      <c r="S534" s="174"/>
      <c r="T534" s="174"/>
      <c r="U534" s="174"/>
      <c r="V534" s="174"/>
      <c r="W534" s="202">
        <v>17.851700000000001</v>
      </c>
      <c r="X534" s="174"/>
      <c r="Y534" s="174"/>
      <c r="Z534" s="174"/>
      <c r="AA534" s="174"/>
      <c r="AB534" s="174"/>
      <c r="AC534" s="196">
        <v>12061.86</v>
      </c>
      <c r="AD534" s="174"/>
      <c r="AE534" s="174"/>
    </row>
    <row r="535" spans="1:31" ht="19.350000000000001" customHeight="1" x14ac:dyDescent="0.2">
      <c r="A535" s="167" t="s">
        <v>980</v>
      </c>
      <c r="B535" s="176" t="s">
        <v>897</v>
      </c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7"/>
      <c r="R535" s="177"/>
      <c r="S535" s="177"/>
      <c r="T535" s="177"/>
      <c r="U535" s="177"/>
      <c r="V535" s="177"/>
      <c r="W535" s="177"/>
      <c r="X535" s="177"/>
      <c r="Y535" s="177"/>
      <c r="Z535" s="177"/>
      <c r="AA535" s="177"/>
      <c r="AB535" s="177"/>
      <c r="AC535" s="206">
        <v>4529.45</v>
      </c>
      <c r="AD535" s="177"/>
      <c r="AE535" s="177"/>
    </row>
    <row r="536" spans="1:31" ht="9.75" customHeight="1" x14ac:dyDescent="0.2">
      <c r="A536" s="168" t="s">
        <v>981</v>
      </c>
      <c r="B536" s="179" t="s">
        <v>899</v>
      </c>
      <c r="C536" s="179"/>
      <c r="D536" s="179"/>
      <c r="E536" s="179"/>
      <c r="F536" s="179"/>
      <c r="G536" s="179"/>
      <c r="H536" s="179"/>
      <c r="I536" s="179"/>
      <c r="J536" s="179"/>
      <c r="K536" s="179"/>
      <c r="L536" s="179"/>
      <c r="M536" s="179"/>
      <c r="N536" s="179" t="s">
        <v>220</v>
      </c>
      <c r="O536" s="179"/>
      <c r="P536" s="179"/>
      <c r="Q536" s="202">
        <v>84.3</v>
      </c>
      <c r="R536" s="174"/>
      <c r="S536" s="174"/>
      <c r="T536" s="174"/>
      <c r="U536" s="174"/>
      <c r="V536" s="174"/>
      <c r="W536" s="180">
        <v>2.5415000000000001</v>
      </c>
      <c r="X536" s="174"/>
      <c r="Y536" s="174"/>
      <c r="Z536" s="174"/>
      <c r="AA536" s="174"/>
      <c r="AB536" s="174"/>
      <c r="AC536" s="205">
        <v>214.25</v>
      </c>
      <c r="AD536" s="174"/>
      <c r="AE536" s="174"/>
    </row>
    <row r="537" spans="1:31" ht="19.350000000000001" customHeight="1" x14ac:dyDescent="0.2">
      <c r="A537" s="168" t="s">
        <v>982</v>
      </c>
      <c r="B537" s="179" t="s">
        <v>901</v>
      </c>
      <c r="C537" s="179"/>
      <c r="D537" s="179"/>
      <c r="E537" s="179"/>
      <c r="F537" s="179"/>
      <c r="G537" s="179"/>
      <c r="H537" s="179"/>
      <c r="I537" s="179"/>
      <c r="J537" s="179"/>
      <c r="K537" s="179"/>
      <c r="L537" s="179"/>
      <c r="M537" s="179"/>
      <c r="N537" s="179" t="s">
        <v>220</v>
      </c>
      <c r="O537" s="179"/>
      <c r="P537" s="179"/>
      <c r="Q537" s="202">
        <v>27.12</v>
      </c>
      <c r="R537" s="174"/>
      <c r="S537" s="174"/>
      <c r="T537" s="174"/>
      <c r="U537" s="174"/>
      <c r="V537" s="174"/>
      <c r="W537" s="180">
        <v>7.3898999999999999</v>
      </c>
      <c r="X537" s="174"/>
      <c r="Y537" s="174"/>
      <c r="Z537" s="174"/>
      <c r="AA537" s="174"/>
      <c r="AB537" s="174"/>
      <c r="AC537" s="205">
        <v>200.41</v>
      </c>
      <c r="AD537" s="174"/>
      <c r="AE537" s="174"/>
    </row>
    <row r="538" spans="1:31" ht="19.350000000000001" customHeight="1" x14ac:dyDescent="0.2">
      <c r="A538" s="168" t="s">
        <v>983</v>
      </c>
      <c r="B538" s="179" t="s">
        <v>903</v>
      </c>
      <c r="C538" s="179"/>
      <c r="D538" s="179"/>
      <c r="E538" s="179"/>
      <c r="F538" s="179"/>
      <c r="G538" s="179"/>
      <c r="H538" s="179"/>
      <c r="I538" s="179"/>
      <c r="J538" s="179"/>
      <c r="K538" s="179"/>
      <c r="L538" s="179"/>
      <c r="M538" s="179"/>
      <c r="N538" s="179" t="s">
        <v>220</v>
      </c>
      <c r="O538" s="179"/>
      <c r="P538" s="179"/>
      <c r="Q538" s="191">
        <v>111.42</v>
      </c>
      <c r="R538" s="174"/>
      <c r="S538" s="174"/>
      <c r="T538" s="174"/>
      <c r="U538" s="174"/>
      <c r="V538" s="174"/>
      <c r="W538" s="202">
        <v>27.131799999999998</v>
      </c>
      <c r="X538" s="174"/>
      <c r="Y538" s="174"/>
      <c r="Z538" s="174"/>
      <c r="AA538" s="174"/>
      <c r="AB538" s="174"/>
      <c r="AC538" s="201">
        <v>3023.03</v>
      </c>
      <c r="AD538" s="174"/>
      <c r="AE538" s="174"/>
    </row>
    <row r="539" spans="1:31" ht="19.350000000000001" customHeight="1" x14ac:dyDescent="0.2">
      <c r="A539" s="168" t="s">
        <v>984</v>
      </c>
      <c r="B539" s="179" t="s">
        <v>905</v>
      </c>
      <c r="C539" s="179"/>
      <c r="D539" s="179"/>
      <c r="E539" s="179"/>
      <c r="F539" s="179"/>
      <c r="G539" s="179"/>
      <c r="H539" s="179"/>
      <c r="I539" s="179"/>
      <c r="J539" s="179"/>
      <c r="K539" s="179"/>
      <c r="L539" s="179"/>
      <c r="M539" s="179"/>
      <c r="N539" s="179" t="s">
        <v>220</v>
      </c>
      <c r="O539" s="179"/>
      <c r="P539" s="179"/>
      <c r="Q539" s="191">
        <v>121.83</v>
      </c>
      <c r="R539" s="174"/>
      <c r="S539" s="174"/>
      <c r="T539" s="174"/>
      <c r="U539" s="174"/>
      <c r="V539" s="174"/>
      <c r="W539" s="180">
        <v>4.1980000000000004</v>
      </c>
      <c r="X539" s="174"/>
      <c r="Y539" s="174"/>
      <c r="Z539" s="174"/>
      <c r="AA539" s="174"/>
      <c r="AB539" s="174"/>
      <c r="AC539" s="205">
        <v>511.44</v>
      </c>
      <c r="AD539" s="174"/>
      <c r="AE539" s="174"/>
    </row>
    <row r="540" spans="1:31" ht="9.6" customHeight="1" x14ac:dyDescent="0.2">
      <c r="A540" s="168" t="s">
        <v>985</v>
      </c>
      <c r="B540" s="179" t="s">
        <v>907</v>
      </c>
      <c r="C540" s="179"/>
      <c r="D540" s="179"/>
      <c r="E540" s="179"/>
      <c r="F540" s="179"/>
      <c r="G540" s="179"/>
      <c r="H540" s="179"/>
      <c r="I540" s="179"/>
      <c r="J540" s="179"/>
      <c r="K540" s="179"/>
      <c r="L540" s="179"/>
      <c r="M540" s="179"/>
      <c r="N540" s="179" t="s">
        <v>220</v>
      </c>
      <c r="O540" s="179"/>
      <c r="P540" s="179"/>
      <c r="Q540" s="191">
        <v>133.69999999999999</v>
      </c>
      <c r="R540" s="174"/>
      <c r="S540" s="174"/>
      <c r="T540" s="174"/>
      <c r="U540" s="174"/>
      <c r="V540" s="174"/>
      <c r="W540" s="180">
        <v>4.3404999999999996</v>
      </c>
      <c r="X540" s="174"/>
      <c r="Y540" s="174"/>
      <c r="Z540" s="174"/>
      <c r="AA540" s="174"/>
      <c r="AB540" s="174"/>
      <c r="AC540" s="205">
        <v>580.32000000000005</v>
      </c>
      <c r="AD540" s="174"/>
      <c r="AE540" s="174"/>
    </row>
    <row r="541" spans="1:31" ht="9.6" customHeight="1" x14ac:dyDescent="0.2">
      <c r="A541" s="167" t="s">
        <v>986</v>
      </c>
      <c r="B541" s="176" t="s">
        <v>909</v>
      </c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7"/>
      <c r="R541" s="177"/>
      <c r="S541" s="177"/>
      <c r="T541" s="177"/>
      <c r="U541" s="177"/>
      <c r="V541" s="177"/>
      <c r="W541" s="177"/>
      <c r="X541" s="177"/>
      <c r="Y541" s="177"/>
      <c r="Z541" s="177"/>
      <c r="AA541" s="177"/>
      <c r="AB541" s="177"/>
      <c r="AC541" s="194">
        <v>36731.33</v>
      </c>
      <c r="AD541" s="177"/>
      <c r="AE541" s="177"/>
    </row>
    <row r="542" spans="1:31" ht="9.75" customHeight="1" x14ac:dyDescent="0.2">
      <c r="A542" s="168" t="s">
        <v>987</v>
      </c>
      <c r="B542" s="179" t="s">
        <v>911</v>
      </c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 t="s">
        <v>220</v>
      </c>
      <c r="O542" s="179"/>
      <c r="P542" s="179"/>
      <c r="Q542" s="173">
        <v>1167.5899999999999</v>
      </c>
      <c r="R542" s="174"/>
      <c r="S542" s="174"/>
      <c r="T542" s="174"/>
      <c r="U542" s="174"/>
      <c r="V542" s="174"/>
      <c r="W542" s="180">
        <v>2.5415000000000001</v>
      </c>
      <c r="X542" s="174"/>
      <c r="Y542" s="174"/>
      <c r="Z542" s="174"/>
      <c r="AA542" s="174"/>
      <c r="AB542" s="174"/>
      <c r="AC542" s="201">
        <v>2967.43</v>
      </c>
      <c r="AD542" s="174"/>
      <c r="AE542" s="174"/>
    </row>
    <row r="543" spans="1:31" ht="19.350000000000001" customHeight="1" x14ac:dyDescent="0.2">
      <c r="A543" s="168" t="s">
        <v>988</v>
      </c>
      <c r="B543" s="179" t="s">
        <v>901</v>
      </c>
      <c r="C543" s="179"/>
      <c r="D543" s="179"/>
      <c r="E543" s="179"/>
      <c r="F543" s="179"/>
      <c r="G543" s="179"/>
      <c r="H543" s="179"/>
      <c r="I543" s="179"/>
      <c r="J543" s="179"/>
      <c r="K543" s="179"/>
      <c r="L543" s="179"/>
      <c r="M543" s="179"/>
      <c r="N543" s="179" t="s">
        <v>220</v>
      </c>
      <c r="O543" s="179"/>
      <c r="P543" s="179"/>
      <c r="Q543" s="180">
        <v>0</v>
      </c>
      <c r="R543" s="174"/>
      <c r="S543" s="174"/>
      <c r="T543" s="174"/>
      <c r="U543" s="174"/>
      <c r="V543" s="174"/>
      <c r="W543" s="180">
        <v>7.3898999999999999</v>
      </c>
      <c r="X543" s="174"/>
      <c r="Y543" s="174"/>
      <c r="Z543" s="174"/>
      <c r="AA543" s="174"/>
      <c r="AB543" s="174"/>
      <c r="AC543" s="204">
        <v>0</v>
      </c>
      <c r="AD543" s="174"/>
      <c r="AE543" s="174"/>
    </row>
    <row r="544" spans="1:31" ht="19.350000000000001" customHeight="1" x14ac:dyDescent="0.2">
      <c r="A544" s="168" t="s">
        <v>989</v>
      </c>
      <c r="B544" s="179" t="s">
        <v>914</v>
      </c>
      <c r="C544" s="179"/>
      <c r="D544" s="179"/>
      <c r="E544" s="179"/>
      <c r="F544" s="179"/>
      <c r="G544" s="179"/>
      <c r="H544" s="179"/>
      <c r="I544" s="179"/>
      <c r="J544" s="179"/>
      <c r="K544" s="179"/>
      <c r="L544" s="179"/>
      <c r="M544" s="179"/>
      <c r="N544" s="179" t="s">
        <v>220</v>
      </c>
      <c r="O544" s="179"/>
      <c r="P544" s="179"/>
      <c r="Q544" s="173">
        <v>1167.5899999999999</v>
      </c>
      <c r="R544" s="174"/>
      <c r="S544" s="174"/>
      <c r="T544" s="174"/>
      <c r="U544" s="174"/>
      <c r="V544" s="174"/>
      <c r="W544" s="202">
        <v>28.9176</v>
      </c>
      <c r="X544" s="174"/>
      <c r="Y544" s="174"/>
      <c r="Z544" s="174"/>
      <c r="AA544" s="174"/>
      <c r="AB544" s="174"/>
      <c r="AC544" s="196">
        <v>33763.9</v>
      </c>
      <c r="AD544" s="174"/>
      <c r="AE544" s="174"/>
    </row>
    <row r="545" spans="1:31" ht="9.6" customHeight="1" x14ac:dyDescent="0.2">
      <c r="A545" s="167" t="s">
        <v>990</v>
      </c>
      <c r="B545" s="176" t="s">
        <v>693</v>
      </c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7"/>
      <c r="R545" s="177"/>
      <c r="S545" s="177"/>
      <c r="T545" s="177"/>
      <c r="U545" s="177"/>
      <c r="V545" s="177"/>
      <c r="W545" s="177"/>
      <c r="X545" s="177"/>
      <c r="Y545" s="177"/>
      <c r="Z545" s="177"/>
      <c r="AA545" s="177"/>
      <c r="AB545" s="177"/>
      <c r="AC545" s="198">
        <v>103098.34</v>
      </c>
      <c r="AD545" s="177"/>
      <c r="AE545" s="177"/>
    </row>
    <row r="546" spans="1:31" ht="9.75" customHeight="1" x14ac:dyDescent="0.2">
      <c r="A546" s="168" t="s">
        <v>991</v>
      </c>
      <c r="B546" s="179" t="s">
        <v>917</v>
      </c>
      <c r="C546" s="179"/>
      <c r="D546" s="179"/>
      <c r="E546" s="179"/>
      <c r="F546" s="179"/>
      <c r="G546" s="179"/>
      <c r="H546" s="179"/>
      <c r="I546" s="179"/>
      <c r="J546" s="179"/>
      <c r="K546" s="179"/>
      <c r="L546" s="179"/>
      <c r="M546" s="179"/>
      <c r="N546" s="179" t="s">
        <v>220</v>
      </c>
      <c r="O546" s="179"/>
      <c r="P546" s="179"/>
      <c r="Q546" s="191">
        <v>833.18</v>
      </c>
      <c r="R546" s="174"/>
      <c r="S546" s="174"/>
      <c r="T546" s="174"/>
      <c r="U546" s="174"/>
      <c r="V546" s="174"/>
      <c r="W546" s="202">
        <v>35</v>
      </c>
      <c r="X546" s="174"/>
      <c r="Y546" s="174"/>
      <c r="Z546" s="174"/>
      <c r="AA546" s="174"/>
      <c r="AB546" s="174"/>
      <c r="AC546" s="196">
        <v>29161.3</v>
      </c>
      <c r="AD546" s="174"/>
      <c r="AE546" s="174"/>
    </row>
    <row r="547" spans="1:31" ht="9.6" customHeight="1" x14ac:dyDescent="0.2">
      <c r="A547" s="168" t="s">
        <v>992</v>
      </c>
      <c r="B547" s="179" t="s">
        <v>921</v>
      </c>
      <c r="C547" s="179"/>
      <c r="D547" s="179"/>
      <c r="E547" s="179"/>
      <c r="F547" s="179"/>
      <c r="G547" s="179"/>
      <c r="H547" s="179"/>
      <c r="I547" s="179"/>
      <c r="J547" s="179"/>
      <c r="K547" s="179"/>
      <c r="L547" s="179"/>
      <c r="M547" s="179"/>
      <c r="N547" s="179" t="s">
        <v>220</v>
      </c>
      <c r="O547" s="179"/>
      <c r="P547" s="179"/>
      <c r="Q547" s="191">
        <v>111.42</v>
      </c>
      <c r="R547" s="174"/>
      <c r="S547" s="174"/>
      <c r="T547" s="174"/>
      <c r="U547" s="174"/>
      <c r="V547" s="174"/>
      <c r="W547" s="202">
        <v>34</v>
      </c>
      <c r="X547" s="174"/>
      <c r="Y547" s="174"/>
      <c r="Z547" s="174"/>
      <c r="AA547" s="174"/>
      <c r="AB547" s="174"/>
      <c r="AC547" s="201">
        <v>3788.28</v>
      </c>
      <c r="AD547" s="174"/>
      <c r="AE547" s="174"/>
    </row>
    <row r="548" spans="1:31" ht="9.6" customHeight="1" x14ac:dyDescent="0.2">
      <c r="A548" s="168" t="s">
        <v>993</v>
      </c>
      <c r="B548" s="179" t="s">
        <v>923</v>
      </c>
      <c r="C548" s="179"/>
      <c r="D548" s="179"/>
      <c r="E548" s="179"/>
      <c r="F548" s="179"/>
      <c r="G548" s="179"/>
      <c r="H548" s="179"/>
      <c r="I548" s="179"/>
      <c r="J548" s="179"/>
      <c r="K548" s="179"/>
      <c r="L548" s="179"/>
      <c r="M548" s="179"/>
      <c r="N548" s="179" t="s">
        <v>220</v>
      </c>
      <c r="O548" s="179"/>
      <c r="P548" s="179"/>
      <c r="Q548" s="191">
        <v>255.53</v>
      </c>
      <c r="R548" s="174"/>
      <c r="S548" s="174"/>
      <c r="T548" s="174"/>
      <c r="U548" s="174"/>
      <c r="V548" s="174"/>
      <c r="W548" s="202">
        <v>22</v>
      </c>
      <c r="X548" s="174"/>
      <c r="Y548" s="174"/>
      <c r="Z548" s="174"/>
      <c r="AA548" s="174"/>
      <c r="AB548" s="174"/>
      <c r="AC548" s="201">
        <v>5621.66</v>
      </c>
      <c r="AD548" s="174"/>
      <c r="AE548" s="174"/>
    </row>
    <row r="549" spans="1:31" ht="9.6" customHeight="1" x14ac:dyDescent="0.2">
      <c r="A549" s="168" t="s">
        <v>994</v>
      </c>
      <c r="B549" s="179" t="s">
        <v>925</v>
      </c>
      <c r="C549" s="179"/>
      <c r="D549" s="179"/>
      <c r="E549" s="179"/>
      <c r="F549" s="179"/>
      <c r="G549" s="179"/>
      <c r="H549" s="179"/>
      <c r="I549" s="179"/>
      <c r="J549" s="179"/>
      <c r="K549" s="179"/>
      <c r="L549" s="179"/>
      <c r="M549" s="179"/>
      <c r="N549" s="179" t="s">
        <v>220</v>
      </c>
      <c r="O549" s="179"/>
      <c r="P549" s="179"/>
      <c r="Q549" s="173">
        <v>1173.22</v>
      </c>
      <c r="R549" s="174"/>
      <c r="S549" s="174"/>
      <c r="T549" s="174"/>
      <c r="U549" s="174"/>
      <c r="V549" s="174"/>
      <c r="W549" s="202">
        <v>55</v>
      </c>
      <c r="X549" s="174"/>
      <c r="Y549" s="174"/>
      <c r="Z549" s="174"/>
      <c r="AA549" s="174"/>
      <c r="AB549" s="174"/>
      <c r="AC549" s="196">
        <v>64527.1</v>
      </c>
      <c r="AD549" s="174"/>
      <c r="AE549" s="174"/>
    </row>
    <row r="550" spans="1:31" ht="9.6" customHeight="1" x14ac:dyDescent="0.2">
      <c r="A550" s="167" t="s">
        <v>995</v>
      </c>
      <c r="B550" s="176" t="s">
        <v>996</v>
      </c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7"/>
      <c r="R550" s="177"/>
      <c r="S550" s="177"/>
      <c r="T550" s="177"/>
      <c r="U550" s="177"/>
      <c r="V550" s="177"/>
      <c r="W550" s="177"/>
      <c r="X550" s="177"/>
      <c r="Y550" s="177"/>
      <c r="Z550" s="177"/>
      <c r="AA550" s="177"/>
      <c r="AB550" s="177"/>
      <c r="AC550" s="178">
        <v>2631205.14</v>
      </c>
      <c r="AD550" s="177"/>
      <c r="AE550" s="177"/>
    </row>
    <row r="551" spans="1:31" ht="9.75" customHeight="1" x14ac:dyDescent="0.2">
      <c r="A551" s="167" t="s">
        <v>997</v>
      </c>
      <c r="B551" s="176" t="s">
        <v>998</v>
      </c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7"/>
      <c r="R551" s="177"/>
      <c r="S551" s="177"/>
      <c r="T551" s="177"/>
      <c r="U551" s="177"/>
      <c r="V551" s="177"/>
      <c r="W551" s="177"/>
      <c r="X551" s="177"/>
      <c r="Y551" s="177"/>
      <c r="Z551" s="177"/>
      <c r="AA551" s="177"/>
      <c r="AB551" s="177"/>
      <c r="AC551" s="198">
        <v>397347.03</v>
      </c>
      <c r="AD551" s="177"/>
      <c r="AE551" s="177"/>
    </row>
    <row r="552" spans="1:31" ht="9.75" customHeight="1" x14ac:dyDescent="0.2">
      <c r="A552" s="167" t="s">
        <v>999</v>
      </c>
      <c r="B552" s="176" t="s">
        <v>1000</v>
      </c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7"/>
      <c r="R552" s="177"/>
      <c r="S552" s="177"/>
      <c r="T552" s="177"/>
      <c r="U552" s="177"/>
      <c r="V552" s="177"/>
      <c r="W552" s="177"/>
      <c r="X552" s="177"/>
      <c r="Y552" s="177"/>
      <c r="Z552" s="177"/>
      <c r="AA552" s="177"/>
      <c r="AB552" s="177"/>
      <c r="AC552" s="198">
        <v>181819.45</v>
      </c>
      <c r="AD552" s="177"/>
      <c r="AE552" s="177"/>
    </row>
    <row r="553" spans="1:31" ht="9.75" customHeight="1" x14ac:dyDescent="0.2">
      <c r="A553" s="168" t="s">
        <v>1001</v>
      </c>
      <c r="B553" s="179" t="s">
        <v>1002</v>
      </c>
      <c r="C553" s="179"/>
      <c r="D553" s="179"/>
      <c r="E553" s="179"/>
      <c r="F553" s="179"/>
      <c r="G553" s="179"/>
      <c r="H553" s="179"/>
      <c r="I553" s="179"/>
      <c r="J553" s="179"/>
      <c r="K553" s="179"/>
      <c r="L553" s="179"/>
      <c r="M553" s="179"/>
      <c r="N553" s="179" t="s">
        <v>220</v>
      </c>
      <c r="O553" s="179"/>
      <c r="P553" s="179"/>
      <c r="Q553" s="173">
        <v>1728.9</v>
      </c>
      <c r="R553" s="174"/>
      <c r="S553" s="174"/>
      <c r="T553" s="174"/>
      <c r="U553" s="174"/>
      <c r="V553" s="174"/>
      <c r="W553" s="191">
        <v>100.88</v>
      </c>
      <c r="X553" s="174"/>
      <c r="Y553" s="174"/>
      <c r="Z553" s="174"/>
      <c r="AA553" s="174"/>
      <c r="AB553" s="174"/>
      <c r="AC553" s="200">
        <v>174411.43</v>
      </c>
      <c r="AD553" s="174"/>
      <c r="AE553" s="174"/>
    </row>
    <row r="554" spans="1:31" ht="19.350000000000001" customHeight="1" x14ac:dyDescent="0.2">
      <c r="A554" s="168" t="s">
        <v>1003</v>
      </c>
      <c r="B554" s="179" t="s">
        <v>1004</v>
      </c>
      <c r="C554" s="179"/>
      <c r="D554" s="179"/>
      <c r="E554" s="179"/>
      <c r="F554" s="179"/>
      <c r="G554" s="179"/>
      <c r="H554" s="179"/>
      <c r="I554" s="179"/>
      <c r="J554" s="179"/>
      <c r="K554" s="179"/>
      <c r="L554" s="179"/>
      <c r="M554" s="179"/>
      <c r="N554" s="179" t="s">
        <v>220</v>
      </c>
      <c r="O554" s="179"/>
      <c r="P554" s="179"/>
      <c r="Q554" s="202">
        <v>63.86</v>
      </c>
      <c r="R554" s="174"/>
      <c r="S554" s="174"/>
      <c r="T554" s="174"/>
      <c r="U554" s="174"/>
      <c r="V554" s="174"/>
      <c r="W554" s="191">
        <v>116.004</v>
      </c>
      <c r="X554" s="174"/>
      <c r="Y554" s="174"/>
      <c r="Z554" s="174"/>
      <c r="AA554" s="174"/>
      <c r="AB554" s="174"/>
      <c r="AC554" s="201">
        <v>7408.02</v>
      </c>
      <c r="AD554" s="174"/>
      <c r="AE554" s="174"/>
    </row>
    <row r="555" spans="1:31" ht="19.350000000000001" customHeight="1" x14ac:dyDescent="0.2">
      <c r="A555" s="167" t="s">
        <v>1005</v>
      </c>
      <c r="B555" s="176" t="s">
        <v>1006</v>
      </c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7"/>
      <c r="R555" s="177"/>
      <c r="S555" s="177"/>
      <c r="T555" s="177"/>
      <c r="U555" s="177"/>
      <c r="V555" s="177"/>
      <c r="W555" s="177"/>
      <c r="X555" s="177"/>
      <c r="Y555" s="177"/>
      <c r="Z555" s="177"/>
      <c r="AA555" s="177"/>
      <c r="AB555" s="177"/>
      <c r="AC555" s="198">
        <v>215527.58</v>
      </c>
      <c r="AD555" s="177"/>
      <c r="AE555" s="177"/>
    </row>
    <row r="556" spans="1:31" ht="9.75" customHeight="1" x14ac:dyDescent="0.2">
      <c r="A556" s="168" t="s">
        <v>1007</v>
      </c>
      <c r="B556" s="179" t="s">
        <v>1008</v>
      </c>
      <c r="C556" s="179"/>
      <c r="D556" s="179"/>
      <c r="E556" s="179"/>
      <c r="F556" s="179"/>
      <c r="G556" s="179"/>
      <c r="H556" s="179"/>
      <c r="I556" s="179"/>
      <c r="J556" s="179"/>
      <c r="K556" s="179"/>
      <c r="L556" s="179"/>
      <c r="M556" s="179"/>
      <c r="N556" s="179" t="s">
        <v>220</v>
      </c>
      <c r="O556" s="179"/>
      <c r="P556" s="179"/>
      <c r="Q556" s="180">
        <v>4.41</v>
      </c>
      <c r="R556" s="174"/>
      <c r="S556" s="174"/>
      <c r="T556" s="174"/>
      <c r="U556" s="174"/>
      <c r="V556" s="174"/>
      <c r="W556" s="191">
        <v>579</v>
      </c>
      <c r="X556" s="174"/>
      <c r="Y556" s="174"/>
      <c r="Z556" s="174"/>
      <c r="AA556" s="174"/>
      <c r="AB556" s="174"/>
      <c r="AC556" s="201">
        <v>2553.39</v>
      </c>
      <c r="AD556" s="174"/>
      <c r="AE556" s="174"/>
    </row>
    <row r="557" spans="1:31" ht="9.6" customHeight="1" x14ac:dyDescent="0.2">
      <c r="A557" s="168" t="s">
        <v>1009</v>
      </c>
      <c r="B557" s="179" t="s">
        <v>1010</v>
      </c>
      <c r="C557" s="179"/>
      <c r="D557" s="179"/>
      <c r="E557" s="179"/>
      <c r="F557" s="179"/>
      <c r="G557" s="179"/>
      <c r="H557" s="179"/>
      <c r="I557" s="179"/>
      <c r="J557" s="179"/>
      <c r="K557" s="179"/>
      <c r="L557" s="179"/>
      <c r="M557" s="179"/>
      <c r="N557" s="179" t="s">
        <v>220</v>
      </c>
      <c r="O557" s="179"/>
      <c r="P557" s="179"/>
      <c r="Q557" s="191">
        <v>143.43</v>
      </c>
      <c r="R557" s="174"/>
      <c r="S557" s="174"/>
      <c r="T557" s="174"/>
      <c r="U557" s="174"/>
      <c r="V557" s="174"/>
      <c r="W557" s="191">
        <v>508</v>
      </c>
      <c r="X557" s="174"/>
      <c r="Y557" s="174"/>
      <c r="Z557" s="174"/>
      <c r="AA557" s="174"/>
      <c r="AB557" s="174"/>
      <c r="AC557" s="196">
        <v>72862.44</v>
      </c>
      <c r="AD557" s="174"/>
      <c r="AE557" s="174"/>
    </row>
    <row r="558" spans="1:31" ht="9.6" customHeight="1" x14ac:dyDescent="0.2">
      <c r="A558" s="168" t="s">
        <v>1011</v>
      </c>
      <c r="B558" s="179" t="s">
        <v>1012</v>
      </c>
      <c r="C558" s="179"/>
      <c r="D558" s="179"/>
      <c r="E558" s="179"/>
      <c r="F558" s="179"/>
      <c r="G558" s="179"/>
      <c r="H558" s="179"/>
      <c r="I558" s="179"/>
      <c r="J558" s="179"/>
      <c r="K558" s="179"/>
      <c r="L558" s="179"/>
      <c r="M558" s="179"/>
      <c r="N558" s="179" t="s">
        <v>220</v>
      </c>
      <c r="O558" s="179"/>
      <c r="P558" s="179"/>
      <c r="Q558" s="202">
        <v>72.09</v>
      </c>
      <c r="R558" s="174"/>
      <c r="S558" s="174"/>
      <c r="T558" s="174"/>
      <c r="U558" s="174"/>
      <c r="V558" s="174"/>
      <c r="W558" s="173">
        <v>1943.567</v>
      </c>
      <c r="X558" s="174"/>
      <c r="Y558" s="174"/>
      <c r="Z558" s="174"/>
      <c r="AA558" s="174"/>
      <c r="AB558" s="174"/>
      <c r="AC558" s="200">
        <v>140111.75</v>
      </c>
      <c r="AD558" s="174"/>
      <c r="AE558" s="174"/>
    </row>
    <row r="559" spans="1:31" ht="19.350000000000001" customHeight="1" x14ac:dyDescent="0.2">
      <c r="A559" s="167" t="s">
        <v>1013</v>
      </c>
      <c r="B559" s="176" t="s">
        <v>1014</v>
      </c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7"/>
      <c r="R559" s="177"/>
      <c r="S559" s="177"/>
      <c r="T559" s="177"/>
      <c r="U559" s="177"/>
      <c r="V559" s="177"/>
      <c r="W559" s="177"/>
      <c r="X559" s="177"/>
      <c r="Y559" s="177"/>
      <c r="Z559" s="177"/>
      <c r="AA559" s="177"/>
      <c r="AB559" s="177"/>
      <c r="AC559" s="194">
        <v>47971.47</v>
      </c>
      <c r="AD559" s="177"/>
      <c r="AE559" s="177"/>
    </row>
    <row r="560" spans="1:31" ht="9.75" customHeight="1" x14ac:dyDescent="0.2">
      <c r="A560" s="167" t="s">
        <v>1015</v>
      </c>
      <c r="B560" s="176" t="s">
        <v>1000</v>
      </c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7"/>
      <c r="R560" s="177"/>
      <c r="S560" s="177"/>
      <c r="T560" s="177"/>
      <c r="U560" s="177"/>
      <c r="V560" s="177"/>
      <c r="W560" s="177"/>
      <c r="X560" s="177"/>
      <c r="Y560" s="177"/>
      <c r="Z560" s="177"/>
      <c r="AA560" s="177"/>
      <c r="AB560" s="177"/>
      <c r="AC560" s="194">
        <v>47971.47</v>
      </c>
      <c r="AD560" s="177"/>
      <c r="AE560" s="177"/>
    </row>
    <row r="561" spans="1:31" ht="9.75" customHeight="1" x14ac:dyDescent="0.2">
      <c r="A561" s="168" t="s">
        <v>1016</v>
      </c>
      <c r="B561" s="179" t="s">
        <v>1002</v>
      </c>
      <c r="C561" s="179"/>
      <c r="D561" s="179"/>
      <c r="E561" s="179"/>
      <c r="F561" s="179"/>
      <c r="G561" s="179"/>
      <c r="H561" s="179"/>
      <c r="I561" s="179"/>
      <c r="J561" s="179"/>
      <c r="K561" s="179"/>
      <c r="L561" s="179"/>
      <c r="M561" s="179"/>
      <c r="N561" s="179" t="s">
        <v>220</v>
      </c>
      <c r="O561" s="179"/>
      <c r="P561" s="179"/>
      <c r="Q561" s="191">
        <v>475.53</v>
      </c>
      <c r="R561" s="174"/>
      <c r="S561" s="174"/>
      <c r="T561" s="174"/>
      <c r="U561" s="174"/>
      <c r="V561" s="174"/>
      <c r="W561" s="191">
        <v>100.88</v>
      </c>
      <c r="X561" s="174"/>
      <c r="Y561" s="174"/>
      <c r="Z561" s="174"/>
      <c r="AA561" s="174"/>
      <c r="AB561" s="174"/>
      <c r="AC561" s="196">
        <v>47971.47</v>
      </c>
      <c r="AD561" s="174"/>
      <c r="AE561" s="174"/>
    </row>
    <row r="562" spans="1:31" ht="19.350000000000001" customHeight="1" x14ac:dyDescent="0.2">
      <c r="A562" s="167" t="s">
        <v>1017</v>
      </c>
      <c r="B562" s="176" t="s">
        <v>1018</v>
      </c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7"/>
      <c r="R562" s="177"/>
      <c r="S562" s="177"/>
      <c r="T562" s="177"/>
      <c r="U562" s="177"/>
      <c r="V562" s="177"/>
      <c r="W562" s="177"/>
      <c r="X562" s="177"/>
      <c r="Y562" s="177"/>
      <c r="Z562" s="177"/>
      <c r="AA562" s="177"/>
      <c r="AB562" s="177"/>
      <c r="AC562" s="178">
        <v>2185886.64</v>
      </c>
      <c r="AD562" s="177"/>
      <c r="AE562" s="177"/>
    </row>
    <row r="563" spans="1:31" ht="9.75" customHeight="1" x14ac:dyDescent="0.2">
      <c r="A563" s="167" t="s">
        <v>1019</v>
      </c>
      <c r="B563" s="176" t="s">
        <v>1000</v>
      </c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7"/>
      <c r="R563" s="177"/>
      <c r="S563" s="177"/>
      <c r="T563" s="177"/>
      <c r="U563" s="177"/>
      <c r="V563" s="177"/>
      <c r="W563" s="177"/>
      <c r="X563" s="177"/>
      <c r="Y563" s="177"/>
      <c r="Z563" s="177"/>
      <c r="AA563" s="177"/>
      <c r="AB563" s="177"/>
      <c r="AC563" s="178">
        <v>2181383.36</v>
      </c>
      <c r="AD563" s="177"/>
      <c r="AE563" s="177"/>
    </row>
    <row r="564" spans="1:31" ht="9.75" customHeight="1" x14ac:dyDescent="0.2">
      <c r="A564" s="168" t="s">
        <v>1020</v>
      </c>
      <c r="B564" s="179" t="s">
        <v>1002</v>
      </c>
      <c r="C564" s="179"/>
      <c r="D564" s="179"/>
      <c r="E564" s="179"/>
      <c r="F564" s="179"/>
      <c r="G564" s="179"/>
      <c r="H564" s="179"/>
      <c r="I564" s="179"/>
      <c r="J564" s="179"/>
      <c r="K564" s="179"/>
      <c r="L564" s="179"/>
      <c r="M564" s="179"/>
      <c r="N564" s="179" t="s">
        <v>220</v>
      </c>
      <c r="O564" s="179"/>
      <c r="P564" s="179"/>
      <c r="Q564" s="195">
        <v>15321.59</v>
      </c>
      <c r="R564" s="174"/>
      <c r="S564" s="174"/>
      <c r="T564" s="174"/>
      <c r="U564" s="174"/>
      <c r="V564" s="174"/>
      <c r="W564" s="191">
        <v>100.88</v>
      </c>
      <c r="X564" s="174"/>
      <c r="Y564" s="174"/>
      <c r="Z564" s="174"/>
      <c r="AA564" s="174"/>
      <c r="AB564" s="174"/>
      <c r="AC564" s="175">
        <v>1545642</v>
      </c>
      <c r="AD564" s="174"/>
      <c r="AE564" s="174"/>
    </row>
    <row r="565" spans="1:31" ht="19.350000000000001" customHeight="1" x14ac:dyDescent="0.2">
      <c r="A565" s="168" t="s">
        <v>1021</v>
      </c>
      <c r="B565" s="179" t="s">
        <v>1004</v>
      </c>
      <c r="C565" s="179"/>
      <c r="D565" s="179"/>
      <c r="E565" s="179"/>
      <c r="F565" s="179"/>
      <c r="G565" s="179"/>
      <c r="H565" s="179"/>
      <c r="I565" s="179"/>
      <c r="J565" s="179"/>
      <c r="K565" s="179"/>
      <c r="L565" s="179"/>
      <c r="M565" s="179"/>
      <c r="N565" s="179" t="s">
        <v>220</v>
      </c>
      <c r="O565" s="179"/>
      <c r="P565" s="179"/>
      <c r="Q565" s="173">
        <v>5480.34</v>
      </c>
      <c r="R565" s="174"/>
      <c r="S565" s="174"/>
      <c r="T565" s="174"/>
      <c r="U565" s="174"/>
      <c r="V565" s="174"/>
      <c r="W565" s="191">
        <v>116.004</v>
      </c>
      <c r="X565" s="174"/>
      <c r="Y565" s="174"/>
      <c r="Z565" s="174"/>
      <c r="AA565" s="174"/>
      <c r="AB565" s="174"/>
      <c r="AC565" s="200">
        <v>635741.36</v>
      </c>
      <c r="AD565" s="174"/>
      <c r="AE565" s="174"/>
    </row>
    <row r="566" spans="1:31" ht="19.350000000000001" customHeight="1" x14ac:dyDescent="0.2">
      <c r="A566" s="167" t="s">
        <v>1022</v>
      </c>
      <c r="B566" s="176" t="s">
        <v>1023</v>
      </c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7"/>
      <c r="R566" s="177"/>
      <c r="S566" s="177"/>
      <c r="T566" s="177"/>
      <c r="U566" s="177"/>
      <c r="V566" s="177"/>
      <c r="W566" s="177"/>
      <c r="X566" s="177"/>
      <c r="Y566" s="177"/>
      <c r="Z566" s="177"/>
      <c r="AA566" s="177"/>
      <c r="AB566" s="177"/>
      <c r="AC566" s="203">
        <v>0</v>
      </c>
      <c r="AD566" s="177"/>
      <c r="AE566" s="177"/>
    </row>
    <row r="567" spans="1:31" ht="9.75" customHeight="1" x14ac:dyDescent="0.2">
      <c r="A567" s="167" t="s">
        <v>1024</v>
      </c>
      <c r="B567" s="176" t="s">
        <v>1000</v>
      </c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7"/>
      <c r="R567" s="177"/>
      <c r="S567" s="177"/>
      <c r="T567" s="177"/>
      <c r="U567" s="177"/>
      <c r="V567" s="177"/>
      <c r="W567" s="177"/>
      <c r="X567" s="177"/>
      <c r="Y567" s="177"/>
      <c r="Z567" s="177"/>
      <c r="AA567" s="177"/>
      <c r="AB567" s="177"/>
      <c r="AC567" s="206">
        <v>4503.28</v>
      </c>
      <c r="AD567" s="177"/>
      <c r="AE567" s="177"/>
    </row>
    <row r="568" spans="1:31" ht="9.75" customHeight="1" x14ac:dyDescent="0.2">
      <c r="A568" s="168" t="s">
        <v>1025</v>
      </c>
      <c r="B568" s="179" t="s">
        <v>1002</v>
      </c>
      <c r="C568" s="179"/>
      <c r="D568" s="179"/>
      <c r="E568" s="179"/>
      <c r="F568" s="179"/>
      <c r="G568" s="179"/>
      <c r="H568" s="179"/>
      <c r="I568" s="179"/>
      <c r="J568" s="179"/>
      <c r="K568" s="179"/>
      <c r="L568" s="179"/>
      <c r="M568" s="179"/>
      <c r="N568" s="179" t="s">
        <v>220</v>
      </c>
      <c r="O568" s="179"/>
      <c r="P568" s="179"/>
      <c r="Q568" s="202">
        <v>44.64</v>
      </c>
      <c r="R568" s="174"/>
      <c r="S568" s="174"/>
      <c r="T568" s="174"/>
      <c r="U568" s="174"/>
      <c r="V568" s="174"/>
      <c r="W568" s="191">
        <v>100.88</v>
      </c>
      <c r="X568" s="174"/>
      <c r="Y568" s="174"/>
      <c r="Z568" s="174"/>
      <c r="AA568" s="174"/>
      <c r="AB568" s="174"/>
      <c r="AC568" s="201">
        <v>4503.28</v>
      </c>
      <c r="AD568" s="174"/>
      <c r="AE568" s="174"/>
    </row>
    <row r="569" spans="1:31" ht="19.350000000000001" customHeight="1" x14ac:dyDescent="0.2">
      <c r="A569" s="167" t="s">
        <v>1026</v>
      </c>
      <c r="B569" s="176" t="s">
        <v>1027</v>
      </c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7"/>
      <c r="R569" s="177"/>
      <c r="S569" s="177"/>
      <c r="T569" s="177"/>
      <c r="U569" s="177"/>
      <c r="V569" s="177"/>
      <c r="W569" s="177"/>
      <c r="X569" s="177"/>
      <c r="Y569" s="177"/>
      <c r="Z569" s="177"/>
      <c r="AA569" s="177"/>
      <c r="AB569" s="177"/>
      <c r="AC569" s="178">
        <v>2429082.62</v>
      </c>
      <c r="AD569" s="177"/>
      <c r="AE569" s="177"/>
    </row>
    <row r="570" spans="1:31" ht="9.75" customHeight="1" x14ac:dyDescent="0.2">
      <c r="A570" s="167" t="s">
        <v>1028</v>
      </c>
      <c r="B570" s="176" t="s">
        <v>1029</v>
      </c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7"/>
      <c r="R570" s="177"/>
      <c r="S570" s="177"/>
      <c r="T570" s="177"/>
      <c r="U570" s="177"/>
      <c r="V570" s="177"/>
      <c r="W570" s="177"/>
      <c r="X570" s="177"/>
      <c r="Y570" s="177"/>
      <c r="Z570" s="177"/>
      <c r="AA570" s="177"/>
      <c r="AB570" s="177"/>
      <c r="AC570" s="198">
        <v>401844.79</v>
      </c>
      <c r="AD570" s="177"/>
      <c r="AE570" s="177"/>
    </row>
    <row r="571" spans="1:31" ht="9.75" customHeight="1" x14ac:dyDescent="0.2">
      <c r="A571" s="167" t="s">
        <v>1030</v>
      </c>
      <c r="B571" s="176" t="s">
        <v>1031</v>
      </c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7"/>
      <c r="R571" s="177"/>
      <c r="S571" s="177"/>
      <c r="T571" s="177"/>
      <c r="U571" s="177"/>
      <c r="V571" s="177"/>
      <c r="W571" s="177"/>
      <c r="X571" s="177"/>
      <c r="Y571" s="177"/>
      <c r="Z571" s="177"/>
      <c r="AA571" s="177"/>
      <c r="AB571" s="177"/>
      <c r="AC571" s="194">
        <v>16067.46</v>
      </c>
      <c r="AD571" s="177"/>
      <c r="AE571" s="177"/>
    </row>
    <row r="572" spans="1:31" ht="9.75" customHeight="1" x14ac:dyDescent="0.2">
      <c r="A572" s="168" t="s">
        <v>1032</v>
      </c>
      <c r="B572" s="179" t="s">
        <v>1033</v>
      </c>
      <c r="C572" s="179"/>
      <c r="D572" s="179"/>
      <c r="E572" s="179"/>
      <c r="F572" s="179"/>
      <c r="G572" s="179"/>
      <c r="H572" s="179"/>
      <c r="I572" s="179"/>
      <c r="J572" s="179"/>
      <c r="K572" s="179"/>
      <c r="L572" s="179"/>
      <c r="M572" s="179"/>
      <c r="N572" s="179" t="s">
        <v>220</v>
      </c>
      <c r="O572" s="179"/>
      <c r="P572" s="179"/>
      <c r="Q572" s="173">
        <v>2669.9</v>
      </c>
      <c r="R572" s="174"/>
      <c r="S572" s="174"/>
      <c r="T572" s="174"/>
      <c r="U572" s="174"/>
      <c r="V572" s="174"/>
      <c r="W572" s="180">
        <v>6.0179999999999998</v>
      </c>
      <c r="X572" s="174"/>
      <c r="Y572" s="174"/>
      <c r="Z572" s="174"/>
      <c r="AA572" s="174"/>
      <c r="AB572" s="174"/>
      <c r="AC572" s="196">
        <v>16067.46</v>
      </c>
      <c r="AD572" s="174"/>
      <c r="AE572" s="174"/>
    </row>
    <row r="573" spans="1:31" ht="9.6" customHeight="1" x14ac:dyDescent="0.2">
      <c r="A573" s="167" t="s">
        <v>1034</v>
      </c>
      <c r="B573" s="176" t="s">
        <v>1035</v>
      </c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7"/>
      <c r="R573" s="177"/>
      <c r="S573" s="177"/>
      <c r="T573" s="177"/>
      <c r="U573" s="177"/>
      <c r="V573" s="177"/>
      <c r="W573" s="177"/>
      <c r="X573" s="177"/>
      <c r="Y573" s="177"/>
      <c r="Z573" s="177"/>
      <c r="AA573" s="177"/>
      <c r="AB573" s="177"/>
      <c r="AC573" s="198">
        <v>237834.79</v>
      </c>
      <c r="AD573" s="177"/>
      <c r="AE573" s="177"/>
    </row>
    <row r="574" spans="1:31" ht="9.75" customHeight="1" x14ac:dyDescent="0.2">
      <c r="A574" s="168" t="s">
        <v>1036</v>
      </c>
      <c r="B574" s="179" t="s">
        <v>1037</v>
      </c>
      <c r="C574" s="179"/>
      <c r="D574" s="179"/>
      <c r="E574" s="179"/>
      <c r="F574" s="179"/>
      <c r="G574" s="179"/>
      <c r="H574" s="179"/>
      <c r="I574" s="179"/>
      <c r="J574" s="179"/>
      <c r="K574" s="179"/>
      <c r="L574" s="179"/>
      <c r="M574" s="179"/>
      <c r="N574" s="179" t="s">
        <v>220</v>
      </c>
      <c r="O574" s="179"/>
      <c r="P574" s="179"/>
      <c r="Q574" s="202">
        <v>80.88</v>
      </c>
      <c r="R574" s="174"/>
      <c r="S574" s="174"/>
      <c r="T574" s="174"/>
      <c r="U574" s="174"/>
      <c r="V574" s="174"/>
      <c r="W574" s="202">
        <v>39.218699999999998</v>
      </c>
      <c r="X574" s="174"/>
      <c r="Y574" s="174"/>
      <c r="Z574" s="174"/>
      <c r="AA574" s="174"/>
      <c r="AB574" s="174"/>
      <c r="AC574" s="201">
        <v>3172.01</v>
      </c>
      <c r="AD574" s="174"/>
      <c r="AE574" s="174"/>
    </row>
    <row r="575" spans="1:31" ht="19.350000000000001" customHeight="1" x14ac:dyDescent="0.2">
      <c r="A575" s="168" t="s">
        <v>1038</v>
      </c>
      <c r="B575" s="179" t="s">
        <v>1039</v>
      </c>
      <c r="C575" s="179"/>
      <c r="D575" s="179"/>
      <c r="E575" s="179"/>
      <c r="F575" s="179"/>
      <c r="G575" s="179"/>
      <c r="H575" s="179"/>
      <c r="I575" s="179"/>
      <c r="J575" s="179"/>
      <c r="K575" s="179"/>
      <c r="L575" s="179"/>
      <c r="M575" s="179"/>
      <c r="N575" s="179" t="s">
        <v>220</v>
      </c>
      <c r="O575" s="179"/>
      <c r="P575" s="179"/>
      <c r="Q575" s="173">
        <v>3093.87</v>
      </c>
      <c r="R575" s="174"/>
      <c r="S575" s="174"/>
      <c r="T575" s="174"/>
      <c r="U575" s="174"/>
      <c r="V575" s="174"/>
      <c r="W575" s="202">
        <v>65</v>
      </c>
      <c r="X575" s="174"/>
      <c r="Y575" s="174"/>
      <c r="Z575" s="174"/>
      <c r="AA575" s="174"/>
      <c r="AB575" s="174"/>
      <c r="AC575" s="200">
        <v>201101.55</v>
      </c>
      <c r="AD575" s="174"/>
      <c r="AE575" s="174"/>
    </row>
    <row r="576" spans="1:31" ht="19.350000000000001" customHeight="1" x14ac:dyDescent="0.2">
      <c r="A576" s="168" t="s">
        <v>1040</v>
      </c>
      <c r="B576" s="179" t="s">
        <v>1041</v>
      </c>
      <c r="C576" s="179"/>
      <c r="D576" s="179"/>
      <c r="E576" s="179"/>
      <c r="F576" s="179"/>
      <c r="G576" s="179"/>
      <c r="H576" s="179"/>
      <c r="I576" s="179"/>
      <c r="J576" s="179"/>
      <c r="K576" s="179"/>
      <c r="L576" s="179"/>
      <c r="M576" s="179"/>
      <c r="N576" s="179" t="s">
        <v>223</v>
      </c>
      <c r="O576" s="179"/>
      <c r="P576" s="179"/>
      <c r="Q576" s="191">
        <v>983.19</v>
      </c>
      <c r="R576" s="174"/>
      <c r="S576" s="174"/>
      <c r="T576" s="174"/>
      <c r="U576" s="174"/>
      <c r="V576" s="174"/>
      <c r="W576" s="202">
        <v>29.418700000000001</v>
      </c>
      <c r="X576" s="174"/>
      <c r="Y576" s="174"/>
      <c r="Z576" s="174"/>
      <c r="AA576" s="174"/>
      <c r="AB576" s="174"/>
      <c r="AC576" s="196">
        <v>28924.17</v>
      </c>
      <c r="AD576" s="174"/>
      <c r="AE576" s="174"/>
    </row>
    <row r="577" spans="1:31" ht="9.6" customHeight="1" x14ac:dyDescent="0.2">
      <c r="A577" s="168" t="s">
        <v>1042</v>
      </c>
      <c r="B577" s="179" t="s">
        <v>1043</v>
      </c>
      <c r="C577" s="179"/>
      <c r="D577" s="179"/>
      <c r="E577" s="179"/>
      <c r="F577" s="179"/>
      <c r="G577" s="179"/>
      <c r="H577" s="179"/>
      <c r="I577" s="179"/>
      <c r="J577" s="179"/>
      <c r="K577" s="179"/>
      <c r="L577" s="179"/>
      <c r="M577" s="179"/>
      <c r="N577" s="179" t="s">
        <v>137</v>
      </c>
      <c r="O577" s="179"/>
      <c r="P577" s="179"/>
      <c r="Q577" s="191">
        <v>422</v>
      </c>
      <c r="R577" s="174"/>
      <c r="S577" s="174"/>
      <c r="T577" s="174"/>
      <c r="U577" s="174"/>
      <c r="V577" s="174"/>
      <c r="W577" s="202">
        <v>10.988300000000001</v>
      </c>
      <c r="X577" s="174"/>
      <c r="Y577" s="174"/>
      <c r="Z577" s="174"/>
      <c r="AA577" s="174"/>
      <c r="AB577" s="174"/>
      <c r="AC577" s="201">
        <v>4637.0600000000004</v>
      </c>
      <c r="AD577" s="174"/>
      <c r="AE577" s="174"/>
    </row>
    <row r="578" spans="1:31" ht="19.350000000000001" customHeight="1" x14ac:dyDescent="0.2">
      <c r="A578" s="167" t="s">
        <v>1044</v>
      </c>
      <c r="B578" s="176" t="s">
        <v>693</v>
      </c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7"/>
      <c r="R578" s="177"/>
      <c r="S578" s="177"/>
      <c r="T578" s="177"/>
      <c r="U578" s="177"/>
      <c r="V578" s="177"/>
      <c r="W578" s="177"/>
      <c r="X578" s="177"/>
      <c r="Y578" s="177"/>
      <c r="Z578" s="177"/>
      <c r="AA578" s="177"/>
      <c r="AB578" s="177"/>
      <c r="AC578" s="198">
        <v>147942.54</v>
      </c>
      <c r="AD578" s="177"/>
      <c r="AE578" s="177"/>
    </row>
    <row r="579" spans="1:31" ht="9.75" customHeight="1" x14ac:dyDescent="0.2">
      <c r="A579" s="168" t="s">
        <v>1045</v>
      </c>
      <c r="B579" s="179" t="s">
        <v>1046</v>
      </c>
      <c r="C579" s="179"/>
      <c r="D579" s="179"/>
      <c r="E579" s="179"/>
      <c r="F579" s="179"/>
      <c r="G579" s="179"/>
      <c r="H579" s="179"/>
      <c r="I579" s="179"/>
      <c r="J579" s="179"/>
      <c r="K579" s="179"/>
      <c r="L579" s="179"/>
      <c r="M579" s="179"/>
      <c r="N579" s="179" t="s">
        <v>220</v>
      </c>
      <c r="O579" s="179"/>
      <c r="P579" s="179"/>
      <c r="Q579" s="173">
        <v>2669.9</v>
      </c>
      <c r="R579" s="174"/>
      <c r="S579" s="174"/>
      <c r="T579" s="174"/>
      <c r="U579" s="174"/>
      <c r="V579" s="174"/>
      <c r="W579" s="202">
        <v>15</v>
      </c>
      <c r="X579" s="174"/>
      <c r="Y579" s="174"/>
      <c r="Z579" s="174"/>
      <c r="AA579" s="174"/>
      <c r="AB579" s="174"/>
      <c r="AC579" s="196">
        <v>40048.5</v>
      </c>
      <c r="AD579" s="174"/>
      <c r="AE579" s="174"/>
    </row>
    <row r="580" spans="1:31" ht="9.6" customHeight="1" x14ac:dyDescent="0.2">
      <c r="A580" s="168" t="s">
        <v>1047</v>
      </c>
      <c r="B580" s="179" t="s">
        <v>1048</v>
      </c>
      <c r="C580" s="179"/>
      <c r="D580" s="179"/>
      <c r="E580" s="179"/>
      <c r="F580" s="179"/>
      <c r="G580" s="179"/>
      <c r="H580" s="179"/>
      <c r="I580" s="179"/>
      <c r="J580" s="179"/>
      <c r="K580" s="179"/>
      <c r="L580" s="179"/>
      <c r="M580" s="179"/>
      <c r="N580" s="179" t="s">
        <v>220</v>
      </c>
      <c r="O580" s="179"/>
      <c r="P580" s="179"/>
      <c r="Q580" s="202">
        <v>80.88</v>
      </c>
      <c r="R580" s="174"/>
      <c r="S580" s="174"/>
      <c r="T580" s="174"/>
      <c r="U580" s="174"/>
      <c r="V580" s="174"/>
      <c r="W580" s="202">
        <v>25</v>
      </c>
      <c r="X580" s="174"/>
      <c r="Y580" s="174"/>
      <c r="Z580" s="174"/>
      <c r="AA580" s="174"/>
      <c r="AB580" s="174"/>
      <c r="AC580" s="201">
        <v>2022</v>
      </c>
      <c r="AD580" s="174"/>
      <c r="AE580" s="174"/>
    </row>
    <row r="581" spans="1:31" ht="9.6" customHeight="1" x14ac:dyDescent="0.2">
      <c r="A581" s="168" t="s">
        <v>1049</v>
      </c>
      <c r="B581" s="179" t="s">
        <v>1050</v>
      </c>
      <c r="C581" s="179"/>
      <c r="D581" s="179"/>
      <c r="E581" s="179"/>
      <c r="F581" s="179"/>
      <c r="G581" s="179"/>
      <c r="H581" s="179"/>
      <c r="I581" s="179"/>
      <c r="J581" s="179"/>
      <c r="K581" s="179"/>
      <c r="L581" s="179"/>
      <c r="M581" s="179"/>
      <c r="N581" s="179" t="s">
        <v>220</v>
      </c>
      <c r="O581" s="179"/>
      <c r="P581" s="179"/>
      <c r="Q581" s="173">
        <v>3093.87</v>
      </c>
      <c r="R581" s="174"/>
      <c r="S581" s="174"/>
      <c r="T581" s="174"/>
      <c r="U581" s="174"/>
      <c r="V581" s="174"/>
      <c r="W581" s="202">
        <v>27.4</v>
      </c>
      <c r="X581" s="174"/>
      <c r="Y581" s="174"/>
      <c r="Z581" s="174"/>
      <c r="AA581" s="174"/>
      <c r="AB581" s="174"/>
      <c r="AC581" s="196">
        <v>84772.04</v>
      </c>
      <c r="AD581" s="174"/>
      <c r="AE581" s="174"/>
    </row>
    <row r="582" spans="1:31" ht="9.6" customHeight="1" x14ac:dyDescent="0.2">
      <c r="A582" s="168" t="s">
        <v>1051</v>
      </c>
      <c r="B582" s="179" t="s">
        <v>1052</v>
      </c>
      <c r="C582" s="179"/>
      <c r="D582" s="179"/>
      <c r="E582" s="179"/>
      <c r="F582" s="179"/>
      <c r="G582" s="179"/>
      <c r="H582" s="179"/>
      <c r="I582" s="179"/>
      <c r="J582" s="179"/>
      <c r="K582" s="179"/>
      <c r="L582" s="179"/>
      <c r="M582" s="179"/>
      <c r="N582" s="179" t="s">
        <v>137</v>
      </c>
      <c r="O582" s="179"/>
      <c r="P582" s="179"/>
      <c r="Q582" s="191">
        <v>422</v>
      </c>
      <c r="R582" s="174"/>
      <c r="S582" s="174"/>
      <c r="T582" s="174"/>
      <c r="U582" s="174"/>
      <c r="V582" s="174"/>
      <c r="W582" s="202">
        <v>50</v>
      </c>
      <c r="X582" s="174"/>
      <c r="Y582" s="174"/>
      <c r="Z582" s="174"/>
      <c r="AA582" s="174"/>
      <c r="AB582" s="174"/>
      <c r="AC582" s="196">
        <v>21100</v>
      </c>
      <c r="AD582" s="174"/>
      <c r="AE582" s="174"/>
    </row>
    <row r="583" spans="1:31" ht="9.6" customHeight="1" x14ac:dyDescent="0.2">
      <c r="A583" s="167" t="s">
        <v>1053</v>
      </c>
      <c r="B583" s="176" t="s">
        <v>1054</v>
      </c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7"/>
      <c r="R583" s="177"/>
      <c r="S583" s="177"/>
      <c r="T583" s="177"/>
      <c r="U583" s="177"/>
      <c r="V583" s="177"/>
      <c r="W583" s="177"/>
      <c r="X583" s="177"/>
      <c r="Y583" s="177"/>
      <c r="Z583" s="177"/>
      <c r="AA583" s="177"/>
      <c r="AB583" s="177"/>
      <c r="AC583" s="194">
        <v>70210.48</v>
      </c>
      <c r="AD583" s="177"/>
      <c r="AE583" s="177"/>
    </row>
    <row r="584" spans="1:31" ht="9.75" customHeight="1" x14ac:dyDescent="0.2">
      <c r="A584" s="167" t="s">
        <v>1055</v>
      </c>
      <c r="B584" s="176" t="s">
        <v>1031</v>
      </c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7"/>
      <c r="R584" s="177"/>
      <c r="S584" s="177"/>
      <c r="T584" s="177"/>
      <c r="U584" s="177"/>
      <c r="V584" s="177"/>
      <c r="W584" s="177"/>
      <c r="X584" s="177"/>
      <c r="Y584" s="177"/>
      <c r="Z584" s="177"/>
      <c r="AA584" s="177"/>
      <c r="AB584" s="177"/>
      <c r="AC584" s="206">
        <v>4370.33</v>
      </c>
      <c r="AD584" s="177"/>
      <c r="AE584" s="177"/>
    </row>
    <row r="585" spans="1:31" ht="9.75" customHeight="1" x14ac:dyDescent="0.2">
      <c r="A585" s="168" t="s">
        <v>1056</v>
      </c>
      <c r="B585" s="179" t="s">
        <v>1033</v>
      </c>
      <c r="C585" s="179"/>
      <c r="D585" s="179"/>
      <c r="E585" s="179"/>
      <c r="F585" s="179"/>
      <c r="G585" s="179"/>
      <c r="H585" s="179"/>
      <c r="I585" s="179"/>
      <c r="J585" s="179"/>
      <c r="K585" s="179"/>
      <c r="L585" s="179"/>
      <c r="M585" s="179"/>
      <c r="N585" s="179" t="s">
        <v>220</v>
      </c>
      <c r="O585" s="179"/>
      <c r="P585" s="179"/>
      <c r="Q585" s="191">
        <v>726.21</v>
      </c>
      <c r="R585" s="174"/>
      <c r="S585" s="174"/>
      <c r="T585" s="174"/>
      <c r="U585" s="174"/>
      <c r="V585" s="174"/>
      <c r="W585" s="180">
        <v>6.0179999999999998</v>
      </c>
      <c r="X585" s="174"/>
      <c r="Y585" s="174"/>
      <c r="Z585" s="174"/>
      <c r="AA585" s="174"/>
      <c r="AB585" s="174"/>
      <c r="AC585" s="201">
        <v>4370.33</v>
      </c>
      <c r="AD585" s="174"/>
      <c r="AE585" s="174"/>
    </row>
    <row r="586" spans="1:31" ht="9.6" customHeight="1" x14ac:dyDescent="0.2">
      <c r="A586" s="167" t="s">
        <v>1057</v>
      </c>
      <c r="B586" s="176" t="s">
        <v>1035</v>
      </c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7"/>
      <c r="R586" s="177"/>
      <c r="S586" s="177"/>
      <c r="T586" s="177"/>
      <c r="U586" s="177"/>
      <c r="V586" s="177"/>
      <c r="W586" s="177"/>
      <c r="X586" s="177"/>
      <c r="Y586" s="177"/>
      <c r="Z586" s="177"/>
      <c r="AA586" s="177"/>
      <c r="AB586" s="177"/>
      <c r="AC586" s="194">
        <v>44917.15</v>
      </c>
      <c r="AD586" s="177"/>
      <c r="AE586" s="177"/>
    </row>
    <row r="587" spans="1:31" ht="9.75" customHeight="1" x14ac:dyDescent="0.2">
      <c r="A587" s="168" t="s">
        <v>1058</v>
      </c>
      <c r="B587" s="179" t="s">
        <v>1037</v>
      </c>
      <c r="C587" s="179"/>
      <c r="D587" s="179"/>
      <c r="E587" s="179"/>
      <c r="F587" s="179"/>
      <c r="G587" s="179"/>
      <c r="H587" s="179"/>
      <c r="I587" s="179"/>
      <c r="J587" s="179"/>
      <c r="K587" s="179"/>
      <c r="L587" s="179"/>
      <c r="M587" s="179"/>
      <c r="N587" s="179" t="s">
        <v>220</v>
      </c>
      <c r="O587" s="179"/>
      <c r="P587" s="179"/>
      <c r="Q587" s="191">
        <v>123.69</v>
      </c>
      <c r="R587" s="174"/>
      <c r="S587" s="174"/>
      <c r="T587" s="174"/>
      <c r="U587" s="174"/>
      <c r="V587" s="174"/>
      <c r="W587" s="202">
        <v>39.218699999999998</v>
      </c>
      <c r="X587" s="174"/>
      <c r="Y587" s="174"/>
      <c r="Z587" s="174"/>
      <c r="AA587" s="174"/>
      <c r="AB587" s="174"/>
      <c r="AC587" s="201">
        <v>4850.96</v>
      </c>
      <c r="AD587" s="174"/>
      <c r="AE587" s="174"/>
    </row>
    <row r="588" spans="1:31" ht="19.350000000000001" customHeight="1" x14ac:dyDescent="0.2">
      <c r="A588" s="168" t="s">
        <v>1059</v>
      </c>
      <c r="B588" s="179" t="s">
        <v>1041</v>
      </c>
      <c r="C588" s="179"/>
      <c r="D588" s="179"/>
      <c r="E588" s="179"/>
      <c r="F588" s="179"/>
      <c r="G588" s="179"/>
      <c r="H588" s="179"/>
      <c r="I588" s="179"/>
      <c r="J588" s="179"/>
      <c r="K588" s="179"/>
      <c r="L588" s="179"/>
      <c r="M588" s="179"/>
      <c r="N588" s="179" t="s">
        <v>223</v>
      </c>
      <c r="O588" s="179"/>
      <c r="P588" s="179"/>
      <c r="Q588" s="191">
        <v>614.42999999999995</v>
      </c>
      <c r="R588" s="174"/>
      <c r="S588" s="174"/>
      <c r="T588" s="174"/>
      <c r="U588" s="174"/>
      <c r="V588" s="174"/>
      <c r="W588" s="202">
        <v>29.418700000000001</v>
      </c>
      <c r="X588" s="174"/>
      <c r="Y588" s="174"/>
      <c r="Z588" s="174"/>
      <c r="AA588" s="174"/>
      <c r="AB588" s="174"/>
      <c r="AC588" s="196">
        <v>18075.73</v>
      </c>
      <c r="AD588" s="174"/>
      <c r="AE588" s="174"/>
    </row>
    <row r="589" spans="1:31" ht="9.6" customHeight="1" x14ac:dyDescent="0.2">
      <c r="A589" s="168" t="s">
        <v>1060</v>
      </c>
      <c r="B589" s="179" t="s">
        <v>1043</v>
      </c>
      <c r="C589" s="179"/>
      <c r="D589" s="179"/>
      <c r="E589" s="179"/>
      <c r="F589" s="179"/>
      <c r="G589" s="179"/>
      <c r="H589" s="179"/>
      <c r="I589" s="179"/>
      <c r="J589" s="179"/>
      <c r="K589" s="179"/>
      <c r="L589" s="179"/>
      <c r="M589" s="179"/>
      <c r="N589" s="179" t="s">
        <v>137</v>
      </c>
      <c r="O589" s="179"/>
      <c r="P589" s="179"/>
      <c r="Q589" s="202">
        <v>53</v>
      </c>
      <c r="R589" s="174"/>
      <c r="S589" s="174"/>
      <c r="T589" s="174"/>
      <c r="U589" s="174"/>
      <c r="V589" s="174"/>
      <c r="W589" s="202">
        <v>10.988300000000001</v>
      </c>
      <c r="X589" s="174"/>
      <c r="Y589" s="174"/>
      <c r="Z589" s="174"/>
      <c r="AA589" s="174"/>
      <c r="AB589" s="174"/>
      <c r="AC589" s="205">
        <v>582.38</v>
      </c>
      <c r="AD589" s="174"/>
      <c r="AE589" s="174"/>
    </row>
    <row r="590" spans="1:31" ht="19.350000000000001" customHeight="1" x14ac:dyDescent="0.2">
      <c r="A590" s="168" t="s">
        <v>1061</v>
      </c>
      <c r="B590" s="179" t="s">
        <v>1062</v>
      </c>
      <c r="C590" s="179"/>
      <c r="D590" s="179"/>
      <c r="E590" s="179"/>
      <c r="F590" s="179"/>
      <c r="G590" s="179"/>
      <c r="H590" s="179"/>
      <c r="I590" s="179"/>
      <c r="J590" s="179"/>
      <c r="K590" s="179"/>
      <c r="L590" s="179"/>
      <c r="M590" s="179"/>
      <c r="N590" s="179" t="s">
        <v>223</v>
      </c>
      <c r="O590" s="179"/>
      <c r="P590" s="179"/>
      <c r="Q590" s="202">
        <v>95.28</v>
      </c>
      <c r="R590" s="174"/>
      <c r="S590" s="174"/>
      <c r="T590" s="174"/>
      <c r="U590" s="174"/>
      <c r="V590" s="174"/>
      <c r="W590" s="191">
        <v>224.68600000000001</v>
      </c>
      <c r="X590" s="174"/>
      <c r="Y590" s="174"/>
      <c r="Z590" s="174"/>
      <c r="AA590" s="174"/>
      <c r="AB590" s="174"/>
      <c r="AC590" s="196">
        <v>21408.080000000002</v>
      </c>
      <c r="AD590" s="174"/>
      <c r="AE590" s="174"/>
    </row>
    <row r="591" spans="1:31" ht="19.350000000000001" customHeight="1" x14ac:dyDescent="0.2">
      <c r="A591" s="167" t="s">
        <v>1063</v>
      </c>
      <c r="B591" s="176" t="s">
        <v>693</v>
      </c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7"/>
      <c r="R591" s="177"/>
      <c r="S591" s="177"/>
      <c r="T591" s="177"/>
      <c r="U591" s="177"/>
      <c r="V591" s="177"/>
      <c r="W591" s="177"/>
      <c r="X591" s="177"/>
      <c r="Y591" s="177"/>
      <c r="Z591" s="177"/>
      <c r="AA591" s="177"/>
      <c r="AB591" s="177"/>
      <c r="AC591" s="194">
        <v>20923</v>
      </c>
      <c r="AD591" s="177"/>
      <c r="AE591" s="177"/>
    </row>
    <row r="592" spans="1:31" ht="9.75" customHeight="1" x14ac:dyDescent="0.2">
      <c r="A592" s="168" t="s">
        <v>1064</v>
      </c>
      <c r="B592" s="179" t="s">
        <v>1046</v>
      </c>
      <c r="C592" s="179"/>
      <c r="D592" s="179"/>
      <c r="E592" s="179"/>
      <c r="F592" s="179"/>
      <c r="G592" s="179"/>
      <c r="H592" s="179"/>
      <c r="I592" s="179"/>
      <c r="J592" s="179"/>
      <c r="K592" s="179"/>
      <c r="L592" s="179"/>
      <c r="M592" s="179"/>
      <c r="N592" s="179" t="s">
        <v>220</v>
      </c>
      <c r="O592" s="179"/>
      <c r="P592" s="179"/>
      <c r="Q592" s="191">
        <v>726.21</v>
      </c>
      <c r="R592" s="174"/>
      <c r="S592" s="174"/>
      <c r="T592" s="174"/>
      <c r="U592" s="174"/>
      <c r="V592" s="174"/>
      <c r="W592" s="202">
        <v>15</v>
      </c>
      <c r="X592" s="174"/>
      <c r="Y592" s="174"/>
      <c r="Z592" s="174"/>
      <c r="AA592" s="174"/>
      <c r="AB592" s="174"/>
      <c r="AC592" s="196">
        <v>10893.15</v>
      </c>
      <c r="AD592" s="174"/>
      <c r="AE592" s="174"/>
    </row>
    <row r="593" spans="1:31" ht="9.6" customHeight="1" x14ac:dyDescent="0.2">
      <c r="A593" s="168" t="s">
        <v>1065</v>
      </c>
      <c r="B593" s="179" t="s">
        <v>1048</v>
      </c>
      <c r="C593" s="179"/>
      <c r="D593" s="179"/>
      <c r="E593" s="179"/>
      <c r="F593" s="179"/>
      <c r="G593" s="179"/>
      <c r="H593" s="179"/>
      <c r="I593" s="179"/>
      <c r="J593" s="179"/>
      <c r="K593" s="179"/>
      <c r="L593" s="179"/>
      <c r="M593" s="179"/>
      <c r="N593" s="179" t="s">
        <v>220</v>
      </c>
      <c r="O593" s="179"/>
      <c r="P593" s="179"/>
      <c r="Q593" s="191">
        <v>123.69</v>
      </c>
      <c r="R593" s="174"/>
      <c r="S593" s="174"/>
      <c r="T593" s="174"/>
      <c r="U593" s="174"/>
      <c r="V593" s="174"/>
      <c r="W593" s="202">
        <v>25</v>
      </c>
      <c r="X593" s="174"/>
      <c r="Y593" s="174"/>
      <c r="Z593" s="174"/>
      <c r="AA593" s="174"/>
      <c r="AB593" s="174"/>
      <c r="AC593" s="201">
        <v>3092.25</v>
      </c>
      <c r="AD593" s="174"/>
      <c r="AE593" s="174"/>
    </row>
    <row r="594" spans="1:31" ht="9.6" customHeight="1" x14ac:dyDescent="0.2">
      <c r="A594" s="168" t="s">
        <v>1066</v>
      </c>
      <c r="B594" s="179" t="s">
        <v>1052</v>
      </c>
      <c r="C594" s="179"/>
      <c r="D594" s="179"/>
      <c r="E594" s="179"/>
      <c r="F594" s="179"/>
      <c r="G594" s="179"/>
      <c r="H594" s="179"/>
      <c r="I594" s="179"/>
      <c r="J594" s="179"/>
      <c r="K594" s="179"/>
      <c r="L594" s="179"/>
      <c r="M594" s="179"/>
      <c r="N594" s="179" t="s">
        <v>137</v>
      </c>
      <c r="O594" s="179"/>
      <c r="P594" s="179"/>
      <c r="Q594" s="202">
        <v>53</v>
      </c>
      <c r="R594" s="174"/>
      <c r="S594" s="174"/>
      <c r="T594" s="174"/>
      <c r="U594" s="174"/>
      <c r="V594" s="174"/>
      <c r="W594" s="202">
        <v>50</v>
      </c>
      <c r="X594" s="174"/>
      <c r="Y594" s="174"/>
      <c r="Z594" s="174"/>
      <c r="AA594" s="174"/>
      <c r="AB594" s="174"/>
      <c r="AC594" s="201">
        <v>2650</v>
      </c>
      <c r="AD594" s="174"/>
      <c r="AE594" s="174"/>
    </row>
    <row r="595" spans="1:31" ht="9.6" customHeight="1" x14ac:dyDescent="0.2">
      <c r="A595" s="168" t="s">
        <v>1067</v>
      </c>
      <c r="B595" s="179" t="s">
        <v>1068</v>
      </c>
      <c r="C595" s="179"/>
      <c r="D595" s="179"/>
      <c r="E595" s="179"/>
      <c r="F595" s="179"/>
      <c r="G595" s="179"/>
      <c r="H595" s="179"/>
      <c r="I595" s="179"/>
      <c r="J595" s="179"/>
      <c r="K595" s="179"/>
      <c r="L595" s="179"/>
      <c r="M595" s="179"/>
      <c r="N595" s="179" t="s">
        <v>223</v>
      </c>
      <c r="O595" s="179"/>
      <c r="P595" s="179"/>
      <c r="Q595" s="202">
        <v>95.28</v>
      </c>
      <c r="R595" s="174"/>
      <c r="S595" s="174"/>
      <c r="T595" s="174"/>
      <c r="U595" s="174"/>
      <c r="V595" s="174"/>
      <c r="W595" s="202">
        <v>45</v>
      </c>
      <c r="X595" s="174"/>
      <c r="Y595" s="174"/>
      <c r="Z595" s="174"/>
      <c r="AA595" s="174"/>
      <c r="AB595" s="174"/>
      <c r="AC595" s="201">
        <v>4287.6000000000004</v>
      </c>
      <c r="AD595" s="174"/>
      <c r="AE595" s="174"/>
    </row>
    <row r="596" spans="1:31" ht="19.350000000000001" customHeight="1" x14ac:dyDescent="0.2">
      <c r="A596" s="167" t="s">
        <v>1069</v>
      </c>
      <c r="B596" s="176" t="s">
        <v>1070</v>
      </c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7"/>
      <c r="R596" s="177"/>
      <c r="S596" s="177"/>
      <c r="T596" s="177"/>
      <c r="U596" s="177"/>
      <c r="V596" s="177"/>
      <c r="W596" s="177"/>
      <c r="X596" s="177"/>
      <c r="Y596" s="177"/>
      <c r="Z596" s="177"/>
      <c r="AA596" s="177"/>
      <c r="AB596" s="177"/>
      <c r="AC596" s="178">
        <v>1720556.22</v>
      </c>
      <c r="AD596" s="177"/>
      <c r="AE596" s="177"/>
    </row>
    <row r="597" spans="1:31" ht="9.75" customHeight="1" x14ac:dyDescent="0.2">
      <c r="A597" s="167" t="s">
        <v>1071</v>
      </c>
      <c r="B597" s="176" t="s">
        <v>1031</v>
      </c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7"/>
      <c r="R597" s="177"/>
      <c r="S597" s="177"/>
      <c r="T597" s="177"/>
      <c r="U597" s="177"/>
      <c r="V597" s="177"/>
      <c r="W597" s="177"/>
      <c r="X597" s="177"/>
      <c r="Y597" s="177"/>
      <c r="Z597" s="177"/>
      <c r="AA597" s="177"/>
      <c r="AB597" s="177"/>
      <c r="AC597" s="194">
        <v>44731.91</v>
      </c>
      <c r="AD597" s="177"/>
      <c r="AE597" s="177"/>
    </row>
    <row r="598" spans="1:31" ht="9.75" customHeight="1" x14ac:dyDescent="0.2">
      <c r="A598" s="168" t="s">
        <v>1072</v>
      </c>
      <c r="B598" s="179" t="s">
        <v>1033</v>
      </c>
      <c r="C598" s="179"/>
      <c r="D598" s="179"/>
      <c r="E598" s="179"/>
      <c r="F598" s="179"/>
      <c r="G598" s="179"/>
      <c r="H598" s="179"/>
      <c r="I598" s="179"/>
      <c r="J598" s="179"/>
      <c r="K598" s="179"/>
      <c r="L598" s="179"/>
      <c r="M598" s="179"/>
      <c r="N598" s="179" t="s">
        <v>220</v>
      </c>
      <c r="O598" s="179"/>
      <c r="P598" s="179"/>
      <c r="Q598" s="173">
        <v>7433.02</v>
      </c>
      <c r="R598" s="174"/>
      <c r="S598" s="174"/>
      <c r="T598" s="174"/>
      <c r="U598" s="174"/>
      <c r="V598" s="174"/>
      <c r="W598" s="180">
        <v>6.0179999999999998</v>
      </c>
      <c r="X598" s="174"/>
      <c r="Y598" s="174"/>
      <c r="Z598" s="174"/>
      <c r="AA598" s="174"/>
      <c r="AB598" s="174"/>
      <c r="AC598" s="196">
        <v>44731.91</v>
      </c>
      <c r="AD598" s="174"/>
      <c r="AE598" s="174"/>
    </row>
    <row r="599" spans="1:31" ht="9.6" customHeight="1" x14ac:dyDescent="0.2">
      <c r="A599" s="167" t="s">
        <v>1073</v>
      </c>
      <c r="B599" s="176" t="s">
        <v>1035</v>
      </c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7"/>
      <c r="R599" s="177"/>
      <c r="S599" s="177"/>
      <c r="T599" s="177"/>
      <c r="U599" s="177"/>
      <c r="V599" s="177"/>
      <c r="W599" s="177"/>
      <c r="X599" s="177"/>
      <c r="Y599" s="177"/>
      <c r="Z599" s="177"/>
      <c r="AA599" s="177"/>
      <c r="AB599" s="177"/>
      <c r="AC599" s="178">
        <v>1158419.1000000001</v>
      </c>
      <c r="AD599" s="177"/>
      <c r="AE599" s="177"/>
    </row>
    <row r="600" spans="1:31" ht="9.75" customHeight="1" x14ac:dyDescent="0.2">
      <c r="A600" s="168" t="s">
        <v>1074</v>
      </c>
      <c r="B600" s="179" t="s">
        <v>1037</v>
      </c>
      <c r="C600" s="179"/>
      <c r="D600" s="179"/>
      <c r="E600" s="179"/>
      <c r="F600" s="179"/>
      <c r="G600" s="179"/>
      <c r="H600" s="179"/>
      <c r="I600" s="179"/>
      <c r="J600" s="179"/>
      <c r="K600" s="179"/>
      <c r="L600" s="179"/>
      <c r="M600" s="179"/>
      <c r="N600" s="179" t="s">
        <v>220</v>
      </c>
      <c r="O600" s="179"/>
      <c r="P600" s="179"/>
      <c r="Q600" s="173">
        <v>8315.23</v>
      </c>
      <c r="R600" s="174"/>
      <c r="S600" s="174"/>
      <c r="T600" s="174"/>
      <c r="U600" s="174"/>
      <c r="V600" s="174"/>
      <c r="W600" s="202">
        <v>39.218699999999998</v>
      </c>
      <c r="X600" s="174"/>
      <c r="Y600" s="174"/>
      <c r="Z600" s="174"/>
      <c r="AA600" s="174"/>
      <c r="AB600" s="174"/>
      <c r="AC600" s="200">
        <v>326112.51</v>
      </c>
      <c r="AD600" s="174"/>
      <c r="AE600" s="174"/>
    </row>
    <row r="601" spans="1:31" ht="19.350000000000001" customHeight="1" x14ac:dyDescent="0.2">
      <c r="A601" s="168" t="s">
        <v>1075</v>
      </c>
      <c r="B601" s="179" t="s">
        <v>1039</v>
      </c>
      <c r="C601" s="179"/>
      <c r="D601" s="179"/>
      <c r="E601" s="179"/>
      <c r="F601" s="179"/>
      <c r="G601" s="179"/>
      <c r="H601" s="179"/>
      <c r="I601" s="179"/>
      <c r="J601" s="179"/>
      <c r="K601" s="179"/>
      <c r="L601" s="179"/>
      <c r="M601" s="179"/>
      <c r="N601" s="179" t="s">
        <v>220</v>
      </c>
      <c r="O601" s="179"/>
      <c r="P601" s="179"/>
      <c r="Q601" s="173">
        <v>3344.13</v>
      </c>
      <c r="R601" s="174"/>
      <c r="S601" s="174"/>
      <c r="T601" s="174"/>
      <c r="U601" s="174"/>
      <c r="V601" s="174"/>
      <c r="W601" s="202">
        <v>65</v>
      </c>
      <c r="X601" s="174"/>
      <c r="Y601" s="174"/>
      <c r="Z601" s="174"/>
      <c r="AA601" s="174"/>
      <c r="AB601" s="174"/>
      <c r="AC601" s="200">
        <v>217368.45</v>
      </c>
      <c r="AD601" s="174"/>
      <c r="AE601" s="174"/>
    </row>
    <row r="602" spans="1:31" ht="19.350000000000001" customHeight="1" x14ac:dyDescent="0.2">
      <c r="A602" s="168" t="s">
        <v>1076</v>
      </c>
      <c r="B602" s="179" t="s">
        <v>1041</v>
      </c>
      <c r="C602" s="179"/>
      <c r="D602" s="179"/>
      <c r="E602" s="179"/>
      <c r="F602" s="179"/>
      <c r="G602" s="179"/>
      <c r="H602" s="179"/>
      <c r="I602" s="179"/>
      <c r="J602" s="179"/>
      <c r="K602" s="179"/>
      <c r="L602" s="179"/>
      <c r="M602" s="179"/>
      <c r="N602" s="179" t="s">
        <v>223</v>
      </c>
      <c r="O602" s="179"/>
      <c r="P602" s="179"/>
      <c r="Q602" s="195">
        <v>20108.13</v>
      </c>
      <c r="R602" s="174"/>
      <c r="S602" s="174"/>
      <c r="T602" s="174"/>
      <c r="U602" s="174"/>
      <c r="V602" s="174"/>
      <c r="W602" s="202">
        <v>29.418700000000001</v>
      </c>
      <c r="X602" s="174"/>
      <c r="Y602" s="174"/>
      <c r="Z602" s="174"/>
      <c r="AA602" s="174"/>
      <c r="AB602" s="174"/>
      <c r="AC602" s="200">
        <v>591555.04</v>
      </c>
      <c r="AD602" s="174"/>
      <c r="AE602" s="174"/>
    </row>
    <row r="603" spans="1:31" ht="9.6" customHeight="1" x14ac:dyDescent="0.2">
      <c r="A603" s="168" t="s">
        <v>1077</v>
      </c>
      <c r="B603" s="179" t="s">
        <v>1043</v>
      </c>
      <c r="C603" s="179"/>
      <c r="D603" s="179"/>
      <c r="E603" s="179"/>
      <c r="F603" s="179"/>
      <c r="G603" s="179"/>
      <c r="H603" s="179"/>
      <c r="I603" s="179"/>
      <c r="J603" s="179"/>
      <c r="K603" s="179"/>
      <c r="L603" s="179"/>
      <c r="M603" s="179"/>
      <c r="N603" s="179" t="s">
        <v>137</v>
      </c>
      <c r="O603" s="179"/>
      <c r="P603" s="179"/>
      <c r="Q603" s="173">
        <v>2128</v>
      </c>
      <c r="R603" s="174"/>
      <c r="S603" s="174"/>
      <c r="T603" s="174"/>
      <c r="U603" s="174"/>
      <c r="V603" s="174"/>
      <c r="W603" s="202">
        <v>10.988300000000001</v>
      </c>
      <c r="X603" s="174"/>
      <c r="Y603" s="174"/>
      <c r="Z603" s="174"/>
      <c r="AA603" s="174"/>
      <c r="AB603" s="174"/>
      <c r="AC603" s="196">
        <v>23383.1</v>
      </c>
      <c r="AD603" s="174"/>
      <c r="AE603" s="174"/>
    </row>
    <row r="604" spans="1:31" ht="19.350000000000001" customHeight="1" x14ac:dyDescent="0.2">
      <c r="A604" s="167" t="s">
        <v>1078</v>
      </c>
      <c r="B604" s="176" t="s">
        <v>693</v>
      </c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7"/>
      <c r="R604" s="177"/>
      <c r="S604" s="177"/>
      <c r="T604" s="177"/>
      <c r="U604" s="177"/>
      <c r="V604" s="177"/>
      <c r="W604" s="177"/>
      <c r="X604" s="177"/>
      <c r="Y604" s="177"/>
      <c r="Z604" s="177"/>
      <c r="AA604" s="177"/>
      <c r="AB604" s="177"/>
      <c r="AC604" s="198">
        <v>517405.21</v>
      </c>
      <c r="AD604" s="177"/>
      <c r="AE604" s="177"/>
    </row>
    <row r="605" spans="1:31" ht="9.75" customHeight="1" x14ac:dyDescent="0.2">
      <c r="A605" s="168" t="s">
        <v>1079</v>
      </c>
      <c r="B605" s="179" t="s">
        <v>1046</v>
      </c>
      <c r="C605" s="179"/>
      <c r="D605" s="179"/>
      <c r="E605" s="179"/>
      <c r="F605" s="179"/>
      <c r="G605" s="179"/>
      <c r="H605" s="179"/>
      <c r="I605" s="179"/>
      <c r="J605" s="179"/>
      <c r="K605" s="179"/>
      <c r="L605" s="179"/>
      <c r="M605" s="179"/>
      <c r="N605" s="179" t="s">
        <v>220</v>
      </c>
      <c r="O605" s="179"/>
      <c r="P605" s="179"/>
      <c r="Q605" s="173">
        <v>7433.02</v>
      </c>
      <c r="R605" s="174"/>
      <c r="S605" s="174"/>
      <c r="T605" s="174"/>
      <c r="U605" s="174"/>
      <c r="V605" s="174"/>
      <c r="W605" s="202">
        <v>15</v>
      </c>
      <c r="X605" s="174"/>
      <c r="Y605" s="174"/>
      <c r="Z605" s="174"/>
      <c r="AA605" s="174"/>
      <c r="AB605" s="174"/>
      <c r="AC605" s="200">
        <v>111495.3</v>
      </c>
      <c r="AD605" s="174"/>
      <c r="AE605" s="174"/>
    </row>
    <row r="606" spans="1:31" ht="9.6" customHeight="1" x14ac:dyDescent="0.2">
      <c r="A606" s="168" t="s">
        <v>1080</v>
      </c>
      <c r="B606" s="179" t="s">
        <v>1048</v>
      </c>
      <c r="C606" s="179"/>
      <c r="D606" s="179"/>
      <c r="E606" s="179"/>
      <c r="F606" s="179"/>
      <c r="G606" s="179"/>
      <c r="H606" s="179"/>
      <c r="I606" s="179"/>
      <c r="J606" s="179"/>
      <c r="K606" s="179"/>
      <c r="L606" s="179"/>
      <c r="M606" s="179"/>
      <c r="N606" s="179" t="s">
        <v>220</v>
      </c>
      <c r="O606" s="179"/>
      <c r="P606" s="179"/>
      <c r="Q606" s="173">
        <v>8315.23</v>
      </c>
      <c r="R606" s="174"/>
      <c r="S606" s="174"/>
      <c r="T606" s="174"/>
      <c r="U606" s="174"/>
      <c r="V606" s="174"/>
      <c r="W606" s="202">
        <v>25</v>
      </c>
      <c r="X606" s="174"/>
      <c r="Y606" s="174"/>
      <c r="Z606" s="174"/>
      <c r="AA606" s="174"/>
      <c r="AB606" s="174"/>
      <c r="AC606" s="200">
        <v>207880.75</v>
      </c>
      <c r="AD606" s="174"/>
      <c r="AE606" s="174"/>
    </row>
    <row r="607" spans="1:31" ht="9.6" customHeight="1" x14ac:dyDescent="0.2">
      <c r="A607" s="168" t="s">
        <v>1081</v>
      </c>
      <c r="B607" s="179" t="s">
        <v>1050</v>
      </c>
      <c r="C607" s="179"/>
      <c r="D607" s="179"/>
      <c r="E607" s="179"/>
      <c r="F607" s="179"/>
      <c r="G607" s="179"/>
      <c r="H607" s="179"/>
      <c r="I607" s="179"/>
      <c r="J607" s="179"/>
      <c r="K607" s="179"/>
      <c r="L607" s="179"/>
      <c r="M607" s="179"/>
      <c r="N607" s="179" t="s">
        <v>220</v>
      </c>
      <c r="O607" s="179"/>
      <c r="P607" s="179"/>
      <c r="Q607" s="173">
        <v>3344.13</v>
      </c>
      <c r="R607" s="174"/>
      <c r="S607" s="174"/>
      <c r="T607" s="174"/>
      <c r="U607" s="174"/>
      <c r="V607" s="174"/>
      <c r="W607" s="202">
        <v>27.4</v>
      </c>
      <c r="X607" s="174"/>
      <c r="Y607" s="174"/>
      <c r="Z607" s="174"/>
      <c r="AA607" s="174"/>
      <c r="AB607" s="174"/>
      <c r="AC607" s="196">
        <v>91629.16</v>
      </c>
      <c r="AD607" s="174"/>
      <c r="AE607" s="174"/>
    </row>
    <row r="608" spans="1:31" ht="9.6" customHeight="1" x14ac:dyDescent="0.2">
      <c r="A608" s="168" t="s">
        <v>1082</v>
      </c>
      <c r="B608" s="179" t="s">
        <v>1052</v>
      </c>
      <c r="C608" s="179"/>
      <c r="D608" s="179"/>
      <c r="E608" s="179"/>
      <c r="F608" s="179"/>
      <c r="G608" s="179"/>
      <c r="H608" s="179"/>
      <c r="I608" s="179"/>
      <c r="J608" s="179"/>
      <c r="K608" s="179"/>
      <c r="L608" s="179"/>
      <c r="M608" s="179"/>
      <c r="N608" s="179" t="s">
        <v>137</v>
      </c>
      <c r="O608" s="179"/>
      <c r="P608" s="179"/>
      <c r="Q608" s="173">
        <v>2128</v>
      </c>
      <c r="R608" s="174"/>
      <c r="S608" s="174"/>
      <c r="T608" s="174"/>
      <c r="U608" s="174"/>
      <c r="V608" s="174"/>
      <c r="W608" s="202">
        <v>50</v>
      </c>
      <c r="X608" s="174"/>
      <c r="Y608" s="174"/>
      <c r="Z608" s="174"/>
      <c r="AA608" s="174"/>
      <c r="AB608" s="174"/>
      <c r="AC608" s="200">
        <v>106400</v>
      </c>
      <c r="AD608" s="174"/>
      <c r="AE608" s="174"/>
    </row>
    <row r="609" spans="1:31" ht="9.6" customHeight="1" x14ac:dyDescent="0.2">
      <c r="A609" s="167" t="s">
        <v>1083</v>
      </c>
      <c r="B609" s="176" t="s">
        <v>1084</v>
      </c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7"/>
      <c r="R609" s="177"/>
      <c r="S609" s="177"/>
      <c r="T609" s="177"/>
      <c r="U609" s="177"/>
      <c r="V609" s="177"/>
      <c r="W609" s="177"/>
      <c r="X609" s="177"/>
      <c r="Y609" s="177"/>
      <c r="Z609" s="177"/>
      <c r="AA609" s="177"/>
      <c r="AB609" s="177"/>
      <c r="AC609" s="198">
        <v>236471.13</v>
      </c>
      <c r="AD609" s="177"/>
      <c r="AE609" s="177"/>
    </row>
    <row r="610" spans="1:31" ht="19.350000000000001" customHeight="1" x14ac:dyDescent="0.2">
      <c r="A610" s="167" t="s">
        <v>1085</v>
      </c>
      <c r="B610" s="176" t="s">
        <v>1031</v>
      </c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7"/>
      <c r="R610" s="177"/>
      <c r="S610" s="177"/>
      <c r="T610" s="177"/>
      <c r="U610" s="177"/>
      <c r="V610" s="177"/>
      <c r="W610" s="177"/>
      <c r="X610" s="177"/>
      <c r="Y610" s="177"/>
      <c r="Z610" s="177"/>
      <c r="AA610" s="177"/>
      <c r="AB610" s="177"/>
      <c r="AC610" s="206">
        <v>8544.7800000000007</v>
      </c>
      <c r="AD610" s="177"/>
      <c r="AE610" s="177"/>
    </row>
    <row r="611" spans="1:31" ht="9.75" customHeight="1" x14ac:dyDescent="0.2">
      <c r="A611" s="168" t="s">
        <v>1086</v>
      </c>
      <c r="B611" s="179" t="s">
        <v>1033</v>
      </c>
      <c r="C611" s="179"/>
      <c r="D611" s="179"/>
      <c r="E611" s="179"/>
      <c r="F611" s="179"/>
      <c r="G611" s="179"/>
      <c r="H611" s="179"/>
      <c r="I611" s="179"/>
      <c r="J611" s="179"/>
      <c r="K611" s="179"/>
      <c r="L611" s="179"/>
      <c r="M611" s="179"/>
      <c r="N611" s="179" t="s">
        <v>220</v>
      </c>
      <c r="O611" s="179"/>
      <c r="P611" s="179"/>
      <c r="Q611" s="173">
        <v>1419.87</v>
      </c>
      <c r="R611" s="174"/>
      <c r="S611" s="174"/>
      <c r="T611" s="174"/>
      <c r="U611" s="174"/>
      <c r="V611" s="174"/>
      <c r="W611" s="180">
        <v>6.0179999999999998</v>
      </c>
      <c r="X611" s="174"/>
      <c r="Y611" s="174"/>
      <c r="Z611" s="174"/>
      <c r="AA611" s="174"/>
      <c r="AB611" s="174"/>
      <c r="AC611" s="201">
        <v>8544.7800000000007</v>
      </c>
      <c r="AD611" s="174"/>
      <c r="AE611" s="174"/>
    </row>
    <row r="612" spans="1:31" ht="9.6" customHeight="1" x14ac:dyDescent="0.2">
      <c r="A612" s="167" t="s">
        <v>1087</v>
      </c>
      <c r="B612" s="176" t="s">
        <v>1035</v>
      </c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7"/>
      <c r="R612" s="177"/>
      <c r="S612" s="177"/>
      <c r="T612" s="177"/>
      <c r="U612" s="177"/>
      <c r="V612" s="177"/>
      <c r="W612" s="177"/>
      <c r="X612" s="177"/>
      <c r="Y612" s="177"/>
      <c r="Z612" s="177"/>
      <c r="AA612" s="177"/>
      <c r="AB612" s="177"/>
      <c r="AC612" s="198">
        <v>147587.63</v>
      </c>
      <c r="AD612" s="177"/>
      <c r="AE612" s="177"/>
    </row>
    <row r="613" spans="1:31" ht="9.75" customHeight="1" x14ac:dyDescent="0.2">
      <c r="A613" s="168" t="s">
        <v>1088</v>
      </c>
      <c r="B613" s="179" t="s">
        <v>1039</v>
      </c>
      <c r="C613" s="179"/>
      <c r="D613" s="179"/>
      <c r="E613" s="179"/>
      <c r="F613" s="179"/>
      <c r="G613" s="179"/>
      <c r="H613" s="179"/>
      <c r="I613" s="179"/>
      <c r="J613" s="179"/>
      <c r="K613" s="179"/>
      <c r="L613" s="179"/>
      <c r="M613" s="179"/>
      <c r="N613" s="179" t="s">
        <v>220</v>
      </c>
      <c r="O613" s="179"/>
      <c r="P613" s="179"/>
      <c r="Q613" s="173">
        <v>2143.8200000000002</v>
      </c>
      <c r="R613" s="174"/>
      <c r="S613" s="174"/>
      <c r="T613" s="174"/>
      <c r="U613" s="174"/>
      <c r="V613" s="174"/>
      <c r="W613" s="202">
        <v>65</v>
      </c>
      <c r="X613" s="174"/>
      <c r="Y613" s="174"/>
      <c r="Z613" s="174"/>
      <c r="AA613" s="174"/>
      <c r="AB613" s="174"/>
      <c r="AC613" s="200">
        <v>139348.29999999999</v>
      </c>
      <c r="AD613" s="174"/>
      <c r="AE613" s="174"/>
    </row>
    <row r="614" spans="1:31" ht="19.350000000000001" customHeight="1" x14ac:dyDescent="0.2">
      <c r="A614" s="168" t="s">
        <v>1089</v>
      </c>
      <c r="B614" s="179" t="s">
        <v>1041</v>
      </c>
      <c r="C614" s="179"/>
      <c r="D614" s="179"/>
      <c r="E614" s="179"/>
      <c r="F614" s="179"/>
      <c r="G614" s="179"/>
      <c r="H614" s="179"/>
      <c r="I614" s="179"/>
      <c r="J614" s="179"/>
      <c r="K614" s="179"/>
      <c r="L614" s="179"/>
      <c r="M614" s="179"/>
      <c r="N614" s="179" t="s">
        <v>223</v>
      </c>
      <c r="O614" s="179"/>
      <c r="P614" s="179"/>
      <c r="Q614" s="191">
        <v>277.83</v>
      </c>
      <c r="R614" s="174"/>
      <c r="S614" s="174"/>
      <c r="T614" s="174"/>
      <c r="U614" s="174"/>
      <c r="V614" s="174"/>
      <c r="W614" s="202">
        <v>29.418700000000001</v>
      </c>
      <c r="X614" s="174"/>
      <c r="Y614" s="174"/>
      <c r="Z614" s="174"/>
      <c r="AA614" s="174"/>
      <c r="AB614" s="174"/>
      <c r="AC614" s="201">
        <v>8173.4</v>
      </c>
      <c r="AD614" s="174"/>
      <c r="AE614" s="174"/>
    </row>
    <row r="615" spans="1:31" ht="9.6" customHeight="1" x14ac:dyDescent="0.2">
      <c r="A615" s="168" t="s">
        <v>1090</v>
      </c>
      <c r="B615" s="179" t="s">
        <v>1043</v>
      </c>
      <c r="C615" s="179"/>
      <c r="D615" s="179"/>
      <c r="E615" s="179"/>
      <c r="F615" s="179"/>
      <c r="G615" s="179"/>
      <c r="H615" s="179"/>
      <c r="I615" s="179"/>
      <c r="J615" s="179"/>
      <c r="K615" s="179"/>
      <c r="L615" s="179"/>
      <c r="M615" s="179"/>
      <c r="N615" s="179" t="s">
        <v>137</v>
      </c>
      <c r="O615" s="179"/>
      <c r="P615" s="179"/>
      <c r="Q615" s="180">
        <v>6</v>
      </c>
      <c r="R615" s="174"/>
      <c r="S615" s="174"/>
      <c r="T615" s="174"/>
      <c r="U615" s="174"/>
      <c r="V615" s="174"/>
      <c r="W615" s="202">
        <v>10.988300000000001</v>
      </c>
      <c r="X615" s="174"/>
      <c r="Y615" s="174"/>
      <c r="Z615" s="174"/>
      <c r="AA615" s="174"/>
      <c r="AB615" s="174"/>
      <c r="AC615" s="208">
        <v>65.930000000000007</v>
      </c>
      <c r="AD615" s="174"/>
      <c r="AE615" s="174"/>
    </row>
    <row r="616" spans="1:31" ht="19.350000000000001" customHeight="1" x14ac:dyDescent="0.2">
      <c r="A616" s="167" t="s">
        <v>1091</v>
      </c>
      <c r="B616" s="176" t="s">
        <v>693</v>
      </c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7"/>
      <c r="R616" s="177"/>
      <c r="S616" s="177"/>
      <c r="T616" s="177"/>
      <c r="U616" s="177"/>
      <c r="V616" s="177"/>
      <c r="W616" s="177"/>
      <c r="X616" s="177"/>
      <c r="Y616" s="177"/>
      <c r="Z616" s="177"/>
      <c r="AA616" s="177"/>
      <c r="AB616" s="177"/>
      <c r="AC616" s="194">
        <v>80338.720000000001</v>
      </c>
      <c r="AD616" s="177"/>
      <c r="AE616" s="177"/>
    </row>
    <row r="617" spans="1:31" ht="9.75" customHeight="1" x14ac:dyDescent="0.2">
      <c r="A617" s="168" t="s">
        <v>1092</v>
      </c>
      <c r="B617" s="179" t="s">
        <v>1046</v>
      </c>
      <c r="C617" s="179"/>
      <c r="D617" s="179"/>
      <c r="E617" s="179"/>
      <c r="F617" s="179"/>
      <c r="G617" s="179"/>
      <c r="H617" s="179"/>
      <c r="I617" s="179"/>
      <c r="J617" s="179"/>
      <c r="K617" s="179"/>
      <c r="L617" s="179"/>
      <c r="M617" s="179"/>
      <c r="N617" s="179" t="s">
        <v>220</v>
      </c>
      <c r="O617" s="179"/>
      <c r="P617" s="179"/>
      <c r="Q617" s="173">
        <v>1419.87</v>
      </c>
      <c r="R617" s="174"/>
      <c r="S617" s="174"/>
      <c r="T617" s="174"/>
      <c r="U617" s="174"/>
      <c r="V617" s="174"/>
      <c r="W617" s="202">
        <v>15</v>
      </c>
      <c r="X617" s="174"/>
      <c r="Y617" s="174"/>
      <c r="Z617" s="174"/>
      <c r="AA617" s="174"/>
      <c r="AB617" s="174"/>
      <c r="AC617" s="196">
        <v>21298.05</v>
      </c>
      <c r="AD617" s="174"/>
      <c r="AE617" s="174"/>
    </row>
    <row r="618" spans="1:31" ht="9.6" customHeight="1" x14ac:dyDescent="0.2">
      <c r="A618" s="168" t="s">
        <v>1093</v>
      </c>
      <c r="B618" s="179" t="s">
        <v>1050</v>
      </c>
      <c r="C618" s="179"/>
      <c r="D618" s="179"/>
      <c r="E618" s="179"/>
      <c r="F618" s="179"/>
      <c r="G618" s="179"/>
      <c r="H618" s="179"/>
      <c r="I618" s="179"/>
      <c r="J618" s="179"/>
      <c r="K618" s="179"/>
      <c r="L618" s="179"/>
      <c r="M618" s="179"/>
      <c r="N618" s="179" t="s">
        <v>220</v>
      </c>
      <c r="O618" s="179"/>
      <c r="P618" s="179"/>
      <c r="Q618" s="173">
        <v>2143.8200000000002</v>
      </c>
      <c r="R618" s="174"/>
      <c r="S618" s="174"/>
      <c r="T618" s="174"/>
      <c r="U618" s="174"/>
      <c r="V618" s="174"/>
      <c r="W618" s="202">
        <v>27.4</v>
      </c>
      <c r="X618" s="174"/>
      <c r="Y618" s="174"/>
      <c r="Z618" s="174"/>
      <c r="AA618" s="174"/>
      <c r="AB618" s="174"/>
      <c r="AC618" s="196">
        <v>58740.67</v>
      </c>
      <c r="AD618" s="174"/>
      <c r="AE618" s="174"/>
    </row>
    <row r="619" spans="1:31" ht="9.6" customHeight="1" x14ac:dyDescent="0.2">
      <c r="A619" s="168" t="s">
        <v>1094</v>
      </c>
      <c r="B619" s="179" t="s">
        <v>1052</v>
      </c>
      <c r="C619" s="179"/>
      <c r="D619" s="179"/>
      <c r="E619" s="179"/>
      <c r="F619" s="179"/>
      <c r="G619" s="179"/>
      <c r="H619" s="179"/>
      <c r="I619" s="179"/>
      <c r="J619" s="179"/>
      <c r="K619" s="179"/>
      <c r="L619" s="179"/>
      <c r="M619" s="179"/>
      <c r="N619" s="179" t="s">
        <v>137</v>
      </c>
      <c r="O619" s="179"/>
      <c r="P619" s="179"/>
      <c r="Q619" s="180">
        <v>6</v>
      </c>
      <c r="R619" s="174"/>
      <c r="S619" s="174"/>
      <c r="T619" s="174"/>
      <c r="U619" s="174"/>
      <c r="V619" s="174"/>
      <c r="W619" s="202">
        <v>50</v>
      </c>
      <c r="X619" s="174"/>
      <c r="Y619" s="174"/>
      <c r="Z619" s="174"/>
      <c r="AA619" s="174"/>
      <c r="AB619" s="174"/>
      <c r="AC619" s="205">
        <v>300</v>
      </c>
      <c r="AD619" s="174"/>
      <c r="AE619" s="174"/>
    </row>
    <row r="620" spans="1:31" ht="9.6" customHeight="1" x14ac:dyDescent="0.2">
      <c r="A620" s="167" t="s">
        <v>1095</v>
      </c>
      <c r="B620" s="176" t="s">
        <v>1096</v>
      </c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7"/>
      <c r="R620" s="177"/>
      <c r="S620" s="177"/>
      <c r="T620" s="177"/>
      <c r="U620" s="177"/>
      <c r="V620" s="177"/>
      <c r="W620" s="177"/>
      <c r="X620" s="177"/>
      <c r="Y620" s="177"/>
      <c r="Z620" s="177"/>
      <c r="AA620" s="177"/>
      <c r="AB620" s="177"/>
      <c r="AC620" s="178">
        <v>5514484.0999999996</v>
      </c>
      <c r="AD620" s="177"/>
      <c r="AE620" s="177"/>
    </row>
    <row r="621" spans="1:31" ht="9.75" customHeight="1" x14ac:dyDescent="0.2">
      <c r="A621" s="167" t="s">
        <v>1097</v>
      </c>
      <c r="B621" s="176" t="s">
        <v>1098</v>
      </c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7"/>
      <c r="R621" s="177"/>
      <c r="S621" s="177"/>
      <c r="T621" s="177"/>
      <c r="U621" s="177"/>
      <c r="V621" s="177"/>
      <c r="W621" s="177"/>
      <c r="X621" s="177"/>
      <c r="Y621" s="177"/>
      <c r="Z621" s="177"/>
      <c r="AA621" s="177"/>
      <c r="AB621" s="177"/>
      <c r="AC621" s="198">
        <v>204355.05</v>
      </c>
      <c r="AD621" s="177"/>
      <c r="AE621" s="177"/>
    </row>
    <row r="622" spans="1:31" ht="9.75" customHeight="1" x14ac:dyDescent="0.2">
      <c r="A622" s="167" t="s">
        <v>1099</v>
      </c>
      <c r="B622" s="176" t="s">
        <v>1100</v>
      </c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7"/>
      <c r="R622" s="177"/>
      <c r="S622" s="177"/>
      <c r="T622" s="177"/>
      <c r="U622" s="177"/>
      <c r="V622" s="177"/>
      <c r="W622" s="177"/>
      <c r="X622" s="177"/>
      <c r="Y622" s="177"/>
      <c r="Z622" s="177"/>
      <c r="AA622" s="177"/>
      <c r="AB622" s="177"/>
      <c r="AC622" s="206">
        <v>2176.92</v>
      </c>
      <c r="AD622" s="177"/>
      <c r="AE622" s="177"/>
    </row>
    <row r="623" spans="1:31" ht="9.75" customHeight="1" x14ac:dyDescent="0.2">
      <c r="A623" s="168" t="s">
        <v>1101</v>
      </c>
      <c r="B623" s="179" t="s">
        <v>1102</v>
      </c>
      <c r="C623" s="179"/>
      <c r="D623" s="179"/>
      <c r="E623" s="179"/>
      <c r="F623" s="179"/>
      <c r="G623" s="179"/>
      <c r="H623" s="179"/>
      <c r="I623" s="179"/>
      <c r="J623" s="179"/>
      <c r="K623" s="179"/>
      <c r="L623" s="179"/>
      <c r="M623" s="179"/>
      <c r="N623" s="179" t="s">
        <v>220</v>
      </c>
      <c r="O623" s="179"/>
      <c r="P623" s="179"/>
      <c r="Q623" s="202">
        <v>48.54</v>
      </c>
      <c r="R623" s="174"/>
      <c r="S623" s="174"/>
      <c r="T623" s="174"/>
      <c r="U623" s="174"/>
      <c r="V623" s="174"/>
      <c r="W623" s="202">
        <v>40.1633</v>
      </c>
      <c r="X623" s="174"/>
      <c r="Y623" s="174"/>
      <c r="Z623" s="174"/>
      <c r="AA623" s="174"/>
      <c r="AB623" s="174"/>
      <c r="AC623" s="201">
        <v>1949.53</v>
      </c>
      <c r="AD623" s="174"/>
      <c r="AE623" s="174"/>
    </row>
    <row r="624" spans="1:31" ht="19.350000000000001" customHeight="1" x14ac:dyDescent="0.2">
      <c r="A624" s="168" t="s">
        <v>1103</v>
      </c>
      <c r="B624" s="179" t="s">
        <v>1104</v>
      </c>
      <c r="C624" s="179"/>
      <c r="D624" s="179"/>
      <c r="E624" s="179"/>
      <c r="F624" s="179"/>
      <c r="G624" s="179"/>
      <c r="H624" s="179"/>
      <c r="I624" s="179"/>
      <c r="J624" s="179"/>
      <c r="K624" s="179"/>
      <c r="L624" s="179"/>
      <c r="M624" s="179"/>
      <c r="N624" s="179" t="s">
        <v>223</v>
      </c>
      <c r="O624" s="179"/>
      <c r="P624" s="179"/>
      <c r="Q624" s="202">
        <v>56.58</v>
      </c>
      <c r="R624" s="174"/>
      <c r="S624" s="174"/>
      <c r="T624" s="174"/>
      <c r="U624" s="174"/>
      <c r="V624" s="174"/>
      <c r="W624" s="180">
        <v>4.0189000000000004</v>
      </c>
      <c r="X624" s="174"/>
      <c r="Y624" s="174"/>
      <c r="Z624" s="174"/>
      <c r="AA624" s="174"/>
      <c r="AB624" s="174"/>
      <c r="AC624" s="205">
        <v>227.39</v>
      </c>
      <c r="AD624" s="174"/>
      <c r="AE624" s="174"/>
    </row>
    <row r="625" spans="1:31" ht="9.6" customHeight="1" x14ac:dyDescent="0.2">
      <c r="A625" s="167" t="s">
        <v>1105</v>
      </c>
      <c r="B625" s="176" t="s">
        <v>1106</v>
      </c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7"/>
      <c r="R625" s="177"/>
      <c r="S625" s="177"/>
      <c r="T625" s="177"/>
      <c r="U625" s="177"/>
      <c r="V625" s="177"/>
      <c r="W625" s="177"/>
      <c r="X625" s="177"/>
      <c r="Y625" s="177"/>
      <c r="Z625" s="177"/>
      <c r="AA625" s="177"/>
      <c r="AB625" s="177"/>
      <c r="AC625" s="194">
        <v>49243.61</v>
      </c>
      <c r="AD625" s="177"/>
      <c r="AE625" s="177"/>
    </row>
    <row r="626" spans="1:31" ht="9.75" customHeight="1" x14ac:dyDescent="0.2">
      <c r="A626" s="168" t="s">
        <v>1107</v>
      </c>
      <c r="B626" s="179" t="s">
        <v>1108</v>
      </c>
      <c r="C626" s="179"/>
      <c r="D626" s="179"/>
      <c r="E626" s="179"/>
      <c r="F626" s="179"/>
      <c r="G626" s="179"/>
      <c r="H626" s="179"/>
      <c r="I626" s="179"/>
      <c r="J626" s="179"/>
      <c r="K626" s="179"/>
      <c r="L626" s="179"/>
      <c r="M626" s="179"/>
      <c r="N626" s="179" t="s">
        <v>220</v>
      </c>
      <c r="O626" s="179"/>
      <c r="P626" s="179"/>
      <c r="Q626" s="173">
        <v>2854.14</v>
      </c>
      <c r="R626" s="174"/>
      <c r="S626" s="174"/>
      <c r="T626" s="174"/>
      <c r="U626" s="174"/>
      <c r="V626" s="174"/>
      <c r="W626" s="180">
        <v>1.1193</v>
      </c>
      <c r="X626" s="174"/>
      <c r="Y626" s="174"/>
      <c r="Z626" s="174"/>
      <c r="AA626" s="174"/>
      <c r="AB626" s="174"/>
      <c r="AC626" s="201">
        <v>3194.64</v>
      </c>
      <c r="AD626" s="174"/>
      <c r="AE626" s="174"/>
    </row>
    <row r="627" spans="1:31" ht="9.6" customHeight="1" x14ac:dyDescent="0.2">
      <c r="A627" s="168" t="s">
        <v>1109</v>
      </c>
      <c r="B627" s="179" t="s">
        <v>1110</v>
      </c>
      <c r="C627" s="179"/>
      <c r="D627" s="179"/>
      <c r="E627" s="179"/>
      <c r="F627" s="179"/>
      <c r="G627" s="179"/>
      <c r="H627" s="179"/>
      <c r="I627" s="179"/>
      <c r="J627" s="179"/>
      <c r="K627" s="179"/>
      <c r="L627" s="179"/>
      <c r="M627" s="179"/>
      <c r="N627" s="179" t="s">
        <v>220</v>
      </c>
      <c r="O627" s="179"/>
      <c r="P627" s="179"/>
      <c r="Q627" s="191">
        <v>794.33</v>
      </c>
      <c r="R627" s="174"/>
      <c r="S627" s="174"/>
      <c r="T627" s="174"/>
      <c r="U627" s="174"/>
      <c r="V627" s="174"/>
      <c r="W627" s="180">
        <v>3.2002000000000002</v>
      </c>
      <c r="X627" s="174"/>
      <c r="Y627" s="174"/>
      <c r="Z627" s="174"/>
      <c r="AA627" s="174"/>
      <c r="AB627" s="174"/>
      <c r="AC627" s="201">
        <v>2542.0100000000002</v>
      </c>
      <c r="AD627" s="174"/>
      <c r="AE627" s="174"/>
    </row>
    <row r="628" spans="1:31" ht="9.6" customHeight="1" x14ac:dyDescent="0.2">
      <c r="A628" s="168" t="s">
        <v>1111</v>
      </c>
      <c r="B628" s="179" t="s">
        <v>1112</v>
      </c>
      <c r="C628" s="179"/>
      <c r="D628" s="179"/>
      <c r="E628" s="179"/>
      <c r="F628" s="179"/>
      <c r="G628" s="179"/>
      <c r="H628" s="179"/>
      <c r="I628" s="179"/>
      <c r="J628" s="179"/>
      <c r="K628" s="179"/>
      <c r="L628" s="179"/>
      <c r="M628" s="179"/>
      <c r="N628" s="179" t="s">
        <v>220</v>
      </c>
      <c r="O628" s="179"/>
      <c r="P628" s="179"/>
      <c r="Q628" s="191">
        <v>208.59</v>
      </c>
      <c r="R628" s="174"/>
      <c r="S628" s="174"/>
      <c r="T628" s="174"/>
      <c r="U628" s="174"/>
      <c r="V628" s="174"/>
      <c r="W628" s="180">
        <v>4.4957000000000003</v>
      </c>
      <c r="X628" s="174"/>
      <c r="Y628" s="174"/>
      <c r="Z628" s="174"/>
      <c r="AA628" s="174"/>
      <c r="AB628" s="174"/>
      <c r="AC628" s="205">
        <v>937.76</v>
      </c>
      <c r="AD628" s="174"/>
      <c r="AE628" s="174"/>
    </row>
    <row r="629" spans="1:31" ht="19.350000000000001" customHeight="1" x14ac:dyDescent="0.2">
      <c r="A629" s="168" t="s">
        <v>1113</v>
      </c>
      <c r="B629" s="179" t="s">
        <v>1114</v>
      </c>
      <c r="C629" s="179"/>
      <c r="D629" s="179"/>
      <c r="E629" s="179"/>
      <c r="F629" s="179"/>
      <c r="G629" s="179"/>
      <c r="H629" s="179"/>
      <c r="I629" s="179"/>
      <c r="J629" s="179"/>
      <c r="K629" s="179"/>
      <c r="L629" s="179"/>
      <c r="M629" s="179"/>
      <c r="N629" s="179" t="s">
        <v>220</v>
      </c>
      <c r="O629" s="179"/>
      <c r="P629" s="179"/>
      <c r="Q629" s="191">
        <v>794.33</v>
      </c>
      <c r="R629" s="174"/>
      <c r="S629" s="174"/>
      <c r="T629" s="174"/>
      <c r="U629" s="174"/>
      <c r="V629" s="174"/>
      <c r="W629" s="180">
        <v>6.7436999999999996</v>
      </c>
      <c r="X629" s="174"/>
      <c r="Y629" s="174"/>
      <c r="Z629" s="174"/>
      <c r="AA629" s="174"/>
      <c r="AB629" s="174"/>
      <c r="AC629" s="201">
        <v>5356.72</v>
      </c>
      <c r="AD629" s="174"/>
      <c r="AE629" s="174"/>
    </row>
    <row r="630" spans="1:31" ht="19.350000000000001" customHeight="1" x14ac:dyDescent="0.2">
      <c r="A630" s="168" t="s">
        <v>1115</v>
      </c>
      <c r="B630" s="179" t="s">
        <v>1116</v>
      </c>
      <c r="C630" s="179"/>
      <c r="D630" s="179"/>
      <c r="E630" s="179"/>
      <c r="F630" s="179"/>
      <c r="G630" s="179"/>
      <c r="H630" s="179"/>
      <c r="I630" s="179"/>
      <c r="J630" s="179"/>
      <c r="K630" s="179"/>
      <c r="L630" s="179"/>
      <c r="M630" s="179"/>
      <c r="N630" s="179" t="s">
        <v>220</v>
      </c>
      <c r="O630" s="179"/>
      <c r="P630" s="179"/>
      <c r="Q630" s="173">
        <v>1560.34</v>
      </c>
      <c r="R630" s="174"/>
      <c r="S630" s="174"/>
      <c r="T630" s="174"/>
      <c r="U630" s="174"/>
      <c r="V630" s="174"/>
      <c r="W630" s="180">
        <v>6.8746999999999998</v>
      </c>
      <c r="X630" s="174"/>
      <c r="Y630" s="174"/>
      <c r="Z630" s="174"/>
      <c r="AA630" s="174"/>
      <c r="AB630" s="174"/>
      <c r="AC630" s="196">
        <v>10726.87</v>
      </c>
      <c r="AD630" s="174"/>
      <c r="AE630" s="174"/>
    </row>
    <row r="631" spans="1:31" ht="9.6" customHeight="1" x14ac:dyDescent="0.2">
      <c r="A631" s="168" t="s">
        <v>1117</v>
      </c>
      <c r="B631" s="179" t="s">
        <v>1118</v>
      </c>
      <c r="C631" s="179"/>
      <c r="D631" s="179"/>
      <c r="E631" s="179"/>
      <c r="F631" s="179"/>
      <c r="G631" s="179"/>
      <c r="H631" s="179"/>
      <c r="I631" s="179"/>
      <c r="J631" s="179"/>
      <c r="K631" s="179"/>
      <c r="L631" s="179"/>
      <c r="M631" s="179"/>
      <c r="N631" s="179" t="s">
        <v>220</v>
      </c>
      <c r="O631" s="179"/>
      <c r="P631" s="179"/>
      <c r="Q631" s="191">
        <v>290.88</v>
      </c>
      <c r="R631" s="174"/>
      <c r="S631" s="174"/>
      <c r="T631" s="174"/>
      <c r="U631" s="174"/>
      <c r="V631" s="174"/>
      <c r="W631" s="202">
        <v>91.053399999999996</v>
      </c>
      <c r="X631" s="174"/>
      <c r="Y631" s="174"/>
      <c r="Z631" s="174"/>
      <c r="AA631" s="174"/>
      <c r="AB631" s="174"/>
      <c r="AC631" s="196">
        <v>26485.61</v>
      </c>
      <c r="AD631" s="174"/>
      <c r="AE631" s="174"/>
    </row>
    <row r="632" spans="1:31" ht="9.6" customHeight="1" x14ac:dyDescent="0.2">
      <c r="A632" s="167" t="s">
        <v>1119</v>
      </c>
      <c r="B632" s="176" t="s">
        <v>1120</v>
      </c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7"/>
      <c r="R632" s="177"/>
      <c r="S632" s="177"/>
      <c r="T632" s="177"/>
      <c r="U632" s="177"/>
      <c r="V632" s="177"/>
      <c r="W632" s="177"/>
      <c r="X632" s="177"/>
      <c r="Y632" s="177"/>
      <c r="Z632" s="177"/>
      <c r="AA632" s="177"/>
      <c r="AB632" s="177"/>
      <c r="AC632" s="194">
        <v>20706.73</v>
      </c>
      <c r="AD632" s="177"/>
      <c r="AE632" s="177"/>
    </row>
    <row r="633" spans="1:31" ht="9.75" customHeight="1" x14ac:dyDescent="0.2">
      <c r="A633" s="168" t="s">
        <v>1121</v>
      </c>
      <c r="B633" s="179" t="s">
        <v>1122</v>
      </c>
      <c r="C633" s="179"/>
      <c r="D633" s="179"/>
      <c r="E633" s="179"/>
      <c r="F633" s="179"/>
      <c r="G633" s="179"/>
      <c r="H633" s="179"/>
      <c r="I633" s="179"/>
      <c r="J633" s="179"/>
      <c r="K633" s="179"/>
      <c r="L633" s="179"/>
      <c r="M633" s="179"/>
      <c r="N633" s="179" t="s">
        <v>220</v>
      </c>
      <c r="O633" s="179"/>
      <c r="P633" s="179"/>
      <c r="Q633" s="173">
        <v>1861.65</v>
      </c>
      <c r="R633" s="174"/>
      <c r="S633" s="174"/>
      <c r="T633" s="174"/>
      <c r="U633" s="174"/>
      <c r="V633" s="174"/>
      <c r="W633" s="180">
        <v>1.2398</v>
      </c>
      <c r="X633" s="174"/>
      <c r="Y633" s="174"/>
      <c r="Z633" s="174"/>
      <c r="AA633" s="174"/>
      <c r="AB633" s="174"/>
      <c r="AC633" s="201">
        <v>2308.0700000000002</v>
      </c>
      <c r="AD633" s="174"/>
      <c r="AE633" s="174"/>
    </row>
    <row r="634" spans="1:31" ht="9.6" customHeight="1" x14ac:dyDescent="0.2">
      <c r="A634" s="168" t="s">
        <v>1123</v>
      </c>
      <c r="B634" s="179" t="s">
        <v>1124</v>
      </c>
      <c r="C634" s="179"/>
      <c r="D634" s="179"/>
      <c r="E634" s="179"/>
      <c r="F634" s="179"/>
      <c r="G634" s="179"/>
      <c r="H634" s="179"/>
      <c r="I634" s="179"/>
      <c r="J634" s="179"/>
      <c r="K634" s="179"/>
      <c r="L634" s="179"/>
      <c r="M634" s="179"/>
      <c r="N634" s="179" t="s">
        <v>220</v>
      </c>
      <c r="O634" s="179"/>
      <c r="P634" s="179"/>
      <c r="Q634" s="173">
        <v>1792.76</v>
      </c>
      <c r="R634" s="174"/>
      <c r="S634" s="174"/>
      <c r="T634" s="174"/>
      <c r="U634" s="174"/>
      <c r="V634" s="174"/>
      <c r="W634" s="180">
        <v>3.2002000000000002</v>
      </c>
      <c r="X634" s="174"/>
      <c r="Y634" s="174"/>
      <c r="Z634" s="174"/>
      <c r="AA634" s="174"/>
      <c r="AB634" s="174"/>
      <c r="AC634" s="201">
        <v>5737.19</v>
      </c>
      <c r="AD634" s="174"/>
      <c r="AE634" s="174"/>
    </row>
    <row r="635" spans="1:31" ht="9.6" customHeight="1" x14ac:dyDescent="0.2">
      <c r="A635" s="168" t="s">
        <v>1125</v>
      </c>
      <c r="B635" s="179" t="s">
        <v>1126</v>
      </c>
      <c r="C635" s="179"/>
      <c r="D635" s="179"/>
      <c r="E635" s="179"/>
      <c r="F635" s="179"/>
      <c r="G635" s="179"/>
      <c r="H635" s="179"/>
      <c r="I635" s="179"/>
      <c r="J635" s="179"/>
      <c r="K635" s="179"/>
      <c r="L635" s="179"/>
      <c r="M635" s="179"/>
      <c r="N635" s="179" t="s">
        <v>220</v>
      </c>
      <c r="O635" s="179"/>
      <c r="P635" s="179"/>
      <c r="Q635" s="173">
        <v>1724.53</v>
      </c>
      <c r="R635" s="174"/>
      <c r="S635" s="174"/>
      <c r="T635" s="174"/>
      <c r="U635" s="174"/>
      <c r="V635" s="174"/>
      <c r="W635" s="180">
        <v>6.7436999999999996</v>
      </c>
      <c r="X635" s="174"/>
      <c r="Y635" s="174"/>
      <c r="Z635" s="174"/>
      <c r="AA635" s="174"/>
      <c r="AB635" s="174"/>
      <c r="AC635" s="196">
        <v>11629.71</v>
      </c>
      <c r="AD635" s="174"/>
      <c r="AE635" s="174"/>
    </row>
    <row r="636" spans="1:31" ht="19.350000000000001" customHeight="1" x14ac:dyDescent="0.2">
      <c r="A636" s="168" t="s">
        <v>1127</v>
      </c>
      <c r="B636" s="179" t="s">
        <v>1128</v>
      </c>
      <c r="C636" s="179"/>
      <c r="D636" s="179"/>
      <c r="E636" s="179"/>
      <c r="F636" s="179"/>
      <c r="G636" s="179"/>
      <c r="H636" s="179"/>
      <c r="I636" s="179"/>
      <c r="J636" s="179"/>
      <c r="K636" s="179"/>
      <c r="L636" s="179"/>
      <c r="M636" s="179"/>
      <c r="N636" s="179" t="s">
        <v>220</v>
      </c>
      <c r="O636" s="179"/>
      <c r="P636" s="179"/>
      <c r="Q636" s="202">
        <v>68.23</v>
      </c>
      <c r="R636" s="174"/>
      <c r="S636" s="174"/>
      <c r="T636" s="174"/>
      <c r="U636" s="174"/>
      <c r="V636" s="174"/>
      <c r="W636" s="180">
        <v>8.1806000000000001</v>
      </c>
      <c r="X636" s="174"/>
      <c r="Y636" s="174"/>
      <c r="Z636" s="174"/>
      <c r="AA636" s="174"/>
      <c r="AB636" s="174"/>
      <c r="AC636" s="205">
        <v>558.16</v>
      </c>
      <c r="AD636" s="174"/>
      <c r="AE636" s="174"/>
    </row>
    <row r="637" spans="1:31" ht="19.350000000000001" customHeight="1" x14ac:dyDescent="0.2">
      <c r="A637" s="168" t="s">
        <v>1129</v>
      </c>
      <c r="B637" s="179" t="s">
        <v>1130</v>
      </c>
      <c r="C637" s="179"/>
      <c r="D637" s="179"/>
      <c r="E637" s="179"/>
      <c r="F637" s="179"/>
      <c r="G637" s="179"/>
      <c r="H637" s="179"/>
      <c r="I637" s="179"/>
      <c r="J637" s="179"/>
      <c r="K637" s="179"/>
      <c r="L637" s="179"/>
      <c r="M637" s="179"/>
      <c r="N637" s="179" t="s">
        <v>220</v>
      </c>
      <c r="O637" s="179"/>
      <c r="P637" s="179"/>
      <c r="Q637" s="202">
        <v>68.89</v>
      </c>
      <c r="R637" s="174"/>
      <c r="S637" s="174"/>
      <c r="T637" s="174"/>
      <c r="U637" s="174"/>
      <c r="V637" s="174"/>
      <c r="W637" s="180">
        <v>6.8746999999999998</v>
      </c>
      <c r="X637" s="174"/>
      <c r="Y637" s="174"/>
      <c r="Z637" s="174"/>
      <c r="AA637" s="174"/>
      <c r="AB637" s="174"/>
      <c r="AC637" s="205">
        <v>473.6</v>
      </c>
      <c r="AD637" s="174"/>
      <c r="AE637" s="174"/>
    </row>
    <row r="638" spans="1:31" ht="9.6" customHeight="1" x14ac:dyDescent="0.2">
      <c r="A638" s="167" t="s">
        <v>1131</v>
      </c>
      <c r="B638" s="176" t="s">
        <v>1132</v>
      </c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7"/>
      <c r="R638" s="177"/>
      <c r="S638" s="177"/>
      <c r="T638" s="177"/>
      <c r="U638" s="177"/>
      <c r="V638" s="177"/>
      <c r="W638" s="177"/>
      <c r="X638" s="177"/>
      <c r="Y638" s="177"/>
      <c r="Z638" s="177"/>
      <c r="AA638" s="177"/>
      <c r="AB638" s="177"/>
      <c r="AC638" s="209">
        <v>88.36</v>
      </c>
      <c r="AD638" s="177"/>
      <c r="AE638" s="177"/>
    </row>
    <row r="639" spans="1:31" ht="9.75" customHeight="1" x14ac:dyDescent="0.2">
      <c r="A639" s="168" t="s">
        <v>1133</v>
      </c>
      <c r="B639" s="179" t="s">
        <v>1134</v>
      </c>
      <c r="C639" s="179"/>
      <c r="D639" s="179"/>
      <c r="E639" s="179"/>
      <c r="F639" s="179"/>
      <c r="G639" s="179"/>
      <c r="H639" s="179"/>
      <c r="I639" s="179"/>
      <c r="J639" s="179"/>
      <c r="K639" s="179"/>
      <c r="L639" s="179"/>
      <c r="M639" s="179"/>
      <c r="N639" s="179" t="s">
        <v>223</v>
      </c>
      <c r="O639" s="179"/>
      <c r="P639" s="179"/>
      <c r="Q639" s="202">
        <v>63.58</v>
      </c>
      <c r="R639" s="174"/>
      <c r="S639" s="174"/>
      <c r="T639" s="174"/>
      <c r="U639" s="174"/>
      <c r="V639" s="174"/>
      <c r="W639" s="180">
        <v>1.3896999999999999</v>
      </c>
      <c r="X639" s="174"/>
      <c r="Y639" s="174"/>
      <c r="Z639" s="174"/>
      <c r="AA639" s="174"/>
      <c r="AB639" s="174"/>
      <c r="AC639" s="208">
        <v>88.36</v>
      </c>
      <c r="AD639" s="174"/>
      <c r="AE639" s="174"/>
    </row>
    <row r="640" spans="1:31" ht="19.350000000000001" customHeight="1" x14ac:dyDescent="0.2">
      <c r="A640" s="167" t="s">
        <v>1135</v>
      </c>
      <c r="B640" s="176" t="s">
        <v>693</v>
      </c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7"/>
      <c r="R640" s="177"/>
      <c r="S640" s="177"/>
      <c r="T640" s="177"/>
      <c r="U640" s="177"/>
      <c r="V640" s="177"/>
      <c r="W640" s="177"/>
      <c r="X640" s="177"/>
      <c r="Y640" s="177"/>
      <c r="Z640" s="177"/>
      <c r="AA640" s="177"/>
      <c r="AB640" s="177"/>
      <c r="AC640" s="198">
        <v>132139.43</v>
      </c>
      <c r="AD640" s="177"/>
      <c r="AE640" s="177"/>
    </row>
    <row r="641" spans="1:31" ht="9.75" customHeight="1" x14ac:dyDescent="0.2">
      <c r="A641" s="168" t="s">
        <v>1136</v>
      </c>
      <c r="B641" s="179" t="s">
        <v>1137</v>
      </c>
      <c r="C641" s="179"/>
      <c r="D641" s="179"/>
      <c r="E641" s="179"/>
      <c r="F641" s="179"/>
      <c r="G641" s="179"/>
      <c r="H641" s="179"/>
      <c r="I641" s="179"/>
      <c r="J641" s="179"/>
      <c r="K641" s="179"/>
      <c r="L641" s="179"/>
      <c r="M641" s="179"/>
      <c r="N641" s="179" t="s">
        <v>220</v>
      </c>
      <c r="O641" s="179"/>
      <c r="P641" s="179"/>
      <c r="Q641" s="202">
        <v>48.54</v>
      </c>
      <c r="R641" s="174"/>
      <c r="S641" s="174"/>
      <c r="T641" s="174"/>
      <c r="U641" s="174"/>
      <c r="V641" s="174"/>
      <c r="W641" s="202">
        <v>47</v>
      </c>
      <c r="X641" s="174"/>
      <c r="Y641" s="174"/>
      <c r="Z641" s="174"/>
      <c r="AA641" s="174"/>
      <c r="AB641" s="174"/>
      <c r="AC641" s="201">
        <v>2281.38</v>
      </c>
      <c r="AD641" s="174"/>
      <c r="AE641" s="174"/>
    </row>
    <row r="642" spans="1:31" ht="19.350000000000001" customHeight="1" x14ac:dyDescent="0.2">
      <c r="A642" s="168" t="s">
        <v>1138</v>
      </c>
      <c r="B642" s="179" t="s">
        <v>1139</v>
      </c>
      <c r="C642" s="179"/>
      <c r="D642" s="179"/>
      <c r="E642" s="179"/>
      <c r="F642" s="179"/>
      <c r="G642" s="179"/>
      <c r="H642" s="179"/>
      <c r="I642" s="179"/>
      <c r="J642" s="179"/>
      <c r="K642" s="179"/>
      <c r="L642" s="179"/>
      <c r="M642" s="179"/>
      <c r="N642" s="179" t="s">
        <v>223</v>
      </c>
      <c r="O642" s="179"/>
      <c r="P642" s="179"/>
      <c r="Q642" s="202">
        <v>56.58</v>
      </c>
      <c r="R642" s="174"/>
      <c r="S642" s="174"/>
      <c r="T642" s="174"/>
      <c r="U642" s="174"/>
      <c r="V642" s="174"/>
      <c r="W642" s="180">
        <v>9.4</v>
      </c>
      <c r="X642" s="174"/>
      <c r="Y642" s="174"/>
      <c r="Z642" s="174"/>
      <c r="AA642" s="174"/>
      <c r="AB642" s="174"/>
      <c r="AC642" s="205">
        <v>531.85</v>
      </c>
      <c r="AD642" s="174"/>
      <c r="AE642" s="174"/>
    </row>
    <row r="643" spans="1:31" ht="9.6" customHeight="1" x14ac:dyDescent="0.2">
      <c r="A643" s="168" t="s">
        <v>1140</v>
      </c>
      <c r="B643" s="179" t="s">
        <v>1141</v>
      </c>
      <c r="C643" s="179"/>
      <c r="D643" s="179"/>
      <c r="E643" s="179"/>
      <c r="F643" s="179"/>
      <c r="G643" s="179"/>
      <c r="H643" s="179"/>
      <c r="I643" s="179"/>
      <c r="J643" s="179"/>
      <c r="K643" s="179"/>
      <c r="L643" s="179"/>
      <c r="M643" s="179"/>
      <c r="N643" s="179" t="s">
        <v>220</v>
      </c>
      <c r="O643" s="179"/>
      <c r="P643" s="179"/>
      <c r="Q643" s="191">
        <v>208.59</v>
      </c>
      <c r="R643" s="174"/>
      <c r="S643" s="174"/>
      <c r="T643" s="174"/>
      <c r="U643" s="174"/>
      <c r="V643" s="174"/>
      <c r="W643" s="202">
        <v>16</v>
      </c>
      <c r="X643" s="174"/>
      <c r="Y643" s="174"/>
      <c r="Z643" s="174"/>
      <c r="AA643" s="174"/>
      <c r="AB643" s="174"/>
      <c r="AC643" s="201">
        <v>3337.44</v>
      </c>
      <c r="AD643" s="174"/>
      <c r="AE643" s="174"/>
    </row>
    <row r="644" spans="1:31" ht="9.6" customHeight="1" x14ac:dyDescent="0.2">
      <c r="A644" s="168" t="s">
        <v>1142</v>
      </c>
      <c r="B644" s="179" t="s">
        <v>1143</v>
      </c>
      <c r="C644" s="179"/>
      <c r="D644" s="179"/>
      <c r="E644" s="179"/>
      <c r="F644" s="179"/>
      <c r="G644" s="179"/>
      <c r="H644" s="179"/>
      <c r="I644" s="179"/>
      <c r="J644" s="179"/>
      <c r="K644" s="179"/>
      <c r="L644" s="179"/>
      <c r="M644" s="179"/>
      <c r="N644" s="179" t="s">
        <v>220</v>
      </c>
      <c r="O644" s="179"/>
      <c r="P644" s="179"/>
      <c r="Q644" s="191">
        <v>794.33</v>
      </c>
      <c r="R644" s="174"/>
      <c r="S644" s="174"/>
      <c r="T644" s="174"/>
      <c r="U644" s="174"/>
      <c r="V644" s="174"/>
      <c r="W644" s="202">
        <v>32</v>
      </c>
      <c r="X644" s="174"/>
      <c r="Y644" s="174"/>
      <c r="Z644" s="174"/>
      <c r="AA644" s="174"/>
      <c r="AB644" s="174"/>
      <c r="AC644" s="196">
        <v>25418.560000000001</v>
      </c>
      <c r="AD644" s="174"/>
      <c r="AE644" s="174"/>
    </row>
    <row r="645" spans="1:31" ht="9.6" customHeight="1" x14ac:dyDescent="0.2">
      <c r="A645" s="168" t="s">
        <v>1144</v>
      </c>
      <c r="B645" s="179" t="s">
        <v>1145</v>
      </c>
      <c r="C645" s="179"/>
      <c r="D645" s="179"/>
      <c r="E645" s="179"/>
      <c r="F645" s="179"/>
      <c r="G645" s="179"/>
      <c r="H645" s="179"/>
      <c r="I645" s="179"/>
      <c r="J645" s="179"/>
      <c r="K645" s="179"/>
      <c r="L645" s="179"/>
      <c r="M645" s="179"/>
      <c r="N645" s="179" t="s">
        <v>220</v>
      </c>
      <c r="O645" s="179"/>
      <c r="P645" s="179"/>
      <c r="Q645" s="173">
        <v>1792.76</v>
      </c>
      <c r="R645" s="174"/>
      <c r="S645" s="174"/>
      <c r="T645" s="174"/>
      <c r="U645" s="174"/>
      <c r="V645" s="174"/>
      <c r="W645" s="202">
        <v>32</v>
      </c>
      <c r="X645" s="174"/>
      <c r="Y645" s="174"/>
      <c r="Z645" s="174"/>
      <c r="AA645" s="174"/>
      <c r="AB645" s="174"/>
      <c r="AC645" s="196">
        <v>57368.32</v>
      </c>
      <c r="AD645" s="174"/>
      <c r="AE645" s="174"/>
    </row>
    <row r="646" spans="1:31" ht="9.6" customHeight="1" x14ac:dyDescent="0.2">
      <c r="A646" s="168" t="s">
        <v>1146</v>
      </c>
      <c r="B646" s="179" t="s">
        <v>1147</v>
      </c>
      <c r="C646" s="179"/>
      <c r="D646" s="179"/>
      <c r="E646" s="179"/>
      <c r="F646" s="179"/>
      <c r="G646" s="179"/>
      <c r="H646" s="179"/>
      <c r="I646" s="179"/>
      <c r="J646" s="179"/>
      <c r="K646" s="179"/>
      <c r="L646" s="179"/>
      <c r="M646" s="179"/>
      <c r="N646" s="179" t="s">
        <v>220</v>
      </c>
      <c r="O646" s="179"/>
      <c r="P646" s="179"/>
      <c r="Q646" s="173">
        <v>1560.34</v>
      </c>
      <c r="R646" s="174"/>
      <c r="S646" s="174"/>
      <c r="T646" s="174"/>
      <c r="U646" s="174"/>
      <c r="V646" s="174"/>
      <c r="W646" s="202">
        <v>20</v>
      </c>
      <c r="X646" s="174"/>
      <c r="Y646" s="174"/>
      <c r="Z646" s="174"/>
      <c r="AA646" s="174"/>
      <c r="AB646" s="174"/>
      <c r="AC646" s="196">
        <v>31206.799999999999</v>
      </c>
      <c r="AD646" s="174"/>
      <c r="AE646" s="174"/>
    </row>
    <row r="647" spans="1:31" ht="19.350000000000001" customHeight="1" x14ac:dyDescent="0.2">
      <c r="A647" s="168" t="s">
        <v>1148</v>
      </c>
      <c r="B647" s="179" t="s">
        <v>1149</v>
      </c>
      <c r="C647" s="179"/>
      <c r="D647" s="179"/>
      <c r="E647" s="179"/>
      <c r="F647" s="179"/>
      <c r="G647" s="179"/>
      <c r="H647" s="179"/>
      <c r="I647" s="179"/>
      <c r="J647" s="179"/>
      <c r="K647" s="179"/>
      <c r="L647" s="179"/>
      <c r="M647" s="179"/>
      <c r="N647" s="179" t="s">
        <v>220</v>
      </c>
      <c r="O647" s="179"/>
      <c r="P647" s="179"/>
      <c r="Q647" s="191">
        <v>290.88</v>
      </c>
      <c r="R647" s="174"/>
      <c r="S647" s="174"/>
      <c r="T647" s="174"/>
      <c r="U647" s="174"/>
      <c r="V647" s="174"/>
      <c r="W647" s="202">
        <v>34</v>
      </c>
      <c r="X647" s="174"/>
      <c r="Y647" s="174"/>
      <c r="Z647" s="174"/>
      <c r="AA647" s="174"/>
      <c r="AB647" s="174"/>
      <c r="AC647" s="201">
        <v>9889.92</v>
      </c>
      <c r="AD647" s="174"/>
      <c r="AE647" s="174"/>
    </row>
    <row r="648" spans="1:31" ht="9.6" customHeight="1" x14ac:dyDescent="0.2">
      <c r="A648" s="168" t="s">
        <v>1150</v>
      </c>
      <c r="B648" s="179" t="s">
        <v>1151</v>
      </c>
      <c r="C648" s="179"/>
      <c r="D648" s="179"/>
      <c r="E648" s="179"/>
      <c r="F648" s="179"/>
      <c r="G648" s="179"/>
      <c r="H648" s="179"/>
      <c r="I648" s="179"/>
      <c r="J648" s="179"/>
      <c r="K648" s="179"/>
      <c r="L648" s="179"/>
      <c r="M648" s="179"/>
      <c r="N648" s="179" t="s">
        <v>220</v>
      </c>
      <c r="O648" s="179"/>
      <c r="P648" s="179"/>
      <c r="Q648" s="202">
        <v>68.89</v>
      </c>
      <c r="R648" s="174"/>
      <c r="S648" s="174"/>
      <c r="T648" s="174"/>
      <c r="U648" s="174"/>
      <c r="V648" s="174"/>
      <c r="W648" s="202">
        <v>20</v>
      </c>
      <c r="X648" s="174"/>
      <c r="Y648" s="174"/>
      <c r="Z648" s="174"/>
      <c r="AA648" s="174"/>
      <c r="AB648" s="174"/>
      <c r="AC648" s="201">
        <v>1377.8</v>
      </c>
      <c r="AD648" s="174"/>
      <c r="AE648" s="174"/>
    </row>
    <row r="649" spans="1:31" ht="9.6" customHeight="1" x14ac:dyDescent="0.2">
      <c r="A649" s="168" t="s">
        <v>1152</v>
      </c>
      <c r="B649" s="179" t="s">
        <v>1153</v>
      </c>
      <c r="C649" s="179"/>
      <c r="D649" s="179"/>
      <c r="E649" s="179"/>
      <c r="F649" s="179"/>
      <c r="G649" s="179"/>
      <c r="H649" s="179"/>
      <c r="I649" s="179"/>
      <c r="J649" s="179"/>
      <c r="K649" s="179"/>
      <c r="L649" s="179"/>
      <c r="M649" s="179"/>
      <c r="N649" s="179" t="s">
        <v>223</v>
      </c>
      <c r="O649" s="179"/>
      <c r="P649" s="179"/>
      <c r="Q649" s="202">
        <v>63.58</v>
      </c>
      <c r="R649" s="174"/>
      <c r="S649" s="174"/>
      <c r="T649" s="174"/>
      <c r="U649" s="174"/>
      <c r="V649" s="174"/>
      <c r="W649" s="202">
        <v>11.44</v>
      </c>
      <c r="X649" s="174"/>
      <c r="Y649" s="174"/>
      <c r="Z649" s="174"/>
      <c r="AA649" s="174"/>
      <c r="AB649" s="174"/>
      <c r="AC649" s="205">
        <v>727.36</v>
      </c>
      <c r="AD649" s="174"/>
      <c r="AE649" s="174"/>
    </row>
    <row r="650" spans="1:31" ht="19.350000000000001" customHeight="1" x14ac:dyDescent="0.2">
      <c r="A650" s="167" t="s">
        <v>1154</v>
      </c>
      <c r="B650" s="176" t="s">
        <v>1155</v>
      </c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7"/>
      <c r="R650" s="177"/>
      <c r="S650" s="177"/>
      <c r="T650" s="177"/>
      <c r="U650" s="177"/>
      <c r="V650" s="177"/>
      <c r="W650" s="177"/>
      <c r="X650" s="177"/>
      <c r="Y650" s="177"/>
      <c r="Z650" s="177"/>
      <c r="AA650" s="177"/>
      <c r="AB650" s="177"/>
      <c r="AC650" s="178">
        <v>1460687.32</v>
      </c>
      <c r="AD650" s="177"/>
      <c r="AE650" s="177"/>
    </row>
    <row r="651" spans="1:31" ht="9.75" customHeight="1" x14ac:dyDescent="0.2">
      <c r="A651" s="167" t="s">
        <v>1156</v>
      </c>
      <c r="B651" s="176" t="s">
        <v>1100</v>
      </c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7"/>
      <c r="R651" s="177"/>
      <c r="S651" s="177"/>
      <c r="T651" s="177"/>
      <c r="U651" s="177"/>
      <c r="V651" s="177"/>
      <c r="W651" s="177"/>
      <c r="X651" s="177"/>
      <c r="Y651" s="177"/>
      <c r="Z651" s="177"/>
      <c r="AA651" s="177"/>
      <c r="AB651" s="177"/>
      <c r="AC651" s="198">
        <v>467158.82</v>
      </c>
      <c r="AD651" s="177"/>
      <c r="AE651" s="177"/>
    </row>
    <row r="652" spans="1:31" ht="9.75" customHeight="1" x14ac:dyDescent="0.2">
      <c r="A652" s="168" t="s">
        <v>1157</v>
      </c>
      <c r="B652" s="179" t="s">
        <v>1102</v>
      </c>
      <c r="C652" s="179"/>
      <c r="D652" s="179"/>
      <c r="E652" s="179"/>
      <c r="F652" s="179"/>
      <c r="G652" s="179"/>
      <c r="H652" s="179"/>
      <c r="I652" s="179"/>
      <c r="J652" s="179"/>
      <c r="K652" s="179"/>
      <c r="L652" s="179"/>
      <c r="M652" s="179"/>
      <c r="N652" s="179" t="s">
        <v>220</v>
      </c>
      <c r="O652" s="179"/>
      <c r="P652" s="179"/>
      <c r="Q652" s="195">
        <v>11415.86</v>
      </c>
      <c r="R652" s="174"/>
      <c r="S652" s="174"/>
      <c r="T652" s="174"/>
      <c r="U652" s="174"/>
      <c r="V652" s="174"/>
      <c r="W652" s="202">
        <v>40.1633</v>
      </c>
      <c r="X652" s="174"/>
      <c r="Y652" s="174"/>
      <c r="Z652" s="174"/>
      <c r="AA652" s="174"/>
      <c r="AB652" s="174"/>
      <c r="AC652" s="200">
        <v>458498.61</v>
      </c>
      <c r="AD652" s="174"/>
      <c r="AE652" s="174"/>
    </row>
    <row r="653" spans="1:31" ht="19.350000000000001" customHeight="1" x14ac:dyDescent="0.2">
      <c r="A653" s="168" t="s">
        <v>1158</v>
      </c>
      <c r="B653" s="179" t="s">
        <v>1159</v>
      </c>
      <c r="C653" s="179"/>
      <c r="D653" s="179"/>
      <c r="E653" s="179"/>
      <c r="F653" s="179"/>
      <c r="G653" s="179"/>
      <c r="H653" s="179"/>
      <c r="I653" s="179"/>
      <c r="J653" s="179"/>
      <c r="K653" s="179"/>
      <c r="L653" s="179"/>
      <c r="M653" s="179"/>
      <c r="N653" s="179" t="s">
        <v>220</v>
      </c>
      <c r="O653" s="179"/>
      <c r="P653" s="179"/>
      <c r="Q653" s="202">
        <v>88.86</v>
      </c>
      <c r="R653" s="174"/>
      <c r="S653" s="174"/>
      <c r="T653" s="174"/>
      <c r="U653" s="174"/>
      <c r="V653" s="174"/>
      <c r="W653" s="202">
        <v>40.1633</v>
      </c>
      <c r="X653" s="174"/>
      <c r="Y653" s="174"/>
      <c r="Z653" s="174"/>
      <c r="AA653" s="174"/>
      <c r="AB653" s="174"/>
      <c r="AC653" s="201">
        <v>3568.91</v>
      </c>
      <c r="AD653" s="174"/>
      <c r="AE653" s="174"/>
    </row>
    <row r="654" spans="1:31" ht="19.350000000000001" customHeight="1" x14ac:dyDescent="0.2">
      <c r="A654" s="168" t="s">
        <v>1160</v>
      </c>
      <c r="B654" s="179" t="s">
        <v>1104</v>
      </c>
      <c r="C654" s="179"/>
      <c r="D654" s="179"/>
      <c r="E654" s="179"/>
      <c r="F654" s="179"/>
      <c r="G654" s="179"/>
      <c r="H654" s="179"/>
      <c r="I654" s="179"/>
      <c r="J654" s="179"/>
      <c r="K654" s="179"/>
      <c r="L654" s="179"/>
      <c r="M654" s="179"/>
      <c r="N654" s="179" t="s">
        <v>223</v>
      </c>
      <c r="O654" s="179"/>
      <c r="P654" s="179"/>
      <c r="Q654" s="173">
        <v>1266.8399999999999</v>
      </c>
      <c r="R654" s="174"/>
      <c r="S654" s="174"/>
      <c r="T654" s="174"/>
      <c r="U654" s="174"/>
      <c r="V654" s="174"/>
      <c r="W654" s="180">
        <v>4.0189000000000004</v>
      </c>
      <c r="X654" s="174"/>
      <c r="Y654" s="174"/>
      <c r="Z654" s="174"/>
      <c r="AA654" s="174"/>
      <c r="AB654" s="174"/>
      <c r="AC654" s="201">
        <v>5091.3</v>
      </c>
      <c r="AD654" s="174"/>
      <c r="AE654" s="174"/>
    </row>
    <row r="655" spans="1:31" ht="9.6" customHeight="1" x14ac:dyDescent="0.2">
      <c r="A655" s="167" t="s">
        <v>1161</v>
      </c>
      <c r="B655" s="176" t="s">
        <v>1106</v>
      </c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7"/>
      <c r="R655" s="177"/>
      <c r="S655" s="177"/>
      <c r="T655" s="177"/>
      <c r="U655" s="177"/>
      <c r="V655" s="177"/>
      <c r="W655" s="177"/>
      <c r="X655" s="177"/>
      <c r="Y655" s="177"/>
      <c r="Z655" s="177"/>
      <c r="AA655" s="177"/>
      <c r="AB655" s="177"/>
      <c r="AC655" s="194">
        <v>63177.54</v>
      </c>
      <c r="AD655" s="177"/>
      <c r="AE655" s="177"/>
    </row>
    <row r="656" spans="1:31" ht="9.75" customHeight="1" x14ac:dyDescent="0.2">
      <c r="A656" s="168" t="s">
        <v>1162</v>
      </c>
      <c r="B656" s="179" t="s">
        <v>1108</v>
      </c>
      <c r="C656" s="179"/>
      <c r="D656" s="179"/>
      <c r="E656" s="179"/>
      <c r="F656" s="179"/>
      <c r="G656" s="179"/>
      <c r="H656" s="179"/>
      <c r="I656" s="179"/>
      <c r="J656" s="179"/>
      <c r="K656" s="179"/>
      <c r="L656" s="179"/>
      <c r="M656" s="179"/>
      <c r="N656" s="179" t="s">
        <v>220</v>
      </c>
      <c r="O656" s="179"/>
      <c r="P656" s="179"/>
      <c r="Q656" s="173">
        <v>6396.77</v>
      </c>
      <c r="R656" s="174"/>
      <c r="S656" s="174"/>
      <c r="T656" s="174"/>
      <c r="U656" s="174"/>
      <c r="V656" s="174"/>
      <c r="W656" s="180">
        <v>1.1193</v>
      </c>
      <c r="X656" s="174"/>
      <c r="Y656" s="174"/>
      <c r="Z656" s="174"/>
      <c r="AA656" s="174"/>
      <c r="AB656" s="174"/>
      <c r="AC656" s="201">
        <v>7159.9</v>
      </c>
      <c r="AD656" s="174"/>
      <c r="AE656" s="174"/>
    </row>
    <row r="657" spans="1:31" ht="9.6" customHeight="1" x14ac:dyDescent="0.2">
      <c r="A657" s="168" t="s">
        <v>1163</v>
      </c>
      <c r="B657" s="179" t="s">
        <v>1110</v>
      </c>
      <c r="C657" s="179"/>
      <c r="D657" s="179"/>
      <c r="E657" s="179"/>
      <c r="F657" s="179"/>
      <c r="G657" s="179"/>
      <c r="H657" s="179"/>
      <c r="I657" s="179"/>
      <c r="J657" s="179"/>
      <c r="K657" s="179"/>
      <c r="L657" s="179"/>
      <c r="M657" s="179"/>
      <c r="N657" s="179" t="s">
        <v>220</v>
      </c>
      <c r="O657" s="179"/>
      <c r="P657" s="179"/>
      <c r="Q657" s="191">
        <v>654.52</v>
      </c>
      <c r="R657" s="174"/>
      <c r="S657" s="174"/>
      <c r="T657" s="174"/>
      <c r="U657" s="174"/>
      <c r="V657" s="174"/>
      <c r="W657" s="180">
        <v>3.2002000000000002</v>
      </c>
      <c r="X657" s="174"/>
      <c r="Y657" s="174"/>
      <c r="Z657" s="174"/>
      <c r="AA657" s="174"/>
      <c r="AB657" s="174"/>
      <c r="AC657" s="201">
        <v>2094.59</v>
      </c>
      <c r="AD657" s="174"/>
      <c r="AE657" s="174"/>
    </row>
    <row r="658" spans="1:31" ht="9.6" customHeight="1" x14ac:dyDescent="0.2">
      <c r="A658" s="168" t="s">
        <v>1164</v>
      </c>
      <c r="B658" s="179" t="s">
        <v>1112</v>
      </c>
      <c r="C658" s="179"/>
      <c r="D658" s="179"/>
      <c r="E658" s="179"/>
      <c r="F658" s="179"/>
      <c r="G658" s="179"/>
      <c r="H658" s="179"/>
      <c r="I658" s="179"/>
      <c r="J658" s="179"/>
      <c r="K658" s="179"/>
      <c r="L658" s="179"/>
      <c r="M658" s="179"/>
      <c r="N658" s="179" t="s">
        <v>220</v>
      </c>
      <c r="O658" s="179"/>
      <c r="P658" s="179"/>
      <c r="Q658" s="191">
        <v>381.3</v>
      </c>
      <c r="R658" s="174"/>
      <c r="S658" s="174"/>
      <c r="T658" s="174"/>
      <c r="U658" s="174"/>
      <c r="V658" s="174"/>
      <c r="W658" s="180">
        <v>4.4957000000000003</v>
      </c>
      <c r="X658" s="174"/>
      <c r="Y658" s="174"/>
      <c r="Z658" s="174"/>
      <c r="AA658" s="174"/>
      <c r="AB658" s="174"/>
      <c r="AC658" s="201">
        <v>1714.21</v>
      </c>
      <c r="AD658" s="174"/>
      <c r="AE658" s="174"/>
    </row>
    <row r="659" spans="1:31" ht="19.350000000000001" customHeight="1" x14ac:dyDescent="0.2">
      <c r="A659" s="168" t="s">
        <v>1165</v>
      </c>
      <c r="B659" s="179" t="s">
        <v>1114</v>
      </c>
      <c r="C659" s="179"/>
      <c r="D659" s="179"/>
      <c r="E659" s="179"/>
      <c r="F659" s="179"/>
      <c r="G659" s="179"/>
      <c r="H659" s="179"/>
      <c r="I659" s="179"/>
      <c r="J659" s="179"/>
      <c r="K659" s="179"/>
      <c r="L659" s="179"/>
      <c r="M659" s="179"/>
      <c r="N659" s="179" t="s">
        <v>220</v>
      </c>
      <c r="O659" s="179"/>
      <c r="P659" s="179"/>
      <c r="Q659" s="173">
        <v>1047.08</v>
      </c>
      <c r="R659" s="174"/>
      <c r="S659" s="174"/>
      <c r="T659" s="174"/>
      <c r="U659" s="174"/>
      <c r="V659" s="174"/>
      <c r="W659" s="180">
        <v>6.7436999999999996</v>
      </c>
      <c r="X659" s="174"/>
      <c r="Y659" s="174"/>
      <c r="Z659" s="174"/>
      <c r="AA659" s="174"/>
      <c r="AB659" s="174"/>
      <c r="AC659" s="201">
        <v>7061.19</v>
      </c>
      <c r="AD659" s="174"/>
      <c r="AE659" s="174"/>
    </row>
    <row r="660" spans="1:31" ht="19.350000000000001" customHeight="1" x14ac:dyDescent="0.2">
      <c r="A660" s="168" t="s">
        <v>1166</v>
      </c>
      <c r="B660" s="179" t="s">
        <v>1116</v>
      </c>
      <c r="C660" s="179"/>
      <c r="D660" s="179"/>
      <c r="E660" s="179"/>
      <c r="F660" s="179"/>
      <c r="G660" s="179"/>
      <c r="H660" s="179"/>
      <c r="I660" s="179"/>
      <c r="J660" s="179"/>
      <c r="K660" s="179"/>
      <c r="L660" s="179"/>
      <c r="M660" s="179"/>
      <c r="N660" s="179" t="s">
        <v>220</v>
      </c>
      <c r="O660" s="179"/>
      <c r="P660" s="179"/>
      <c r="Q660" s="173">
        <v>4956.7</v>
      </c>
      <c r="R660" s="174"/>
      <c r="S660" s="174"/>
      <c r="T660" s="174"/>
      <c r="U660" s="174"/>
      <c r="V660" s="174"/>
      <c r="W660" s="180">
        <v>6.8746999999999998</v>
      </c>
      <c r="X660" s="174"/>
      <c r="Y660" s="174"/>
      <c r="Z660" s="174"/>
      <c r="AA660" s="174"/>
      <c r="AB660" s="174"/>
      <c r="AC660" s="196">
        <v>34075.83</v>
      </c>
      <c r="AD660" s="174"/>
      <c r="AE660" s="174"/>
    </row>
    <row r="661" spans="1:31" ht="9.6" customHeight="1" x14ac:dyDescent="0.2">
      <c r="A661" s="168" t="s">
        <v>1167</v>
      </c>
      <c r="B661" s="179" t="s">
        <v>1168</v>
      </c>
      <c r="C661" s="179"/>
      <c r="D661" s="179"/>
      <c r="E661" s="179"/>
      <c r="F661" s="179"/>
      <c r="G661" s="179"/>
      <c r="H661" s="179"/>
      <c r="I661" s="179"/>
      <c r="J661" s="179"/>
      <c r="K661" s="179"/>
      <c r="L661" s="179"/>
      <c r="M661" s="179"/>
      <c r="N661" s="179" t="s">
        <v>220</v>
      </c>
      <c r="O661" s="179"/>
      <c r="P661" s="179"/>
      <c r="Q661" s="202">
        <v>11.69</v>
      </c>
      <c r="R661" s="174"/>
      <c r="S661" s="174"/>
      <c r="T661" s="174"/>
      <c r="U661" s="174"/>
      <c r="V661" s="174"/>
      <c r="W661" s="202">
        <v>40.1633</v>
      </c>
      <c r="X661" s="174"/>
      <c r="Y661" s="174"/>
      <c r="Z661" s="174"/>
      <c r="AA661" s="174"/>
      <c r="AB661" s="174"/>
      <c r="AC661" s="205">
        <v>469.51</v>
      </c>
      <c r="AD661" s="174"/>
      <c r="AE661" s="174"/>
    </row>
    <row r="662" spans="1:31" ht="9.6" customHeight="1" x14ac:dyDescent="0.2">
      <c r="A662" s="168" t="s">
        <v>1169</v>
      </c>
      <c r="B662" s="179" t="s">
        <v>1170</v>
      </c>
      <c r="C662" s="179"/>
      <c r="D662" s="179"/>
      <c r="E662" s="179"/>
      <c r="F662" s="179"/>
      <c r="G662" s="179"/>
      <c r="H662" s="179"/>
      <c r="I662" s="179"/>
      <c r="J662" s="179"/>
      <c r="K662" s="179"/>
      <c r="L662" s="179"/>
      <c r="M662" s="179"/>
      <c r="N662" s="179" t="s">
        <v>220</v>
      </c>
      <c r="O662" s="179"/>
      <c r="P662" s="179"/>
      <c r="Q662" s="191">
        <v>263.98</v>
      </c>
      <c r="R662" s="174"/>
      <c r="S662" s="174"/>
      <c r="T662" s="174"/>
      <c r="U662" s="174"/>
      <c r="V662" s="174"/>
      <c r="W662" s="202">
        <v>40.1633</v>
      </c>
      <c r="X662" s="174"/>
      <c r="Y662" s="174"/>
      <c r="Z662" s="174"/>
      <c r="AA662" s="174"/>
      <c r="AB662" s="174"/>
      <c r="AC662" s="196">
        <v>10602.31</v>
      </c>
      <c r="AD662" s="174"/>
      <c r="AE662" s="174"/>
    </row>
    <row r="663" spans="1:31" ht="19.350000000000001" customHeight="1" x14ac:dyDescent="0.2">
      <c r="A663" s="167" t="s">
        <v>1171</v>
      </c>
      <c r="B663" s="176" t="s">
        <v>1120</v>
      </c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7"/>
      <c r="R663" s="177"/>
      <c r="S663" s="177"/>
      <c r="T663" s="177"/>
      <c r="U663" s="177"/>
      <c r="V663" s="177"/>
      <c r="W663" s="177"/>
      <c r="X663" s="177"/>
      <c r="Y663" s="177"/>
      <c r="Z663" s="177"/>
      <c r="AA663" s="177"/>
      <c r="AB663" s="177"/>
      <c r="AC663" s="194">
        <v>64353.599999999999</v>
      </c>
      <c r="AD663" s="177"/>
      <c r="AE663" s="177"/>
    </row>
    <row r="664" spans="1:31" ht="9.75" customHeight="1" x14ac:dyDescent="0.2">
      <c r="A664" s="168" t="s">
        <v>1172</v>
      </c>
      <c r="B664" s="179" t="s">
        <v>1122</v>
      </c>
      <c r="C664" s="179"/>
      <c r="D664" s="179"/>
      <c r="E664" s="179"/>
      <c r="F664" s="179"/>
      <c r="G664" s="179"/>
      <c r="H664" s="179"/>
      <c r="I664" s="179"/>
      <c r="J664" s="179"/>
      <c r="K664" s="179"/>
      <c r="L664" s="179"/>
      <c r="M664" s="179"/>
      <c r="N664" s="179" t="s">
        <v>220</v>
      </c>
      <c r="O664" s="179"/>
      <c r="P664" s="179"/>
      <c r="Q664" s="173">
        <v>7750.84</v>
      </c>
      <c r="R664" s="174"/>
      <c r="S664" s="174"/>
      <c r="T664" s="174"/>
      <c r="U664" s="174"/>
      <c r="V664" s="174"/>
      <c r="W664" s="180">
        <v>1.2398</v>
      </c>
      <c r="X664" s="174"/>
      <c r="Y664" s="174"/>
      <c r="Z664" s="174"/>
      <c r="AA664" s="174"/>
      <c r="AB664" s="174"/>
      <c r="AC664" s="201">
        <v>9609.49</v>
      </c>
      <c r="AD664" s="174"/>
      <c r="AE664" s="174"/>
    </row>
    <row r="665" spans="1:31" ht="9.6" customHeight="1" x14ac:dyDescent="0.2">
      <c r="A665" s="168" t="s">
        <v>1173</v>
      </c>
      <c r="B665" s="179" t="s">
        <v>1124</v>
      </c>
      <c r="C665" s="179"/>
      <c r="D665" s="179"/>
      <c r="E665" s="179"/>
      <c r="F665" s="179"/>
      <c r="G665" s="179"/>
      <c r="H665" s="179"/>
      <c r="I665" s="179"/>
      <c r="J665" s="179"/>
      <c r="K665" s="179"/>
      <c r="L665" s="179"/>
      <c r="M665" s="179"/>
      <c r="N665" s="179" t="s">
        <v>220</v>
      </c>
      <c r="O665" s="179"/>
      <c r="P665" s="179"/>
      <c r="Q665" s="191">
        <v>475.5</v>
      </c>
      <c r="R665" s="174"/>
      <c r="S665" s="174"/>
      <c r="T665" s="174"/>
      <c r="U665" s="174"/>
      <c r="V665" s="174"/>
      <c r="W665" s="180">
        <v>3.2002000000000002</v>
      </c>
      <c r="X665" s="174"/>
      <c r="Y665" s="174"/>
      <c r="Z665" s="174"/>
      <c r="AA665" s="174"/>
      <c r="AB665" s="174"/>
      <c r="AC665" s="201">
        <v>1521.7</v>
      </c>
      <c r="AD665" s="174"/>
      <c r="AE665" s="174"/>
    </row>
    <row r="666" spans="1:31" ht="9.6" customHeight="1" x14ac:dyDescent="0.2">
      <c r="A666" s="168" t="s">
        <v>1174</v>
      </c>
      <c r="B666" s="179" t="s">
        <v>1126</v>
      </c>
      <c r="C666" s="179"/>
      <c r="D666" s="179"/>
      <c r="E666" s="179"/>
      <c r="F666" s="179"/>
      <c r="G666" s="179"/>
      <c r="H666" s="179"/>
      <c r="I666" s="179"/>
      <c r="J666" s="179"/>
      <c r="K666" s="179"/>
      <c r="L666" s="179"/>
      <c r="M666" s="179"/>
      <c r="N666" s="179" t="s">
        <v>220</v>
      </c>
      <c r="O666" s="179"/>
      <c r="P666" s="179"/>
      <c r="Q666" s="191">
        <v>475.5</v>
      </c>
      <c r="R666" s="174"/>
      <c r="S666" s="174"/>
      <c r="T666" s="174"/>
      <c r="U666" s="174"/>
      <c r="V666" s="174"/>
      <c r="W666" s="180">
        <v>6.7436999999999996</v>
      </c>
      <c r="X666" s="174"/>
      <c r="Y666" s="174"/>
      <c r="Z666" s="174"/>
      <c r="AA666" s="174"/>
      <c r="AB666" s="174"/>
      <c r="AC666" s="201">
        <v>3206.63</v>
      </c>
      <c r="AD666" s="174"/>
      <c r="AE666" s="174"/>
    </row>
    <row r="667" spans="1:31" ht="19.350000000000001" customHeight="1" x14ac:dyDescent="0.2">
      <c r="A667" s="168" t="s">
        <v>1175</v>
      </c>
      <c r="B667" s="179" t="s">
        <v>1130</v>
      </c>
      <c r="C667" s="179"/>
      <c r="D667" s="179"/>
      <c r="E667" s="179"/>
      <c r="F667" s="179"/>
      <c r="G667" s="179"/>
      <c r="H667" s="179"/>
      <c r="I667" s="179"/>
      <c r="J667" s="179"/>
      <c r="K667" s="179"/>
      <c r="L667" s="179"/>
      <c r="M667" s="179"/>
      <c r="N667" s="179" t="s">
        <v>220</v>
      </c>
      <c r="O667" s="179"/>
      <c r="P667" s="179"/>
      <c r="Q667" s="173">
        <v>7275.34</v>
      </c>
      <c r="R667" s="174"/>
      <c r="S667" s="174"/>
      <c r="T667" s="174"/>
      <c r="U667" s="174"/>
      <c r="V667" s="174"/>
      <c r="W667" s="180">
        <v>6.8746999999999998</v>
      </c>
      <c r="X667" s="174"/>
      <c r="Y667" s="174"/>
      <c r="Z667" s="174"/>
      <c r="AA667" s="174"/>
      <c r="AB667" s="174"/>
      <c r="AC667" s="196">
        <v>50015.78</v>
      </c>
      <c r="AD667" s="174"/>
      <c r="AE667" s="174"/>
    </row>
    <row r="668" spans="1:31" ht="9.6" customHeight="1" x14ac:dyDescent="0.2">
      <c r="A668" s="167" t="s">
        <v>1176</v>
      </c>
      <c r="B668" s="176" t="s">
        <v>1132</v>
      </c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7"/>
      <c r="R668" s="177"/>
      <c r="S668" s="177"/>
      <c r="T668" s="177"/>
      <c r="U668" s="177"/>
      <c r="V668" s="177"/>
      <c r="W668" s="177"/>
      <c r="X668" s="177"/>
      <c r="Y668" s="177"/>
      <c r="Z668" s="177"/>
      <c r="AA668" s="177"/>
      <c r="AB668" s="177"/>
      <c r="AC668" s="207">
        <v>102.53</v>
      </c>
      <c r="AD668" s="177"/>
      <c r="AE668" s="177"/>
    </row>
    <row r="669" spans="1:31" ht="9.75" customHeight="1" x14ac:dyDescent="0.2">
      <c r="A669" s="168" t="s">
        <v>1177</v>
      </c>
      <c r="B669" s="179" t="s">
        <v>1134</v>
      </c>
      <c r="C669" s="179"/>
      <c r="D669" s="179"/>
      <c r="E669" s="179"/>
      <c r="F669" s="179"/>
      <c r="G669" s="179"/>
      <c r="H669" s="179"/>
      <c r="I669" s="179"/>
      <c r="J669" s="179"/>
      <c r="K669" s="179"/>
      <c r="L669" s="179"/>
      <c r="M669" s="179"/>
      <c r="N669" s="179" t="s">
        <v>223</v>
      </c>
      <c r="O669" s="179"/>
      <c r="P669" s="179"/>
      <c r="Q669" s="202">
        <v>73.78</v>
      </c>
      <c r="R669" s="174"/>
      <c r="S669" s="174"/>
      <c r="T669" s="174"/>
      <c r="U669" s="174"/>
      <c r="V669" s="174"/>
      <c r="W669" s="180">
        <v>1.3896999999999999</v>
      </c>
      <c r="X669" s="174"/>
      <c r="Y669" s="174"/>
      <c r="Z669" s="174"/>
      <c r="AA669" s="174"/>
      <c r="AB669" s="174"/>
      <c r="AC669" s="205">
        <v>102.53</v>
      </c>
      <c r="AD669" s="174"/>
      <c r="AE669" s="174"/>
    </row>
    <row r="670" spans="1:31" ht="19.350000000000001" customHeight="1" x14ac:dyDescent="0.2">
      <c r="A670" s="167" t="s">
        <v>1178</v>
      </c>
      <c r="B670" s="176" t="s">
        <v>693</v>
      </c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7"/>
      <c r="R670" s="177"/>
      <c r="S670" s="177"/>
      <c r="T670" s="177"/>
      <c r="U670" s="177"/>
      <c r="V670" s="177"/>
      <c r="W670" s="177"/>
      <c r="X670" s="177"/>
      <c r="Y670" s="177"/>
      <c r="Z670" s="177"/>
      <c r="AA670" s="177"/>
      <c r="AB670" s="177"/>
      <c r="AC670" s="198">
        <v>865894.83</v>
      </c>
      <c r="AD670" s="177"/>
      <c r="AE670" s="177"/>
    </row>
    <row r="671" spans="1:31" ht="9.75" customHeight="1" x14ac:dyDescent="0.2">
      <c r="A671" s="168" t="s">
        <v>1179</v>
      </c>
      <c r="B671" s="179" t="s">
        <v>1137</v>
      </c>
      <c r="C671" s="179"/>
      <c r="D671" s="179"/>
      <c r="E671" s="179"/>
      <c r="F671" s="179"/>
      <c r="G671" s="179"/>
      <c r="H671" s="179"/>
      <c r="I671" s="179"/>
      <c r="J671" s="179"/>
      <c r="K671" s="179"/>
      <c r="L671" s="179"/>
      <c r="M671" s="179"/>
      <c r="N671" s="179" t="s">
        <v>220</v>
      </c>
      <c r="O671" s="179"/>
      <c r="P671" s="179"/>
      <c r="Q671" s="195">
        <v>11504.72</v>
      </c>
      <c r="R671" s="174"/>
      <c r="S671" s="174"/>
      <c r="T671" s="174"/>
      <c r="U671" s="174"/>
      <c r="V671" s="174"/>
      <c r="W671" s="202">
        <v>47</v>
      </c>
      <c r="X671" s="174"/>
      <c r="Y671" s="174"/>
      <c r="Z671" s="174"/>
      <c r="AA671" s="174"/>
      <c r="AB671" s="174"/>
      <c r="AC671" s="200">
        <v>540721.84</v>
      </c>
      <c r="AD671" s="174"/>
      <c r="AE671" s="174"/>
    </row>
    <row r="672" spans="1:31" ht="19.350000000000001" customHeight="1" x14ac:dyDescent="0.2">
      <c r="A672" s="168" t="s">
        <v>1180</v>
      </c>
      <c r="B672" s="179" t="s">
        <v>1139</v>
      </c>
      <c r="C672" s="179"/>
      <c r="D672" s="179"/>
      <c r="E672" s="179"/>
      <c r="F672" s="179"/>
      <c r="G672" s="179"/>
      <c r="H672" s="179"/>
      <c r="I672" s="179"/>
      <c r="J672" s="179"/>
      <c r="K672" s="179"/>
      <c r="L672" s="179"/>
      <c r="M672" s="179"/>
      <c r="N672" s="179" t="s">
        <v>223</v>
      </c>
      <c r="O672" s="179"/>
      <c r="P672" s="179"/>
      <c r="Q672" s="173">
        <v>1266.8399999999999</v>
      </c>
      <c r="R672" s="174"/>
      <c r="S672" s="174"/>
      <c r="T672" s="174"/>
      <c r="U672" s="174"/>
      <c r="V672" s="174"/>
      <c r="W672" s="180">
        <v>9.4</v>
      </c>
      <c r="X672" s="174"/>
      <c r="Y672" s="174"/>
      <c r="Z672" s="174"/>
      <c r="AA672" s="174"/>
      <c r="AB672" s="174"/>
      <c r="AC672" s="196">
        <v>11908.3</v>
      </c>
      <c r="AD672" s="174"/>
      <c r="AE672" s="174"/>
    </row>
    <row r="673" spans="1:31" ht="9.6" customHeight="1" x14ac:dyDescent="0.2">
      <c r="A673" s="168" t="s">
        <v>1181</v>
      </c>
      <c r="B673" s="179" t="s">
        <v>1141</v>
      </c>
      <c r="C673" s="179"/>
      <c r="D673" s="179"/>
      <c r="E673" s="179"/>
      <c r="F673" s="179"/>
      <c r="G673" s="179"/>
      <c r="H673" s="179"/>
      <c r="I673" s="179"/>
      <c r="J673" s="179"/>
      <c r="K673" s="179"/>
      <c r="L673" s="179"/>
      <c r="M673" s="179"/>
      <c r="N673" s="179" t="s">
        <v>220</v>
      </c>
      <c r="O673" s="179"/>
      <c r="P673" s="179"/>
      <c r="Q673" s="191">
        <v>381.3</v>
      </c>
      <c r="R673" s="174"/>
      <c r="S673" s="174"/>
      <c r="T673" s="174"/>
      <c r="U673" s="174"/>
      <c r="V673" s="174"/>
      <c r="W673" s="202">
        <v>16</v>
      </c>
      <c r="X673" s="174"/>
      <c r="Y673" s="174"/>
      <c r="Z673" s="174"/>
      <c r="AA673" s="174"/>
      <c r="AB673" s="174"/>
      <c r="AC673" s="201">
        <v>6100.8</v>
      </c>
      <c r="AD673" s="174"/>
      <c r="AE673" s="174"/>
    </row>
    <row r="674" spans="1:31" ht="9.6" customHeight="1" x14ac:dyDescent="0.2">
      <c r="A674" s="168" t="s">
        <v>1182</v>
      </c>
      <c r="B674" s="179" t="s">
        <v>1143</v>
      </c>
      <c r="C674" s="179"/>
      <c r="D674" s="179"/>
      <c r="E674" s="179"/>
      <c r="F674" s="179"/>
      <c r="G674" s="179"/>
      <c r="H674" s="179"/>
      <c r="I674" s="179"/>
      <c r="J674" s="179"/>
      <c r="K674" s="179"/>
      <c r="L674" s="179"/>
      <c r="M674" s="179"/>
      <c r="N674" s="179" t="s">
        <v>220</v>
      </c>
      <c r="O674" s="179"/>
      <c r="P674" s="179"/>
      <c r="Q674" s="173">
        <v>1047.08</v>
      </c>
      <c r="R674" s="174"/>
      <c r="S674" s="174"/>
      <c r="T674" s="174"/>
      <c r="U674" s="174"/>
      <c r="V674" s="174"/>
      <c r="W674" s="202">
        <v>32</v>
      </c>
      <c r="X674" s="174"/>
      <c r="Y674" s="174"/>
      <c r="Z674" s="174"/>
      <c r="AA674" s="174"/>
      <c r="AB674" s="174"/>
      <c r="AC674" s="196">
        <v>33506.559999999998</v>
      </c>
      <c r="AD674" s="174"/>
      <c r="AE674" s="174"/>
    </row>
    <row r="675" spans="1:31" ht="9.6" customHeight="1" x14ac:dyDescent="0.2">
      <c r="A675" s="168" t="s">
        <v>1183</v>
      </c>
      <c r="B675" s="179" t="s">
        <v>1145</v>
      </c>
      <c r="C675" s="179"/>
      <c r="D675" s="179"/>
      <c r="E675" s="179"/>
      <c r="F675" s="179"/>
      <c r="G675" s="179"/>
      <c r="H675" s="179"/>
      <c r="I675" s="179"/>
      <c r="J675" s="179"/>
      <c r="K675" s="179"/>
      <c r="L675" s="179"/>
      <c r="M675" s="179"/>
      <c r="N675" s="179" t="s">
        <v>220</v>
      </c>
      <c r="O675" s="179"/>
      <c r="P675" s="179"/>
      <c r="Q675" s="191">
        <v>475.5</v>
      </c>
      <c r="R675" s="174"/>
      <c r="S675" s="174"/>
      <c r="T675" s="174"/>
      <c r="U675" s="174"/>
      <c r="V675" s="174"/>
      <c r="W675" s="202">
        <v>32</v>
      </c>
      <c r="X675" s="174"/>
      <c r="Y675" s="174"/>
      <c r="Z675" s="174"/>
      <c r="AA675" s="174"/>
      <c r="AB675" s="174"/>
      <c r="AC675" s="196">
        <v>15216</v>
      </c>
      <c r="AD675" s="174"/>
      <c r="AE675" s="174"/>
    </row>
    <row r="676" spans="1:31" ht="9.6" customHeight="1" x14ac:dyDescent="0.2">
      <c r="A676" s="168" t="s">
        <v>1184</v>
      </c>
      <c r="B676" s="179" t="s">
        <v>1185</v>
      </c>
      <c r="C676" s="179"/>
      <c r="D676" s="179"/>
      <c r="E676" s="179"/>
      <c r="F676" s="179"/>
      <c r="G676" s="179"/>
      <c r="H676" s="179"/>
      <c r="I676" s="179"/>
      <c r="J676" s="179"/>
      <c r="K676" s="179"/>
      <c r="L676" s="179"/>
      <c r="M676" s="179"/>
      <c r="N676" s="179" t="s">
        <v>220</v>
      </c>
      <c r="O676" s="179"/>
      <c r="P676" s="179"/>
      <c r="Q676" s="191">
        <v>275.67</v>
      </c>
      <c r="R676" s="174"/>
      <c r="S676" s="174"/>
      <c r="T676" s="174"/>
      <c r="U676" s="174"/>
      <c r="V676" s="174"/>
      <c r="W676" s="202">
        <v>47</v>
      </c>
      <c r="X676" s="174"/>
      <c r="Y676" s="174"/>
      <c r="Z676" s="174"/>
      <c r="AA676" s="174"/>
      <c r="AB676" s="174"/>
      <c r="AC676" s="196">
        <v>12956.49</v>
      </c>
      <c r="AD676" s="174"/>
      <c r="AE676" s="174"/>
    </row>
    <row r="677" spans="1:31" ht="9.6" customHeight="1" x14ac:dyDescent="0.2">
      <c r="A677" s="168" t="s">
        <v>1186</v>
      </c>
      <c r="B677" s="179" t="s">
        <v>1147</v>
      </c>
      <c r="C677" s="179"/>
      <c r="D677" s="179"/>
      <c r="E677" s="179"/>
      <c r="F677" s="179"/>
      <c r="G677" s="179"/>
      <c r="H677" s="179"/>
      <c r="I677" s="179"/>
      <c r="J677" s="179"/>
      <c r="K677" s="179"/>
      <c r="L677" s="179"/>
      <c r="M677" s="179"/>
      <c r="N677" s="179" t="s">
        <v>220</v>
      </c>
      <c r="O677" s="179"/>
      <c r="P677" s="179"/>
      <c r="Q677" s="173">
        <v>4956.7</v>
      </c>
      <c r="R677" s="174"/>
      <c r="S677" s="174"/>
      <c r="T677" s="174"/>
      <c r="U677" s="174"/>
      <c r="V677" s="174"/>
      <c r="W677" s="202">
        <v>20</v>
      </c>
      <c r="X677" s="174"/>
      <c r="Y677" s="174"/>
      <c r="Z677" s="174"/>
      <c r="AA677" s="174"/>
      <c r="AB677" s="174"/>
      <c r="AC677" s="196">
        <v>99134</v>
      </c>
      <c r="AD677" s="174"/>
      <c r="AE677" s="174"/>
    </row>
    <row r="678" spans="1:31" ht="19.350000000000001" customHeight="1" x14ac:dyDescent="0.2">
      <c r="A678" s="168" t="s">
        <v>1187</v>
      </c>
      <c r="B678" s="179" t="s">
        <v>1151</v>
      </c>
      <c r="C678" s="179"/>
      <c r="D678" s="179"/>
      <c r="E678" s="179"/>
      <c r="F678" s="179"/>
      <c r="G678" s="179"/>
      <c r="H678" s="179"/>
      <c r="I678" s="179"/>
      <c r="J678" s="179"/>
      <c r="K678" s="179"/>
      <c r="L678" s="179"/>
      <c r="M678" s="179"/>
      <c r="N678" s="179" t="s">
        <v>220</v>
      </c>
      <c r="O678" s="179"/>
      <c r="P678" s="179"/>
      <c r="Q678" s="173">
        <v>7275.34</v>
      </c>
      <c r="R678" s="174"/>
      <c r="S678" s="174"/>
      <c r="T678" s="174"/>
      <c r="U678" s="174"/>
      <c r="V678" s="174"/>
      <c r="W678" s="202">
        <v>20</v>
      </c>
      <c r="X678" s="174"/>
      <c r="Y678" s="174"/>
      <c r="Z678" s="174"/>
      <c r="AA678" s="174"/>
      <c r="AB678" s="174"/>
      <c r="AC678" s="200">
        <v>145506.79999999999</v>
      </c>
      <c r="AD678" s="174"/>
      <c r="AE678" s="174"/>
    </row>
    <row r="679" spans="1:31" ht="9.6" customHeight="1" x14ac:dyDescent="0.2">
      <c r="A679" s="168" t="s">
        <v>1188</v>
      </c>
      <c r="B679" s="179" t="s">
        <v>1153</v>
      </c>
      <c r="C679" s="179"/>
      <c r="D679" s="179"/>
      <c r="E679" s="179"/>
      <c r="F679" s="179"/>
      <c r="G679" s="179"/>
      <c r="H679" s="179"/>
      <c r="I679" s="179"/>
      <c r="J679" s="179"/>
      <c r="K679" s="179"/>
      <c r="L679" s="179"/>
      <c r="M679" s="179"/>
      <c r="N679" s="179" t="s">
        <v>223</v>
      </c>
      <c r="O679" s="179"/>
      <c r="P679" s="179"/>
      <c r="Q679" s="202">
        <v>73.78</v>
      </c>
      <c r="R679" s="174"/>
      <c r="S679" s="174"/>
      <c r="T679" s="174"/>
      <c r="U679" s="174"/>
      <c r="V679" s="174"/>
      <c r="W679" s="202">
        <v>11.44</v>
      </c>
      <c r="X679" s="174"/>
      <c r="Y679" s="174"/>
      <c r="Z679" s="174"/>
      <c r="AA679" s="174"/>
      <c r="AB679" s="174"/>
      <c r="AC679" s="205">
        <v>844.04</v>
      </c>
      <c r="AD679" s="174"/>
      <c r="AE679" s="174"/>
    </row>
    <row r="680" spans="1:31" ht="19.350000000000001" customHeight="1" x14ac:dyDescent="0.2">
      <c r="A680" s="167" t="s">
        <v>1189</v>
      </c>
      <c r="B680" s="176" t="s">
        <v>1190</v>
      </c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7"/>
      <c r="R680" s="177"/>
      <c r="S680" s="177"/>
      <c r="T680" s="177"/>
      <c r="U680" s="177"/>
      <c r="V680" s="177"/>
      <c r="W680" s="177"/>
      <c r="X680" s="177"/>
      <c r="Y680" s="177"/>
      <c r="Z680" s="177"/>
      <c r="AA680" s="177"/>
      <c r="AB680" s="177"/>
      <c r="AC680" s="178">
        <v>2799091.19</v>
      </c>
      <c r="AD680" s="177"/>
      <c r="AE680" s="177"/>
    </row>
    <row r="681" spans="1:31" ht="9.75" customHeight="1" x14ac:dyDescent="0.2">
      <c r="A681" s="167" t="s">
        <v>1191</v>
      </c>
      <c r="B681" s="176" t="s">
        <v>1100</v>
      </c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7"/>
      <c r="R681" s="177"/>
      <c r="S681" s="177"/>
      <c r="T681" s="177"/>
      <c r="U681" s="177"/>
      <c r="V681" s="177"/>
      <c r="W681" s="177"/>
      <c r="X681" s="177"/>
      <c r="Y681" s="177"/>
      <c r="Z681" s="177"/>
      <c r="AA681" s="177"/>
      <c r="AB681" s="177"/>
      <c r="AC681" s="194">
        <v>14701.93</v>
      </c>
      <c r="AD681" s="177"/>
      <c r="AE681" s="177"/>
    </row>
    <row r="682" spans="1:31" ht="9.75" customHeight="1" x14ac:dyDescent="0.2">
      <c r="A682" s="168" t="s">
        <v>1192</v>
      </c>
      <c r="B682" s="179" t="s">
        <v>1159</v>
      </c>
      <c r="C682" s="179"/>
      <c r="D682" s="179"/>
      <c r="E682" s="179"/>
      <c r="F682" s="179"/>
      <c r="G682" s="179"/>
      <c r="H682" s="179"/>
      <c r="I682" s="179"/>
      <c r="J682" s="179"/>
      <c r="K682" s="179"/>
      <c r="L682" s="179"/>
      <c r="M682" s="179"/>
      <c r="N682" s="179" t="s">
        <v>220</v>
      </c>
      <c r="O682" s="179"/>
      <c r="P682" s="179"/>
      <c r="Q682" s="191">
        <v>299.08999999999997</v>
      </c>
      <c r="R682" s="174"/>
      <c r="S682" s="174"/>
      <c r="T682" s="174"/>
      <c r="U682" s="174"/>
      <c r="V682" s="174"/>
      <c r="W682" s="202">
        <v>40.1633</v>
      </c>
      <c r="X682" s="174"/>
      <c r="Y682" s="174"/>
      <c r="Z682" s="174"/>
      <c r="AA682" s="174"/>
      <c r="AB682" s="174"/>
      <c r="AC682" s="196">
        <v>12012.44</v>
      </c>
      <c r="AD682" s="174"/>
      <c r="AE682" s="174"/>
    </row>
    <row r="683" spans="1:31" ht="19.350000000000001" customHeight="1" x14ac:dyDescent="0.2">
      <c r="A683" s="168" t="s">
        <v>1193</v>
      </c>
      <c r="B683" s="179" t="s">
        <v>1104</v>
      </c>
      <c r="C683" s="179"/>
      <c r="D683" s="179"/>
      <c r="E683" s="179"/>
      <c r="F683" s="179"/>
      <c r="G683" s="179"/>
      <c r="H683" s="179"/>
      <c r="I683" s="179"/>
      <c r="J683" s="179"/>
      <c r="K683" s="179"/>
      <c r="L683" s="179"/>
      <c r="M683" s="179"/>
      <c r="N683" s="179" t="s">
        <v>223</v>
      </c>
      <c r="O683" s="179"/>
      <c r="P683" s="179"/>
      <c r="Q683" s="191">
        <v>669.21</v>
      </c>
      <c r="R683" s="174"/>
      <c r="S683" s="174"/>
      <c r="T683" s="174"/>
      <c r="U683" s="174"/>
      <c r="V683" s="174"/>
      <c r="W683" s="180">
        <v>4.0189000000000004</v>
      </c>
      <c r="X683" s="174"/>
      <c r="Y683" s="174"/>
      <c r="Z683" s="174"/>
      <c r="AA683" s="174"/>
      <c r="AB683" s="174"/>
      <c r="AC683" s="201">
        <v>2689.49</v>
      </c>
      <c r="AD683" s="174"/>
      <c r="AE683" s="174"/>
    </row>
    <row r="684" spans="1:31" ht="9.6" customHeight="1" x14ac:dyDescent="0.2">
      <c r="A684" s="167" t="s">
        <v>1194</v>
      </c>
      <c r="B684" s="176" t="s">
        <v>1106</v>
      </c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7"/>
      <c r="R684" s="177"/>
      <c r="S684" s="177"/>
      <c r="T684" s="177"/>
      <c r="U684" s="177"/>
      <c r="V684" s="177"/>
      <c r="W684" s="177"/>
      <c r="X684" s="177"/>
      <c r="Y684" s="177"/>
      <c r="Z684" s="177"/>
      <c r="AA684" s="177"/>
      <c r="AB684" s="177"/>
      <c r="AC684" s="198">
        <v>487679.92</v>
      </c>
      <c r="AD684" s="177"/>
      <c r="AE684" s="177"/>
    </row>
    <row r="685" spans="1:31" ht="9.75" customHeight="1" x14ac:dyDescent="0.2">
      <c r="A685" s="168" t="s">
        <v>1195</v>
      </c>
      <c r="B685" s="179" t="s">
        <v>1108</v>
      </c>
      <c r="C685" s="179"/>
      <c r="D685" s="179"/>
      <c r="E685" s="179"/>
      <c r="F685" s="179"/>
      <c r="G685" s="179"/>
      <c r="H685" s="179"/>
      <c r="I685" s="179"/>
      <c r="J685" s="179"/>
      <c r="K685" s="179"/>
      <c r="L685" s="179"/>
      <c r="M685" s="179"/>
      <c r="N685" s="179" t="s">
        <v>220</v>
      </c>
      <c r="O685" s="179"/>
      <c r="P685" s="179"/>
      <c r="Q685" s="195">
        <v>44749</v>
      </c>
      <c r="R685" s="174"/>
      <c r="S685" s="174"/>
      <c r="T685" s="174"/>
      <c r="U685" s="174"/>
      <c r="V685" s="174"/>
      <c r="W685" s="180">
        <v>1.1193</v>
      </c>
      <c r="X685" s="174"/>
      <c r="Y685" s="174"/>
      <c r="Z685" s="174"/>
      <c r="AA685" s="174"/>
      <c r="AB685" s="174"/>
      <c r="AC685" s="196">
        <v>50087.56</v>
      </c>
      <c r="AD685" s="174"/>
      <c r="AE685" s="174"/>
    </row>
    <row r="686" spans="1:31" ht="9.6" customHeight="1" x14ac:dyDescent="0.2">
      <c r="A686" s="168" t="s">
        <v>1196</v>
      </c>
      <c r="B686" s="179" t="s">
        <v>1110</v>
      </c>
      <c r="C686" s="179"/>
      <c r="D686" s="179"/>
      <c r="E686" s="179"/>
      <c r="F686" s="179"/>
      <c r="G686" s="179"/>
      <c r="H686" s="179"/>
      <c r="I686" s="179"/>
      <c r="J686" s="179"/>
      <c r="K686" s="179"/>
      <c r="L686" s="179"/>
      <c r="M686" s="179"/>
      <c r="N686" s="179" t="s">
        <v>220</v>
      </c>
      <c r="O686" s="179"/>
      <c r="P686" s="179"/>
      <c r="Q686" s="195">
        <v>37415.620000000003</v>
      </c>
      <c r="R686" s="174"/>
      <c r="S686" s="174"/>
      <c r="T686" s="174"/>
      <c r="U686" s="174"/>
      <c r="V686" s="174"/>
      <c r="W686" s="180">
        <v>3.2002000000000002</v>
      </c>
      <c r="X686" s="174"/>
      <c r="Y686" s="174"/>
      <c r="Z686" s="174"/>
      <c r="AA686" s="174"/>
      <c r="AB686" s="174"/>
      <c r="AC686" s="200">
        <v>119737.47</v>
      </c>
      <c r="AD686" s="174"/>
      <c r="AE686" s="174"/>
    </row>
    <row r="687" spans="1:31" ht="9.6" customHeight="1" x14ac:dyDescent="0.2">
      <c r="A687" s="168" t="s">
        <v>1197</v>
      </c>
      <c r="B687" s="179" t="s">
        <v>1198</v>
      </c>
      <c r="C687" s="179"/>
      <c r="D687" s="179"/>
      <c r="E687" s="179"/>
      <c r="F687" s="179"/>
      <c r="G687" s="179"/>
      <c r="H687" s="179"/>
      <c r="I687" s="179"/>
      <c r="J687" s="179"/>
      <c r="K687" s="179"/>
      <c r="L687" s="179"/>
      <c r="M687" s="179"/>
      <c r="N687" s="179" t="s">
        <v>220</v>
      </c>
      <c r="O687" s="179"/>
      <c r="P687" s="179"/>
      <c r="Q687" s="191">
        <v>470.85</v>
      </c>
      <c r="R687" s="174"/>
      <c r="S687" s="174"/>
      <c r="T687" s="174"/>
      <c r="U687" s="174"/>
      <c r="V687" s="174"/>
      <c r="W687" s="180">
        <v>7.9543999999999997</v>
      </c>
      <c r="X687" s="174"/>
      <c r="Y687" s="174"/>
      <c r="Z687" s="174"/>
      <c r="AA687" s="174"/>
      <c r="AB687" s="174"/>
      <c r="AC687" s="201">
        <v>3745.33</v>
      </c>
      <c r="AD687" s="174"/>
      <c r="AE687" s="174"/>
    </row>
    <row r="688" spans="1:31" ht="9.6" customHeight="1" x14ac:dyDescent="0.2">
      <c r="A688" s="168" t="s">
        <v>1199</v>
      </c>
      <c r="B688" s="179" t="s">
        <v>1112</v>
      </c>
      <c r="C688" s="179"/>
      <c r="D688" s="179"/>
      <c r="E688" s="179"/>
      <c r="F688" s="179"/>
      <c r="G688" s="179"/>
      <c r="H688" s="179"/>
      <c r="I688" s="179"/>
      <c r="J688" s="179"/>
      <c r="K688" s="179"/>
      <c r="L688" s="179"/>
      <c r="M688" s="179"/>
      <c r="N688" s="179" t="s">
        <v>220</v>
      </c>
      <c r="O688" s="179"/>
      <c r="P688" s="179"/>
      <c r="Q688" s="173">
        <v>1791.74</v>
      </c>
      <c r="R688" s="174"/>
      <c r="S688" s="174"/>
      <c r="T688" s="174"/>
      <c r="U688" s="174"/>
      <c r="V688" s="174"/>
      <c r="W688" s="180">
        <v>4.4957000000000003</v>
      </c>
      <c r="X688" s="174"/>
      <c r="Y688" s="174"/>
      <c r="Z688" s="174"/>
      <c r="AA688" s="174"/>
      <c r="AB688" s="174"/>
      <c r="AC688" s="201">
        <v>8055.13</v>
      </c>
      <c r="AD688" s="174"/>
      <c r="AE688" s="174"/>
    </row>
    <row r="689" spans="1:31" ht="19.350000000000001" customHeight="1" x14ac:dyDescent="0.2">
      <c r="A689" s="168" t="s">
        <v>1200</v>
      </c>
      <c r="B689" s="179" t="s">
        <v>1114</v>
      </c>
      <c r="C689" s="179"/>
      <c r="D689" s="179"/>
      <c r="E689" s="179"/>
      <c r="F689" s="179"/>
      <c r="G689" s="179"/>
      <c r="H689" s="179"/>
      <c r="I689" s="179"/>
      <c r="J689" s="179"/>
      <c r="K689" s="179"/>
      <c r="L689" s="179"/>
      <c r="M689" s="179"/>
      <c r="N689" s="179" t="s">
        <v>220</v>
      </c>
      <c r="O689" s="179"/>
      <c r="P689" s="179"/>
      <c r="Q689" s="195">
        <v>37692.959999999999</v>
      </c>
      <c r="R689" s="174"/>
      <c r="S689" s="174"/>
      <c r="T689" s="174"/>
      <c r="U689" s="174"/>
      <c r="V689" s="174"/>
      <c r="W689" s="180">
        <v>6.7436999999999996</v>
      </c>
      <c r="X689" s="174"/>
      <c r="Y689" s="174"/>
      <c r="Z689" s="174"/>
      <c r="AA689" s="174"/>
      <c r="AB689" s="174"/>
      <c r="AC689" s="200">
        <v>254190.01</v>
      </c>
      <c r="AD689" s="174"/>
      <c r="AE689" s="174"/>
    </row>
    <row r="690" spans="1:31" ht="19.350000000000001" customHeight="1" x14ac:dyDescent="0.2">
      <c r="A690" s="168" t="s">
        <v>1201</v>
      </c>
      <c r="B690" s="179" t="s">
        <v>1116</v>
      </c>
      <c r="C690" s="179"/>
      <c r="D690" s="179"/>
      <c r="E690" s="179"/>
      <c r="F690" s="179"/>
      <c r="G690" s="179"/>
      <c r="H690" s="179"/>
      <c r="I690" s="179"/>
      <c r="J690" s="179"/>
      <c r="K690" s="179"/>
      <c r="L690" s="179"/>
      <c r="M690" s="179"/>
      <c r="N690" s="179" t="s">
        <v>220</v>
      </c>
      <c r="O690" s="179"/>
      <c r="P690" s="179"/>
      <c r="Q690" s="173">
        <v>4793.45</v>
      </c>
      <c r="R690" s="174"/>
      <c r="S690" s="174"/>
      <c r="T690" s="174"/>
      <c r="U690" s="174"/>
      <c r="V690" s="174"/>
      <c r="W690" s="180">
        <v>6.8746999999999998</v>
      </c>
      <c r="X690" s="174"/>
      <c r="Y690" s="174"/>
      <c r="Z690" s="174"/>
      <c r="AA690" s="174"/>
      <c r="AB690" s="174"/>
      <c r="AC690" s="196">
        <v>32953.53</v>
      </c>
      <c r="AD690" s="174"/>
      <c r="AE690" s="174"/>
    </row>
    <row r="691" spans="1:31" ht="9.6" customHeight="1" x14ac:dyDescent="0.2">
      <c r="A691" s="168" t="s">
        <v>1202</v>
      </c>
      <c r="B691" s="179" t="s">
        <v>1168</v>
      </c>
      <c r="C691" s="179"/>
      <c r="D691" s="179"/>
      <c r="E691" s="179"/>
      <c r="F691" s="179"/>
      <c r="G691" s="179"/>
      <c r="H691" s="179"/>
      <c r="I691" s="179"/>
      <c r="J691" s="179"/>
      <c r="K691" s="179"/>
      <c r="L691" s="179"/>
      <c r="M691" s="179"/>
      <c r="N691" s="179" t="s">
        <v>220</v>
      </c>
      <c r="O691" s="179"/>
      <c r="P691" s="179"/>
      <c r="Q691" s="191">
        <v>470.85</v>
      </c>
      <c r="R691" s="174"/>
      <c r="S691" s="174"/>
      <c r="T691" s="174"/>
      <c r="U691" s="174"/>
      <c r="V691" s="174"/>
      <c r="W691" s="202">
        <v>40.1633</v>
      </c>
      <c r="X691" s="174"/>
      <c r="Y691" s="174"/>
      <c r="Z691" s="174"/>
      <c r="AA691" s="174"/>
      <c r="AB691" s="174"/>
      <c r="AC691" s="196">
        <v>18910.89</v>
      </c>
      <c r="AD691" s="174"/>
      <c r="AE691" s="174"/>
    </row>
    <row r="692" spans="1:31" ht="9.6" customHeight="1" x14ac:dyDescent="0.2">
      <c r="A692" s="167" t="s">
        <v>1203</v>
      </c>
      <c r="B692" s="176" t="s">
        <v>1120</v>
      </c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7"/>
      <c r="R692" s="177"/>
      <c r="S692" s="177"/>
      <c r="T692" s="177"/>
      <c r="U692" s="177"/>
      <c r="V692" s="177"/>
      <c r="W692" s="177"/>
      <c r="X692" s="177"/>
      <c r="Y692" s="177"/>
      <c r="Z692" s="177"/>
      <c r="AA692" s="177"/>
      <c r="AB692" s="177"/>
      <c r="AC692" s="198">
        <v>237889.18</v>
      </c>
      <c r="AD692" s="177"/>
      <c r="AE692" s="177"/>
    </row>
    <row r="693" spans="1:31" ht="9.75" customHeight="1" x14ac:dyDescent="0.2">
      <c r="A693" s="168" t="s">
        <v>1204</v>
      </c>
      <c r="B693" s="179" t="s">
        <v>1122</v>
      </c>
      <c r="C693" s="179"/>
      <c r="D693" s="179"/>
      <c r="E693" s="179"/>
      <c r="F693" s="179"/>
      <c r="G693" s="179"/>
      <c r="H693" s="179"/>
      <c r="I693" s="179"/>
      <c r="J693" s="179"/>
      <c r="K693" s="179"/>
      <c r="L693" s="179"/>
      <c r="M693" s="179"/>
      <c r="N693" s="179" t="s">
        <v>220</v>
      </c>
      <c r="O693" s="179"/>
      <c r="P693" s="179"/>
      <c r="Q693" s="195">
        <v>21448.51</v>
      </c>
      <c r="R693" s="174"/>
      <c r="S693" s="174"/>
      <c r="T693" s="174"/>
      <c r="U693" s="174"/>
      <c r="V693" s="174"/>
      <c r="W693" s="180">
        <v>1.2398</v>
      </c>
      <c r="X693" s="174"/>
      <c r="Y693" s="174"/>
      <c r="Z693" s="174"/>
      <c r="AA693" s="174"/>
      <c r="AB693" s="174"/>
      <c r="AC693" s="196">
        <v>26591.86</v>
      </c>
      <c r="AD693" s="174"/>
      <c r="AE693" s="174"/>
    </row>
    <row r="694" spans="1:31" ht="9.6" customHeight="1" x14ac:dyDescent="0.2">
      <c r="A694" s="168" t="s">
        <v>1205</v>
      </c>
      <c r="B694" s="179" t="s">
        <v>1124</v>
      </c>
      <c r="C694" s="179"/>
      <c r="D694" s="179"/>
      <c r="E694" s="179"/>
      <c r="F694" s="179"/>
      <c r="G694" s="179"/>
      <c r="H694" s="179"/>
      <c r="I694" s="179"/>
      <c r="J694" s="179"/>
      <c r="K694" s="179"/>
      <c r="L694" s="179"/>
      <c r="M694" s="179"/>
      <c r="N694" s="179" t="s">
        <v>220</v>
      </c>
      <c r="O694" s="179"/>
      <c r="P694" s="179"/>
      <c r="Q694" s="195">
        <v>20801.919999999998</v>
      </c>
      <c r="R694" s="174"/>
      <c r="S694" s="174"/>
      <c r="T694" s="174"/>
      <c r="U694" s="174"/>
      <c r="V694" s="174"/>
      <c r="W694" s="180">
        <v>3.2002000000000002</v>
      </c>
      <c r="X694" s="174"/>
      <c r="Y694" s="174"/>
      <c r="Z694" s="174"/>
      <c r="AA694" s="174"/>
      <c r="AB694" s="174"/>
      <c r="AC694" s="196">
        <v>66570.3</v>
      </c>
      <c r="AD694" s="174"/>
      <c r="AE694" s="174"/>
    </row>
    <row r="695" spans="1:31" ht="9.6" customHeight="1" x14ac:dyDescent="0.2">
      <c r="A695" s="168" t="s">
        <v>1206</v>
      </c>
      <c r="B695" s="179" t="s">
        <v>1126</v>
      </c>
      <c r="C695" s="179"/>
      <c r="D695" s="179"/>
      <c r="E695" s="179"/>
      <c r="F695" s="179"/>
      <c r="G695" s="179"/>
      <c r="H695" s="179"/>
      <c r="I695" s="179"/>
      <c r="J695" s="179"/>
      <c r="K695" s="179"/>
      <c r="L695" s="179"/>
      <c r="M695" s="179"/>
      <c r="N695" s="179" t="s">
        <v>220</v>
      </c>
      <c r="O695" s="179"/>
      <c r="P695" s="179"/>
      <c r="Q695" s="195">
        <v>20801.919999999998</v>
      </c>
      <c r="R695" s="174"/>
      <c r="S695" s="174"/>
      <c r="T695" s="174"/>
      <c r="U695" s="174"/>
      <c r="V695" s="174"/>
      <c r="W695" s="180">
        <v>6.7436999999999996</v>
      </c>
      <c r="X695" s="174"/>
      <c r="Y695" s="174"/>
      <c r="Z695" s="174"/>
      <c r="AA695" s="174"/>
      <c r="AB695" s="174"/>
      <c r="AC695" s="200">
        <v>140281.91</v>
      </c>
      <c r="AD695" s="174"/>
      <c r="AE695" s="174"/>
    </row>
    <row r="696" spans="1:31" ht="19.350000000000001" customHeight="1" x14ac:dyDescent="0.2">
      <c r="A696" s="168" t="s">
        <v>1207</v>
      </c>
      <c r="B696" s="179" t="s">
        <v>1130</v>
      </c>
      <c r="C696" s="179"/>
      <c r="D696" s="179"/>
      <c r="E696" s="179"/>
      <c r="F696" s="179"/>
      <c r="G696" s="179"/>
      <c r="H696" s="179"/>
      <c r="I696" s="179"/>
      <c r="J696" s="179"/>
      <c r="K696" s="179"/>
      <c r="L696" s="179"/>
      <c r="M696" s="179"/>
      <c r="N696" s="179" t="s">
        <v>220</v>
      </c>
      <c r="O696" s="179"/>
      <c r="P696" s="179"/>
      <c r="Q696" s="191">
        <v>646.59</v>
      </c>
      <c r="R696" s="174"/>
      <c r="S696" s="174"/>
      <c r="T696" s="174"/>
      <c r="U696" s="174"/>
      <c r="V696" s="174"/>
      <c r="W696" s="180">
        <v>6.8746999999999998</v>
      </c>
      <c r="X696" s="174"/>
      <c r="Y696" s="174"/>
      <c r="Z696" s="174"/>
      <c r="AA696" s="174"/>
      <c r="AB696" s="174"/>
      <c r="AC696" s="201">
        <v>4445.1099999999997</v>
      </c>
      <c r="AD696" s="174"/>
      <c r="AE696" s="174"/>
    </row>
    <row r="697" spans="1:31" ht="9.6" customHeight="1" x14ac:dyDescent="0.2">
      <c r="A697" s="167" t="s">
        <v>1208</v>
      </c>
      <c r="B697" s="176" t="s">
        <v>1132</v>
      </c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7"/>
      <c r="R697" s="177"/>
      <c r="S697" s="177"/>
      <c r="T697" s="177"/>
      <c r="U697" s="177"/>
      <c r="V697" s="177"/>
      <c r="W697" s="177"/>
      <c r="X697" s="177"/>
      <c r="Y697" s="177"/>
      <c r="Z697" s="177"/>
      <c r="AA697" s="177"/>
      <c r="AB697" s="177"/>
      <c r="AC697" s="207">
        <v>762.31</v>
      </c>
      <c r="AD697" s="177"/>
      <c r="AE697" s="177"/>
    </row>
    <row r="698" spans="1:31" ht="9.75" customHeight="1" x14ac:dyDescent="0.2">
      <c r="A698" s="168" t="s">
        <v>1209</v>
      </c>
      <c r="B698" s="179" t="s">
        <v>1134</v>
      </c>
      <c r="C698" s="179"/>
      <c r="D698" s="179"/>
      <c r="E698" s="179"/>
      <c r="F698" s="179"/>
      <c r="G698" s="179"/>
      <c r="H698" s="179"/>
      <c r="I698" s="179"/>
      <c r="J698" s="179"/>
      <c r="K698" s="179"/>
      <c r="L698" s="179"/>
      <c r="M698" s="179"/>
      <c r="N698" s="179" t="s">
        <v>223</v>
      </c>
      <c r="O698" s="179"/>
      <c r="P698" s="179"/>
      <c r="Q698" s="191">
        <v>548.54</v>
      </c>
      <c r="R698" s="174"/>
      <c r="S698" s="174"/>
      <c r="T698" s="174"/>
      <c r="U698" s="174"/>
      <c r="V698" s="174"/>
      <c r="W698" s="180">
        <v>1.3896999999999999</v>
      </c>
      <c r="X698" s="174"/>
      <c r="Y698" s="174"/>
      <c r="Z698" s="174"/>
      <c r="AA698" s="174"/>
      <c r="AB698" s="174"/>
      <c r="AC698" s="205">
        <v>762.31</v>
      </c>
      <c r="AD698" s="174"/>
      <c r="AE698" s="174"/>
    </row>
    <row r="699" spans="1:31" ht="19.350000000000001" customHeight="1" x14ac:dyDescent="0.2">
      <c r="A699" s="167" t="s">
        <v>1210</v>
      </c>
      <c r="B699" s="176" t="s">
        <v>693</v>
      </c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7"/>
      <c r="R699" s="177"/>
      <c r="S699" s="177"/>
      <c r="T699" s="177"/>
      <c r="U699" s="177"/>
      <c r="V699" s="177"/>
      <c r="W699" s="177"/>
      <c r="X699" s="177"/>
      <c r="Y699" s="177"/>
      <c r="Z699" s="177"/>
      <c r="AA699" s="177"/>
      <c r="AB699" s="177"/>
      <c r="AC699" s="178">
        <v>2058057.85</v>
      </c>
      <c r="AD699" s="177"/>
      <c r="AE699" s="177"/>
    </row>
    <row r="700" spans="1:31" ht="9.75" customHeight="1" x14ac:dyDescent="0.2">
      <c r="A700" s="168" t="s">
        <v>1211</v>
      </c>
      <c r="B700" s="179" t="s">
        <v>1137</v>
      </c>
      <c r="C700" s="179"/>
      <c r="D700" s="179"/>
      <c r="E700" s="179"/>
      <c r="F700" s="179"/>
      <c r="G700" s="179"/>
      <c r="H700" s="179"/>
      <c r="I700" s="179"/>
      <c r="J700" s="179"/>
      <c r="K700" s="179"/>
      <c r="L700" s="179"/>
      <c r="M700" s="179"/>
      <c r="N700" s="179" t="s">
        <v>220</v>
      </c>
      <c r="O700" s="179"/>
      <c r="P700" s="179"/>
      <c r="Q700" s="191">
        <v>299.08999999999997</v>
      </c>
      <c r="R700" s="174"/>
      <c r="S700" s="174"/>
      <c r="T700" s="174"/>
      <c r="U700" s="174"/>
      <c r="V700" s="174"/>
      <c r="W700" s="202">
        <v>47</v>
      </c>
      <c r="X700" s="174"/>
      <c r="Y700" s="174"/>
      <c r="Z700" s="174"/>
      <c r="AA700" s="174"/>
      <c r="AB700" s="174"/>
      <c r="AC700" s="196">
        <v>14057.23</v>
      </c>
      <c r="AD700" s="174"/>
      <c r="AE700" s="174"/>
    </row>
    <row r="701" spans="1:31" ht="19.350000000000001" customHeight="1" x14ac:dyDescent="0.2">
      <c r="A701" s="168" t="s">
        <v>1212</v>
      </c>
      <c r="B701" s="179" t="s">
        <v>1139</v>
      </c>
      <c r="C701" s="179"/>
      <c r="D701" s="179"/>
      <c r="E701" s="179"/>
      <c r="F701" s="179"/>
      <c r="G701" s="179"/>
      <c r="H701" s="179"/>
      <c r="I701" s="179"/>
      <c r="J701" s="179"/>
      <c r="K701" s="179"/>
      <c r="L701" s="179"/>
      <c r="M701" s="179"/>
      <c r="N701" s="179" t="s">
        <v>223</v>
      </c>
      <c r="O701" s="179"/>
      <c r="P701" s="179"/>
      <c r="Q701" s="191">
        <v>669.21</v>
      </c>
      <c r="R701" s="174"/>
      <c r="S701" s="174"/>
      <c r="T701" s="174"/>
      <c r="U701" s="174"/>
      <c r="V701" s="174"/>
      <c r="W701" s="180">
        <v>9.4</v>
      </c>
      <c r="X701" s="174"/>
      <c r="Y701" s="174"/>
      <c r="Z701" s="174"/>
      <c r="AA701" s="174"/>
      <c r="AB701" s="174"/>
      <c r="AC701" s="201">
        <v>6290.57</v>
      </c>
      <c r="AD701" s="174"/>
      <c r="AE701" s="174"/>
    </row>
    <row r="702" spans="1:31" ht="9.6" customHeight="1" x14ac:dyDescent="0.2">
      <c r="A702" s="168" t="s">
        <v>1213</v>
      </c>
      <c r="B702" s="179" t="s">
        <v>1141</v>
      </c>
      <c r="C702" s="179"/>
      <c r="D702" s="179"/>
      <c r="E702" s="179"/>
      <c r="F702" s="179"/>
      <c r="G702" s="179"/>
      <c r="H702" s="179"/>
      <c r="I702" s="179"/>
      <c r="J702" s="179"/>
      <c r="K702" s="179"/>
      <c r="L702" s="179"/>
      <c r="M702" s="179"/>
      <c r="N702" s="179" t="s">
        <v>220</v>
      </c>
      <c r="O702" s="179"/>
      <c r="P702" s="179"/>
      <c r="Q702" s="173">
        <v>1791.74</v>
      </c>
      <c r="R702" s="174"/>
      <c r="S702" s="174"/>
      <c r="T702" s="174"/>
      <c r="U702" s="174"/>
      <c r="V702" s="174"/>
      <c r="W702" s="202">
        <v>16</v>
      </c>
      <c r="X702" s="174"/>
      <c r="Y702" s="174"/>
      <c r="Z702" s="174"/>
      <c r="AA702" s="174"/>
      <c r="AB702" s="174"/>
      <c r="AC702" s="196">
        <v>28667.84</v>
      </c>
      <c r="AD702" s="174"/>
      <c r="AE702" s="174"/>
    </row>
    <row r="703" spans="1:31" ht="9.6" customHeight="1" x14ac:dyDescent="0.2">
      <c r="A703" s="168" t="s">
        <v>1214</v>
      </c>
      <c r="B703" s="179" t="s">
        <v>1143</v>
      </c>
      <c r="C703" s="179"/>
      <c r="D703" s="179"/>
      <c r="E703" s="179"/>
      <c r="F703" s="179"/>
      <c r="G703" s="179"/>
      <c r="H703" s="179"/>
      <c r="I703" s="179"/>
      <c r="J703" s="179"/>
      <c r="K703" s="179"/>
      <c r="L703" s="179"/>
      <c r="M703" s="179"/>
      <c r="N703" s="179" t="s">
        <v>220</v>
      </c>
      <c r="O703" s="179"/>
      <c r="P703" s="179"/>
      <c r="Q703" s="195">
        <v>37692.959999999999</v>
      </c>
      <c r="R703" s="174"/>
      <c r="S703" s="174"/>
      <c r="T703" s="174"/>
      <c r="U703" s="174"/>
      <c r="V703" s="174"/>
      <c r="W703" s="202">
        <v>32</v>
      </c>
      <c r="X703" s="174"/>
      <c r="Y703" s="174"/>
      <c r="Z703" s="174"/>
      <c r="AA703" s="174"/>
      <c r="AB703" s="174"/>
      <c r="AC703" s="175">
        <v>1206174.72</v>
      </c>
      <c r="AD703" s="174"/>
      <c r="AE703" s="174"/>
    </row>
    <row r="704" spans="1:31" ht="9.6" customHeight="1" x14ac:dyDescent="0.2">
      <c r="A704" s="168" t="s">
        <v>1215</v>
      </c>
      <c r="B704" s="179" t="s">
        <v>1145</v>
      </c>
      <c r="C704" s="179"/>
      <c r="D704" s="179"/>
      <c r="E704" s="179"/>
      <c r="F704" s="179"/>
      <c r="G704" s="179"/>
      <c r="H704" s="179"/>
      <c r="I704" s="179"/>
      <c r="J704" s="179"/>
      <c r="K704" s="179"/>
      <c r="L704" s="179"/>
      <c r="M704" s="179"/>
      <c r="N704" s="179" t="s">
        <v>220</v>
      </c>
      <c r="O704" s="179"/>
      <c r="P704" s="179"/>
      <c r="Q704" s="195">
        <v>20801.919999999998</v>
      </c>
      <c r="R704" s="174"/>
      <c r="S704" s="174"/>
      <c r="T704" s="174"/>
      <c r="U704" s="174"/>
      <c r="V704" s="174"/>
      <c r="W704" s="202">
        <v>32</v>
      </c>
      <c r="X704" s="174"/>
      <c r="Y704" s="174"/>
      <c r="Z704" s="174"/>
      <c r="AA704" s="174"/>
      <c r="AB704" s="174"/>
      <c r="AC704" s="200">
        <v>665661.43999999994</v>
      </c>
      <c r="AD704" s="174"/>
      <c r="AE704" s="174"/>
    </row>
    <row r="705" spans="1:31" ht="9.6" customHeight="1" x14ac:dyDescent="0.2">
      <c r="A705" s="168" t="s">
        <v>1216</v>
      </c>
      <c r="B705" s="179" t="s">
        <v>1185</v>
      </c>
      <c r="C705" s="179"/>
      <c r="D705" s="179"/>
      <c r="E705" s="179"/>
      <c r="F705" s="179"/>
      <c r="G705" s="179"/>
      <c r="H705" s="179"/>
      <c r="I705" s="179"/>
      <c r="J705" s="179"/>
      <c r="K705" s="179"/>
      <c r="L705" s="179"/>
      <c r="M705" s="179"/>
      <c r="N705" s="179" t="s">
        <v>220</v>
      </c>
      <c r="O705" s="179"/>
      <c r="P705" s="179"/>
      <c r="Q705" s="191">
        <v>470.85</v>
      </c>
      <c r="R705" s="174"/>
      <c r="S705" s="174"/>
      <c r="T705" s="174"/>
      <c r="U705" s="174"/>
      <c r="V705" s="174"/>
      <c r="W705" s="202">
        <v>47</v>
      </c>
      <c r="X705" s="174"/>
      <c r="Y705" s="174"/>
      <c r="Z705" s="174"/>
      <c r="AA705" s="174"/>
      <c r="AB705" s="174"/>
      <c r="AC705" s="196">
        <v>22129.95</v>
      </c>
      <c r="AD705" s="174"/>
      <c r="AE705" s="174"/>
    </row>
    <row r="706" spans="1:31" ht="9.6" customHeight="1" x14ac:dyDescent="0.2">
      <c r="A706" s="168" t="s">
        <v>1217</v>
      </c>
      <c r="B706" s="179" t="s">
        <v>1147</v>
      </c>
      <c r="C706" s="179"/>
      <c r="D706" s="179"/>
      <c r="E706" s="179"/>
      <c r="F706" s="179"/>
      <c r="G706" s="179"/>
      <c r="H706" s="179"/>
      <c r="I706" s="179"/>
      <c r="J706" s="179"/>
      <c r="K706" s="179"/>
      <c r="L706" s="179"/>
      <c r="M706" s="179"/>
      <c r="N706" s="179" t="s">
        <v>220</v>
      </c>
      <c r="O706" s="179"/>
      <c r="P706" s="179"/>
      <c r="Q706" s="173">
        <v>4793.45</v>
      </c>
      <c r="R706" s="174"/>
      <c r="S706" s="174"/>
      <c r="T706" s="174"/>
      <c r="U706" s="174"/>
      <c r="V706" s="174"/>
      <c r="W706" s="202">
        <v>20</v>
      </c>
      <c r="X706" s="174"/>
      <c r="Y706" s="174"/>
      <c r="Z706" s="174"/>
      <c r="AA706" s="174"/>
      <c r="AB706" s="174"/>
      <c r="AC706" s="196">
        <v>95869</v>
      </c>
      <c r="AD706" s="174"/>
      <c r="AE706" s="174"/>
    </row>
    <row r="707" spans="1:31" ht="19.350000000000001" customHeight="1" x14ac:dyDescent="0.2">
      <c r="A707" s="168" t="s">
        <v>1218</v>
      </c>
      <c r="B707" s="179" t="s">
        <v>1151</v>
      </c>
      <c r="C707" s="179"/>
      <c r="D707" s="179"/>
      <c r="E707" s="179"/>
      <c r="F707" s="179"/>
      <c r="G707" s="179"/>
      <c r="H707" s="179"/>
      <c r="I707" s="179"/>
      <c r="J707" s="179"/>
      <c r="K707" s="179"/>
      <c r="L707" s="179"/>
      <c r="M707" s="179"/>
      <c r="N707" s="179" t="s">
        <v>220</v>
      </c>
      <c r="O707" s="179"/>
      <c r="P707" s="179"/>
      <c r="Q707" s="191">
        <v>646.59</v>
      </c>
      <c r="R707" s="174"/>
      <c r="S707" s="174"/>
      <c r="T707" s="174"/>
      <c r="U707" s="174"/>
      <c r="V707" s="174"/>
      <c r="W707" s="202">
        <v>20</v>
      </c>
      <c r="X707" s="174"/>
      <c r="Y707" s="174"/>
      <c r="Z707" s="174"/>
      <c r="AA707" s="174"/>
      <c r="AB707" s="174"/>
      <c r="AC707" s="196">
        <v>12931.8</v>
      </c>
      <c r="AD707" s="174"/>
      <c r="AE707" s="174"/>
    </row>
    <row r="708" spans="1:31" ht="9.6" customHeight="1" x14ac:dyDescent="0.2">
      <c r="A708" s="168" t="s">
        <v>1219</v>
      </c>
      <c r="B708" s="179" t="s">
        <v>1153</v>
      </c>
      <c r="C708" s="179"/>
      <c r="D708" s="179"/>
      <c r="E708" s="179"/>
      <c r="F708" s="179"/>
      <c r="G708" s="179"/>
      <c r="H708" s="179"/>
      <c r="I708" s="179"/>
      <c r="J708" s="179"/>
      <c r="K708" s="179"/>
      <c r="L708" s="179"/>
      <c r="M708" s="179"/>
      <c r="N708" s="179" t="s">
        <v>223</v>
      </c>
      <c r="O708" s="179"/>
      <c r="P708" s="179"/>
      <c r="Q708" s="191">
        <v>548.54</v>
      </c>
      <c r="R708" s="174"/>
      <c r="S708" s="174"/>
      <c r="T708" s="174"/>
      <c r="U708" s="174"/>
      <c r="V708" s="174"/>
      <c r="W708" s="202">
        <v>11.44</v>
      </c>
      <c r="X708" s="174"/>
      <c r="Y708" s="174"/>
      <c r="Z708" s="174"/>
      <c r="AA708" s="174"/>
      <c r="AB708" s="174"/>
      <c r="AC708" s="201">
        <v>6275.3</v>
      </c>
      <c r="AD708" s="174"/>
      <c r="AE708" s="174"/>
    </row>
    <row r="709" spans="1:31" ht="19.350000000000001" customHeight="1" x14ac:dyDescent="0.2">
      <c r="A709" s="167" t="s">
        <v>1220</v>
      </c>
      <c r="B709" s="176" t="s">
        <v>1221</v>
      </c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7"/>
      <c r="R709" s="177"/>
      <c r="S709" s="177"/>
      <c r="T709" s="177"/>
      <c r="U709" s="177"/>
      <c r="V709" s="177"/>
      <c r="W709" s="177"/>
      <c r="X709" s="177"/>
      <c r="Y709" s="177"/>
      <c r="Z709" s="177"/>
      <c r="AA709" s="177"/>
      <c r="AB709" s="177"/>
      <c r="AC709" s="194">
        <v>44869.98</v>
      </c>
      <c r="AD709" s="177"/>
      <c r="AE709" s="177"/>
    </row>
    <row r="710" spans="1:31" ht="9.75" customHeight="1" x14ac:dyDescent="0.2">
      <c r="A710" s="167" t="s">
        <v>1222</v>
      </c>
      <c r="B710" s="176" t="s">
        <v>1100</v>
      </c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7"/>
      <c r="R710" s="177"/>
      <c r="S710" s="177"/>
      <c r="T710" s="177"/>
      <c r="U710" s="177"/>
      <c r="V710" s="177"/>
      <c r="W710" s="177"/>
      <c r="X710" s="177"/>
      <c r="Y710" s="177"/>
      <c r="Z710" s="177"/>
      <c r="AA710" s="177"/>
      <c r="AB710" s="177"/>
      <c r="AC710" s="206">
        <v>1075.81</v>
      </c>
      <c r="AD710" s="177"/>
      <c r="AE710" s="177"/>
    </row>
    <row r="711" spans="1:31" ht="9.75" customHeight="1" x14ac:dyDescent="0.2">
      <c r="A711" s="168" t="s">
        <v>1223</v>
      </c>
      <c r="B711" s="179" t="s">
        <v>1159</v>
      </c>
      <c r="C711" s="179"/>
      <c r="D711" s="179"/>
      <c r="E711" s="179"/>
      <c r="F711" s="179"/>
      <c r="G711" s="179"/>
      <c r="H711" s="179"/>
      <c r="I711" s="179"/>
      <c r="J711" s="179"/>
      <c r="K711" s="179"/>
      <c r="L711" s="179"/>
      <c r="M711" s="179"/>
      <c r="N711" s="179" t="s">
        <v>220</v>
      </c>
      <c r="O711" s="179"/>
      <c r="P711" s="179"/>
      <c r="Q711" s="202">
        <v>25.46</v>
      </c>
      <c r="R711" s="174"/>
      <c r="S711" s="174"/>
      <c r="T711" s="174"/>
      <c r="U711" s="174"/>
      <c r="V711" s="174"/>
      <c r="W711" s="202">
        <v>40.1633</v>
      </c>
      <c r="X711" s="174"/>
      <c r="Y711" s="174"/>
      <c r="Z711" s="174"/>
      <c r="AA711" s="174"/>
      <c r="AB711" s="174"/>
      <c r="AC711" s="201">
        <v>1022.56</v>
      </c>
      <c r="AD711" s="174"/>
      <c r="AE711" s="174"/>
    </row>
    <row r="712" spans="1:31" ht="19.350000000000001" customHeight="1" x14ac:dyDescent="0.2">
      <c r="A712" s="168" t="s">
        <v>1224</v>
      </c>
      <c r="B712" s="179" t="s">
        <v>1104</v>
      </c>
      <c r="C712" s="179"/>
      <c r="D712" s="179"/>
      <c r="E712" s="179"/>
      <c r="F712" s="179"/>
      <c r="G712" s="179"/>
      <c r="H712" s="179"/>
      <c r="I712" s="179"/>
      <c r="J712" s="179"/>
      <c r="K712" s="179"/>
      <c r="L712" s="179"/>
      <c r="M712" s="179"/>
      <c r="N712" s="179" t="s">
        <v>223</v>
      </c>
      <c r="O712" s="179"/>
      <c r="P712" s="179"/>
      <c r="Q712" s="202">
        <v>13.25</v>
      </c>
      <c r="R712" s="174"/>
      <c r="S712" s="174"/>
      <c r="T712" s="174"/>
      <c r="U712" s="174"/>
      <c r="V712" s="174"/>
      <c r="W712" s="180">
        <v>4.0189000000000004</v>
      </c>
      <c r="X712" s="174"/>
      <c r="Y712" s="174"/>
      <c r="Z712" s="174"/>
      <c r="AA712" s="174"/>
      <c r="AB712" s="174"/>
      <c r="AC712" s="208">
        <v>53.25</v>
      </c>
      <c r="AD712" s="174"/>
      <c r="AE712" s="174"/>
    </row>
    <row r="713" spans="1:31" ht="9.6" customHeight="1" x14ac:dyDescent="0.2">
      <c r="A713" s="167" t="s">
        <v>1225</v>
      </c>
      <c r="B713" s="176" t="s">
        <v>1106</v>
      </c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7"/>
      <c r="R713" s="177"/>
      <c r="S713" s="177"/>
      <c r="T713" s="177"/>
      <c r="U713" s="177"/>
      <c r="V713" s="177"/>
      <c r="W713" s="177"/>
      <c r="X713" s="177"/>
      <c r="Y713" s="177"/>
      <c r="Z713" s="177"/>
      <c r="AA713" s="177"/>
      <c r="AB713" s="177"/>
      <c r="AC713" s="206">
        <v>9877.2000000000007</v>
      </c>
      <c r="AD713" s="177"/>
      <c r="AE713" s="177"/>
    </row>
    <row r="714" spans="1:31" ht="9.75" customHeight="1" x14ac:dyDescent="0.2">
      <c r="A714" s="168" t="s">
        <v>1226</v>
      </c>
      <c r="B714" s="179" t="s">
        <v>1108</v>
      </c>
      <c r="C714" s="179"/>
      <c r="D714" s="179"/>
      <c r="E714" s="179"/>
      <c r="F714" s="179"/>
      <c r="G714" s="179"/>
      <c r="H714" s="179"/>
      <c r="I714" s="179"/>
      <c r="J714" s="179"/>
      <c r="K714" s="179"/>
      <c r="L714" s="179"/>
      <c r="M714" s="179"/>
      <c r="N714" s="179" t="s">
        <v>220</v>
      </c>
      <c r="O714" s="179"/>
      <c r="P714" s="179"/>
      <c r="Q714" s="173">
        <v>1007.39</v>
      </c>
      <c r="R714" s="174"/>
      <c r="S714" s="174"/>
      <c r="T714" s="174"/>
      <c r="U714" s="174"/>
      <c r="V714" s="174"/>
      <c r="W714" s="180">
        <v>1.1193</v>
      </c>
      <c r="X714" s="174"/>
      <c r="Y714" s="174"/>
      <c r="Z714" s="174"/>
      <c r="AA714" s="174"/>
      <c r="AB714" s="174"/>
      <c r="AC714" s="201">
        <v>1127.57</v>
      </c>
      <c r="AD714" s="174"/>
      <c r="AE714" s="174"/>
    </row>
    <row r="715" spans="1:31" ht="9.6" customHeight="1" x14ac:dyDescent="0.2">
      <c r="A715" s="168" t="s">
        <v>1227</v>
      </c>
      <c r="B715" s="179" t="s">
        <v>1110</v>
      </c>
      <c r="C715" s="179"/>
      <c r="D715" s="179"/>
      <c r="E715" s="179"/>
      <c r="F715" s="179"/>
      <c r="G715" s="179"/>
      <c r="H715" s="179"/>
      <c r="I715" s="179"/>
      <c r="J715" s="179"/>
      <c r="K715" s="179"/>
      <c r="L715" s="179"/>
      <c r="M715" s="179"/>
      <c r="N715" s="179" t="s">
        <v>220</v>
      </c>
      <c r="O715" s="179"/>
      <c r="P715" s="179"/>
      <c r="Q715" s="191">
        <v>623.02</v>
      </c>
      <c r="R715" s="174"/>
      <c r="S715" s="174"/>
      <c r="T715" s="174"/>
      <c r="U715" s="174"/>
      <c r="V715" s="174"/>
      <c r="W715" s="180">
        <v>3.2002000000000002</v>
      </c>
      <c r="X715" s="174"/>
      <c r="Y715" s="174"/>
      <c r="Z715" s="174"/>
      <c r="AA715" s="174"/>
      <c r="AB715" s="174"/>
      <c r="AC715" s="201">
        <v>1993.79</v>
      </c>
      <c r="AD715" s="174"/>
      <c r="AE715" s="174"/>
    </row>
    <row r="716" spans="1:31" ht="9.6" customHeight="1" x14ac:dyDescent="0.2">
      <c r="A716" s="168" t="s">
        <v>1228</v>
      </c>
      <c r="B716" s="179" t="s">
        <v>1112</v>
      </c>
      <c r="C716" s="179"/>
      <c r="D716" s="179"/>
      <c r="E716" s="179"/>
      <c r="F716" s="179"/>
      <c r="G716" s="179"/>
      <c r="H716" s="179"/>
      <c r="I716" s="179"/>
      <c r="J716" s="179"/>
      <c r="K716" s="179"/>
      <c r="L716" s="179"/>
      <c r="M716" s="179"/>
      <c r="N716" s="179" t="s">
        <v>220</v>
      </c>
      <c r="O716" s="179"/>
      <c r="P716" s="179"/>
      <c r="Q716" s="202">
        <v>36.08</v>
      </c>
      <c r="R716" s="174"/>
      <c r="S716" s="174"/>
      <c r="T716" s="174"/>
      <c r="U716" s="174"/>
      <c r="V716" s="174"/>
      <c r="W716" s="180">
        <v>4.4957000000000003</v>
      </c>
      <c r="X716" s="174"/>
      <c r="Y716" s="174"/>
      <c r="Z716" s="174"/>
      <c r="AA716" s="174"/>
      <c r="AB716" s="174"/>
      <c r="AC716" s="205">
        <v>162.19999999999999</v>
      </c>
      <c r="AD716" s="174"/>
      <c r="AE716" s="174"/>
    </row>
    <row r="717" spans="1:31" ht="19.350000000000001" customHeight="1" x14ac:dyDescent="0.2">
      <c r="A717" s="168" t="s">
        <v>1229</v>
      </c>
      <c r="B717" s="179" t="s">
        <v>1114</v>
      </c>
      <c r="C717" s="179"/>
      <c r="D717" s="179"/>
      <c r="E717" s="179"/>
      <c r="F717" s="179"/>
      <c r="G717" s="179"/>
      <c r="H717" s="179"/>
      <c r="I717" s="179"/>
      <c r="J717" s="179"/>
      <c r="K717" s="179"/>
      <c r="L717" s="179"/>
      <c r="M717" s="179"/>
      <c r="N717" s="179" t="s">
        <v>220</v>
      </c>
      <c r="O717" s="179"/>
      <c r="P717" s="179"/>
      <c r="Q717" s="191">
        <v>639.89</v>
      </c>
      <c r="R717" s="174"/>
      <c r="S717" s="174"/>
      <c r="T717" s="174"/>
      <c r="U717" s="174"/>
      <c r="V717" s="174"/>
      <c r="W717" s="180">
        <v>6.7436999999999996</v>
      </c>
      <c r="X717" s="174"/>
      <c r="Y717" s="174"/>
      <c r="Z717" s="174"/>
      <c r="AA717" s="174"/>
      <c r="AB717" s="174"/>
      <c r="AC717" s="201">
        <v>4315.2299999999996</v>
      </c>
      <c r="AD717" s="174"/>
      <c r="AE717" s="174"/>
    </row>
    <row r="718" spans="1:31" ht="19.350000000000001" customHeight="1" x14ac:dyDescent="0.2">
      <c r="A718" s="168" t="s">
        <v>1230</v>
      </c>
      <c r="B718" s="179" t="s">
        <v>1116</v>
      </c>
      <c r="C718" s="179"/>
      <c r="D718" s="179"/>
      <c r="E718" s="179"/>
      <c r="F718" s="179"/>
      <c r="G718" s="179"/>
      <c r="H718" s="179"/>
      <c r="I718" s="179"/>
      <c r="J718" s="179"/>
      <c r="K718" s="179"/>
      <c r="L718" s="179"/>
      <c r="M718" s="179"/>
      <c r="N718" s="179" t="s">
        <v>220</v>
      </c>
      <c r="O718" s="179"/>
      <c r="P718" s="179"/>
      <c r="Q718" s="191">
        <v>331.42</v>
      </c>
      <c r="R718" s="174"/>
      <c r="S718" s="174"/>
      <c r="T718" s="174"/>
      <c r="U718" s="174"/>
      <c r="V718" s="174"/>
      <c r="W718" s="180">
        <v>6.8746999999999998</v>
      </c>
      <c r="X718" s="174"/>
      <c r="Y718" s="174"/>
      <c r="Z718" s="174"/>
      <c r="AA718" s="174"/>
      <c r="AB718" s="174"/>
      <c r="AC718" s="201">
        <v>2278.41</v>
      </c>
      <c r="AD718" s="174"/>
      <c r="AE718" s="174"/>
    </row>
    <row r="719" spans="1:31" ht="9.6" customHeight="1" x14ac:dyDescent="0.2">
      <c r="A719" s="167" t="s">
        <v>1231</v>
      </c>
      <c r="B719" s="176" t="s">
        <v>1120</v>
      </c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7"/>
      <c r="R719" s="177"/>
      <c r="S719" s="177"/>
      <c r="T719" s="177"/>
      <c r="U719" s="177"/>
      <c r="V719" s="177"/>
      <c r="W719" s="177"/>
      <c r="X719" s="177"/>
      <c r="Y719" s="177"/>
      <c r="Z719" s="177"/>
      <c r="AA719" s="177"/>
      <c r="AB719" s="177"/>
      <c r="AC719" s="206">
        <v>1383.96</v>
      </c>
      <c r="AD719" s="177"/>
      <c r="AE719" s="177"/>
    </row>
    <row r="720" spans="1:31" ht="9.75" customHeight="1" x14ac:dyDescent="0.2">
      <c r="A720" s="168" t="s">
        <v>1232</v>
      </c>
      <c r="B720" s="179" t="s">
        <v>1122</v>
      </c>
      <c r="C720" s="179"/>
      <c r="D720" s="179"/>
      <c r="E720" s="179"/>
      <c r="F720" s="179"/>
      <c r="G720" s="179"/>
      <c r="H720" s="179"/>
      <c r="I720" s="179"/>
      <c r="J720" s="179"/>
      <c r="K720" s="179"/>
      <c r="L720" s="179"/>
      <c r="M720" s="179"/>
      <c r="N720" s="179" t="s">
        <v>220</v>
      </c>
      <c r="O720" s="179"/>
      <c r="P720" s="179"/>
      <c r="Q720" s="191">
        <v>160.44</v>
      </c>
      <c r="R720" s="174"/>
      <c r="S720" s="174"/>
      <c r="T720" s="174"/>
      <c r="U720" s="174"/>
      <c r="V720" s="174"/>
      <c r="W720" s="180">
        <v>1.2398</v>
      </c>
      <c r="X720" s="174"/>
      <c r="Y720" s="174"/>
      <c r="Z720" s="174"/>
      <c r="AA720" s="174"/>
      <c r="AB720" s="174"/>
      <c r="AC720" s="205">
        <v>198.91</v>
      </c>
      <c r="AD720" s="174"/>
      <c r="AE720" s="174"/>
    </row>
    <row r="721" spans="1:31" ht="9.6" customHeight="1" x14ac:dyDescent="0.2">
      <c r="A721" s="168" t="s">
        <v>1233</v>
      </c>
      <c r="B721" s="179" t="s">
        <v>1124</v>
      </c>
      <c r="C721" s="179"/>
      <c r="D721" s="179"/>
      <c r="E721" s="179"/>
      <c r="F721" s="179"/>
      <c r="G721" s="179"/>
      <c r="H721" s="179"/>
      <c r="I721" s="179"/>
      <c r="J721" s="179"/>
      <c r="K721" s="179"/>
      <c r="L721" s="179"/>
      <c r="M721" s="179"/>
      <c r="N721" s="179" t="s">
        <v>220</v>
      </c>
      <c r="O721" s="179"/>
      <c r="P721" s="179"/>
      <c r="Q721" s="202">
        <v>26.74</v>
      </c>
      <c r="R721" s="174"/>
      <c r="S721" s="174"/>
      <c r="T721" s="174"/>
      <c r="U721" s="174"/>
      <c r="V721" s="174"/>
      <c r="W721" s="180">
        <v>3.2002000000000002</v>
      </c>
      <c r="X721" s="174"/>
      <c r="Y721" s="174"/>
      <c r="Z721" s="174"/>
      <c r="AA721" s="174"/>
      <c r="AB721" s="174"/>
      <c r="AC721" s="208">
        <v>85.57</v>
      </c>
      <c r="AD721" s="174"/>
      <c r="AE721" s="174"/>
    </row>
    <row r="722" spans="1:31" ht="9.6" customHeight="1" x14ac:dyDescent="0.2">
      <c r="A722" s="168" t="s">
        <v>1234</v>
      </c>
      <c r="B722" s="179" t="s">
        <v>1126</v>
      </c>
      <c r="C722" s="179"/>
      <c r="D722" s="179"/>
      <c r="E722" s="179"/>
      <c r="F722" s="179"/>
      <c r="G722" s="179"/>
      <c r="H722" s="179"/>
      <c r="I722" s="179"/>
      <c r="J722" s="179"/>
      <c r="K722" s="179"/>
      <c r="L722" s="179"/>
      <c r="M722" s="179"/>
      <c r="N722" s="179" t="s">
        <v>220</v>
      </c>
      <c r="O722" s="179"/>
      <c r="P722" s="179"/>
      <c r="Q722" s="202">
        <v>26.74</v>
      </c>
      <c r="R722" s="174"/>
      <c r="S722" s="174"/>
      <c r="T722" s="174"/>
      <c r="U722" s="174"/>
      <c r="V722" s="174"/>
      <c r="W722" s="180">
        <v>6.7436999999999996</v>
      </c>
      <c r="X722" s="174"/>
      <c r="Y722" s="174"/>
      <c r="Z722" s="174"/>
      <c r="AA722" s="174"/>
      <c r="AB722" s="174"/>
      <c r="AC722" s="205">
        <v>180.33</v>
      </c>
      <c r="AD722" s="174"/>
      <c r="AE722" s="174"/>
    </row>
    <row r="723" spans="1:31" ht="19.350000000000001" customHeight="1" x14ac:dyDescent="0.2">
      <c r="A723" s="168" t="s">
        <v>1235</v>
      </c>
      <c r="B723" s="179" t="s">
        <v>1130</v>
      </c>
      <c r="C723" s="179"/>
      <c r="D723" s="179"/>
      <c r="E723" s="179"/>
      <c r="F723" s="179"/>
      <c r="G723" s="179"/>
      <c r="H723" s="179"/>
      <c r="I723" s="179"/>
      <c r="J723" s="179"/>
      <c r="K723" s="179"/>
      <c r="L723" s="179"/>
      <c r="M723" s="179"/>
      <c r="N723" s="179" t="s">
        <v>220</v>
      </c>
      <c r="O723" s="179"/>
      <c r="P723" s="179"/>
      <c r="Q723" s="191">
        <v>133.69999999999999</v>
      </c>
      <c r="R723" s="174"/>
      <c r="S723" s="174"/>
      <c r="T723" s="174"/>
      <c r="U723" s="174"/>
      <c r="V723" s="174"/>
      <c r="W723" s="180">
        <v>6.8746999999999998</v>
      </c>
      <c r="X723" s="174"/>
      <c r="Y723" s="174"/>
      <c r="Z723" s="174"/>
      <c r="AA723" s="174"/>
      <c r="AB723" s="174"/>
      <c r="AC723" s="205">
        <v>919.15</v>
      </c>
      <c r="AD723" s="174"/>
      <c r="AE723" s="174"/>
    </row>
    <row r="724" spans="1:31" ht="9.6" customHeight="1" x14ac:dyDescent="0.2">
      <c r="A724" s="167" t="s">
        <v>1236</v>
      </c>
      <c r="B724" s="176" t="s">
        <v>693</v>
      </c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7"/>
      <c r="R724" s="177"/>
      <c r="S724" s="177"/>
      <c r="T724" s="177"/>
      <c r="U724" s="177"/>
      <c r="V724" s="177"/>
      <c r="W724" s="177"/>
      <c r="X724" s="177"/>
      <c r="Y724" s="177"/>
      <c r="Z724" s="177"/>
      <c r="AA724" s="177"/>
      <c r="AB724" s="177"/>
      <c r="AC724" s="194">
        <v>32533.01</v>
      </c>
      <c r="AD724" s="177"/>
      <c r="AE724" s="177"/>
    </row>
    <row r="725" spans="1:31" ht="9.75" customHeight="1" x14ac:dyDescent="0.2">
      <c r="A725" s="168" t="s">
        <v>1237</v>
      </c>
      <c r="B725" s="179" t="s">
        <v>1137</v>
      </c>
      <c r="C725" s="179"/>
      <c r="D725" s="179"/>
      <c r="E725" s="179"/>
      <c r="F725" s="179"/>
      <c r="G725" s="179"/>
      <c r="H725" s="179"/>
      <c r="I725" s="179"/>
      <c r="J725" s="179"/>
      <c r="K725" s="179"/>
      <c r="L725" s="179"/>
      <c r="M725" s="179"/>
      <c r="N725" s="179" t="s">
        <v>220</v>
      </c>
      <c r="O725" s="179"/>
      <c r="P725" s="179"/>
      <c r="Q725" s="202">
        <v>25.46</v>
      </c>
      <c r="R725" s="174"/>
      <c r="S725" s="174"/>
      <c r="T725" s="174"/>
      <c r="U725" s="174"/>
      <c r="V725" s="174"/>
      <c r="W725" s="202">
        <v>47</v>
      </c>
      <c r="X725" s="174"/>
      <c r="Y725" s="174"/>
      <c r="Z725" s="174"/>
      <c r="AA725" s="174"/>
      <c r="AB725" s="174"/>
      <c r="AC725" s="201">
        <v>1196.6199999999999</v>
      </c>
      <c r="AD725" s="174"/>
      <c r="AE725" s="174"/>
    </row>
    <row r="726" spans="1:31" ht="19.350000000000001" customHeight="1" x14ac:dyDescent="0.2">
      <c r="A726" s="168" t="s">
        <v>1238</v>
      </c>
      <c r="B726" s="179" t="s">
        <v>1139</v>
      </c>
      <c r="C726" s="179"/>
      <c r="D726" s="179"/>
      <c r="E726" s="179"/>
      <c r="F726" s="179"/>
      <c r="G726" s="179"/>
      <c r="H726" s="179"/>
      <c r="I726" s="179"/>
      <c r="J726" s="179"/>
      <c r="K726" s="179"/>
      <c r="L726" s="179"/>
      <c r="M726" s="179"/>
      <c r="N726" s="179" t="s">
        <v>223</v>
      </c>
      <c r="O726" s="179"/>
      <c r="P726" s="179"/>
      <c r="Q726" s="202">
        <v>13.25</v>
      </c>
      <c r="R726" s="174"/>
      <c r="S726" s="174"/>
      <c r="T726" s="174"/>
      <c r="U726" s="174"/>
      <c r="V726" s="174"/>
      <c r="W726" s="180">
        <v>9.4</v>
      </c>
      <c r="X726" s="174"/>
      <c r="Y726" s="174"/>
      <c r="Z726" s="174"/>
      <c r="AA726" s="174"/>
      <c r="AB726" s="174"/>
      <c r="AC726" s="205">
        <v>124.55</v>
      </c>
      <c r="AD726" s="174"/>
      <c r="AE726" s="174"/>
    </row>
    <row r="727" spans="1:31" ht="9.6" customHeight="1" x14ac:dyDescent="0.2">
      <c r="A727" s="168" t="s">
        <v>1239</v>
      </c>
      <c r="B727" s="179" t="s">
        <v>1141</v>
      </c>
      <c r="C727" s="179"/>
      <c r="D727" s="179"/>
      <c r="E727" s="179"/>
      <c r="F727" s="179"/>
      <c r="G727" s="179"/>
      <c r="H727" s="179"/>
      <c r="I727" s="179"/>
      <c r="J727" s="179"/>
      <c r="K727" s="179"/>
      <c r="L727" s="179"/>
      <c r="M727" s="179"/>
      <c r="N727" s="179" t="s">
        <v>220</v>
      </c>
      <c r="O727" s="179"/>
      <c r="P727" s="179"/>
      <c r="Q727" s="202">
        <v>36.08</v>
      </c>
      <c r="R727" s="174"/>
      <c r="S727" s="174"/>
      <c r="T727" s="174"/>
      <c r="U727" s="174"/>
      <c r="V727" s="174"/>
      <c r="W727" s="202">
        <v>16</v>
      </c>
      <c r="X727" s="174"/>
      <c r="Y727" s="174"/>
      <c r="Z727" s="174"/>
      <c r="AA727" s="174"/>
      <c r="AB727" s="174"/>
      <c r="AC727" s="205">
        <v>577.28</v>
      </c>
      <c r="AD727" s="174"/>
      <c r="AE727" s="174"/>
    </row>
    <row r="728" spans="1:31" ht="9.6" customHeight="1" x14ac:dyDescent="0.2">
      <c r="A728" s="168" t="s">
        <v>1240</v>
      </c>
      <c r="B728" s="179" t="s">
        <v>1143</v>
      </c>
      <c r="C728" s="179"/>
      <c r="D728" s="179"/>
      <c r="E728" s="179"/>
      <c r="F728" s="179"/>
      <c r="G728" s="179"/>
      <c r="H728" s="179"/>
      <c r="I728" s="179"/>
      <c r="J728" s="179"/>
      <c r="K728" s="179"/>
      <c r="L728" s="179"/>
      <c r="M728" s="179"/>
      <c r="N728" s="179" t="s">
        <v>220</v>
      </c>
      <c r="O728" s="179"/>
      <c r="P728" s="179"/>
      <c r="Q728" s="191">
        <v>639.89</v>
      </c>
      <c r="R728" s="174"/>
      <c r="S728" s="174"/>
      <c r="T728" s="174"/>
      <c r="U728" s="174"/>
      <c r="V728" s="174"/>
      <c r="W728" s="202">
        <v>32</v>
      </c>
      <c r="X728" s="174"/>
      <c r="Y728" s="174"/>
      <c r="Z728" s="174"/>
      <c r="AA728" s="174"/>
      <c r="AB728" s="174"/>
      <c r="AC728" s="196">
        <v>20476.48</v>
      </c>
      <c r="AD728" s="174"/>
      <c r="AE728" s="174"/>
    </row>
    <row r="729" spans="1:31" ht="9.6" customHeight="1" x14ac:dyDescent="0.2">
      <c r="A729" s="168" t="s">
        <v>1241</v>
      </c>
      <c r="B729" s="179" t="s">
        <v>1145</v>
      </c>
      <c r="C729" s="179"/>
      <c r="D729" s="179"/>
      <c r="E729" s="179"/>
      <c r="F729" s="179"/>
      <c r="G729" s="179"/>
      <c r="H729" s="179"/>
      <c r="I729" s="179"/>
      <c r="J729" s="179"/>
      <c r="K729" s="179"/>
      <c r="L729" s="179"/>
      <c r="M729" s="179"/>
      <c r="N729" s="179" t="s">
        <v>220</v>
      </c>
      <c r="O729" s="179"/>
      <c r="P729" s="179"/>
      <c r="Q729" s="202">
        <v>26.74</v>
      </c>
      <c r="R729" s="174"/>
      <c r="S729" s="174"/>
      <c r="T729" s="174"/>
      <c r="U729" s="174"/>
      <c r="V729" s="174"/>
      <c r="W729" s="202">
        <v>32</v>
      </c>
      <c r="X729" s="174"/>
      <c r="Y729" s="174"/>
      <c r="Z729" s="174"/>
      <c r="AA729" s="174"/>
      <c r="AB729" s="174"/>
      <c r="AC729" s="205">
        <v>855.68</v>
      </c>
      <c r="AD729" s="174"/>
      <c r="AE729" s="174"/>
    </row>
    <row r="730" spans="1:31" ht="9.6" customHeight="1" x14ac:dyDescent="0.2">
      <c r="A730" s="168" t="s">
        <v>1242</v>
      </c>
      <c r="B730" s="179" t="s">
        <v>1147</v>
      </c>
      <c r="C730" s="179"/>
      <c r="D730" s="179"/>
      <c r="E730" s="179"/>
      <c r="F730" s="179"/>
      <c r="G730" s="179"/>
      <c r="H730" s="179"/>
      <c r="I730" s="179"/>
      <c r="J730" s="179"/>
      <c r="K730" s="179"/>
      <c r="L730" s="179"/>
      <c r="M730" s="179"/>
      <c r="N730" s="179" t="s">
        <v>220</v>
      </c>
      <c r="O730" s="179"/>
      <c r="P730" s="179"/>
      <c r="Q730" s="191">
        <v>331.42</v>
      </c>
      <c r="R730" s="174"/>
      <c r="S730" s="174"/>
      <c r="T730" s="174"/>
      <c r="U730" s="174"/>
      <c r="V730" s="174"/>
      <c r="W730" s="202">
        <v>20</v>
      </c>
      <c r="X730" s="174"/>
      <c r="Y730" s="174"/>
      <c r="Z730" s="174"/>
      <c r="AA730" s="174"/>
      <c r="AB730" s="174"/>
      <c r="AC730" s="201">
        <v>6628.4</v>
      </c>
      <c r="AD730" s="174"/>
      <c r="AE730" s="174"/>
    </row>
    <row r="731" spans="1:31" ht="19.350000000000001" customHeight="1" x14ac:dyDescent="0.2">
      <c r="A731" s="168" t="s">
        <v>1243</v>
      </c>
      <c r="B731" s="179" t="s">
        <v>1151</v>
      </c>
      <c r="C731" s="179"/>
      <c r="D731" s="179"/>
      <c r="E731" s="179"/>
      <c r="F731" s="179"/>
      <c r="G731" s="179"/>
      <c r="H731" s="179"/>
      <c r="I731" s="179"/>
      <c r="J731" s="179"/>
      <c r="K731" s="179"/>
      <c r="L731" s="179"/>
      <c r="M731" s="179"/>
      <c r="N731" s="179" t="s">
        <v>220</v>
      </c>
      <c r="O731" s="179"/>
      <c r="P731" s="179"/>
      <c r="Q731" s="191">
        <v>133.69999999999999</v>
      </c>
      <c r="R731" s="174"/>
      <c r="S731" s="174"/>
      <c r="T731" s="174"/>
      <c r="U731" s="174"/>
      <c r="V731" s="174"/>
      <c r="W731" s="202">
        <v>20</v>
      </c>
      <c r="X731" s="174"/>
      <c r="Y731" s="174"/>
      <c r="Z731" s="174"/>
      <c r="AA731" s="174"/>
      <c r="AB731" s="174"/>
      <c r="AC731" s="201">
        <v>2674</v>
      </c>
      <c r="AD731" s="174"/>
      <c r="AE731" s="174"/>
    </row>
    <row r="732" spans="1:31" ht="9.6" customHeight="1" x14ac:dyDescent="0.2">
      <c r="A732" s="167" t="s">
        <v>1244</v>
      </c>
      <c r="B732" s="176" t="s">
        <v>1245</v>
      </c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7"/>
      <c r="R732" s="177"/>
      <c r="S732" s="177"/>
      <c r="T732" s="177"/>
      <c r="U732" s="177"/>
      <c r="V732" s="177"/>
      <c r="W732" s="177"/>
      <c r="X732" s="177"/>
      <c r="Y732" s="177"/>
      <c r="Z732" s="177"/>
      <c r="AA732" s="177"/>
      <c r="AB732" s="177"/>
      <c r="AC732" s="178">
        <v>1005480.56</v>
      </c>
      <c r="AD732" s="177"/>
      <c r="AE732" s="177"/>
    </row>
    <row r="733" spans="1:31" ht="9.75" customHeight="1" x14ac:dyDescent="0.2">
      <c r="A733" s="167" t="s">
        <v>1246</v>
      </c>
      <c r="B733" s="176" t="s">
        <v>1106</v>
      </c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7"/>
      <c r="R733" s="177"/>
      <c r="S733" s="177"/>
      <c r="T733" s="177"/>
      <c r="U733" s="177"/>
      <c r="V733" s="177"/>
      <c r="W733" s="177"/>
      <c r="X733" s="177"/>
      <c r="Y733" s="177"/>
      <c r="Z733" s="177"/>
      <c r="AA733" s="177"/>
      <c r="AB733" s="177"/>
      <c r="AC733" s="198">
        <v>623612.76</v>
      </c>
      <c r="AD733" s="177"/>
      <c r="AE733" s="177"/>
    </row>
    <row r="734" spans="1:31" ht="9.75" customHeight="1" x14ac:dyDescent="0.2">
      <c r="A734" s="168" t="s">
        <v>1247</v>
      </c>
      <c r="B734" s="179" t="s">
        <v>1248</v>
      </c>
      <c r="C734" s="179"/>
      <c r="D734" s="179"/>
      <c r="E734" s="179"/>
      <c r="F734" s="179"/>
      <c r="G734" s="179"/>
      <c r="H734" s="179"/>
      <c r="I734" s="179"/>
      <c r="J734" s="179"/>
      <c r="K734" s="179"/>
      <c r="L734" s="179"/>
      <c r="M734" s="179"/>
      <c r="N734" s="179" t="s">
        <v>220</v>
      </c>
      <c r="O734" s="179"/>
      <c r="P734" s="179"/>
      <c r="Q734" s="173">
        <v>5634.37</v>
      </c>
      <c r="R734" s="174"/>
      <c r="S734" s="174"/>
      <c r="T734" s="174"/>
      <c r="U734" s="174"/>
      <c r="V734" s="174"/>
      <c r="W734" s="191">
        <v>106.9783</v>
      </c>
      <c r="X734" s="174"/>
      <c r="Y734" s="174"/>
      <c r="Z734" s="174"/>
      <c r="AA734" s="174"/>
      <c r="AB734" s="174"/>
      <c r="AC734" s="200">
        <v>602755.31999999995</v>
      </c>
      <c r="AD734" s="174"/>
      <c r="AE734" s="174"/>
    </row>
    <row r="735" spans="1:31" ht="9.6" customHeight="1" x14ac:dyDescent="0.2">
      <c r="A735" s="168" t="s">
        <v>1249</v>
      </c>
      <c r="B735" s="179" t="s">
        <v>1250</v>
      </c>
      <c r="C735" s="179"/>
      <c r="D735" s="179"/>
      <c r="E735" s="179"/>
      <c r="F735" s="179"/>
      <c r="G735" s="179"/>
      <c r="H735" s="179"/>
      <c r="I735" s="179"/>
      <c r="J735" s="179"/>
      <c r="K735" s="179"/>
      <c r="L735" s="179"/>
      <c r="M735" s="179"/>
      <c r="N735" s="179" t="s">
        <v>220</v>
      </c>
      <c r="O735" s="179"/>
      <c r="P735" s="179"/>
      <c r="Q735" s="173">
        <v>2225.54</v>
      </c>
      <c r="R735" s="174"/>
      <c r="S735" s="174"/>
      <c r="T735" s="174"/>
      <c r="U735" s="174"/>
      <c r="V735" s="174"/>
      <c r="W735" s="180">
        <v>1.4637</v>
      </c>
      <c r="X735" s="174"/>
      <c r="Y735" s="174"/>
      <c r="Z735" s="174"/>
      <c r="AA735" s="174"/>
      <c r="AB735" s="174"/>
      <c r="AC735" s="201">
        <v>3257.52</v>
      </c>
      <c r="AD735" s="174"/>
      <c r="AE735" s="174"/>
    </row>
    <row r="736" spans="1:31" ht="9.6" customHeight="1" x14ac:dyDescent="0.2">
      <c r="A736" s="168" t="s">
        <v>1251</v>
      </c>
      <c r="B736" s="179" t="s">
        <v>1252</v>
      </c>
      <c r="C736" s="179"/>
      <c r="D736" s="179"/>
      <c r="E736" s="179"/>
      <c r="F736" s="179"/>
      <c r="G736" s="179"/>
      <c r="H736" s="179"/>
      <c r="I736" s="179"/>
      <c r="J736" s="179"/>
      <c r="K736" s="179"/>
      <c r="L736" s="179"/>
      <c r="M736" s="179"/>
      <c r="N736" s="179" t="s">
        <v>220</v>
      </c>
      <c r="O736" s="179"/>
      <c r="P736" s="179"/>
      <c r="Q736" s="202">
        <v>27.8</v>
      </c>
      <c r="R736" s="174"/>
      <c r="S736" s="174"/>
      <c r="T736" s="174"/>
      <c r="U736" s="174"/>
      <c r="V736" s="174"/>
      <c r="W736" s="180">
        <v>5.976</v>
      </c>
      <c r="X736" s="174"/>
      <c r="Y736" s="174"/>
      <c r="Z736" s="174"/>
      <c r="AA736" s="174"/>
      <c r="AB736" s="174"/>
      <c r="AC736" s="205">
        <v>166.13</v>
      </c>
      <c r="AD736" s="174"/>
      <c r="AE736" s="174"/>
    </row>
    <row r="737" spans="1:31" ht="19.350000000000001" customHeight="1" x14ac:dyDescent="0.2">
      <c r="A737" s="168" t="s">
        <v>1253</v>
      </c>
      <c r="B737" s="179" t="s">
        <v>1254</v>
      </c>
      <c r="C737" s="179"/>
      <c r="D737" s="179"/>
      <c r="E737" s="179"/>
      <c r="F737" s="179"/>
      <c r="G737" s="179"/>
      <c r="H737" s="179"/>
      <c r="I737" s="179"/>
      <c r="J737" s="179"/>
      <c r="K737" s="179"/>
      <c r="L737" s="179"/>
      <c r="M737" s="179"/>
      <c r="N737" s="179" t="s">
        <v>220</v>
      </c>
      <c r="O737" s="179"/>
      <c r="P737" s="179"/>
      <c r="Q737" s="173">
        <v>2197.7399999999998</v>
      </c>
      <c r="R737" s="174"/>
      <c r="S737" s="174"/>
      <c r="T737" s="174"/>
      <c r="U737" s="174"/>
      <c r="V737" s="174"/>
      <c r="W737" s="180">
        <v>7.9325999999999999</v>
      </c>
      <c r="X737" s="174"/>
      <c r="Y737" s="174"/>
      <c r="Z737" s="174"/>
      <c r="AA737" s="174"/>
      <c r="AB737" s="174"/>
      <c r="AC737" s="196">
        <v>17433.79</v>
      </c>
      <c r="AD737" s="174"/>
      <c r="AE737" s="174"/>
    </row>
    <row r="738" spans="1:31" ht="9.6" customHeight="1" x14ac:dyDescent="0.2">
      <c r="A738" s="167" t="s">
        <v>1255</v>
      </c>
      <c r="B738" s="176" t="s">
        <v>693</v>
      </c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7"/>
      <c r="R738" s="177"/>
      <c r="S738" s="177"/>
      <c r="T738" s="177"/>
      <c r="U738" s="177"/>
      <c r="V738" s="177"/>
      <c r="W738" s="177"/>
      <c r="X738" s="177"/>
      <c r="Y738" s="177"/>
      <c r="Z738" s="177"/>
      <c r="AA738" s="177"/>
      <c r="AB738" s="177"/>
      <c r="AC738" s="198">
        <v>381867.8</v>
      </c>
      <c r="AD738" s="177"/>
      <c r="AE738" s="177"/>
    </row>
    <row r="739" spans="1:31" ht="9.75" customHeight="1" x14ac:dyDescent="0.2">
      <c r="A739" s="168" t="s">
        <v>1256</v>
      </c>
      <c r="B739" s="179" t="s">
        <v>1257</v>
      </c>
      <c r="C739" s="179"/>
      <c r="D739" s="179"/>
      <c r="E739" s="179"/>
      <c r="F739" s="179"/>
      <c r="G739" s="179"/>
      <c r="H739" s="179"/>
      <c r="I739" s="179"/>
      <c r="J739" s="179"/>
      <c r="K739" s="179"/>
      <c r="L739" s="179"/>
      <c r="M739" s="179"/>
      <c r="N739" s="179" t="s">
        <v>220</v>
      </c>
      <c r="O739" s="179"/>
      <c r="P739" s="179"/>
      <c r="Q739" s="173">
        <v>5634.37</v>
      </c>
      <c r="R739" s="174"/>
      <c r="S739" s="174"/>
      <c r="T739" s="174"/>
      <c r="U739" s="174"/>
      <c r="V739" s="174"/>
      <c r="W739" s="202">
        <v>50</v>
      </c>
      <c r="X739" s="174"/>
      <c r="Y739" s="174"/>
      <c r="Z739" s="174"/>
      <c r="AA739" s="174"/>
      <c r="AB739" s="174"/>
      <c r="AC739" s="200">
        <v>281718.5</v>
      </c>
      <c r="AD739" s="174"/>
      <c r="AE739" s="174"/>
    </row>
    <row r="740" spans="1:31" ht="9.6" customHeight="1" x14ac:dyDescent="0.2">
      <c r="A740" s="168" t="s">
        <v>1258</v>
      </c>
      <c r="B740" s="179" t="s">
        <v>1259</v>
      </c>
      <c r="C740" s="179"/>
      <c r="D740" s="179"/>
      <c r="E740" s="179"/>
      <c r="F740" s="179"/>
      <c r="G740" s="179"/>
      <c r="H740" s="179"/>
      <c r="I740" s="179"/>
      <c r="J740" s="179"/>
      <c r="K740" s="179"/>
      <c r="L740" s="179"/>
      <c r="M740" s="179"/>
      <c r="N740" s="179" t="s">
        <v>220</v>
      </c>
      <c r="O740" s="179"/>
      <c r="P740" s="179"/>
      <c r="Q740" s="202">
        <v>27.8</v>
      </c>
      <c r="R740" s="174"/>
      <c r="S740" s="174"/>
      <c r="T740" s="174"/>
      <c r="U740" s="174"/>
      <c r="V740" s="174"/>
      <c r="W740" s="202">
        <v>45</v>
      </c>
      <c r="X740" s="174"/>
      <c r="Y740" s="174"/>
      <c r="Z740" s="174"/>
      <c r="AA740" s="174"/>
      <c r="AB740" s="174"/>
      <c r="AC740" s="201">
        <v>1251</v>
      </c>
      <c r="AD740" s="174"/>
      <c r="AE740" s="174"/>
    </row>
    <row r="741" spans="1:31" ht="9.6" customHeight="1" x14ac:dyDescent="0.2">
      <c r="A741" s="168" t="s">
        <v>1260</v>
      </c>
      <c r="B741" s="179" t="s">
        <v>1261</v>
      </c>
      <c r="C741" s="179"/>
      <c r="D741" s="179"/>
      <c r="E741" s="179"/>
      <c r="F741" s="179"/>
      <c r="G741" s="179"/>
      <c r="H741" s="179"/>
      <c r="I741" s="179"/>
      <c r="J741" s="179"/>
      <c r="K741" s="179"/>
      <c r="L741" s="179"/>
      <c r="M741" s="179"/>
      <c r="N741" s="179" t="s">
        <v>220</v>
      </c>
      <c r="O741" s="179"/>
      <c r="P741" s="179"/>
      <c r="Q741" s="173">
        <v>2197.7399999999998</v>
      </c>
      <c r="R741" s="174"/>
      <c r="S741" s="174"/>
      <c r="T741" s="174"/>
      <c r="U741" s="174"/>
      <c r="V741" s="174"/>
      <c r="W741" s="202">
        <v>45</v>
      </c>
      <c r="X741" s="174"/>
      <c r="Y741" s="174"/>
      <c r="Z741" s="174"/>
      <c r="AA741" s="174"/>
      <c r="AB741" s="174"/>
      <c r="AC741" s="196">
        <v>98898.3</v>
      </c>
      <c r="AD741" s="174"/>
      <c r="AE741" s="174"/>
    </row>
    <row r="742" spans="1:31" ht="9.6" customHeight="1" x14ac:dyDescent="0.2">
      <c r="A742" s="167" t="s">
        <v>1262</v>
      </c>
      <c r="B742" s="176" t="s">
        <v>1263</v>
      </c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7"/>
      <c r="R742" s="177"/>
      <c r="S742" s="177"/>
      <c r="T742" s="177"/>
      <c r="U742" s="177"/>
      <c r="V742" s="177"/>
      <c r="W742" s="177"/>
      <c r="X742" s="177"/>
      <c r="Y742" s="177"/>
      <c r="Z742" s="177"/>
      <c r="AA742" s="177"/>
      <c r="AB742" s="177"/>
      <c r="AC742" s="197">
        <v>39012238.640000001</v>
      </c>
      <c r="AD742" s="177"/>
      <c r="AE742" s="177"/>
    </row>
    <row r="743" spans="1:31" ht="9.75" customHeight="1" x14ac:dyDescent="0.2">
      <c r="A743" s="167" t="s">
        <v>1264</v>
      </c>
      <c r="B743" s="176" t="s">
        <v>1265</v>
      </c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7"/>
      <c r="R743" s="177"/>
      <c r="S743" s="177"/>
      <c r="T743" s="177"/>
      <c r="U743" s="177"/>
      <c r="V743" s="177"/>
      <c r="W743" s="177"/>
      <c r="X743" s="177"/>
      <c r="Y743" s="177"/>
      <c r="Z743" s="177"/>
      <c r="AA743" s="177"/>
      <c r="AB743" s="177"/>
      <c r="AC743" s="197">
        <v>15634763.279999999</v>
      </c>
      <c r="AD743" s="177"/>
      <c r="AE743" s="177"/>
    </row>
    <row r="744" spans="1:31" ht="9.75" customHeight="1" x14ac:dyDescent="0.2">
      <c r="A744" s="167" t="s">
        <v>1266</v>
      </c>
      <c r="B744" s="176" t="s">
        <v>1267</v>
      </c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7"/>
      <c r="R744" s="177"/>
      <c r="S744" s="177"/>
      <c r="T744" s="177"/>
      <c r="U744" s="177"/>
      <c r="V744" s="177"/>
      <c r="W744" s="177"/>
      <c r="X744" s="177"/>
      <c r="Y744" s="177"/>
      <c r="Z744" s="177"/>
      <c r="AA744" s="177"/>
      <c r="AB744" s="177"/>
      <c r="AC744" s="178">
        <v>8800350.7699999996</v>
      </c>
      <c r="AD744" s="177"/>
      <c r="AE744" s="177"/>
    </row>
    <row r="745" spans="1:31" ht="9.75" customHeight="1" x14ac:dyDescent="0.2">
      <c r="A745" s="168" t="s">
        <v>1268</v>
      </c>
      <c r="B745" s="179" t="s">
        <v>1269</v>
      </c>
      <c r="C745" s="179"/>
      <c r="D745" s="179"/>
      <c r="E745" s="179"/>
      <c r="F745" s="179"/>
      <c r="G745" s="179"/>
      <c r="H745" s="179"/>
      <c r="I745" s="179"/>
      <c r="J745" s="179"/>
      <c r="K745" s="179"/>
      <c r="L745" s="179"/>
      <c r="M745" s="179"/>
      <c r="N745" s="179" t="s">
        <v>220</v>
      </c>
      <c r="O745" s="179"/>
      <c r="P745" s="179"/>
      <c r="Q745" s="191">
        <v>497.01</v>
      </c>
      <c r="R745" s="174"/>
      <c r="S745" s="174"/>
      <c r="T745" s="174"/>
      <c r="U745" s="174"/>
      <c r="V745" s="174"/>
      <c r="W745" s="173">
        <v>1682.9893999999999</v>
      </c>
      <c r="X745" s="174"/>
      <c r="Y745" s="174"/>
      <c r="Z745" s="174"/>
      <c r="AA745" s="174"/>
      <c r="AB745" s="174"/>
      <c r="AC745" s="200">
        <v>836462.56</v>
      </c>
      <c r="AD745" s="174"/>
      <c r="AE745" s="174"/>
    </row>
    <row r="746" spans="1:31" ht="9.6" customHeight="1" x14ac:dyDescent="0.2">
      <c r="A746" s="168" t="s">
        <v>1270</v>
      </c>
      <c r="B746" s="179" t="s">
        <v>1271</v>
      </c>
      <c r="C746" s="179"/>
      <c r="D746" s="179"/>
      <c r="E746" s="179"/>
      <c r="F746" s="179"/>
      <c r="G746" s="179"/>
      <c r="H746" s="179"/>
      <c r="I746" s="179"/>
      <c r="J746" s="179"/>
      <c r="K746" s="179"/>
      <c r="L746" s="179"/>
      <c r="M746" s="179"/>
      <c r="N746" s="179" t="s">
        <v>220</v>
      </c>
      <c r="O746" s="179"/>
      <c r="P746" s="179"/>
      <c r="Q746" s="191">
        <v>771.97</v>
      </c>
      <c r="R746" s="174"/>
      <c r="S746" s="174"/>
      <c r="T746" s="174"/>
      <c r="U746" s="174"/>
      <c r="V746" s="174"/>
      <c r="W746" s="173">
        <v>1772</v>
      </c>
      <c r="X746" s="174"/>
      <c r="Y746" s="174"/>
      <c r="Z746" s="174"/>
      <c r="AA746" s="174"/>
      <c r="AB746" s="174"/>
      <c r="AC746" s="175">
        <v>1367930.84</v>
      </c>
      <c r="AD746" s="174"/>
      <c r="AE746" s="174"/>
    </row>
    <row r="747" spans="1:31" ht="9.6" customHeight="1" x14ac:dyDescent="0.2">
      <c r="A747" s="168" t="s">
        <v>1272</v>
      </c>
      <c r="B747" s="179" t="s">
        <v>1273</v>
      </c>
      <c r="C747" s="179"/>
      <c r="D747" s="179"/>
      <c r="E747" s="179"/>
      <c r="F747" s="179"/>
      <c r="G747" s="179"/>
      <c r="H747" s="179"/>
      <c r="I747" s="179"/>
      <c r="J747" s="179"/>
      <c r="K747" s="179"/>
      <c r="L747" s="179"/>
      <c r="M747" s="179"/>
      <c r="N747" s="179" t="s">
        <v>220</v>
      </c>
      <c r="O747" s="179"/>
      <c r="P747" s="179"/>
      <c r="Q747" s="202">
        <v>82.97</v>
      </c>
      <c r="R747" s="174"/>
      <c r="S747" s="174"/>
      <c r="T747" s="174"/>
      <c r="U747" s="174"/>
      <c r="V747" s="174"/>
      <c r="W747" s="191">
        <v>985.2</v>
      </c>
      <c r="X747" s="174"/>
      <c r="Y747" s="174"/>
      <c r="Z747" s="174"/>
      <c r="AA747" s="174"/>
      <c r="AB747" s="174"/>
      <c r="AC747" s="196">
        <v>81742.039999999994</v>
      </c>
      <c r="AD747" s="174"/>
      <c r="AE747" s="174"/>
    </row>
    <row r="748" spans="1:31" ht="9.6" customHeight="1" x14ac:dyDescent="0.2">
      <c r="A748" s="168" t="s">
        <v>1274</v>
      </c>
      <c r="B748" s="179" t="s">
        <v>1275</v>
      </c>
      <c r="C748" s="179"/>
      <c r="D748" s="179"/>
      <c r="E748" s="179"/>
      <c r="F748" s="179"/>
      <c r="G748" s="179"/>
      <c r="H748" s="179"/>
      <c r="I748" s="179"/>
      <c r="J748" s="179"/>
      <c r="K748" s="179"/>
      <c r="L748" s="179"/>
      <c r="M748" s="179"/>
      <c r="N748" s="179" t="s">
        <v>220</v>
      </c>
      <c r="O748" s="179"/>
      <c r="P748" s="179"/>
      <c r="Q748" s="173">
        <v>2910.86</v>
      </c>
      <c r="R748" s="174"/>
      <c r="S748" s="174"/>
      <c r="T748" s="174"/>
      <c r="U748" s="174"/>
      <c r="V748" s="174"/>
      <c r="W748" s="173">
        <v>1856.2370000000001</v>
      </c>
      <c r="X748" s="174"/>
      <c r="Y748" s="174"/>
      <c r="Z748" s="174"/>
      <c r="AA748" s="174"/>
      <c r="AB748" s="174"/>
      <c r="AC748" s="175">
        <v>5403246.0300000003</v>
      </c>
      <c r="AD748" s="174"/>
      <c r="AE748" s="174"/>
    </row>
    <row r="749" spans="1:31" ht="19.350000000000001" customHeight="1" x14ac:dyDescent="0.2">
      <c r="A749" s="168" t="s">
        <v>1276</v>
      </c>
      <c r="B749" s="179" t="s">
        <v>1277</v>
      </c>
      <c r="C749" s="179"/>
      <c r="D749" s="179"/>
      <c r="E749" s="179"/>
      <c r="F749" s="179"/>
      <c r="G749" s="179"/>
      <c r="H749" s="179"/>
      <c r="I749" s="179"/>
      <c r="J749" s="179"/>
      <c r="K749" s="179"/>
      <c r="L749" s="179"/>
      <c r="M749" s="179"/>
      <c r="N749" s="179" t="s">
        <v>220</v>
      </c>
      <c r="O749" s="179"/>
      <c r="P749" s="179"/>
      <c r="Q749" s="191">
        <v>930.83</v>
      </c>
      <c r="R749" s="174"/>
      <c r="S749" s="174"/>
      <c r="T749" s="174"/>
      <c r="U749" s="174"/>
      <c r="V749" s="174"/>
      <c r="W749" s="191">
        <v>637.23699999999997</v>
      </c>
      <c r="X749" s="174"/>
      <c r="Y749" s="174"/>
      <c r="Z749" s="174"/>
      <c r="AA749" s="174"/>
      <c r="AB749" s="174"/>
      <c r="AC749" s="200">
        <v>593159.31999999995</v>
      </c>
      <c r="AD749" s="174"/>
      <c r="AE749" s="174"/>
    </row>
    <row r="750" spans="1:31" ht="9.6" customHeight="1" x14ac:dyDescent="0.2">
      <c r="A750" s="168" t="s">
        <v>1278</v>
      </c>
      <c r="B750" s="179" t="s">
        <v>1279</v>
      </c>
      <c r="C750" s="179"/>
      <c r="D750" s="179"/>
      <c r="E750" s="179"/>
      <c r="F750" s="179"/>
      <c r="G750" s="179"/>
      <c r="H750" s="179"/>
      <c r="I750" s="179"/>
      <c r="J750" s="179"/>
      <c r="K750" s="179"/>
      <c r="L750" s="179"/>
      <c r="M750" s="179"/>
      <c r="N750" s="179" t="s">
        <v>220</v>
      </c>
      <c r="O750" s="179"/>
      <c r="P750" s="179"/>
      <c r="Q750" s="202">
        <v>86.49</v>
      </c>
      <c r="R750" s="174"/>
      <c r="S750" s="174"/>
      <c r="T750" s="174"/>
      <c r="U750" s="174"/>
      <c r="V750" s="174"/>
      <c r="W750" s="191">
        <v>142.38239999999999</v>
      </c>
      <c r="X750" s="174"/>
      <c r="Y750" s="174"/>
      <c r="Z750" s="174"/>
      <c r="AA750" s="174"/>
      <c r="AB750" s="174"/>
      <c r="AC750" s="196">
        <v>12314.65</v>
      </c>
      <c r="AD750" s="174"/>
      <c r="AE750" s="174"/>
    </row>
    <row r="751" spans="1:31" ht="9.6" customHeight="1" x14ac:dyDescent="0.2">
      <c r="A751" s="168" t="s">
        <v>1280</v>
      </c>
      <c r="B751" s="179" t="s">
        <v>1281</v>
      </c>
      <c r="C751" s="179"/>
      <c r="D751" s="179"/>
      <c r="E751" s="179"/>
      <c r="F751" s="179"/>
      <c r="G751" s="179"/>
      <c r="H751" s="179"/>
      <c r="I751" s="179"/>
      <c r="J751" s="179"/>
      <c r="K751" s="179"/>
      <c r="L751" s="179"/>
      <c r="M751" s="179"/>
      <c r="N751" s="179" t="s">
        <v>220</v>
      </c>
      <c r="O751" s="179"/>
      <c r="P751" s="179"/>
      <c r="Q751" s="191">
        <v>149.94</v>
      </c>
      <c r="R751" s="174"/>
      <c r="S751" s="174"/>
      <c r="T751" s="174"/>
      <c r="U751" s="174"/>
      <c r="V751" s="174"/>
      <c r="W751" s="191">
        <v>377</v>
      </c>
      <c r="X751" s="174"/>
      <c r="Y751" s="174"/>
      <c r="Z751" s="174"/>
      <c r="AA751" s="174"/>
      <c r="AB751" s="174"/>
      <c r="AC751" s="196">
        <v>56527.38</v>
      </c>
      <c r="AD751" s="174"/>
      <c r="AE751" s="174"/>
    </row>
    <row r="752" spans="1:31" ht="19.350000000000001" customHeight="1" x14ac:dyDescent="0.2">
      <c r="A752" s="168" t="s">
        <v>1282</v>
      </c>
      <c r="B752" s="179" t="s">
        <v>1283</v>
      </c>
      <c r="C752" s="179"/>
      <c r="D752" s="179"/>
      <c r="E752" s="179"/>
      <c r="F752" s="179"/>
      <c r="G752" s="179"/>
      <c r="H752" s="179"/>
      <c r="I752" s="179"/>
      <c r="J752" s="179"/>
      <c r="K752" s="179"/>
      <c r="L752" s="179"/>
      <c r="M752" s="179"/>
      <c r="N752" s="179" t="s">
        <v>220</v>
      </c>
      <c r="O752" s="179"/>
      <c r="P752" s="179"/>
      <c r="Q752" s="191">
        <v>233.92</v>
      </c>
      <c r="R752" s="174"/>
      <c r="S752" s="174"/>
      <c r="T752" s="174"/>
      <c r="U752" s="174"/>
      <c r="V752" s="174"/>
      <c r="W752" s="191">
        <v>377</v>
      </c>
      <c r="X752" s="174"/>
      <c r="Y752" s="174"/>
      <c r="Z752" s="174"/>
      <c r="AA752" s="174"/>
      <c r="AB752" s="174"/>
      <c r="AC752" s="196">
        <v>88187.839999999997</v>
      </c>
      <c r="AD752" s="174"/>
      <c r="AE752" s="174"/>
    </row>
    <row r="753" spans="1:33" ht="9.6" customHeight="1" x14ac:dyDescent="0.2">
      <c r="A753" s="168" t="s">
        <v>1284</v>
      </c>
      <c r="B753" s="179" t="s">
        <v>1285</v>
      </c>
      <c r="C753" s="179"/>
      <c r="D753" s="179"/>
      <c r="E753" s="179"/>
      <c r="F753" s="179"/>
      <c r="G753" s="179"/>
      <c r="H753" s="179"/>
      <c r="I753" s="179"/>
      <c r="J753" s="179"/>
      <c r="K753" s="179"/>
      <c r="L753" s="179"/>
      <c r="M753" s="179"/>
      <c r="N753" s="179" t="s">
        <v>220</v>
      </c>
      <c r="O753" s="179"/>
      <c r="P753" s="179"/>
      <c r="Q753" s="191">
        <v>124.28</v>
      </c>
      <c r="R753" s="174"/>
      <c r="S753" s="174"/>
      <c r="T753" s="174"/>
      <c r="U753" s="174"/>
      <c r="V753" s="174"/>
      <c r="W753" s="173">
        <v>1103.1500000000001</v>
      </c>
      <c r="X753" s="174"/>
      <c r="Y753" s="174"/>
      <c r="Z753" s="174"/>
      <c r="AA753" s="174"/>
      <c r="AB753" s="174"/>
      <c r="AC753" s="200">
        <v>137099.48000000001</v>
      </c>
      <c r="AD753" s="174"/>
      <c r="AE753" s="174"/>
    </row>
    <row r="754" spans="1:33" ht="19.350000000000001" customHeight="1" x14ac:dyDescent="0.2">
      <c r="A754" s="168" t="s">
        <v>1286</v>
      </c>
      <c r="B754" s="179" t="s">
        <v>1287</v>
      </c>
      <c r="C754" s="179"/>
      <c r="D754" s="179"/>
      <c r="E754" s="179"/>
      <c r="F754" s="179"/>
      <c r="G754" s="179"/>
      <c r="H754" s="179"/>
      <c r="I754" s="179"/>
      <c r="J754" s="179"/>
      <c r="K754" s="179"/>
      <c r="L754" s="179"/>
      <c r="M754" s="179"/>
      <c r="N754" s="179" t="s">
        <v>223</v>
      </c>
      <c r="O754" s="179"/>
      <c r="P754" s="179"/>
      <c r="Q754" s="202">
        <v>12.51</v>
      </c>
      <c r="R754" s="174"/>
      <c r="S754" s="174"/>
      <c r="T754" s="174"/>
      <c r="U754" s="174"/>
      <c r="V754" s="174"/>
      <c r="W754" s="202">
        <v>19.923400000000001</v>
      </c>
      <c r="X754" s="174"/>
      <c r="Y754" s="174"/>
      <c r="Z754" s="174"/>
      <c r="AA754" s="174"/>
      <c r="AB754" s="174"/>
      <c r="AC754" s="205">
        <v>249.24</v>
      </c>
      <c r="AD754" s="174"/>
      <c r="AE754" s="174"/>
    </row>
    <row r="755" spans="1:33" ht="19.350000000000001" customHeight="1" x14ac:dyDescent="0.2">
      <c r="A755" s="168" t="s">
        <v>1288</v>
      </c>
      <c r="B755" s="179" t="s">
        <v>1289</v>
      </c>
      <c r="C755" s="179"/>
      <c r="D755" s="179"/>
      <c r="E755" s="179"/>
      <c r="F755" s="179"/>
      <c r="G755" s="179"/>
      <c r="H755" s="179"/>
      <c r="I755" s="179"/>
      <c r="J755" s="179"/>
      <c r="K755" s="179"/>
      <c r="L755" s="179"/>
      <c r="M755" s="179"/>
      <c r="N755" s="179" t="s">
        <v>223</v>
      </c>
      <c r="O755" s="179"/>
      <c r="P755" s="179"/>
      <c r="Q755" s="191">
        <v>201.46</v>
      </c>
      <c r="R755" s="174"/>
      <c r="S755" s="174"/>
      <c r="T755" s="174"/>
      <c r="U755" s="174"/>
      <c r="V755" s="174"/>
      <c r="W755" s="191">
        <v>355.52199999999999</v>
      </c>
      <c r="X755" s="174"/>
      <c r="Y755" s="174"/>
      <c r="Z755" s="174"/>
      <c r="AA755" s="174"/>
      <c r="AB755" s="174"/>
      <c r="AC755" s="196">
        <v>71623.460000000006</v>
      </c>
      <c r="AD755" s="174"/>
      <c r="AE755" s="174"/>
    </row>
    <row r="756" spans="1:33" ht="19.350000000000001" customHeight="1" x14ac:dyDescent="0.2">
      <c r="A756" s="168" t="s">
        <v>1290</v>
      </c>
      <c r="B756" s="179" t="s">
        <v>1291</v>
      </c>
      <c r="C756" s="179"/>
      <c r="D756" s="179"/>
      <c r="E756" s="179"/>
      <c r="F756" s="179"/>
      <c r="G756" s="179"/>
      <c r="H756" s="179"/>
      <c r="I756" s="179"/>
      <c r="J756" s="179"/>
      <c r="K756" s="179"/>
      <c r="L756" s="179"/>
      <c r="M756" s="179"/>
      <c r="N756" s="179" t="s">
        <v>223</v>
      </c>
      <c r="O756" s="179"/>
      <c r="P756" s="179"/>
      <c r="Q756" s="202">
        <v>89.23</v>
      </c>
      <c r="R756" s="174"/>
      <c r="S756" s="174"/>
      <c r="T756" s="174"/>
      <c r="U756" s="174"/>
      <c r="V756" s="174"/>
      <c r="W756" s="173">
        <v>1411.5219999999999</v>
      </c>
      <c r="X756" s="174"/>
      <c r="Y756" s="174"/>
      <c r="Z756" s="174"/>
      <c r="AA756" s="174"/>
      <c r="AB756" s="174"/>
      <c r="AC756" s="200">
        <v>125950.11</v>
      </c>
      <c r="AD756" s="174"/>
      <c r="AE756" s="174"/>
    </row>
    <row r="757" spans="1:33" ht="19.350000000000001" customHeight="1" x14ac:dyDescent="0.2">
      <c r="A757" s="168" t="s">
        <v>1292</v>
      </c>
      <c r="B757" s="179" t="s">
        <v>1293</v>
      </c>
      <c r="C757" s="179"/>
      <c r="D757" s="179"/>
      <c r="E757" s="179"/>
      <c r="F757" s="179"/>
      <c r="G757" s="179"/>
      <c r="H757" s="179"/>
      <c r="I757" s="179"/>
      <c r="J757" s="179"/>
      <c r="K757" s="179"/>
      <c r="L757" s="179"/>
      <c r="M757" s="179"/>
      <c r="N757" s="179" t="s">
        <v>223</v>
      </c>
      <c r="O757" s="179"/>
      <c r="P757" s="179"/>
      <c r="Q757" s="191">
        <v>392.97</v>
      </c>
      <c r="R757" s="174"/>
      <c r="S757" s="174"/>
      <c r="T757" s="174"/>
      <c r="U757" s="174"/>
      <c r="V757" s="174"/>
      <c r="W757" s="202">
        <v>65.801000000000002</v>
      </c>
      <c r="X757" s="174"/>
      <c r="Y757" s="174"/>
      <c r="Z757" s="174"/>
      <c r="AA757" s="174"/>
      <c r="AB757" s="174"/>
      <c r="AC757" s="196">
        <v>25857.82</v>
      </c>
      <c r="AD757" s="174"/>
      <c r="AE757" s="174"/>
    </row>
    <row r="758" spans="1:33" ht="9.6" customHeight="1" x14ac:dyDescent="0.2">
      <c r="A758" s="167" t="s">
        <v>1294</v>
      </c>
      <c r="B758" s="176" t="s">
        <v>1295</v>
      </c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7"/>
      <c r="R758" s="177"/>
      <c r="S758" s="177"/>
      <c r="T758" s="177"/>
      <c r="U758" s="177"/>
      <c r="V758" s="177"/>
      <c r="W758" s="177"/>
      <c r="X758" s="177"/>
      <c r="Y758" s="177"/>
      <c r="Z758" s="177"/>
      <c r="AA758" s="177"/>
      <c r="AB758" s="177"/>
      <c r="AC758" s="198">
        <v>280206.96999999997</v>
      </c>
      <c r="AD758" s="177"/>
      <c r="AE758" s="177"/>
    </row>
    <row r="759" spans="1:33" ht="9.75" customHeight="1" x14ac:dyDescent="0.2">
      <c r="A759" s="168" t="s">
        <v>1296</v>
      </c>
      <c r="B759" s="179" t="s">
        <v>1297</v>
      </c>
      <c r="C759" s="179"/>
      <c r="D759" s="179"/>
      <c r="E759" s="179"/>
      <c r="F759" s="179"/>
      <c r="G759" s="179"/>
      <c r="H759" s="179"/>
      <c r="I759" s="179"/>
      <c r="J759" s="179"/>
      <c r="K759" s="179"/>
      <c r="L759" s="179"/>
      <c r="M759" s="179"/>
      <c r="N759" s="179" t="s">
        <v>220</v>
      </c>
      <c r="O759" s="179"/>
      <c r="P759" s="179"/>
      <c r="Q759" s="202">
        <v>59.42</v>
      </c>
      <c r="R759" s="174"/>
      <c r="S759" s="174"/>
      <c r="T759" s="174"/>
      <c r="U759" s="174"/>
      <c r="V759" s="174"/>
      <c r="W759" s="173">
        <v>2247.9499999999998</v>
      </c>
      <c r="X759" s="174"/>
      <c r="Y759" s="174"/>
      <c r="Z759" s="174"/>
      <c r="AA759" s="174"/>
      <c r="AB759" s="174"/>
      <c r="AC759" s="200">
        <v>133573.19</v>
      </c>
      <c r="AD759" s="174"/>
      <c r="AE759" s="174"/>
    </row>
    <row r="760" spans="1:33" ht="19.350000000000001" customHeight="1" x14ac:dyDescent="0.2">
      <c r="A760" s="168" t="s">
        <v>1298</v>
      </c>
      <c r="B760" s="179" t="s">
        <v>1299</v>
      </c>
      <c r="C760" s="179"/>
      <c r="D760" s="179"/>
      <c r="E760" s="179"/>
      <c r="F760" s="179"/>
      <c r="G760" s="179"/>
      <c r="H760" s="179"/>
      <c r="I760" s="179"/>
      <c r="J760" s="179"/>
      <c r="K760" s="179"/>
      <c r="L760" s="179"/>
      <c r="M760" s="179"/>
      <c r="N760" s="179" t="s">
        <v>220</v>
      </c>
      <c r="O760" s="179"/>
      <c r="P760" s="179"/>
      <c r="Q760" s="202">
        <v>65.23</v>
      </c>
      <c r="R760" s="174"/>
      <c r="S760" s="174"/>
      <c r="T760" s="174"/>
      <c r="U760" s="174"/>
      <c r="V760" s="174"/>
      <c r="W760" s="173">
        <v>2247.9499999999998</v>
      </c>
      <c r="X760" s="174"/>
      <c r="Y760" s="174"/>
      <c r="Z760" s="174"/>
      <c r="AA760" s="174"/>
      <c r="AB760" s="174"/>
      <c r="AC760" s="200">
        <v>146633.78</v>
      </c>
      <c r="AD760" s="174"/>
      <c r="AE760" s="174"/>
    </row>
    <row r="761" spans="1:33" ht="19.350000000000001" customHeight="1" x14ac:dyDescent="0.2">
      <c r="A761" s="167" t="s">
        <v>1300</v>
      </c>
      <c r="B761" s="176" t="s">
        <v>1301</v>
      </c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7"/>
      <c r="R761" s="177"/>
      <c r="S761" s="177"/>
      <c r="T761" s="177"/>
      <c r="U761" s="177"/>
      <c r="V761" s="177"/>
      <c r="W761" s="177"/>
      <c r="X761" s="177"/>
      <c r="Y761" s="177"/>
      <c r="Z761" s="177"/>
      <c r="AA761" s="177"/>
      <c r="AB761" s="177"/>
      <c r="AC761" s="178">
        <v>1207763.6599999999</v>
      </c>
      <c r="AD761" s="177"/>
      <c r="AE761" s="177"/>
    </row>
    <row r="762" spans="1:33" ht="9.75" customHeight="1" x14ac:dyDescent="0.2">
      <c r="A762" s="168" t="s">
        <v>1302</v>
      </c>
      <c r="B762" s="179" t="s">
        <v>1303</v>
      </c>
      <c r="C762" s="179"/>
      <c r="D762" s="179"/>
      <c r="E762" s="179"/>
      <c r="F762" s="179"/>
      <c r="G762" s="179"/>
      <c r="H762" s="179"/>
      <c r="I762" s="179"/>
      <c r="J762" s="179"/>
      <c r="K762" s="179"/>
      <c r="L762" s="179"/>
      <c r="M762" s="179"/>
      <c r="N762" s="179" t="s">
        <v>220</v>
      </c>
      <c r="O762" s="179"/>
      <c r="P762" s="179"/>
      <c r="Q762" s="191">
        <v>612.13</v>
      </c>
      <c r="R762" s="174"/>
      <c r="S762" s="174"/>
      <c r="T762" s="174"/>
      <c r="U762" s="174"/>
      <c r="V762" s="174"/>
      <c r="W762" s="173">
        <v>1856.2370000000001</v>
      </c>
      <c r="X762" s="174"/>
      <c r="Y762" s="174"/>
      <c r="Z762" s="174"/>
      <c r="AA762" s="174"/>
      <c r="AB762" s="174"/>
      <c r="AC762" s="175">
        <v>1136258.3500000001</v>
      </c>
      <c r="AD762" s="174"/>
      <c r="AE762" s="174"/>
    </row>
    <row r="763" spans="1:33" ht="19.350000000000001" customHeight="1" x14ac:dyDescent="0.2">
      <c r="A763" s="168" t="s">
        <v>1304</v>
      </c>
      <c r="B763" s="179" t="s">
        <v>1273</v>
      </c>
      <c r="C763" s="179"/>
      <c r="D763" s="179"/>
      <c r="E763" s="179"/>
      <c r="F763" s="179"/>
      <c r="G763" s="179"/>
      <c r="H763" s="179"/>
      <c r="I763" s="179"/>
      <c r="J763" s="179"/>
      <c r="K763" s="179"/>
      <c r="L763" s="179"/>
      <c r="M763" s="179"/>
      <c r="N763" s="179" t="s">
        <v>220</v>
      </c>
      <c r="O763" s="179"/>
      <c r="P763" s="179"/>
      <c r="Q763" s="202">
        <v>70.95</v>
      </c>
      <c r="R763" s="174"/>
      <c r="S763" s="174"/>
      <c r="T763" s="174"/>
      <c r="U763" s="174"/>
      <c r="V763" s="174"/>
      <c r="W763" s="191">
        <v>985.2</v>
      </c>
      <c r="X763" s="174"/>
      <c r="Y763" s="174"/>
      <c r="Z763" s="174"/>
      <c r="AA763" s="174"/>
      <c r="AB763" s="174"/>
      <c r="AC763" s="196">
        <v>69899.94</v>
      </c>
      <c r="AD763" s="174"/>
      <c r="AE763" s="174"/>
    </row>
    <row r="764" spans="1:33" ht="9.6" customHeight="1" x14ac:dyDescent="0.2">
      <c r="A764" s="168" t="s">
        <v>1305</v>
      </c>
      <c r="B764" s="179" t="s">
        <v>1306</v>
      </c>
      <c r="C764" s="179"/>
      <c r="D764" s="179"/>
      <c r="E764" s="179"/>
      <c r="F764" s="179"/>
      <c r="G764" s="179"/>
      <c r="H764" s="179"/>
      <c r="I764" s="179"/>
      <c r="J764" s="179"/>
      <c r="K764" s="179"/>
      <c r="L764" s="179"/>
      <c r="M764" s="179"/>
      <c r="N764" s="179" t="s">
        <v>220</v>
      </c>
      <c r="O764" s="179"/>
      <c r="P764" s="179"/>
      <c r="Q764" s="202">
        <v>10.17</v>
      </c>
      <c r="R764" s="174"/>
      <c r="S764" s="174"/>
      <c r="T764" s="174"/>
      <c r="U764" s="174"/>
      <c r="V764" s="174"/>
      <c r="W764" s="191">
        <v>157.85339999999999</v>
      </c>
      <c r="X764" s="174"/>
      <c r="Y764" s="174"/>
      <c r="Z764" s="174"/>
      <c r="AA764" s="174"/>
      <c r="AB764" s="174"/>
      <c r="AC764" s="201">
        <v>1605.37</v>
      </c>
      <c r="AD764" s="174"/>
      <c r="AE764" s="174"/>
    </row>
    <row r="765" spans="1:33" ht="19.350000000000001" customHeight="1" x14ac:dyDescent="0.2">
      <c r="A765" s="167" t="s">
        <v>1307</v>
      </c>
      <c r="B765" s="176" t="s">
        <v>1308</v>
      </c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7"/>
      <c r="R765" s="177"/>
      <c r="S765" s="177"/>
      <c r="T765" s="177"/>
      <c r="U765" s="177"/>
      <c r="V765" s="177"/>
      <c r="W765" s="177"/>
      <c r="X765" s="177"/>
      <c r="Y765" s="177"/>
      <c r="Z765" s="177"/>
      <c r="AA765" s="177"/>
      <c r="AB765" s="177"/>
      <c r="AC765" s="178">
        <v>5093685.42</v>
      </c>
      <c r="AD765" s="177"/>
      <c r="AE765" s="177"/>
      <c r="AF765" s="162">
        <f>AC742-AF766</f>
        <v>26983602.129999999</v>
      </c>
      <c r="AG765" s="161" t="s">
        <v>1685</v>
      </c>
    </row>
    <row r="766" spans="1:33" ht="9.75" customHeight="1" x14ac:dyDescent="0.2">
      <c r="A766" s="168" t="s">
        <v>1309</v>
      </c>
      <c r="B766" s="179" t="s">
        <v>1310</v>
      </c>
      <c r="C766" s="179"/>
      <c r="D766" s="179"/>
      <c r="E766" s="179"/>
      <c r="F766" s="179"/>
      <c r="G766" s="179"/>
      <c r="H766" s="179"/>
      <c r="I766" s="179"/>
      <c r="J766" s="179"/>
      <c r="K766" s="179"/>
      <c r="L766" s="179"/>
      <c r="M766" s="179"/>
      <c r="N766" s="179" t="s">
        <v>220</v>
      </c>
      <c r="O766" s="179"/>
      <c r="P766" s="179"/>
      <c r="Q766" s="173">
        <v>1691.66</v>
      </c>
      <c r="R766" s="174"/>
      <c r="S766" s="174"/>
      <c r="T766" s="174"/>
      <c r="U766" s="174"/>
      <c r="V766" s="174"/>
      <c r="W766" s="173">
        <v>2410</v>
      </c>
      <c r="X766" s="174"/>
      <c r="Y766" s="174"/>
      <c r="Z766" s="174"/>
      <c r="AA766" s="174"/>
      <c r="AB766" s="174"/>
      <c r="AC766" s="175">
        <v>4076900.6</v>
      </c>
      <c r="AD766" s="174"/>
      <c r="AE766" s="174"/>
      <c r="AF766" s="162">
        <f>AC765+AC775+AC796+AC804+AC831+AC837+AC851+AC855+AC774</f>
        <v>12028636.510000002</v>
      </c>
      <c r="AG766" s="161" t="s">
        <v>1684</v>
      </c>
    </row>
    <row r="767" spans="1:33" ht="19.350000000000001" customHeight="1" x14ac:dyDescent="0.2">
      <c r="A767" s="168" t="s">
        <v>1311</v>
      </c>
      <c r="B767" s="179" t="s">
        <v>1312</v>
      </c>
      <c r="C767" s="179"/>
      <c r="D767" s="179"/>
      <c r="E767" s="179"/>
      <c r="F767" s="179"/>
      <c r="G767" s="179"/>
      <c r="H767" s="179"/>
      <c r="I767" s="179"/>
      <c r="J767" s="179"/>
      <c r="K767" s="179"/>
      <c r="L767" s="179"/>
      <c r="M767" s="179"/>
      <c r="N767" s="179" t="s">
        <v>220</v>
      </c>
      <c r="O767" s="179"/>
      <c r="P767" s="179"/>
      <c r="Q767" s="191">
        <v>486.54</v>
      </c>
      <c r="R767" s="174"/>
      <c r="S767" s="174"/>
      <c r="T767" s="174"/>
      <c r="U767" s="174"/>
      <c r="V767" s="174"/>
      <c r="W767" s="173">
        <v>1856.2370000000001</v>
      </c>
      <c r="X767" s="174"/>
      <c r="Y767" s="174"/>
      <c r="Z767" s="174"/>
      <c r="AA767" s="174"/>
      <c r="AB767" s="174"/>
      <c r="AC767" s="200">
        <v>903133.55</v>
      </c>
      <c r="AD767" s="174"/>
      <c r="AE767" s="174"/>
    </row>
    <row r="768" spans="1:33" ht="19.350000000000001" customHeight="1" x14ac:dyDescent="0.2">
      <c r="A768" s="168" t="s">
        <v>1313</v>
      </c>
      <c r="B768" s="179" t="s">
        <v>1314</v>
      </c>
      <c r="C768" s="179"/>
      <c r="D768" s="179"/>
      <c r="E768" s="179"/>
      <c r="F768" s="179"/>
      <c r="G768" s="179"/>
      <c r="H768" s="179"/>
      <c r="I768" s="179"/>
      <c r="J768" s="179"/>
      <c r="K768" s="179"/>
      <c r="L768" s="179"/>
      <c r="M768" s="179"/>
      <c r="N768" s="179" t="s">
        <v>220</v>
      </c>
      <c r="O768" s="179"/>
      <c r="P768" s="179"/>
      <c r="Q768" s="191">
        <v>276.24</v>
      </c>
      <c r="R768" s="174"/>
      <c r="S768" s="174"/>
      <c r="T768" s="174"/>
      <c r="U768" s="174"/>
      <c r="V768" s="174"/>
      <c r="W768" s="191">
        <v>411.42219999999998</v>
      </c>
      <c r="X768" s="174"/>
      <c r="Y768" s="174"/>
      <c r="Z768" s="174"/>
      <c r="AA768" s="174"/>
      <c r="AB768" s="174"/>
      <c r="AC768" s="200">
        <v>113651.27</v>
      </c>
      <c r="AD768" s="174"/>
      <c r="AE768" s="174"/>
    </row>
    <row r="769" spans="1:31" ht="19.350000000000001" customHeight="1" x14ac:dyDescent="0.2">
      <c r="A769" s="167" t="s">
        <v>1315</v>
      </c>
      <c r="B769" s="176" t="s">
        <v>1316</v>
      </c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7"/>
      <c r="R769" s="177"/>
      <c r="S769" s="177"/>
      <c r="T769" s="177"/>
      <c r="U769" s="177"/>
      <c r="V769" s="177"/>
      <c r="W769" s="177"/>
      <c r="X769" s="177"/>
      <c r="Y769" s="177"/>
      <c r="Z769" s="177"/>
      <c r="AA769" s="177"/>
      <c r="AB769" s="177"/>
      <c r="AC769" s="207">
        <v>104.19</v>
      </c>
      <c r="AD769" s="177"/>
      <c r="AE769" s="177"/>
    </row>
    <row r="770" spans="1:31" ht="9.75" customHeight="1" x14ac:dyDescent="0.2">
      <c r="A770" s="168" t="s">
        <v>1317</v>
      </c>
      <c r="B770" s="179" t="s">
        <v>1318</v>
      </c>
      <c r="C770" s="179"/>
      <c r="D770" s="179"/>
      <c r="E770" s="179"/>
      <c r="F770" s="179"/>
      <c r="G770" s="179"/>
      <c r="H770" s="179"/>
      <c r="I770" s="179"/>
      <c r="J770" s="179"/>
      <c r="K770" s="179"/>
      <c r="L770" s="179"/>
      <c r="M770" s="179"/>
      <c r="N770" s="179" t="s">
        <v>223</v>
      </c>
      <c r="O770" s="179"/>
      <c r="P770" s="179"/>
      <c r="Q770" s="180">
        <v>2.94</v>
      </c>
      <c r="R770" s="174"/>
      <c r="S770" s="174"/>
      <c r="T770" s="174"/>
      <c r="U770" s="174"/>
      <c r="V770" s="174"/>
      <c r="W770" s="202">
        <v>35.44</v>
      </c>
      <c r="X770" s="174"/>
      <c r="Y770" s="174"/>
      <c r="Z770" s="174"/>
      <c r="AA770" s="174"/>
      <c r="AB770" s="174"/>
      <c r="AC770" s="205">
        <v>104.19</v>
      </c>
      <c r="AD770" s="174"/>
      <c r="AE770" s="174"/>
    </row>
    <row r="771" spans="1:31" ht="9.6" customHeight="1" x14ac:dyDescent="0.2">
      <c r="A771" s="167" t="s">
        <v>1319</v>
      </c>
      <c r="B771" s="176" t="s">
        <v>693</v>
      </c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7"/>
      <c r="R771" s="177"/>
      <c r="S771" s="177"/>
      <c r="T771" s="177"/>
      <c r="U771" s="177"/>
      <c r="V771" s="177"/>
      <c r="W771" s="177"/>
      <c r="X771" s="177"/>
      <c r="Y771" s="177"/>
      <c r="Z771" s="177"/>
      <c r="AA771" s="177"/>
      <c r="AB771" s="177"/>
      <c r="AC771" s="198">
        <v>252652.27</v>
      </c>
      <c r="AD771" s="177"/>
      <c r="AE771" s="177"/>
    </row>
    <row r="772" spans="1:31" ht="9.75" customHeight="1" x14ac:dyDescent="0.2">
      <c r="A772" s="168" t="s">
        <v>1320</v>
      </c>
      <c r="B772" s="179" t="s">
        <v>1321</v>
      </c>
      <c r="C772" s="179"/>
      <c r="D772" s="179"/>
      <c r="E772" s="179"/>
      <c r="F772" s="179"/>
      <c r="G772" s="179"/>
      <c r="H772" s="179"/>
      <c r="I772" s="179"/>
      <c r="J772" s="179"/>
      <c r="K772" s="179"/>
      <c r="L772" s="179"/>
      <c r="M772" s="179"/>
      <c r="N772" s="179" t="s">
        <v>220</v>
      </c>
      <c r="O772" s="179"/>
      <c r="P772" s="179"/>
      <c r="Q772" s="202">
        <v>86.49</v>
      </c>
      <c r="R772" s="174"/>
      <c r="S772" s="174"/>
      <c r="T772" s="174"/>
      <c r="U772" s="174"/>
      <c r="V772" s="174"/>
      <c r="W772" s="202">
        <v>42</v>
      </c>
      <c r="X772" s="174"/>
      <c r="Y772" s="174"/>
      <c r="Z772" s="174"/>
      <c r="AA772" s="174"/>
      <c r="AB772" s="174"/>
      <c r="AC772" s="201">
        <v>3632.58</v>
      </c>
      <c r="AD772" s="174"/>
      <c r="AE772" s="174"/>
    </row>
    <row r="773" spans="1:31" ht="19.350000000000001" customHeight="1" x14ac:dyDescent="0.2">
      <c r="A773" s="168" t="s">
        <v>1322</v>
      </c>
      <c r="B773" s="179" t="s">
        <v>1323</v>
      </c>
      <c r="C773" s="179"/>
      <c r="D773" s="179"/>
      <c r="E773" s="179"/>
      <c r="F773" s="179"/>
      <c r="G773" s="179"/>
      <c r="H773" s="179"/>
      <c r="I773" s="179"/>
      <c r="J773" s="179"/>
      <c r="K773" s="179"/>
      <c r="L773" s="179"/>
      <c r="M773" s="179"/>
      <c r="N773" s="179" t="s">
        <v>220</v>
      </c>
      <c r="O773" s="179"/>
      <c r="P773" s="179"/>
      <c r="Q773" s="202">
        <v>10.17</v>
      </c>
      <c r="R773" s="174"/>
      <c r="S773" s="174"/>
      <c r="T773" s="174"/>
      <c r="U773" s="174"/>
      <c r="V773" s="174"/>
      <c r="W773" s="202">
        <v>45</v>
      </c>
      <c r="X773" s="174"/>
      <c r="Y773" s="174"/>
      <c r="Z773" s="174"/>
      <c r="AA773" s="174"/>
      <c r="AB773" s="174"/>
      <c r="AC773" s="205">
        <v>457.65</v>
      </c>
      <c r="AD773" s="174"/>
      <c r="AE773" s="174"/>
    </row>
    <row r="774" spans="1:31" ht="19.350000000000001" customHeight="1" x14ac:dyDescent="0.2">
      <c r="A774" s="168" t="s">
        <v>1324</v>
      </c>
      <c r="B774" s="179" t="s">
        <v>1325</v>
      </c>
      <c r="C774" s="179"/>
      <c r="D774" s="179"/>
      <c r="E774" s="179"/>
      <c r="F774" s="179"/>
      <c r="G774" s="179"/>
      <c r="H774" s="179"/>
      <c r="I774" s="179"/>
      <c r="J774" s="179"/>
      <c r="K774" s="179"/>
      <c r="L774" s="179"/>
      <c r="M774" s="179"/>
      <c r="N774" s="179" t="s">
        <v>220</v>
      </c>
      <c r="O774" s="179"/>
      <c r="P774" s="179"/>
      <c r="Q774" s="191">
        <v>276.24</v>
      </c>
      <c r="R774" s="174"/>
      <c r="S774" s="174"/>
      <c r="T774" s="174"/>
      <c r="U774" s="174"/>
      <c r="V774" s="174"/>
      <c r="W774" s="202">
        <v>52</v>
      </c>
      <c r="X774" s="174"/>
      <c r="Y774" s="174"/>
      <c r="Z774" s="174"/>
      <c r="AA774" s="174"/>
      <c r="AB774" s="174"/>
      <c r="AC774" s="196">
        <v>14364.48</v>
      </c>
      <c r="AD774" s="174"/>
      <c r="AE774" s="174"/>
    </row>
    <row r="775" spans="1:31" ht="19.350000000000001" customHeight="1" x14ac:dyDescent="0.2">
      <c r="A775" s="168" t="s">
        <v>1326</v>
      </c>
      <c r="B775" s="179" t="s">
        <v>1327</v>
      </c>
      <c r="C775" s="179"/>
      <c r="D775" s="179"/>
      <c r="E775" s="179"/>
      <c r="F775" s="179"/>
      <c r="G775" s="179"/>
      <c r="H775" s="179"/>
      <c r="I775" s="179"/>
      <c r="J775" s="179"/>
      <c r="K775" s="179"/>
      <c r="L775" s="179"/>
      <c r="M775" s="179"/>
      <c r="N775" s="179" t="s">
        <v>220</v>
      </c>
      <c r="O775" s="179"/>
      <c r="P775" s="179"/>
      <c r="Q775" s="191">
        <v>486.54</v>
      </c>
      <c r="R775" s="174"/>
      <c r="S775" s="174"/>
      <c r="T775" s="174"/>
      <c r="U775" s="174"/>
      <c r="V775" s="174"/>
      <c r="W775" s="202">
        <v>52</v>
      </c>
      <c r="X775" s="174"/>
      <c r="Y775" s="174"/>
      <c r="Z775" s="174"/>
      <c r="AA775" s="174"/>
      <c r="AB775" s="174"/>
      <c r="AC775" s="196">
        <v>25300.080000000002</v>
      </c>
      <c r="AD775" s="174"/>
      <c r="AE775" s="174"/>
    </row>
    <row r="776" spans="1:31" ht="9.6" customHeight="1" x14ac:dyDescent="0.2">
      <c r="A776" s="168" t="s">
        <v>1328</v>
      </c>
      <c r="B776" s="179" t="s">
        <v>1329</v>
      </c>
      <c r="C776" s="179"/>
      <c r="D776" s="179"/>
      <c r="E776" s="179"/>
      <c r="F776" s="179"/>
      <c r="G776" s="179"/>
      <c r="H776" s="179"/>
      <c r="I776" s="179"/>
      <c r="J776" s="179"/>
      <c r="K776" s="179"/>
      <c r="L776" s="179"/>
      <c r="M776" s="179"/>
      <c r="N776" s="179" t="s">
        <v>223</v>
      </c>
      <c r="O776" s="179"/>
      <c r="P776" s="179"/>
      <c r="Q776" s="202">
        <v>12.51</v>
      </c>
      <c r="R776" s="174"/>
      <c r="S776" s="174"/>
      <c r="T776" s="174"/>
      <c r="U776" s="174"/>
      <c r="V776" s="174"/>
      <c r="W776" s="202">
        <v>22</v>
      </c>
      <c r="X776" s="174"/>
      <c r="Y776" s="174"/>
      <c r="Z776" s="174"/>
      <c r="AA776" s="174"/>
      <c r="AB776" s="174"/>
      <c r="AC776" s="205">
        <v>275.22000000000003</v>
      </c>
      <c r="AD776" s="174"/>
      <c r="AE776" s="174"/>
    </row>
    <row r="777" spans="1:31" ht="9.6" customHeight="1" x14ac:dyDescent="0.2">
      <c r="A777" s="168" t="s">
        <v>1330</v>
      </c>
      <c r="B777" s="179" t="s">
        <v>1331</v>
      </c>
      <c r="C777" s="179"/>
      <c r="D777" s="179"/>
      <c r="E777" s="179"/>
      <c r="F777" s="179"/>
      <c r="G777" s="179"/>
      <c r="H777" s="179"/>
      <c r="I777" s="179"/>
      <c r="J777" s="179"/>
      <c r="K777" s="179"/>
      <c r="L777" s="179"/>
      <c r="M777" s="179"/>
      <c r="N777" s="179" t="s">
        <v>223</v>
      </c>
      <c r="O777" s="179"/>
      <c r="P777" s="179"/>
      <c r="Q777" s="191">
        <v>201.46</v>
      </c>
      <c r="R777" s="174"/>
      <c r="S777" s="174"/>
      <c r="T777" s="174"/>
      <c r="U777" s="174"/>
      <c r="V777" s="174"/>
      <c r="W777" s="202">
        <v>22</v>
      </c>
      <c r="X777" s="174"/>
      <c r="Y777" s="174"/>
      <c r="Z777" s="174"/>
      <c r="AA777" s="174"/>
      <c r="AB777" s="174"/>
      <c r="AC777" s="201">
        <v>4432.12</v>
      </c>
      <c r="AD777" s="174"/>
      <c r="AE777" s="174"/>
    </row>
    <row r="778" spans="1:31" ht="9.6" customHeight="1" x14ac:dyDescent="0.2">
      <c r="A778" s="168" t="s">
        <v>1332</v>
      </c>
      <c r="B778" s="179" t="s">
        <v>1333</v>
      </c>
      <c r="C778" s="179"/>
      <c r="D778" s="179"/>
      <c r="E778" s="179"/>
      <c r="F778" s="179"/>
      <c r="G778" s="179"/>
      <c r="H778" s="179"/>
      <c r="I778" s="179"/>
      <c r="J778" s="179"/>
      <c r="K778" s="179"/>
      <c r="L778" s="179"/>
      <c r="M778" s="179"/>
      <c r="N778" s="179" t="s">
        <v>223</v>
      </c>
      <c r="O778" s="179"/>
      <c r="P778" s="179"/>
      <c r="Q778" s="202">
        <v>89.23</v>
      </c>
      <c r="R778" s="174"/>
      <c r="S778" s="174"/>
      <c r="T778" s="174"/>
      <c r="U778" s="174"/>
      <c r="V778" s="174"/>
      <c r="W778" s="202">
        <v>42</v>
      </c>
      <c r="X778" s="174"/>
      <c r="Y778" s="174"/>
      <c r="Z778" s="174"/>
      <c r="AA778" s="174"/>
      <c r="AB778" s="174"/>
      <c r="AC778" s="201">
        <v>3747.66</v>
      </c>
      <c r="AD778" s="174"/>
      <c r="AE778" s="174"/>
    </row>
    <row r="779" spans="1:31" ht="9.6" customHeight="1" x14ac:dyDescent="0.2">
      <c r="A779" s="168" t="s">
        <v>1334</v>
      </c>
      <c r="B779" s="179" t="s">
        <v>1335</v>
      </c>
      <c r="C779" s="179"/>
      <c r="D779" s="179"/>
      <c r="E779" s="179"/>
      <c r="F779" s="179"/>
      <c r="G779" s="179"/>
      <c r="H779" s="179"/>
      <c r="I779" s="179"/>
      <c r="J779" s="179"/>
      <c r="K779" s="179"/>
      <c r="L779" s="179"/>
      <c r="M779" s="179"/>
      <c r="N779" s="179" t="s">
        <v>223</v>
      </c>
      <c r="O779" s="179"/>
      <c r="P779" s="179"/>
      <c r="Q779" s="191">
        <v>392.97</v>
      </c>
      <c r="R779" s="174"/>
      <c r="S779" s="174"/>
      <c r="T779" s="174"/>
      <c r="U779" s="174"/>
      <c r="V779" s="174"/>
      <c r="W779" s="202">
        <v>22</v>
      </c>
      <c r="X779" s="174"/>
      <c r="Y779" s="174"/>
      <c r="Z779" s="174"/>
      <c r="AA779" s="174"/>
      <c r="AB779" s="174"/>
      <c r="AC779" s="201">
        <v>8645.34</v>
      </c>
      <c r="AD779" s="174"/>
      <c r="AE779" s="174"/>
    </row>
    <row r="780" spans="1:31" ht="9.6" customHeight="1" x14ac:dyDescent="0.2">
      <c r="A780" s="168" t="s">
        <v>1336</v>
      </c>
      <c r="B780" s="179" t="s">
        <v>1337</v>
      </c>
      <c r="C780" s="179"/>
      <c r="D780" s="179"/>
      <c r="E780" s="179"/>
      <c r="F780" s="179"/>
      <c r="G780" s="179"/>
      <c r="H780" s="179"/>
      <c r="I780" s="179"/>
      <c r="J780" s="179"/>
      <c r="K780" s="179"/>
      <c r="L780" s="179"/>
      <c r="M780" s="179"/>
      <c r="N780" s="179" t="s">
        <v>220</v>
      </c>
      <c r="O780" s="179"/>
      <c r="P780" s="179"/>
      <c r="Q780" s="191">
        <v>124.65</v>
      </c>
      <c r="R780" s="174"/>
      <c r="S780" s="174"/>
      <c r="T780" s="174"/>
      <c r="U780" s="174"/>
      <c r="V780" s="174"/>
      <c r="W780" s="202">
        <v>38</v>
      </c>
      <c r="X780" s="174"/>
      <c r="Y780" s="174"/>
      <c r="Z780" s="174"/>
      <c r="AA780" s="174"/>
      <c r="AB780" s="174"/>
      <c r="AC780" s="201">
        <v>4736.7</v>
      </c>
      <c r="AD780" s="174"/>
      <c r="AE780" s="174"/>
    </row>
    <row r="781" spans="1:31" ht="19.350000000000001" customHeight="1" x14ac:dyDescent="0.2">
      <c r="A781" s="168" t="s">
        <v>1338</v>
      </c>
      <c r="B781" s="179" t="s">
        <v>1339</v>
      </c>
      <c r="C781" s="179"/>
      <c r="D781" s="179"/>
      <c r="E781" s="179"/>
      <c r="F781" s="179"/>
      <c r="G781" s="179"/>
      <c r="H781" s="179"/>
      <c r="I781" s="179"/>
      <c r="J781" s="179"/>
      <c r="K781" s="179"/>
      <c r="L781" s="179"/>
      <c r="M781" s="179"/>
      <c r="N781" s="179" t="s">
        <v>220</v>
      </c>
      <c r="O781" s="179"/>
      <c r="P781" s="179"/>
      <c r="Q781" s="173">
        <v>4453.82</v>
      </c>
      <c r="R781" s="174"/>
      <c r="S781" s="174"/>
      <c r="T781" s="174"/>
      <c r="U781" s="174"/>
      <c r="V781" s="174"/>
      <c r="W781" s="202">
        <v>42</v>
      </c>
      <c r="X781" s="174"/>
      <c r="Y781" s="174"/>
      <c r="Z781" s="174"/>
      <c r="AA781" s="174"/>
      <c r="AB781" s="174"/>
      <c r="AC781" s="200">
        <v>187060.44</v>
      </c>
      <c r="AD781" s="174"/>
      <c r="AE781" s="174"/>
    </row>
    <row r="782" spans="1:31" ht="9.6" customHeight="1" x14ac:dyDescent="0.2">
      <c r="A782" s="167" t="s">
        <v>1340</v>
      </c>
      <c r="B782" s="176" t="s">
        <v>1341</v>
      </c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7"/>
      <c r="R782" s="177"/>
      <c r="S782" s="177"/>
      <c r="T782" s="177"/>
      <c r="U782" s="177"/>
      <c r="V782" s="177"/>
      <c r="W782" s="177"/>
      <c r="X782" s="177"/>
      <c r="Y782" s="177"/>
      <c r="Z782" s="177"/>
      <c r="AA782" s="177"/>
      <c r="AB782" s="177"/>
      <c r="AC782" s="198">
        <v>198651.48</v>
      </c>
      <c r="AD782" s="177"/>
      <c r="AE782" s="177"/>
    </row>
    <row r="783" spans="1:31" ht="9.75" customHeight="1" x14ac:dyDescent="0.2">
      <c r="A783" s="167" t="s">
        <v>1342</v>
      </c>
      <c r="B783" s="176" t="s">
        <v>1267</v>
      </c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7"/>
      <c r="R783" s="177"/>
      <c r="S783" s="177"/>
      <c r="T783" s="177"/>
      <c r="U783" s="177"/>
      <c r="V783" s="177"/>
      <c r="W783" s="177"/>
      <c r="X783" s="177"/>
      <c r="Y783" s="177"/>
      <c r="Z783" s="177"/>
      <c r="AA783" s="177"/>
      <c r="AB783" s="177"/>
      <c r="AC783" s="194">
        <v>64313.81</v>
      </c>
      <c r="AD783" s="177"/>
      <c r="AE783" s="177"/>
    </row>
    <row r="784" spans="1:31" ht="9.75" customHeight="1" x14ac:dyDescent="0.2">
      <c r="A784" s="168" t="s">
        <v>1343</v>
      </c>
      <c r="B784" s="179" t="s">
        <v>1344</v>
      </c>
      <c r="C784" s="179"/>
      <c r="D784" s="179"/>
      <c r="E784" s="179"/>
      <c r="F784" s="179"/>
      <c r="G784" s="179"/>
      <c r="H784" s="179"/>
      <c r="I784" s="179"/>
      <c r="J784" s="179"/>
      <c r="K784" s="179"/>
      <c r="L784" s="179"/>
      <c r="M784" s="179"/>
      <c r="N784" s="179" t="s">
        <v>220</v>
      </c>
      <c r="O784" s="179"/>
      <c r="P784" s="179"/>
      <c r="Q784" s="202">
        <v>51.17</v>
      </c>
      <c r="R784" s="174"/>
      <c r="S784" s="174"/>
      <c r="T784" s="174"/>
      <c r="U784" s="174"/>
      <c r="V784" s="174"/>
      <c r="W784" s="202">
        <v>77.025000000000006</v>
      </c>
      <c r="X784" s="174"/>
      <c r="Y784" s="174"/>
      <c r="Z784" s="174"/>
      <c r="AA784" s="174"/>
      <c r="AB784" s="174"/>
      <c r="AC784" s="201">
        <v>3941.37</v>
      </c>
      <c r="AD784" s="174"/>
      <c r="AE784" s="174"/>
    </row>
    <row r="785" spans="1:31" ht="19.350000000000001" customHeight="1" x14ac:dyDescent="0.2">
      <c r="A785" s="168" t="s">
        <v>1345</v>
      </c>
      <c r="B785" s="179" t="s">
        <v>1346</v>
      </c>
      <c r="C785" s="179"/>
      <c r="D785" s="179"/>
      <c r="E785" s="179"/>
      <c r="F785" s="179"/>
      <c r="G785" s="179"/>
      <c r="H785" s="179"/>
      <c r="I785" s="179"/>
      <c r="J785" s="179"/>
      <c r="K785" s="179"/>
      <c r="L785" s="179"/>
      <c r="M785" s="179"/>
      <c r="N785" s="179" t="s">
        <v>220</v>
      </c>
      <c r="O785" s="179"/>
      <c r="P785" s="179"/>
      <c r="Q785" s="191">
        <v>360.18</v>
      </c>
      <c r="R785" s="174"/>
      <c r="S785" s="174"/>
      <c r="T785" s="174"/>
      <c r="U785" s="174"/>
      <c r="V785" s="174"/>
      <c r="W785" s="202">
        <v>76.05</v>
      </c>
      <c r="X785" s="174"/>
      <c r="Y785" s="174"/>
      <c r="Z785" s="174"/>
      <c r="AA785" s="174"/>
      <c r="AB785" s="174"/>
      <c r="AC785" s="196">
        <v>27391.69</v>
      </c>
      <c r="AD785" s="174"/>
      <c r="AE785" s="174"/>
    </row>
    <row r="786" spans="1:31" ht="19.350000000000001" customHeight="1" x14ac:dyDescent="0.2">
      <c r="A786" s="168" t="s">
        <v>1347</v>
      </c>
      <c r="B786" s="179" t="s">
        <v>1279</v>
      </c>
      <c r="C786" s="179"/>
      <c r="D786" s="179"/>
      <c r="E786" s="179"/>
      <c r="F786" s="179"/>
      <c r="G786" s="179"/>
      <c r="H786" s="179"/>
      <c r="I786" s="179"/>
      <c r="J786" s="179"/>
      <c r="K786" s="179"/>
      <c r="L786" s="179"/>
      <c r="M786" s="179"/>
      <c r="N786" s="179" t="s">
        <v>220</v>
      </c>
      <c r="O786" s="179"/>
      <c r="P786" s="179"/>
      <c r="Q786" s="191">
        <v>120.97</v>
      </c>
      <c r="R786" s="174"/>
      <c r="S786" s="174"/>
      <c r="T786" s="174"/>
      <c r="U786" s="174"/>
      <c r="V786" s="174"/>
      <c r="W786" s="191">
        <v>142.38239999999999</v>
      </c>
      <c r="X786" s="174"/>
      <c r="Y786" s="174"/>
      <c r="Z786" s="174"/>
      <c r="AA786" s="174"/>
      <c r="AB786" s="174"/>
      <c r="AC786" s="196">
        <v>17224</v>
      </c>
      <c r="AD786" s="174"/>
      <c r="AE786" s="174"/>
    </row>
    <row r="787" spans="1:31" ht="9.6" customHeight="1" x14ac:dyDescent="0.2">
      <c r="A787" s="168" t="s">
        <v>1348</v>
      </c>
      <c r="B787" s="179" t="s">
        <v>1275</v>
      </c>
      <c r="C787" s="179"/>
      <c r="D787" s="179"/>
      <c r="E787" s="179"/>
      <c r="F787" s="179"/>
      <c r="G787" s="179"/>
      <c r="H787" s="179"/>
      <c r="I787" s="179"/>
      <c r="J787" s="179"/>
      <c r="K787" s="179"/>
      <c r="L787" s="179"/>
      <c r="M787" s="179"/>
      <c r="N787" s="179" t="s">
        <v>220</v>
      </c>
      <c r="O787" s="179"/>
      <c r="P787" s="179"/>
      <c r="Q787" s="180">
        <v>4.71</v>
      </c>
      <c r="R787" s="174"/>
      <c r="S787" s="174"/>
      <c r="T787" s="174"/>
      <c r="U787" s="174"/>
      <c r="V787" s="174"/>
      <c r="W787" s="173">
        <v>1856.2370000000001</v>
      </c>
      <c r="X787" s="174"/>
      <c r="Y787" s="174"/>
      <c r="Z787" s="174"/>
      <c r="AA787" s="174"/>
      <c r="AB787" s="174"/>
      <c r="AC787" s="201">
        <v>8742.8799999999992</v>
      </c>
      <c r="AD787" s="174"/>
      <c r="AE787" s="174"/>
    </row>
    <row r="788" spans="1:31" ht="19.350000000000001" customHeight="1" x14ac:dyDescent="0.2">
      <c r="A788" s="168" t="s">
        <v>1349</v>
      </c>
      <c r="B788" s="179" t="s">
        <v>1350</v>
      </c>
      <c r="C788" s="179"/>
      <c r="D788" s="179"/>
      <c r="E788" s="179"/>
      <c r="F788" s="179"/>
      <c r="G788" s="179"/>
      <c r="H788" s="179"/>
      <c r="I788" s="179"/>
      <c r="J788" s="179"/>
      <c r="K788" s="179"/>
      <c r="L788" s="179"/>
      <c r="M788" s="179"/>
      <c r="N788" s="179" t="s">
        <v>220</v>
      </c>
      <c r="O788" s="179"/>
      <c r="P788" s="179"/>
      <c r="Q788" s="202">
        <v>26.24</v>
      </c>
      <c r="R788" s="174"/>
      <c r="S788" s="174"/>
      <c r="T788" s="174"/>
      <c r="U788" s="174"/>
      <c r="V788" s="174"/>
      <c r="W788" s="180">
        <v>8.0609999999999999</v>
      </c>
      <c r="X788" s="174"/>
      <c r="Y788" s="174"/>
      <c r="Z788" s="174"/>
      <c r="AA788" s="174"/>
      <c r="AB788" s="174"/>
      <c r="AC788" s="205">
        <v>211.52</v>
      </c>
      <c r="AD788" s="174"/>
      <c r="AE788" s="174"/>
    </row>
    <row r="789" spans="1:31" ht="19.350000000000001" customHeight="1" x14ac:dyDescent="0.2">
      <c r="A789" s="168" t="s">
        <v>1351</v>
      </c>
      <c r="B789" s="179" t="s">
        <v>1352</v>
      </c>
      <c r="C789" s="179"/>
      <c r="D789" s="179"/>
      <c r="E789" s="179"/>
      <c r="F789" s="179"/>
      <c r="G789" s="179"/>
      <c r="H789" s="179"/>
      <c r="I789" s="179"/>
      <c r="J789" s="179"/>
      <c r="K789" s="179"/>
      <c r="L789" s="179"/>
      <c r="M789" s="179"/>
      <c r="N789" s="179" t="s">
        <v>223</v>
      </c>
      <c r="O789" s="179"/>
      <c r="P789" s="179"/>
      <c r="Q789" s="191">
        <v>336.52</v>
      </c>
      <c r="R789" s="174"/>
      <c r="S789" s="174"/>
      <c r="T789" s="174"/>
      <c r="U789" s="174"/>
      <c r="V789" s="174"/>
      <c r="W789" s="180">
        <v>8.1709999999999994</v>
      </c>
      <c r="X789" s="174"/>
      <c r="Y789" s="174"/>
      <c r="Z789" s="174"/>
      <c r="AA789" s="174"/>
      <c r="AB789" s="174"/>
      <c r="AC789" s="201">
        <v>2749.7</v>
      </c>
      <c r="AD789" s="174"/>
      <c r="AE789" s="174"/>
    </row>
    <row r="790" spans="1:31" ht="19.350000000000001" customHeight="1" x14ac:dyDescent="0.2">
      <c r="A790" s="168" t="s">
        <v>1353</v>
      </c>
      <c r="B790" s="179" t="s">
        <v>1354</v>
      </c>
      <c r="C790" s="179"/>
      <c r="D790" s="179"/>
      <c r="E790" s="179"/>
      <c r="F790" s="179"/>
      <c r="G790" s="179"/>
      <c r="H790" s="179"/>
      <c r="I790" s="179"/>
      <c r="J790" s="179"/>
      <c r="K790" s="179"/>
      <c r="L790" s="179"/>
      <c r="M790" s="179"/>
      <c r="N790" s="179" t="s">
        <v>223</v>
      </c>
      <c r="O790" s="179"/>
      <c r="P790" s="179"/>
      <c r="Q790" s="191">
        <v>110.82</v>
      </c>
      <c r="R790" s="174"/>
      <c r="S790" s="174"/>
      <c r="T790" s="174"/>
      <c r="U790" s="174"/>
      <c r="V790" s="174"/>
      <c r="W790" s="202">
        <v>10.5085</v>
      </c>
      <c r="X790" s="174"/>
      <c r="Y790" s="174"/>
      <c r="Z790" s="174"/>
      <c r="AA790" s="174"/>
      <c r="AB790" s="174"/>
      <c r="AC790" s="201">
        <v>1164.55</v>
      </c>
      <c r="AD790" s="174"/>
      <c r="AE790" s="174"/>
    </row>
    <row r="791" spans="1:31" ht="19.350000000000001" customHeight="1" x14ac:dyDescent="0.2">
      <c r="A791" s="168" t="s">
        <v>1355</v>
      </c>
      <c r="B791" s="179" t="s">
        <v>1287</v>
      </c>
      <c r="C791" s="179"/>
      <c r="D791" s="179"/>
      <c r="E791" s="179"/>
      <c r="F791" s="179"/>
      <c r="G791" s="179"/>
      <c r="H791" s="179"/>
      <c r="I791" s="179"/>
      <c r="J791" s="179"/>
      <c r="K791" s="179"/>
      <c r="L791" s="179"/>
      <c r="M791" s="179"/>
      <c r="N791" s="179" t="s">
        <v>223</v>
      </c>
      <c r="O791" s="179"/>
      <c r="P791" s="179"/>
      <c r="Q791" s="191">
        <v>144.96</v>
      </c>
      <c r="R791" s="174"/>
      <c r="S791" s="174"/>
      <c r="T791" s="174"/>
      <c r="U791" s="174"/>
      <c r="V791" s="174"/>
      <c r="W791" s="202">
        <v>19.923400000000001</v>
      </c>
      <c r="X791" s="174"/>
      <c r="Y791" s="174"/>
      <c r="Z791" s="174"/>
      <c r="AA791" s="174"/>
      <c r="AB791" s="174"/>
      <c r="AC791" s="201">
        <v>2888.1</v>
      </c>
      <c r="AD791" s="174"/>
      <c r="AE791" s="174"/>
    </row>
    <row r="792" spans="1:31" ht="19.350000000000001" customHeight="1" x14ac:dyDescent="0.2">
      <c r="A792" s="167" t="s">
        <v>1356</v>
      </c>
      <c r="B792" s="176" t="s">
        <v>1301</v>
      </c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7"/>
      <c r="R792" s="177"/>
      <c r="S792" s="177"/>
      <c r="T792" s="177"/>
      <c r="U792" s="177"/>
      <c r="V792" s="177"/>
      <c r="W792" s="177"/>
      <c r="X792" s="177"/>
      <c r="Y792" s="177"/>
      <c r="Z792" s="177"/>
      <c r="AA792" s="177"/>
      <c r="AB792" s="177"/>
      <c r="AC792" s="194">
        <v>34612.17</v>
      </c>
      <c r="AD792" s="177"/>
      <c r="AE792" s="177"/>
    </row>
    <row r="793" spans="1:31" ht="9.75" customHeight="1" x14ac:dyDescent="0.2">
      <c r="A793" s="168" t="s">
        <v>1357</v>
      </c>
      <c r="B793" s="179" t="s">
        <v>1358</v>
      </c>
      <c r="C793" s="179"/>
      <c r="D793" s="179"/>
      <c r="E793" s="179"/>
      <c r="F793" s="179"/>
      <c r="G793" s="179"/>
      <c r="H793" s="179"/>
      <c r="I793" s="179"/>
      <c r="J793" s="179"/>
      <c r="K793" s="179"/>
      <c r="L793" s="179"/>
      <c r="M793" s="179"/>
      <c r="N793" s="179" t="s">
        <v>220</v>
      </c>
      <c r="O793" s="179"/>
      <c r="P793" s="179"/>
      <c r="Q793" s="180">
        <v>4.93</v>
      </c>
      <c r="R793" s="174"/>
      <c r="S793" s="174"/>
      <c r="T793" s="174"/>
      <c r="U793" s="174"/>
      <c r="V793" s="174"/>
      <c r="W793" s="191">
        <v>115.95099999999999</v>
      </c>
      <c r="X793" s="174"/>
      <c r="Y793" s="174"/>
      <c r="Z793" s="174"/>
      <c r="AA793" s="174"/>
      <c r="AB793" s="174"/>
      <c r="AC793" s="205">
        <v>571.64</v>
      </c>
      <c r="AD793" s="174"/>
      <c r="AE793" s="174"/>
    </row>
    <row r="794" spans="1:31" ht="19.350000000000001" customHeight="1" x14ac:dyDescent="0.2">
      <c r="A794" s="168" t="s">
        <v>1359</v>
      </c>
      <c r="B794" s="179" t="s">
        <v>1306</v>
      </c>
      <c r="C794" s="179"/>
      <c r="D794" s="179"/>
      <c r="E794" s="179"/>
      <c r="F794" s="179"/>
      <c r="G794" s="179"/>
      <c r="H794" s="179"/>
      <c r="I794" s="179"/>
      <c r="J794" s="179"/>
      <c r="K794" s="179"/>
      <c r="L794" s="179"/>
      <c r="M794" s="179"/>
      <c r="N794" s="179" t="s">
        <v>220</v>
      </c>
      <c r="O794" s="179"/>
      <c r="P794" s="179"/>
      <c r="Q794" s="191">
        <v>159.13</v>
      </c>
      <c r="R794" s="174"/>
      <c r="S794" s="174"/>
      <c r="T794" s="174"/>
      <c r="U794" s="174"/>
      <c r="V794" s="174"/>
      <c r="W794" s="191">
        <v>157.85339999999999</v>
      </c>
      <c r="X794" s="174"/>
      <c r="Y794" s="174"/>
      <c r="Z794" s="174"/>
      <c r="AA794" s="174"/>
      <c r="AB794" s="174"/>
      <c r="AC794" s="196">
        <v>25119.21</v>
      </c>
      <c r="AD794" s="174"/>
      <c r="AE794" s="174"/>
    </row>
    <row r="795" spans="1:31" ht="19.350000000000001" customHeight="1" x14ac:dyDescent="0.2">
      <c r="A795" s="168" t="s">
        <v>1360</v>
      </c>
      <c r="B795" s="179" t="s">
        <v>1361</v>
      </c>
      <c r="C795" s="179"/>
      <c r="D795" s="179"/>
      <c r="E795" s="179"/>
      <c r="F795" s="179"/>
      <c r="G795" s="179"/>
      <c r="H795" s="179"/>
      <c r="I795" s="179"/>
      <c r="J795" s="179"/>
      <c r="K795" s="179"/>
      <c r="L795" s="179"/>
      <c r="M795" s="179"/>
      <c r="N795" s="179" t="s">
        <v>220</v>
      </c>
      <c r="O795" s="179"/>
      <c r="P795" s="179"/>
      <c r="Q795" s="202">
        <v>14</v>
      </c>
      <c r="R795" s="174"/>
      <c r="S795" s="174"/>
      <c r="T795" s="174"/>
      <c r="U795" s="174"/>
      <c r="V795" s="174"/>
      <c r="W795" s="191">
        <v>637.23699999999997</v>
      </c>
      <c r="X795" s="174"/>
      <c r="Y795" s="174"/>
      <c r="Z795" s="174"/>
      <c r="AA795" s="174"/>
      <c r="AB795" s="174"/>
      <c r="AC795" s="201">
        <v>8921.32</v>
      </c>
      <c r="AD795" s="174"/>
      <c r="AE795" s="174"/>
    </row>
    <row r="796" spans="1:31" ht="9.6" customHeight="1" x14ac:dyDescent="0.2">
      <c r="A796" s="167" t="s">
        <v>1362</v>
      </c>
      <c r="B796" s="176" t="s">
        <v>1308</v>
      </c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7"/>
      <c r="R796" s="177"/>
      <c r="S796" s="177"/>
      <c r="T796" s="177"/>
      <c r="U796" s="177"/>
      <c r="V796" s="177"/>
      <c r="W796" s="177"/>
      <c r="X796" s="177"/>
      <c r="Y796" s="177"/>
      <c r="Z796" s="177"/>
      <c r="AA796" s="177"/>
      <c r="AB796" s="177"/>
      <c r="AC796" s="194">
        <v>16354.03</v>
      </c>
      <c r="AD796" s="177"/>
      <c r="AE796" s="177"/>
    </row>
    <row r="797" spans="1:31" ht="9.75" customHeight="1" x14ac:dyDescent="0.2">
      <c r="A797" s="168" t="s">
        <v>1363</v>
      </c>
      <c r="B797" s="179" t="s">
        <v>1314</v>
      </c>
      <c r="C797" s="179"/>
      <c r="D797" s="179"/>
      <c r="E797" s="179"/>
      <c r="F797" s="179"/>
      <c r="G797" s="179"/>
      <c r="H797" s="179"/>
      <c r="I797" s="179"/>
      <c r="J797" s="179"/>
      <c r="K797" s="179"/>
      <c r="L797" s="179"/>
      <c r="M797" s="179"/>
      <c r="N797" s="179" t="s">
        <v>220</v>
      </c>
      <c r="O797" s="179"/>
      <c r="P797" s="179"/>
      <c r="Q797" s="202">
        <v>39.75</v>
      </c>
      <c r="R797" s="174"/>
      <c r="S797" s="174"/>
      <c r="T797" s="174"/>
      <c r="U797" s="174"/>
      <c r="V797" s="174"/>
      <c r="W797" s="191">
        <v>411.42219999999998</v>
      </c>
      <c r="X797" s="174"/>
      <c r="Y797" s="174"/>
      <c r="Z797" s="174"/>
      <c r="AA797" s="174"/>
      <c r="AB797" s="174"/>
      <c r="AC797" s="196">
        <v>16354.03</v>
      </c>
      <c r="AD797" s="174"/>
      <c r="AE797" s="174"/>
    </row>
    <row r="798" spans="1:31" ht="19.350000000000001" customHeight="1" x14ac:dyDescent="0.2">
      <c r="A798" s="167" t="s">
        <v>1364</v>
      </c>
      <c r="B798" s="176" t="s">
        <v>1365</v>
      </c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7"/>
      <c r="R798" s="177"/>
      <c r="S798" s="177"/>
      <c r="T798" s="177"/>
      <c r="U798" s="177"/>
      <c r="V798" s="177"/>
      <c r="W798" s="177"/>
      <c r="X798" s="177"/>
      <c r="Y798" s="177"/>
      <c r="Z798" s="177"/>
      <c r="AA798" s="177"/>
      <c r="AB798" s="177"/>
      <c r="AC798" s="194">
        <v>24018.23</v>
      </c>
      <c r="AD798" s="177"/>
      <c r="AE798" s="177"/>
    </row>
    <row r="799" spans="1:31" ht="9.75" customHeight="1" x14ac:dyDescent="0.2">
      <c r="A799" s="168" t="s">
        <v>1366</v>
      </c>
      <c r="B799" s="179" t="s">
        <v>1367</v>
      </c>
      <c r="C799" s="179"/>
      <c r="D799" s="179"/>
      <c r="E799" s="179"/>
      <c r="F799" s="179"/>
      <c r="G799" s="179"/>
      <c r="H799" s="179"/>
      <c r="I799" s="179"/>
      <c r="J799" s="179"/>
      <c r="K799" s="179"/>
      <c r="L799" s="179"/>
      <c r="M799" s="179"/>
      <c r="N799" s="179" t="s">
        <v>220</v>
      </c>
      <c r="O799" s="179"/>
      <c r="P799" s="179"/>
      <c r="Q799" s="191">
        <v>323.36</v>
      </c>
      <c r="R799" s="174"/>
      <c r="S799" s="174"/>
      <c r="T799" s="174"/>
      <c r="U799" s="174"/>
      <c r="V799" s="174"/>
      <c r="W799" s="202">
        <v>51.909199999999998</v>
      </c>
      <c r="X799" s="174"/>
      <c r="Y799" s="174"/>
      <c r="Z799" s="174"/>
      <c r="AA799" s="174"/>
      <c r="AB799" s="174"/>
      <c r="AC799" s="196">
        <v>16785.36</v>
      </c>
      <c r="AD799" s="174"/>
      <c r="AE799" s="174"/>
    </row>
    <row r="800" spans="1:31" ht="9.6" customHeight="1" x14ac:dyDescent="0.2">
      <c r="A800" s="168" t="s">
        <v>1368</v>
      </c>
      <c r="B800" s="179" t="s">
        <v>1369</v>
      </c>
      <c r="C800" s="179"/>
      <c r="D800" s="179"/>
      <c r="E800" s="179"/>
      <c r="F800" s="179"/>
      <c r="G800" s="179"/>
      <c r="H800" s="179"/>
      <c r="I800" s="179"/>
      <c r="J800" s="179"/>
      <c r="K800" s="179"/>
      <c r="L800" s="179"/>
      <c r="M800" s="179"/>
      <c r="N800" s="179" t="s">
        <v>220</v>
      </c>
      <c r="O800" s="179"/>
      <c r="P800" s="179"/>
      <c r="Q800" s="202">
        <v>76.45</v>
      </c>
      <c r="R800" s="174"/>
      <c r="S800" s="174"/>
      <c r="T800" s="174"/>
      <c r="U800" s="174"/>
      <c r="V800" s="174"/>
      <c r="W800" s="202">
        <v>94.609200000000001</v>
      </c>
      <c r="X800" s="174"/>
      <c r="Y800" s="174"/>
      <c r="Z800" s="174"/>
      <c r="AA800" s="174"/>
      <c r="AB800" s="174"/>
      <c r="AC800" s="201">
        <v>7232.87</v>
      </c>
      <c r="AD800" s="174"/>
      <c r="AE800" s="174"/>
    </row>
    <row r="801" spans="1:31" ht="19.350000000000001" customHeight="1" x14ac:dyDescent="0.2">
      <c r="A801" s="167" t="s">
        <v>1370</v>
      </c>
      <c r="B801" s="176" t="s">
        <v>693</v>
      </c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7"/>
      <c r="R801" s="177"/>
      <c r="S801" s="177"/>
      <c r="T801" s="177"/>
      <c r="U801" s="177"/>
      <c r="V801" s="177"/>
      <c r="W801" s="177"/>
      <c r="X801" s="177"/>
      <c r="Y801" s="177"/>
      <c r="Z801" s="177"/>
      <c r="AA801" s="177"/>
      <c r="AB801" s="177"/>
      <c r="AC801" s="194">
        <v>59353.24</v>
      </c>
      <c r="AD801" s="177"/>
      <c r="AE801" s="177"/>
    </row>
    <row r="802" spans="1:31" ht="9.75" customHeight="1" x14ac:dyDescent="0.2">
      <c r="A802" s="168" t="s">
        <v>1371</v>
      </c>
      <c r="B802" s="179" t="s">
        <v>1321</v>
      </c>
      <c r="C802" s="179"/>
      <c r="D802" s="179"/>
      <c r="E802" s="179"/>
      <c r="F802" s="179"/>
      <c r="G802" s="179"/>
      <c r="H802" s="179"/>
      <c r="I802" s="179"/>
      <c r="J802" s="179"/>
      <c r="K802" s="179"/>
      <c r="L802" s="179"/>
      <c r="M802" s="179"/>
      <c r="N802" s="179" t="s">
        <v>220</v>
      </c>
      <c r="O802" s="179"/>
      <c r="P802" s="179"/>
      <c r="Q802" s="191">
        <v>532.32000000000005</v>
      </c>
      <c r="R802" s="174"/>
      <c r="S802" s="174"/>
      <c r="T802" s="174"/>
      <c r="U802" s="174"/>
      <c r="V802" s="174"/>
      <c r="W802" s="202">
        <v>42</v>
      </c>
      <c r="X802" s="174"/>
      <c r="Y802" s="174"/>
      <c r="Z802" s="174"/>
      <c r="AA802" s="174"/>
      <c r="AB802" s="174"/>
      <c r="AC802" s="196">
        <v>22357.439999999999</v>
      </c>
      <c r="AD802" s="174"/>
      <c r="AE802" s="174"/>
    </row>
    <row r="803" spans="1:31" ht="19.350000000000001" customHeight="1" x14ac:dyDescent="0.2">
      <c r="A803" s="168" t="s">
        <v>1372</v>
      </c>
      <c r="B803" s="179" t="s">
        <v>1323</v>
      </c>
      <c r="C803" s="179"/>
      <c r="D803" s="179"/>
      <c r="E803" s="179"/>
      <c r="F803" s="179"/>
      <c r="G803" s="179"/>
      <c r="H803" s="179"/>
      <c r="I803" s="179"/>
      <c r="J803" s="179"/>
      <c r="K803" s="179"/>
      <c r="L803" s="179"/>
      <c r="M803" s="179"/>
      <c r="N803" s="179" t="s">
        <v>220</v>
      </c>
      <c r="O803" s="179"/>
      <c r="P803" s="179"/>
      <c r="Q803" s="191">
        <v>164.06</v>
      </c>
      <c r="R803" s="174"/>
      <c r="S803" s="174"/>
      <c r="T803" s="174"/>
      <c r="U803" s="174"/>
      <c r="V803" s="174"/>
      <c r="W803" s="202">
        <v>45</v>
      </c>
      <c r="X803" s="174"/>
      <c r="Y803" s="174"/>
      <c r="Z803" s="174"/>
      <c r="AA803" s="174"/>
      <c r="AB803" s="174"/>
      <c r="AC803" s="201">
        <v>7382.7</v>
      </c>
      <c r="AD803" s="174"/>
      <c r="AE803" s="174"/>
    </row>
    <row r="804" spans="1:31" ht="19.350000000000001" customHeight="1" x14ac:dyDescent="0.2">
      <c r="A804" s="168" t="s">
        <v>1373</v>
      </c>
      <c r="B804" s="179" t="s">
        <v>1325</v>
      </c>
      <c r="C804" s="179"/>
      <c r="D804" s="179"/>
      <c r="E804" s="179"/>
      <c r="F804" s="179"/>
      <c r="G804" s="179"/>
      <c r="H804" s="179"/>
      <c r="I804" s="179"/>
      <c r="J804" s="179"/>
      <c r="K804" s="179"/>
      <c r="L804" s="179"/>
      <c r="M804" s="179"/>
      <c r="N804" s="179" t="s">
        <v>220</v>
      </c>
      <c r="O804" s="179"/>
      <c r="P804" s="179"/>
      <c r="Q804" s="202">
        <v>39.75</v>
      </c>
      <c r="R804" s="174"/>
      <c r="S804" s="174"/>
      <c r="T804" s="174"/>
      <c r="U804" s="174"/>
      <c r="V804" s="174"/>
      <c r="W804" s="202">
        <v>52</v>
      </c>
      <c r="X804" s="174"/>
      <c r="Y804" s="174"/>
      <c r="Z804" s="174"/>
      <c r="AA804" s="174"/>
      <c r="AB804" s="174"/>
      <c r="AC804" s="201">
        <v>2067</v>
      </c>
      <c r="AD804" s="174"/>
      <c r="AE804" s="174"/>
    </row>
    <row r="805" spans="1:31" ht="19.350000000000001" customHeight="1" x14ac:dyDescent="0.2">
      <c r="A805" s="168" t="s">
        <v>1374</v>
      </c>
      <c r="B805" s="179" t="s">
        <v>1329</v>
      </c>
      <c r="C805" s="179"/>
      <c r="D805" s="179"/>
      <c r="E805" s="179"/>
      <c r="F805" s="179"/>
      <c r="G805" s="179"/>
      <c r="H805" s="179"/>
      <c r="I805" s="179"/>
      <c r="J805" s="179"/>
      <c r="K805" s="179"/>
      <c r="L805" s="179"/>
      <c r="M805" s="179"/>
      <c r="N805" s="179" t="s">
        <v>223</v>
      </c>
      <c r="O805" s="179"/>
      <c r="P805" s="179"/>
      <c r="Q805" s="191">
        <v>618.54</v>
      </c>
      <c r="R805" s="174"/>
      <c r="S805" s="174"/>
      <c r="T805" s="174"/>
      <c r="U805" s="174"/>
      <c r="V805" s="174"/>
      <c r="W805" s="202">
        <v>22</v>
      </c>
      <c r="X805" s="174"/>
      <c r="Y805" s="174"/>
      <c r="Z805" s="174"/>
      <c r="AA805" s="174"/>
      <c r="AB805" s="174"/>
      <c r="AC805" s="196">
        <v>13607.88</v>
      </c>
      <c r="AD805" s="174"/>
      <c r="AE805" s="174"/>
    </row>
    <row r="806" spans="1:31" ht="9.6" customHeight="1" x14ac:dyDescent="0.2">
      <c r="A806" s="168" t="s">
        <v>1375</v>
      </c>
      <c r="B806" s="179" t="s">
        <v>1376</v>
      </c>
      <c r="C806" s="179"/>
      <c r="D806" s="179"/>
      <c r="E806" s="179"/>
      <c r="F806" s="179"/>
      <c r="G806" s="179"/>
      <c r="H806" s="179"/>
      <c r="I806" s="179"/>
      <c r="J806" s="179"/>
      <c r="K806" s="179"/>
      <c r="L806" s="179"/>
      <c r="M806" s="179"/>
      <c r="N806" s="179" t="s">
        <v>220</v>
      </c>
      <c r="O806" s="179"/>
      <c r="P806" s="179"/>
      <c r="Q806" s="191">
        <v>323.36</v>
      </c>
      <c r="R806" s="174"/>
      <c r="S806" s="174"/>
      <c r="T806" s="174"/>
      <c r="U806" s="174"/>
      <c r="V806" s="174"/>
      <c r="W806" s="202">
        <v>35</v>
      </c>
      <c r="X806" s="174"/>
      <c r="Y806" s="174"/>
      <c r="Z806" s="174"/>
      <c r="AA806" s="174"/>
      <c r="AB806" s="174"/>
      <c r="AC806" s="196">
        <v>11317.6</v>
      </c>
      <c r="AD806" s="174"/>
      <c r="AE806" s="174"/>
    </row>
    <row r="807" spans="1:31" ht="9.6" customHeight="1" x14ac:dyDescent="0.2">
      <c r="A807" s="168" t="s">
        <v>1377</v>
      </c>
      <c r="B807" s="179" t="s">
        <v>1378</v>
      </c>
      <c r="C807" s="179"/>
      <c r="D807" s="179"/>
      <c r="E807" s="179"/>
      <c r="F807" s="179"/>
      <c r="G807" s="179"/>
      <c r="H807" s="179"/>
      <c r="I807" s="179"/>
      <c r="J807" s="179"/>
      <c r="K807" s="179"/>
      <c r="L807" s="179"/>
      <c r="M807" s="179"/>
      <c r="N807" s="179" t="s">
        <v>220</v>
      </c>
      <c r="O807" s="179"/>
      <c r="P807" s="179"/>
      <c r="Q807" s="202">
        <v>76.45</v>
      </c>
      <c r="R807" s="174"/>
      <c r="S807" s="174"/>
      <c r="T807" s="174"/>
      <c r="U807" s="174"/>
      <c r="V807" s="174"/>
      <c r="W807" s="202">
        <v>24</v>
      </c>
      <c r="X807" s="174"/>
      <c r="Y807" s="174"/>
      <c r="Z807" s="174"/>
      <c r="AA807" s="174"/>
      <c r="AB807" s="174"/>
      <c r="AC807" s="201">
        <v>1834.8</v>
      </c>
      <c r="AD807" s="174"/>
      <c r="AE807" s="174"/>
    </row>
    <row r="808" spans="1:31" ht="9.6" customHeight="1" x14ac:dyDescent="0.2">
      <c r="A808" s="168" t="s">
        <v>1379</v>
      </c>
      <c r="B808" s="179" t="s">
        <v>1339</v>
      </c>
      <c r="C808" s="179"/>
      <c r="D808" s="179"/>
      <c r="E808" s="179"/>
      <c r="F808" s="179"/>
      <c r="G808" s="179"/>
      <c r="H808" s="179"/>
      <c r="I808" s="179"/>
      <c r="J808" s="179"/>
      <c r="K808" s="179"/>
      <c r="L808" s="179"/>
      <c r="M808" s="179"/>
      <c r="N808" s="179" t="s">
        <v>220</v>
      </c>
      <c r="O808" s="179"/>
      <c r="P808" s="179"/>
      <c r="Q808" s="202">
        <v>18.71</v>
      </c>
      <c r="R808" s="174"/>
      <c r="S808" s="174"/>
      <c r="T808" s="174"/>
      <c r="U808" s="174"/>
      <c r="V808" s="174"/>
      <c r="W808" s="202">
        <v>42</v>
      </c>
      <c r="X808" s="174"/>
      <c r="Y808" s="174"/>
      <c r="Z808" s="174"/>
      <c r="AA808" s="174"/>
      <c r="AB808" s="174"/>
      <c r="AC808" s="205">
        <v>785.82</v>
      </c>
      <c r="AD808" s="174"/>
      <c r="AE808" s="174"/>
    </row>
    <row r="809" spans="1:31" ht="9.6" customHeight="1" x14ac:dyDescent="0.2">
      <c r="A809" s="167" t="s">
        <v>1380</v>
      </c>
      <c r="B809" s="176" t="s">
        <v>1381</v>
      </c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7"/>
      <c r="R809" s="177"/>
      <c r="S809" s="177"/>
      <c r="T809" s="177"/>
      <c r="U809" s="177"/>
      <c r="V809" s="177"/>
      <c r="W809" s="177"/>
      <c r="X809" s="177"/>
      <c r="Y809" s="177"/>
      <c r="Z809" s="177"/>
      <c r="AA809" s="177"/>
      <c r="AB809" s="177"/>
      <c r="AC809" s="197">
        <v>21828452.739999998</v>
      </c>
      <c r="AD809" s="177"/>
      <c r="AE809" s="177"/>
    </row>
    <row r="810" spans="1:31" ht="9.75" customHeight="1" x14ac:dyDescent="0.2">
      <c r="A810" s="167" t="s">
        <v>1382</v>
      </c>
      <c r="B810" s="176" t="s">
        <v>1267</v>
      </c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7"/>
      <c r="R810" s="177"/>
      <c r="S810" s="177"/>
      <c r="T810" s="177"/>
      <c r="U810" s="177"/>
      <c r="V810" s="177"/>
      <c r="W810" s="177"/>
      <c r="X810" s="177"/>
      <c r="Y810" s="177"/>
      <c r="Z810" s="177"/>
      <c r="AA810" s="177"/>
      <c r="AB810" s="177"/>
      <c r="AC810" s="197">
        <v>12587988.779999999</v>
      </c>
      <c r="AD810" s="177"/>
      <c r="AE810" s="177"/>
    </row>
    <row r="811" spans="1:31" ht="9.75" customHeight="1" x14ac:dyDescent="0.2">
      <c r="A811" s="168" t="s">
        <v>1383</v>
      </c>
      <c r="B811" s="179" t="s">
        <v>1269</v>
      </c>
      <c r="C811" s="179"/>
      <c r="D811" s="179"/>
      <c r="E811" s="179"/>
      <c r="F811" s="179"/>
      <c r="G811" s="179"/>
      <c r="H811" s="179"/>
      <c r="I811" s="179"/>
      <c r="J811" s="179"/>
      <c r="K811" s="179"/>
      <c r="L811" s="179"/>
      <c r="M811" s="179"/>
      <c r="N811" s="179" t="s">
        <v>220</v>
      </c>
      <c r="O811" s="179"/>
      <c r="P811" s="179"/>
      <c r="Q811" s="173">
        <v>5140.51</v>
      </c>
      <c r="R811" s="174"/>
      <c r="S811" s="174"/>
      <c r="T811" s="174"/>
      <c r="U811" s="174"/>
      <c r="V811" s="174"/>
      <c r="W811" s="173">
        <v>1682.9893999999999</v>
      </c>
      <c r="X811" s="174"/>
      <c r="Y811" s="174"/>
      <c r="Z811" s="174"/>
      <c r="AA811" s="174"/>
      <c r="AB811" s="174"/>
      <c r="AC811" s="175">
        <v>8651423.8399999999</v>
      </c>
      <c r="AD811" s="174"/>
      <c r="AE811" s="174"/>
    </row>
    <row r="812" spans="1:31" ht="9.6" customHeight="1" x14ac:dyDescent="0.2">
      <c r="A812" s="168" t="s">
        <v>1384</v>
      </c>
      <c r="B812" s="179" t="s">
        <v>1271</v>
      </c>
      <c r="C812" s="179"/>
      <c r="D812" s="179"/>
      <c r="E812" s="179"/>
      <c r="F812" s="179"/>
      <c r="G812" s="179"/>
      <c r="H812" s="179"/>
      <c r="I812" s="179"/>
      <c r="J812" s="179"/>
      <c r="K812" s="179"/>
      <c r="L812" s="179"/>
      <c r="M812" s="179"/>
      <c r="N812" s="179" t="s">
        <v>220</v>
      </c>
      <c r="O812" s="179"/>
      <c r="P812" s="179"/>
      <c r="Q812" s="191">
        <v>222.97</v>
      </c>
      <c r="R812" s="174"/>
      <c r="S812" s="174"/>
      <c r="T812" s="174"/>
      <c r="U812" s="174"/>
      <c r="V812" s="174"/>
      <c r="W812" s="173">
        <v>1772</v>
      </c>
      <c r="X812" s="174"/>
      <c r="Y812" s="174"/>
      <c r="Z812" s="174"/>
      <c r="AA812" s="174"/>
      <c r="AB812" s="174"/>
      <c r="AC812" s="200">
        <v>395102.84</v>
      </c>
      <c r="AD812" s="174"/>
      <c r="AE812" s="174"/>
    </row>
    <row r="813" spans="1:31" ht="9.6" customHeight="1" x14ac:dyDescent="0.2">
      <c r="A813" s="168" t="s">
        <v>1385</v>
      </c>
      <c r="B813" s="179" t="s">
        <v>1273</v>
      </c>
      <c r="C813" s="179"/>
      <c r="D813" s="179"/>
      <c r="E813" s="179"/>
      <c r="F813" s="179"/>
      <c r="G813" s="179"/>
      <c r="H813" s="179"/>
      <c r="I813" s="179"/>
      <c r="J813" s="179"/>
      <c r="K813" s="179"/>
      <c r="L813" s="179"/>
      <c r="M813" s="179"/>
      <c r="N813" s="179" t="s">
        <v>220</v>
      </c>
      <c r="O813" s="179"/>
      <c r="P813" s="179"/>
      <c r="Q813" s="191">
        <v>148.27000000000001</v>
      </c>
      <c r="R813" s="174"/>
      <c r="S813" s="174"/>
      <c r="T813" s="174"/>
      <c r="U813" s="174"/>
      <c r="V813" s="174"/>
      <c r="W813" s="191">
        <v>985.2</v>
      </c>
      <c r="X813" s="174"/>
      <c r="Y813" s="174"/>
      <c r="Z813" s="174"/>
      <c r="AA813" s="174"/>
      <c r="AB813" s="174"/>
      <c r="AC813" s="200">
        <v>146075.6</v>
      </c>
      <c r="AD813" s="174"/>
      <c r="AE813" s="174"/>
    </row>
    <row r="814" spans="1:31" ht="9.6" customHeight="1" x14ac:dyDescent="0.2">
      <c r="A814" s="168" t="s">
        <v>1386</v>
      </c>
      <c r="B814" s="179" t="s">
        <v>1275</v>
      </c>
      <c r="C814" s="179"/>
      <c r="D814" s="179"/>
      <c r="E814" s="179"/>
      <c r="F814" s="179"/>
      <c r="G814" s="179"/>
      <c r="H814" s="179"/>
      <c r="I814" s="179"/>
      <c r="J814" s="179"/>
      <c r="K814" s="179"/>
      <c r="L814" s="179"/>
      <c r="M814" s="179"/>
      <c r="N814" s="179" t="s">
        <v>220</v>
      </c>
      <c r="O814" s="179"/>
      <c r="P814" s="179"/>
      <c r="Q814" s="202">
        <v>10.210000000000001</v>
      </c>
      <c r="R814" s="174"/>
      <c r="S814" s="174"/>
      <c r="T814" s="174"/>
      <c r="U814" s="174"/>
      <c r="V814" s="174"/>
      <c r="W814" s="173">
        <v>1856.2370000000001</v>
      </c>
      <c r="X814" s="174"/>
      <c r="Y814" s="174"/>
      <c r="Z814" s="174"/>
      <c r="AA814" s="174"/>
      <c r="AB814" s="174"/>
      <c r="AC814" s="196">
        <v>18952.18</v>
      </c>
      <c r="AD814" s="174"/>
      <c r="AE814" s="174"/>
    </row>
    <row r="815" spans="1:31" ht="19.350000000000001" customHeight="1" x14ac:dyDescent="0.2">
      <c r="A815" s="168" t="s">
        <v>1387</v>
      </c>
      <c r="B815" s="179" t="s">
        <v>1277</v>
      </c>
      <c r="C815" s="179"/>
      <c r="D815" s="179"/>
      <c r="E815" s="179"/>
      <c r="F815" s="179"/>
      <c r="G815" s="179"/>
      <c r="H815" s="179"/>
      <c r="I815" s="179"/>
      <c r="J815" s="179"/>
      <c r="K815" s="179"/>
      <c r="L815" s="179"/>
      <c r="M815" s="179"/>
      <c r="N815" s="179" t="s">
        <v>220</v>
      </c>
      <c r="O815" s="179"/>
      <c r="P815" s="179"/>
      <c r="Q815" s="202">
        <v>19.989999999999998</v>
      </c>
      <c r="R815" s="174"/>
      <c r="S815" s="174"/>
      <c r="T815" s="174"/>
      <c r="U815" s="174"/>
      <c r="V815" s="174"/>
      <c r="W815" s="191">
        <v>637.23699999999997</v>
      </c>
      <c r="X815" s="174"/>
      <c r="Y815" s="174"/>
      <c r="Z815" s="174"/>
      <c r="AA815" s="174"/>
      <c r="AB815" s="174"/>
      <c r="AC815" s="196">
        <v>12738.37</v>
      </c>
      <c r="AD815" s="174"/>
      <c r="AE815" s="174"/>
    </row>
    <row r="816" spans="1:31" ht="9.6" customHeight="1" x14ac:dyDescent="0.2">
      <c r="A816" s="168" t="s">
        <v>1388</v>
      </c>
      <c r="B816" s="179" t="s">
        <v>1389</v>
      </c>
      <c r="C816" s="179"/>
      <c r="D816" s="179"/>
      <c r="E816" s="179"/>
      <c r="F816" s="179"/>
      <c r="G816" s="179"/>
      <c r="H816" s="179"/>
      <c r="I816" s="179"/>
      <c r="J816" s="179"/>
      <c r="K816" s="179"/>
      <c r="L816" s="179"/>
      <c r="M816" s="179"/>
      <c r="N816" s="179" t="s">
        <v>220</v>
      </c>
      <c r="O816" s="179"/>
      <c r="P816" s="179"/>
      <c r="Q816" s="191">
        <v>654.9</v>
      </c>
      <c r="R816" s="174"/>
      <c r="S816" s="174"/>
      <c r="T816" s="174"/>
      <c r="U816" s="174"/>
      <c r="V816" s="174"/>
      <c r="W816" s="191">
        <v>124.244</v>
      </c>
      <c r="X816" s="174"/>
      <c r="Y816" s="174"/>
      <c r="Z816" s="174"/>
      <c r="AA816" s="174"/>
      <c r="AB816" s="174"/>
      <c r="AC816" s="196">
        <v>81367.399999999994</v>
      </c>
      <c r="AD816" s="174"/>
      <c r="AE816" s="174"/>
    </row>
    <row r="817" spans="1:31" ht="19.350000000000001" customHeight="1" x14ac:dyDescent="0.2">
      <c r="A817" s="168" t="s">
        <v>1390</v>
      </c>
      <c r="B817" s="179" t="s">
        <v>1346</v>
      </c>
      <c r="C817" s="179"/>
      <c r="D817" s="179"/>
      <c r="E817" s="179"/>
      <c r="F817" s="179"/>
      <c r="G817" s="179"/>
      <c r="H817" s="179"/>
      <c r="I817" s="179"/>
      <c r="J817" s="179"/>
      <c r="K817" s="179"/>
      <c r="L817" s="179"/>
      <c r="M817" s="179"/>
      <c r="N817" s="179" t="s">
        <v>220</v>
      </c>
      <c r="O817" s="179"/>
      <c r="P817" s="179"/>
      <c r="Q817" s="191">
        <v>333.52</v>
      </c>
      <c r="R817" s="174"/>
      <c r="S817" s="174"/>
      <c r="T817" s="174"/>
      <c r="U817" s="174"/>
      <c r="V817" s="174"/>
      <c r="W817" s="202">
        <v>76.05</v>
      </c>
      <c r="X817" s="174"/>
      <c r="Y817" s="174"/>
      <c r="Z817" s="174"/>
      <c r="AA817" s="174"/>
      <c r="AB817" s="174"/>
      <c r="AC817" s="196">
        <v>25364.2</v>
      </c>
      <c r="AD817" s="174"/>
      <c r="AE817" s="174"/>
    </row>
    <row r="818" spans="1:31" ht="19.350000000000001" customHeight="1" x14ac:dyDescent="0.2">
      <c r="A818" s="168" t="s">
        <v>1391</v>
      </c>
      <c r="B818" s="179" t="s">
        <v>1392</v>
      </c>
      <c r="C818" s="179"/>
      <c r="D818" s="179"/>
      <c r="E818" s="179"/>
      <c r="F818" s="179"/>
      <c r="G818" s="179"/>
      <c r="H818" s="179"/>
      <c r="I818" s="179"/>
      <c r="J818" s="179"/>
      <c r="K818" s="179"/>
      <c r="L818" s="179"/>
      <c r="M818" s="179"/>
      <c r="N818" s="179" t="s">
        <v>220</v>
      </c>
      <c r="O818" s="179"/>
      <c r="P818" s="179"/>
      <c r="Q818" s="173">
        <v>2074.13</v>
      </c>
      <c r="R818" s="174"/>
      <c r="S818" s="174"/>
      <c r="T818" s="174"/>
      <c r="U818" s="174"/>
      <c r="V818" s="174"/>
      <c r="W818" s="191">
        <v>133.97049999999999</v>
      </c>
      <c r="X818" s="174"/>
      <c r="Y818" s="174"/>
      <c r="Z818" s="174"/>
      <c r="AA818" s="174"/>
      <c r="AB818" s="174"/>
      <c r="AC818" s="200">
        <v>277872.23</v>
      </c>
      <c r="AD818" s="174"/>
      <c r="AE818" s="174"/>
    </row>
    <row r="819" spans="1:31" ht="19.350000000000001" customHeight="1" x14ac:dyDescent="0.2">
      <c r="A819" s="168" t="s">
        <v>1393</v>
      </c>
      <c r="B819" s="179" t="s">
        <v>1279</v>
      </c>
      <c r="C819" s="179"/>
      <c r="D819" s="179"/>
      <c r="E819" s="179"/>
      <c r="F819" s="179"/>
      <c r="G819" s="179"/>
      <c r="H819" s="179"/>
      <c r="I819" s="179"/>
      <c r="J819" s="179"/>
      <c r="K819" s="179"/>
      <c r="L819" s="179"/>
      <c r="M819" s="179"/>
      <c r="N819" s="179" t="s">
        <v>220</v>
      </c>
      <c r="O819" s="179"/>
      <c r="P819" s="179"/>
      <c r="Q819" s="191">
        <v>167.04</v>
      </c>
      <c r="R819" s="174"/>
      <c r="S819" s="174"/>
      <c r="T819" s="174"/>
      <c r="U819" s="174"/>
      <c r="V819" s="174"/>
      <c r="W819" s="191">
        <v>142.38239999999999</v>
      </c>
      <c r="X819" s="174"/>
      <c r="Y819" s="174"/>
      <c r="Z819" s="174"/>
      <c r="AA819" s="174"/>
      <c r="AB819" s="174"/>
      <c r="AC819" s="196">
        <v>23783.56</v>
      </c>
      <c r="AD819" s="174"/>
      <c r="AE819" s="174"/>
    </row>
    <row r="820" spans="1:31" ht="9.6" customHeight="1" x14ac:dyDescent="0.2">
      <c r="A820" s="168" t="s">
        <v>1394</v>
      </c>
      <c r="B820" s="179" t="s">
        <v>1395</v>
      </c>
      <c r="C820" s="179"/>
      <c r="D820" s="179"/>
      <c r="E820" s="179"/>
      <c r="F820" s="179"/>
      <c r="G820" s="179"/>
      <c r="H820" s="179"/>
      <c r="I820" s="179"/>
      <c r="J820" s="179"/>
      <c r="K820" s="179"/>
      <c r="L820" s="179"/>
      <c r="M820" s="179"/>
      <c r="N820" s="179" t="s">
        <v>220</v>
      </c>
      <c r="O820" s="179"/>
      <c r="P820" s="179"/>
      <c r="Q820" s="173">
        <v>9709.27</v>
      </c>
      <c r="R820" s="174"/>
      <c r="S820" s="174"/>
      <c r="T820" s="174"/>
      <c r="U820" s="174"/>
      <c r="V820" s="174"/>
      <c r="W820" s="191">
        <v>165.0719</v>
      </c>
      <c r="X820" s="174"/>
      <c r="Y820" s="174"/>
      <c r="Z820" s="174"/>
      <c r="AA820" s="174"/>
      <c r="AB820" s="174"/>
      <c r="AC820" s="175">
        <v>1602727.65</v>
      </c>
      <c r="AD820" s="174"/>
      <c r="AE820" s="174"/>
    </row>
    <row r="821" spans="1:31" ht="19.350000000000001" customHeight="1" x14ac:dyDescent="0.2">
      <c r="A821" s="168" t="s">
        <v>1396</v>
      </c>
      <c r="B821" s="179" t="s">
        <v>1397</v>
      </c>
      <c r="C821" s="179"/>
      <c r="D821" s="179"/>
      <c r="E821" s="179"/>
      <c r="F821" s="179"/>
      <c r="G821" s="179"/>
      <c r="H821" s="179"/>
      <c r="I821" s="179"/>
      <c r="J821" s="179"/>
      <c r="K821" s="179"/>
      <c r="L821" s="179"/>
      <c r="M821" s="179"/>
      <c r="N821" s="179" t="s">
        <v>220</v>
      </c>
      <c r="O821" s="179"/>
      <c r="P821" s="179"/>
      <c r="Q821" s="173">
        <v>5683.53</v>
      </c>
      <c r="R821" s="174"/>
      <c r="S821" s="174"/>
      <c r="T821" s="174"/>
      <c r="U821" s="174"/>
      <c r="V821" s="174"/>
      <c r="W821" s="191">
        <v>213</v>
      </c>
      <c r="X821" s="174"/>
      <c r="Y821" s="174"/>
      <c r="Z821" s="174"/>
      <c r="AA821" s="174"/>
      <c r="AB821" s="174"/>
      <c r="AC821" s="175">
        <v>1210591.8899999999</v>
      </c>
      <c r="AD821" s="174"/>
      <c r="AE821" s="174"/>
    </row>
    <row r="822" spans="1:31" ht="19.350000000000001" customHeight="1" x14ac:dyDescent="0.2">
      <c r="A822" s="168" t="s">
        <v>1398</v>
      </c>
      <c r="B822" s="179" t="s">
        <v>1287</v>
      </c>
      <c r="C822" s="179"/>
      <c r="D822" s="179"/>
      <c r="E822" s="179"/>
      <c r="F822" s="179"/>
      <c r="G822" s="179"/>
      <c r="H822" s="179"/>
      <c r="I822" s="179"/>
      <c r="J822" s="179"/>
      <c r="K822" s="179"/>
      <c r="L822" s="179"/>
      <c r="M822" s="179"/>
      <c r="N822" s="179" t="s">
        <v>223</v>
      </c>
      <c r="O822" s="179"/>
      <c r="P822" s="179"/>
      <c r="Q822" s="191">
        <v>199.36</v>
      </c>
      <c r="R822" s="174"/>
      <c r="S822" s="174"/>
      <c r="T822" s="174"/>
      <c r="U822" s="174"/>
      <c r="V822" s="174"/>
      <c r="W822" s="202">
        <v>19.923400000000001</v>
      </c>
      <c r="X822" s="174"/>
      <c r="Y822" s="174"/>
      <c r="Z822" s="174"/>
      <c r="AA822" s="174"/>
      <c r="AB822" s="174"/>
      <c r="AC822" s="201">
        <v>3971.93</v>
      </c>
      <c r="AD822" s="174"/>
      <c r="AE822" s="174"/>
    </row>
    <row r="823" spans="1:31" ht="19.350000000000001" customHeight="1" x14ac:dyDescent="0.2">
      <c r="A823" s="168" t="s">
        <v>1399</v>
      </c>
      <c r="B823" s="179" t="s">
        <v>1293</v>
      </c>
      <c r="C823" s="179"/>
      <c r="D823" s="179"/>
      <c r="E823" s="179"/>
      <c r="F823" s="179"/>
      <c r="G823" s="179"/>
      <c r="H823" s="179"/>
      <c r="I823" s="179"/>
      <c r="J823" s="179"/>
      <c r="K823" s="179"/>
      <c r="L823" s="179"/>
      <c r="M823" s="179"/>
      <c r="N823" s="179" t="s">
        <v>223</v>
      </c>
      <c r="O823" s="179"/>
      <c r="P823" s="179"/>
      <c r="Q823" s="191">
        <v>811.04</v>
      </c>
      <c r="R823" s="174"/>
      <c r="S823" s="174"/>
      <c r="T823" s="174"/>
      <c r="U823" s="174"/>
      <c r="V823" s="174"/>
      <c r="W823" s="202">
        <v>65.801000000000002</v>
      </c>
      <c r="X823" s="174"/>
      <c r="Y823" s="174"/>
      <c r="Z823" s="174"/>
      <c r="AA823" s="174"/>
      <c r="AB823" s="174"/>
      <c r="AC823" s="196">
        <v>53367.24</v>
      </c>
      <c r="AD823" s="174"/>
      <c r="AE823" s="174"/>
    </row>
    <row r="824" spans="1:31" ht="9.6" customHeight="1" x14ac:dyDescent="0.2">
      <c r="A824" s="168" t="s">
        <v>1400</v>
      </c>
      <c r="B824" s="179" t="s">
        <v>1401</v>
      </c>
      <c r="C824" s="179"/>
      <c r="D824" s="179"/>
      <c r="E824" s="179"/>
      <c r="F824" s="179"/>
      <c r="G824" s="179"/>
      <c r="H824" s="179"/>
      <c r="I824" s="179"/>
      <c r="J824" s="179"/>
      <c r="K824" s="179"/>
      <c r="L824" s="179"/>
      <c r="M824" s="179"/>
      <c r="N824" s="179" t="s">
        <v>223</v>
      </c>
      <c r="O824" s="179"/>
      <c r="P824" s="179"/>
      <c r="Q824" s="191">
        <v>729.3</v>
      </c>
      <c r="R824" s="174"/>
      <c r="S824" s="174"/>
      <c r="T824" s="174"/>
      <c r="U824" s="174"/>
      <c r="V824" s="174"/>
      <c r="W824" s="191">
        <v>116.07</v>
      </c>
      <c r="X824" s="174"/>
      <c r="Y824" s="174"/>
      <c r="Z824" s="174"/>
      <c r="AA824" s="174"/>
      <c r="AB824" s="174"/>
      <c r="AC824" s="196">
        <v>84649.85</v>
      </c>
      <c r="AD824" s="174"/>
      <c r="AE824" s="174"/>
    </row>
    <row r="825" spans="1:31" ht="9.6" customHeight="1" x14ac:dyDescent="0.2">
      <c r="A825" s="167" t="s">
        <v>1402</v>
      </c>
      <c r="B825" s="176" t="s">
        <v>1295</v>
      </c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7"/>
      <c r="R825" s="177"/>
      <c r="S825" s="177"/>
      <c r="T825" s="177"/>
      <c r="U825" s="177"/>
      <c r="V825" s="177"/>
      <c r="W825" s="177"/>
      <c r="X825" s="177"/>
      <c r="Y825" s="177"/>
      <c r="Z825" s="177"/>
      <c r="AA825" s="177"/>
      <c r="AB825" s="177"/>
      <c r="AC825" s="198">
        <v>465285.45</v>
      </c>
      <c r="AD825" s="177"/>
      <c r="AE825" s="177"/>
    </row>
    <row r="826" spans="1:31" ht="9.75" customHeight="1" x14ac:dyDescent="0.2">
      <c r="A826" s="168" t="s">
        <v>1403</v>
      </c>
      <c r="B826" s="179" t="s">
        <v>1404</v>
      </c>
      <c r="C826" s="179"/>
      <c r="D826" s="179"/>
      <c r="E826" s="179"/>
      <c r="F826" s="179"/>
      <c r="G826" s="179"/>
      <c r="H826" s="179"/>
      <c r="I826" s="179"/>
      <c r="J826" s="179"/>
      <c r="K826" s="179"/>
      <c r="L826" s="179"/>
      <c r="M826" s="179"/>
      <c r="N826" s="179" t="s">
        <v>220</v>
      </c>
      <c r="O826" s="179"/>
      <c r="P826" s="179"/>
      <c r="Q826" s="191">
        <v>191.95</v>
      </c>
      <c r="R826" s="174"/>
      <c r="S826" s="174"/>
      <c r="T826" s="174"/>
      <c r="U826" s="174"/>
      <c r="V826" s="174"/>
      <c r="W826" s="173">
        <v>2354.326</v>
      </c>
      <c r="X826" s="174"/>
      <c r="Y826" s="174"/>
      <c r="Z826" s="174"/>
      <c r="AA826" s="174"/>
      <c r="AB826" s="174"/>
      <c r="AC826" s="200">
        <v>451912.88</v>
      </c>
      <c r="AD826" s="174"/>
      <c r="AE826" s="174"/>
    </row>
    <row r="827" spans="1:31" ht="19.350000000000001" customHeight="1" x14ac:dyDescent="0.2">
      <c r="A827" s="168" t="s">
        <v>1405</v>
      </c>
      <c r="B827" s="179" t="s">
        <v>1406</v>
      </c>
      <c r="C827" s="179"/>
      <c r="D827" s="179"/>
      <c r="E827" s="179"/>
      <c r="F827" s="179"/>
      <c r="G827" s="179"/>
      <c r="H827" s="179"/>
      <c r="I827" s="179"/>
      <c r="J827" s="179"/>
      <c r="K827" s="179"/>
      <c r="L827" s="179"/>
      <c r="M827" s="179"/>
      <c r="N827" s="179" t="s">
        <v>220</v>
      </c>
      <c r="O827" s="179"/>
      <c r="P827" s="179"/>
      <c r="Q827" s="180">
        <v>5.68</v>
      </c>
      <c r="R827" s="174"/>
      <c r="S827" s="174"/>
      <c r="T827" s="174"/>
      <c r="U827" s="174"/>
      <c r="V827" s="174"/>
      <c r="W827" s="173">
        <v>2354.326</v>
      </c>
      <c r="X827" s="174"/>
      <c r="Y827" s="174"/>
      <c r="Z827" s="174"/>
      <c r="AA827" s="174"/>
      <c r="AB827" s="174"/>
      <c r="AC827" s="196">
        <v>13372.57</v>
      </c>
      <c r="AD827" s="174"/>
      <c r="AE827" s="174"/>
    </row>
    <row r="828" spans="1:31" ht="19.350000000000001" customHeight="1" x14ac:dyDescent="0.2">
      <c r="A828" s="167" t="s">
        <v>1407</v>
      </c>
      <c r="B828" s="176" t="s">
        <v>1301</v>
      </c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7"/>
      <c r="R828" s="177"/>
      <c r="S828" s="177"/>
      <c r="T828" s="177"/>
      <c r="U828" s="177"/>
      <c r="V828" s="177"/>
      <c r="W828" s="177"/>
      <c r="X828" s="177"/>
      <c r="Y828" s="177"/>
      <c r="Z828" s="177"/>
      <c r="AA828" s="177"/>
      <c r="AB828" s="177"/>
      <c r="AC828" s="178">
        <v>1272530.52</v>
      </c>
      <c r="AD828" s="177"/>
      <c r="AE828" s="177"/>
    </row>
    <row r="829" spans="1:31" ht="9.75" customHeight="1" x14ac:dyDescent="0.2">
      <c r="A829" s="168" t="s">
        <v>1408</v>
      </c>
      <c r="B829" s="179" t="s">
        <v>1273</v>
      </c>
      <c r="C829" s="179"/>
      <c r="D829" s="179"/>
      <c r="E829" s="179"/>
      <c r="F829" s="179"/>
      <c r="G829" s="179"/>
      <c r="H829" s="179"/>
      <c r="I829" s="179"/>
      <c r="J829" s="179"/>
      <c r="K829" s="179"/>
      <c r="L829" s="179"/>
      <c r="M829" s="179"/>
      <c r="N829" s="179" t="s">
        <v>220</v>
      </c>
      <c r="O829" s="179"/>
      <c r="P829" s="179"/>
      <c r="Q829" s="202">
        <v>16.989999999999998</v>
      </c>
      <c r="R829" s="174"/>
      <c r="S829" s="174"/>
      <c r="T829" s="174"/>
      <c r="U829" s="174"/>
      <c r="V829" s="174"/>
      <c r="W829" s="191">
        <v>985.2</v>
      </c>
      <c r="X829" s="174"/>
      <c r="Y829" s="174"/>
      <c r="Z829" s="174"/>
      <c r="AA829" s="174"/>
      <c r="AB829" s="174"/>
      <c r="AC829" s="196">
        <v>16738.55</v>
      </c>
      <c r="AD829" s="174"/>
      <c r="AE829" s="174"/>
    </row>
    <row r="830" spans="1:31" ht="9.6" customHeight="1" x14ac:dyDescent="0.2">
      <c r="A830" s="168" t="s">
        <v>1409</v>
      </c>
      <c r="B830" s="179" t="s">
        <v>1410</v>
      </c>
      <c r="C830" s="179"/>
      <c r="D830" s="179"/>
      <c r="E830" s="179"/>
      <c r="F830" s="179"/>
      <c r="G830" s="179"/>
      <c r="H830" s="179"/>
      <c r="I830" s="179"/>
      <c r="J830" s="179"/>
      <c r="K830" s="179"/>
      <c r="L830" s="179"/>
      <c r="M830" s="179"/>
      <c r="N830" s="179" t="s">
        <v>220</v>
      </c>
      <c r="O830" s="179"/>
      <c r="P830" s="179"/>
      <c r="Q830" s="173">
        <v>9962.61</v>
      </c>
      <c r="R830" s="174"/>
      <c r="S830" s="174"/>
      <c r="T830" s="174"/>
      <c r="U830" s="174"/>
      <c r="V830" s="174"/>
      <c r="W830" s="191">
        <v>126.0505</v>
      </c>
      <c r="X830" s="174"/>
      <c r="Y830" s="174"/>
      <c r="Z830" s="174"/>
      <c r="AA830" s="174"/>
      <c r="AB830" s="174"/>
      <c r="AC830" s="175">
        <v>1255791.97</v>
      </c>
      <c r="AD830" s="174"/>
      <c r="AE830" s="174"/>
    </row>
    <row r="831" spans="1:31" ht="19.350000000000001" customHeight="1" x14ac:dyDescent="0.2">
      <c r="A831" s="167" t="s">
        <v>1411</v>
      </c>
      <c r="B831" s="176" t="s">
        <v>1308</v>
      </c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7"/>
      <c r="R831" s="177"/>
      <c r="S831" s="177"/>
      <c r="T831" s="177"/>
      <c r="U831" s="177"/>
      <c r="V831" s="177"/>
      <c r="W831" s="177"/>
      <c r="X831" s="177"/>
      <c r="Y831" s="177"/>
      <c r="Z831" s="177"/>
      <c r="AA831" s="177"/>
      <c r="AB831" s="177"/>
      <c r="AC831" s="178">
        <v>6304075.1200000001</v>
      </c>
      <c r="AD831" s="177"/>
      <c r="AE831" s="177"/>
    </row>
    <row r="832" spans="1:31" ht="9.75" customHeight="1" x14ac:dyDescent="0.2">
      <c r="A832" s="168" t="s">
        <v>1412</v>
      </c>
      <c r="B832" s="179" t="s">
        <v>1312</v>
      </c>
      <c r="C832" s="179"/>
      <c r="D832" s="179"/>
      <c r="E832" s="179"/>
      <c r="F832" s="179"/>
      <c r="G832" s="179"/>
      <c r="H832" s="179"/>
      <c r="I832" s="179"/>
      <c r="J832" s="179"/>
      <c r="K832" s="179"/>
      <c r="L832" s="179"/>
      <c r="M832" s="179"/>
      <c r="N832" s="179" t="s">
        <v>220</v>
      </c>
      <c r="O832" s="179"/>
      <c r="P832" s="179"/>
      <c r="Q832" s="173">
        <v>3072.53</v>
      </c>
      <c r="R832" s="174"/>
      <c r="S832" s="174"/>
      <c r="T832" s="174"/>
      <c r="U832" s="174"/>
      <c r="V832" s="174"/>
      <c r="W832" s="173">
        <v>1856.2370000000001</v>
      </c>
      <c r="X832" s="174"/>
      <c r="Y832" s="174"/>
      <c r="Z832" s="174"/>
      <c r="AA832" s="174"/>
      <c r="AB832" s="174"/>
      <c r="AC832" s="175">
        <v>5703343.8700000001</v>
      </c>
      <c r="AD832" s="174"/>
      <c r="AE832" s="174"/>
    </row>
    <row r="833" spans="1:31" ht="19.350000000000001" customHeight="1" x14ac:dyDescent="0.2">
      <c r="A833" s="168" t="s">
        <v>1413</v>
      </c>
      <c r="B833" s="179" t="s">
        <v>1414</v>
      </c>
      <c r="C833" s="179"/>
      <c r="D833" s="179"/>
      <c r="E833" s="179"/>
      <c r="F833" s="179"/>
      <c r="G833" s="179"/>
      <c r="H833" s="179"/>
      <c r="I833" s="179"/>
      <c r="J833" s="179"/>
      <c r="K833" s="179"/>
      <c r="L833" s="179"/>
      <c r="M833" s="179"/>
      <c r="N833" s="179" t="s">
        <v>223</v>
      </c>
      <c r="O833" s="179"/>
      <c r="P833" s="179"/>
      <c r="Q833" s="195">
        <v>11442.5</v>
      </c>
      <c r="R833" s="174"/>
      <c r="S833" s="174"/>
      <c r="T833" s="174"/>
      <c r="U833" s="174"/>
      <c r="V833" s="174"/>
      <c r="W833" s="202">
        <v>52.5</v>
      </c>
      <c r="X833" s="174"/>
      <c r="Y833" s="174"/>
      <c r="Z833" s="174"/>
      <c r="AA833" s="174"/>
      <c r="AB833" s="174"/>
      <c r="AC833" s="200">
        <v>600731.25</v>
      </c>
      <c r="AD833" s="174"/>
      <c r="AE833" s="174"/>
    </row>
    <row r="834" spans="1:31" ht="9.6" customHeight="1" x14ac:dyDescent="0.2">
      <c r="A834" s="167" t="s">
        <v>1415</v>
      </c>
      <c r="B834" s="176" t="s">
        <v>693</v>
      </c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7"/>
      <c r="R834" s="177"/>
      <c r="S834" s="177"/>
      <c r="T834" s="177"/>
      <c r="U834" s="177"/>
      <c r="V834" s="177"/>
      <c r="W834" s="177"/>
      <c r="X834" s="177"/>
      <c r="Y834" s="177"/>
      <c r="Z834" s="177"/>
      <c r="AA834" s="177"/>
      <c r="AB834" s="177"/>
      <c r="AC834" s="178">
        <v>1198572.8700000001</v>
      </c>
      <c r="AD834" s="177"/>
      <c r="AE834" s="177"/>
    </row>
    <row r="835" spans="1:31" ht="9.75" customHeight="1" x14ac:dyDescent="0.2">
      <c r="A835" s="168" t="s">
        <v>1416</v>
      </c>
      <c r="B835" s="179" t="s">
        <v>1321</v>
      </c>
      <c r="C835" s="179"/>
      <c r="D835" s="179"/>
      <c r="E835" s="179"/>
      <c r="F835" s="179"/>
      <c r="G835" s="179"/>
      <c r="H835" s="179"/>
      <c r="I835" s="179"/>
      <c r="J835" s="179"/>
      <c r="K835" s="179"/>
      <c r="L835" s="179"/>
      <c r="M835" s="179"/>
      <c r="N835" s="179" t="s">
        <v>220</v>
      </c>
      <c r="O835" s="179"/>
      <c r="P835" s="179"/>
      <c r="Q835" s="195">
        <v>12938.86</v>
      </c>
      <c r="R835" s="174"/>
      <c r="S835" s="174"/>
      <c r="T835" s="174"/>
      <c r="U835" s="174"/>
      <c r="V835" s="174"/>
      <c r="W835" s="202">
        <v>42</v>
      </c>
      <c r="X835" s="174"/>
      <c r="Y835" s="174"/>
      <c r="Z835" s="174"/>
      <c r="AA835" s="174"/>
      <c r="AB835" s="174"/>
      <c r="AC835" s="200">
        <v>543432.12</v>
      </c>
      <c r="AD835" s="174"/>
      <c r="AE835" s="174"/>
    </row>
    <row r="836" spans="1:31" ht="19.350000000000001" customHeight="1" x14ac:dyDescent="0.2">
      <c r="A836" s="168" t="s">
        <v>1417</v>
      </c>
      <c r="B836" s="179" t="s">
        <v>1323</v>
      </c>
      <c r="C836" s="179"/>
      <c r="D836" s="179"/>
      <c r="E836" s="179"/>
      <c r="F836" s="179"/>
      <c r="G836" s="179"/>
      <c r="H836" s="179"/>
      <c r="I836" s="179"/>
      <c r="J836" s="179"/>
      <c r="K836" s="179"/>
      <c r="L836" s="179"/>
      <c r="M836" s="179"/>
      <c r="N836" s="179" t="s">
        <v>220</v>
      </c>
      <c r="O836" s="179"/>
      <c r="P836" s="179"/>
      <c r="Q836" s="173">
        <v>9962.61</v>
      </c>
      <c r="R836" s="174"/>
      <c r="S836" s="174"/>
      <c r="T836" s="174"/>
      <c r="U836" s="174"/>
      <c r="V836" s="174"/>
      <c r="W836" s="202">
        <v>45</v>
      </c>
      <c r="X836" s="174"/>
      <c r="Y836" s="174"/>
      <c r="Z836" s="174"/>
      <c r="AA836" s="174"/>
      <c r="AB836" s="174"/>
      <c r="AC836" s="200">
        <v>448317.45</v>
      </c>
      <c r="AD836" s="174"/>
      <c r="AE836" s="174"/>
    </row>
    <row r="837" spans="1:31" ht="19.350000000000001" customHeight="1" x14ac:dyDescent="0.2">
      <c r="A837" s="168" t="s">
        <v>1418</v>
      </c>
      <c r="B837" s="179" t="s">
        <v>1327</v>
      </c>
      <c r="C837" s="179"/>
      <c r="D837" s="179"/>
      <c r="E837" s="179"/>
      <c r="F837" s="179"/>
      <c r="G837" s="179"/>
      <c r="H837" s="179"/>
      <c r="I837" s="179"/>
      <c r="J837" s="179"/>
      <c r="K837" s="179"/>
      <c r="L837" s="179"/>
      <c r="M837" s="179"/>
      <c r="N837" s="179" t="s">
        <v>220</v>
      </c>
      <c r="O837" s="179"/>
      <c r="P837" s="179"/>
      <c r="Q837" s="173">
        <v>3072.53</v>
      </c>
      <c r="R837" s="174"/>
      <c r="S837" s="174"/>
      <c r="T837" s="174"/>
      <c r="U837" s="174"/>
      <c r="V837" s="174"/>
      <c r="W837" s="202">
        <v>52</v>
      </c>
      <c r="X837" s="174"/>
      <c r="Y837" s="174"/>
      <c r="Z837" s="174"/>
      <c r="AA837" s="174"/>
      <c r="AB837" s="174"/>
      <c r="AC837" s="200">
        <v>159771.56</v>
      </c>
      <c r="AD837" s="174"/>
      <c r="AE837" s="174"/>
    </row>
    <row r="838" spans="1:31" ht="9.6" customHeight="1" x14ac:dyDescent="0.2">
      <c r="A838" s="168" t="s">
        <v>1419</v>
      </c>
      <c r="B838" s="179" t="s">
        <v>1329</v>
      </c>
      <c r="C838" s="179"/>
      <c r="D838" s="179"/>
      <c r="E838" s="179"/>
      <c r="F838" s="179"/>
      <c r="G838" s="179"/>
      <c r="H838" s="179"/>
      <c r="I838" s="179"/>
      <c r="J838" s="179"/>
      <c r="K838" s="179"/>
      <c r="L838" s="179"/>
      <c r="M838" s="179"/>
      <c r="N838" s="179" t="s">
        <v>223</v>
      </c>
      <c r="O838" s="179"/>
      <c r="P838" s="179"/>
      <c r="Q838" s="191">
        <v>199.36</v>
      </c>
      <c r="R838" s="174"/>
      <c r="S838" s="174"/>
      <c r="T838" s="174"/>
      <c r="U838" s="174"/>
      <c r="V838" s="174"/>
      <c r="W838" s="202">
        <v>22</v>
      </c>
      <c r="X838" s="174"/>
      <c r="Y838" s="174"/>
      <c r="Z838" s="174"/>
      <c r="AA838" s="174"/>
      <c r="AB838" s="174"/>
      <c r="AC838" s="201">
        <v>4385.92</v>
      </c>
      <c r="AD838" s="174"/>
      <c r="AE838" s="174"/>
    </row>
    <row r="839" spans="1:31" ht="9.6" customHeight="1" x14ac:dyDescent="0.2">
      <c r="A839" s="168" t="s">
        <v>1420</v>
      </c>
      <c r="B839" s="179" t="s">
        <v>1335</v>
      </c>
      <c r="C839" s="179"/>
      <c r="D839" s="179"/>
      <c r="E839" s="179"/>
      <c r="F839" s="179"/>
      <c r="G839" s="179"/>
      <c r="H839" s="179"/>
      <c r="I839" s="179"/>
      <c r="J839" s="179"/>
      <c r="K839" s="179"/>
      <c r="L839" s="179"/>
      <c r="M839" s="179"/>
      <c r="N839" s="179" t="s">
        <v>223</v>
      </c>
      <c r="O839" s="179"/>
      <c r="P839" s="179"/>
      <c r="Q839" s="191">
        <v>811.04</v>
      </c>
      <c r="R839" s="174"/>
      <c r="S839" s="174"/>
      <c r="T839" s="174"/>
      <c r="U839" s="174"/>
      <c r="V839" s="174"/>
      <c r="W839" s="202">
        <v>22</v>
      </c>
      <c r="X839" s="174"/>
      <c r="Y839" s="174"/>
      <c r="Z839" s="174"/>
      <c r="AA839" s="174"/>
      <c r="AB839" s="174"/>
      <c r="AC839" s="196">
        <v>17842.88</v>
      </c>
      <c r="AD839" s="174"/>
      <c r="AE839" s="174"/>
    </row>
    <row r="840" spans="1:31" ht="9.6" customHeight="1" x14ac:dyDescent="0.2">
      <c r="A840" s="168" t="s">
        <v>1421</v>
      </c>
      <c r="B840" s="179" t="s">
        <v>1422</v>
      </c>
      <c r="C840" s="179"/>
      <c r="D840" s="179"/>
      <c r="E840" s="179"/>
      <c r="F840" s="179"/>
      <c r="G840" s="179"/>
      <c r="H840" s="179"/>
      <c r="I840" s="179"/>
      <c r="J840" s="179"/>
      <c r="K840" s="179"/>
      <c r="L840" s="179"/>
      <c r="M840" s="179"/>
      <c r="N840" s="179" t="s">
        <v>223</v>
      </c>
      <c r="O840" s="179"/>
      <c r="P840" s="179"/>
      <c r="Q840" s="191">
        <v>729.3</v>
      </c>
      <c r="R840" s="174"/>
      <c r="S840" s="174"/>
      <c r="T840" s="174"/>
      <c r="U840" s="174"/>
      <c r="V840" s="174"/>
      <c r="W840" s="202">
        <v>22</v>
      </c>
      <c r="X840" s="174"/>
      <c r="Y840" s="174"/>
      <c r="Z840" s="174"/>
      <c r="AA840" s="174"/>
      <c r="AB840" s="174"/>
      <c r="AC840" s="196">
        <v>16044.6</v>
      </c>
      <c r="AD840" s="174"/>
      <c r="AE840" s="174"/>
    </row>
    <row r="841" spans="1:31" ht="9.6" customHeight="1" x14ac:dyDescent="0.2">
      <c r="A841" s="168" t="s">
        <v>1423</v>
      </c>
      <c r="B841" s="179" t="s">
        <v>1337</v>
      </c>
      <c r="C841" s="179"/>
      <c r="D841" s="179"/>
      <c r="E841" s="179"/>
      <c r="F841" s="179"/>
      <c r="G841" s="179"/>
      <c r="H841" s="179"/>
      <c r="I841" s="179"/>
      <c r="J841" s="179"/>
      <c r="K841" s="179"/>
      <c r="L841" s="179"/>
      <c r="M841" s="179"/>
      <c r="N841" s="179" t="s">
        <v>220</v>
      </c>
      <c r="O841" s="179"/>
      <c r="P841" s="179"/>
      <c r="Q841" s="191">
        <v>197.63</v>
      </c>
      <c r="R841" s="174"/>
      <c r="S841" s="174"/>
      <c r="T841" s="174"/>
      <c r="U841" s="174"/>
      <c r="V841" s="174"/>
      <c r="W841" s="202">
        <v>38</v>
      </c>
      <c r="X841" s="174"/>
      <c r="Y841" s="174"/>
      <c r="Z841" s="174"/>
      <c r="AA841" s="174"/>
      <c r="AB841" s="174"/>
      <c r="AC841" s="201">
        <v>7509.94</v>
      </c>
      <c r="AD841" s="174"/>
      <c r="AE841" s="174"/>
    </row>
    <row r="842" spans="1:31" ht="19.350000000000001" customHeight="1" x14ac:dyDescent="0.2">
      <c r="A842" s="168" t="s">
        <v>1424</v>
      </c>
      <c r="B842" s="179" t="s">
        <v>1339</v>
      </c>
      <c r="C842" s="179"/>
      <c r="D842" s="179"/>
      <c r="E842" s="179"/>
      <c r="F842" s="179"/>
      <c r="G842" s="179"/>
      <c r="H842" s="179"/>
      <c r="I842" s="179"/>
      <c r="J842" s="179"/>
      <c r="K842" s="179"/>
      <c r="L842" s="179"/>
      <c r="M842" s="179"/>
      <c r="N842" s="179" t="s">
        <v>220</v>
      </c>
      <c r="O842" s="179"/>
      <c r="P842" s="179"/>
      <c r="Q842" s="202">
        <v>30.2</v>
      </c>
      <c r="R842" s="174"/>
      <c r="S842" s="174"/>
      <c r="T842" s="174"/>
      <c r="U842" s="174"/>
      <c r="V842" s="174"/>
      <c r="W842" s="202">
        <v>42</v>
      </c>
      <c r="X842" s="174"/>
      <c r="Y842" s="174"/>
      <c r="Z842" s="174"/>
      <c r="AA842" s="174"/>
      <c r="AB842" s="174"/>
      <c r="AC842" s="201">
        <v>1268.4000000000001</v>
      </c>
      <c r="AD842" s="174"/>
      <c r="AE842" s="174"/>
    </row>
    <row r="843" spans="1:31" ht="9.6" customHeight="1" x14ac:dyDescent="0.2">
      <c r="A843" s="167" t="s">
        <v>1425</v>
      </c>
      <c r="B843" s="176" t="s">
        <v>1426</v>
      </c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7"/>
      <c r="R843" s="177"/>
      <c r="S843" s="177"/>
      <c r="T843" s="177"/>
      <c r="U843" s="177"/>
      <c r="V843" s="177"/>
      <c r="W843" s="177"/>
      <c r="X843" s="177"/>
      <c r="Y843" s="177"/>
      <c r="Z843" s="177"/>
      <c r="AA843" s="177"/>
      <c r="AB843" s="177"/>
      <c r="AC843" s="178">
        <v>1350371.14</v>
      </c>
      <c r="AD843" s="177"/>
      <c r="AE843" s="177"/>
    </row>
    <row r="844" spans="1:31" ht="9.75" customHeight="1" x14ac:dyDescent="0.2">
      <c r="A844" s="167" t="s">
        <v>1427</v>
      </c>
      <c r="B844" s="176" t="s">
        <v>1267</v>
      </c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7"/>
      <c r="R844" s="177"/>
      <c r="S844" s="177"/>
      <c r="T844" s="177"/>
      <c r="U844" s="177"/>
      <c r="V844" s="177"/>
      <c r="W844" s="177"/>
      <c r="X844" s="177"/>
      <c r="Y844" s="177"/>
      <c r="Z844" s="177"/>
      <c r="AA844" s="177"/>
      <c r="AB844" s="177"/>
      <c r="AC844" s="198">
        <v>542204.34</v>
      </c>
      <c r="AD844" s="177"/>
      <c r="AE844" s="177"/>
    </row>
    <row r="845" spans="1:31" ht="9.75" customHeight="1" x14ac:dyDescent="0.2">
      <c r="A845" s="168" t="s">
        <v>1428</v>
      </c>
      <c r="B845" s="179" t="s">
        <v>1269</v>
      </c>
      <c r="C845" s="179"/>
      <c r="D845" s="179"/>
      <c r="E845" s="179"/>
      <c r="F845" s="179"/>
      <c r="G845" s="179"/>
      <c r="H845" s="179"/>
      <c r="I845" s="179"/>
      <c r="J845" s="179"/>
      <c r="K845" s="179"/>
      <c r="L845" s="179"/>
      <c r="M845" s="179"/>
      <c r="N845" s="179" t="s">
        <v>220</v>
      </c>
      <c r="O845" s="179"/>
      <c r="P845" s="179"/>
      <c r="Q845" s="191">
        <v>315.7</v>
      </c>
      <c r="R845" s="174"/>
      <c r="S845" s="174"/>
      <c r="T845" s="174"/>
      <c r="U845" s="174"/>
      <c r="V845" s="174"/>
      <c r="W845" s="173">
        <v>1682.9893999999999</v>
      </c>
      <c r="X845" s="174"/>
      <c r="Y845" s="174"/>
      <c r="Z845" s="174"/>
      <c r="AA845" s="174"/>
      <c r="AB845" s="174"/>
      <c r="AC845" s="200">
        <v>531319.75</v>
      </c>
      <c r="AD845" s="174"/>
      <c r="AE845" s="174"/>
    </row>
    <row r="846" spans="1:31" ht="9.6" customHeight="1" x14ac:dyDescent="0.2">
      <c r="A846" s="168" t="s">
        <v>1429</v>
      </c>
      <c r="B846" s="179" t="s">
        <v>1346</v>
      </c>
      <c r="C846" s="179"/>
      <c r="D846" s="179"/>
      <c r="E846" s="179"/>
      <c r="F846" s="179"/>
      <c r="G846" s="179"/>
      <c r="H846" s="179"/>
      <c r="I846" s="179"/>
      <c r="J846" s="179"/>
      <c r="K846" s="179"/>
      <c r="L846" s="179"/>
      <c r="M846" s="179"/>
      <c r="N846" s="179" t="s">
        <v>220</v>
      </c>
      <c r="O846" s="179"/>
      <c r="P846" s="179"/>
      <c r="Q846" s="191">
        <v>131.88999999999999</v>
      </c>
      <c r="R846" s="174"/>
      <c r="S846" s="174"/>
      <c r="T846" s="174"/>
      <c r="U846" s="174"/>
      <c r="V846" s="174"/>
      <c r="W846" s="202">
        <v>76.05</v>
      </c>
      <c r="X846" s="174"/>
      <c r="Y846" s="174"/>
      <c r="Z846" s="174"/>
      <c r="AA846" s="174"/>
      <c r="AB846" s="174"/>
      <c r="AC846" s="196">
        <v>10030.23</v>
      </c>
      <c r="AD846" s="174"/>
      <c r="AE846" s="174"/>
    </row>
    <row r="847" spans="1:31" ht="19.350000000000001" customHeight="1" x14ac:dyDescent="0.2">
      <c r="A847" s="168" t="s">
        <v>1430</v>
      </c>
      <c r="B847" s="179" t="s">
        <v>1352</v>
      </c>
      <c r="C847" s="179"/>
      <c r="D847" s="179"/>
      <c r="E847" s="179"/>
      <c r="F847" s="179"/>
      <c r="G847" s="179"/>
      <c r="H847" s="179"/>
      <c r="I847" s="179"/>
      <c r="J847" s="179"/>
      <c r="K847" s="179"/>
      <c r="L847" s="179"/>
      <c r="M847" s="179"/>
      <c r="N847" s="179" t="s">
        <v>223</v>
      </c>
      <c r="O847" s="179"/>
      <c r="P847" s="179"/>
      <c r="Q847" s="202">
        <v>20.89</v>
      </c>
      <c r="R847" s="174"/>
      <c r="S847" s="174"/>
      <c r="T847" s="174"/>
      <c r="U847" s="174"/>
      <c r="V847" s="174"/>
      <c r="W847" s="180">
        <v>8.1709999999999994</v>
      </c>
      <c r="X847" s="174"/>
      <c r="Y847" s="174"/>
      <c r="Z847" s="174"/>
      <c r="AA847" s="174"/>
      <c r="AB847" s="174"/>
      <c r="AC847" s="205">
        <v>170.69</v>
      </c>
      <c r="AD847" s="174"/>
      <c r="AE847" s="174"/>
    </row>
    <row r="848" spans="1:31" ht="19.350000000000001" customHeight="1" x14ac:dyDescent="0.2">
      <c r="A848" s="168" t="s">
        <v>1431</v>
      </c>
      <c r="B848" s="179" t="s">
        <v>1293</v>
      </c>
      <c r="C848" s="179"/>
      <c r="D848" s="179"/>
      <c r="E848" s="179"/>
      <c r="F848" s="179"/>
      <c r="G848" s="179"/>
      <c r="H848" s="179"/>
      <c r="I848" s="179"/>
      <c r="J848" s="179"/>
      <c r="K848" s="179"/>
      <c r="L848" s="179"/>
      <c r="M848" s="179"/>
      <c r="N848" s="179" t="s">
        <v>223</v>
      </c>
      <c r="O848" s="179"/>
      <c r="P848" s="179"/>
      <c r="Q848" s="202">
        <v>10.39</v>
      </c>
      <c r="R848" s="174"/>
      <c r="S848" s="174"/>
      <c r="T848" s="174"/>
      <c r="U848" s="174"/>
      <c r="V848" s="174"/>
      <c r="W848" s="202">
        <v>65.801000000000002</v>
      </c>
      <c r="X848" s="174"/>
      <c r="Y848" s="174"/>
      <c r="Z848" s="174"/>
      <c r="AA848" s="174"/>
      <c r="AB848" s="174"/>
      <c r="AC848" s="205">
        <v>683.67</v>
      </c>
      <c r="AD848" s="174"/>
      <c r="AE848" s="174"/>
    </row>
    <row r="849" spans="1:31" ht="9.6" customHeight="1" x14ac:dyDescent="0.2">
      <c r="A849" s="167" t="s">
        <v>1432</v>
      </c>
      <c r="B849" s="176" t="s">
        <v>1295</v>
      </c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7"/>
      <c r="R849" s="177"/>
      <c r="S849" s="177"/>
      <c r="T849" s="177"/>
      <c r="U849" s="177"/>
      <c r="V849" s="177"/>
      <c r="W849" s="177"/>
      <c r="X849" s="177"/>
      <c r="Y849" s="177"/>
      <c r="Z849" s="177"/>
      <c r="AA849" s="177"/>
      <c r="AB849" s="177"/>
      <c r="AC849" s="198">
        <v>382742.78</v>
      </c>
      <c r="AD849" s="177"/>
      <c r="AE849" s="177"/>
    </row>
    <row r="850" spans="1:31" ht="9.75" customHeight="1" x14ac:dyDescent="0.2">
      <c r="A850" s="168" t="s">
        <v>1433</v>
      </c>
      <c r="B850" s="179" t="s">
        <v>1404</v>
      </c>
      <c r="C850" s="179"/>
      <c r="D850" s="179"/>
      <c r="E850" s="179"/>
      <c r="F850" s="179"/>
      <c r="G850" s="179"/>
      <c r="H850" s="179"/>
      <c r="I850" s="179"/>
      <c r="J850" s="179"/>
      <c r="K850" s="179"/>
      <c r="L850" s="179"/>
      <c r="M850" s="179"/>
      <c r="N850" s="179" t="s">
        <v>220</v>
      </c>
      <c r="O850" s="179"/>
      <c r="P850" s="179"/>
      <c r="Q850" s="191">
        <v>162.57</v>
      </c>
      <c r="R850" s="174"/>
      <c r="S850" s="174"/>
      <c r="T850" s="174"/>
      <c r="U850" s="174"/>
      <c r="V850" s="174"/>
      <c r="W850" s="173">
        <v>2354.326</v>
      </c>
      <c r="X850" s="174"/>
      <c r="Y850" s="174"/>
      <c r="Z850" s="174"/>
      <c r="AA850" s="174"/>
      <c r="AB850" s="174"/>
      <c r="AC850" s="200">
        <v>382742.78</v>
      </c>
      <c r="AD850" s="174"/>
      <c r="AE850" s="174"/>
    </row>
    <row r="851" spans="1:31" ht="19.350000000000001" customHeight="1" x14ac:dyDescent="0.2">
      <c r="A851" s="167" t="s">
        <v>1434</v>
      </c>
      <c r="B851" s="176" t="s">
        <v>1308</v>
      </c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7"/>
      <c r="R851" s="177"/>
      <c r="S851" s="177"/>
      <c r="T851" s="177"/>
      <c r="U851" s="177"/>
      <c r="V851" s="177"/>
      <c r="W851" s="177"/>
      <c r="X851" s="177"/>
      <c r="Y851" s="177"/>
      <c r="Z851" s="177"/>
      <c r="AA851" s="177"/>
      <c r="AB851" s="177"/>
      <c r="AC851" s="198">
        <v>401763.94</v>
      </c>
      <c r="AD851" s="177"/>
      <c r="AE851" s="177"/>
    </row>
    <row r="852" spans="1:31" ht="9.75" customHeight="1" x14ac:dyDescent="0.2">
      <c r="A852" s="168" t="s">
        <v>1435</v>
      </c>
      <c r="B852" s="179" t="s">
        <v>1312</v>
      </c>
      <c r="C852" s="179"/>
      <c r="D852" s="179"/>
      <c r="E852" s="179"/>
      <c r="F852" s="179"/>
      <c r="G852" s="179"/>
      <c r="H852" s="179"/>
      <c r="I852" s="179"/>
      <c r="J852" s="179"/>
      <c r="K852" s="179"/>
      <c r="L852" s="179"/>
      <c r="M852" s="179"/>
      <c r="N852" s="179" t="s">
        <v>220</v>
      </c>
      <c r="O852" s="179"/>
      <c r="P852" s="179"/>
      <c r="Q852" s="191">
        <v>216.44</v>
      </c>
      <c r="R852" s="174"/>
      <c r="S852" s="174"/>
      <c r="T852" s="174"/>
      <c r="U852" s="174"/>
      <c r="V852" s="174"/>
      <c r="W852" s="173">
        <v>1856.2370000000001</v>
      </c>
      <c r="X852" s="174"/>
      <c r="Y852" s="174"/>
      <c r="Z852" s="174"/>
      <c r="AA852" s="174"/>
      <c r="AB852" s="174"/>
      <c r="AC852" s="200">
        <v>401763.94</v>
      </c>
      <c r="AD852" s="174"/>
      <c r="AE852" s="174"/>
    </row>
    <row r="853" spans="1:31" ht="19.350000000000001" customHeight="1" x14ac:dyDescent="0.2">
      <c r="A853" s="167" t="s">
        <v>1436</v>
      </c>
      <c r="B853" s="176" t="s">
        <v>693</v>
      </c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7"/>
      <c r="R853" s="177"/>
      <c r="S853" s="177"/>
      <c r="T853" s="177"/>
      <c r="U853" s="177"/>
      <c r="V853" s="177"/>
      <c r="W853" s="177"/>
      <c r="X853" s="177"/>
      <c r="Y853" s="177"/>
      <c r="Z853" s="177"/>
      <c r="AA853" s="177"/>
      <c r="AB853" s="177"/>
      <c r="AC853" s="194">
        <v>23660.080000000002</v>
      </c>
      <c r="AD853" s="177"/>
      <c r="AE853" s="177"/>
    </row>
    <row r="854" spans="1:31" ht="9.75" customHeight="1" x14ac:dyDescent="0.2">
      <c r="A854" s="168" t="s">
        <v>1437</v>
      </c>
      <c r="B854" s="179" t="s">
        <v>1321</v>
      </c>
      <c r="C854" s="179"/>
      <c r="D854" s="179"/>
      <c r="E854" s="179"/>
      <c r="F854" s="179"/>
      <c r="G854" s="179"/>
      <c r="H854" s="179"/>
      <c r="I854" s="179"/>
      <c r="J854" s="179"/>
      <c r="K854" s="179"/>
      <c r="L854" s="179"/>
      <c r="M854" s="179"/>
      <c r="N854" s="179" t="s">
        <v>220</v>
      </c>
      <c r="O854" s="179"/>
      <c r="P854" s="179"/>
      <c r="Q854" s="191">
        <v>131.88999999999999</v>
      </c>
      <c r="R854" s="174"/>
      <c r="S854" s="174"/>
      <c r="T854" s="174"/>
      <c r="U854" s="174"/>
      <c r="V854" s="174"/>
      <c r="W854" s="202">
        <v>42</v>
      </c>
      <c r="X854" s="174"/>
      <c r="Y854" s="174"/>
      <c r="Z854" s="174"/>
      <c r="AA854" s="174"/>
      <c r="AB854" s="174"/>
      <c r="AC854" s="201">
        <v>5539.38</v>
      </c>
      <c r="AD854" s="174"/>
      <c r="AE854" s="174"/>
    </row>
    <row r="855" spans="1:31" ht="19.350000000000001" customHeight="1" x14ac:dyDescent="0.2">
      <c r="A855" s="168" t="s">
        <v>1438</v>
      </c>
      <c r="B855" s="179" t="s">
        <v>1327</v>
      </c>
      <c r="C855" s="179"/>
      <c r="D855" s="179"/>
      <c r="E855" s="179"/>
      <c r="F855" s="179"/>
      <c r="G855" s="179"/>
      <c r="H855" s="179"/>
      <c r="I855" s="179"/>
      <c r="J855" s="179"/>
      <c r="K855" s="179"/>
      <c r="L855" s="179"/>
      <c r="M855" s="179"/>
      <c r="N855" s="179" t="s">
        <v>220</v>
      </c>
      <c r="O855" s="179"/>
      <c r="P855" s="179"/>
      <c r="Q855" s="191">
        <v>216.44</v>
      </c>
      <c r="R855" s="174"/>
      <c r="S855" s="174"/>
      <c r="T855" s="174"/>
      <c r="U855" s="174"/>
      <c r="V855" s="174"/>
      <c r="W855" s="202">
        <v>52</v>
      </c>
      <c r="X855" s="174"/>
      <c r="Y855" s="174"/>
      <c r="Z855" s="174"/>
      <c r="AA855" s="174"/>
      <c r="AB855" s="174"/>
      <c r="AC855" s="196">
        <v>11254.88</v>
      </c>
      <c r="AD855" s="174"/>
      <c r="AE855" s="174"/>
    </row>
    <row r="856" spans="1:31" ht="9.6" customHeight="1" x14ac:dyDescent="0.2">
      <c r="A856" s="168" t="s">
        <v>1439</v>
      </c>
      <c r="B856" s="179" t="s">
        <v>1329</v>
      </c>
      <c r="C856" s="179"/>
      <c r="D856" s="179"/>
      <c r="E856" s="179"/>
      <c r="F856" s="179"/>
      <c r="G856" s="179"/>
      <c r="H856" s="179"/>
      <c r="I856" s="179"/>
      <c r="J856" s="179"/>
      <c r="K856" s="179"/>
      <c r="L856" s="179"/>
      <c r="M856" s="179"/>
      <c r="N856" s="179" t="s">
        <v>223</v>
      </c>
      <c r="O856" s="179"/>
      <c r="P856" s="179"/>
      <c r="Q856" s="202">
        <v>20.89</v>
      </c>
      <c r="R856" s="174"/>
      <c r="S856" s="174"/>
      <c r="T856" s="174"/>
      <c r="U856" s="174"/>
      <c r="V856" s="174"/>
      <c r="W856" s="202">
        <v>22</v>
      </c>
      <c r="X856" s="174"/>
      <c r="Y856" s="174"/>
      <c r="Z856" s="174"/>
      <c r="AA856" s="174"/>
      <c r="AB856" s="174"/>
      <c r="AC856" s="205">
        <v>459.58</v>
      </c>
      <c r="AD856" s="174"/>
      <c r="AE856" s="174"/>
    </row>
    <row r="857" spans="1:31" ht="9.6" customHeight="1" x14ac:dyDescent="0.2">
      <c r="A857" s="168" t="s">
        <v>1440</v>
      </c>
      <c r="B857" s="179" t="s">
        <v>1335</v>
      </c>
      <c r="C857" s="179"/>
      <c r="D857" s="179"/>
      <c r="E857" s="179"/>
      <c r="F857" s="179"/>
      <c r="G857" s="179"/>
      <c r="H857" s="179"/>
      <c r="I857" s="179"/>
      <c r="J857" s="179"/>
      <c r="K857" s="179"/>
      <c r="L857" s="179"/>
      <c r="M857" s="179"/>
      <c r="N857" s="179" t="s">
        <v>223</v>
      </c>
      <c r="O857" s="179"/>
      <c r="P857" s="179"/>
      <c r="Q857" s="202">
        <v>10.39</v>
      </c>
      <c r="R857" s="174"/>
      <c r="S857" s="174"/>
      <c r="T857" s="174"/>
      <c r="U857" s="174"/>
      <c r="V857" s="174"/>
      <c r="W857" s="202">
        <v>22</v>
      </c>
      <c r="X857" s="174"/>
      <c r="Y857" s="174"/>
      <c r="Z857" s="174"/>
      <c r="AA857" s="174"/>
      <c r="AB857" s="174"/>
      <c r="AC857" s="205">
        <v>228.58</v>
      </c>
      <c r="AD857" s="174"/>
      <c r="AE857" s="174"/>
    </row>
    <row r="858" spans="1:31" ht="9.6" customHeight="1" x14ac:dyDescent="0.2">
      <c r="A858" s="168" t="s">
        <v>1441</v>
      </c>
      <c r="B858" s="179" t="s">
        <v>1337</v>
      </c>
      <c r="C858" s="179"/>
      <c r="D858" s="179"/>
      <c r="E858" s="179"/>
      <c r="F858" s="179"/>
      <c r="G858" s="179"/>
      <c r="H858" s="179"/>
      <c r="I858" s="179"/>
      <c r="J858" s="179"/>
      <c r="K858" s="179"/>
      <c r="L858" s="179"/>
      <c r="M858" s="179"/>
      <c r="N858" s="179" t="s">
        <v>220</v>
      </c>
      <c r="O858" s="179"/>
      <c r="P858" s="179"/>
      <c r="Q858" s="191">
        <v>162.57</v>
      </c>
      <c r="R858" s="174"/>
      <c r="S858" s="174"/>
      <c r="T858" s="174"/>
      <c r="U858" s="174"/>
      <c r="V858" s="174"/>
      <c r="W858" s="202">
        <v>38</v>
      </c>
      <c r="X858" s="174"/>
      <c r="Y858" s="174"/>
      <c r="Z858" s="174"/>
      <c r="AA858" s="174"/>
      <c r="AB858" s="174"/>
      <c r="AC858" s="201">
        <v>6177.66</v>
      </c>
      <c r="AD858" s="174"/>
      <c r="AE858" s="174"/>
    </row>
    <row r="859" spans="1:31" ht="19.350000000000001" customHeight="1" x14ac:dyDescent="0.2">
      <c r="A859" s="167" t="s">
        <v>1442</v>
      </c>
      <c r="B859" s="176" t="s">
        <v>11</v>
      </c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7"/>
      <c r="R859" s="177"/>
      <c r="S859" s="177"/>
      <c r="T859" s="177"/>
      <c r="U859" s="177"/>
      <c r="V859" s="177"/>
      <c r="W859" s="177"/>
      <c r="X859" s="177"/>
      <c r="Y859" s="177"/>
      <c r="Z859" s="177"/>
      <c r="AA859" s="177"/>
      <c r="AB859" s="177"/>
      <c r="AC859" s="197">
        <v>24623391.41</v>
      </c>
      <c r="AD859" s="177"/>
      <c r="AE859" s="177"/>
    </row>
    <row r="860" spans="1:31" ht="9.75" customHeight="1" x14ac:dyDescent="0.2">
      <c r="A860" s="167" t="s">
        <v>1443</v>
      </c>
      <c r="B860" s="176" t="s">
        <v>1444</v>
      </c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7"/>
      <c r="R860" s="177"/>
      <c r="S860" s="177"/>
      <c r="T860" s="177"/>
      <c r="U860" s="177"/>
      <c r="V860" s="177"/>
      <c r="W860" s="177"/>
      <c r="X860" s="177"/>
      <c r="Y860" s="177"/>
      <c r="Z860" s="177"/>
      <c r="AA860" s="177"/>
      <c r="AB860" s="177"/>
      <c r="AC860" s="197">
        <v>18903096.440000001</v>
      </c>
      <c r="AD860" s="177"/>
      <c r="AE860" s="177"/>
    </row>
    <row r="861" spans="1:31" ht="9.75" customHeight="1" x14ac:dyDescent="0.2">
      <c r="A861" s="167" t="s">
        <v>1445</v>
      </c>
      <c r="B861" s="176" t="s">
        <v>1446</v>
      </c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7"/>
      <c r="R861" s="177"/>
      <c r="S861" s="177"/>
      <c r="T861" s="177"/>
      <c r="U861" s="177"/>
      <c r="V861" s="177"/>
      <c r="W861" s="177"/>
      <c r="X861" s="177"/>
      <c r="Y861" s="177"/>
      <c r="Z861" s="177"/>
      <c r="AA861" s="177"/>
      <c r="AB861" s="177"/>
      <c r="AC861" s="198">
        <v>117985.05</v>
      </c>
      <c r="AD861" s="177"/>
      <c r="AE861" s="177"/>
    </row>
    <row r="862" spans="1:31" ht="9.75" customHeight="1" x14ac:dyDescent="0.2">
      <c r="A862" s="168" t="s">
        <v>1447</v>
      </c>
      <c r="B862" s="179" t="s">
        <v>1448</v>
      </c>
      <c r="C862" s="179"/>
      <c r="D862" s="179"/>
      <c r="E862" s="179"/>
      <c r="F862" s="179"/>
      <c r="G862" s="179"/>
      <c r="H862" s="179"/>
      <c r="I862" s="179"/>
      <c r="J862" s="179"/>
      <c r="K862" s="179"/>
      <c r="L862" s="179"/>
      <c r="M862" s="179"/>
      <c r="N862" s="179" t="s">
        <v>223</v>
      </c>
      <c r="O862" s="179"/>
      <c r="P862" s="179"/>
      <c r="Q862" s="173">
        <v>1786.97</v>
      </c>
      <c r="R862" s="174"/>
      <c r="S862" s="174"/>
      <c r="T862" s="174"/>
      <c r="U862" s="174"/>
      <c r="V862" s="174"/>
      <c r="W862" s="202">
        <v>66.025199999999998</v>
      </c>
      <c r="X862" s="174"/>
      <c r="Y862" s="174"/>
      <c r="Z862" s="174"/>
      <c r="AA862" s="174"/>
      <c r="AB862" s="174"/>
      <c r="AC862" s="200">
        <v>117985.05</v>
      </c>
      <c r="AD862" s="174"/>
      <c r="AE862" s="174"/>
    </row>
    <row r="863" spans="1:31" ht="9.6" customHeight="1" x14ac:dyDescent="0.2">
      <c r="A863" s="167" t="s">
        <v>1449</v>
      </c>
      <c r="B863" s="176" t="s">
        <v>1450</v>
      </c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7"/>
      <c r="R863" s="177"/>
      <c r="S863" s="177"/>
      <c r="T863" s="177"/>
      <c r="U863" s="177"/>
      <c r="V863" s="177"/>
      <c r="W863" s="177"/>
      <c r="X863" s="177"/>
      <c r="Y863" s="177"/>
      <c r="Z863" s="177"/>
      <c r="AA863" s="177"/>
      <c r="AB863" s="177"/>
      <c r="AC863" s="197">
        <v>18416214.329999998</v>
      </c>
      <c r="AD863" s="177"/>
      <c r="AE863" s="177"/>
    </row>
    <row r="864" spans="1:31" ht="9.75" customHeight="1" x14ac:dyDescent="0.2">
      <c r="A864" s="168" t="s">
        <v>1451</v>
      </c>
      <c r="B864" s="179" t="s">
        <v>1452</v>
      </c>
      <c r="C864" s="179"/>
      <c r="D864" s="179"/>
      <c r="E864" s="179"/>
      <c r="F864" s="179"/>
      <c r="G864" s="179"/>
      <c r="H864" s="179"/>
      <c r="I864" s="179"/>
      <c r="J864" s="179"/>
      <c r="K864" s="179"/>
      <c r="L864" s="179"/>
      <c r="M864" s="179"/>
      <c r="N864" s="179" t="s">
        <v>220</v>
      </c>
      <c r="O864" s="179"/>
      <c r="P864" s="179"/>
      <c r="Q864" s="173">
        <v>7549.72</v>
      </c>
      <c r="R864" s="174"/>
      <c r="S864" s="174"/>
      <c r="T864" s="174"/>
      <c r="U864" s="174"/>
      <c r="V864" s="174"/>
      <c r="W864" s="173">
        <v>1217.8399999999999</v>
      </c>
      <c r="X864" s="174"/>
      <c r="Y864" s="174"/>
      <c r="Z864" s="174"/>
      <c r="AA864" s="174"/>
      <c r="AB864" s="174"/>
      <c r="AC864" s="175">
        <v>9194351</v>
      </c>
      <c r="AD864" s="174"/>
      <c r="AE864" s="174"/>
    </row>
    <row r="865" spans="1:31" ht="9.6" customHeight="1" x14ac:dyDescent="0.2">
      <c r="A865" s="168" t="s">
        <v>1453</v>
      </c>
      <c r="B865" s="179" t="s">
        <v>1454</v>
      </c>
      <c r="C865" s="179"/>
      <c r="D865" s="179"/>
      <c r="E865" s="179"/>
      <c r="F865" s="179"/>
      <c r="G865" s="179"/>
      <c r="H865" s="179"/>
      <c r="I865" s="179"/>
      <c r="J865" s="179"/>
      <c r="K865" s="179"/>
      <c r="L865" s="179"/>
      <c r="M865" s="179"/>
      <c r="N865" s="179" t="s">
        <v>220</v>
      </c>
      <c r="O865" s="179"/>
      <c r="P865" s="179"/>
      <c r="Q865" s="202">
        <v>28.52</v>
      </c>
      <c r="R865" s="174"/>
      <c r="S865" s="174"/>
      <c r="T865" s="174"/>
      <c r="U865" s="174"/>
      <c r="V865" s="174"/>
      <c r="W865" s="173">
        <v>1023.88</v>
      </c>
      <c r="X865" s="174"/>
      <c r="Y865" s="174"/>
      <c r="Z865" s="174"/>
      <c r="AA865" s="174"/>
      <c r="AB865" s="174"/>
      <c r="AC865" s="196">
        <v>29201.06</v>
      </c>
      <c r="AD865" s="174"/>
      <c r="AE865" s="174"/>
    </row>
    <row r="866" spans="1:31" ht="9.6" customHeight="1" x14ac:dyDescent="0.2">
      <c r="A866" s="168" t="s">
        <v>1455</v>
      </c>
      <c r="B866" s="179" t="s">
        <v>1456</v>
      </c>
      <c r="C866" s="179"/>
      <c r="D866" s="179"/>
      <c r="E866" s="179"/>
      <c r="F866" s="179"/>
      <c r="G866" s="179"/>
      <c r="H866" s="179"/>
      <c r="I866" s="179"/>
      <c r="J866" s="179"/>
      <c r="K866" s="179"/>
      <c r="L866" s="179"/>
      <c r="M866" s="179"/>
      <c r="N866" s="179" t="s">
        <v>220</v>
      </c>
      <c r="O866" s="179"/>
      <c r="P866" s="179"/>
      <c r="Q866" s="191">
        <v>315.74</v>
      </c>
      <c r="R866" s="174"/>
      <c r="S866" s="174"/>
      <c r="T866" s="174"/>
      <c r="U866" s="174"/>
      <c r="V866" s="174"/>
      <c r="W866" s="173">
        <v>1512.98</v>
      </c>
      <c r="X866" s="174"/>
      <c r="Y866" s="174"/>
      <c r="Z866" s="174"/>
      <c r="AA866" s="174"/>
      <c r="AB866" s="174"/>
      <c r="AC866" s="200">
        <v>477708.31</v>
      </c>
      <c r="AD866" s="174"/>
      <c r="AE866" s="174"/>
    </row>
    <row r="867" spans="1:31" ht="9.6" customHeight="1" x14ac:dyDescent="0.2">
      <c r="A867" s="168" t="s">
        <v>1457</v>
      </c>
      <c r="B867" s="179" t="s">
        <v>1458</v>
      </c>
      <c r="C867" s="179"/>
      <c r="D867" s="179"/>
      <c r="E867" s="179"/>
      <c r="F867" s="179"/>
      <c r="G867" s="179"/>
      <c r="H867" s="179"/>
      <c r="I867" s="179"/>
      <c r="J867" s="179"/>
      <c r="K867" s="179"/>
      <c r="L867" s="179"/>
      <c r="M867" s="179"/>
      <c r="N867" s="179" t="s">
        <v>220</v>
      </c>
      <c r="O867" s="179"/>
      <c r="P867" s="179"/>
      <c r="Q867" s="202">
        <v>55.14</v>
      </c>
      <c r="R867" s="174"/>
      <c r="S867" s="174"/>
      <c r="T867" s="174"/>
      <c r="U867" s="174"/>
      <c r="V867" s="174"/>
      <c r="W867" s="202">
        <v>16.18</v>
      </c>
      <c r="X867" s="174"/>
      <c r="Y867" s="174"/>
      <c r="Z867" s="174"/>
      <c r="AA867" s="174"/>
      <c r="AB867" s="174"/>
      <c r="AC867" s="205">
        <v>892.17</v>
      </c>
      <c r="AD867" s="174"/>
      <c r="AE867" s="174"/>
    </row>
    <row r="868" spans="1:31" ht="9.6" customHeight="1" x14ac:dyDescent="0.2">
      <c r="A868" s="168" t="s">
        <v>1459</v>
      </c>
      <c r="B868" s="179" t="s">
        <v>1460</v>
      </c>
      <c r="C868" s="179"/>
      <c r="D868" s="179"/>
      <c r="E868" s="179"/>
      <c r="F868" s="179"/>
      <c r="G868" s="179"/>
      <c r="H868" s="179"/>
      <c r="I868" s="179"/>
      <c r="J868" s="179"/>
      <c r="K868" s="179"/>
      <c r="L868" s="179"/>
      <c r="M868" s="179"/>
      <c r="N868" s="179" t="s">
        <v>223</v>
      </c>
      <c r="O868" s="179"/>
      <c r="P868" s="179"/>
      <c r="Q868" s="202">
        <v>17.2</v>
      </c>
      <c r="R868" s="174"/>
      <c r="S868" s="174"/>
      <c r="T868" s="174"/>
      <c r="U868" s="174"/>
      <c r="V868" s="174"/>
      <c r="W868" s="202">
        <v>85.9</v>
      </c>
      <c r="X868" s="174"/>
      <c r="Y868" s="174"/>
      <c r="Z868" s="174"/>
      <c r="AA868" s="174"/>
      <c r="AB868" s="174"/>
      <c r="AC868" s="201">
        <v>1477.48</v>
      </c>
      <c r="AD868" s="174"/>
      <c r="AE868" s="174"/>
    </row>
    <row r="869" spans="1:31" ht="9.6" customHeight="1" x14ac:dyDescent="0.2">
      <c r="A869" s="168" t="s">
        <v>1697</v>
      </c>
      <c r="B869" s="179" t="s">
        <v>1698</v>
      </c>
      <c r="C869" s="179"/>
      <c r="D869" s="179"/>
      <c r="E869" s="179"/>
      <c r="F869" s="179"/>
      <c r="G869" s="179"/>
      <c r="H869" s="179"/>
      <c r="I869" s="179"/>
      <c r="J869" s="179"/>
      <c r="K869" s="179"/>
      <c r="L869" s="179"/>
      <c r="M869" s="179"/>
      <c r="N869" s="179" t="s">
        <v>220</v>
      </c>
      <c r="O869" s="179"/>
      <c r="P869" s="179"/>
      <c r="Q869" s="191">
        <v>808.92</v>
      </c>
      <c r="R869" s="174"/>
      <c r="S869" s="174"/>
      <c r="T869" s="174"/>
      <c r="U869" s="174"/>
      <c r="V869" s="174"/>
      <c r="W869" s="173">
        <v>2366</v>
      </c>
      <c r="X869" s="174"/>
      <c r="Y869" s="174"/>
      <c r="Z869" s="174"/>
      <c r="AA869" s="174"/>
      <c r="AB869" s="174"/>
      <c r="AC869" s="175">
        <v>1913904.72</v>
      </c>
      <c r="AD869" s="174"/>
      <c r="AE869" s="174"/>
    </row>
    <row r="870" spans="1:31" ht="9.6" customHeight="1" x14ac:dyDescent="0.2">
      <c r="A870" s="168" t="s">
        <v>1699</v>
      </c>
      <c r="B870" s="179" t="s">
        <v>1700</v>
      </c>
      <c r="C870" s="179"/>
      <c r="D870" s="179"/>
      <c r="E870" s="179"/>
      <c r="F870" s="179"/>
      <c r="G870" s="179"/>
      <c r="H870" s="179"/>
      <c r="I870" s="179"/>
      <c r="J870" s="179"/>
      <c r="K870" s="179"/>
      <c r="L870" s="179"/>
      <c r="M870" s="179"/>
      <c r="N870" s="179" t="s">
        <v>220</v>
      </c>
      <c r="O870" s="179"/>
      <c r="P870" s="179"/>
      <c r="Q870" s="191">
        <v>467.16</v>
      </c>
      <c r="R870" s="174"/>
      <c r="S870" s="174"/>
      <c r="T870" s="174"/>
      <c r="U870" s="174"/>
      <c r="V870" s="174"/>
      <c r="W870" s="173">
        <v>2320</v>
      </c>
      <c r="X870" s="174"/>
      <c r="Y870" s="174"/>
      <c r="Z870" s="174"/>
      <c r="AA870" s="174"/>
      <c r="AB870" s="174"/>
      <c r="AC870" s="175">
        <v>1083811.2</v>
      </c>
      <c r="AD870" s="174"/>
      <c r="AE870" s="174"/>
    </row>
    <row r="871" spans="1:31" ht="9.6" customHeight="1" x14ac:dyDescent="0.2">
      <c r="A871" s="168" t="s">
        <v>1701</v>
      </c>
      <c r="B871" s="179" t="s">
        <v>1702</v>
      </c>
      <c r="C871" s="179"/>
      <c r="D871" s="179"/>
      <c r="E871" s="179"/>
      <c r="F871" s="179"/>
      <c r="G871" s="179"/>
      <c r="H871" s="179"/>
      <c r="I871" s="179"/>
      <c r="J871" s="179"/>
      <c r="K871" s="179"/>
      <c r="L871" s="179"/>
      <c r="M871" s="179"/>
      <c r="N871" s="179" t="s">
        <v>220</v>
      </c>
      <c r="O871" s="179"/>
      <c r="P871" s="179"/>
      <c r="Q871" s="191">
        <v>289.04000000000002</v>
      </c>
      <c r="R871" s="174"/>
      <c r="S871" s="174"/>
      <c r="T871" s="174"/>
      <c r="U871" s="174"/>
      <c r="V871" s="174"/>
      <c r="W871" s="173">
        <v>2150.9899999999998</v>
      </c>
      <c r="X871" s="174"/>
      <c r="Y871" s="174"/>
      <c r="Z871" s="174"/>
      <c r="AA871" s="174"/>
      <c r="AB871" s="174"/>
      <c r="AC871" s="200">
        <v>621722.15</v>
      </c>
      <c r="AD871" s="174"/>
      <c r="AE871" s="174"/>
    </row>
    <row r="872" spans="1:31" ht="9.6" customHeight="1" x14ac:dyDescent="0.2">
      <c r="A872" s="168" t="s">
        <v>1703</v>
      </c>
      <c r="B872" s="179" t="s">
        <v>1704</v>
      </c>
      <c r="C872" s="179"/>
      <c r="D872" s="179"/>
      <c r="E872" s="179"/>
      <c r="F872" s="179"/>
      <c r="G872" s="179"/>
      <c r="H872" s="179"/>
      <c r="I872" s="179"/>
      <c r="J872" s="179"/>
      <c r="K872" s="179"/>
      <c r="L872" s="179"/>
      <c r="M872" s="179"/>
      <c r="N872" s="179" t="s">
        <v>220</v>
      </c>
      <c r="O872" s="179"/>
      <c r="P872" s="179"/>
      <c r="Q872" s="173">
        <v>2152.64</v>
      </c>
      <c r="R872" s="174"/>
      <c r="S872" s="174"/>
      <c r="T872" s="174"/>
      <c r="U872" s="174"/>
      <c r="V872" s="174"/>
      <c r="W872" s="173">
        <v>2366</v>
      </c>
      <c r="X872" s="174"/>
      <c r="Y872" s="174"/>
      <c r="Z872" s="174"/>
      <c r="AA872" s="174"/>
      <c r="AB872" s="174"/>
      <c r="AC872" s="175">
        <v>5093146.24</v>
      </c>
      <c r="AD872" s="174"/>
      <c r="AE872" s="174"/>
    </row>
    <row r="873" spans="1:31" ht="9.6" customHeight="1" x14ac:dyDescent="0.2">
      <c r="A873" s="167" t="s">
        <v>1461</v>
      </c>
      <c r="B873" s="176" t="s">
        <v>1462</v>
      </c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7"/>
      <c r="R873" s="177"/>
      <c r="S873" s="177"/>
      <c r="T873" s="177"/>
      <c r="U873" s="177"/>
      <c r="V873" s="177"/>
      <c r="W873" s="177"/>
      <c r="X873" s="177"/>
      <c r="Y873" s="177"/>
      <c r="Z873" s="177"/>
      <c r="AA873" s="177"/>
      <c r="AB873" s="177"/>
      <c r="AC873" s="198">
        <v>368897.06</v>
      </c>
      <c r="AD873" s="177"/>
      <c r="AE873" s="177"/>
    </row>
    <row r="874" spans="1:31" ht="9.75" customHeight="1" x14ac:dyDescent="0.2">
      <c r="A874" s="168" t="s">
        <v>1463</v>
      </c>
      <c r="B874" s="179" t="s">
        <v>1464</v>
      </c>
      <c r="C874" s="179"/>
      <c r="D874" s="179"/>
      <c r="E874" s="179"/>
      <c r="F874" s="179"/>
      <c r="G874" s="179"/>
      <c r="H874" s="179"/>
      <c r="I874" s="179"/>
      <c r="J874" s="179"/>
      <c r="K874" s="179"/>
      <c r="L874" s="179"/>
      <c r="M874" s="179"/>
      <c r="N874" s="179" t="s">
        <v>220</v>
      </c>
      <c r="O874" s="179"/>
      <c r="P874" s="179"/>
      <c r="Q874" s="191">
        <v>550.1</v>
      </c>
      <c r="R874" s="174"/>
      <c r="S874" s="174"/>
      <c r="T874" s="174"/>
      <c r="U874" s="174"/>
      <c r="V874" s="174"/>
      <c r="W874" s="191">
        <v>670.6</v>
      </c>
      <c r="X874" s="174"/>
      <c r="Y874" s="174"/>
      <c r="Z874" s="174"/>
      <c r="AA874" s="174"/>
      <c r="AB874" s="174"/>
      <c r="AC874" s="200">
        <v>368897.06</v>
      </c>
      <c r="AD874" s="174"/>
      <c r="AE874" s="174"/>
    </row>
    <row r="875" spans="1:31" ht="9.6" customHeight="1" x14ac:dyDescent="0.2">
      <c r="A875" s="167" t="s">
        <v>1465</v>
      </c>
      <c r="B875" s="176" t="s">
        <v>1466</v>
      </c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7"/>
      <c r="R875" s="177"/>
      <c r="S875" s="177"/>
      <c r="T875" s="177"/>
      <c r="U875" s="177"/>
      <c r="V875" s="177"/>
      <c r="W875" s="177"/>
      <c r="X875" s="177"/>
      <c r="Y875" s="177"/>
      <c r="Z875" s="177"/>
      <c r="AA875" s="177"/>
      <c r="AB875" s="177"/>
      <c r="AC875" s="178">
        <v>5720294.9699999997</v>
      </c>
      <c r="AD875" s="177"/>
      <c r="AE875" s="177"/>
    </row>
    <row r="876" spans="1:31" ht="9.75" customHeight="1" x14ac:dyDescent="0.2">
      <c r="A876" s="167" t="s">
        <v>1467</v>
      </c>
      <c r="B876" s="176" t="s">
        <v>1468</v>
      </c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7"/>
      <c r="R876" s="177"/>
      <c r="S876" s="177"/>
      <c r="T876" s="177"/>
      <c r="U876" s="177"/>
      <c r="V876" s="177"/>
      <c r="W876" s="177"/>
      <c r="X876" s="177"/>
      <c r="Y876" s="177"/>
      <c r="Z876" s="177"/>
      <c r="AA876" s="177"/>
      <c r="AB876" s="177"/>
      <c r="AC876" s="198">
        <v>290088.59999999998</v>
      </c>
      <c r="AD876" s="177"/>
      <c r="AE876" s="177"/>
    </row>
    <row r="877" spans="1:31" ht="9.75" customHeight="1" x14ac:dyDescent="0.2">
      <c r="A877" s="168" t="s">
        <v>1469</v>
      </c>
      <c r="B877" s="179" t="s">
        <v>1470</v>
      </c>
      <c r="C877" s="179"/>
      <c r="D877" s="179"/>
      <c r="E877" s="179"/>
      <c r="F877" s="179"/>
      <c r="G877" s="179"/>
      <c r="H877" s="179"/>
      <c r="I877" s="179"/>
      <c r="J877" s="179"/>
      <c r="K877" s="179"/>
      <c r="L877" s="179"/>
      <c r="M877" s="179"/>
      <c r="N877" s="179" t="s">
        <v>137</v>
      </c>
      <c r="O877" s="179"/>
      <c r="P877" s="179"/>
      <c r="Q877" s="202">
        <v>12</v>
      </c>
      <c r="R877" s="174"/>
      <c r="S877" s="174"/>
      <c r="T877" s="174"/>
      <c r="U877" s="174"/>
      <c r="V877" s="174"/>
      <c r="W877" s="173">
        <v>1711</v>
      </c>
      <c r="X877" s="174"/>
      <c r="Y877" s="174"/>
      <c r="Z877" s="174"/>
      <c r="AA877" s="174"/>
      <c r="AB877" s="174"/>
      <c r="AC877" s="196">
        <v>20532</v>
      </c>
      <c r="AD877" s="174"/>
      <c r="AE877" s="174"/>
    </row>
    <row r="878" spans="1:31" ht="19.350000000000001" customHeight="1" x14ac:dyDescent="0.2">
      <c r="A878" s="168" t="s">
        <v>1471</v>
      </c>
      <c r="B878" s="179" t="s">
        <v>1472</v>
      </c>
      <c r="C878" s="179"/>
      <c r="D878" s="179"/>
      <c r="E878" s="179"/>
      <c r="F878" s="179"/>
      <c r="G878" s="179"/>
      <c r="H878" s="179"/>
      <c r="I878" s="179"/>
      <c r="J878" s="179"/>
      <c r="K878" s="179"/>
      <c r="L878" s="179"/>
      <c r="M878" s="179"/>
      <c r="N878" s="179" t="s">
        <v>137</v>
      </c>
      <c r="O878" s="179"/>
      <c r="P878" s="179"/>
      <c r="Q878" s="180">
        <v>5</v>
      </c>
      <c r="R878" s="174"/>
      <c r="S878" s="174"/>
      <c r="T878" s="174"/>
      <c r="U878" s="174"/>
      <c r="V878" s="174"/>
      <c r="W878" s="173">
        <v>1711</v>
      </c>
      <c r="X878" s="174"/>
      <c r="Y878" s="174"/>
      <c r="Z878" s="174"/>
      <c r="AA878" s="174"/>
      <c r="AB878" s="174"/>
      <c r="AC878" s="201">
        <v>8555</v>
      </c>
      <c r="AD878" s="174"/>
      <c r="AE878" s="174"/>
    </row>
    <row r="879" spans="1:31" ht="19.350000000000001" customHeight="1" x14ac:dyDescent="0.2">
      <c r="A879" s="168" t="s">
        <v>1473</v>
      </c>
      <c r="B879" s="179" t="s">
        <v>1474</v>
      </c>
      <c r="C879" s="179"/>
      <c r="D879" s="179"/>
      <c r="E879" s="179"/>
      <c r="F879" s="179"/>
      <c r="G879" s="179"/>
      <c r="H879" s="179"/>
      <c r="I879" s="179"/>
      <c r="J879" s="179"/>
      <c r="K879" s="179"/>
      <c r="L879" s="179"/>
      <c r="M879" s="179"/>
      <c r="N879" s="179" t="s">
        <v>137</v>
      </c>
      <c r="O879" s="179"/>
      <c r="P879" s="179"/>
      <c r="Q879" s="202">
        <v>14</v>
      </c>
      <c r="R879" s="174"/>
      <c r="S879" s="174"/>
      <c r="T879" s="174"/>
      <c r="U879" s="174"/>
      <c r="V879" s="174"/>
      <c r="W879" s="173">
        <v>1711</v>
      </c>
      <c r="X879" s="174"/>
      <c r="Y879" s="174"/>
      <c r="Z879" s="174"/>
      <c r="AA879" s="174"/>
      <c r="AB879" s="174"/>
      <c r="AC879" s="196">
        <v>23954</v>
      </c>
      <c r="AD879" s="174"/>
      <c r="AE879" s="174"/>
    </row>
    <row r="880" spans="1:31" ht="19.350000000000001" customHeight="1" x14ac:dyDescent="0.2">
      <c r="A880" s="168" t="s">
        <v>1475</v>
      </c>
      <c r="B880" s="179" t="s">
        <v>1476</v>
      </c>
      <c r="C880" s="179"/>
      <c r="D880" s="179"/>
      <c r="E880" s="179"/>
      <c r="F880" s="179"/>
      <c r="G880" s="179"/>
      <c r="H880" s="179"/>
      <c r="I880" s="179"/>
      <c r="J880" s="179"/>
      <c r="K880" s="179"/>
      <c r="L880" s="179"/>
      <c r="M880" s="179"/>
      <c r="N880" s="179" t="s">
        <v>137</v>
      </c>
      <c r="O880" s="179"/>
      <c r="P880" s="179"/>
      <c r="Q880" s="180">
        <v>5</v>
      </c>
      <c r="R880" s="174"/>
      <c r="S880" s="174"/>
      <c r="T880" s="174"/>
      <c r="U880" s="174"/>
      <c r="V880" s="174"/>
      <c r="W880" s="173">
        <v>1811</v>
      </c>
      <c r="X880" s="174"/>
      <c r="Y880" s="174"/>
      <c r="Z880" s="174"/>
      <c r="AA880" s="174"/>
      <c r="AB880" s="174"/>
      <c r="AC880" s="201">
        <v>9055</v>
      </c>
      <c r="AD880" s="174"/>
      <c r="AE880" s="174"/>
    </row>
    <row r="881" spans="1:31" ht="19.350000000000001" customHeight="1" x14ac:dyDescent="0.2">
      <c r="A881" s="168" t="s">
        <v>1477</v>
      </c>
      <c r="B881" s="179" t="s">
        <v>1478</v>
      </c>
      <c r="C881" s="179"/>
      <c r="D881" s="179"/>
      <c r="E881" s="179"/>
      <c r="F881" s="179"/>
      <c r="G881" s="179"/>
      <c r="H881" s="179"/>
      <c r="I881" s="179"/>
      <c r="J881" s="179"/>
      <c r="K881" s="179"/>
      <c r="L881" s="179"/>
      <c r="M881" s="179"/>
      <c r="N881" s="179" t="s">
        <v>137</v>
      </c>
      <c r="O881" s="179"/>
      <c r="P881" s="179"/>
      <c r="Q881" s="180">
        <v>1</v>
      </c>
      <c r="R881" s="174"/>
      <c r="S881" s="174"/>
      <c r="T881" s="174"/>
      <c r="U881" s="174"/>
      <c r="V881" s="174"/>
      <c r="W881" s="173">
        <v>2266.9</v>
      </c>
      <c r="X881" s="174"/>
      <c r="Y881" s="174"/>
      <c r="Z881" s="174"/>
      <c r="AA881" s="174"/>
      <c r="AB881" s="174"/>
      <c r="AC881" s="201">
        <v>2266.9</v>
      </c>
      <c r="AD881" s="174"/>
      <c r="AE881" s="174"/>
    </row>
    <row r="882" spans="1:31" ht="19.350000000000001" customHeight="1" x14ac:dyDescent="0.2">
      <c r="A882" s="168" t="s">
        <v>1705</v>
      </c>
      <c r="B882" s="179" t="s">
        <v>1706</v>
      </c>
      <c r="C882" s="179"/>
      <c r="D882" s="179"/>
      <c r="E882" s="179"/>
      <c r="F882" s="179"/>
      <c r="G882" s="179"/>
      <c r="H882" s="179"/>
      <c r="I882" s="179"/>
      <c r="J882" s="179"/>
      <c r="K882" s="179"/>
      <c r="L882" s="179"/>
      <c r="M882" s="179"/>
      <c r="N882" s="179" t="s">
        <v>220</v>
      </c>
      <c r="O882" s="179"/>
      <c r="P882" s="179"/>
      <c r="Q882" s="191">
        <v>226.86</v>
      </c>
      <c r="R882" s="174"/>
      <c r="S882" s="174"/>
      <c r="T882" s="174"/>
      <c r="U882" s="174"/>
      <c r="V882" s="174"/>
      <c r="W882" s="191">
        <v>995</v>
      </c>
      <c r="X882" s="174"/>
      <c r="Y882" s="174"/>
      <c r="Z882" s="174"/>
      <c r="AA882" s="174"/>
      <c r="AB882" s="174"/>
      <c r="AC882" s="200">
        <v>225725.7</v>
      </c>
      <c r="AD882" s="174"/>
      <c r="AE882" s="174"/>
    </row>
    <row r="883" spans="1:31" ht="9.75" customHeight="1" x14ac:dyDescent="0.2">
      <c r="A883" s="167" t="s">
        <v>1479</v>
      </c>
      <c r="B883" s="176" t="s">
        <v>1480</v>
      </c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7"/>
      <c r="R883" s="177"/>
      <c r="S883" s="177"/>
      <c r="T883" s="177"/>
      <c r="U883" s="177"/>
      <c r="V883" s="177"/>
      <c r="W883" s="177"/>
      <c r="X883" s="177"/>
      <c r="Y883" s="177"/>
      <c r="Z883" s="177"/>
      <c r="AA883" s="177"/>
      <c r="AB883" s="177"/>
      <c r="AC883" s="194">
        <v>20732</v>
      </c>
      <c r="AD883" s="177"/>
      <c r="AE883" s="177"/>
    </row>
    <row r="884" spans="1:31" ht="19.350000000000001" customHeight="1" x14ac:dyDescent="0.2">
      <c r="A884" s="168" t="s">
        <v>1481</v>
      </c>
      <c r="B884" s="179" t="s">
        <v>1472</v>
      </c>
      <c r="C884" s="179"/>
      <c r="D884" s="179"/>
      <c r="E884" s="179"/>
      <c r="F884" s="179"/>
      <c r="G884" s="179"/>
      <c r="H884" s="179"/>
      <c r="I884" s="179"/>
      <c r="J884" s="179"/>
      <c r="K884" s="179"/>
      <c r="L884" s="179"/>
      <c r="M884" s="179"/>
      <c r="N884" s="179" t="s">
        <v>137</v>
      </c>
      <c r="O884" s="179"/>
      <c r="P884" s="179"/>
      <c r="Q884" s="180">
        <v>2</v>
      </c>
      <c r="R884" s="174"/>
      <c r="S884" s="174"/>
      <c r="T884" s="174"/>
      <c r="U884" s="174"/>
      <c r="V884" s="174"/>
      <c r="W884" s="173">
        <v>1711</v>
      </c>
      <c r="X884" s="174"/>
      <c r="Y884" s="174"/>
      <c r="Z884" s="174"/>
      <c r="AA884" s="174"/>
      <c r="AB884" s="174"/>
      <c r="AC884" s="201">
        <v>3422</v>
      </c>
      <c r="AD884" s="174"/>
      <c r="AE884" s="174"/>
    </row>
    <row r="885" spans="1:31" ht="19.350000000000001" customHeight="1" x14ac:dyDescent="0.2">
      <c r="A885" s="168" t="s">
        <v>1482</v>
      </c>
      <c r="B885" s="179" t="s">
        <v>1474</v>
      </c>
      <c r="C885" s="179"/>
      <c r="D885" s="179"/>
      <c r="E885" s="179"/>
      <c r="F885" s="179"/>
      <c r="G885" s="179"/>
      <c r="H885" s="179"/>
      <c r="I885" s="179"/>
      <c r="J885" s="179"/>
      <c r="K885" s="179"/>
      <c r="L885" s="179"/>
      <c r="M885" s="179"/>
      <c r="N885" s="179" t="s">
        <v>137</v>
      </c>
      <c r="O885" s="179"/>
      <c r="P885" s="179"/>
      <c r="Q885" s="180">
        <v>8</v>
      </c>
      <c r="R885" s="174"/>
      <c r="S885" s="174"/>
      <c r="T885" s="174"/>
      <c r="U885" s="174"/>
      <c r="V885" s="174"/>
      <c r="W885" s="173">
        <v>1711</v>
      </c>
      <c r="X885" s="174"/>
      <c r="Y885" s="174"/>
      <c r="Z885" s="174"/>
      <c r="AA885" s="174"/>
      <c r="AB885" s="174"/>
      <c r="AC885" s="196">
        <v>13688</v>
      </c>
      <c r="AD885" s="174"/>
      <c r="AE885" s="174"/>
    </row>
    <row r="886" spans="1:31" ht="19.350000000000001" customHeight="1" x14ac:dyDescent="0.2">
      <c r="A886" s="168" t="s">
        <v>1483</v>
      </c>
      <c r="B886" s="179" t="s">
        <v>1476</v>
      </c>
      <c r="C886" s="179"/>
      <c r="D886" s="179"/>
      <c r="E886" s="179"/>
      <c r="F886" s="179"/>
      <c r="G886" s="179"/>
      <c r="H886" s="179"/>
      <c r="I886" s="179"/>
      <c r="J886" s="179"/>
      <c r="K886" s="179"/>
      <c r="L886" s="179"/>
      <c r="M886" s="179"/>
      <c r="N886" s="179" t="s">
        <v>137</v>
      </c>
      <c r="O886" s="179"/>
      <c r="P886" s="179"/>
      <c r="Q886" s="180">
        <v>2</v>
      </c>
      <c r="R886" s="174"/>
      <c r="S886" s="174"/>
      <c r="T886" s="174"/>
      <c r="U886" s="174"/>
      <c r="V886" s="174"/>
      <c r="W886" s="173">
        <v>1811</v>
      </c>
      <c r="X886" s="174"/>
      <c r="Y886" s="174"/>
      <c r="Z886" s="174"/>
      <c r="AA886" s="174"/>
      <c r="AB886" s="174"/>
      <c r="AC886" s="201">
        <v>3622</v>
      </c>
      <c r="AD886" s="174"/>
      <c r="AE886" s="174"/>
    </row>
    <row r="887" spans="1:31" ht="9.75" customHeight="1" x14ac:dyDescent="0.2">
      <c r="A887" s="167" t="s">
        <v>1484</v>
      </c>
      <c r="B887" s="176" t="s">
        <v>1485</v>
      </c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7"/>
      <c r="R887" s="177"/>
      <c r="S887" s="177"/>
      <c r="T887" s="177"/>
      <c r="U887" s="177"/>
      <c r="V887" s="177"/>
      <c r="W887" s="177"/>
      <c r="X887" s="177"/>
      <c r="Y887" s="177"/>
      <c r="Z887" s="177"/>
      <c r="AA887" s="177"/>
      <c r="AB887" s="177"/>
      <c r="AC887" s="178">
        <v>5030632.37</v>
      </c>
      <c r="AD887" s="177"/>
      <c r="AE887" s="177"/>
    </row>
    <row r="888" spans="1:31" ht="19.350000000000001" customHeight="1" x14ac:dyDescent="0.2">
      <c r="A888" s="168" t="s">
        <v>1486</v>
      </c>
      <c r="B888" s="179" t="s">
        <v>1470</v>
      </c>
      <c r="C888" s="179"/>
      <c r="D888" s="179"/>
      <c r="E888" s="179"/>
      <c r="F888" s="179"/>
      <c r="G888" s="179"/>
      <c r="H888" s="179"/>
      <c r="I888" s="179"/>
      <c r="J888" s="179"/>
      <c r="K888" s="179"/>
      <c r="L888" s="179"/>
      <c r="M888" s="179"/>
      <c r="N888" s="179" t="s">
        <v>137</v>
      </c>
      <c r="O888" s="179"/>
      <c r="P888" s="179"/>
      <c r="Q888" s="180">
        <v>2</v>
      </c>
      <c r="R888" s="174"/>
      <c r="S888" s="174"/>
      <c r="T888" s="174"/>
      <c r="U888" s="174"/>
      <c r="V888" s="174"/>
      <c r="W888" s="173">
        <v>1711</v>
      </c>
      <c r="X888" s="174"/>
      <c r="Y888" s="174"/>
      <c r="Z888" s="174"/>
      <c r="AA888" s="174"/>
      <c r="AB888" s="174"/>
      <c r="AC888" s="201">
        <v>3422</v>
      </c>
      <c r="AD888" s="174"/>
      <c r="AE888" s="174"/>
    </row>
    <row r="889" spans="1:31" ht="19.350000000000001" customHeight="1" x14ac:dyDescent="0.2">
      <c r="A889" s="168" t="s">
        <v>1487</v>
      </c>
      <c r="B889" s="179" t="s">
        <v>1472</v>
      </c>
      <c r="C889" s="179"/>
      <c r="D889" s="179"/>
      <c r="E889" s="179"/>
      <c r="F889" s="179"/>
      <c r="G889" s="179"/>
      <c r="H889" s="179"/>
      <c r="I889" s="179"/>
      <c r="J889" s="179"/>
      <c r="K889" s="179"/>
      <c r="L889" s="179"/>
      <c r="M889" s="179"/>
      <c r="N889" s="179" t="s">
        <v>137</v>
      </c>
      <c r="O889" s="179"/>
      <c r="P889" s="179"/>
      <c r="Q889" s="191">
        <v>146</v>
      </c>
      <c r="R889" s="174"/>
      <c r="S889" s="174"/>
      <c r="T889" s="174"/>
      <c r="U889" s="174"/>
      <c r="V889" s="174"/>
      <c r="W889" s="173">
        <v>1711</v>
      </c>
      <c r="X889" s="174"/>
      <c r="Y889" s="174"/>
      <c r="Z889" s="174"/>
      <c r="AA889" s="174"/>
      <c r="AB889" s="174"/>
      <c r="AC889" s="200">
        <v>249806</v>
      </c>
      <c r="AD889" s="174"/>
      <c r="AE889" s="174"/>
    </row>
    <row r="890" spans="1:31" ht="19.350000000000001" customHeight="1" x14ac:dyDescent="0.2">
      <c r="A890" s="168" t="s">
        <v>1488</v>
      </c>
      <c r="B890" s="179" t="s">
        <v>1474</v>
      </c>
      <c r="C890" s="179"/>
      <c r="D890" s="179"/>
      <c r="E890" s="179"/>
      <c r="F890" s="179"/>
      <c r="G890" s="179"/>
      <c r="H890" s="179"/>
      <c r="I890" s="179"/>
      <c r="J890" s="179"/>
      <c r="K890" s="179"/>
      <c r="L890" s="179"/>
      <c r="M890" s="179"/>
      <c r="N890" s="179" t="s">
        <v>137</v>
      </c>
      <c r="O890" s="179"/>
      <c r="P890" s="179"/>
      <c r="Q890" s="191">
        <v>462</v>
      </c>
      <c r="R890" s="174"/>
      <c r="S890" s="174"/>
      <c r="T890" s="174"/>
      <c r="U890" s="174"/>
      <c r="V890" s="174"/>
      <c r="W890" s="173">
        <v>1711</v>
      </c>
      <c r="X890" s="174"/>
      <c r="Y890" s="174"/>
      <c r="Z890" s="174"/>
      <c r="AA890" s="174"/>
      <c r="AB890" s="174"/>
      <c r="AC890" s="200">
        <v>790482</v>
      </c>
      <c r="AD890" s="174"/>
      <c r="AE890" s="174"/>
    </row>
    <row r="891" spans="1:31" ht="19.350000000000001" customHeight="1" x14ac:dyDescent="0.2">
      <c r="A891" s="168" t="s">
        <v>1489</v>
      </c>
      <c r="B891" s="179" t="s">
        <v>1476</v>
      </c>
      <c r="C891" s="179"/>
      <c r="D891" s="179"/>
      <c r="E891" s="179"/>
      <c r="F891" s="179"/>
      <c r="G891" s="179"/>
      <c r="H891" s="179"/>
      <c r="I891" s="179"/>
      <c r="J891" s="179"/>
      <c r="K891" s="179"/>
      <c r="L891" s="179"/>
      <c r="M891" s="179"/>
      <c r="N891" s="179" t="s">
        <v>137</v>
      </c>
      <c r="O891" s="179"/>
      <c r="P891" s="179"/>
      <c r="Q891" s="191">
        <v>132</v>
      </c>
      <c r="R891" s="174"/>
      <c r="S891" s="174"/>
      <c r="T891" s="174"/>
      <c r="U891" s="174"/>
      <c r="V891" s="174"/>
      <c r="W891" s="173">
        <v>1811</v>
      </c>
      <c r="X891" s="174"/>
      <c r="Y891" s="174"/>
      <c r="Z891" s="174"/>
      <c r="AA891" s="174"/>
      <c r="AB891" s="174"/>
      <c r="AC891" s="200">
        <v>239052</v>
      </c>
      <c r="AD891" s="174"/>
      <c r="AE891" s="174"/>
    </row>
    <row r="892" spans="1:31" ht="19.350000000000001" customHeight="1" x14ac:dyDescent="0.2">
      <c r="A892" s="168" t="s">
        <v>1490</v>
      </c>
      <c r="B892" s="179" t="s">
        <v>1491</v>
      </c>
      <c r="C892" s="179"/>
      <c r="D892" s="179"/>
      <c r="E892" s="179"/>
      <c r="F892" s="179"/>
      <c r="G892" s="179"/>
      <c r="H892" s="179"/>
      <c r="I892" s="179"/>
      <c r="J892" s="179"/>
      <c r="K892" s="179"/>
      <c r="L892" s="179"/>
      <c r="M892" s="179"/>
      <c r="N892" s="179" t="s">
        <v>137</v>
      </c>
      <c r="O892" s="179"/>
      <c r="P892" s="179"/>
      <c r="Q892" s="191">
        <v>264</v>
      </c>
      <c r="R892" s="174"/>
      <c r="S892" s="174"/>
      <c r="T892" s="174"/>
      <c r="U892" s="174"/>
      <c r="V892" s="174"/>
      <c r="W892" s="173">
        <v>2421.42</v>
      </c>
      <c r="X892" s="174"/>
      <c r="Y892" s="174"/>
      <c r="Z892" s="174"/>
      <c r="AA892" s="174"/>
      <c r="AB892" s="174"/>
      <c r="AC892" s="200">
        <v>639254.88</v>
      </c>
      <c r="AD892" s="174"/>
      <c r="AE892" s="174"/>
    </row>
    <row r="893" spans="1:31" ht="19.350000000000001" customHeight="1" x14ac:dyDescent="0.2">
      <c r="A893" s="168" t="s">
        <v>1492</v>
      </c>
      <c r="B893" s="179" t="s">
        <v>1493</v>
      </c>
      <c r="C893" s="179"/>
      <c r="D893" s="179"/>
      <c r="E893" s="179"/>
      <c r="F893" s="179"/>
      <c r="G893" s="179"/>
      <c r="H893" s="179"/>
      <c r="I893" s="179"/>
      <c r="J893" s="179"/>
      <c r="K893" s="179"/>
      <c r="L893" s="179"/>
      <c r="M893" s="179"/>
      <c r="N893" s="179" t="s">
        <v>137</v>
      </c>
      <c r="O893" s="179"/>
      <c r="P893" s="179"/>
      <c r="Q893" s="202">
        <v>16</v>
      </c>
      <c r="R893" s="174"/>
      <c r="S893" s="174"/>
      <c r="T893" s="174"/>
      <c r="U893" s="174"/>
      <c r="V893" s="174"/>
      <c r="W893" s="173">
        <v>2421.42</v>
      </c>
      <c r="X893" s="174"/>
      <c r="Y893" s="174"/>
      <c r="Z893" s="174"/>
      <c r="AA893" s="174"/>
      <c r="AB893" s="174"/>
      <c r="AC893" s="196">
        <v>38742.720000000001</v>
      </c>
      <c r="AD893" s="174"/>
      <c r="AE893" s="174"/>
    </row>
    <row r="894" spans="1:31" ht="19.350000000000001" customHeight="1" x14ac:dyDescent="0.2">
      <c r="A894" s="168" t="s">
        <v>1494</v>
      </c>
      <c r="B894" s="179" t="s">
        <v>1495</v>
      </c>
      <c r="C894" s="179"/>
      <c r="D894" s="179"/>
      <c r="E894" s="179"/>
      <c r="F894" s="179"/>
      <c r="G894" s="179"/>
      <c r="H894" s="179"/>
      <c r="I894" s="179"/>
      <c r="J894" s="179"/>
      <c r="K894" s="179"/>
      <c r="L894" s="179"/>
      <c r="M894" s="179"/>
      <c r="N894" s="179" t="s">
        <v>137</v>
      </c>
      <c r="O894" s="179"/>
      <c r="P894" s="179"/>
      <c r="Q894" s="202">
        <v>46</v>
      </c>
      <c r="R894" s="174"/>
      <c r="S894" s="174"/>
      <c r="T894" s="174"/>
      <c r="U894" s="174"/>
      <c r="V894" s="174"/>
      <c r="W894" s="173">
        <v>2575.52</v>
      </c>
      <c r="X894" s="174"/>
      <c r="Y894" s="174"/>
      <c r="Z894" s="174"/>
      <c r="AA894" s="174"/>
      <c r="AB894" s="174"/>
      <c r="AC894" s="200">
        <v>118473.92</v>
      </c>
      <c r="AD894" s="174"/>
      <c r="AE894" s="174"/>
    </row>
    <row r="895" spans="1:31" ht="9.75" customHeight="1" x14ac:dyDescent="0.2">
      <c r="A895" s="168" t="s">
        <v>1707</v>
      </c>
      <c r="B895" s="179" t="s">
        <v>1706</v>
      </c>
      <c r="C895" s="179"/>
      <c r="D895" s="179"/>
      <c r="E895" s="179"/>
      <c r="F895" s="179"/>
      <c r="G895" s="179"/>
      <c r="H895" s="179"/>
      <c r="I895" s="179"/>
      <c r="J895" s="179"/>
      <c r="K895" s="179"/>
      <c r="L895" s="179"/>
      <c r="M895" s="179"/>
      <c r="N895" s="179" t="s">
        <v>220</v>
      </c>
      <c r="O895" s="179"/>
      <c r="P895" s="179"/>
      <c r="Q895" s="173">
        <v>2966.23</v>
      </c>
      <c r="R895" s="174"/>
      <c r="S895" s="174"/>
      <c r="T895" s="174"/>
      <c r="U895" s="174"/>
      <c r="V895" s="174"/>
      <c r="W895" s="191">
        <v>995</v>
      </c>
      <c r="X895" s="174"/>
      <c r="Y895" s="174"/>
      <c r="Z895" s="174"/>
      <c r="AA895" s="174"/>
      <c r="AB895" s="174"/>
      <c r="AC895" s="175">
        <v>2951398.85</v>
      </c>
      <c r="AD895" s="174"/>
      <c r="AE895" s="174"/>
    </row>
    <row r="896" spans="1:31" ht="9.6" customHeight="1" x14ac:dyDescent="0.2">
      <c r="A896" s="167" t="s">
        <v>1496</v>
      </c>
      <c r="B896" s="176" t="s">
        <v>693</v>
      </c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7"/>
      <c r="R896" s="177"/>
      <c r="S896" s="177"/>
      <c r="T896" s="177"/>
      <c r="U896" s="177"/>
      <c r="V896" s="177"/>
      <c r="W896" s="177"/>
      <c r="X896" s="177"/>
      <c r="Y896" s="177"/>
      <c r="Z896" s="177"/>
      <c r="AA896" s="177"/>
      <c r="AB896" s="177"/>
      <c r="AC896" s="198">
        <v>145210</v>
      </c>
      <c r="AD896" s="177"/>
      <c r="AE896" s="177"/>
    </row>
    <row r="897" spans="1:31" ht="9.75" customHeight="1" x14ac:dyDescent="0.2">
      <c r="A897" s="168" t="s">
        <v>1497</v>
      </c>
      <c r="B897" s="179" t="s">
        <v>1498</v>
      </c>
      <c r="C897" s="179"/>
      <c r="D897" s="179"/>
      <c r="E897" s="179"/>
      <c r="F897" s="179"/>
      <c r="G897" s="179"/>
      <c r="H897" s="179"/>
      <c r="I897" s="179"/>
      <c r="J897" s="179"/>
      <c r="K897" s="179"/>
      <c r="L897" s="179"/>
      <c r="M897" s="179"/>
      <c r="N897" s="179" t="s">
        <v>137</v>
      </c>
      <c r="O897" s="179"/>
      <c r="P897" s="179"/>
      <c r="Q897" s="173">
        <v>1117</v>
      </c>
      <c r="R897" s="174"/>
      <c r="S897" s="174"/>
      <c r="T897" s="174"/>
      <c r="U897" s="174"/>
      <c r="V897" s="174"/>
      <c r="W897" s="191">
        <v>130</v>
      </c>
      <c r="X897" s="174"/>
      <c r="Y897" s="174"/>
      <c r="Z897" s="174"/>
      <c r="AA897" s="174"/>
      <c r="AB897" s="174"/>
      <c r="AC897" s="200">
        <v>145210</v>
      </c>
      <c r="AD897" s="174"/>
      <c r="AE897" s="174"/>
    </row>
    <row r="898" spans="1:31" ht="9.75" customHeight="1" x14ac:dyDescent="0.2">
      <c r="A898" s="167" t="s">
        <v>1499</v>
      </c>
      <c r="B898" s="176" t="s">
        <v>1500</v>
      </c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7"/>
      <c r="R898" s="177"/>
      <c r="S898" s="177"/>
      <c r="T898" s="177"/>
      <c r="U898" s="177"/>
      <c r="V898" s="177"/>
      <c r="W898" s="177"/>
      <c r="X898" s="177"/>
      <c r="Y898" s="177"/>
      <c r="Z898" s="177"/>
      <c r="AA898" s="177"/>
      <c r="AB898" s="177"/>
      <c r="AC898" s="203">
        <v>0</v>
      </c>
      <c r="AD898" s="177"/>
      <c r="AE898" s="177"/>
    </row>
    <row r="899" spans="1:31" ht="19.350000000000001" customHeight="1" x14ac:dyDescent="0.2">
      <c r="A899" s="167" t="s">
        <v>1501</v>
      </c>
      <c r="B899" s="176" t="s">
        <v>1502</v>
      </c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7"/>
      <c r="R899" s="177"/>
      <c r="S899" s="177"/>
      <c r="T899" s="177"/>
      <c r="U899" s="177"/>
      <c r="V899" s="177"/>
      <c r="W899" s="177"/>
      <c r="X899" s="177"/>
      <c r="Y899" s="177"/>
      <c r="Z899" s="177"/>
      <c r="AA899" s="177"/>
      <c r="AB899" s="177"/>
      <c r="AC899" s="194">
        <v>22928</v>
      </c>
      <c r="AD899" s="177"/>
      <c r="AE899" s="177"/>
    </row>
    <row r="900" spans="1:31" ht="9.75" customHeight="1" x14ac:dyDescent="0.2">
      <c r="A900" s="168" t="s">
        <v>1503</v>
      </c>
      <c r="B900" s="179" t="s">
        <v>1504</v>
      </c>
      <c r="C900" s="179"/>
      <c r="D900" s="179"/>
      <c r="E900" s="179"/>
      <c r="F900" s="179"/>
      <c r="G900" s="179"/>
      <c r="H900" s="179"/>
      <c r="I900" s="179"/>
      <c r="J900" s="179"/>
      <c r="K900" s="179"/>
      <c r="L900" s="179"/>
      <c r="M900" s="179"/>
      <c r="N900" s="179" t="s">
        <v>137</v>
      </c>
      <c r="O900" s="179"/>
      <c r="P900" s="179"/>
      <c r="Q900" s="202">
        <v>16</v>
      </c>
      <c r="R900" s="174"/>
      <c r="S900" s="174"/>
      <c r="T900" s="174"/>
      <c r="U900" s="174"/>
      <c r="V900" s="174"/>
      <c r="W900" s="173">
        <v>1433</v>
      </c>
      <c r="X900" s="174"/>
      <c r="Y900" s="174"/>
      <c r="Z900" s="174"/>
      <c r="AA900" s="174"/>
      <c r="AB900" s="174"/>
      <c r="AC900" s="196">
        <v>22928</v>
      </c>
      <c r="AD900" s="174"/>
      <c r="AE900" s="174"/>
    </row>
    <row r="901" spans="1:31" ht="19.350000000000001" customHeight="1" x14ac:dyDescent="0.2">
      <c r="A901" s="167" t="s">
        <v>1505</v>
      </c>
      <c r="B901" s="176" t="s">
        <v>1506</v>
      </c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7"/>
      <c r="R901" s="177"/>
      <c r="S901" s="177"/>
      <c r="T901" s="177"/>
      <c r="U901" s="177"/>
      <c r="V901" s="177"/>
      <c r="W901" s="177"/>
      <c r="X901" s="177"/>
      <c r="Y901" s="177"/>
      <c r="Z901" s="177"/>
      <c r="AA901" s="177"/>
      <c r="AB901" s="177"/>
      <c r="AC901" s="194">
        <v>30093</v>
      </c>
      <c r="AD901" s="177"/>
      <c r="AE901" s="177"/>
    </row>
    <row r="902" spans="1:31" ht="9.75" customHeight="1" x14ac:dyDescent="0.2">
      <c r="A902" s="168" t="s">
        <v>1507</v>
      </c>
      <c r="B902" s="179" t="s">
        <v>1504</v>
      </c>
      <c r="C902" s="179"/>
      <c r="D902" s="179"/>
      <c r="E902" s="179"/>
      <c r="F902" s="179"/>
      <c r="G902" s="179"/>
      <c r="H902" s="179"/>
      <c r="I902" s="179"/>
      <c r="J902" s="179"/>
      <c r="K902" s="179"/>
      <c r="L902" s="179"/>
      <c r="M902" s="179"/>
      <c r="N902" s="179" t="s">
        <v>137</v>
      </c>
      <c r="O902" s="179"/>
      <c r="P902" s="179"/>
      <c r="Q902" s="202">
        <v>21</v>
      </c>
      <c r="R902" s="174"/>
      <c r="S902" s="174"/>
      <c r="T902" s="174"/>
      <c r="U902" s="174"/>
      <c r="V902" s="174"/>
      <c r="W902" s="173">
        <v>1433</v>
      </c>
      <c r="X902" s="174"/>
      <c r="Y902" s="174"/>
      <c r="Z902" s="174"/>
      <c r="AA902" s="174"/>
      <c r="AB902" s="174"/>
      <c r="AC902" s="196">
        <v>30093</v>
      </c>
      <c r="AD902" s="174"/>
      <c r="AE902" s="174"/>
    </row>
    <row r="903" spans="1:31" ht="19.350000000000001" customHeight="1" x14ac:dyDescent="0.2">
      <c r="A903" s="167" t="s">
        <v>1508</v>
      </c>
      <c r="B903" s="176" t="s">
        <v>1509</v>
      </c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7"/>
      <c r="R903" s="177"/>
      <c r="S903" s="177"/>
      <c r="T903" s="177"/>
      <c r="U903" s="177"/>
      <c r="V903" s="177"/>
      <c r="W903" s="177"/>
      <c r="X903" s="177"/>
      <c r="Y903" s="177"/>
      <c r="Z903" s="177"/>
      <c r="AA903" s="177"/>
      <c r="AB903" s="177"/>
      <c r="AC903" s="198">
        <v>134702</v>
      </c>
      <c r="AD903" s="177"/>
      <c r="AE903" s="177"/>
    </row>
    <row r="904" spans="1:31" ht="9.75" customHeight="1" x14ac:dyDescent="0.2">
      <c r="A904" s="168" t="s">
        <v>1510</v>
      </c>
      <c r="B904" s="179" t="s">
        <v>1504</v>
      </c>
      <c r="C904" s="179"/>
      <c r="D904" s="179"/>
      <c r="E904" s="179"/>
      <c r="F904" s="179"/>
      <c r="G904" s="179"/>
      <c r="H904" s="179"/>
      <c r="I904" s="179"/>
      <c r="J904" s="179"/>
      <c r="K904" s="179"/>
      <c r="L904" s="179"/>
      <c r="M904" s="179"/>
      <c r="N904" s="179" t="s">
        <v>137</v>
      </c>
      <c r="O904" s="179"/>
      <c r="P904" s="179"/>
      <c r="Q904" s="202">
        <v>94</v>
      </c>
      <c r="R904" s="174"/>
      <c r="S904" s="174"/>
      <c r="T904" s="174"/>
      <c r="U904" s="174"/>
      <c r="V904" s="174"/>
      <c r="W904" s="173">
        <v>1433</v>
      </c>
      <c r="X904" s="174"/>
      <c r="Y904" s="174"/>
      <c r="Z904" s="174"/>
      <c r="AA904" s="174"/>
      <c r="AB904" s="174"/>
      <c r="AC904" s="200">
        <v>134702</v>
      </c>
      <c r="AD904" s="174"/>
      <c r="AE904" s="174"/>
    </row>
    <row r="905" spans="1:31" ht="19.350000000000001" customHeight="1" x14ac:dyDescent="0.2">
      <c r="A905" s="167" t="s">
        <v>1511</v>
      </c>
      <c r="B905" s="176" t="s">
        <v>1512</v>
      </c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7"/>
      <c r="R905" s="177"/>
      <c r="S905" s="177"/>
      <c r="T905" s="177"/>
      <c r="U905" s="177"/>
      <c r="V905" s="177"/>
      <c r="W905" s="177"/>
      <c r="X905" s="177"/>
      <c r="Y905" s="177"/>
      <c r="Z905" s="177"/>
      <c r="AA905" s="177"/>
      <c r="AB905" s="177"/>
      <c r="AC905" s="194">
        <v>25794</v>
      </c>
      <c r="AD905" s="177"/>
      <c r="AE905" s="177"/>
    </row>
    <row r="906" spans="1:31" ht="9.75" customHeight="1" x14ac:dyDescent="0.2">
      <c r="A906" s="168" t="s">
        <v>1513</v>
      </c>
      <c r="B906" s="179" t="s">
        <v>1504</v>
      </c>
      <c r="C906" s="179"/>
      <c r="D906" s="179"/>
      <c r="E906" s="179"/>
      <c r="F906" s="179"/>
      <c r="G906" s="179"/>
      <c r="H906" s="179"/>
      <c r="I906" s="179"/>
      <c r="J906" s="179"/>
      <c r="K906" s="179"/>
      <c r="L906" s="179"/>
      <c r="M906" s="179"/>
      <c r="N906" s="179" t="s">
        <v>137</v>
      </c>
      <c r="O906" s="179"/>
      <c r="P906" s="179"/>
      <c r="Q906" s="202">
        <v>18</v>
      </c>
      <c r="R906" s="174"/>
      <c r="S906" s="174"/>
      <c r="T906" s="174"/>
      <c r="U906" s="174"/>
      <c r="V906" s="174"/>
      <c r="W906" s="173">
        <v>1433</v>
      </c>
      <c r="X906" s="174"/>
      <c r="Y906" s="174"/>
      <c r="Z906" s="174"/>
      <c r="AA906" s="174"/>
      <c r="AB906" s="174"/>
      <c r="AC906" s="196">
        <v>25794</v>
      </c>
      <c r="AD906" s="174"/>
      <c r="AE906" s="174"/>
    </row>
    <row r="907" spans="1:31" ht="9.6" customHeight="1" x14ac:dyDescent="0.2">
      <c r="A907" s="167" t="s">
        <v>1514</v>
      </c>
      <c r="B907" s="176" t="s">
        <v>693</v>
      </c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7"/>
      <c r="R907" s="177"/>
      <c r="S907" s="177"/>
      <c r="T907" s="177"/>
      <c r="U907" s="177"/>
      <c r="V907" s="177"/>
      <c r="W907" s="177"/>
      <c r="X907" s="177"/>
      <c r="Y907" s="177"/>
      <c r="Z907" s="177"/>
      <c r="AA907" s="177"/>
      <c r="AB907" s="177"/>
      <c r="AC907" s="194">
        <v>20115</v>
      </c>
      <c r="AD907" s="177"/>
      <c r="AE907" s="177"/>
    </row>
    <row r="908" spans="1:31" ht="9.75" customHeight="1" x14ac:dyDescent="0.2">
      <c r="A908" s="168" t="s">
        <v>1515</v>
      </c>
      <c r="B908" s="179" t="s">
        <v>1516</v>
      </c>
      <c r="C908" s="179"/>
      <c r="D908" s="179"/>
      <c r="E908" s="179"/>
      <c r="F908" s="179"/>
      <c r="G908" s="179"/>
      <c r="H908" s="179"/>
      <c r="I908" s="179"/>
      <c r="J908" s="179"/>
      <c r="K908" s="179"/>
      <c r="L908" s="179"/>
      <c r="M908" s="179"/>
      <c r="N908" s="179" t="s">
        <v>137</v>
      </c>
      <c r="O908" s="179"/>
      <c r="P908" s="179"/>
      <c r="Q908" s="191">
        <v>149</v>
      </c>
      <c r="R908" s="174"/>
      <c r="S908" s="174"/>
      <c r="T908" s="174"/>
      <c r="U908" s="174"/>
      <c r="V908" s="174"/>
      <c r="W908" s="191">
        <v>135</v>
      </c>
      <c r="X908" s="174"/>
      <c r="Y908" s="174"/>
      <c r="Z908" s="174"/>
      <c r="AA908" s="174"/>
      <c r="AB908" s="174"/>
      <c r="AC908" s="196">
        <v>20115</v>
      </c>
      <c r="AD908" s="174"/>
      <c r="AE908" s="174"/>
    </row>
    <row r="909" spans="1:31" ht="9.75" customHeight="1" x14ac:dyDescent="0.2">
      <c r="A909" s="167" t="s">
        <v>1517</v>
      </c>
      <c r="B909" s="176" t="s">
        <v>1518</v>
      </c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7"/>
      <c r="R909" s="177"/>
      <c r="S909" s="177"/>
      <c r="T909" s="177"/>
      <c r="U909" s="177"/>
      <c r="V909" s="177"/>
      <c r="W909" s="177"/>
      <c r="X909" s="177"/>
      <c r="Y909" s="177"/>
      <c r="Z909" s="177"/>
      <c r="AA909" s="177"/>
      <c r="AB909" s="177"/>
      <c r="AC909" s="178">
        <v>9188310.9600000009</v>
      </c>
      <c r="AD909" s="177"/>
      <c r="AE909" s="177"/>
    </row>
    <row r="910" spans="1:31" ht="9.75" customHeight="1" x14ac:dyDescent="0.2">
      <c r="A910" s="167" t="s">
        <v>1519</v>
      </c>
      <c r="B910" s="176" t="s">
        <v>1520</v>
      </c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7"/>
      <c r="R910" s="177"/>
      <c r="S910" s="177"/>
      <c r="T910" s="177"/>
      <c r="U910" s="177"/>
      <c r="V910" s="177"/>
      <c r="W910" s="177"/>
      <c r="X910" s="177"/>
      <c r="Y910" s="177"/>
      <c r="Z910" s="177"/>
      <c r="AA910" s="177"/>
      <c r="AB910" s="177"/>
      <c r="AC910" s="178">
        <v>1349680.57</v>
      </c>
      <c r="AD910" s="177"/>
      <c r="AE910" s="177"/>
    </row>
    <row r="911" spans="1:31" ht="9.75" customHeight="1" x14ac:dyDescent="0.2">
      <c r="A911" s="167" t="s">
        <v>1521</v>
      </c>
      <c r="B911" s="176" t="s">
        <v>1522</v>
      </c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7"/>
      <c r="R911" s="177"/>
      <c r="S911" s="177"/>
      <c r="T911" s="177"/>
      <c r="U911" s="177"/>
      <c r="V911" s="177"/>
      <c r="W911" s="177"/>
      <c r="X911" s="177"/>
      <c r="Y911" s="177"/>
      <c r="Z911" s="177"/>
      <c r="AA911" s="177"/>
      <c r="AB911" s="177"/>
      <c r="AC911" s="198">
        <v>118377.76</v>
      </c>
      <c r="AD911" s="177"/>
      <c r="AE911" s="177"/>
    </row>
    <row r="912" spans="1:31" ht="9.75" customHeight="1" x14ac:dyDescent="0.2">
      <c r="A912" s="168" t="s">
        <v>1523</v>
      </c>
      <c r="B912" s="179" t="s">
        <v>1522</v>
      </c>
      <c r="C912" s="179"/>
      <c r="D912" s="179"/>
      <c r="E912" s="179"/>
      <c r="F912" s="179"/>
      <c r="G912" s="179"/>
      <c r="H912" s="179"/>
      <c r="I912" s="179"/>
      <c r="J912" s="179"/>
      <c r="K912" s="179"/>
      <c r="L912" s="179"/>
      <c r="M912" s="179"/>
      <c r="N912" s="179" t="s">
        <v>112</v>
      </c>
      <c r="O912" s="179"/>
      <c r="P912" s="179"/>
      <c r="Q912" s="180">
        <v>1</v>
      </c>
      <c r="R912" s="174"/>
      <c r="S912" s="174"/>
      <c r="T912" s="174"/>
      <c r="U912" s="174"/>
      <c r="V912" s="174"/>
      <c r="W912" s="199">
        <v>118377.76</v>
      </c>
      <c r="X912" s="174"/>
      <c r="Y912" s="174"/>
      <c r="Z912" s="174"/>
      <c r="AA912" s="174"/>
      <c r="AB912" s="174"/>
      <c r="AC912" s="200">
        <v>118377.76</v>
      </c>
      <c r="AD912" s="174"/>
      <c r="AE912" s="174"/>
    </row>
    <row r="913" spans="1:31" ht="9.6" customHeight="1" x14ac:dyDescent="0.2">
      <c r="A913" s="167" t="s">
        <v>1524</v>
      </c>
      <c r="B913" s="176" t="s">
        <v>1525</v>
      </c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7"/>
      <c r="R913" s="177"/>
      <c r="S913" s="177"/>
      <c r="T913" s="177"/>
      <c r="U913" s="177"/>
      <c r="V913" s="177"/>
      <c r="W913" s="177"/>
      <c r="X913" s="177"/>
      <c r="Y913" s="177"/>
      <c r="Z913" s="177"/>
      <c r="AA913" s="177"/>
      <c r="AB913" s="177"/>
      <c r="AC913" s="198">
        <v>105694.43</v>
      </c>
      <c r="AD913" s="177"/>
      <c r="AE913" s="177"/>
    </row>
    <row r="914" spans="1:31" ht="9.75" customHeight="1" x14ac:dyDescent="0.2">
      <c r="A914" s="168" t="s">
        <v>1526</v>
      </c>
      <c r="B914" s="179" t="s">
        <v>1525</v>
      </c>
      <c r="C914" s="179"/>
      <c r="D914" s="179"/>
      <c r="E914" s="179"/>
      <c r="F914" s="179"/>
      <c r="G914" s="179"/>
      <c r="H914" s="179"/>
      <c r="I914" s="179"/>
      <c r="J914" s="179"/>
      <c r="K914" s="179"/>
      <c r="L914" s="179"/>
      <c r="M914" s="179"/>
      <c r="N914" s="179" t="s">
        <v>112</v>
      </c>
      <c r="O914" s="179"/>
      <c r="P914" s="179"/>
      <c r="Q914" s="180">
        <v>1</v>
      </c>
      <c r="R914" s="174"/>
      <c r="S914" s="174"/>
      <c r="T914" s="174"/>
      <c r="U914" s="174"/>
      <c r="V914" s="174"/>
      <c r="W914" s="199">
        <v>105694.43</v>
      </c>
      <c r="X914" s="174"/>
      <c r="Y914" s="174"/>
      <c r="Z914" s="174"/>
      <c r="AA914" s="174"/>
      <c r="AB914" s="174"/>
      <c r="AC914" s="200">
        <v>105694.43</v>
      </c>
      <c r="AD914" s="174"/>
      <c r="AE914" s="174"/>
    </row>
    <row r="915" spans="1:31" ht="9.6" customHeight="1" x14ac:dyDescent="0.2">
      <c r="A915" s="167" t="s">
        <v>1527</v>
      </c>
      <c r="B915" s="176" t="s">
        <v>1528</v>
      </c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7"/>
      <c r="R915" s="177"/>
      <c r="S915" s="177"/>
      <c r="T915" s="177"/>
      <c r="U915" s="177"/>
      <c r="V915" s="177"/>
      <c r="W915" s="177"/>
      <c r="X915" s="177"/>
      <c r="Y915" s="177"/>
      <c r="Z915" s="177"/>
      <c r="AA915" s="177"/>
      <c r="AB915" s="177"/>
      <c r="AC915" s="198">
        <v>487214.06</v>
      </c>
      <c r="AD915" s="177"/>
      <c r="AE915" s="177"/>
    </row>
    <row r="916" spans="1:31" ht="9.75" customHeight="1" x14ac:dyDescent="0.2">
      <c r="A916" s="168" t="s">
        <v>1529</v>
      </c>
      <c r="B916" s="179" t="s">
        <v>1528</v>
      </c>
      <c r="C916" s="179"/>
      <c r="D916" s="179"/>
      <c r="E916" s="179"/>
      <c r="F916" s="179"/>
      <c r="G916" s="179"/>
      <c r="H916" s="179"/>
      <c r="I916" s="179"/>
      <c r="J916" s="179"/>
      <c r="K916" s="179"/>
      <c r="L916" s="179"/>
      <c r="M916" s="179"/>
      <c r="N916" s="179" t="s">
        <v>112</v>
      </c>
      <c r="O916" s="179"/>
      <c r="P916" s="179"/>
      <c r="Q916" s="180">
        <v>1</v>
      </c>
      <c r="R916" s="174"/>
      <c r="S916" s="174"/>
      <c r="T916" s="174"/>
      <c r="U916" s="174"/>
      <c r="V916" s="174"/>
      <c r="W916" s="199">
        <v>487214.06</v>
      </c>
      <c r="X916" s="174"/>
      <c r="Y916" s="174"/>
      <c r="Z916" s="174"/>
      <c r="AA916" s="174"/>
      <c r="AB916" s="174"/>
      <c r="AC916" s="200">
        <v>487214.06</v>
      </c>
      <c r="AD916" s="174"/>
      <c r="AE916" s="174"/>
    </row>
    <row r="917" spans="1:31" ht="9.6" customHeight="1" x14ac:dyDescent="0.2">
      <c r="A917" s="167" t="s">
        <v>1530</v>
      </c>
      <c r="B917" s="176" t="s">
        <v>1531</v>
      </c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7"/>
      <c r="R917" s="177"/>
      <c r="S917" s="177"/>
      <c r="T917" s="177"/>
      <c r="U917" s="177"/>
      <c r="V917" s="177"/>
      <c r="W917" s="177"/>
      <c r="X917" s="177"/>
      <c r="Y917" s="177"/>
      <c r="Z917" s="177"/>
      <c r="AA917" s="177"/>
      <c r="AB917" s="177"/>
      <c r="AC917" s="198">
        <v>291716.61</v>
      </c>
      <c r="AD917" s="177"/>
      <c r="AE917" s="177"/>
    </row>
    <row r="918" spans="1:31" ht="9.75" customHeight="1" x14ac:dyDescent="0.2">
      <c r="A918" s="168" t="s">
        <v>1532</v>
      </c>
      <c r="B918" s="179" t="s">
        <v>1533</v>
      </c>
      <c r="C918" s="179"/>
      <c r="D918" s="179"/>
      <c r="E918" s="179"/>
      <c r="F918" s="179"/>
      <c r="G918" s="179"/>
      <c r="H918" s="179"/>
      <c r="I918" s="179"/>
      <c r="J918" s="179"/>
      <c r="K918" s="179"/>
      <c r="L918" s="179"/>
      <c r="M918" s="179"/>
      <c r="N918" s="179" t="s">
        <v>112</v>
      </c>
      <c r="O918" s="179"/>
      <c r="P918" s="179"/>
      <c r="Q918" s="180">
        <v>1</v>
      </c>
      <c r="R918" s="174"/>
      <c r="S918" s="174"/>
      <c r="T918" s="174"/>
      <c r="U918" s="174"/>
      <c r="V918" s="174"/>
      <c r="W918" s="199">
        <v>291716.61</v>
      </c>
      <c r="X918" s="174"/>
      <c r="Y918" s="174"/>
      <c r="Z918" s="174"/>
      <c r="AA918" s="174"/>
      <c r="AB918" s="174"/>
      <c r="AC918" s="200">
        <v>291716.61</v>
      </c>
      <c r="AD918" s="174"/>
      <c r="AE918" s="174"/>
    </row>
    <row r="919" spans="1:31" ht="9.6" customHeight="1" x14ac:dyDescent="0.2">
      <c r="A919" s="167" t="s">
        <v>1534</v>
      </c>
      <c r="B919" s="176" t="s">
        <v>1535</v>
      </c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7"/>
      <c r="R919" s="177"/>
      <c r="S919" s="177"/>
      <c r="T919" s="177"/>
      <c r="U919" s="177"/>
      <c r="V919" s="177"/>
      <c r="W919" s="177"/>
      <c r="X919" s="177"/>
      <c r="Y919" s="177"/>
      <c r="Z919" s="177"/>
      <c r="AA919" s="177"/>
      <c r="AB919" s="177"/>
      <c r="AC919" s="198">
        <v>346677.71</v>
      </c>
      <c r="AD919" s="177"/>
      <c r="AE919" s="177"/>
    </row>
    <row r="920" spans="1:31" ht="9.75" customHeight="1" x14ac:dyDescent="0.2">
      <c r="A920" s="168" t="s">
        <v>1536</v>
      </c>
      <c r="B920" s="179" t="s">
        <v>1537</v>
      </c>
      <c r="C920" s="179"/>
      <c r="D920" s="179"/>
      <c r="E920" s="179"/>
      <c r="F920" s="179"/>
      <c r="G920" s="179"/>
      <c r="H920" s="179"/>
      <c r="I920" s="179"/>
      <c r="J920" s="179"/>
      <c r="K920" s="179"/>
      <c r="L920" s="179"/>
      <c r="M920" s="179"/>
      <c r="N920" s="179" t="s">
        <v>220</v>
      </c>
      <c r="O920" s="179"/>
      <c r="P920" s="179"/>
      <c r="Q920" s="195">
        <v>42277.77</v>
      </c>
      <c r="R920" s="174"/>
      <c r="S920" s="174"/>
      <c r="T920" s="174"/>
      <c r="U920" s="174"/>
      <c r="V920" s="174"/>
      <c r="W920" s="180">
        <v>8.1999999999999993</v>
      </c>
      <c r="X920" s="174"/>
      <c r="Y920" s="174"/>
      <c r="Z920" s="174"/>
      <c r="AA920" s="174"/>
      <c r="AB920" s="174"/>
      <c r="AC920" s="200">
        <v>346677.71</v>
      </c>
      <c r="AD920" s="174"/>
      <c r="AE920" s="174"/>
    </row>
    <row r="921" spans="1:31" ht="9.6" customHeight="1" x14ac:dyDescent="0.2">
      <c r="A921" s="167" t="s">
        <v>1538</v>
      </c>
      <c r="B921" s="176" t="s">
        <v>1539</v>
      </c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7"/>
      <c r="R921" s="177"/>
      <c r="S921" s="177"/>
      <c r="T921" s="177"/>
      <c r="U921" s="177"/>
      <c r="V921" s="177"/>
      <c r="W921" s="177"/>
      <c r="X921" s="177"/>
      <c r="Y921" s="177"/>
      <c r="Z921" s="177"/>
      <c r="AA921" s="177"/>
      <c r="AB921" s="177"/>
      <c r="AC921" s="178">
        <v>1737485.29</v>
      </c>
      <c r="AD921" s="177"/>
      <c r="AE921" s="177"/>
    </row>
    <row r="922" spans="1:31" ht="9.75" customHeight="1" x14ac:dyDescent="0.2">
      <c r="A922" s="167" t="s">
        <v>1540</v>
      </c>
      <c r="B922" s="176" t="s">
        <v>1541</v>
      </c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7"/>
      <c r="R922" s="177"/>
      <c r="S922" s="177"/>
      <c r="T922" s="177"/>
      <c r="U922" s="177"/>
      <c r="V922" s="177"/>
      <c r="W922" s="177"/>
      <c r="X922" s="177"/>
      <c r="Y922" s="177"/>
      <c r="Z922" s="177"/>
      <c r="AA922" s="177"/>
      <c r="AB922" s="177"/>
      <c r="AC922" s="178">
        <v>1737485.29</v>
      </c>
      <c r="AD922" s="177"/>
      <c r="AE922" s="177"/>
    </row>
    <row r="923" spans="1:31" ht="9.75" customHeight="1" x14ac:dyDescent="0.2">
      <c r="A923" s="168" t="s">
        <v>1542</v>
      </c>
      <c r="B923" s="179" t="s">
        <v>1541</v>
      </c>
      <c r="C923" s="179"/>
      <c r="D923" s="179"/>
      <c r="E923" s="179"/>
      <c r="F923" s="179"/>
      <c r="G923" s="179"/>
      <c r="H923" s="179"/>
      <c r="I923" s="179"/>
      <c r="J923" s="179"/>
      <c r="K923" s="179"/>
      <c r="L923" s="179"/>
      <c r="M923" s="179"/>
      <c r="N923" s="179" t="s">
        <v>112</v>
      </c>
      <c r="O923" s="179"/>
      <c r="P923" s="179"/>
      <c r="Q923" s="180">
        <v>1</v>
      </c>
      <c r="R923" s="174"/>
      <c r="S923" s="174"/>
      <c r="T923" s="174"/>
      <c r="U923" s="174"/>
      <c r="V923" s="174"/>
      <c r="W923" s="181">
        <v>1737485.29</v>
      </c>
      <c r="X923" s="174"/>
      <c r="Y923" s="174"/>
      <c r="Z923" s="174"/>
      <c r="AA923" s="174"/>
      <c r="AB923" s="174"/>
      <c r="AC923" s="175">
        <v>1737485.29</v>
      </c>
      <c r="AD923" s="174"/>
      <c r="AE923" s="174"/>
    </row>
    <row r="924" spans="1:31" ht="9.6" customHeight="1" x14ac:dyDescent="0.2">
      <c r="A924" s="167" t="s">
        <v>1543</v>
      </c>
      <c r="B924" s="176" t="s">
        <v>1544</v>
      </c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7"/>
      <c r="R924" s="177"/>
      <c r="S924" s="177"/>
      <c r="T924" s="177"/>
      <c r="U924" s="177"/>
      <c r="V924" s="177"/>
      <c r="W924" s="177"/>
      <c r="X924" s="177"/>
      <c r="Y924" s="177"/>
      <c r="Z924" s="177"/>
      <c r="AA924" s="177"/>
      <c r="AB924" s="177"/>
      <c r="AC924" s="178">
        <v>4194402.08</v>
      </c>
      <c r="AD924" s="177"/>
      <c r="AE924" s="177"/>
    </row>
    <row r="925" spans="1:31" ht="9.75" customHeight="1" x14ac:dyDescent="0.2">
      <c r="A925" s="167" t="s">
        <v>1545</v>
      </c>
      <c r="B925" s="176" t="s">
        <v>1546</v>
      </c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7"/>
      <c r="R925" s="177"/>
      <c r="S925" s="177"/>
      <c r="T925" s="177"/>
      <c r="U925" s="177"/>
      <c r="V925" s="177"/>
      <c r="W925" s="177"/>
      <c r="X925" s="177"/>
      <c r="Y925" s="177"/>
      <c r="Z925" s="177"/>
      <c r="AA925" s="177"/>
      <c r="AB925" s="177"/>
      <c r="AC925" s="198">
        <v>581280</v>
      </c>
      <c r="AD925" s="177"/>
      <c r="AE925" s="177"/>
    </row>
    <row r="926" spans="1:31" ht="9.75" customHeight="1" x14ac:dyDescent="0.2">
      <c r="A926" s="168" t="s">
        <v>1547</v>
      </c>
      <c r="B926" s="179" t="s">
        <v>1546</v>
      </c>
      <c r="C926" s="179"/>
      <c r="D926" s="179"/>
      <c r="E926" s="179"/>
      <c r="F926" s="179"/>
      <c r="G926" s="179"/>
      <c r="H926" s="179"/>
      <c r="I926" s="179"/>
      <c r="J926" s="179"/>
      <c r="K926" s="179"/>
      <c r="L926" s="179"/>
      <c r="M926" s="179"/>
      <c r="N926" s="179" t="s">
        <v>112</v>
      </c>
      <c r="O926" s="179"/>
      <c r="P926" s="179"/>
      <c r="Q926" s="180">
        <v>1</v>
      </c>
      <c r="R926" s="174"/>
      <c r="S926" s="174"/>
      <c r="T926" s="174"/>
      <c r="U926" s="174"/>
      <c r="V926" s="174"/>
      <c r="W926" s="199">
        <v>581280</v>
      </c>
      <c r="X926" s="174"/>
      <c r="Y926" s="174"/>
      <c r="Z926" s="174"/>
      <c r="AA926" s="174"/>
      <c r="AB926" s="174"/>
      <c r="AC926" s="200">
        <v>581280</v>
      </c>
      <c r="AD926" s="174"/>
      <c r="AE926" s="174"/>
    </row>
    <row r="927" spans="1:31" ht="9.6" customHeight="1" x14ac:dyDescent="0.2">
      <c r="A927" s="167" t="s">
        <v>1548</v>
      </c>
      <c r="B927" s="176" t="s">
        <v>1549</v>
      </c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7"/>
      <c r="R927" s="177"/>
      <c r="S927" s="177"/>
      <c r="T927" s="177"/>
      <c r="U927" s="177"/>
      <c r="V927" s="177"/>
      <c r="W927" s="177"/>
      <c r="X927" s="177"/>
      <c r="Y927" s="177"/>
      <c r="Z927" s="177"/>
      <c r="AA927" s="177"/>
      <c r="AB927" s="177"/>
      <c r="AC927" s="198">
        <v>765314.68</v>
      </c>
      <c r="AD927" s="177"/>
      <c r="AE927" s="177"/>
    </row>
    <row r="928" spans="1:31" ht="9.75" customHeight="1" x14ac:dyDescent="0.2">
      <c r="A928" s="168" t="s">
        <v>1550</v>
      </c>
      <c r="B928" s="179" t="s">
        <v>1551</v>
      </c>
      <c r="C928" s="179"/>
      <c r="D928" s="179"/>
      <c r="E928" s="179"/>
      <c r="F928" s="179"/>
      <c r="G928" s="179"/>
      <c r="H928" s="179"/>
      <c r="I928" s="179"/>
      <c r="J928" s="179"/>
      <c r="K928" s="179"/>
      <c r="L928" s="179"/>
      <c r="M928" s="179"/>
      <c r="N928" s="179" t="s">
        <v>112</v>
      </c>
      <c r="O928" s="179"/>
      <c r="P928" s="179"/>
      <c r="Q928" s="180">
        <v>1</v>
      </c>
      <c r="R928" s="174"/>
      <c r="S928" s="174"/>
      <c r="T928" s="174"/>
      <c r="U928" s="174"/>
      <c r="V928" s="174"/>
      <c r="W928" s="199">
        <v>765314.68</v>
      </c>
      <c r="X928" s="174"/>
      <c r="Y928" s="174"/>
      <c r="Z928" s="174"/>
      <c r="AA928" s="174"/>
      <c r="AB928" s="174"/>
      <c r="AC928" s="200">
        <v>765314.68</v>
      </c>
      <c r="AD928" s="174"/>
      <c r="AE928" s="174"/>
    </row>
    <row r="929" spans="1:31" ht="9.6" customHeight="1" x14ac:dyDescent="0.2">
      <c r="A929" s="167" t="s">
        <v>1552</v>
      </c>
      <c r="B929" s="176" t="s">
        <v>1553</v>
      </c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7"/>
      <c r="R929" s="177"/>
      <c r="S929" s="177"/>
      <c r="T929" s="177"/>
      <c r="U929" s="177"/>
      <c r="V929" s="177"/>
      <c r="W929" s="177"/>
      <c r="X929" s="177"/>
      <c r="Y929" s="177"/>
      <c r="Z929" s="177"/>
      <c r="AA929" s="177"/>
      <c r="AB929" s="177"/>
      <c r="AC929" s="178">
        <v>2460287.4</v>
      </c>
      <c r="AD929" s="177"/>
      <c r="AE929" s="177"/>
    </row>
    <row r="930" spans="1:31" ht="9.75" customHeight="1" x14ac:dyDescent="0.2">
      <c r="A930" s="168" t="s">
        <v>1554</v>
      </c>
      <c r="B930" s="179" t="s">
        <v>1555</v>
      </c>
      <c r="C930" s="179"/>
      <c r="D930" s="179"/>
      <c r="E930" s="179"/>
      <c r="F930" s="179"/>
      <c r="G930" s="179"/>
      <c r="H930" s="179"/>
      <c r="I930" s="179"/>
      <c r="J930" s="179"/>
      <c r="K930" s="179"/>
      <c r="L930" s="179"/>
      <c r="M930" s="179"/>
      <c r="N930" s="179" t="s">
        <v>112</v>
      </c>
      <c r="O930" s="179"/>
      <c r="P930" s="179"/>
      <c r="Q930" s="180">
        <v>1</v>
      </c>
      <c r="R930" s="174"/>
      <c r="S930" s="174"/>
      <c r="T930" s="174"/>
      <c r="U930" s="174"/>
      <c r="V930" s="174"/>
      <c r="W930" s="199">
        <v>526655</v>
      </c>
      <c r="X930" s="174"/>
      <c r="Y930" s="174"/>
      <c r="Z930" s="174"/>
      <c r="AA930" s="174"/>
      <c r="AB930" s="174"/>
      <c r="AC930" s="200">
        <v>526655</v>
      </c>
      <c r="AD930" s="174"/>
      <c r="AE930" s="174"/>
    </row>
    <row r="931" spans="1:31" ht="19.350000000000001" customHeight="1" x14ac:dyDescent="0.2">
      <c r="A931" s="168" t="s">
        <v>1556</v>
      </c>
      <c r="B931" s="179" t="s">
        <v>1557</v>
      </c>
      <c r="C931" s="179"/>
      <c r="D931" s="179"/>
      <c r="E931" s="179"/>
      <c r="F931" s="179"/>
      <c r="G931" s="179"/>
      <c r="H931" s="179"/>
      <c r="I931" s="179"/>
      <c r="J931" s="179"/>
      <c r="K931" s="179"/>
      <c r="L931" s="179"/>
      <c r="M931" s="179"/>
      <c r="N931" s="179" t="s">
        <v>137</v>
      </c>
      <c r="O931" s="179"/>
      <c r="P931" s="179"/>
      <c r="Q931" s="191">
        <v>106</v>
      </c>
      <c r="R931" s="174"/>
      <c r="S931" s="174"/>
      <c r="T931" s="174"/>
      <c r="U931" s="174"/>
      <c r="V931" s="174"/>
      <c r="W931" s="173">
        <v>7456.8</v>
      </c>
      <c r="X931" s="174"/>
      <c r="Y931" s="174"/>
      <c r="Z931" s="174"/>
      <c r="AA931" s="174"/>
      <c r="AB931" s="174"/>
      <c r="AC931" s="200">
        <v>790420.8</v>
      </c>
      <c r="AD931" s="174"/>
      <c r="AE931" s="174"/>
    </row>
    <row r="932" spans="1:31" ht="9.6" customHeight="1" x14ac:dyDescent="0.2">
      <c r="A932" s="168" t="s">
        <v>1558</v>
      </c>
      <c r="B932" s="179" t="s">
        <v>1559</v>
      </c>
      <c r="C932" s="179"/>
      <c r="D932" s="179"/>
      <c r="E932" s="179"/>
      <c r="F932" s="179"/>
      <c r="G932" s="179"/>
      <c r="H932" s="179"/>
      <c r="I932" s="179"/>
      <c r="J932" s="179"/>
      <c r="K932" s="179"/>
      <c r="L932" s="179"/>
      <c r="M932" s="179"/>
      <c r="N932" s="179" t="s">
        <v>137</v>
      </c>
      <c r="O932" s="179"/>
      <c r="P932" s="179"/>
      <c r="Q932" s="180">
        <v>2</v>
      </c>
      <c r="R932" s="174"/>
      <c r="S932" s="174"/>
      <c r="T932" s="174"/>
      <c r="U932" s="174"/>
      <c r="V932" s="174"/>
      <c r="W932" s="173">
        <v>7456.8</v>
      </c>
      <c r="X932" s="174"/>
      <c r="Y932" s="174"/>
      <c r="Z932" s="174"/>
      <c r="AA932" s="174"/>
      <c r="AB932" s="174"/>
      <c r="AC932" s="196">
        <v>14913.6</v>
      </c>
      <c r="AD932" s="174"/>
      <c r="AE932" s="174"/>
    </row>
    <row r="933" spans="1:31" ht="9.6" customHeight="1" x14ac:dyDescent="0.2">
      <c r="A933" s="168" t="s">
        <v>1560</v>
      </c>
      <c r="B933" s="179" t="s">
        <v>1561</v>
      </c>
      <c r="C933" s="179"/>
      <c r="D933" s="179"/>
      <c r="E933" s="179"/>
      <c r="F933" s="179"/>
      <c r="G933" s="179"/>
      <c r="H933" s="179"/>
      <c r="I933" s="179"/>
      <c r="J933" s="179"/>
      <c r="K933" s="179"/>
      <c r="L933" s="179"/>
      <c r="M933" s="179"/>
      <c r="N933" s="179" t="s">
        <v>137</v>
      </c>
      <c r="O933" s="179"/>
      <c r="P933" s="179"/>
      <c r="Q933" s="191">
        <v>109</v>
      </c>
      <c r="R933" s="174"/>
      <c r="S933" s="174"/>
      <c r="T933" s="174"/>
      <c r="U933" s="174"/>
      <c r="V933" s="174"/>
      <c r="W933" s="173">
        <v>2958</v>
      </c>
      <c r="X933" s="174"/>
      <c r="Y933" s="174"/>
      <c r="Z933" s="174"/>
      <c r="AA933" s="174"/>
      <c r="AB933" s="174"/>
      <c r="AC933" s="200">
        <v>322422</v>
      </c>
      <c r="AD933" s="174"/>
      <c r="AE933" s="174"/>
    </row>
    <row r="934" spans="1:31" ht="9.6" customHeight="1" x14ac:dyDescent="0.2">
      <c r="A934" s="168" t="s">
        <v>1562</v>
      </c>
      <c r="B934" s="179" t="s">
        <v>1563</v>
      </c>
      <c r="C934" s="179"/>
      <c r="D934" s="179"/>
      <c r="E934" s="179"/>
      <c r="F934" s="179"/>
      <c r="G934" s="179"/>
      <c r="H934" s="179"/>
      <c r="I934" s="179"/>
      <c r="J934" s="179"/>
      <c r="K934" s="179"/>
      <c r="L934" s="179"/>
      <c r="M934" s="179"/>
      <c r="N934" s="179" t="s">
        <v>137</v>
      </c>
      <c r="O934" s="179"/>
      <c r="P934" s="179"/>
      <c r="Q934" s="191">
        <v>102</v>
      </c>
      <c r="R934" s="174"/>
      <c r="S934" s="174"/>
      <c r="T934" s="174"/>
      <c r="U934" s="174"/>
      <c r="V934" s="174"/>
      <c r="W934" s="173">
        <v>1649.5</v>
      </c>
      <c r="X934" s="174"/>
      <c r="Y934" s="174"/>
      <c r="Z934" s="174"/>
      <c r="AA934" s="174"/>
      <c r="AB934" s="174"/>
      <c r="AC934" s="200">
        <v>168249</v>
      </c>
      <c r="AD934" s="174"/>
      <c r="AE934" s="174"/>
    </row>
    <row r="935" spans="1:31" ht="9.6" customHeight="1" x14ac:dyDescent="0.2">
      <c r="A935" s="168" t="s">
        <v>1564</v>
      </c>
      <c r="B935" s="179" t="s">
        <v>1565</v>
      </c>
      <c r="C935" s="179"/>
      <c r="D935" s="179"/>
      <c r="E935" s="179"/>
      <c r="F935" s="179"/>
      <c r="G935" s="179"/>
      <c r="H935" s="179"/>
      <c r="I935" s="179"/>
      <c r="J935" s="179"/>
      <c r="K935" s="179"/>
      <c r="L935" s="179"/>
      <c r="M935" s="179"/>
      <c r="N935" s="179" t="s">
        <v>112</v>
      </c>
      <c r="O935" s="179"/>
      <c r="P935" s="179"/>
      <c r="Q935" s="180">
        <v>1</v>
      </c>
      <c r="R935" s="174"/>
      <c r="S935" s="174"/>
      <c r="T935" s="174"/>
      <c r="U935" s="174"/>
      <c r="V935" s="174"/>
      <c r="W935" s="199">
        <v>637627</v>
      </c>
      <c r="X935" s="174"/>
      <c r="Y935" s="174"/>
      <c r="Z935" s="174"/>
      <c r="AA935" s="174"/>
      <c r="AB935" s="174"/>
      <c r="AC935" s="200">
        <v>637627</v>
      </c>
      <c r="AD935" s="174"/>
      <c r="AE935" s="174"/>
    </row>
    <row r="936" spans="1:31" ht="9.6" customHeight="1" x14ac:dyDescent="0.2">
      <c r="A936" s="167" t="s">
        <v>1566</v>
      </c>
      <c r="B936" s="176" t="s">
        <v>693</v>
      </c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7"/>
      <c r="R936" s="177"/>
      <c r="S936" s="177"/>
      <c r="T936" s="177"/>
      <c r="U936" s="177"/>
      <c r="V936" s="177"/>
      <c r="W936" s="177"/>
      <c r="X936" s="177"/>
      <c r="Y936" s="177"/>
      <c r="Z936" s="177"/>
      <c r="AA936" s="177"/>
      <c r="AB936" s="177"/>
      <c r="AC936" s="198">
        <v>387520</v>
      </c>
      <c r="AD936" s="177"/>
      <c r="AE936" s="177"/>
    </row>
    <row r="937" spans="1:31" ht="9.75" customHeight="1" x14ac:dyDescent="0.2">
      <c r="A937" s="168" t="s">
        <v>1567</v>
      </c>
      <c r="B937" s="179" t="s">
        <v>1568</v>
      </c>
      <c r="C937" s="179"/>
      <c r="D937" s="179"/>
      <c r="E937" s="179"/>
      <c r="F937" s="179"/>
      <c r="G937" s="179"/>
      <c r="H937" s="179"/>
      <c r="I937" s="179"/>
      <c r="J937" s="179"/>
      <c r="K937" s="179"/>
      <c r="L937" s="179"/>
      <c r="M937" s="179"/>
      <c r="N937" s="179" t="s">
        <v>112</v>
      </c>
      <c r="O937" s="179"/>
      <c r="P937" s="179"/>
      <c r="Q937" s="180">
        <v>1</v>
      </c>
      <c r="R937" s="174"/>
      <c r="S937" s="174"/>
      <c r="T937" s="174"/>
      <c r="U937" s="174"/>
      <c r="V937" s="174"/>
      <c r="W937" s="199">
        <v>387520</v>
      </c>
      <c r="X937" s="174"/>
      <c r="Y937" s="174"/>
      <c r="Z937" s="174"/>
      <c r="AA937" s="174"/>
      <c r="AB937" s="174"/>
      <c r="AC937" s="200">
        <v>387520</v>
      </c>
      <c r="AD937" s="174"/>
      <c r="AE937" s="174"/>
    </row>
    <row r="938" spans="1:31" ht="9.6" customHeight="1" x14ac:dyDescent="0.2">
      <c r="A938" s="167" t="s">
        <v>1569</v>
      </c>
      <c r="B938" s="176" t="s">
        <v>1570</v>
      </c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7"/>
      <c r="R938" s="177"/>
      <c r="S938" s="177"/>
      <c r="T938" s="177"/>
      <c r="U938" s="177"/>
      <c r="V938" s="177"/>
      <c r="W938" s="177"/>
      <c r="X938" s="177"/>
      <c r="Y938" s="177"/>
      <c r="Z938" s="177"/>
      <c r="AA938" s="177"/>
      <c r="AB938" s="177"/>
      <c r="AC938" s="198">
        <v>513835.38</v>
      </c>
      <c r="AD938" s="177"/>
      <c r="AE938" s="177"/>
    </row>
    <row r="939" spans="1:31" ht="9.75" customHeight="1" x14ac:dyDescent="0.2">
      <c r="A939" s="167" t="s">
        <v>1571</v>
      </c>
      <c r="B939" s="176" t="s">
        <v>1572</v>
      </c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7"/>
      <c r="R939" s="177"/>
      <c r="S939" s="177"/>
      <c r="T939" s="177"/>
      <c r="U939" s="177"/>
      <c r="V939" s="177"/>
      <c r="W939" s="177"/>
      <c r="X939" s="177"/>
      <c r="Y939" s="177"/>
      <c r="Z939" s="177"/>
      <c r="AA939" s="177"/>
      <c r="AB939" s="177"/>
      <c r="AC939" s="198">
        <v>365863.19</v>
      </c>
      <c r="AD939" s="177"/>
      <c r="AE939" s="177"/>
    </row>
    <row r="940" spans="1:31" ht="9.75" customHeight="1" x14ac:dyDescent="0.2">
      <c r="A940" s="168" t="s">
        <v>1573</v>
      </c>
      <c r="B940" s="179" t="s">
        <v>1574</v>
      </c>
      <c r="C940" s="179"/>
      <c r="D940" s="179"/>
      <c r="E940" s="179"/>
      <c r="F940" s="179"/>
      <c r="G940" s="179"/>
      <c r="H940" s="179"/>
      <c r="I940" s="179"/>
      <c r="J940" s="179"/>
      <c r="K940" s="179"/>
      <c r="L940" s="179"/>
      <c r="M940" s="179"/>
      <c r="N940" s="179" t="s">
        <v>112</v>
      </c>
      <c r="O940" s="179"/>
      <c r="P940" s="179"/>
      <c r="Q940" s="180">
        <v>1</v>
      </c>
      <c r="R940" s="174"/>
      <c r="S940" s="174"/>
      <c r="T940" s="174"/>
      <c r="U940" s="174"/>
      <c r="V940" s="174"/>
      <c r="W940" s="199">
        <v>365863.19</v>
      </c>
      <c r="X940" s="174"/>
      <c r="Y940" s="174"/>
      <c r="Z940" s="174"/>
      <c r="AA940" s="174"/>
      <c r="AB940" s="174"/>
      <c r="AC940" s="200">
        <v>365863.19</v>
      </c>
      <c r="AD940" s="174"/>
      <c r="AE940" s="174"/>
    </row>
    <row r="941" spans="1:31" ht="9.6" customHeight="1" x14ac:dyDescent="0.2">
      <c r="A941" s="167" t="s">
        <v>1575</v>
      </c>
      <c r="B941" s="176" t="s">
        <v>693</v>
      </c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7"/>
      <c r="R941" s="177"/>
      <c r="S941" s="177"/>
      <c r="T941" s="177"/>
      <c r="U941" s="177"/>
      <c r="V941" s="177"/>
      <c r="W941" s="177"/>
      <c r="X941" s="177"/>
      <c r="Y941" s="177"/>
      <c r="Z941" s="177"/>
      <c r="AA941" s="177"/>
      <c r="AB941" s="177"/>
      <c r="AC941" s="198">
        <v>147972.19</v>
      </c>
      <c r="AD941" s="177"/>
      <c r="AE941" s="177"/>
    </row>
    <row r="942" spans="1:31" ht="9.75" customHeight="1" x14ac:dyDescent="0.2">
      <c r="A942" s="168" t="s">
        <v>1576</v>
      </c>
      <c r="B942" s="179" t="s">
        <v>1577</v>
      </c>
      <c r="C942" s="179"/>
      <c r="D942" s="179"/>
      <c r="E942" s="179"/>
      <c r="F942" s="179"/>
      <c r="G942" s="179"/>
      <c r="H942" s="179"/>
      <c r="I942" s="179"/>
      <c r="J942" s="179"/>
      <c r="K942" s="179"/>
      <c r="L942" s="179"/>
      <c r="M942" s="179"/>
      <c r="N942" s="179" t="s">
        <v>220</v>
      </c>
      <c r="O942" s="179"/>
      <c r="P942" s="179"/>
      <c r="Q942" s="195">
        <v>42277.77</v>
      </c>
      <c r="R942" s="174"/>
      <c r="S942" s="174"/>
      <c r="T942" s="174"/>
      <c r="U942" s="174"/>
      <c r="V942" s="174"/>
      <c r="W942" s="180">
        <v>3.5</v>
      </c>
      <c r="X942" s="174"/>
      <c r="Y942" s="174"/>
      <c r="Z942" s="174"/>
      <c r="AA942" s="174"/>
      <c r="AB942" s="174"/>
      <c r="AC942" s="200">
        <v>147972.19</v>
      </c>
      <c r="AD942" s="174"/>
      <c r="AE942" s="174"/>
    </row>
    <row r="943" spans="1:31" ht="9.6" customHeight="1" x14ac:dyDescent="0.2">
      <c r="A943" s="167" t="s">
        <v>1578</v>
      </c>
      <c r="B943" s="176" t="s">
        <v>1579</v>
      </c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7"/>
      <c r="R943" s="177"/>
      <c r="S943" s="177"/>
      <c r="T943" s="177"/>
      <c r="U943" s="177"/>
      <c r="V943" s="177"/>
      <c r="W943" s="177"/>
      <c r="X943" s="177"/>
      <c r="Y943" s="177"/>
      <c r="Z943" s="177"/>
      <c r="AA943" s="177"/>
      <c r="AB943" s="177"/>
      <c r="AC943" s="178">
        <v>1392907.64</v>
      </c>
      <c r="AD943" s="177"/>
      <c r="AE943" s="177"/>
    </row>
    <row r="944" spans="1:31" ht="9.75" customHeight="1" x14ac:dyDescent="0.2">
      <c r="A944" s="167" t="s">
        <v>1580</v>
      </c>
      <c r="B944" s="176" t="s">
        <v>1581</v>
      </c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7"/>
      <c r="R944" s="177"/>
      <c r="S944" s="177"/>
      <c r="T944" s="177"/>
      <c r="U944" s="177"/>
      <c r="V944" s="177"/>
      <c r="W944" s="177"/>
      <c r="X944" s="177"/>
      <c r="Y944" s="177"/>
      <c r="Z944" s="177"/>
      <c r="AA944" s="177"/>
      <c r="AB944" s="177"/>
      <c r="AC944" s="178">
        <v>1392907.64</v>
      </c>
      <c r="AD944" s="177"/>
      <c r="AE944" s="177"/>
    </row>
    <row r="945" spans="1:31" ht="9.75" customHeight="1" x14ac:dyDescent="0.2">
      <c r="A945" s="168" t="s">
        <v>1582</v>
      </c>
      <c r="B945" s="179" t="s">
        <v>1583</v>
      </c>
      <c r="C945" s="179"/>
      <c r="D945" s="179"/>
      <c r="E945" s="179"/>
      <c r="F945" s="179"/>
      <c r="G945" s="179"/>
      <c r="H945" s="179"/>
      <c r="I945" s="179"/>
      <c r="J945" s="179"/>
      <c r="K945" s="179"/>
      <c r="L945" s="179"/>
      <c r="M945" s="179"/>
      <c r="N945" s="179" t="s">
        <v>112</v>
      </c>
      <c r="O945" s="179"/>
      <c r="P945" s="179"/>
      <c r="Q945" s="180">
        <v>1</v>
      </c>
      <c r="R945" s="174"/>
      <c r="S945" s="174"/>
      <c r="T945" s="174"/>
      <c r="U945" s="174"/>
      <c r="V945" s="174"/>
      <c r="W945" s="199">
        <v>253666.62</v>
      </c>
      <c r="X945" s="174"/>
      <c r="Y945" s="174"/>
      <c r="Z945" s="174"/>
      <c r="AA945" s="174"/>
      <c r="AB945" s="174"/>
      <c r="AC945" s="200">
        <v>253666.62</v>
      </c>
      <c r="AD945" s="174"/>
      <c r="AE945" s="174"/>
    </row>
    <row r="946" spans="1:31" ht="9.6" customHeight="1" x14ac:dyDescent="0.2">
      <c r="A946" s="168" t="s">
        <v>1584</v>
      </c>
      <c r="B946" s="179" t="s">
        <v>1585</v>
      </c>
      <c r="C946" s="179"/>
      <c r="D946" s="179"/>
      <c r="E946" s="179"/>
      <c r="F946" s="179"/>
      <c r="G946" s="179"/>
      <c r="H946" s="179"/>
      <c r="I946" s="179"/>
      <c r="J946" s="179"/>
      <c r="K946" s="179"/>
      <c r="L946" s="179"/>
      <c r="M946" s="179"/>
      <c r="N946" s="179" t="s">
        <v>112</v>
      </c>
      <c r="O946" s="179"/>
      <c r="P946" s="179"/>
      <c r="Q946" s="180">
        <v>1</v>
      </c>
      <c r="R946" s="174"/>
      <c r="S946" s="174"/>
      <c r="T946" s="174"/>
      <c r="U946" s="174"/>
      <c r="V946" s="174"/>
      <c r="W946" s="195">
        <v>78326.8</v>
      </c>
      <c r="X946" s="174"/>
      <c r="Y946" s="174"/>
      <c r="Z946" s="174"/>
      <c r="AA946" s="174"/>
      <c r="AB946" s="174"/>
      <c r="AC946" s="196">
        <v>78326.8</v>
      </c>
      <c r="AD946" s="174"/>
      <c r="AE946" s="174"/>
    </row>
    <row r="947" spans="1:31" ht="9.6" customHeight="1" x14ac:dyDescent="0.2">
      <c r="A947" s="168" t="s">
        <v>1586</v>
      </c>
      <c r="B947" s="179" t="s">
        <v>1587</v>
      </c>
      <c r="C947" s="179"/>
      <c r="D947" s="179"/>
      <c r="E947" s="179"/>
      <c r="F947" s="179"/>
      <c r="G947" s="179"/>
      <c r="H947" s="179"/>
      <c r="I947" s="179"/>
      <c r="J947" s="179"/>
      <c r="K947" s="179"/>
      <c r="L947" s="179"/>
      <c r="M947" s="179"/>
      <c r="N947" s="179" t="s">
        <v>112</v>
      </c>
      <c r="O947" s="179"/>
      <c r="P947" s="179"/>
      <c r="Q947" s="180">
        <v>1</v>
      </c>
      <c r="R947" s="174"/>
      <c r="S947" s="174"/>
      <c r="T947" s="174"/>
      <c r="U947" s="174"/>
      <c r="V947" s="174"/>
      <c r="W947" s="199">
        <v>146428.70000000001</v>
      </c>
      <c r="X947" s="174"/>
      <c r="Y947" s="174"/>
      <c r="Z947" s="174"/>
      <c r="AA947" s="174"/>
      <c r="AB947" s="174"/>
      <c r="AC947" s="200">
        <v>146428.70000000001</v>
      </c>
      <c r="AD947" s="174"/>
      <c r="AE947" s="174"/>
    </row>
    <row r="948" spans="1:31" ht="9.6" customHeight="1" x14ac:dyDescent="0.2">
      <c r="A948" s="168" t="s">
        <v>1588</v>
      </c>
      <c r="B948" s="179" t="s">
        <v>1589</v>
      </c>
      <c r="C948" s="179"/>
      <c r="D948" s="179"/>
      <c r="E948" s="179"/>
      <c r="F948" s="179"/>
      <c r="G948" s="179"/>
      <c r="H948" s="179"/>
      <c r="I948" s="179"/>
      <c r="J948" s="179"/>
      <c r="K948" s="179"/>
      <c r="L948" s="179"/>
      <c r="M948" s="179"/>
      <c r="N948" s="179" t="s">
        <v>112</v>
      </c>
      <c r="O948" s="179"/>
      <c r="P948" s="179"/>
      <c r="Q948" s="180">
        <v>1</v>
      </c>
      <c r="R948" s="174"/>
      <c r="S948" s="174"/>
      <c r="T948" s="174"/>
      <c r="U948" s="174"/>
      <c r="V948" s="174"/>
      <c r="W948" s="173">
        <v>5748</v>
      </c>
      <c r="X948" s="174"/>
      <c r="Y948" s="174"/>
      <c r="Z948" s="174"/>
      <c r="AA948" s="174"/>
      <c r="AB948" s="174"/>
      <c r="AC948" s="201">
        <v>5748</v>
      </c>
      <c r="AD948" s="174"/>
      <c r="AE948" s="174"/>
    </row>
    <row r="949" spans="1:31" ht="9.6" customHeight="1" x14ac:dyDescent="0.2">
      <c r="A949" s="168" t="s">
        <v>1590</v>
      </c>
      <c r="B949" s="179" t="s">
        <v>1591</v>
      </c>
      <c r="C949" s="179"/>
      <c r="D949" s="179"/>
      <c r="E949" s="179"/>
      <c r="F949" s="179"/>
      <c r="G949" s="179"/>
      <c r="H949" s="179"/>
      <c r="I949" s="179"/>
      <c r="J949" s="179"/>
      <c r="K949" s="179"/>
      <c r="L949" s="179"/>
      <c r="M949" s="179"/>
      <c r="N949" s="179" t="s">
        <v>112</v>
      </c>
      <c r="O949" s="179"/>
      <c r="P949" s="179"/>
      <c r="Q949" s="180">
        <v>1</v>
      </c>
      <c r="R949" s="174"/>
      <c r="S949" s="174"/>
      <c r="T949" s="174"/>
      <c r="U949" s="174"/>
      <c r="V949" s="174"/>
      <c r="W949" s="199">
        <v>908737.52</v>
      </c>
      <c r="X949" s="174"/>
      <c r="Y949" s="174"/>
      <c r="Z949" s="174"/>
      <c r="AA949" s="174"/>
      <c r="AB949" s="174"/>
      <c r="AC949" s="200">
        <v>908737.52</v>
      </c>
      <c r="AD949" s="174"/>
      <c r="AE949" s="174"/>
    </row>
    <row r="950" spans="1:31" ht="9.6" customHeight="1" x14ac:dyDescent="0.2">
      <c r="A950" s="167" t="s">
        <v>1592</v>
      </c>
      <c r="B950" s="176" t="s">
        <v>1593</v>
      </c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7"/>
      <c r="R950" s="177"/>
      <c r="S950" s="177"/>
      <c r="T950" s="177"/>
      <c r="U950" s="177"/>
      <c r="V950" s="177"/>
      <c r="W950" s="177"/>
      <c r="X950" s="177"/>
      <c r="Y950" s="177"/>
      <c r="Z950" s="177"/>
      <c r="AA950" s="177"/>
      <c r="AB950" s="177"/>
      <c r="AC950" s="178">
        <v>8339297.9800000004</v>
      </c>
      <c r="AD950" s="177"/>
      <c r="AE950" s="177"/>
    </row>
    <row r="951" spans="1:31" ht="9.75" customHeight="1" x14ac:dyDescent="0.2">
      <c r="A951" s="167" t="s">
        <v>1594</v>
      </c>
      <c r="B951" s="176" t="s">
        <v>1595</v>
      </c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7"/>
      <c r="R951" s="177"/>
      <c r="S951" s="177"/>
      <c r="T951" s="177"/>
      <c r="U951" s="177"/>
      <c r="V951" s="177"/>
      <c r="W951" s="177"/>
      <c r="X951" s="177"/>
      <c r="Y951" s="177"/>
      <c r="Z951" s="177"/>
      <c r="AA951" s="177"/>
      <c r="AB951" s="177"/>
      <c r="AC951" s="198">
        <v>385091.05</v>
      </c>
      <c r="AD951" s="177"/>
      <c r="AE951" s="177"/>
    </row>
    <row r="952" spans="1:31" ht="9.75" customHeight="1" x14ac:dyDescent="0.2">
      <c r="A952" s="167" t="s">
        <v>1596</v>
      </c>
      <c r="B952" s="176" t="s">
        <v>1597</v>
      </c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7"/>
      <c r="R952" s="177"/>
      <c r="S952" s="177"/>
      <c r="T952" s="177"/>
      <c r="U952" s="177"/>
      <c r="V952" s="177"/>
      <c r="W952" s="177"/>
      <c r="X952" s="177"/>
      <c r="Y952" s="177"/>
      <c r="Z952" s="177"/>
      <c r="AA952" s="177"/>
      <c r="AB952" s="177"/>
      <c r="AC952" s="194">
        <v>77164.179999999993</v>
      </c>
      <c r="AD952" s="177"/>
      <c r="AE952" s="177"/>
    </row>
    <row r="953" spans="1:31" ht="9.75" customHeight="1" x14ac:dyDescent="0.2">
      <c r="A953" s="168" t="s">
        <v>1598</v>
      </c>
      <c r="B953" s="179" t="s">
        <v>1597</v>
      </c>
      <c r="C953" s="179"/>
      <c r="D953" s="179"/>
      <c r="E953" s="179"/>
      <c r="F953" s="179"/>
      <c r="G953" s="179"/>
      <c r="H953" s="179"/>
      <c r="I953" s="179"/>
      <c r="J953" s="179"/>
      <c r="K953" s="179"/>
      <c r="L953" s="179"/>
      <c r="M953" s="179"/>
      <c r="N953" s="179" t="s">
        <v>112</v>
      </c>
      <c r="O953" s="179"/>
      <c r="P953" s="179"/>
      <c r="Q953" s="180">
        <v>1</v>
      </c>
      <c r="R953" s="174"/>
      <c r="S953" s="174"/>
      <c r="T953" s="174"/>
      <c r="U953" s="174"/>
      <c r="V953" s="174"/>
      <c r="W953" s="195">
        <v>77164.179999999993</v>
      </c>
      <c r="X953" s="174"/>
      <c r="Y953" s="174"/>
      <c r="Z953" s="174"/>
      <c r="AA953" s="174"/>
      <c r="AB953" s="174"/>
      <c r="AC953" s="196">
        <v>77164.179999999993</v>
      </c>
      <c r="AD953" s="174"/>
      <c r="AE953" s="174"/>
    </row>
    <row r="954" spans="1:31" ht="9.6" customHeight="1" x14ac:dyDescent="0.2">
      <c r="A954" s="167" t="s">
        <v>1599</v>
      </c>
      <c r="B954" s="176" t="s">
        <v>1600</v>
      </c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7"/>
      <c r="R954" s="177"/>
      <c r="S954" s="177"/>
      <c r="T954" s="177"/>
      <c r="U954" s="177"/>
      <c r="V954" s="177"/>
      <c r="W954" s="177"/>
      <c r="X954" s="177"/>
      <c r="Y954" s="177"/>
      <c r="Z954" s="177"/>
      <c r="AA954" s="177"/>
      <c r="AB954" s="177"/>
      <c r="AC954" s="194">
        <v>96538.02</v>
      </c>
      <c r="AD954" s="177"/>
      <c r="AE954" s="177"/>
    </row>
    <row r="955" spans="1:31" ht="9.75" customHeight="1" x14ac:dyDescent="0.2">
      <c r="A955" s="168" t="s">
        <v>1601</v>
      </c>
      <c r="B955" s="179" t="s">
        <v>1600</v>
      </c>
      <c r="C955" s="179"/>
      <c r="D955" s="179"/>
      <c r="E955" s="179"/>
      <c r="F955" s="179"/>
      <c r="G955" s="179"/>
      <c r="H955" s="179"/>
      <c r="I955" s="179"/>
      <c r="J955" s="179"/>
      <c r="K955" s="179"/>
      <c r="L955" s="179"/>
      <c r="M955" s="179"/>
      <c r="N955" s="179" t="s">
        <v>112</v>
      </c>
      <c r="O955" s="179"/>
      <c r="P955" s="179"/>
      <c r="Q955" s="180">
        <v>1</v>
      </c>
      <c r="R955" s="174"/>
      <c r="S955" s="174"/>
      <c r="T955" s="174"/>
      <c r="U955" s="174"/>
      <c r="V955" s="174"/>
      <c r="W955" s="195">
        <v>96538.02</v>
      </c>
      <c r="X955" s="174"/>
      <c r="Y955" s="174"/>
      <c r="Z955" s="174"/>
      <c r="AA955" s="174"/>
      <c r="AB955" s="174"/>
      <c r="AC955" s="196">
        <v>96538.02</v>
      </c>
      <c r="AD955" s="174"/>
      <c r="AE955" s="174"/>
    </row>
    <row r="956" spans="1:31" ht="9.6" customHeight="1" x14ac:dyDescent="0.2">
      <c r="A956" s="167" t="s">
        <v>1602</v>
      </c>
      <c r="B956" s="176" t="s">
        <v>693</v>
      </c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7"/>
      <c r="R956" s="177"/>
      <c r="S956" s="177"/>
      <c r="T956" s="177"/>
      <c r="U956" s="177"/>
      <c r="V956" s="177"/>
      <c r="W956" s="177"/>
      <c r="X956" s="177"/>
      <c r="Y956" s="177"/>
      <c r="Z956" s="177"/>
      <c r="AA956" s="177"/>
      <c r="AB956" s="177"/>
      <c r="AC956" s="198">
        <v>211388.85</v>
      </c>
      <c r="AD956" s="177"/>
      <c r="AE956" s="177"/>
    </row>
    <row r="957" spans="1:31" ht="9.75" customHeight="1" x14ac:dyDescent="0.2">
      <c r="A957" s="168" t="s">
        <v>1603</v>
      </c>
      <c r="B957" s="179" t="s">
        <v>1604</v>
      </c>
      <c r="C957" s="179"/>
      <c r="D957" s="179"/>
      <c r="E957" s="179"/>
      <c r="F957" s="179"/>
      <c r="G957" s="179"/>
      <c r="H957" s="179"/>
      <c r="I957" s="179"/>
      <c r="J957" s="179"/>
      <c r="K957" s="179"/>
      <c r="L957" s="179"/>
      <c r="M957" s="179"/>
      <c r="N957" s="179" t="s">
        <v>112</v>
      </c>
      <c r="O957" s="179"/>
      <c r="P957" s="179"/>
      <c r="Q957" s="180">
        <v>1</v>
      </c>
      <c r="R957" s="174"/>
      <c r="S957" s="174"/>
      <c r="T957" s="174"/>
      <c r="U957" s="174"/>
      <c r="V957" s="174"/>
      <c r="W957" s="199">
        <v>211388.85</v>
      </c>
      <c r="X957" s="174"/>
      <c r="Y957" s="174"/>
      <c r="Z957" s="174"/>
      <c r="AA957" s="174"/>
      <c r="AB957" s="174"/>
      <c r="AC957" s="200">
        <v>211388.85</v>
      </c>
      <c r="AD957" s="174"/>
      <c r="AE957" s="174"/>
    </row>
    <row r="958" spans="1:31" ht="9.6" customHeight="1" x14ac:dyDescent="0.2">
      <c r="A958" s="167" t="s">
        <v>1605</v>
      </c>
      <c r="B958" s="176" t="s">
        <v>21</v>
      </c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7"/>
      <c r="R958" s="177"/>
      <c r="S958" s="177"/>
      <c r="T958" s="177"/>
      <c r="U958" s="177"/>
      <c r="V958" s="177"/>
      <c r="W958" s="177"/>
      <c r="X958" s="177"/>
      <c r="Y958" s="177"/>
      <c r="Z958" s="177"/>
      <c r="AA958" s="177"/>
      <c r="AB958" s="177"/>
      <c r="AC958" s="178">
        <v>1253778.1100000001</v>
      </c>
      <c r="AD958" s="177"/>
      <c r="AE958" s="177"/>
    </row>
    <row r="959" spans="1:31" ht="9.75" customHeight="1" x14ac:dyDescent="0.2">
      <c r="A959" s="167" t="s">
        <v>1606</v>
      </c>
      <c r="B959" s="176" t="s">
        <v>1607</v>
      </c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7"/>
      <c r="R959" s="177"/>
      <c r="S959" s="177"/>
      <c r="T959" s="177"/>
      <c r="U959" s="177"/>
      <c r="V959" s="177"/>
      <c r="W959" s="177"/>
      <c r="X959" s="177"/>
      <c r="Y959" s="177"/>
      <c r="Z959" s="177"/>
      <c r="AA959" s="177"/>
      <c r="AB959" s="177"/>
      <c r="AC959" s="178">
        <v>1190952.78</v>
      </c>
      <c r="AD959" s="177"/>
      <c r="AE959" s="177"/>
    </row>
    <row r="960" spans="1:31" ht="9.75" customHeight="1" x14ac:dyDescent="0.2">
      <c r="A960" s="168" t="s">
        <v>1608</v>
      </c>
      <c r="B960" s="179" t="s">
        <v>1609</v>
      </c>
      <c r="C960" s="179"/>
      <c r="D960" s="179"/>
      <c r="E960" s="179"/>
      <c r="F960" s="179"/>
      <c r="G960" s="179"/>
      <c r="H960" s="179"/>
      <c r="I960" s="179"/>
      <c r="J960" s="179"/>
      <c r="K960" s="179"/>
      <c r="L960" s="179"/>
      <c r="M960" s="179"/>
      <c r="N960" s="179" t="s">
        <v>112</v>
      </c>
      <c r="O960" s="179"/>
      <c r="P960" s="179"/>
      <c r="Q960" s="180">
        <v>1</v>
      </c>
      <c r="R960" s="174"/>
      <c r="S960" s="174"/>
      <c r="T960" s="174"/>
      <c r="U960" s="174"/>
      <c r="V960" s="174"/>
      <c r="W960" s="181">
        <v>1190952.78</v>
      </c>
      <c r="X960" s="174"/>
      <c r="Y960" s="174"/>
      <c r="Z960" s="174"/>
      <c r="AA960" s="174"/>
      <c r="AB960" s="174"/>
      <c r="AC960" s="175">
        <v>1190952.78</v>
      </c>
      <c r="AD960" s="174"/>
      <c r="AE960" s="174"/>
    </row>
    <row r="961" spans="1:31" ht="9.6" customHeight="1" x14ac:dyDescent="0.2">
      <c r="A961" s="167" t="s">
        <v>1610</v>
      </c>
      <c r="B961" s="176" t="s">
        <v>1611</v>
      </c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7"/>
      <c r="R961" s="177"/>
      <c r="S961" s="177"/>
      <c r="T961" s="177"/>
      <c r="U961" s="177"/>
      <c r="V961" s="177"/>
      <c r="W961" s="177"/>
      <c r="X961" s="177"/>
      <c r="Y961" s="177"/>
      <c r="Z961" s="177"/>
      <c r="AA961" s="177"/>
      <c r="AB961" s="177"/>
      <c r="AC961" s="194">
        <v>62825.33</v>
      </c>
      <c r="AD961" s="177"/>
      <c r="AE961" s="177"/>
    </row>
    <row r="962" spans="1:31" ht="9.75" customHeight="1" x14ac:dyDescent="0.2">
      <c r="A962" s="168" t="s">
        <v>1612</v>
      </c>
      <c r="B962" s="179" t="s">
        <v>1613</v>
      </c>
      <c r="C962" s="179"/>
      <c r="D962" s="179"/>
      <c r="E962" s="179"/>
      <c r="F962" s="179"/>
      <c r="G962" s="179"/>
      <c r="H962" s="179"/>
      <c r="I962" s="179"/>
      <c r="J962" s="179"/>
      <c r="K962" s="179"/>
      <c r="L962" s="179"/>
      <c r="M962" s="179"/>
      <c r="N962" s="179" t="s">
        <v>112</v>
      </c>
      <c r="O962" s="179"/>
      <c r="P962" s="179"/>
      <c r="Q962" s="180">
        <v>1</v>
      </c>
      <c r="R962" s="174"/>
      <c r="S962" s="174"/>
      <c r="T962" s="174"/>
      <c r="U962" s="174"/>
      <c r="V962" s="174"/>
      <c r="W962" s="195">
        <v>40325.33</v>
      </c>
      <c r="X962" s="174"/>
      <c r="Y962" s="174"/>
      <c r="Z962" s="174"/>
      <c r="AA962" s="174"/>
      <c r="AB962" s="174"/>
      <c r="AC962" s="196">
        <v>40325.33</v>
      </c>
      <c r="AD962" s="174"/>
      <c r="AE962" s="174"/>
    </row>
    <row r="963" spans="1:31" ht="9.6" customHeight="1" x14ac:dyDescent="0.2">
      <c r="A963" s="168" t="s">
        <v>1614</v>
      </c>
      <c r="B963" s="179" t="s">
        <v>1615</v>
      </c>
      <c r="C963" s="179"/>
      <c r="D963" s="179"/>
      <c r="E963" s="179"/>
      <c r="F963" s="179"/>
      <c r="G963" s="179"/>
      <c r="H963" s="179"/>
      <c r="I963" s="179"/>
      <c r="J963" s="179"/>
      <c r="K963" s="179"/>
      <c r="L963" s="179"/>
      <c r="M963" s="179"/>
      <c r="N963" s="179" t="s">
        <v>112</v>
      </c>
      <c r="O963" s="179"/>
      <c r="P963" s="179"/>
      <c r="Q963" s="180">
        <v>1</v>
      </c>
      <c r="R963" s="174"/>
      <c r="S963" s="174"/>
      <c r="T963" s="174"/>
      <c r="U963" s="174"/>
      <c r="V963" s="174"/>
      <c r="W963" s="195">
        <v>22500</v>
      </c>
      <c r="X963" s="174"/>
      <c r="Y963" s="174"/>
      <c r="Z963" s="174"/>
      <c r="AA963" s="174"/>
      <c r="AB963" s="174"/>
      <c r="AC963" s="196">
        <v>22500</v>
      </c>
      <c r="AD963" s="174"/>
      <c r="AE963" s="174"/>
    </row>
    <row r="964" spans="1:31" ht="9.6" customHeight="1" x14ac:dyDescent="0.2">
      <c r="A964" s="167" t="s">
        <v>1616</v>
      </c>
      <c r="B964" s="176" t="s">
        <v>1617</v>
      </c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7"/>
      <c r="R964" s="177"/>
      <c r="S964" s="177"/>
      <c r="T964" s="177"/>
      <c r="U964" s="177"/>
      <c r="V964" s="177"/>
      <c r="W964" s="177"/>
      <c r="X964" s="177"/>
      <c r="Y964" s="177"/>
      <c r="Z964" s="177"/>
      <c r="AA964" s="177"/>
      <c r="AB964" s="177"/>
      <c r="AC964" s="178">
        <v>5706901.2199999997</v>
      </c>
      <c r="AD964" s="177"/>
      <c r="AE964" s="177"/>
    </row>
    <row r="965" spans="1:31" ht="9.75" customHeight="1" x14ac:dyDescent="0.2">
      <c r="A965" s="167" t="s">
        <v>1618</v>
      </c>
      <c r="B965" s="176" t="s">
        <v>1619</v>
      </c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7"/>
      <c r="R965" s="177"/>
      <c r="S965" s="177"/>
      <c r="T965" s="177"/>
      <c r="U965" s="177"/>
      <c r="V965" s="177"/>
      <c r="W965" s="177"/>
      <c r="X965" s="177"/>
      <c r="Y965" s="177"/>
      <c r="Z965" s="177"/>
      <c r="AA965" s="177"/>
      <c r="AB965" s="177"/>
      <c r="AC965" s="194">
        <v>69011.23</v>
      </c>
      <c r="AD965" s="177"/>
      <c r="AE965" s="177"/>
    </row>
    <row r="966" spans="1:31" ht="9.75" customHeight="1" x14ac:dyDescent="0.2">
      <c r="A966" s="168" t="s">
        <v>1620</v>
      </c>
      <c r="B966" s="179" t="s">
        <v>1621</v>
      </c>
      <c r="C966" s="179"/>
      <c r="D966" s="179"/>
      <c r="E966" s="179"/>
      <c r="F966" s="179"/>
      <c r="G966" s="179"/>
      <c r="H966" s="179"/>
      <c r="I966" s="179"/>
      <c r="J966" s="179"/>
      <c r="K966" s="179"/>
      <c r="L966" s="179"/>
      <c r="M966" s="179"/>
      <c r="N966" s="179" t="s">
        <v>223</v>
      </c>
      <c r="O966" s="179"/>
      <c r="P966" s="179"/>
      <c r="Q966" s="191">
        <v>685.9</v>
      </c>
      <c r="R966" s="174"/>
      <c r="S966" s="174"/>
      <c r="T966" s="174"/>
      <c r="U966" s="174"/>
      <c r="V966" s="174"/>
      <c r="W966" s="202">
        <v>85.5</v>
      </c>
      <c r="X966" s="174"/>
      <c r="Y966" s="174"/>
      <c r="Z966" s="174"/>
      <c r="AA966" s="174"/>
      <c r="AB966" s="174"/>
      <c r="AC966" s="196">
        <v>58644.45</v>
      </c>
      <c r="AD966" s="174"/>
      <c r="AE966" s="174"/>
    </row>
    <row r="967" spans="1:31" ht="9.6" customHeight="1" x14ac:dyDescent="0.2">
      <c r="A967" s="168" t="s">
        <v>1622</v>
      </c>
      <c r="B967" s="179" t="s">
        <v>1623</v>
      </c>
      <c r="C967" s="179"/>
      <c r="D967" s="179"/>
      <c r="E967" s="179"/>
      <c r="F967" s="179"/>
      <c r="G967" s="179"/>
      <c r="H967" s="179"/>
      <c r="I967" s="179"/>
      <c r="J967" s="179"/>
      <c r="K967" s="179"/>
      <c r="L967" s="179"/>
      <c r="M967" s="179"/>
      <c r="N967" s="179" t="s">
        <v>223</v>
      </c>
      <c r="O967" s="179"/>
      <c r="P967" s="179"/>
      <c r="Q967" s="202">
        <v>16.8</v>
      </c>
      <c r="R967" s="174"/>
      <c r="S967" s="174"/>
      <c r="T967" s="174"/>
      <c r="U967" s="174"/>
      <c r="V967" s="174"/>
      <c r="W967" s="191">
        <v>617.07000000000005</v>
      </c>
      <c r="X967" s="174"/>
      <c r="Y967" s="174"/>
      <c r="Z967" s="174"/>
      <c r="AA967" s="174"/>
      <c r="AB967" s="174"/>
      <c r="AC967" s="196">
        <v>10366.780000000001</v>
      </c>
      <c r="AD967" s="174"/>
      <c r="AE967" s="174"/>
    </row>
    <row r="968" spans="1:31" ht="9.6" customHeight="1" x14ac:dyDescent="0.2">
      <c r="A968" s="167" t="s">
        <v>1624</v>
      </c>
      <c r="B968" s="176" t="s">
        <v>1625</v>
      </c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7"/>
      <c r="R968" s="177"/>
      <c r="S968" s="177"/>
      <c r="T968" s="177"/>
      <c r="U968" s="177"/>
      <c r="V968" s="177"/>
      <c r="W968" s="177"/>
      <c r="X968" s="177"/>
      <c r="Y968" s="177"/>
      <c r="Z968" s="177"/>
      <c r="AA968" s="177"/>
      <c r="AB968" s="177"/>
      <c r="AC968" s="178">
        <v>5541951.5499999998</v>
      </c>
      <c r="AD968" s="177"/>
      <c r="AE968" s="177"/>
    </row>
    <row r="969" spans="1:31" ht="9.75" customHeight="1" x14ac:dyDescent="0.2">
      <c r="A969" s="168" t="s">
        <v>1626</v>
      </c>
      <c r="B969" s="179" t="s">
        <v>1627</v>
      </c>
      <c r="C969" s="179"/>
      <c r="D969" s="179"/>
      <c r="E969" s="179"/>
      <c r="F969" s="179"/>
      <c r="G969" s="179"/>
      <c r="H969" s="179"/>
      <c r="I969" s="179"/>
      <c r="J969" s="179"/>
      <c r="K969" s="179"/>
      <c r="L969" s="179"/>
      <c r="M969" s="179"/>
      <c r="N969" s="179" t="s">
        <v>112</v>
      </c>
      <c r="O969" s="179"/>
      <c r="P969" s="179"/>
      <c r="Q969" s="180">
        <v>1</v>
      </c>
      <c r="R969" s="174"/>
      <c r="S969" s="174"/>
      <c r="T969" s="174"/>
      <c r="U969" s="174"/>
      <c r="V969" s="174"/>
      <c r="W969" s="181">
        <v>5300359.0999999996</v>
      </c>
      <c r="X969" s="174"/>
      <c r="Y969" s="174"/>
      <c r="Z969" s="174"/>
      <c r="AA969" s="174"/>
      <c r="AB969" s="174"/>
      <c r="AC969" s="175">
        <v>5300359.0999999996</v>
      </c>
      <c r="AD969" s="174"/>
      <c r="AE969" s="174"/>
    </row>
    <row r="970" spans="1:31" ht="9.6" customHeight="1" x14ac:dyDescent="0.2">
      <c r="A970" s="168" t="s">
        <v>1628</v>
      </c>
      <c r="B970" s="179" t="s">
        <v>1629</v>
      </c>
      <c r="C970" s="179"/>
      <c r="D970" s="179"/>
      <c r="E970" s="179"/>
      <c r="F970" s="179"/>
      <c r="G970" s="179"/>
      <c r="H970" s="179"/>
      <c r="I970" s="179"/>
      <c r="J970" s="179"/>
      <c r="K970" s="179"/>
      <c r="L970" s="179"/>
      <c r="M970" s="179"/>
      <c r="N970" s="179" t="s">
        <v>112</v>
      </c>
      <c r="O970" s="179"/>
      <c r="P970" s="179"/>
      <c r="Q970" s="180">
        <v>1</v>
      </c>
      <c r="R970" s="174"/>
      <c r="S970" s="174"/>
      <c r="T970" s="174"/>
      <c r="U970" s="174"/>
      <c r="V970" s="174"/>
      <c r="W970" s="173">
        <v>9472.7000000000007</v>
      </c>
      <c r="X970" s="174"/>
      <c r="Y970" s="174"/>
      <c r="Z970" s="174"/>
      <c r="AA970" s="174"/>
      <c r="AB970" s="174"/>
      <c r="AC970" s="201">
        <v>9472.7000000000007</v>
      </c>
      <c r="AD970" s="174"/>
      <c r="AE970" s="174"/>
    </row>
    <row r="971" spans="1:31" ht="9.6" customHeight="1" x14ac:dyDescent="0.2">
      <c r="A971" s="168" t="s">
        <v>1630</v>
      </c>
      <c r="B971" s="179" t="s">
        <v>1631</v>
      </c>
      <c r="C971" s="179"/>
      <c r="D971" s="179"/>
      <c r="E971" s="179"/>
      <c r="F971" s="179"/>
      <c r="G971" s="179"/>
      <c r="H971" s="179"/>
      <c r="I971" s="179"/>
      <c r="J971" s="179"/>
      <c r="K971" s="179"/>
      <c r="L971" s="179"/>
      <c r="M971" s="179"/>
      <c r="N971" s="179" t="s">
        <v>112</v>
      </c>
      <c r="O971" s="179"/>
      <c r="P971" s="179"/>
      <c r="Q971" s="180">
        <v>1</v>
      </c>
      <c r="R971" s="174"/>
      <c r="S971" s="174"/>
      <c r="T971" s="174"/>
      <c r="U971" s="174"/>
      <c r="V971" s="174"/>
      <c r="W971" s="199">
        <v>232119.75</v>
      </c>
      <c r="X971" s="174"/>
      <c r="Y971" s="174"/>
      <c r="Z971" s="174"/>
      <c r="AA971" s="174"/>
      <c r="AB971" s="174"/>
      <c r="AC971" s="200">
        <v>232119.75</v>
      </c>
      <c r="AD971" s="174"/>
      <c r="AE971" s="174"/>
    </row>
    <row r="972" spans="1:31" ht="9.6" customHeight="1" x14ac:dyDescent="0.2">
      <c r="A972" s="167" t="s">
        <v>1632</v>
      </c>
      <c r="B972" s="176" t="s">
        <v>1633</v>
      </c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7"/>
      <c r="R972" s="177"/>
      <c r="S972" s="177"/>
      <c r="T972" s="177"/>
      <c r="U972" s="177"/>
      <c r="V972" s="177"/>
      <c r="W972" s="177"/>
      <c r="X972" s="177"/>
      <c r="Y972" s="177"/>
      <c r="Z972" s="177"/>
      <c r="AA972" s="177"/>
      <c r="AB972" s="177"/>
      <c r="AC972" s="194">
        <v>85116.18</v>
      </c>
      <c r="AD972" s="177"/>
      <c r="AE972" s="177"/>
    </row>
    <row r="973" spans="1:31" ht="9.75" customHeight="1" x14ac:dyDescent="0.2">
      <c r="A973" s="168" t="s">
        <v>1634</v>
      </c>
      <c r="B973" s="179" t="s">
        <v>1635</v>
      </c>
      <c r="C973" s="179"/>
      <c r="D973" s="179"/>
      <c r="E973" s="179"/>
      <c r="F973" s="179"/>
      <c r="G973" s="179"/>
      <c r="H973" s="179"/>
      <c r="I973" s="179"/>
      <c r="J973" s="179"/>
      <c r="K973" s="179"/>
      <c r="L973" s="179"/>
      <c r="M973" s="179"/>
      <c r="N973" s="179" t="s">
        <v>112</v>
      </c>
      <c r="O973" s="179"/>
      <c r="P973" s="179"/>
      <c r="Q973" s="180">
        <v>1</v>
      </c>
      <c r="R973" s="174"/>
      <c r="S973" s="174"/>
      <c r="T973" s="174"/>
      <c r="U973" s="174"/>
      <c r="V973" s="174"/>
      <c r="W973" s="195">
        <v>50196.18</v>
      </c>
      <c r="X973" s="174"/>
      <c r="Y973" s="174"/>
      <c r="Z973" s="174"/>
      <c r="AA973" s="174"/>
      <c r="AB973" s="174"/>
      <c r="AC973" s="196">
        <v>50196.18</v>
      </c>
      <c r="AD973" s="174"/>
      <c r="AE973" s="174"/>
    </row>
    <row r="974" spans="1:31" ht="9.6" customHeight="1" x14ac:dyDescent="0.2">
      <c r="A974" s="168" t="s">
        <v>1636</v>
      </c>
      <c r="B974" s="179" t="s">
        <v>1637</v>
      </c>
      <c r="C974" s="179"/>
      <c r="D974" s="179"/>
      <c r="E974" s="179"/>
      <c r="F974" s="179"/>
      <c r="G974" s="179"/>
      <c r="H974" s="179"/>
      <c r="I974" s="179"/>
      <c r="J974" s="179"/>
      <c r="K974" s="179"/>
      <c r="L974" s="179"/>
      <c r="M974" s="179"/>
      <c r="N974" s="179" t="s">
        <v>137</v>
      </c>
      <c r="O974" s="179"/>
      <c r="P974" s="179"/>
      <c r="Q974" s="191">
        <v>240</v>
      </c>
      <c r="R974" s="174"/>
      <c r="S974" s="174"/>
      <c r="T974" s="174"/>
      <c r="U974" s="174"/>
      <c r="V974" s="174"/>
      <c r="W974" s="191">
        <v>145.5</v>
      </c>
      <c r="X974" s="174"/>
      <c r="Y974" s="174"/>
      <c r="Z974" s="174"/>
      <c r="AA974" s="174"/>
      <c r="AB974" s="174"/>
      <c r="AC974" s="196">
        <v>34920</v>
      </c>
      <c r="AD974" s="174"/>
      <c r="AE974" s="174"/>
    </row>
    <row r="975" spans="1:31" ht="9.6" customHeight="1" x14ac:dyDescent="0.2">
      <c r="A975" s="167" t="s">
        <v>1638</v>
      </c>
      <c r="B975" s="176" t="s">
        <v>1639</v>
      </c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7"/>
      <c r="R975" s="177"/>
      <c r="S975" s="177"/>
      <c r="T975" s="177"/>
      <c r="U975" s="177"/>
      <c r="V975" s="177"/>
      <c r="W975" s="177"/>
      <c r="X975" s="177"/>
      <c r="Y975" s="177"/>
      <c r="Z975" s="177"/>
      <c r="AA975" s="177"/>
      <c r="AB975" s="177"/>
      <c r="AC975" s="194">
        <v>10822.26</v>
      </c>
      <c r="AD975" s="177"/>
      <c r="AE975" s="177"/>
    </row>
    <row r="976" spans="1:31" ht="9.75" customHeight="1" x14ac:dyDescent="0.2">
      <c r="A976" s="168" t="s">
        <v>1640</v>
      </c>
      <c r="B976" s="179" t="s">
        <v>1641</v>
      </c>
      <c r="C976" s="179"/>
      <c r="D976" s="179"/>
      <c r="E976" s="179"/>
      <c r="F976" s="179"/>
      <c r="G976" s="179"/>
      <c r="H976" s="179"/>
      <c r="I976" s="179"/>
      <c r="J976" s="179"/>
      <c r="K976" s="179"/>
      <c r="L976" s="179"/>
      <c r="M976" s="179"/>
      <c r="N976" s="179" t="s">
        <v>137</v>
      </c>
      <c r="O976" s="179"/>
      <c r="P976" s="179"/>
      <c r="Q976" s="202">
        <v>33</v>
      </c>
      <c r="R976" s="174"/>
      <c r="S976" s="174"/>
      <c r="T976" s="174"/>
      <c r="U976" s="174"/>
      <c r="V976" s="174"/>
      <c r="W976" s="202">
        <v>92</v>
      </c>
      <c r="X976" s="174"/>
      <c r="Y976" s="174"/>
      <c r="Z976" s="174"/>
      <c r="AA976" s="174"/>
      <c r="AB976" s="174"/>
      <c r="AC976" s="201">
        <v>3036</v>
      </c>
      <c r="AD976" s="174"/>
      <c r="AE976" s="174"/>
    </row>
    <row r="977" spans="1:31" ht="9.6" customHeight="1" x14ac:dyDescent="0.2">
      <c r="A977" s="168" t="s">
        <v>1642</v>
      </c>
      <c r="B977" s="179" t="s">
        <v>1643</v>
      </c>
      <c r="C977" s="179"/>
      <c r="D977" s="179"/>
      <c r="E977" s="179"/>
      <c r="F977" s="179"/>
      <c r="G977" s="179"/>
      <c r="H977" s="179"/>
      <c r="I977" s="179"/>
      <c r="J977" s="179"/>
      <c r="K977" s="179"/>
      <c r="L977" s="179"/>
      <c r="M977" s="179"/>
      <c r="N977" s="179" t="s">
        <v>137</v>
      </c>
      <c r="O977" s="179"/>
      <c r="P977" s="179"/>
      <c r="Q977" s="180">
        <v>8</v>
      </c>
      <c r="R977" s="174"/>
      <c r="S977" s="174"/>
      <c r="T977" s="174"/>
      <c r="U977" s="174"/>
      <c r="V977" s="174"/>
      <c r="W977" s="191">
        <v>973.28279999999995</v>
      </c>
      <c r="X977" s="174"/>
      <c r="Y977" s="174"/>
      <c r="Z977" s="174"/>
      <c r="AA977" s="174"/>
      <c r="AB977" s="174"/>
      <c r="AC977" s="201">
        <v>7786.26</v>
      </c>
      <c r="AD977" s="174"/>
      <c r="AE977" s="174"/>
    </row>
    <row r="978" spans="1:31" ht="9.6" customHeight="1" x14ac:dyDescent="0.2">
      <c r="A978" s="167" t="s">
        <v>1644</v>
      </c>
      <c r="B978" s="176" t="s">
        <v>13</v>
      </c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7"/>
      <c r="R978" s="177"/>
      <c r="S978" s="177"/>
      <c r="T978" s="177"/>
      <c r="U978" s="177"/>
      <c r="V978" s="177"/>
      <c r="W978" s="177"/>
      <c r="X978" s="177"/>
      <c r="Y978" s="177"/>
      <c r="Z978" s="177"/>
      <c r="AA978" s="177"/>
      <c r="AB978" s="177"/>
      <c r="AC978" s="198">
        <v>993527.6</v>
      </c>
      <c r="AD978" s="177"/>
      <c r="AE978" s="177"/>
    </row>
    <row r="979" spans="1:31" ht="9.75" customHeight="1" x14ac:dyDescent="0.2">
      <c r="A979" s="167" t="s">
        <v>1645</v>
      </c>
      <c r="B979" s="176" t="s">
        <v>1646</v>
      </c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7"/>
      <c r="R979" s="177"/>
      <c r="S979" s="177"/>
      <c r="T979" s="177"/>
      <c r="U979" s="177"/>
      <c r="V979" s="177"/>
      <c r="W979" s="177"/>
      <c r="X979" s="177"/>
      <c r="Y979" s="177"/>
      <c r="Z979" s="177"/>
      <c r="AA979" s="177"/>
      <c r="AB979" s="177"/>
      <c r="AC979" s="198">
        <v>190249.97</v>
      </c>
      <c r="AD979" s="177"/>
      <c r="AE979" s="177"/>
    </row>
    <row r="980" spans="1:31" ht="9.75" customHeight="1" x14ac:dyDescent="0.2">
      <c r="A980" s="168" t="s">
        <v>1647</v>
      </c>
      <c r="B980" s="179" t="s">
        <v>1648</v>
      </c>
      <c r="C980" s="179"/>
      <c r="D980" s="179"/>
      <c r="E980" s="179"/>
      <c r="F980" s="179"/>
      <c r="G980" s="179"/>
      <c r="H980" s="179"/>
      <c r="I980" s="179"/>
      <c r="J980" s="179"/>
      <c r="K980" s="179"/>
      <c r="L980" s="179"/>
      <c r="M980" s="179"/>
      <c r="N980" s="179" t="s">
        <v>112</v>
      </c>
      <c r="O980" s="179"/>
      <c r="P980" s="179"/>
      <c r="Q980" s="180">
        <v>1</v>
      </c>
      <c r="R980" s="174"/>
      <c r="S980" s="174"/>
      <c r="T980" s="174"/>
      <c r="U980" s="174"/>
      <c r="V980" s="174"/>
      <c r="W980" s="199">
        <v>190249.97</v>
      </c>
      <c r="X980" s="174"/>
      <c r="Y980" s="174"/>
      <c r="Z980" s="174"/>
      <c r="AA980" s="174"/>
      <c r="AB980" s="174"/>
      <c r="AC980" s="200">
        <v>190249.97</v>
      </c>
      <c r="AD980" s="174"/>
      <c r="AE980" s="174"/>
    </row>
    <row r="981" spans="1:31" ht="9.6" customHeight="1" x14ac:dyDescent="0.2">
      <c r="A981" s="167" t="s">
        <v>1649</v>
      </c>
      <c r="B981" s="176" t="s">
        <v>1650</v>
      </c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7"/>
      <c r="R981" s="177"/>
      <c r="S981" s="177"/>
      <c r="T981" s="177"/>
      <c r="U981" s="177"/>
      <c r="V981" s="177"/>
      <c r="W981" s="177"/>
      <c r="X981" s="177"/>
      <c r="Y981" s="177"/>
      <c r="Z981" s="177"/>
      <c r="AA981" s="177"/>
      <c r="AB981" s="177"/>
      <c r="AC981" s="198">
        <v>634166.55000000005</v>
      </c>
      <c r="AD981" s="177"/>
      <c r="AE981" s="177"/>
    </row>
    <row r="982" spans="1:31" ht="9.75" customHeight="1" x14ac:dyDescent="0.2">
      <c r="A982" s="168" t="s">
        <v>1651</v>
      </c>
      <c r="B982" s="179" t="s">
        <v>1652</v>
      </c>
      <c r="C982" s="179"/>
      <c r="D982" s="179"/>
      <c r="E982" s="179"/>
      <c r="F982" s="179"/>
      <c r="G982" s="179"/>
      <c r="H982" s="179"/>
      <c r="I982" s="179"/>
      <c r="J982" s="179"/>
      <c r="K982" s="179"/>
      <c r="L982" s="179"/>
      <c r="M982" s="179"/>
      <c r="N982" s="179" t="s">
        <v>112</v>
      </c>
      <c r="O982" s="179"/>
      <c r="P982" s="179"/>
      <c r="Q982" s="180">
        <v>1</v>
      </c>
      <c r="R982" s="174"/>
      <c r="S982" s="174"/>
      <c r="T982" s="174"/>
      <c r="U982" s="174"/>
      <c r="V982" s="174"/>
      <c r="W982" s="199">
        <v>634166.55000000005</v>
      </c>
      <c r="X982" s="174"/>
      <c r="Y982" s="174"/>
      <c r="Z982" s="174"/>
      <c r="AA982" s="174"/>
      <c r="AB982" s="174"/>
      <c r="AC982" s="200">
        <v>634166.55000000005</v>
      </c>
      <c r="AD982" s="174"/>
      <c r="AE982" s="174"/>
    </row>
    <row r="983" spans="1:31" ht="9.6" customHeight="1" x14ac:dyDescent="0.2">
      <c r="A983" s="167" t="s">
        <v>1653</v>
      </c>
      <c r="B983" s="176" t="s">
        <v>1654</v>
      </c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7"/>
      <c r="R983" s="177"/>
      <c r="S983" s="177"/>
      <c r="T983" s="177"/>
      <c r="U983" s="177"/>
      <c r="V983" s="177"/>
      <c r="W983" s="177"/>
      <c r="X983" s="177"/>
      <c r="Y983" s="177"/>
      <c r="Z983" s="177"/>
      <c r="AA983" s="177"/>
      <c r="AB983" s="177"/>
      <c r="AC983" s="198">
        <v>169111.08</v>
      </c>
      <c r="AD983" s="177"/>
      <c r="AE983" s="177"/>
    </row>
    <row r="984" spans="1:31" ht="9.75" customHeight="1" x14ac:dyDescent="0.2">
      <c r="A984" s="168" t="s">
        <v>1655</v>
      </c>
      <c r="B984" s="179" t="s">
        <v>1656</v>
      </c>
      <c r="C984" s="179"/>
      <c r="D984" s="179"/>
      <c r="E984" s="179"/>
      <c r="F984" s="179"/>
      <c r="G984" s="179"/>
      <c r="H984" s="179"/>
      <c r="I984" s="179"/>
      <c r="J984" s="179"/>
      <c r="K984" s="179"/>
      <c r="L984" s="179"/>
      <c r="M984" s="179"/>
      <c r="N984" s="179" t="s">
        <v>112</v>
      </c>
      <c r="O984" s="179"/>
      <c r="P984" s="179"/>
      <c r="Q984" s="180">
        <v>1</v>
      </c>
      <c r="R984" s="174"/>
      <c r="S984" s="174"/>
      <c r="T984" s="174"/>
      <c r="U984" s="174"/>
      <c r="V984" s="174"/>
      <c r="W984" s="199">
        <v>169111.08</v>
      </c>
      <c r="X984" s="174"/>
      <c r="Y984" s="174"/>
      <c r="Z984" s="174"/>
      <c r="AA984" s="174"/>
      <c r="AB984" s="174"/>
      <c r="AC984" s="200">
        <v>169111.08</v>
      </c>
      <c r="AD984" s="174"/>
      <c r="AE984" s="174"/>
    </row>
    <row r="985" spans="1:31" ht="9.6" customHeight="1" x14ac:dyDescent="0.2">
      <c r="A985" s="167" t="s">
        <v>1657</v>
      </c>
      <c r="B985" s="176" t="s">
        <v>1658</v>
      </c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7"/>
      <c r="R985" s="177"/>
      <c r="S985" s="177"/>
      <c r="T985" s="177"/>
      <c r="U985" s="177"/>
      <c r="V985" s="177"/>
      <c r="W985" s="177"/>
      <c r="X985" s="177"/>
      <c r="Y985" s="177"/>
      <c r="Z985" s="177"/>
      <c r="AA985" s="177"/>
      <c r="AB985" s="177"/>
      <c r="AC985" s="178">
        <v>9820861.2100000009</v>
      </c>
      <c r="AD985" s="177"/>
      <c r="AE985" s="177"/>
    </row>
    <row r="986" spans="1:31" ht="9.75" customHeight="1" x14ac:dyDescent="0.2">
      <c r="A986" s="167" t="s">
        <v>1659</v>
      </c>
      <c r="B986" s="176" t="s">
        <v>1660</v>
      </c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7"/>
      <c r="R986" s="177"/>
      <c r="S986" s="177"/>
      <c r="T986" s="177"/>
      <c r="U986" s="177"/>
      <c r="V986" s="177"/>
      <c r="W986" s="177"/>
      <c r="X986" s="177"/>
      <c r="Y986" s="177"/>
      <c r="Z986" s="177"/>
      <c r="AA986" s="177"/>
      <c r="AB986" s="177"/>
      <c r="AC986" s="178">
        <v>9820861.2100000009</v>
      </c>
      <c r="AD986" s="177"/>
      <c r="AE986" s="177"/>
    </row>
    <row r="987" spans="1:31" ht="9.75" customHeight="1" x14ac:dyDescent="0.2">
      <c r="A987" s="168" t="s">
        <v>1661</v>
      </c>
      <c r="B987" s="179" t="s">
        <v>1660</v>
      </c>
      <c r="C987" s="179"/>
      <c r="D987" s="179"/>
      <c r="E987" s="179"/>
      <c r="F987" s="179"/>
      <c r="G987" s="179"/>
      <c r="H987" s="179"/>
      <c r="I987" s="179"/>
      <c r="J987" s="179"/>
      <c r="K987" s="179"/>
      <c r="L987" s="179"/>
      <c r="M987" s="179"/>
      <c r="N987" s="179" t="s">
        <v>112</v>
      </c>
      <c r="O987" s="179"/>
      <c r="P987" s="179"/>
      <c r="Q987" s="180">
        <v>1</v>
      </c>
      <c r="R987" s="174"/>
      <c r="S987" s="174"/>
      <c r="T987" s="174"/>
      <c r="U987" s="174"/>
      <c r="V987" s="174"/>
      <c r="W987" s="181">
        <v>6808330.4100000001</v>
      </c>
      <c r="X987" s="174"/>
      <c r="Y987" s="174"/>
      <c r="Z987" s="174"/>
      <c r="AA987" s="174"/>
      <c r="AB987" s="174"/>
      <c r="AC987" s="175">
        <v>6808330.4100000001</v>
      </c>
      <c r="AD987" s="174"/>
      <c r="AE987" s="174"/>
    </row>
    <row r="988" spans="1:31" ht="9.6" customHeight="1" x14ac:dyDescent="0.2">
      <c r="A988" s="167" t="s">
        <v>1662</v>
      </c>
      <c r="B988" s="176" t="s">
        <v>1663</v>
      </c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7"/>
      <c r="R988" s="177"/>
      <c r="S988" s="177"/>
      <c r="T988" s="177"/>
      <c r="U988" s="177"/>
      <c r="V988" s="177"/>
      <c r="W988" s="177"/>
      <c r="X988" s="177"/>
      <c r="Y988" s="177"/>
      <c r="Z988" s="177"/>
      <c r="AA988" s="177"/>
      <c r="AB988" s="177"/>
      <c r="AC988" s="198">
        <v>590990.07999999996</v>
      </c>
      <c r="AD988" s="177"/>
      <c r="AE988" s="177"/>
    </row>
    <row r="989" spans="1:31" ht="9.75" customHeight="1" x14ac:dyDescent="0.2">
      <c r="A989" s="168" t="s">
        <v>1664</v>
      </c>
      <c r="B989" s="179" t="s">
        <v>1663</v>
      </c>
      <c r="C989" s="179"/>
      <c r="D989" s="179"/>
      <c r="E989" s="179"/>
      <c r="F989" s="179"/>
      <c r="G989" s="179"/>
      <c r="H989" s="179"/>
      <c r="I989" s="179"/>
      <c r="J989" s="179"/>
      <c r="K989" s="179"/>
      <c r="L989" s="179"/>
      <c r="M989" s="179"/>
      <c r="N989" s="179" t="s">
        <v>112</v>
      </c>
      <c r="O989" s="179"/>
      <c r="P989" s="179"/>
      <c r="Q989" s="180">
        <v>1</v>
      </c>
      <c r="R989" s="174"/>
      <c r="S989" s="174"/>
      <c r="T989" s="174"/>
      <c r="U989" s="174"/>
      <c r="V989" s="174"/>
      <c r="W989" s="199">
        <v>397745.04</v>
      </c>
      <c r="X989" s="174"/>
      <c r="Y989" s="174"/>
      <c r="Z989" s="174"/>
      <c r="AA989" s="174"/>
      <c r="AB989" s="174"/>
      <c r="AC989" s="200">
        <v>397745.04</v>
      </c>
      <c r="AD989" s="174"/>
      <c r="AE989" s="174"/>
    </row>
    <row r="990" spans="1:31" ht="9.75" customHeight="1" x14ac:dyDescent="0.2">
      <c r="A990" s="168" t="s">
        <v>1710</v>
      </c>
      <c r="B990" s="179" t="s">
        <v>1711</v>
      </c>
      <c r="C990" s="179"/>
      <c r="D990" s="179"/>
      <c r="E990" s="179"/>
      <c r="F990" s="179"/>
      <c r="G990" s="179"/>
      <c r="H990" s="179"/>
      <c r="I990" s="179"/>
      <c r="J990" s="179"/>
      <c r="K990" s="179"/>
      <c r="L990" s="179"/>
      <c r="M990" s="179"/>
      <c r="N990" s="179" t="s">
        <v>112</v>
      </c>
      <c r="O990" s="179"/>
      <c r="P990" s="179"/>
      <c r="Q990" s="180">
        <v>1</v>
      </c>
      <c r="R990" s="174"/>
      <c r="S990" s="174"/>
      <c r="T990" s="174"/>
      <c r="U990" s="174"/>
      <c r="V990" s="174"/>
      <c r="W990" s="199">
        <v>193245.04</v>
      </c>
      <c r="X990" s="174"/>
      <c r="Y990" s="174"/>
      <c r="Z990" s="174"/>
      <c r="AA990" s="174"/>
      <c r="AB990" s="174"/>
      <c r="AC990" s="200">
        <v>193245.04</v>
      </c>
      <c r="AD990" s="174"/>
      <c r="AE990" s="174"/>
    </row>
    <row r="991" spans="1:31" ht="9.6" customHeight="1" x14ac:dyDescent="0.2">
      <c r="A991" s="167" t="s">
        <v>1665</v>
      </c>
      <c r="B991" s="176" t="s">
        <v>1666</v>
      </c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7"/>
      <c r="R991" s="177"/>
      <c r="S991" s="177"/>
      <c r="T991" s="177"/>
      <c r="U991" s="177"/>
      <c r="V991" s="177"/>
      <c r="W991" s="177"/>
      <c r="X991" s="177"/>
      <c r="Y991" s="177"/>
      <c r="Z991" s="177"/>
      <c r="AA991" s="177"/>
      <c r="AB991" s="177"/>
      <c r="AC991" s="198">
        <v>681155.28</v>
      </c>
      <c r="AD991" s="177"/>
      <c r="AE991" s="177"/>
    </row>
    <row r="992" spans="1:31" ht="9.75" customHeight="1" x14ac:dyDescent="0.2">
      <c r="A992" s="168" t="s">
        <v>1667</v>
      </c>
      <c r="B992" s="179" t="s">
        <v>1666</v>
      </c>
      <c r="C992" s="179"/>
      <c r="D992" s="179"/>
      <c r="E992" s="179"/>
      <c r="F992" s="179"/>
      <c r="G992" s="179"/>
      <c r="H992" s="179"/>
      <c r="I992" s="179"/>
      <c r="J992" s="179"/>
      <c r="K992" s="179"/>
      <c r="L992" s="179"/>
      <c r="M992" s="179"/>
      <c r="N992" s="179" t="s">
        <v>112</v>
      </c>
      <c r="O992" s="179"/>
      <c r="P992" s="179"/>
      <c r="Q992" s="180">
        <v>1</v>
      </c>
      <c r="R992" s="174"/>
      <c r="S992" s="174"/>
      <c r="T992" s="174"/>
      <c r="U992" s="174"/>
      <c r="V992" s="174"/>
      <c r="W992" s="199">
        <v>681155.28</v>
      </c>
      <c r="X992" s="174"/>
      <c r="Y992" s="174"/>
      <c r="Z992" s="174"/>
      <c r="AA992" s="174"/>
      <c r="AB992" s="174"/>
      <c r="AC992" s="200">
        <v>681155.28</v>
      </c>
      <c r="AD992" s="174"/>
      <c r="AE992" s="174"/>
    </row>
    <row r="993" spans="1:31" ht="9.6" customHeight="1" x14ac:dyDescent="0.2">
      <c r="A993" s="167" t="s">
        <v>1668</v>
      </c>
      <c r="B993" s="176" t="s">
        <v>1669</v>
      </c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7"/>
      <c r="R993" s="177"/>
      <c r="S993" s="177"/>
      <c r="T993" s="177"/>
      <c r="U993" s="177"/>
      <c r="V993" s="177"/>
      <c r="W993" s="177"/>
      <c r="X993" s="177"/>
      <c r="Y993" s="177"/>
      <c r="Z993" s="177"/>
      <c r="AA993" s="177"/>
      <c r="AB993" s="177"/>
      <c r="AC993" s="178">
        <v>1317607.74</v>
      </c>
      <c r="AD993" s="177"/>
      <c r="AE993" s="177"/>
    </row>
    <row r="994" spans="1:31" ht="9.75" customHeight="1" x14ac:dyDescent="0.2">
      <c r="A994" s="168" t="s">
        <v>1670</v>
      </c>
      <c r="B994" s="179" t="s">
        <v>1669</v>
      </c>
      <c r="C994" s="179"/>
      <c r="D994" s="179"/>
      <c r="E994" s="179"/>
      <c r="F994" s="179"/>
      <c r="G994" s="179"/>
      <c r="H994" s="179"/>
      <c r="I994" s="179"/>
      <c r="J994" s="179"/>
      <c r="K994" s="179"/>
      <c r="L994" s="179"/>
      <c r="M994" s="179"/>
      <c r="N994" s="179" t="s">
        <v>112</v>
      </c>
      <c r="O994" s="179"/>
      <c r="P994" s="179"/>
      <c r="Q994" s="180">
        <v>1</v>
      </c>
      <c r="R994" s="174"/>
      <c r="S994" s="174"/>
      <c r="T994" s="174"/>
      <c r="U994" s="174"/>
      <c r="V994" s="174"/>
      <c r="W994" s="181">
        <v>1317607.74</v>
      </c>
      <c r="X994" s="174"/>
      <c r="Y994" s="174"/>
      <c r="Z994" s="174"/>
      <c r="AA994" s="174"/>
      <c r="AB994" s="174"/>
      <c r="AC994" s="175">
        <v>1317607.74</v>
      </c>
      <c r="AD994" s="174"/>
      <c r="AE994" s="174"/>
    </row>
    <row r="995" spans="1:31" ht="9.6" customHeight="1" x14ac:dyDescent="0.2">
      <c r="A995" s="167" t="s">
        <v>1671</v>
      </c>
      <c r="B995" s="176" t="s">
        <v>1672</v>
      </c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7"/>
      <c r="R995" s="177"/>
      <c r="S995" s="177"/>
      <c r="T995" s="177"/>
      <c r="U995" s="177"/>
      <c r="V995" s="177"/>
      <c r="W995" s="177"/>
      <c r="X995" s="177"/>
      <c r="Y995" s="177"/>
      <c r="Z995" s="177"/>
      <c r="AA995" s="177"/>
      <c r="AB995" s="177"/>
      <c r="AC995" s="198">
        <v>422777.7</v>
      </c>
      <c r="AD995" s="177"/>
      <c r="AE995" s="177"/>
    </row>
    <row r="996" spans="1:31" ht="9.75" customHeight="1" x14ac:dyDescent="0.2">
      <c r="A996" s="168" t="s">
        <v>1673</v>
      </c>
      <c r="B996" s="179" t="s">
        <v>1674</v>
      </c>
      <c r="C996" s="179"/>
      <c r="D996" s="179"/>
      <c r="E996" s="179"/>
      <c r="F996" s="179"/>
      <c r="G996" s="179"/>
      <c r="H996" s="179"/>
      <c r="I996" s="179"/>
      <c r="J996" s="179"/>
      <c r="K996" s="179"/>
      <c r="L996" s="179"/>
      <c r="M996" s="179"/>
      <c r="N996" s="179" t="s">
        <v>112</v>
      </c>
      <c r="O996" s="179"/>
      <c r="P996" s="179"/>
      <c r="Q996" s="180">
        <v>1</v>
      </c>
      <c r="R996" s="174"/>
      <c r="S996" s="174"/>
      <c r="T996" s="174"/>
      <c r="U996" s="174"/>
      <c r="V996" s="174"/>
      <c r="W996" s="199">
        <v>422777.7</v>
      </c>
      <c r="X996" s="174"/>
      <c r="Y996" s="174"/>
      <c r="Z996" s="174"/>
      <c r="AA996" s="174"/>
      <c r="AB996" s="174"/>
      <c r="AC996" s="200">
        <v>422777.7</v>
      </c>
      <c r="AD996" s="174"/>
      <c r="AE996" s="174"/>
    </row>
    <row r="997" spans="1:31" ht="9.6" customHeight="1" x14ac:dyDescent="0.2">
      <c r="A997" s="167" t="s">
        <v>1675</v>
      </c>
      <c r="B997" s="176" t="s">
        <v>1676</v>
      </c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7"/>
      <c r="R997" s="177"/>
      <c r="S997" s="177"/>
      <c r="T997" s="177"/>
      <c r="U997" s="177"/>
      <c r="V997" s="177"/>
      <c r="W997" s="177"/>
      <c r="X997" s="177"/>
      <c r="Y997" s="177"/>
      <c r="Z997" s="177"/>
      <c r="AA997" s="177"/>
      <c r="AB997" s="177"/>
      <c r="AC997" s="178">
        <v>3051396.93</v>
      </c>
      <c r="AD997" s="177"/>
      <c r="AE997" s="177"/>
    </row>
    <row r="998" spans="1:31" ht="9.75" customHeight="1" x14ac:dyDescent="0.2">
      <c r="A998" s="167" t="s">
        <v>1677</v>
      </c>
      <c r="B998" s="176" t="s">
        <v>1676</v>
      </c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7"/>
      <c r="R998" s="177"/>
      <c r="S998" s="177"/>
      <c r="T998" s="177"/>
      <c r="U998" s="177"/>
      <c r="V998" s="177"/>
      <c r="W998" s="177"/>
      <c r="X998" s="177"/>
      <c r="Y998" s="177"/>
      <c r="Z998" s="177"/>
      <c r="AA998" s="177"/>
      <c r="AB998" s="177"/>
      <c r="AC998" s="178">
        <v>3051396.93</v>
      </c>
      <c r="AD998" s="177"/>
      <c r="AE998" s="177"/>
    </row>
    <row r="999" spans="1:31" ht="9.75" customHeight="1" x14ac:dyDescent="0.2">
      <c r="A999" s="167" t="s">
        <v>1678</v>
      </c>
      <c r="B999" s="176" t="s">
        <v>1679</v>
      </c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7"/>
      <c r="R999" s="177"/>
      <c r="S999" s="177"/>
      <c r="T999" s="177"/>
      <c r="U999" s="177"/>
      <c r="V999" s="177"/>
      <c r="W999" s="177"/>
      <c r="X999" s="177"/>
      <c r="Y999" s="177"/>
      <c r="Z999" s="177"/>
      <c r="AA999" s="177"/>
      <c r="AB999" s="177"/>
      <c r="AC999" s="178">
        <v>3051396.93</v>
      </c>
      <c r="AD999" s="177"/>
      <c r="AE999" s="177"/>
    </row>
    <row r="1000" spans="1:31" ht="9.75" customHeight="1" x14ac:dyDescent="0.2">
      <c r="A1000" s="168" t="s">
        <v>1708</v>
      </c>
      <c r="B1000" s="179" t="s">
        <v>1679</v>
      </c>
      <c r="C1000" s="179"/>
      <c r="D1000" s="179"/>
      <c r="E1000" s="179"/>
      <c r="F1000" s="179"/>
      <c r="G1000" s="179"/>
      <c r="H1000" s="179"/>
      <c r="I1000" s="179"/>
      <c r="J1000" s="179"/>
      <c r="K1000" s="179"/>
      <c r="L1000" s="179"/>
      <c r="M1000" s="179"/>
      <c r="N1000" s="179" t="s">
        <v>112</v>
      </c>
      <c r="O1000" s="179"/>
      <c r="P1000" s="179"/>
      <c r="Q1000" s="180">
        <v>1</v>
      </c>
      <c r="R1000" s="174"/>
      <c r="S1000" s="174"/>
      <c r="T1000" s="174"/>
      <c r="U1000" s="174"/>
      <c r="V1000" s="174"/>
      <c r="W1000" s="181">
        <v>3051396.9270000001</v>
      </c>
      <c r="X1000" s="174"/>
      <c r="Y1000" s="174"/>
      <c r="Z1000" s="174"/>
      <c r="AA1000" s="174"/>
      <c r="AB1000" s="174"/>
      <c r="AC1000" s="175">
        <v>3051396.93</v>
      </c>
      <c r="AD1000" s="174"/>
      <c r="AE1000" s="174"/>
    </row>
    <row r="1001" spans="1:31" ht="9.75" customHeight="1" x14ac:dyDescent="0.2">
      <c r="A1001" s="182" t="s">
        <v>1680</v>
      </c>
      <c r="B1001" s="182"/>
      <c r="C1001" s="182"/>
      <c r="D1001" s="182"/>
      <c r="E1001" s="182"/>
      <c r="F1001" s="182"/>
      <c r="G1001" s="182"/>
      <c r="H1001" s="182"/>
      <c r="I1001" s="182"/>
      <c r="J1001" s="182"/>
      <c r="K1001" s="182"/>
      <c r="L1001" s="182"/>
      <c r="M1001" s="182"/>
      <c r="N1001" s="182"/>
      <c r="O1001" s="182"/>
      <c r="P1001" s="182"/>
      <c r="Q1001" s="182"/>
      <c r="R1001" s="182"/>
      <c r="S1001" s="182"/>
      <c r="T1001" s="182"/>
      <c r="U1001" s="182"/>
      <c r="V1001" s="182"/>
      <c r="W1001" s="182"/>
      <c r="X1001" s="182"/>
      <c r="Y1001" s="182"/>
      <c r="Z1001" s="182"/>
      <c r="AA1001" s="182"/>
      <c r="AB1001" s="182"/>
      <c r="AC1001" s="210">
        <v>206671103.77000001</v>
      </c>
      <c r="AD1001" s="182"/>
      <c r="AE1001" s="182"/>
    </row>
    <row r="1002" spans="1:31" ht="9.75" customHeight="1" x14ac:dyDescent="0.2">
      <c r="A1002" s="182" t="s">
        <v>1681</v>
      </c>
      <c r="B1002" s="182"/>
      <c r="C1002" s="182"/>
      <c r="D1002" s="182"/>
      <c r="E1002" s="182"/>
      <c r="F1002" s="182"/>
      <c r="G1002" s="182"/>
      <c r="H1002" s="182"/>
      <c r="I1002" s="182"/>
      <c r="J1002" s="182"/>
      <c r="K1002" s="182"/>
      <c r="L1002" s="182"/>
      <c r="M1002" s="182"/>
      <c r="N1002" s="182"/>
      <c r="O1002" s="182"/>
      <c r="P1002" s="182"/>
      <c r="Q1002" s="182"/>
      <c r="R1002" s="182"/>
      <c r="S1002" s="182"/>
      <c r="T1002" s="182"/>
      <c r="U1002" s="182"/>
      <c r="V1002" s="182"/>
      <c r="W1002" s="182"/>
      <c r="X1002" s="182"/>
      <c r="Y1002" s="182"/>
      <c r="Z1002" s="182"/>
      <c r="AA1002" s="182"/>
      <c r="AB1002" s="182"/>
      <c r="AC1002" s="210">
        <v>206671103.77000001</v>
      </c>
      <c r="AD1002" s="182"/>
      <c r="AE1002" s="182"/>
    </row>
    <row r="1003" spans="1:31" ht="2.25" customHeight="1" x14ac:dyDescent="0.2">
      <c r="A1003" s="211"/>
      <c r="B1003" s="211"/>
      <c r="C1003" s="211"/>
      <c r="D1003" s="211"/>
      <c r="E1003" s="211"/>
      <c r="F1003" s="212"/>
      <c r="G1003" s="212"/>
      <c r="H1003" s="212"/>
      <c r="I1003" s="212"/>
      <c r="J1003" s="212"/>
      <c r="K1003" s="212"/>
      <c r="L1003" s="212"/>
      <c r="M1003" s="212"/>
      <c r="N1003" s="212"/>
      <c r="O1003" s="212"/>
      <c r="P1003" s="212"/>
      <c r="Q1003" s="212"/>
      <c r="R1003" s="212"/>
      <c r="S1003" s="212"/>
      <c r="T1003" s="212"/>
      <c r="U1003" s="213"/>
      <c r="V1003" s="213"/>
      <c r="W1003" s="213"/>
      <c r="X1003" s="213"/>
      <c r="Y1003" s="213"/>
      <c r="Z1003" s="213"/>
      <c r="AA1003" s="213"/>
      <c r="AB1003" s="213"/>
      <c r="AC1003" s="213"/>
      <c r="AD1003" s="213"/>
      <c r="AE1003" s="213"/>
    </row>
    <row r="1004" spans="1:31" ht="8.4499999999999993" customHeight="1" x14ac:dyDescent="0.2">
      <c r="A1004" s="170" t="s">
        <v>1712</v>
      </c>
      <c r="B1004" s="170"/>
      <c r="C1004" s="170"/>
      <c r="D1004" s="170"/>
      <c r="E1004" s="170"/>
      <c r="F1004" s="171" t="s">
        <v>1682</v>
      </c>
      <c r="G1004" s="171"/>
      <c r="H1004" s="171"/>
      <c r="I1004" s="171"/>
      <c r="J1004" s="171"/>
      <c r="K1004" s="171"/>
      <c r="L1004" s="171"/>
      <c r="M1004" s="171"/>
      <c r="N1004" s="171"/>
      <c r="O1004" s="171"/>
      <c r="P1004" s="171"/>
      <c r="Q1004" s="171"/>
      <c r="R1004" s="171"/>
      <c r="S1004" s="171"/>
      <c r="T1004" s="171"/>
      <c r="U1004" s="172"/>
      <c r="V1004" s="172"/>
      <c r="W1004" s="172"/>
      <c r="X1004" s="172"/>
      <c r="Y1004" s="172"/>
      <c r="Z1004" s="172"/>
      <c r="AA1004" s="172"/>
      <c r="AB1004" s="172"/>
      <c r="AC1004" s="172"/>
      <c r="AD1004" s="172"/>
      <c r="AE1004" s="172"/>
    </row>
  </sheetData>
  <mergeCells count="4976">
    <mergeCell ref="A1001:AB1001"/>
    <mergeCell ref="AC1001:AE1001"/>
    <mergeCell ref="A1003:E1003"/>
    <mergeCell ref="F1003:T1003"/>
    <mergeCell ref="U1003:AE1003"/>
    <mergeCell ref="B999:M999"/>
    <mergeCell ref="N999:P999"/>
    <mergeCell ref="Q999:V999"/>
    <mergeCell ref="W999:AB999"/>
    <mergeCell ref="AC999:AE999"/>
    <mergeCell ref="AC1000:AE1000"/>
    <mergeCell ref="B997:M997"/>
    <mergeCell ref="N997:P997"/>
    <mergeCell ref="Q997:V997"/>
    <mergeCell ref="W997:AB997"/>
    <mergeCell ref="AC997:AE997"/>
    <mergeCell ref="B998:M998"/>
    <mergeCell ref="N998:P998"/>
    <mergeCell ref="Q998:V998"/>
    <mergeCell ref="W998:AB998"/>
    <mergeCell ref="AC998:AE998"/>
    <mergeCell ref="A1002:AB1002"/>
    <mergeCell ref="AC1002:AE1002"/>
    <mergeCell ref="B995:M995"/>
    <mergeCell ref="N995:P995"/>
    <mergeCell ref="Q995:V995"/>
    <mergeCell ref="W995:AB995"/>
    <mergeCell ref="AC995:AE995"/>
    <mergeCell ref="B996:M996"/>
    <mergeCell ref="N996:P996"/>
    <mergeCell ref="Q996:V996"/>
    <mergeCell ref="W996:AB996"/>
    <mergeCell ref="AC996:AE996"/>
    <mergeCell ref="B993:M993"/>
    <mergeCell ref="N993:P993"/>
    <mergeCell ref="Q993:V993"/>
    <mergeCell ref="W993:AB993"/>
    <mergeCell ref="AC993:AE993"/>
    <mergeCell ref="B994:M994"/>
    <mergeCell ref="N994:P994"/>
    <mergeCell ref="Q994:V994"/>
    <mergeCell ref="W994:AB994"/>
    <mergeCell ref="AC994:AE994"/>
    <mergeCell ref="B991:M991"/>
    <mergeCell ref="N991:P991"/>
    <mergeCell ref="Q991:V991"/>
    <mergeCell ref="W991:AB991"/>
    <mergeCell ref="AC991:AE991"/>
    <mergeCell ref="B992:M992"/>
    <mergeCell ref="N992:P992"/>
    <mergeCell ref="Q992:V992"/>
    <mergeCell ref="W992:AB992"/>
    <mergeCell ref="AC992:AE992"/>
    <mergeCell ref="B988:M988"/>
    <mergeCell ref="N988:P988"/>
    <mergeCell ref="Q988:V988"/>
    <mergeCell ref="W988:AB988"/>
    <mergeCell ref="AC988:AE988"/>
    <mergeCell ref="B989:M989"/>
    <mergeCell ref="N989:P989"/>
    <mergeCell ref="Q989:V989"/>
    <mergeCell ref="W989:AB989"/>
    <mergeCell ref="AC989:AE989"/>
    <mergeCell ref="B990:M990"/>
    <mergeCell ref="N990:P990"/>
    <mergeCell ref="Q990:V990"/>
    <mergeCell ref="W990:AB990"/>
    <mergeCell ref="AC990:AE990"/>
    <mergeCell ref="B986:M986"/>
    <mergeCell ref="N986:P986"/>
    <mergeCell ref="Q986:V986"/>
    <mergeCell ref="W986:AB986"/>
    <mergeCell ref="AC986:AE986"/>
    <mergeCell ref="B987:M987"/>
    <mergeCell ref="N987:P987"/>
    <mergeCell ref="Q987:V987"/>
    <mergeCell ref="W987:AB987"/>
    <mergeCell ref="AC987:AE987"/>
    <mergeCell ref="B984:M984"/>
    <mergeCell ref="N984:P984"/>
    <mergeCell ref="Q984:V984"/>
    <mergeCell ref="W984:AB984"/>
    <mergeCell ref="AC984:AE984"/>
    <mergeCell ref="B985:M985"/>
    <mergeCell ref="N985:P985"/>
    <mergeCell ref="Q985:V985"/>
    <mergeCell ref="W985:AB985"/>
    <mergeCell ref="AC985:AE985"/>
    <mergeCell ref="B982:M982"/>
    <mergeCell ref="N982:P982"/>
    <mergeCell ref="Q982:V982"/>
    <mergeCell ref="W982:AB982"/>
    <mergeCell ref="AC982:AE982"/>
    <mergeCell ref="B983:M983"/>
    <mergeCell ref="N983:P983"/>
    <mergeCell ref="Q983:V983"/>
    <mergeCell ref="W983:AB983"/>
    <mergeCell ref="AC983:AE983"/>
    <mergeCell ref="B980:M980"/>
    <mergeCell ref="N980:P980"/>
    <mergeCell ref="Q980:V980"/>
    <mergeCell ref="W980:AB980"/>
    <mergeCell ref="AC980:AE980"/>
    <mergeCell ref="B981:M981"/>
    <mergeCell ref="N981:P981"/>
    <mergeCell ref="Q981:V981"/>
    <mergeCell ref="W981:AB981"/>
    <mergeCell ref="AC981:AE981"/>
    <mergeCell ref="B978:M978"/>
    <mergeCell ref="N978:P978"/>
    <mergeCell ref="Q978:V978"/>
    <mergeCell ref="W978:AB978"/>
    <mergeCell ref="AC978:AE978"/>
    <mergeCell ref="B979:M979"/>
    <mergeCell ref="N979:P979"/>
    <mergeCell ref="Q979:V979"/>
    <mergeCell ref="W979:AB979"/>
    <mergeCell ref="AC979:AE979"/>
    <mergeCell ref="B976:M976"/>
    <mergeCell ref="N976:P976"/>
    <mergeCell ref="Q976:V976"/>
    <mergeCell ref="W976:AB976"/>
    <mergeCell ref="AC976:AE976"/>
    <mergeCell ref="B977:M977"/>
    <mergeCell ref="N977:P977"/>
    <mergeCell ref="Q977:V977"/>
    <mergeCell ref="W977:AB977"/>
    <mergeCell ref="AC977:AE977"/>
    <mergeCell ref="B974:M974"/>
    <mergeCell ref="N974:P974"/>
    <mergeCell ref="Q974:V974"/>
    <mergeCell ref="W974:AB974"/>
    <mergeCell ref="AC974:AE974"/>
    <mergeCell ref="B975:M975"/>
    <mergeCell ref="N975:P975"/>
    <mergeCell ref="Q975:V975"/>
    <mergeCell ref="W975:AB975"/>
    <mergeCell ref="AC975:AE975"/>
    <mergeCell ref="B972:M972"/>
    <mergeCell ref="N972:P972"/>
    <mergeCell ref="Q972:V972"/>
    <mergeCell ref="W972:AB972"/>
    <mergeCell ref="AC972:AE972"/>
    <mergeCell ref="B973:M973"/>
    <mergeCell ref="N973:P973"/>
    <mergeCell ref="Q973:V973"/>
    <mergeCell ref="W973:AB973"/>
    <mergeCell ref="AC973:AE973"/>
    <mergeCell ref="B970:M970"/>
    <mergeCell ref="N970:P970"/>
    <mergeCell ref="Q970:V970"/>
    <mergeCell ref="W970:AB970"/>
    <mergeCell ref="AC970:AE970"/>
    <mergeCell ref="B971:M971"/>
    <mergeCell ref="N971:P971"/>
    <mergeCell ref="Q971:V971"/>
    <mergeCell ref="W971:AB971"/>
    <mergeCell ref="AC971:AE971"/>
    <mergeCell ref="B968:M968"/>
    <mergeCell ref="N968:P968"/>
    <mergeCell ref="Q968:V968"/>
    <mergeCell ref="W968:AB968"/>
    <mergeCell ref="AC968:AE968"/>
    <mergeCell ref="B969:M969"/>
    <mergeCell ref="N969:P969"/>
    <mergeCell ref="Q969:V969"/>
    <mergeCell ref="W969:AB969"/>
    <mergeCell ref="AC969:AE969"/>
    <mergeCell ref="B966:M966"/>
    <mergeCell ref="N966:P966"/>
    <mergeCell ref="Q966:V966"/>
    <mergeCell ref="W966:AB966"/>
    <mergeCell ref="AC966:AE966"/>
    <mergeCell ref="B967:M967"/>
    <mergeCell ref="N967:P967"/>
    <mergeCell ref="Q967:V967"/>
    <mergeCell ref="W967:AB967"/>
    <mergeCell ref="AC967:AE967"/>
    <mergeCell ref="B964:M964"/>
    <mergeCell ref="N964:P964"/>
    <mergeCell ref="Q964:V964"/>
    <mergeCell ref="W964:AB964"/>
    <mergeCell ref="AC964:AE964"/>
    <mergeCell ref="B965:M965"/>
    <mergeCell ref="N965:P965"/>
    <mergeCell ref="Q965:V965"/>
    <mergeCell ref="W965:AB965"/>
    <mergeCell ref="AC965:AE965"/>
    <mergeCell ref="B962:M962"/>
    <mergeCell ref="N962:P962"/>
    <mergeCell ref="Q962:V962"/>
    <mergeCell ref="W962:AB962"/>
    <mergeCell ref="AC962:AE962"/>
    <mergeCell ref="B963:M963"/>
    <mergeCell ref="N963:P963"/>
    <mergeCell ref="Q963:V963"/>
    <mergeCell ref="W963:AB963"/>
    <mergeCell ref="AC963:AE963"/>
    <mergeCell ref="B960:M960"/>
    <mergeCell ref="N960:P960"/>
    <mergeCell ref="Q960:V960"/>
    <mergeCell ref="W960:AB960"/>
    <mergeCell ref="AC960:AE960"/>
    <mergeCell ref="B961:M961"/>
    <mergeCell ref="N961:P961"/>
    <mergeCell ref="Q961:V961"/>
    <mergeCell ref="W961:AB961"/>
    <mergeCell ref="AC961:AE961"/>
    <mergeCell ref="B958:M958"/>
    <mergeCell ref="N958:P958"/>
    <mergeCell ref="Q958:V958"/>
    <mergeCell ref="W958:AB958"/>
    <mergeCell ref="AC958:AE958"/>
    <mergeCell ref="B959:M959"/>
    <mergeCell ref="N959:P959"/>
    <mergeCell ref="Q959:V959"/>
    <mergeCell ref="W959:AB959"/>
    <mergeCell ref="AC959:AE959"/>
    <mergeCell ref="B956:M956"/>
    <mergeCell ref="N956:P956"/>
    <mergeCell ref="Q956:V956"/>
    <mergeCell ref="W956:AB956"/>
    <mergeCell ref="AC956:AE956"/>
    <mergeCell ref="B957:M957"/>
    <mergeCell ref="N957:P957"/>
    <mergeCell ref="Q957:V957"/>
    <mergeCell ref="W957:AB957"/>
    <mergeCell ref="AC957:AE957"/>
    <mergeCell ref="B954:M954"/>
    <mergeCell ref="N954:P954"/>
    <mergeCell ref="Q954:V954"/>
    <mergeCell ref="W954:AB954"/>
    <mergeCell ref="AC954:AE954"/>
    <mergeCell ref="B955:M955"/>
    <mergeCell ref="N955:P955"/>
    <mergeCell ref="Q955:V955"/>
    <mergeCell ref="W955:AB955"/>
    <mergeCell ref="AC955:AE955"/>
    <mergeCell ref="B952:M952"/>
    <mergeCell ref="N952:P952"/>
    <mergeCell ref="Q952:V952"/>
    <mergeCell ref="W952:AB952"/>
    <mergeCell ref="AC952:AE952"/>
    <mergeCell ref="B953:M953"/>
    <mergeCell ref="N953:P953"/>
    <mergeCell ref="Q953:V953"/>
    <mergeCell ref="W953:AB953"/>
    <mergeCell ref="AC953:AE953"/>
    <mergeCell ref="B950:M950"/>
    <mergeCell ref="N950:P950"/>
    <mergeCell ref="Q950:V950"/>
    <mergeCell ref="W950:AB950"/>
    <mergeCell ref="AC950:AE950"/>
    <mergeCell ref="B951:M951"/>
    <mergeCell ref="N951:P951"/>
    <mergeCell ref="Q951:V951"/>
    <mergeCell ref="W951:AB951"/>
    <mergeCell ref="AC951:AE951"/>
    <mergeCell ref="B948:M948"/>
    <mergeCell ref="N948:P948"/>
    <mergeCell ref="Q948:V948"/>
    <mergeCell ref="W948:AB948"/>
    <mergeCell ref="AC948:AE948"/>
    <mergeCell ref="B949:M949"/>
    <mergeCell ref="N949:P949"/>
    <mergeCell ref="Q949:V949"/>
    <mergeCell ref="W949:AB949"/>
    <mergeCell ref="AC949:AE949"/>
    <mergeCell ref="B946:M946"/>
    <mergeCell ref="N946:P946"/>
    <mergeCell ref="Q946:V946"/>
    <mergeCell ref="W946:AB946"/>
    <mergeCell ref="AC946:AE946"/>
    <mergeCell ref="B947:M947"/>
    <mergeCell ref="N947:P947"/>
    <mergeCell ref="Q947:V947"/>
    <mergeCell ref="W947:AB947"/>
    <mergeCell ref="AC947:AE947"/>
    <mergeCell ref="B944:M944"/>
    <mergeCell ref="N944:P944"/>
    <mergeCell ref="Q944:V944"/>
    <mergeCell ref="W944:AB944"/>
    <mergeCell ref="AC944:AE944"/>
    <mergeCell ref="B945:M945"/>
    <mergeCell ref="N945:P945"/>
    <mergeCell ref="Q945:V945"/>
    <mergeCell ref="W945:AB945"/>
    <mergeCell ref="AC945:AE945"/>
    <mergeCell ref="B942:M942"/>
    <mergeCell ref="N942:P942"/>
    <mergeCell ref="Q942:V942"/>
    <mergeCell ref="W942:AB942"/>
    <mergeCell ref="AC942:AE942"/>
    <mergeCell ref="B943:M943"/>
    <mergeCell ref="N943:P943"/>
    <mergeCell ref="Q943:V943"/>
    <mergeCell ref="W943:AB943"/>
    <mergeCell ref="AC943:AE943"/>
    <mergeCell ref="B940:M940"/>
    <mergeCell ref="N940:P940"/>
    <mergeCell ref="Q940:V940"/>
    <mergeCell ref="W940:AB940"/>
    <mergeCell ref="AC940:AE940"/>
    <mergeCell ref="B941:M941"/>
    <mergeCell ref="N941:P941"/>
    <mergeCell ref="Q941:V941"/>
    <mergeCell ref="W941:AB941"/>
    <mergeCell ref="AC941:AE941"/>
    <mergeCell ref="B938:M938"/>
    <mergeCell ref="N938:P938"/>
    <mergeCell ref="Q938:V938"/>
    <mergeCell ref="W938:AB938"/>
    <mergeCell ref="AC938:AE938"/>
    <mergeCell ref="B939:M939"/>
    <mergeCell ref="N939:P939"/>
    <mergeCell ref="Q939:V939"/>
    <mergeCell ref="W939:AB939"/>
    <mergeCell ref="AC939:AE939"/>
    <mergeCell ref="B936:M936"/>
    <mergeCell ref="N936:P936"/>
    <mergeCell ref="Q936:V936"/>
    <mergeCell ref="W936:AB936"/>
    <mergeCell ref="AC936:AE936"/>
    <mergeCell ref="B937:M937"/>
    <mergeCell ref="N937:P937"/>
    <mergeCell ref="Q937:V937"/>
    <mergeCell ref="W937:AB937"/>
    <mergeCell ref="AC937:AE937"/>
    <mergeCell ref="B934:M934"/>
    <mergeCell ref="N934:P934"/>
    <mergeCell ref="Q934:V934"/>
    <mergeCell ref="W934:AB934"/>
    <mergeCell ref="AC934:AE934"/>
    <mergeCell ref="B935:M935"/>
    <mergeCell ref="N935:P935"/>
    <mergeCell ref="Q935:V935"/>
    <mergeCell ref="W935:AB935"/>
    <mergeCell ref="AC935:AE935"/>
    <mergeCell ref="B932:M932"/>
    <mergeCell ref="N932:P932"/>
    <mergeCell ref="Q932:V932"/>
    <mergeCell ref="W932:AB932"/>
    <mergeCell ref="AC932:AE932"/>
    <mergeCell ref="B933:M933"/>
    <mergeCell ref="N933:P933"/>
    <mergeCell ref="Q933:V933"/>
    <mergeCell ref="W933:AB933"/>
    <mergeCell ref="AC933:AE933"/>
    <mergeCell ref="B930:M930"/>
    <mergeCell ref="N930:P930"/>
    <mergeCell ref="Q930:V930"/>
    <mergeCell ref="W930:AB930"/>
    <mergeCell ref="AC930:AE930"/>
    <mergeCell ref="B931:M931"/>
    <mergeCell ref="N931:P931"/>
    <mergeCell ref="Q931:V931"/>
    <mergeCell ref="W931:AB931"/>
    <mergeCell ref="AC931:AE931"/>
    <mergeCell ref="B928:M928"/>
    <mergeCell ref="N928:P928"/>
    <mergeCell ref="Q928:V928"/>
    <mergeCell ref="W928:AB928"/>
    <mergeCell ref="AC928:AE928"/>
    <mergeCell ref="B929:M929"/>
    <mergeCell ref="N929:P929"/>
    <mergeCell ref="Q929:V929"/>
    <mergeCell ref="W929:AB929"/>
    <mergeCell ref="AC929:AE929"/>
    <mergeCell ref="B926:M926"/>
    <mergeCell ref="N926:P926"/>
    <mergeCell ref="Q926:V926"/>
    <mergeCell ref="W926:AB926"/>
    <mergeCell ref="AC926:AE926"/>
    <mergeCell ref="B927:M927"/>
    <mergeCell ref="N927:P927"/>
    <mergeCell ref="Q927:V927"/>
    <mergeCell ref="W927:AB927"/>
    <mergeCell ref="AC927:AE927"/>
    <mergeCell ref="B924:M924"/>
    <mergeCell ref="N924:P924"/>
    <mergeCell ref="Q924:V924"/>
    <mergeCell ref="W924:AB924"/>
    <mergeCell ref="AC924:AE924"/>
    <mergeCell ref="B925:M925"/>
    <mergeCell ref="N925:P925"/>
    <mergeCell ref="Q925:V925"/>
    <mergeCell ref="W925:AB925"/>
    <mergeCell ref="AC925:AE925"/>
    <mergeCell ref="B922:M922"/>
    <mergeCell ref="N922:P922"/>
    <mergeCell ref="Q922:V922"/>
    <mergeCell ref="W922:AB922"/>
    <mergeCell ref="AC922:AE922"/>
    <mergeCell ref="B923:M923"/>
    <mergeCell ref="N923:P923"/>
    <mergeCell ref="Q923:V923"/>
    <mergeCell ref="W923:AB923"/>
    <mergeCell ref="AC923:AE923"/>
    <mergeCell ref="B920:M920"/>
    <mergeCell ref="N920:P920"/>
    <mergeCell ref="Q920:V920"/>
    <mergeCell ref="W920:AB920"/>
    <mergeCell ref="AC920:AE920"/>
    <mergeCell ref="B921:M921"/>
    <mergeCell ref="N921:P921"/>
    <mergeCell ref="Q921:V921"/>
    <mergeCell ref="W921:AB921"/>
    <mergeCell ref="AC921:AE921"/>
    <mergeCell ref="B918:M918"/>
    <mergeCell ref="N918:P918"/>
    <mergeCell ref="Q918:V918"/>
    <mergeCell ref="W918:AB918"/>
    <mergeCell ref="AC918:AE918"/>
    <mergeCell ref="B919:M919"/>
    <mergeCell ref="N919:P919"/>
    <mergeCell ref="Q919:V919"/>
    <mergeCell ref="W919:AB919"/>
    <mergeCell ref="AC919:AE919"/>
    <mergeCell ref="B916:M916"/>
    <mergeCell ref="N916:P916"/>
    <mergeCell ref="Q916:V916"/>
    <mergeCell ref="W916:AB916"/>
    <mergeCell ref="AC916:AE916"/>
    <mergeCell ref="B917:M917"/>
    <mergeCell ref="N917:P917"/>
    <mergeCell ref="Q917:V917"/>
    <mergeCell ref="W917:AB917"/>
    <mergeCell ref="AC917:AE917"/>
    <mergeCell ref="B914:M914"/>
    <mergeCell ref="N914:P914"/>
    <mergeCell ref="Q914:V914"/>
    <mergeCell ref="W914:AB914"/>
    <mergeCell ref="AC914:AE914"/>
    <mergeCell ref="B915:M915"/>
    <mergeCell ref="N915:P915"/>
    <mergeCell ref="Q915:V915"/>
    <mergeCell ref="W915:AB915"/>
    <mergeCell ref="AC915:AE915"/>
    <mergeCell ref="B912:M912"/>
    <mergeCell ref="N912:P912"/>
    <mergeCell ref="Q912:V912"/>
    <mergeCell ref="W912:AB912"/>
    <mergeCell ref="AC912:AE912"/>
    <mergeCell ref="B913:M913"/>
    <mergeCell ref="N913:P913"/>
    <mergeCell ref="Q913:V913"/>
    <mergeCell ref="W913:AB913"/>
    <mergeCell ref="AC913:AE913"/>
    <mergeCell ref="B908:M908"/>
    <mergeCell ref="N908:P908"/>
    <mergeCell ref="Q908:V908"/>
    <mergeCell ref="W908:AB908"/>
    <mergeCell ref="AC908:AE908"/>
    <mergeCell ref="B911:M911"/>
    <mergeCell ref="N911:P911"/>
    <mergeCell ref="Q911:V911"/>
    <mergeCell ref="W911:AB911"/>
    <mergeCell ref="AC911:AE911"/>
    <mergeCell ref="B906:M906"/>
    <mergeCell ref="N906:P906"/>
    <mergeCell ref="Q906:V906"/>
    <mergeCell ref="W906:AB906"/>
    <mergeCell ref="AC906:AE906"/>
    <mergeCell ref="B907:M907"/>
    <mergeCell ref="N907:P907"/>
    <mergeCell ref="Q907:V907"/>
    <mergeCell ref="W907:AB907"/>
    <mergeCell ref="AC907:AE907"/>
    <mergeCell ref="B904:M904"/>
    <mergeCell ref="N904:P904"/>
    <mergeCell ref="Q904:V904"/>
    <mergeCell ref="W904:AB904"/>
    <mergeCell ref="AC904:AE904"/>
    <mergeCell ref="B905:M905"/>
    <mergeCell ref="N905:P905"/>
    <mergeCell ref="Q905:V905"/>
    <mergeCell ref="W905:AB905"/>
    <mergeCell ref="AC905:AE905"/>
    <mergeCell ref="B902:M902"/>
    <mergeCell ref="N902:P902"/>
    <mergeCell ref="Q902:V902"/>
    <mergeCell ref="W902:AB902"/>
    <mergeCell ref="AC902:AE902"/>
    <mergeCell ref="B903:M903"/>
    <mergeCell ref="N903:P903"/>
    <mergeCell ref="Q903:V903"/>
    <mergeCell ref="W903:AB903"/>
    <mergeCell ref="AC903:AE903"/>
    <mergeCell ref="B900:M900"/>
    <mergeCell ref="N900:P900"/>
    <mergeCell ref="Q900:V900"/>
    <mergeCell ref="W900:AB900"/>
    <mergeCell ref="AC900:AE900"/>
    <mergeCell ref="B901:M901"/>
    <mergeCell ref="N901:P901"/>
    <mergeCell ref="Q901:V901"/>
    <mergeCell ref="W901:AB901"/>
    <mergeCell ref="AC901:AE901"/>
    <mergeCell ref="B898:M898"/>
    <mergeCell ref="N898:P898"/>
    <mergeCell ref="Q898:V898"/>
    <mergeCell ref="W898:AB898"/>
    <mergeCell ref="AC898:AE898"/>
    <mergeCell ref="B899:M899"/>
    <mergeCell ref="N899:P899"/>
    <mergeCell ref="Q899:V899"/>
    <mergeCell ref="W899:AB899"/>
    <mergeCell ref="AC899:AE899"/>
    <mergeCell ref="B896:M896"/>
    <mergeCell ref="N896:P896"/>
    <mergeCell ref="Q896:V896"/>
    <mergeCell ref="W896:AB896"/>
    <mergeCell ref="AC896:AE896"/>
    <mergeCell ref="B897:M897"/>
    <mergeCell ref="N897:P897"/>
    <mergeCell ref="Q897:V897"/>
    <mergeCell ref="W897:AB897"/>
    <mergeCell ref="AC897:AE897"/>
    <mergeCell ref="B894:M894"/>
    <mergeCell ref="N894:P894"/>
    <mergeCell ref="Q894:V894"/>
    <mergeCell ref="W894:AB894"/>
    <mergeCell ref="AC894:AE894"/>
    <mergeCell ref="B895:M895"/>
    <mergeCell ref="N895:P895"/>
    <mergeCell ref="Q895:V895"/>
    <mergeCell ref="W895:AB895"/>
    <mergeCell ref="AC895:AE895"/>
    <mergeCell ref="B892:M892"/>
    <mergeCell ref="N892:P892"/>
    <mergeCell ref="Q892:V892"/>
    <mergeCell ref="W892:AB892"/>
    <mergeCell ref="AC892:AE892"/>
    <mergeCell ref="B893:M893"/>
    <mergeCell ref="N893:P893"/>
    <mergeCell ref="Q893:V893"/>
    <mergeCell ref="W893:AB893"/>
    <mergeCell ref="AC893:AE893"/>
    <mergeCell ref="B890:M890"/>
    <mergeCell ref="N890:P890"/>
    <mergeCell ref="Q890:V890"/>
    <mergeCell ref="W890:AB890"/>
    <mergeCell ref="AC890:AE890"/>
    <mergeCell ref="B891:M891"/>
    <mergeCell ref="N891:P891"/>
    <mergeCell ref="Q891:V891"/>
    <mergeCell ref="W891:AB891"/>
    <mergeCell ref="AC891:AE891"/>
    <mergeCell ref="B888:M888"/>
    <mergeCell ref="N888:P888"/>
    <mergeCell ref="Q888:V888"/>
    <mergeCell ref="W888:AB888"/>
    <mergeCell ref="AC888:AE888"/>
    <mergeCell ref="B889:M889"/>
    <mergeCell ref="N889:P889"/>
    <mergeCell ref="Q889:V889"/>
    <mergeCell ref="W889:AB889"/>
    <mergeCell ref="AC889:AE889"/>
    <mergeCell ref="B886:M886"/>
    <mergeCell ref="N886:P886"/>
    <mergeCell ref="Q886:V886"/>
    <mergeCell ref="W886:AB886"/>
    <mergeCell ref="AC886:AE886"/>
    <mergeCell ref="B887:M887"/>
    <mergeCell ref="N887:P887"/>
    <mergeCell ref="Q887:V887"/>
    <mergeCell ref="W887:AB887"/>
    <mergeCell ref="AC887:AE887"/>
    <mergeCell ref="B884:M884"/>
    <mergeCell ref="N884:P884"/>
    <mergeCell ref="Q884:V884"/>
    <mergeCell ref="W884:AB884"/>
    <mergeCell ref="AC884:AE884"/>
    <mergeCell ref="B885:M885"/>
    <mergeCell ref="N885:P885"/>
    <mergeCell ref="Q885:V885"/>
    <mergeCell ref="W885:AB885"/>
    <mergeCell ref="AC885:AE885"/>
    <mergeCell ref="B882:M882"/>
    <mergeCell ref="N882:P882"/>
    <mergeCell ref="Q882:V882"/>
    <mergeCell ref="W882:AB882"/>
    <mergeCell ref="AC882:AE882"/>
    <mergeCell ref="B883:M883"/>
    <mergeCell ref="N883:P883"/>
    <mergeCell ref="Q883:V883"/>
    <mergeCell ref="W883:AB883"/>
    <mergeCell ref="AC883:AE883"/>
    <mergeCell ref="Q874:V874"/>
    <mergeCell ref="W874:AB874"/>
    <mergeCell ref="AC874:AE874"/>
    <mergeCell ref="B875:M875"/>
    <mergeCell ref="N875:P875"/>
    <mergeCell ref="Q875:V875"/>
    <mergeCell ref="W875:AB875"/>
    <mergeCell ref="AC875:AE875"/>
    <mergeCell ref="B880:M880"/>
    <mergeCell ref="N880:P880"/>
    <mergeCell ref="Q880:V880"/>
    <mergeCell ref="W880:AB880"/>
    <mergeCell ref="AC880:AE880"/>
    <mergeCell ref="B881:M881"/>
    <mergeCell ref="N881:P881"/>
    <mergeCell ref="Q881:V881"/>
    <mergeCell ref="W881:AB881"/>
    <mergeCell ref="AC881:AE881"/>
    <mergeCell ref="B878:M878"/>
    <mergeCell ref="N878:P878"/>
    <mergeCell ref="Q878:V878"/>
    <mergeCell ref="W878:AB878"/>
    <mergeCell ref="AC878:AE878"/>
    <mergeCell ref="B879:M879"/>
    <mergeCell ref="N879:P879"/>
    <mergeCell ref="Q879:V879"/>
    <mergeCell ref="W879:AB879"/>
    <mergeCell ref="AC879:AE879"/>
    <mergeCell ref="B868:M868"/>
    <mergeCell ref="N868:P868"/>
    <mergeCell ref="Q868:V868"/>
    <mergeCell ref="W868:AB868"/>
    <mergeCell ref="AC868:AE868"/>
    <mergeCell ref="B873:M873"/>
    <mergeCell ref="N873:P873"/>
    <mergeCell ref="Q873:V873"/>
    <mergeCell ref="W873:AB873"/>
    <mergeCell ref="AC873:AE873"/>
    <mergeCell ref="B866:M866"/>
    <mergeCell ref="N866:P866"/>
    <mergeCell ref="Q866:V866"/>
    <mergeCell ref="W866:AB866"/>
    <mergeCell ref="AC866:AE866"/>
    <mergeCell ref="B867:M867"/>
    <mergeCell ref="N867:P867"/>
    <mergeCell ref="Q867:V867"/>
    <mergeCell ref="W867:AB867"/>
    <mergeCell ref="AC867:AE867"/>
    <mergeCell ref="B870:M870"/>
    <mergeCell ref="N870:P870"/>
    <mergeCell ref="Q870:V870"/>
    <mergeCell ref="W870:AB870"/>
    <mergeCell ref="AC870:AE870"/>
    <mergeCell ref="B871:M871"/>
    <mergeCell ref="N871:P871"/>
    <mergeCell ref="Q871:V871"/>
    <mergeCell ref="W871:AB871"/>
    <mergeCell ref="AC871:AE871"/>
    <mergeCell ref="B872:M872"/>
    <mergeCell ref="N872:P872"/>
    <mergeCell ref="B864:M864"/>
    <mergeCell ref="N864:P864"/>
    <mergeCell ref="Q864:V864"/>
    <mergeCell ref="W864:AB864"/>
    <mergeCell ref="AC864:AE864"/>
    <mergeCell ref="B865:M865"/>
    <mergeCell ref="N865:P865"/>
    <mergeCell ref="Q865:V865"/>
    <mergeCell ref="W865:AB865"/>
    <mergeCell ref="AC865:AE865"/>
    <mergeCell ref="B862:M862"/>
    <mergeCell ref="N862:P862"/>
    <mergeCell ref="Q862:V862"/>
    <mergeCell ref="W862:AB862"/>
    <mergeCell ref="AC862:AE862"/>
    <mergeCell ref="B863:M863"/>
    <mergeCell ref="N863:P863"/>
    <mergeCell ref="Q863:V863"/>
    <mergeCell ref="W863:AB863"/>
    <mergeCell ref="AC863:AE863"/>
    <mergeCell ref="B860:M860"/>
    <mergeCell ref="N860:P860"/>
    <mergeCell ref="Q860:V860"/>
    <mergeCell ref="W860:AB860"/>
    <mergeCell ref="AC860:AE860"/>
    <mergeCell ref="B861:M861"/>
    <mergeCell ref="N861:P861"/>
    <mergeCell ref="Q861:V861"/>
    <mergeCell ref="W861:AB861"/>
    <mergeCell ref="AC861:AE861"/>
    <mergeCell ref="B858:M858"/>
    <mergeCell ref="N858:P858"/>
    <mergeCell ref="Q858:V858"/>
    <mergeCell ref="W858:AB858"/>
    <mergeCell ref="AC858:AE858"/>
    <mergeCell ref="B859:M859"/>
    <mergeCell ref="N859:P859"/>
    <mergeCell ref="Q859:V859"/>
    <mergeCell ref="W859:AB859"/>
    <mergeCell ref="AC859:AE859"/>
    <mergeCell ref="B856:M856"/>
    <mergeCell ref="N856:P856"/>
    <mergeCell ref="Q856:V856"/>
    <mergeCell ref="W856:AB856"/>
    <mergeCell ref="AC856:AE856"/>
    <mergeCell ref="B857:M857"/>
    <mergeCell ref="N857:P857"/>
    <mergeCell ref="Q857:V857"/>
    <mergeCell ref="W857:AB857"/>
    <mergeCell ref="AC857:AE857"/>
    <mergeCell ref="B854:M854"/>
    <mergeCell ref="N854:P854"/>
    <mergeCell ref="Q854:V854"/>
    <mergeCell ref="W854:AB854"/>
    <mergeCell ref="AC854:AE854"/>
    <mergeCell ref="B855:M855"/>
    <mergeCell ref="N855:P855"/>
    <mergeCell ref="Q855:V855"/>
    <mergeCell ref="W855:AB855"/>
    <mergeCell ref="AC855:AE855"/>
    <mergeCell ref="B852:M852"/>
    <mergeCell ref="N852:P852"/>
    <mergeCell ref="Q852:V852"/>
    <mergeCell ref="W852:AB852"/>
    <mergeCell ref="AC852:AE852"/>
    <mergeCell ref="B853:M853"/>
    <mergeCell ref="N853:P853"/>
    <mergeCell ref="Q853:V853"/>
    <mergeCell ref="W853:AB853"/>
    <mergeCell ref="AC853:AE853"/>
    <mergeCell ref="B850:M850"/>
    <mergeCell ref="N850:P850"/>
    <mergeCell ref="Q850:V850"/>
    <mergeCell ref="W850:AB850"/>
    <mergeCell ref="AC850:AE850"/>
    <mergeCell ref="B851:M851"/>
    <mergeCell ref="N851:P851"/>
    <mergeCell ref="Q851:V851"/>
    <mergeCell ref="W851:AB851"/>
    <mergeCell ref="AC851:AE851"/>
    <mergeCell ref="B848:M848"/>
    <mergeCell ref="N848:P848"/>
    <mergeCell ref="Q848:V848"/>
    <mergeCell ref="W848:AB848"/>
    <mergeCell ref="AC848:AE848"/>
    <mergeCell ref="B849:M849"/>
    <mergeCell ref="N849:P849"/>
    <mergeCell ref="Q849:V849"/>
    <mergeCell ref="W849:AB849"/>
    <mergeCell ref="AC849:AE849"/>
    <mergeCell ref="B846:M846"/>
    <mergeCell ref="N846:P846"/>
    <mergeCell ref="Q846:V846"/>
    <mergeCell ref="W846:AB846"/>
    <mergeCell ref="AC846:AE846"/>
    <mergeCell ref="B847:M847"/>
    <mergeCell ref="N847:P847"/>
    <mergeCell ref="Q847:V847"/>
    <mergeCell ref="W847:AB847"/>
    <mergeCell ref="AC847:AE847"/>
    <mergeCell ref="B844:M844"/>
    <mergeCell ref="N844:P844"/>
    <mergeCell ref="Q844:V844"/>
    <mergeCell ref="W844:AB844"/>
    <mergeCell ref="AC844:AE844"/>
    <mergeCell ref="B845:M845"/>
    <mergeCell ref="N845:P845"/>
    <mergeCell ref="Q845:V845"/>
    <mergeCell ref="W845:AB845"/>
    <mergeCell ref="AC845:AE845"/>
    <mergeCell ref="B842:M842"/>
    <mergeCell ref="N842:P842"/>
    <mergeCell ref="Q842:V842"/>
    <mergeCell ref="W842:AB842"/>
    <mergeCell ref="AC842:AE842"/>
    <mergeCell ref="B843:M843"/>
    <mergeCell ref="N843:P843"/>
    <mergeCell ref="Q843:V843"/>
    <mergeCell ref="W843:AB843"/>
    <mergeCell ref="AC843:AE843"/>
    <mergeCell ref="B840:M840"/>
    <mergeCell ref="N840:P840"/>
    <mergeCell ref="Q840:V840"/>
    <mergeCell ref="W840:AB840"/>
    <mergeCell ref="AC840:AE840"/>
    <mergeCell ref="B841:M841"/>
    <mergeCell ref="N841:P841"/>
    <mergeCell ref="Q841:V841"/>
    <mergeCell ref="W841:AB841"/>
    <mergeCell ref="AC841:AE841"/>
    <mergeCell ref="B838:M838"/>
    <mergeCell ref="N838:P838"/>
    <mergeCell ref="Q838:V838"/>
    <mergeCell ref="W838:AB838"/>
    <mergeCell ref="AC838:AE838"/>
    <mergeCell ref="B839:M839"/>
    <mergeCell ref="N839:P839"/>
    <mergeCell ref="Q839:V839"/>
    <mergeCell ref="W839:AB839"/>
    <mergeCell ref="AC839:AE839"/>
    <mergeCell ref="B836:M836"/>
    <mergeCell ref="N836:P836"/>
    <mergeCell ref="Q836:V836"/>
    <mergeCell ref="W836:AB836"/>
    <mergeCell ref="AC836:AE836"/>
    <mergeCell ref="B837:M837"/>
    <mergeCell ref="N837:P837"/>
    <mergeCell ref="Q837:V837"/>
    <mergeCell ref="W837:AB837"/>
    <mergeCell ref="AC837:AE837"/>
    <mergeCell ref="B834:M834"/>
    <mergeCell ref="N834:P834"/>
    <mergeCell ref="Q834:V834"/>
    <mergeCell ref="W834:AB834"/>
    <mergeCell ref="AC834:AE834"/>
    <mergeCell ref="B835:M835"/>
    <mergeCell ref="N835:P835"/>
    <mergeCell ref="Q835:V835"/>
    <mergeCell ref="W835:AB835"/>
    <mergeCell ref="AC835:AE835"/>
    <mergeCell ref="B832:M832"/>
    <mergeCell ref="N832:P832"/>
    <mergeCell ref="Q832:V832"/>
    <mergeCell ref="W832:AB832"/>
    <mergeCell ref="AC832:AE832"/>
    <mergeCell ref="B833:M833"/>
    <mergeCell ref="N833:P833"/>
    <mergeCell ref="Q833:V833"/>
    <mergeCell ref="W833:AB833"/>
    <mergeCell ref="AC833:AE833"/>
    <mergeCell ref="B830:M830"/>
    <mergeCell ref="N830:P830"/>
    <mergeCell ref="Q830:V830"/>
    <mergeCell ref="W830:AB830"/>
    <mergeCell ref="AC830:AE830"/>
    <mergeCell ref="B831:M831"/>
    <mergeCell ref="N831:P831"/>
    <mergeCell ref="Q831:V831"/>
    <mergeCell ref="W831:AB831"/>
    <mergeCell ref="AC831:AE831"/>
    <mergeCell ref="B828:M828"/>
    <mergeCell ref="N828:P828"/>
    <mergeCell ref="Q828:V828"/>
    <mergeCell ref="W828:AB828"/>
    <mergeCell ref="AC828:AE828"/>
    <mergeCell ref="B829:M829"/>
    <mergeCell ref="N829:P829"/>
    <mergeCell ref="Q829:V829"/>
    <mergeCell ref="W829:AB829"/>
    <mergeCell ref="AC829:AE829"/>
    <mergeCell ref="B826:M826"/>
    <mergeCell ref="N826:P826"/>
    <mergeCell ref="Q826:V826"/>
    <mergeCell ref="W826:AB826"/>
    <mergeCell ref="AC826:AE826"/>
    <mergeCell ref="B827:M827"/>
    <mergeCell ref="N827:P827"/>
    <mergeCell ref="Q827:V827"/>
    <mergeCell ref="W827:AB827"/>
    <mergeCell ref="AC827:AE827"/>
    <mergeCell ref="B824:M824"/>
    <mergeCell ref="N824:P824"/>
    <mergeCell ref="Q824:V824"/>
    <mergeCell ref="W824:AB824"/>
    <mergeCell ref="AC824:AE824"/>
    <mergeCell ref="B825:M825"/>
    <mergeCell ref="N825:P825"/>
    <mergeCell ref="Q825:V825"/>
    <mergeCell ref="W825:AB825"/>
    <mergeCell ref="AC825:AE825"/>
    <mergeCell ref="B822:M822"/>
    <mergeCell ref="N822:P822"/>
    <mergeCell ref="Q822:V822"/>
    <mergeCell ref="W822:AB822"/>
    <mergeCell ref="AC822:AE822"/>
    <mergeCell ref="B823:M823"/>
    <mergeCell ref="N823:P823"/>
    <mergeCell ref="Q823:V823"/>
    <mergeCell ref="W823:AB823"/>
    <mergeCell ref="AC823:AE823"/>
    <mergeCell ref="B820:M820"/>
    <mergeCell ref="N820:P820"/>
    <mergeCell ref="Q820:V820"/>
    <mergeCell ref="W820:AB820"/>
    <mergeCell ref="AC820:AE820"/>
    <mergeCell ref="B821:M821"/>
    <mergeCell ref="N821:P821"/>
    <mergeCell ref="Q821:V821"/>
    <mergeCell ref="W821:AB821"/>
    <mergeCell ref="AC821:AE821"/>
    <mergeCell ref="B818:M818"/>
    <mergeCell ref="N818:P818"/>
    <mergeCell ref="Q818:V818"/>
    <mergeCell ref="W818:AB818"/>
    <mergeCell ref="AC818:AE818"/>
    <mergeCell ref="B819:M819"/>
    <mergeCell ref="N819:P819"/>
    <mergeCell ref="Q819:V819"/>
    <mergeCell ref="W819:AB819"/>
    <mergeCell ref="AC819:AE819"/>
    <mergeCell ref="B816:M816"/>
    <mergeCell ref="N816:P816"/>
    <mergeCell ref="Q816:V816"/>
    <mergeCell ref="W816:AB816"/>
    <mergeCell ref="AC816:AE816"/>
    <mergeCell ref="B817:M817"/>
    <mergeCell ref="N817:P817"/>
    <mergeCell ref="Q817:V817"/>
    <mergeCell ref="W817:AB817"/>
    <mergeCell ref="AC817:AE817"/>
    <mergeCell ref="B814:M814"/>
    <mergeCell ref="N814:P814"/>
    <mergeCell ref="Q814:V814"/>
    <mergeCell ref="W814:AB814"/>
    <mergeCell ref="AC814:AE814"/>
    <mergeCell ref="B815:M815"/>
    <mergeCell ref="N815:P815"/>
    <mergeCell ref="Q815:V815"/>
    <mergeCell ref="W815:AB815"/>
    <mergeCell ref="AC815:AE815"/>
    <mergeCell ref="B812:M812"/>
    <mergeCell ref="N812:P812"/>
    <mergeCell ref="Q812:V812"/>
    <mergeCell ref="W812:AB812"/>
    <mergeCell ref="AC812:AE812"/>
    <mergeCell ref="B813:M813"/>
    <mergeCell ref="N813:P813"/>
    <mergeCell ref="Q813:V813"/>
    <mergeCell ref="W813:AB813"/>
    <mergeCell ref="AC813:AE813"/>
    <mergeCell ref="B810:M810"/>
    <mergeCell ref="N810:P810"/>
    <mergeCell ref="Q810:V810"/>
    <mergeCell ref="W810:AB810"/>
    <mergeCell ref="AC810:AE810"/>
    <mergeCell ref="B811:M811"/>
    <mergeCell ref="N811:P811"/>
    <mergeCell ref="Q811:V811"/>
    <mergeCell ref="W811:AB811"/>
    <mergeCell ref="AC811:AE811"/>
    <mergeCell ref="B808:M808"/>
    <mergeCell ref="N808:P808"/>
    <mergeCell ref="Q808:V808"/>
    <mergeCell ref="W808:AB808"/>
    <mergeCell ref="AC808:AE808"/>
    <mergeCell ref="B809:M809"/>
    <mergeCell ref="N809:P809"/>
    <mergeCell ref="Q809:V809"/>
    <mergeCell ref="W809:AB809"/>
    <mergeCell ref="AC809:AE809"/>
    <mergeCell ref="B806:M806"/>
    <mergeCell ref="N806:P806"/>
    <mergeCell ref="Q806:V806"/>
    <mergeCell ref="W806:AB806"/>
    <mergeCell ref="AC806:AE806"/>
    <mergeCell ref="B807:M807"/>
    <mergeCell ref="N807:P807"/>
    <mergeCell ref="Q807:V807"/>
    <mergeCell ref="W807:AB807"/>
    <mergeCell ref="AC807:AE807"/>
    <mergeCell ref="B804:M804"/>
    <mergeCell ref="N804:P804"/>
    <mergeCell ref="Q804:V804"/>
    <mergeCell ref="W804:AB804"/>
    <mergeCell ref="AC804:AE804"/>
    <mergeCell ref="B805:M805"/>
    <mergeCell ref="N805:P805"/>
    <mergeCell ref="Q805:V805"/>
    <mergeCell ref="W805:AB805"/>
    <mergeCell ref="AC805:AE805"/>
    <mergeCell ref="B802:M802"/>
    <mergeCell ref="N802:P802"/>
    <mergeCell ref="Q802:V802"/>
    <mergeCell ref="W802:AB802"/>
    <mergeCell ref="AC802:AE802"/>
    <mergeCell ref="B803:M803"/>
    <mergeCell ref="N803:P803"/>
    <mergeCell ref="Q803:V803"/>
    <mergeCell ref="W803:AB803"/>
    <mergeCell ref="AC803:AE803"/>
    <mergeCell ref="B800:M800"/>
    <mergeCell ref="N800:P800"/>
    <mergeCell ref="Q800:V800"/>
    <mergeCell ref="W800:AB800"/>
    <mergeCell ref="AC800:AE800"/>
    <mergeCell ref="B801:M801"/>
    <mergeCell ref="N801:P801"/>
    <mergeCell ref="Q801:V801"/>
    <mergeCell ref="W801:AB801"/>
    <mergeCell ref="AC801:AE801"/>
    <mergeCell ref="B798:M798"/>
    <mergeCell ref="N798:P798"/>
    <mergeCell ref="Q798:V798"/>
    <mergeCell ref="W798:AB798"/>
    <mergeCell ref="AC798:AE798"/>
    <mergeCell ref="B799:M799"/>
    <mergeCell ref="N799:P799"/>
    <mergeCell ref="Q799:V799"/>
    <mergeCell ref="W799:AB799"/>
    <mergeCell ref="AC799:AE799"/>
    <mergeCell ref="B796:M796"/>
    <mergeCell ref="N796:P796"/>
    <mergeCell ref="Q796:V796"/>
    <mergeCell ref="W796:AB796"/>
    <mergeCell ref="AC796:AE796"/>
    <mergeCell ref="B797:M797"/>
    <mergeCell ref="N797:P797"/>
    <mergeCell ref="Q797:V797"/>
    <mergeCell ref="W797:AB797"/>
    <mergeCell ref="AC797:AE797"/>
    <mergeCell ref="B794:M794"/>
    <mergeCell ref="N794:P794"/>
    <mergeCell ref="Q794:V794"/>
    <mergeCell ref="W794:AB794"/>
    <mergeCell ref="AC794:AE794"/>
    <mergeCell ref="B795:M795"/>
    <mergeCell ref="N795:P795"/>
    <mergeCell ref="Q795:V795"/>
    <mergeCell ref="W795:AB795"/>
    <mergeCell ref="AC795:AE795"/>
    <mergeCell ref="B792:M792"/>
    <mergeCell ref="N792:P792"/>
    <mergeCell ref="Q792:V792"/>
    <mergeCell ref="W792:AB792"/>
    <mergeCell ref="AC792:AE792"/>
    <mergeCell ref="B793:M793"/>
    <mergeCell ref="N793:P793"/>
    <mergeCell ref="Q793:V793"/>
    <mergeCell ref="W793:AB793"/>
    <mergeCell ref="AC793:AE793"/>
    <mergeCell ref="B790:M790"/>
    <mergeCell ref="N790:P790"/>
    <mergeCell ref="Q790:V790"/>
    <mergeCell ref="W790:AB790"/>
    <mergeCell ref="AC790:AE790"/>
    <mergeCell ref="B791:M791"/>
    <mergeCell ref="N791:P791"/>
    <mergeCell ref="Q791:V791"/>
    <mergeCell ref="W791:AB791"/>
    <mergeCell ref="AC791:AE791"/>
    <mergeCell ref="B788:M788"/>
    <mergeCell ref="N788:P788"/>
    <mergeCell ref="Q788:V788"/>
    <mergeCell ref="W788:AB788"/>
    <mergeCell ref="AC788:AE788"/>
    <mergeCell ref="B789:M789"/>
    <mergeCell ref="N789:P789"/>
    <mergeCell ref="Q789:V789"/>
    <mergeCell ref="W789:AB789"/>
    <mergeCell ref="AC789:AE789"/>
    <mergeCell ref="B786:M786"/>
    <mergeCell ref="N786:P786"/>
    <mergeCell ref="Q786:V786"/>
    <mergeCell ref="W786:AB786"/>
    <mergeCell ref="AC786:AE786"/>
    <mergeCell ref="B787:M787"/>
    <mergeCell ref="N787:P787"/>
    <mergeCell ref="Q787:V787"/>
    <mergeCell ref="W787:AB787"/>
    <mergeCell ref="AC787:AE787"/>
    <mergeCell ref="B784:M784"/>
    <mergeCell ref="N784:P784"/>
    <mergeCell ref="Q784:V784"/>
    <mergeCell ref="W784:AB784"/>
    <mergeCell ref="AC784:AE784"/>
    <mergeCell ref="B785:M785"/>
    <mergeCell ref="N785:P785"/>
    <mergeCell ref="Q785:V785"/>
    <mergeCell ref="W785:AB785"/>
    <mergeCell ref="AC785:AE785"/>
    <mergeCell ref="B782:M782"/>
    <mergeCell ref="N782:P782"/>
    <mergeCell ref="Q782:V782"/>
    <mergeCell ref="W782:AB782"/>
    <mergeCell ref="AC782:AE782"/>
    <mergeCell ref="B783:M783"/>
    <mergeCell ref="N783:P783"/>
    <mergeCell ref="Q783:V783"/>
    <mergeCell ref="W783:AB783"/>
    <mergeCell ref="AC783:AE783"/>
    <mergeCell ref="B780:M780"/>
    <mergeCell ref="N780:P780"/>
    <mergeCell ref="Q780:V780"/>
    <mergeCell ref="W780:AB780"/>
    <mergeCell ref="AC780:AE780"/>
    <mergeCell ref="B781:M781"/>
    <mergeCell ref="N781:P781"/>
    <mergeCell ref="Q781:V781"/>
    <mergeCell ref="W781:AB781"/>
    <mergeCell ref="AC781:AE781"/>
    <mergeCell ref="B778:M778"/>
    <mergeCell ref="N778:P778"/>
    <mergeCell ref="Q778:V778"/>
    <mergeCell ref="W778:AB778"/>
    <mergeCell ref="AC778:AE778"/>
    <mergeCell ref="B779:M779"/>
    <mergeCell ref="N779:P779"/>
    <mergeCell ref="Q779:V779"/>
    <mergeCell ref="W779:AB779"/>
    <mergeCell ref="AC779:AE779"/>
    <mergeCell ref="B776:M776"/>
    <mergeCell ref="N776:P776"/>
    <mergeCell ref="Q776:V776"/>
    <mergeCell ref="W776:AB776"/>
    <mergeCell ref="AC776:AE776"/>
    <mergeCell ref="B777:M777"/>
    <mergeCell ref="N777:P777"/>
    <mergeCell ref="Q777:V777"/>
    <mergeCell ref="W777:AB777"/>
    <mergeCell ref="AC777:AE777"/>
    <mergeCell ref="B774:M774"/>
    <mergeCell ref="N774:P774"/>
    <mergeCell ref="Q774:V774"/>
    <mergeCell ref="W774:AB774"/>
    <mergeCell ref="AC774:AE774"/>
    <mergeCell ref="B775:M775"/>
    <mergeCell ref="N775:P775"/>
    <mergeCell ref="Q775:V775"/>
    <mergeCell ref="W775:AB775"/>
    <mergeCell ref="AC775:AE775"/>
    <mergeCell ref="B772:M772"/>
    <mergeCell ref="N772:P772"/>
    <mergeCell ref="Q772:V772"/>
    <mergeCell ref="W772:AB772"/>
    <mergeCell ref="AC772:AE772"/>
    <mergeCell ref="B773:M773"/>
    <mergeCell ref="N773:P773"/>
    <mergeCell ref="Q773:V773"/>
    <mergeCell ref="W773:AB773"/>
    <mergeCell ref="AC773:AE773"/>
    <mergeCell ref="B770:M770"/>
    <mergeCell ref="N770:P770"/>
    <mergeCell ref="Q770:V770"/>
    <mergeCell ref="W770:AB770"/>
    <mergeCell ref="AC770:AE770"/>
    <mergeCell ref="B771:M771"/>
    <mergeCell ref="N771:P771"/>
    <mergeCell ref="Q771:V771"/>
    <mergeCell ref="W771:AB771"/>
    <mergeCell ref="AC771:AE771"/>
    <mergeCell ref="B768:M768"/>
    <mergeCell ref="N768:P768"/>
    <mergeCell ref="Q768:V768"/>
    <mergeCell ref="W768:AB768"/>
    <mergeCell ref="AC768:AE768"/>
    <mergeCell ref="B769:M769"/>
    <mergeCell ref="N769:P769"/>
    <mergeCell ref="Q769:V769"/>
    <mergeCell ref="W769:AB769"/>
    <mergeCell ref="AC769:AE769"/>
    <mergeCell ref="B766:M766"/>
    <mergeCell ref="N766:P766"/>
    <mergeCell ref="Q766:V766"/>
    <mergeCell ref="W766:AB766"/>
    <mergeCell ref="AC766:AE766"/>
    <mergeCell ref="B767:M767"/>
    <mergeCell ref="N767:P767"/>
    <mergeCell ref="Q767:V767"/>
    <mergeCell ref="W767:AB767"/>
    <mergeCell ref="AC767:AE767"/>
    <mergeCell ref="B764:M764"/>
    <mergeCell ref="N764:P764"/>
    <mergeCell ref="Q764:V764"/>
    <mergeCell ref="W764:AB764"/>
    <mergeCell ref="AC764:AE764"/>
    <mergeCell ref="B765:M765"/>
    <mergeCell ref="N765:P765"/>
    <mergeCell ref="Q765:V765"/>
    <mergeCell ref="W765:AB765"/>
    <mergeCell ref="AC765:AE765"/>
    <mergeCell ref="B762:M762"/>
    <mergeCell ref="N762:P762"/>
    <mergeCell ref="Q762:V762"/>
    <mergeCell ref="W762:AB762"/>
    <mergeCell ref="AC762:AE762"/>
    <mergeCell ref="B763:M763"/>
    <mergeCell ref="N763:P763"/>
    <mergeCell ref="Q763:V763"/>
    <mergeCell ref="W763:AB763"/>
    <mergeCell ref="AC763:AE763"/>
    <mergeCell ref="B760:M760"/>
    <mergeCell ref="N760:P760"/>
    <mergeCell ref="Q760:V760"/>
    <mergeCell ref="W760:AB760"/>
    <mergeCell ref="AC760:AE760"/>
    <mergeCell ref="B761:M761"/>
    <mergeCell ref="N761:P761"/>
    <mergeCell ref="Q761:V761"/>
    <mergeCell ref="W761:AB761"/>
    <mergeCell ref="AC761:AE761"/>
    <mergeCell ref="B758:M758"/>
    <mergeCell ref="N758:P758"/>
    <mergeCell ref="Q758:V758"/>
    <mergeCell ref="W758:AB758"/>
    <mergeCell ref="AC758:AE758"/>
    <mergeCell ref="B759:M759"/>
    <mergeCell ref="N759:P759"/>
    <mergeCell ref="Q759:V759"/>
    <mergeCell ref="W759:AB759"/>
    <mergeCell ref="AC759:AE759"/>
    <mergeCell ref="B756:M756"/>
    <mergeCell ref="N756:P756"/>
    <mergeCell ref="Q756:V756"/>
    <mergeCell ref="W756:AB756"/>
    <mergeCell ref="AC756:AE756"/>
    <mergeCell ref="B757:M757"/>
    <mergeCell ref="N757:P757"/>
    <mergeCell ref="Q757:V757"/>
    <mergeCell ref="W757:AB757"/>
    <mergeCell ref="AC757:AE757"/>
    <mergeCell ref="B754:M754"/>
    <mergeCell ref="N754:P754"/>
    <mergeCell ref="Q754:V754"/>
    <mergeCell ref="W754:AB754"/>
    <mergeCell ref="AC754:AE754"/>
    <mergeCell ref="B755:M755"/>
    <mergeCell ref="N755:P755"/>
    <mergeCell ref="Q755:V755"/>
    <mergeCell ref="W755:AB755"/>
    <mergeCell ref="AC755:AE755"/>
    <mergeCell ref="B752:M752"/>
    <mergeCell ref="N752:P752"/>
    <mergeCell ref="Q752:V752"/>
    <mergeCell ref="W752:AB752"/>
    <mergeCell ref="AC752:AE752"/>
    <mergeCell ref="B753:M753"/>
    <mergeCell ref="N753:P753"/>
    <mergeCell ref="Q753:V753"/>
    <mergeCell ref="W753:AB753"/>
    <mergeCell ref="AC753:AE753"/>
    <mergeCell ref="B750:M750"/>
    <mergeCell ref="N750:P750"/>
    <mergeCell ref="Q750:V750"/>
    <mergeCell ref="W750:AB750"/>
    <mergeCell ref="AC750:AE750"/>
    <mergeCell ref="B751:M751"/>
    <mergeCell ref="N751:P751"/>
    <mergeCell ref="Q751:V751"/>
    <mergeCell ref="W751:AB751"/>
    <mergeCell ref="AC751:AE751"/>
    <mergeCell ref="B748:M748"/>
    <mergeCell ref="N748:P748"/>
    <mergeCell ref="Q748:V748"/>
    <mergeCell ref="W748:AB748"/>
    <mergeCell ref="AC748:AE748"/>
    <mergeCell ref="B749:M749"/>
    <mergeCell ref="N749:P749"/>
    <mergeCell ref="Q749:V749"/>
    <mergeCell ref="W749:AB749"/>
    <mergeCell ref="AC749:AE749"/>
    <mergeCell ref="B746:M746"/>
    <mergeCell ref="N746:P746"/>
    <mergeCell ref="Q746:V746"/>
    <mergeCell ref="W746:AB746"/>
    <mergeCell ref="AC746:AE746"/>
    <mergeCell ref="B747:M747"/>
    <mergeCell ref="N747:P747"/>
    <mergeCell ref="Q747:V747"/>
    <mergeCell ref="W747:AB747"/>
    <mergeCell ref="AC747:AE747"/>
    <mergeCell ref="B744:M744"/>
    <mergeCell ref="N744:P744"/>
    <mergeCell ref="Q744:V744"/>
    <mergeCell ref="W744:AB744"/>
    <mergeCell ref="AC744:AE744"/>
    <mergeCell ref="B745:M745"/>
    <mergeCell ref="N745:P745"/>
    <mergeCell ref="Q745:V745"/>
    <mergeCell ref="W745:AB745"/>
    <mergeCell ref="AC745:AE745"/>
    <mergeCell ref="B742:M742"/>
    <mergeCell ref="N742:P742"/>
    <mergeCell ref="Q742:V742"/>
    <mergeCell ref="W742:AB742"/>
    <mergeCell ref="AC742:AE742"/>
    <mergeCell ref="B743:M743"/>
    <mergeCell ref="N743:P743"/>
    <mergeCell ref="Q743:V743"/>
    <mergeCell ref="W743:AB743"/>
    <mergeCell ref="AC743:AE743"/>
    <mergeCell ref="B740:M740"/>
    <mergeCell ref="N740:P740"/>
    <mergeCell ref="Q740:V740"/>
    <mergeCell ref="W740:AB740"/>
    <mergeCell ref="AC740:AE740"/>
    <mergeCell ref="B741:M741"/>
    <mergeCell ref="N741:P741"/>
    <mergeCell ref="Q741:V741"/>
    <mergeCell ref="W741:AB741"/>
    <mergeCell ref="AC741:AE741"/>
    <mergeCell ref="B738:M738"/>
    <mergeCell ref="N738:P738"/>
    <mergeCell ref="Q738:V738"/>
    <mergeCell ref="W738:AB738"/>
    <mergeCell ref="AC738:AE738"/>
    <mergeCell ref="B739:M739"/>
    <mergeCell ref="N739:P739"/>
    <mergeCell ref="Q739:V739"/>
    <mergeCell ref="W739:AB739"/>
    <mergeCell ref="AC739:AE739"/>
    <mergeCell ref="B736:M736"/>
    <mergeCell ref="N736:P736"/>
    <mergeCell ref="Q736:V736"/>
    <mergeCell ref="W736:AB736"/>
    <mergeCell ref="AC736:AE736"/>
    <mergeCell ref="B737:M737"/>
    <mergeCell ref="N737:P737"/>
    <mergeCell ref="Q737:V737"/>
    <mergeCell ref="W737:AB737"/>
    <mergeCell ref="AC737:AE737"/>
    <mergeCell ref="B734:M734"/>
    <mergeCell ref="N734:P734"/>
    <mergeCell ref="Q734:V734"/>
    <mergeCell ref="W734:AB734"/>
    <mergeCell ref="AC734:AE734"/>
    <mergeCell ref="B735:M735"/>
    <mergeCell ref="N735:P735"/>
    <mergeCell ref="Q735:V735"/>
    <mergeCell ref="W735:AB735"/>
    <mergeCell ref="AC735:AE735"/>
    <mergeCell ref="B732:M732"/>
    <mergeCell ref="N732:P732"/>
    <mergeCell ref="Q732:V732"/>
    <mergeCell ref="W732:AB732"/>
    <mergeCell ref="AC732:AE732"/>
    <mergeCell ref="B733:M733"/>
    <mergeCell ref="N733:P733"/>
    <mergeCell ref="Q733:V733"/>
    <mergeCell ref="W733:AB733"/>
    <mergeCell ref="AC733:AE733"/>
    <mergeCell ref="B730:M730"/>
    <mergeCell ref="N730:P730"/>
    <mergeCell ref="Q730:V730"/>
    <mergeCell ref="W730:AB730"/>
    <mergeCell ref="AC730:AE730"/>
    <mergeCell ref="B731:M731"/>
    <mergeCell ref="N731:P731"/>
    <mergeCell ref="Q731:V731"/>
    <mergeCell ref="W731:AB731"/>
    <mergeCell ref="AC731:AE731"/>
    <mergeCell ref="B728:M728"/>
    <mergeCell ref="N728:P728"/>
    <mergeCell ref="Q728:V728"/>
    <mergeCell ref="W728:AB728"/>
    <mergeCell ref="AC728:AE728"/>
    <mergeCell ref="B729:M729"/>
    <mergeCell ref="N729:P729"/>
    <mergeCell ref="Q729:V729"/>
    <mergeCell ref="W729:AB729"/>
    <mergeCell ref="AC729:AE729"/>
    <mergeCell ref="B726:M726"/>
    <mergeCell ref="N726:P726"/>
    <mergeCell ref="Q726:V726"/>
    <mergeCell ref="W726:AB726"/>
    <mergeCell ref="AC726:AE726"/>
    <mergeCell ref="B727:M727"/>
    <mergeCell ref="N727:P727"/>
    <mergeCell ref="Q727:V727"/>
    <mergeCell ref="W727:AB727"/>
    <mergeCell ref="AC727:AE727"/>
    <mergeCell ref="B724:M724"/>
    <mergeCell ref="N724:P724"/>
    <mergeCell ref="Q724:V724"/>
    <mergeCell ref="W724:AB724"/>
    <mergeCell ref="AC724:AE724"/>
    <mergeCell ref="B725:M725"/>
    <mergeCell ref="N725:P725"/>
    <mergeCell ref="Q725:V725"/>
    <mergeCell ref="W725:AB725"/>
    <mergeCell ref="AC725:AE725"/>
    <mergeCell ref="B722:M722"/>
    <mergeCell ref="N722:P722"/>
    <mergeCell ref="Q722:V722"/>
    <mergeCell ref="W722:AB722"/>
    <mergeCell ref="AC722:AE722"/>
    <mergeCell ref="B723:M723"/>
    <mergeCell ref="N723:P723"/>
    <mergeCell ref="Q723:V723"/>
    <mergeCell ref="W723:AB723"/>
    <mergeCell ref="AC723:AE723"/>
    <mergeCell ref="B720:M720"/>
    <mergeCell ref="N720:P720"/>
    <mergeCell ref="Q720:V720"/>
    <mergeCell ref="W720:AB720"/>
    <mergeCell ref="AC720:AE720"/>
    <mergeCell ref="B721:M721"/>
    <mergeCell ref="N721:P721"/>
    <mergeCell ref="Q721:V721"/>
    <mergeCell ref="W721:AB721"/>
    <mergeCell ref="AC721:AE721"/>
    <mergeCell ref="B718:M718"/>
    <mergeCell ref="N718:P718"/>
    <mergeCell ref="Q718:V718"/>
    <mergeCell ref="W718:AB718"/>
    <mergeCell ref="AC718:AE718"/>
    <mergeCell ref="B719:M719"/>
    <mergeCell ref="N719:P719"/>
    <mergeCell ref="Q719:V719"/>
    <mergeCell ref="W719:AB719"/>
    <mergeCell ref="AC719:AE719"/>
    <mergeCell ref="B716:M716"/>
    <mergeCell ref="N716:P716"/>
    <mergeCell ref="Q716:V716"/>
    <mergeCell ref="W716:AB716"/>
    <mergeCell ref="AC716:AE716"/>
    <mergeCell ref="B717:M717"/>
    <mergeCell ref="N717:P717"/>
    <mergeCell ref="Q717:V717"/>
    <mergeCell ref="W717:AB717"/>
    <mergeCell ref="AC717:AE717"/>
    <mergeCell ref="B714:M714"/>
    <mergeCell ref="N714:P714"/>
    <mergeCell ref="Q714:V714"/>
    <mergeCell ref="W714:AB714"/>
    <mergeCell ref="AC714:AE714"/>
    <mergeCell ref="B715:M715"/>
    <mergeCell ref="N715:P715"/>
    <mergeCell ref="Q715:V715"/>
    <mergeCell ref="W715:AB715"/>
    <mergeCell ref="AC715:AE715"/>
    <mergeCell ref="B712:M712"/>
    <mergeCell ref="N712:P712"/>
    <mergeCell ref="Q712:V712"/>
    <mergeCell ref="W712:AB712"/>
    <mergeCell ref="AC712:AE712"/>
    <mergeCell ref="B713:M713"/>
    <mergeCell ref="N713:P713"/>
    <mergeCell ref="Q713:V713"/>
    <mergeCell ref="W713:AB713"/>
    <mergeCell ref="AC713:AE713"/>
    <mergeCell ref="B710:M710"/>
    <mergeCell ref="N710:P710"/>
    <mergeCell ref="Q710:V710"/>
    <mergeCell ref="W710:AB710"/>
    <mergeCell ref="AC710:AE710"/>
    <mergeCell ref="B711:M711"/>
    <mergeCell ref="N711:P711"/>
    <mergeCell ref="Q711:V711"/>
    <mergeCell ref="W711:AB711"/>
    <mergeCell ref="AC711:AE711"/>
    <mergeCell ref="B708:M708"/>
    <mergeCell ref="N708:P708"/>
    <mergeCell ref="Q708:V708"/>
    <mergeCell ref="W708:AB708"/>
    <mergeCell ref="AC708:AE708"/>
    <mergeCell ref="B709:M709"/>
    <mergeCell ref="N709:P709"/>
    <mergeCell ref="Q709:V709"/>
    <mergeCell ref="W709:AB709"/>
    <mergeCell ref="AC709:AE709"/>
    <mergeCell ref="B706:M706"/>
    <mergeCell ref="N706:P706"/>
    <mergeCell ref="Q706:V706"/>
    <mergeCell ref="W706:AB706"/>
    <mergeCell ref="AC706:AE706"/>
    <mergeCell ref="B707:M707"/>
    <mergeCell ref="N707:P707"/>
    <mergeCell ref="Q707:V707"/>
    <mergeCell ref="W707:AB707"/>
    <mergeCell ref="AC707:AE707"/>
    <mergeCell ref="B704:M704"/>
    <mergeCell ref="N704:P704"/>
    <mergeCell ref="Q704:V704"/>
    <mergeCell ref="W704:AB704"/>
    <mergeCell ref="AC704:AE704"/>
    <mergeCell ref="B705:M705"/>
    <mergeCell ref="N705:P705"/>
    <mergeCell ref="Q705:V705"/>
    <mergeCell ref="W705:AB705"/>
    <mergeCell ref="AC705:AE705"/>
    <mergeCell ref="B702:M702"/>
    <mergeCell ref="N702:P702"/>
    <mergeCell ref="Q702:V702"/>
    <mergeCell ref="W702:AB702"/>
    <mergeCell ref="AC702:AE702"/>
    <mergeCell ref="B703:M703"/>
    <mergeCell ref="N703:P703"/>
    <mergeCell ref="Q703:V703"/>
    <mergeCell ref="W703:AB703"/>
    <mergeCell ref="AC703:AE703"/>
    <mergeCell ref="B700:M700"/>
    <mergeCell ref="N700:P700"/>
    <mergeCell ref="Q700:V700"/>
    <mergeCell ref="W700:AB700"/>
    <mergeCell ref="AC700:AE700"/>
    <mergeCell ref="B701:M701"/>
    <mergeCell ref="N701:P701"/>
    <mergeCell ref="Q701:V701"/>
    <mergeCell ref="W701:AB701"/>
    <mergeCell ref="AC701:AE701"/>
    <mergeCell ref="B698:M698"/>
    <mergeCell ref="N698:P698"/>
    <mergeCell ref="Q698:V698"/>
    <mergeCell ref="W698:AB698"/>
    <mergeCell ref="AC698:AE698"/>
    <mergeCell ref="B699:M699"/>
    <mergeCell ref="N699:P699"/>
    <mergeCell ref="Q699:V699"/>
    <mergeCell ref="W699:AB699"/>
    <mergeCell ref="AC699:AE699"/>
    <mergeCell ref="B696:M696"/>
    <mergeCell ref="N696:P696"/>
    <mergeCell ref="Q696:V696"/>
    <mergeCell ref="W696:AB696"/>
    <mergeCell ref="AC696:AE696"/>
    <mergeCell ref="B697:M697"/>
    <mergeCell ref="N697:P697"/>
    <mergeCell ref="Q697:V697"/>
    <mergeCell ref="W697:AB697"/>
    <mergeCell ref="AC697:AE697"/>
    <mergeCell ref="B694:M694"/>
    <mergeCell ref="N694:P694"/>
    <mergeCell ref="Q694:V694"/>
    <mergeCell ref="W694:AB694"/>
    <mergeCell ref="AC694:AE694"/>
    <mergeCell ref="B695:M695"/>
    <mergeCell ref="N695:P695"/>
    <mergeCell ref="Q695:V695"/>
    <mergeCell ref="W695:AB695"/>
    <mergeCell ref="AC695:AE695"/>
    <mergeCell ref="B692:M692"/>
    <mergeCell ref="N692:P692"/>
    <mergeCell ref="Q692:V692"/>
    <mergeCell ref="W692:AB692"/>
    <mergeCell ref="AC692:AE692"/>
    <mergeCell ref="B693:M693"/>
    <mergeCell ref="N693:P693"/>
    <mergeCell ref="Q693:V693"/>
    <mergeCell ref="W693:AB693"/>
    <mergeCell ref="AC693:AE693"/>
    <mergeCell ref="B690:M690"/>
    <mergeCell ref="N690:P690"/>
    <mergeCell ref="Q690:V690"/>
    <mergeCell ref="W690:AB690"/>
    <mergeCell ref="AC690:AE690"/>
    <mergeCell ref="B691:M691"/>
    <mergeCell ref="N691:P691"/>
    <mergeCell ref="Q691:V691"/>
    <mergeCell ref="W691:AB691"/>
    <mergeCell ref="AC691:AE691"/>
    <mergeCell ref="B688:M688"/>
    <mergeCell ref="N688:P688"/>
    <mergeCell ref="Q688:V688"/>
    <mergeCell ref="W688:AB688"/>
    <mergeCell ref="AC688:AE688"/>
    <mergeCell ref="B689:M689"/>
    <mergeCell ref="N689:P689"/>
    <mergeCell ref="Q689:V689"/>
    <mergeCell ref="W689:AB689"/>
    <mergeCell ref="AC689:AE689"/>
    <mergeCell ref="B686:M686"/>
    <mergeCell ref="N686:P686"/>
    <mergeCell ref="Q686:V686"/>
    <mergeCell ref="W686:AB686"/>
    <mergeCell ref="AC686:AE686"/>
    <mergeCell ref="B687:M687"/>
    <mergeCell ref="N687:P687"/>
    <mergeCell ref="Q687:V687"/>
    <mergeCell ref="W687:AB687"/>
    <mergeCell ref="AC687:AE687"/>
    <mergeCell ref="B684:M684"/>
    <mergeCell ref="N684:P684"/>
    <mergeCell ref="Q684:V684"/>
    <mergeCell ref="W684:AB684"/>
    <mergeCell ref="AC684:AE684"/>
    <mergeCell ref="B685:M685"/>
    <mergeCell ref="N685:P685"/>
    <mergeCell ref="Q685:V685"/>
    <mergeCell ref="W685:AB685"/>
    <mergeCell ref="AC685:AE685"/>
    <mergeCell ref="B682:M682"/>
    <mergeCell ref="N682:P682"/>
    <mergeCell ref="Q682:V682"/>
    <mergeCell ref="W682:AB682"/>
    <mergeCell ref="AC682:AE682"/>
    <mergeCell ref="B683:M683"/>
    <mergeCell ref="N683:P683"/>
    <mergeCell ref="Q683:V683"/>
    <mergeCell ref="W683:AB683"/>
    <mergeCell ref="AC683:AE683"/>
    <mergeCell ref="B680:M680"/>
    <mergeCell ref="N680:P680"/>
    <mergeCell ref="Q680:V680"/>
    <mergeCell ref="W680:AB680"/>
    <mergeCell ref="AC680:AE680"/>
    <mergeCell ref="B681:M681"/>
    <mergeCell ref="N681:P681"/>
    <mergeCell ref="Q681:V681"/>
    <mergeCell ref="W681:AB681"/>
    <mergeCell ref="AC681:AE681"/>
    <mergeCell ref="B678:M678"/>
    <mergeCell ref="N678:P678"/>
    <mergeCell ref="Q678:V678"/>
    <mergeCell ref="W678:AB678"/>
    <mergeCell ref="AC678:AE678"/>
    <mergeCell ref="B679:M679"/>
    <mergeCell ref="N679:P679"/>
    <mergeCell ref="Q679:V679"/>
    <mergeCell ref="W679:AB679"/>
    <mergeCell ref="AC679:AE679"/>
    <mergeCell ref="B676:M676"/>
    <mergeCell ref="N676:P676"/>
    <mergeCell ref="Q676:V676"/>
    <mergeCell ref="W676:AB676"/>
    <mergeCell ref="AC676:AE676"/>
    <mergeCell ref="B677:M677"/>
    <mergeCell ref="N677:P677"/>
    <mergeCell ref="Q677:V677"/>
    <mergeCell ref="W677:AB677"/>
    <mergeCell ref="AC677:AE677"/>
    <mergeCell ref="B674:M674"/>
    <mergeCell ref="N674:P674"/>
    <mergeCell ref="Q674:V674"/>
    <mergeCell ref="W674:AB674"/>
    <mergeCell ref="AC674:AE674"/>
    <mergeCell ref="B675:M675"/>
    <mergeCell ref="N675:P675"/>
    <mergeCell ref="Q675:V675"/>
    <mergeCell ref="W675:AB675"/>
    <mergeCell ref="AC675:AE675"/>
    <mergeCell ref="B672:M672"/>
    <mergeCell ref="N672:P672"/>
    <mergeCell ref="Q672:V672"/>
    <mergeCell ref="W672:AB672"/>
    <mergeCell ref="AC672:AE672"/>
    <mergeCell ref="B673:M673"/>
    <mergeCell ref="N673:P673"/>
    <mergeCell ref="Q673:V673"/>
    <mergeCell ref="W673:AB673"/>
    <mergeCell ref="AC673:AE673"/>
    <mergeCell ref="B670:M670"/>
    <mergeCell ref="N670:P670"/>
    <mergeCell ref="Q670:V670"/>
    <mergeCell ref="W670:AB670"/>
    <mergeCell ref="AC670:AE670"/>
    <mergeCell ref="B671:M671"/>
    <mergeCell ref="N671:P671"/>
    <mergeCell ref="Q671:V671"/>
    <mergeCell ref="W671:AB671"/>
    <mergeCell ref="AC671:AE671"/>
    <mergeCell ref="B668:M668"/>
    <mergeCell ref="N668:P668"/>
    <mergeCell ref="Q668:V668"/>
    <mergeCell ref="W668:AB668"/>
    <mergeCell ref="AC668:AE668"/>
    <mergeCell ref="B669:M669"/>
    <mergeCell ref="N669:P669"/>
    <mergeCell ref="Q669:V669"/>
    <mergeCell ref="W669:AB669"/>
    <mergeCell ref="AC669:AE669"/>
    <mergeCell ref="B666:M666"/>
    <mergeCell ref="N666:P666"/>
    <mergeCell ref="Q666:V666"/>
    <mergeCell ref="W666:AB666"/>
    <mergeCell ref="AC666:AE666"/>
    <mergeCell ref="B667:M667"/>
    <mergeCell ref="N667:P667"/>
    <mergeCell ref="Q667:V667"/>
    <mergeCell ref="W667:AB667"/>
    <mergeCell ref="AC667:AE667"/>
    <mergeCell ref="B664:M664"/>
    <mergeCell ref="N664:P664"/>
    <mergeCell ref="Q664:V664"/>
    <mergeCell ref="W664:AB664"/>
    <mergeCell ref="AC664:AE664"/>
    <mergeCell ref="B665:M665"/>
    <mergeCell ref="N665:P665"/>
    <mergeCell ref="Q665:V665"/>
    <mergeCell ref="W665:AB665"/>
    <mergeCell ref="AC665:AE665"/>
    <mergeCell ref="B662:M662"/>
    <mergeCell ref="N662:P662"/>
    <mergeCell ref="Q662:V662"/>
    <mergeCell ref="W662:AB662"/>
    <mergeCell ref="AC662:AE662"/>
    <mergeCell ref="B663:M663"/>
    <mergeCell ref="N663:P663"/>
    <mergeCell ref="Q663:V663"/>
    <mergeCell ref="W663:AB663"/>
    <mergeCell ref="AC663:AE663"/>
    <mergeCell ref="B660:M660"/>
    <mergeCell ref="N660:P660"/>
    <mergeCell ref="Q660:V660"/>
    <mergeCell ref="W660:AB660"/>
    <mergeCell ref="AC660:AE660"/>
    <mergeCell ref="B661:M661"/>
    <mergeCell ref="N661:P661"/>
    <mergeCell ref="Q661:V661"/>
    <mergeCell ref="W661:AB661"/>
    <mergeCell ref="AC661:AE661"/>
    <mergeCell ref="B658:M658"/>
    <mergeCell ref="N658:P658"/>
    <mergeCell ref="Q658:V658"/>
    <mergeCell ref="W658:AB658"/>
    <mergeCell ref="AC658:AE658"/>
    <mergeCell ref="B659:M659"/>
    <mergeCell ref="N659:P659"/>
    <mergeCell ref="Q659:V659"/>
    <mergeCell ref="W659:AB659"/>
    <mergeCell ref="AC659:AE659"/>
    <mergeCell ref="B656:M656"/>
    <mergeCell ref="N656:P656"/>
    <mergeCell ref="Q656:V656"/>
    <mergeCell ref="W656:AB656"/>
    <mergeCell ref="AC656:AE656"/>
    <mergeCell ref="B657:M657"/>
    <mergeCell ref="N657:P657"/>
    <mergeCell ref="Q657:V657"/>
    <mergeCell ref="W657:AB657"/>
    <mergeCell ref="AC657:AE657"/>
    <mergeCell ref="B654:M654"/>
    <mergeCell ref="N654:P654"/>
    <mergeCell ref="Q654:V654"/>
    <mergeCell ref="W654:AB654"/>
    <mergeCell ref="AC654:AE654"/>
    <mergeCell ref="B655:M655"/>
    <mergeCell ref="N655:P655"/>
    <mergeCell ref="Q655:V655"/>
    <mergeCell ref="W655:AB655"/>
    <mergeCell ref="AC655:AE655"/>
    <mergeCell ref="B652:M652"/>
    <mergeCell ref="N652:P652"/>
    <mergeCell ref="Q652:V652"/>
    <mergeCell ref="W652:AB652"/>
    <mergeCell ref="AC652:AE652"/>
    <mergeCell ref="B653:M653"/>
    <mergeCell ref="N653:P653"/>
    <mergeCell ref="Q653:V653"/>
    <mergeCell ref="W653:AB653"/>
    <mergeCell ref="AC653:AE653"/>
    <mergeCell ref="B650:M650"/>
    <mergeCell ref="N650:P650"/>
    <mergeCell ref="Q650:V650"/>
    <mergeCell ref="W650:AB650"/>
    <mergeCell ref="AC650:AE650"/>
    <mergeCell ref="B651:M651"/>
    <mergeCell ref="N651:P651"/>
    <mergeCell ref="Q651:V651"/>
    <mergeCell ref="W651:AB651"/>
    <mergeCell ref="AC651:AE651"/>
    <mergeCell ref="B648:M648"/>
    <mergeCell ref="N648:P648"/>
    <mergeCell ref="Q648:V648"/>
    <mergeCell ref="W648:AB648"/>
    <mergeCell ref="AC648:AE648"/>
    <mergeCell ref="B649:M649"/>
    <mergeCell ref="N649:P649"/>
    <mergeCell ref="Q649:V649"/>
    <mergeCell ref="W649:AB649"/>
    <mergeCell ref="AC649:AE649"/>
    <mergeCell ref="B646:M646"/>
    <mergeCell ref="N646:P646"/>
    <mergeCell ref="Q646:V646"/>
    <mergeCell ref="W646:AB646"/>
    <mergeCell ref="AC646:AE646"/>
    <mergeCell ref="B647:M647"/>
    <mergeCell ref="N647:P647"/>
    <mergeCell ref="Q647:V647"/>
    <mergeCell ref="W647:AB647"/>
    <mergeCell ref="AC647:AE647"/>
    <mergeCell ref="B644:M644"/>
    <mergeCell ref="N644:P644"/>
    <mergeCell ref="Q644:V644"/>
    <mergeCell ref="W644:AB644"/>
    <mergeCell ref="AC644:AE644"/>
    <mergeCell ref="B645:M645"/>
    <mergeCell ref="N645:P645"/>
    <mergeCell ref="Q645:V645"/>
    <mergeCell ref="W645:AB645"/>
    <mergeCell ref="AC645:AE645"/>
    <mergeCell ref="B642:M642"/>
    <mergeCell ref="N642:P642"/>
    <mergeCell ref="Q642:V642"/>
    <mergeCell ref="W642:AB642"/>
    <mergeCell ref="AC642:AE642"/>
    <mergeCell ref="B643:M643"/>
    <mergeCell ref="N643:P643"/>
    <mergeCell ref="Q643:V643"/>
    <mergeCell ref="W643:AB643"/>
    <mergeCell ref="AC643:AE643"/>
    <mergeCell ref="B640:M640"/>
    <mergeCell ref="N640:P640"/>
    <mergeCell ref="Q640:V640"/>
    <mergeCell ref="W640:AB640"/>
    <mergeCell ref="AC640:AE640"/>
    <mergeCell ref="B641:M641"/>
    <mergeCell ref="N641:P641"/>
    <mergeCell ref="Q641:V641"/>
    <mergeCell ref="W641:AB641"/>
    <mergeCell ref="AC641:AE641"/>
    <mergeCell ref="B638:M638"/>
    <mergeCell ref="N638:P638"/>
    <mergeCell ref="Q638:V638"/>
    <mergeCell ref="W638:AB638"/>
    <mergeCell ref="AC638:AE638"/>
    <mergeCell ref="B639:M639"/>
    <mergeCell ref="N639:P639"/>
    <mergeCell ref="Q639:V639"/>
    <mergeCell ref="W639:AB639"/>
    <mergeCell ref="AC639:AE639"/>
    <mergeCell ref="B636:M636"/>
    <mergeCell ref="N636:P636"/>
    <mergeCell ref="Q636:V636"/>
    <mergeCell ref="W636:AB636"/>
    <mergeCell ref="AC636:AE636"/>
    <mergeCell ref="B637:M637"/>
    <mergeCell ref="N637:P637"/>
    <mergeCell ref="Q637:V637"/>
    <mergeCell ref="W637:AB637"/>
    <mergeCell ref="AC637:AE637"/>
    <mergeCell ref="B634:M634"/>
    <mergeCell ref="N634:P634"/>
    <mergeCell ref="Q634:V634"/>
    <mergeCell ref="W634:AB634"/>
    <mergeCell ref="AC634:AE634"/>
    <mergeCell ref="B635:M635"/>
    <mergeCell ref="N635:P635"/>
    <mergeCell ref="Q635:V635"/>
    <mergeCell ref="W635:AB635"/>
    <mergeCell ref="AC635:AE635"/>
    <mergeCell ref="B632:M632"/>
    <mergeCell ref="N632:P632"/>
    <mergeCell ref="Q632:V632"/>
    <mergeCell ref="W632:AB632"/>
    <mergeCell ref="AC632:AE632"/>
    <mergeCell ref="B633:M633"/>
    <mergeCell ref="N633:P633"/>
    <mergeCell ref="Q633:V633"/>
    <mergeCell ref="W633:AB633"/>
    <mergeCell ref="AC633:AE633"/>
    <mergeCell ref="B630:M630"/>
    <mergeCell ref="N630:P630"/>
    <mergeCell ref="Q630:V630"/>
    <mergeCell ref="W630:AB630"/>
    <mergeCell ref="AC630:AE630"/>
    <mergeCell ref="B631:M631"/>
    <mergeCell ref="N631:P631"/>
    <mergeCell ref="Q631:V631"/>
    <mergeCell ref="W631:AB631"/>
    <mergeCell ref="AC631:AE631"/>
    <mergeCell ref="B628:M628"/>
    <mergeCell ref="N628:P628"/>
    <mergeCell ref="Q628:V628"/>
    <mergeCell ref="W628:AB628"/>
    <mergeCell ref="AC628:AE628"/>
    <mergeCell ref="B629:M629"/>
    <mergeCell ref="N629:P629"/>
    <mergeCell ref="Q629:V629"/>
    <mergeCell ref="W629:AB629"/>
    <mergeCell ref="AC629:AE629"/>
    <mergeCell ref="B626:M626"/>
    <mergeCell ref="N626:P626"/>
    <mergeCell ref="Q626:V626"/>
    <mergeCell ref="W626:AB626"/>
    <mergeCell ref="AC626:AE626"/>
    <mergeCell ref="B627:M627"/>
    <mergeCell ref="N627:P627"/>
    <mergeCell ref="Q627:V627"/>
    <mergeCell ref="W627:AB627"/>
    <mergeCell ref="AC627:AE627"/>
    <mergeCell ref="B624:M624"/>
    <mergeCell ref="N624:P624"/>
    <mergeCell ref="Q624:V624"/>
    <mergeCell ref="W624:AB624"/>
    <mergeCell ref="AC624:AE624"/>
    <mergeCell ref="B625:M625"/>
    <mergeCell ref="N625:P625"/>
    <mergeCell ref="Q625:V625"/>
    <mergeCell ref="W625:AB625"/>
    <mergeCell ref="AC625:AE625"/>
    <mergeCell ref="B622:M622"/>
    <mergeCell ref="N622:P622"/>
    <mergeCell ref="Q622:V622"/>
    <mergeCell ref="W622:AB622"/>
    <mergeCell ref="AC622:AE622"/>
    <mergeCell ref="B623:M623"/>
    <mergeCell ref="N623:P623"/>
    <mergeCell ref="Q623:V623"/>
    <mergeCell ref="W623:AB623"/>
    <mergeCell ref="AC623:AE623"/>
    <mergeCell ref="B620:M620"/>
    <mergeCell ref="N620:P620"/>
    <mergeCell ref="Q620:V620"/>
    <mergeCell ref="W620:AB620"/>
    <mergeCell ref="AC620:AE620"/>
    <mergeCell ref="B621:M621"/>
    <mergeCell ref="N621:P621"/>
    <mergeCell ref="Q621:V621"/>
    <mergeCell ref="W621:AB621"/>
    <mergeCell ref="AC621:AE621"/>
    <mergeCell ref="B618:M618"/>
    <mergeCell ref="N618:P618"/>
    <mergeCell ref="Q618:V618"/>
    <mergeCell ref="W618:AB618"/>
    <mergeCell ref="AC618:AE618"/>
    <mergeCell ref="B619:M619"/>
    <mergeCell ref="N619:P619"/>
    <mergeCell ref="Q619:V619"/>
    <mergeCell ref="W619:AB619"/>
    <mergeCell ref="AC619:AE619"/>
    <mergeCell ref="B616:M616"/>
    <mergeCell ref="N616:P616"/>
    <mergeCell ref="Q616:V616"/>
    <mergeCell ref="W616:AB616"/>
    <mergeCell ref="AC616:AE616"/>
    <mergeCell ref="B617:M617"/>
    <mergeCell ref="N617:P617"/>
    <mergeCell ref="Q617:V617"/>
    <mergeCell ref="W617:AB617"/>
    <mergeCell ref="AC617:AE617"/>
    <mergeCell ref="B614:M614"/>
    <mergeCell ref="N614:P614"/>
    <mergeCell ref="Q614:V614"/>
    <mergeCell ref="W614:AB614"/>
    <mergeCell ref="AC614:AE614"/>
    <mergeCell ref="B615:M615"/>
    <mergeCell ref="N615:P615"/>
    <mergeCell ref="Q615:V615"/>
    <mergeCell ref="W615:AB615"/>
    <mergeCell ref="AC615:AE615"/>
    <mergeCell ref="B612:M612"/>
    <mergeCell ref="N612:P612"/>
    <mergeCell ref="Q612:V612"/>
    <mergeCell ref="W612:AB612"/>
    <mergeCell ref="AC612:AE612"/>
    <mergeCell ref="B613:M613"/>
    <mergeCell ref="N613:P613"/>
    <mergeCell ref="Q613:V613"/>
    <mergeCell ref="W613:AB613"/>
    <mergeCell ref="AC613:AE613"/>
    <mergeCell ref="B610:M610"/>
    <mergeCell ref="N610:P610"/>
    <mergeCell ref="Q610:V610"/>
    <mergeCell ref="W610:AB610"/>
    <mergeCell ref="AC610:AE610"/>
    <mergeCell ref="B611:M611"/>
    <mergeCell ref="N611:P611"/>
    <mergeCell ref="Q611:V611"/>
    <mergeCell ref="W611:AB611"/>
    <mergeCell ref="AC611:AE611"/>
    <mergeCell ref="B608:M608"/>
    <mergeCell ref="N608:P608"/>
    <mergeCell ref="Q608:V608"/>
    <mergeCell ref="W608:AB608"/>
    <mergeCell ref="AC608:AE608"/>
    <mergeCell ref="B609:M609"/>
    <mergeCell ref="N609:P609"/>
    <mergeCell ref="Q609:V609"/>
    <mergeCell ref="W609:AB609"/>
    <mergeCell ref="AC609:AE609"/>
    <mergeCell ref="B606:M606"/>
    <mergeCell ref="N606:P606"/>
    <mergeCell ref="Q606:V606"/>
    <mergeCell ref="W606:AB606"/>
    <mergeCell ref="AC606:AE606"/>
    <mergeCell ref="B607:M607"/>
    <mergeCell ref="N607:P607"/>
    <mergeCell ref="Q607:V607"/>
    <mergeCell ref="W607:AB607"/>
    <mergeCell ref="AC607:AE607"/>
    <mergeCell ref="B604:M604"/>
    <mergeCell ref="N604:P604"/>
    <mergeCell ref="Q604:V604"/>
    <mergeCell ref="W604:AB604"/>
    <mergeCell ref="AC604:AE604"/>
    <mergeCell ref="B605:M605"/>
    <mergeCell ref="N605:P605"/>
    <mergeCell ref="Q605:V605"/>
    <mergeCell ref="W605:AB605"/>
    <mergeCell ref="AC605:AE605"/>
    <mergeCell ref="B602:M602"/>
    <mergeCell ref="N602:P602"/>
    <mergeCell ref="Q602:V602"/>
    <mergeCell ref="W602:AB602"/>
    <mergeCell ref="AC602:AE602"/>
    <mergeCell ref="B603:M603"/>
    <mergeCell ref="N603:P603"/>
    <mergeCell ref="Q603:V603"/>
    <mergeCell ref="W603:AB603"/>
    <mergeCell ref="AC603:AE603"/>
    <mergeCell ref="B600:M600"/>
    <mergeCell ref="N600:P600"/>
    <mergeCell ref="Q600:V600"/>
    <mergeCell ref="W600:AB600"/>
    <mergeCell ref="AC600:AE600"/>
    <mergeCell ref="B601:M601"/>
    <mergeCell ref="N601:P601"/>
    <mergeCell ref="Q601:V601"/>
    <mergeCell ref="W601:AB601"/>
    <mergeCell ref="AC601:AE601"/>
    <mergeCell ref="B598:M598"/>
    <mergeCell ref="N598:P598"/>
    <mergeCell ref="Q598:V598"/>
    <mergeCell ref="W598:AB598"/>
    <mergeCell ref="AC598:AE598"/>
    <mergeCell ref="B599:M599"/>
    <mergeCell ref="N599:P599"/>
    <mergeCell ref="Q599:V599"/>
    <mergeCell ref="W599:AB599"/>
    <mergeCell ref="AC599:AE599"/>
    <mergeCell ref="B596:M596"/>
    <mergeCell ref="N596:P596"/>
    <mergeCell ref="Q596:V596"/>
    <mergeCell ref="W596:AB596"/>
    <mergeCell ref="AC596:AE596"/>
    <mergeCell ref="B597:M597"/>
    <mergeCell ref="N597:P597"/>
    <mergeCell ref="Q597:V597"/>
    <mergeCell ref="W597:AB597"/>
    <mergeCell ref="AC597:AE597"/>
    <mergeCell ref="B594:M594"/>
    <mergeCell ref="N594:P594"/>
    <mergeCell ref="Q594:V594"/>
    <mergeCell ref="W594:AB594"/>
    <mergeCell ref="AC594:AE594"/>
    <mergeCell ref="B595:M595"/>
    <mergeCell ref="N595:P595"/>
    <mergeCell ref="Q595:V595"/>
    <mergeCell ref="W595:AB595"/>
    <mergeCell ref="AC595:AE595"/>
    <mergeCell ref="B592:M592"/>
    <mergeCell ref="N592:P592"/>
    <mergeCell ref="Q592:V592"/>
    <mergeCell ref="W592:AB592"/>
    <mergeCell ref="AC592:AE592"/>
    <mergeCell ref="B593:M593"/>
    <mergeCell ref="N593:P593"/>
    <mergeCell ref="Q593:V593"/>
    <mergeCell ref="W593:AB593"/>
    <mergeCell ref="AC593:AE593"/>
    <mergeCell ref="B590:M590"/>
    <mergeCell ref="N590:P590"/>
    <mergeCell ref="Q590:V590"/>
    <mergeCell ref="W590:AB590"/>
    <mergeCell ref="AC590:AE590"/>
    <mergeCell ref="B591:M591"/>
    <mergeCell ref="N591:P591"/>
    <mergeCell ref="Q591:V591"/>
    <mergeCell ref="W591:AB591"/>
    <mergeCell ref="AC591:AE591"/>
    <mergeCell ref="B588:M588"/>
    <mergeCell ref="N588:P588"/>
    <mergeCell ref="Q588:V588"/>
    <mergeCell ref="W588:AB588"/>
    <mergeCell ref="AC588:AE588"/>
    <mergeCell ref="B589:M589"/>
    <mergeCell ref="N589:P589"/>
    <mergeCell ref="Q589:V589"/>
    <mergeCell ref="W589:AB589"/>
    <mergeCell ref="AC589:AE589"/>
    <mergeCell ref="B586:M586"/>
    <mergeCell ref="N586:P586"/>
    <mergeCell ref="Q586:V586"/>
    <mergeCell ref="W586:AB586"/>
    <mergeCell ref="AC586:AE586"/>
    <mergeCell ref="B587:M587"/>
    <mergeCell ref="N587:P587"/>
    <mergeCell ref="Q587:V587"/>
    <mergeCell ref="W587:AB587"/>
    <mergeCell ref="AC587:AE587"/>
    <mergeCell ref="B584:M584"/>
    <mergeCell ref="N584:P584"/>
    <mergeCell ref="Q584:V584"/>
    <mergeCell ref="W584:AB584"/>
    <mergeCell ref="AC584:AE584"/>
    <mergeCell ref="B585:M585"/>
    <mergeCell ref="N585:P585"/>
    <mergeCell ref="Q585:V585"/>
    <mergeCell ref="W585:AB585"/>
    <mergeCell ref="AC585:AE585"/>
    <mergeCell ref="B582:M582"/>
    <mergeCell ref="N582:P582"/>
    <mergeCell ref="Q582:V582"/>
    <mergeCell ref="W582:AB582"/>
    <mergeCell ref="AC582:AE582"/>
    <mergeCell ref="B583:M583"/>
    <mergeCell ref="N583:P583"/>
    <mergeCell ref="Q583:V583"/>
    <mergeCell ref="W583:AB583"/>
    <mergeCell ref="AC583:AE583"/>
    <mergeCell ref="B580:M580"/>
    <mergeCell ref="N580:P580"/>
    <mergeCell ref="Q580:V580"/>
    <mergeCell ref="W580:AB580"/>
    <mergeCell ref="AC580:AE580"/>
    <mergeCell ref="B581:M581"/>
    <mergeCell ref="N581:P581"/>
    <mergeCell ref="Q581:V581"/>
    <mergeCell ref="W581:AB581"/>
    <mergeCell ref="AC581:AE581"/>
    <mergeCell ref="B578:M578"/>
    <mergeCell ref="N578:P578"/>
    <mergeCell ref="Q578:V578"/>
    <mergeCell ref="W578:AB578"/>
    <mergeCell ref="AC578:AE578"/>
    <mergeCell ref="B579:M579"/>
    <mergeCell ref="N579:P579"/>
    <mergeCell ref="Q579:V579"/>
    <mergeCell ref="W579:AB579"/>
    <mergeCell ref="AC579:AE579"/>
    <mergeCell ref="B576:M576"/>
    <mergeCell ref="N576:P576"/>
    <mergeCell ref="Q576:V576"/>
    <mergeCell ref="W576:AB576"/>
    <mergeCell ref="AC576:AE576"/>
    <mergeCell ref="B577:M577"/>
    <mergeCell ref="N577:P577"/>
    <mergeCell ref="Q577:V577"/>
    <mergeCell ref="W577:AB577"/>
    <mergeCell ref="AC577:AE577"/>
    <mergeCell ref="B574:M574"/>
    <mergeCell ref="N574:P574"/>
    <mergeCell ref="Q574:V574"/>
    <mergeCell ref="W574:AB574"/>
    <mergeCell ref="AC574:AE574"/>
    <mergeCell ref="B575:M575"/>
    <mergeCell ref="N575:P575"/>
    <mergeCell ref="Q575:V575"/>
    <mergeCell ref="W575:AB575"/>
    <mergeCell ref="AC575:AE575"/>
    <mergeCell ref="B572:M572"/>
    <mergeCell ref="N572:P572"/>
    <mergeCell ref="Q572:V572"/>
    <mergeCell ref="W572:AB572"/>
    <mergeCell ref="AC572:AE572"/>
    <mergeCell ref="B573:M573"/>
    <mergeCell ref="N573:P573"/>
    <mergeCell ref="Q573:V573"/>
    <mergeCell ref="W573:AB573"/>
    <mergeCell ref="AC573:AE573"/>
    <mergeCell ref="B570:M570"/>
    <mergeCell ref="N570:P570"/>
    <mergeCell ref="Q570:V570"/>
    <mergeCell ref="W570:AB570"/>
    <mergeCell ref="AC570:AE570"/>
    <mergeCell ref="B571:M571"/>
    <mergeCell ref="N571:P571"/>
    <mergeCell ref="Q571:V571"/>
    <mergeCell ref="W571:AB571"/>
    <mergeCell ref="AC571:AE571"/>
    <mergeCell ref="B568:M568"/>
    <mergeCell ref="N568:P568"/>
    <mergeCell ref="Q568:V568"/>
    <mergeCell ref="W568:AB568"/>
    <mergeCell ref="AC568:AE568"/>
    <mergeCell ref="B569:M569"/>
    <mergeCell ref="N569:P569"/>
    <mergeCell ref="Q569:V569"/>
    <mergeCell ref="W569:AB569"/>
    <mergeCell ref="AC569:AE569"/>
    <mergeCell ref="B566:M566"/>
    <mergeCell ref="N566:P566"/>
    <mergeCell ref="Q566:V566"/>
    <mergeCell ref="W566:AB566"/>
    <mergeCell ref="AC566:AE566"/>
    <mergeCell ref="B567:M567"/>
    <mergeCell ref="N567:P567"/>
    <mergeCell ref="Q567:V567"/>
    <mergeCell ref="W567:AB567"/>
    <mergeCell ref="AC567:AE567"/>
    <mergeCell ref="B564:M564"/>
    <mergeCell ref="N564:P564"/>
    <mergeCell ref="Q564:V564"/>
    <mergeCell ref="W564:AB564"/>
    <mergeCell ref="AC564:AE564"/>
    <mergeCell ref="B565:M565"/>
    <mergeCell ref="N565:P565"/>
    <mergeCell ref="Q565:V565"/>
    <mergeCell ref="W565:AB565"/>
    <mergeCell ref="AC565:AE565"/>
    <mergeCell ref="B562:M562"/>
    <mergeCell ref="N562:P562"/>
    <mergeCell ref="Q562:V562"/>
    <mergeCell ref="W562:AB562"/>
    <mergeCell ref="AC562:AE562"/>
    <mergeCell ref="B563:M563"/>
    <mergeCell ref="N563:P563"/>
    <mergeCell ref="Q563:V563"/>
    <mergeCell ref="W563:AB563"/>
    <mergeCell ref="AC563:AE563"/>
    <mergeCell ref="B560:M560"/>
    <mergeCell ref="N560:P560"/>
    <mergeCell ref="Q560:V560"/>
    <mergeCell ref="W560:AB560"/>
    <mergeCell ref="AC560:AE560"/>
    <mergeCell ref="B561:M561"/>
    <mergeCell ref="N561:P561"/>
    <mergeCell ref="Q561:V561"/>
    <mergeCell ref="W561:AB561"/>
    <mergeCell ref="AC561:AE561"/>
    <mergeCell ref="B558:M558"/>
    <mergeCell ref="N558:P558"/>
    <mergeCell ref="Q558:V558"/>
    <mergeCell ref="W558:AB558"/>
    <mergeCell ref="AC558:AE558"/>
    <mergeCell ref="B559:M559"/>
    <mergeCell ref="N559:P559"/>
    <mergeCell ref="Q559:V559"/>
    <mergeCell ref="W559:AB559"/>
    <mergeCell ref="AC559:AE559"/>
    <mergeCell ref="B556:M556"/>
    <mergeCell ref="N556:P556"/>
    <mergeCell ref="Q556:V556"/>
    <mergeCell ref="W556:AB556"/>
    <mergeCell ref="AC556:AE556"/>
    <mergeCell ref="B557:M557"/>
    <mergeCell ref="N557:P557"/>
    <mergeCell ref="Q557:V557"/>
    <mergeCell ref="W557:AB557"/>
    <mergeCell ref="AC557:AE557"/>
    <mergeCell ref="B554:M554"/>
    <mergeCell ref="N554:P554"/>
    <mergeCell ref="Q554:V554"/>
    <mergeCell ref="W554:AB554"/>
    <mergeCell ref="AC554:AE554"/>
    <mergeCell ref="B555:M555"/>
    <mergeCell ref="N555:P555"/>
    <mergeCell ref="Q555:V555"/>
    <mergeCell ref="W555:AB555"/>
    <mergeCell ref="AC555:AE555"/>
    <mergeCell ref="B552:M552"/>
    <mergeCell ref="N552:P552"/>
    <mergeCell ref="Q552:V552"/>
    <mergeCell ref="W552:AB552"/>
    <mergeCell ref="AC552:AE552"/>
    <mergeCell ref="B553:M553"/>
    <mergeCell ref="N553:P553"/>
    <mergeCell ref="Q553:V553"/>
    <mergeCell ref="W553:AB553"/>
    <mergeCell ref="AC553:AE553"/>
    <mergeCell ref="B550:M550"/>
    <mergeCell ref="N550:P550"/>
    <mergeCell ref="Q550:V550"/>
    <mergeCell ref="W550:AB550"/>
    <mergeCell ref="AC550:AE550"/>
    <mergeCell ref="B551:M551"/>
    <mergeCell ref="N551:P551"/>
    <mergeCell ref="Q551:V551"/>
    <mergeCell ref="W551:AB551"/>
    <mergeCell ref="AC551:AE551"/>
    <mergeCell ref="B548:M548"/>
    <mergeCell ref="N548:P548"/>
    <mergeCell ref="Q548:V548"/>
    <mergeCell ref="W548:AB548"/>
    <mergeCell ref="AC548:AE548"/>
    <mergeCell ref="B549:M549"/>
    <mergeCell ref="N549:P549"/>
    <mergeCell ref="Q549:V549"/>
    <mergeCell ref="W549:AB549"/>
    <mergeCell ref="AC549:AE549"/>
    <mergeCell ref="B546:M546"/>
    <mergeCell ref="N546:P546"/>
    <mergeCell ref="Q546:V546"/>
    <mergeCell ref="W546:AB546"/>
    <mergeCell ref="AC546:AE546"/>
    <mergeCell ref="B547:M547"/>
    <mergeCell ref="N547:P547"/>
    <mergeCell ref="Q547:V547"/>
    <mergeCell ref="W547:AB547"/>
    <mergeCell ref="AC547:AE547"/>
    <mergeCell ref="B544:M544"/>
    <mergeCell ref="N544:P544"/>
    <mergeCell ref="Q544:V544"/>
    <mergeCell ref="W544:AB544"/>
    <mergeCell ref="AC544:AE544"/>
    <mergeCell ref="B545:M545"/>
    <mergeCell ref="N545:P545"/>
    <mergeCell ref="Q545:V545"/>
    <mergeCell ref="W545:AB545"/>
    <mergeCell ref="AC545:AE545"/>
    <mergeCell ref="B542:M542"/>
    <mergeCell ref="N542:P542"/>
    <mergeCell ref="Q542:V542"/>
    <mergeCell ref="W542:AB542"/>
    <mergeCell ref="AC542:AE542"/>
    <mergeCell ref="B543:M543"/>
    <mergeCell ref="N543:P543"/>
    <mergeCell ref="Q543:V543"/>
    <mergeCell ref="W543:AB543"/>
    <mergeCell ref="AC543:AE543"/>
    <mergeCell ref="B540:M540"/>
    <mergeCell ref="N540:P540"/>
    <mergeCell ref="Q540:V540"/>
    <mergeCell ref="W540:AB540"/>
    <mergeCell ref="AC540:AE540"/>
    <mergeCell ref="B541:M541"/>
    <mergeCell ref="N541:P541"/>
    <mergeCell ref="Q541:V541"/>
    <mergeCell ref="W541:AB541"/>
    <mergeCell ref="AC541:AE541"/>
    <mergeCell ref="B538:M538"/>
    <mergeCell ref="N538:P538"/>
    <mergeCell ref="Q538:V538"/>
    <mergeCell ref="W538:AB538"/>
    <mergeCell ref="AC538:AE538"/>
    <mergeCell ref="B539:M539"/>
    <mergeCell ref="N539:P539"/>
    <mergeCell ref="Q539:V539"/>
    <mergeCell ref="W539:AB539"/>
    <mergeCell ref="AC539:AE539"/>
    <mergeCell ref="B536:M536"/>
    <mergeCell ref="N536:P536"/>
    <mergeCell ref="Q536:V536"/>
    <mergeCell ref="W536:AB536"/>
    <mergeCell ref="AC536:AE536"/>
    <mergeCell ref="B537:M537"/>
    <mergeCell ref="N537:P537"/>
    <mergeCell ref="Q537:V537"/>
    <mergeCell ref="W537:AB537"/>
    <mergeCell ref="AC537:AE537"/>
    <mergeCell ref="B534:M534"/>
    <mergeCell ref="N534:P534"/>
    <mergeCell ref="Q534:V534"/>
    <mergeCell ref="W534:AB534"/>
    <mergeCell ref="AC534:AE534"/>
    <mergeCell ref="B535:M535"/>
    <mergeCell ref="N535:P535"/>
    <mergeCell ref="Q535:V535"/>
    <mergeCell ref="W535:AB535"/>
    <mergeCell ref="AC535:AE535"/>
    <mergeCell ref="B532:M532"/>
    <mergeCell ref="N532:P532"/>
    <mergeCell ref="Q532:V532"/>
    <mergeCell ref="W532:AB532"/>
    <mergeCell ref="AC532:AE532"/>
    <mergeCell ref="B533:M533"/>
    <mergeCell ref="N533:P533"/>
    <mergeCell ref="Q533:V533"/>
    <mergeCell ref="W533:AB533"/>
    <mergeCell ref="AC533:AE533"/>
    <mergeCell ref="B530:M530"/>
    <mergeCell ref="N530:P530"/>
    <mergeCell ref="Q530:V530"/>
    <mergeCell ref="W530:AB530"/>
    <mergeCell ref="AC530:AE530"/>
    <mergeCell ref="B531:M531"/>
    <mergeCell ref="N531:P531"/>
    <mergeCell ref="Q531:V531"/>
    <mergeCell ref="W531:AB531"/>
    <mergeCell ref="AC531:AE531"/>
    <mergeCell ref="B528:M528"/>
    <mergeCell ref="N528:P528"/>
    <mergeCell ref="Q528:V528"/>
    <mergeCell ref="W528:AB528"/>
    <mergeCell ref="AC528:AE528"/>
    <mergeCell ref="B529:M529"/>
    <mergeCell ref="N529:P529"/>
    <mergeCell ref="Q529:V529"/>
    <mergeCell ref="W529:AB529"/>
    <mergeCell ref="AC529:AE529"/>
    <mergeCell ref="B526:M526"/>
    <mergeCell ref="N526:P526"/>
    <mergeCell ref="Q526:V526"/>
    <mergeCell ref="W526:AB526"/>
    <mergeCell ref="AC526:AE526"/>
    <mergeCell ref="B527:M527"/>
    <mergeCell ref="N527:P527"/>
    <mergeCell ref="Q527:V527"/>
    <mergeCell ref="W527:AB527"/>
    <mergeCell ref="AC527:AE527"/>
    <mergeCell ref="B524:M524"/>
    <mergeCell ref="N524:P524"/>
    <mergeCell ref="Q524:V524"/>
    <mergeCell ref="W524:AB524"/>
    <mergeCell ref="AC524:AE524"/>
    <mergeCell ref="B525:M525"/>
    <mergeCell ref="N525:P525"/>
    <mergeCell ref="Q525:V525"/>
    <mergeCell ref="W525:AB525"/>
    <mergeCell ref="AC525:AE525"/>
    <mergeCell ref="B522:M522"/>
    <mergeCell ref="N522:P522"/>
    <mergeCell ref="Q522:V522"/>
    <mergeCell ref="W522:AB522"/>
    <mergeCell ref="AC522:AE522"/>
    <mergeCell ref="B523:M523"/>
    <mergeCell ref="N523:P523"/>
    <mergeCell ref="Q523:V523"/>
    <mergeCell ref="W523:AB523"/>
    <mergeCell ref="AC523:AE523"/>
    <mergeCell ref="B520:M520"/>
    <mergeCell ref="N520:P520"/>
    <mergeCell ref="Q520:V520"/>
    <mergeCell ref="W520:AB520"/>
    <mergeCell ref="AC520:AE520"/>
    <mergeCell ref="B521:M521"/>
    <mergeCell ref="N521:P521"/>
    <mergeCell ref="Q521:V521"/>
    <mergeCell ref="W521:AB521"/>
    <mergeCell ref="AC521:AE521"/>
    <mergeCell ref="B518:M518"/>
    <mergeCell ref="N518:P518"/>
    <mergeCell ref="Q518:V518"/>
    <mergeCell ref="W518:AB518"/>
    <mergeCell ref="AC518:AE518"/>
    <mergeCell ref="B519:M519"/>
    <mergeCell ref="N519:P519"/>
    <mergeCell ref="Q519:V519"/>
    <mergeCell ref="W519:AB519"/>
    <mergeCell ref="AC519:AE519"/>
    <mergeCell ref="B516:M516"/>
    <mergeCell ref="N516:P516"/>
    <mergeCell ref="Q516:V516"/>
    <mergeCell ref="W516:AB516"/>
    <mergeCell ref="AC516:AE516"/>
    <mergeCell ref="B517:M517"/>
    <mergeCell ref="N517:P517"/>
    <mergeCell ref="Q517:V517"/>
    <mergeCell ref="W517:AB517"/>
    <mergeCell ref="AC517:AE517"/>
    <mergeCell ref="B514:M514"/>
    <mergeCell ref="N514:P514"/>
    <mergeCell ref="Q514:V514"/>
    <mergeCell ref="W514:AB514"/>
    <mergeCell ref="AC514:AE514"/>
    <mergeCell ref="B515:M515"/>
    <mergeCell ref="N515:P515"/>
    <mergeCell ref="Q515:V515"/>
    <mergeCell ref="W515:AB515"/>
    <mergeCell ref="AC515:AE515"/>
    <mergeCell ref="B512:M512"/>
    <mergeCell ref="N512:P512"/>
    <mergeCell ref="Q512:V512"/>
    <mergeCell ref="W512:AB512"/>
    <mergeCell ref="AC512:AE512"/>
    <mergeCell ref="B513:M513"/>
    <mergeCell ref="N513:P513"/>
    <mergeCell ref="Q513:V513"/>
    <mergeCell ref="W513:AB513"/>
    <mergeCell ref="AC513:AE513"/>
    <mergeCell ref="B510:M510"/>
    <mergeCell ref="N510:P510"/>
    <mergeCell ref="Q510:V510"/>
    <mergeCell ref="W510:AB510"/>
    <mergeCell ref="AC510:AE510"/>
    <mergeCell ref="B511:M511"/>
    <mergeCell ref="N511:P511"/>
    <mergeCell ref="Q511:V511"/>
    <mergeCell ref="W511:AB511"/>
    <mergeCell ref="AC511:AE511"/>
    <mergeCell ref="B508:M508"/>
    <mergeCell ref="N508:P508"/>
    <mergeCell ref="Q508:V508"/>
    <mergeCell ref="W508:AB508"/>
    <mergeCell ref="AC508:AE508"/>
    <mergeCell ref="B509:M509"/>
    <mergeCell ref="N509:P509"/>
    <mergeCell ref="Q509:V509"/>
    <mergeCell ref="W509:AB509"/>
    <mergeCell ref="AC509:AE509"/>
    <mergeCell ref="B506:M506"/>
    <mergeCell ref="N506:P506"/>
    <mergeCell ref="Q506:V506"/>
    <mergeCell ref="W506:AB506"/>
    <mergeCell ref="AC506:AE506"/>
    <mergeCell ref="B507:M507"/>
    <mergeCell ref="N507:P507"/>
    <mergeCell ref="Q507:V507"/>
    <mergeCell ref="W507:AB507"/>
    <mergeCell ref="AC507:AE507"/>
    <mergeCell ref="B504:M504"/>
    <mergeCell ref="N504:P504"/>
    <mergeCell ref="Q504:V504"/>
    <mergeCell ref="W504:AB504"/>
    <mergeCell ref="AC504:AE504"/>
    <mergeCell ref="B505:M505"/>
    <mergeCell ref="N505:P505"/>
    <mergeCell ref="Q505:V505"/>
    <mergeCell ref="W505:AB505"/>
    <mergeCell ref="AC505:AE505"/>
    <mergeCell ref="B502:M502"/>
    <mergeCell ref="N502:P502"/>
    <mergeCell ref="Q502:V502"/>
    <mergeCell ref="W502:AB502"/>
    <mergeCell ref="AC502:AE502"/>
    <mergeCell ref="B503:M503"/>
    <mergeCell ref="N503:P503"/>
    <mergeCell ref="Q503:V503"/>
    <mergeCell ref="W503:AB503"/>
    <mergeCell ref="AC503:AE503"/>
    <mergeCell ref="B500:M500"/>
    <mergeCell ref="N500:P500"/>
    <mergeCell ref="Q500:V500"/>
    <mergeCell ref="W500:AB500"/>
    <mergeCell ref="AC500:AE500"/>
    <mergeCell ref="B501:M501"/>
    <mergeCell ref="N501:P501"/>
    <mergeCell ref="Q501:V501"/>
    <mergeCell ref="W501:AB501"/>
    <mergeCell ref="AC501:AE501"/>
    <mergeCell ref="B498:M498"/>
    <mergeCell ref="N498:P498"/>
    <mergeCell ref="Q498:V498"/>
    <mergeCell ref="W498:AB498"/>
    <mergeCell ref="AC498:AE498"/>
    <mergeCell ref="B499:M499"/>
    <mergeCell ref="N499:P499"/>
    <mergeCell ref="Q499:V499"/>
    <mergeCell ref="W499:AB499"/>
    <mergeCell ref="AC499:AE499"/>
    <mergeCell ref="B496:M496"/>
    <mergeCell ref="N496:P496"/>
    <mergeCell ref="Q496:V496"/>
    <mergeCell ref="W496:AB496"/>
    <mergeCell ref="AC496:AE496"/>
    <mergeCell ref="B497:M497"/>
    <mergeCell ref="N497:P497"/>
    <mergeCell ref="Q497:V497"/>
    <mergeCell ref="W497:AB497"/>
    <mergeCell ref="AC497:AE497"/>
    <mergeCell ref="B494:M494"/>
    <mergeCell ref="N494:P494"/>
    <mergeCell ref="Q494:V494"/>
    <mergeCell ref="W494:AB494"/>
    <mergeCell ref="AC494:AE494"/>
    <mergeCell ref="B495:M495"/>
    <mergeCell ref="N495:P495"/>
    <mergeCell ref="Q495:V495"/>
    <mergeCell ref="W495:AB495"/>
    <mergeCell ref="AC495:AE495"/>
    <mergeCell ref="B492:M492"/>
    <mergeCell ref="N492:P492"/>
    <mergeCell ref="Q492:V492"/>
    <mergeCell ref="W492:AB492"/>
    <mergeCell ref="AC492:AE492"/>
    <mergeCell ref="B493:M493"/>
    <mergeCell ref="N493:P493"/>
    <mergeCell ref="Q493:V493"/>
    <mergeCell ref="W493:AB493"/>
    <mergeCell ref="AC493:AE493"/>
    <mergeCell ref="B490:M490"/>
    <mergeCell ref="N490:P490"/>
    <mergeCell ref="Q490:V490"/>
    <mergeCell ref="W490:AB490"/>
    <mergeCell ref="AC490:AE490"/>
    <mergeCell ref="B491:M491"/>
    <mergeCell ref="N491:P491"/>
    <mergeCell ref="Q491:V491"/>
    <mergeCell ref="W491:AB491"/>
    <mergeCell ref="AC491:AE491"/>
    <mergeCell ref="B488:M488"/>
    <mergeCell ref="N488:P488"/>
    <mergeCell ref="Q488:V488"/>
    <mergeCell ref="W488:AB488"/>
    <mergeCell ref="AC488:AE488"/>
    <mergeCell ref="B489:M489"/>
    <mergeCell ref="N489:P489"/>
    <mergeCell ref="Q489:V489"/>
    <mergeCell ref="W489:AB489"/>
    <mergeCell ref="AC489:AE489"/>
    <mergeCell ref="B486:M486"/>
    <mergeCell ref="N486:P486"/>
    <mergeCell ref="Q486:V486"/>
    <mergeCell ref="W486:AB486"/>
    <mergeCell ref="AC486:AE486"/>
    <mergeCell ref="B487:M487"/>
    <mergeCell ref="N487:P487"/>
    <mergeCell ref="Q487:V487"/>
    <mergeCell ref="W487:AB487"/>
    <mergeCell ref="AC487:AE487"/>
    <mergeCell ref="B484:M484"/>
    <mergeCell ref="N484:P484"/>
    <mergeCell ref="Q484:V484"/>
    <mergeCell ref="W484:AB484"/>
    <mergeCell ref="AC484:AE484"/>
    <mergeCell ref="B485:M485"/>
    <mergeCell ref="N485:P485"/>
    <mergeCell ref="Q485:V485"/>
    <mergeCell ref="W485:AB485"/>
    <mergeCell ref="AC485:AE485"/>
    <mergeCell ref="B482:M482"/>
    <mergeCell ref="N482:P482"/>
    <mergeCell ref="Q482:V482"/>
    <mergeCell ref="W482:AB482"/>
    <mergeCell ref="AC482:AE482"/>
    <mergeCell ref="B483:M483"/>
    <mergeCell ref="N483:P483"/>
    <mergeCell ref="Q483:V483"/>
    <mergeCell ref="W483:AB483"/>
    <mergeCell ref="AC483:AE483"/>
    <mergeCell ref="B480:M480"/>
    <mergeCell ref="N480:P480"/>
    <mergeCell ref="Q480:V480"/>
    <mergeCell ref="W480:AB480"/>
    <mergeCell ref="AC480:AE480"/>
    <mergeCell ref="B481:M481"/>
    <mergeCell ref="N481:P481"/>
    <mergeCell ref="Q481:V481"/>
    <mergeCell ref="W481:AB481"/>
    <mergeCell ref="AC481:AE481"/>
    <mergeCell ref="B478:M478"/>
    <mergeCell ref="N478:P478"/>
    <mergeCell ref="Q478:V478"/>
    <mergeCell ref="W478:AB478"/>
    <mergeCell ref="AC478:AE478"/>
    <mergeCell ref="B479:M479"/>
    <mergeCell ref="N479:P479"/>
    <mergeCell ref="Q479:V479"/>
    <mergeCell ref="W479:AB479"/>
    <mergeCell ref="AC479:AE479"/>
    <mergeCell ref="B476:M476"/>
    <mergeCell ref="N476:P476"/>
    <mergeCell ref="Q476:V476"/>
    <mergeCell ref="W476:AB476"/>
    <mergeCell ref="AC476:AE476"/>
    <mergeCell ref="B477:M477"/>
    <mergeCell ref="N477:P477"/>
    <mergeCell ref="Q477:V477"/>
    <mergeCell ref="W477:AB477"/>
    <mergeCell ref="AC477:AE477"/>
    <mergeCell ref="B474:M474"/>
    <mergeCell ref="N474:P474"/>
    <mergeCell ref="Q474:V474"/>
    <mergeCell ref="W474:AB474"/>
    <mergeCell ref="AC474:AE474"/>
    <mergeCell ref="B475:M475"/>
    <mergeCell ref="N475:P475"/>
    <mergeCell ref="Q475:V475"/>
    <mergeCell ref="W475:AB475"/>
    <mergeCell ref="AC475:AE475"/>
    <mergeCell ref="B472:M472"/>
    <mergeCell ref="N472:P472"/>
    <mergeCell ref="Q472:V472"/>
    <mergeCell ref="W472:AB472"/>
    <mergeCell ref="AC472:AE472"/>
    <mergeCell ref="B473:M473"/>
    <mergeCell ref="N473:P473"/>
    <mergeCell ref="Q473:V473"/>
    <mergeCell ref="W473:AB473"/>
    <mergeCell ref="AC473:AE473"/>
    <mergeCell ref="B470:M470"/>
    <mergeCell ref="N470:P470"/>
    <mergeCell ref="Q470:V470"/>
    <mergeCell ref="W470:AB470"/>
    <mergeCell ref="AC470:AE470"/>
    <mergeCell ref="B471:M471"/>
    <mergeCell ref="N471:P471"/>
    <mergeCell ref="Q471:V471"/>
    <mergeCell ref="W471:AB471"/>
    <mergeCell ref="AC471:AE471"/>
    <mergeCell ref="B468:M468"/>
    <mergeCell ref="N468:P468"/>
    <mergeCell ref="Q468:V468"/>
    <mergeCell ref="W468:AB468"/>
    <mergeCell ref="AC468:AE468"/>
    <mergeCell ref="B469:M469"/>
    <mergeCell ref="N469:P469"/>
    <mergeCell ref="Q469:V469"/>
    <mergeCell ref="W469:AB469"/>
    <mergeCell ref="AC469:AE469"/>
    <mergeCell ref="B466:M466"/>
    <mergeCell ref="N466:P466"/>
    <mergeCell ref="Q466:V466"/>
    <mergeCell ref="W466:AB466"/>
    <mergeCell ref="AC466:AE466"/>
    <mergeCell ref="B467:M467"/>
    <mergeCell ref="N467:P467"/>
    <mergeCell ref="Q467:V467"/>
    <mergeCell ref="W467:AB467"/>
    <mergeCell ref="AC467:AE467"/>
    <mergeCell ref="B464:M464"/>
    <mergeCell ref="N464:P464"/>
    <mergeCell ref="Q464:V464"/>
    <mergeCell ref="W464:AB464"/>
    <mergeCell ref="AC464:AE464"/>
    <mergeCell ref="B465:M465"/>
    <mergeCell ref="N465:P465"/>
    <mergeCell ref="Q465:V465"/>
    <mergeCell ref="W465:AB465"/>
    <mergeCell ref="AC465:AE465"/>
    <mergeCell ref="B462:M462"/>
    <mergeCell ref="N462:P462"/>
    <mergeCell ref="Q462:V462"/>
    <mergeCell ref="W462:AB462"/>
    <mergeCell ref="AC462:AE462"/>
    <mergeCell ref="B463:M463"/>
    <mergeCell ref="N463:P463"/>
    <mergeCell ref="Q463:V463"/>
    <mergeCell ref="W463:AB463"/>
    <mergeCell ref="AC463:AE463"/>
    <mergeCell ref="B460:M460"/>
    <mergeCell ref="N460:P460"/>
    <mergeCell ref="Q460:V460"/>
    <mergeCell ref="W460:AB460"/>
    <mergeCell ref="AC460:AE460"/>
    <mergeCell ref="B461:M461"/>
    <mergeCell ref="N461:P461"/>
    <mergeCell ref="Q461:V461"/>
    <mergeCell ref="W461:AB461"/>
    <mergeCell ref="AC461:AE461"/>
    <mergeCell ref="B458:M458"/>
    <mergeCell ref="N458:P458"/>
    <mergeCell ref="Q458:V458"/>
    <mergeCell ref="W458:AB458"/>
    <mergeCell ref="AC458:AE458"/>
    <mergeCell ref="B459:M459"/>
    <mergeCell ref="N459:P459"/>
    <mergeCell ref="Q459:V459"/>
    <mergeCell ref="W459:AB459"/>
    <mergeCell ref="AC459:AE459"/>
    <mergeCell ref="B456:M456"/>
    <mergeCell ref="N456:P456"/>
    <mergeCell ref="Q456:V456"/>
    <mergeCell ref="W456:AB456"/>
    <mergeCell ref="AC456:AE456"/>
    <mergeCell ref="B457:M457"/>
    <mergeCell ref="N457:P457"/>
    <mergeCell ref="Q457:V457"/>
    <mergeCell ref="W457:AB457"/>
    <mergeCell ref="AC457:AE457"/>
    <mergeCell ref="B454:M454"/>
    <mergeCell ref="N454:P454"/>
    <mergeCell ref="Q454:V454"/>
    <mergeCell ref="W454:AB454"/>
    <mergeCell ref="AC454:AE454"/>
    <mergeCell ref="B455:M455"/>
    <mergeCell ref="N455:P455"/>
    <mergeCell ref="Q455:V455"/>
    <mergeCell ref="W455:AB455"/>
    <mergeCell ref="AC455:AE455"/>
    <mergeCell ref="B452:M452"/>
    <mergeCell ref="N452:P452"/>
    <mergeCell ref="Q452:V452"/>
    <mergeCell ref="W452:AB452"/>
    <mergeCell ref="AC452:AE452"/>
    <mergeCell ref="B453:M453"/>
    <mergeCell ref="N453:P453"/>
    <mergeCell ref="Q453:V453"/>
    <mergeCell ref="W453:AB453"/>
    <mergeCell ref="AC453:AE453"/>
    <mergeCell ref="B450:M450"/>
    <mergeCell ref="N450:P450"/>
    <mergeCell ref="Q450:V450"/>
    <mergeCell ref="W450:AB450"/>
    <mergeCell ref="AC450:AE450"/>
    <mergeCell ref="B451:M451"/>
    <mergeCell ref="N451:P451"/>
    <mergeCell ref="Q451:V451"/>
    <mergeCell ref="W451:AB451"/>
    <mergeCell ref="AC451:AE451"/>
    <mergeCell ref="B448:M448"/>
    <mergeCell ref="N448:P448"/>
    <mergeCell ref="Q448:V448"/>
    <mergeCell ref="W448:AB448"/>
    <mergeCell ref="AC448:AE448"/>
    <mergeCell ref="B449:M449"/>
    <mergeCell ref="N449:P449"/>
    <mergeCell ref="Q449:V449"/>
    <mergeCell ref="W449:AB449"/>
    <mergeCell ref="AC449:AE449"/>
    <mergeCell ref="B446:M446"/>
    <mergeCell ref="N446:P446"/>
    <mergeCell ref="Q446:V446"/>
    <mergeCell ref="W446:AB446"/>
    <mergeCell ref="AC446:AE446"/>
    <mergeCell ref="B447:M447"/>
    <mergeCell ref="N447:P447"/>
    <mergeCell ref="Q447:V447"/>
    <mergeCell ref="W447:AB447"/>
    <mergeCell ref="AC447:AE447"/>
    <mergeCell ref="B444:M444"/>
    <mergeCell ref="N444:P444"/>
    <mergeCell ref="Q444:V444"/>
    <mergeCell ref="W444:AB444"/>
    <mergeCell ref="AC444:AE444"/>
    <mergeCell ref="B445:M445"/>
    <mergeCell ref="N445:P445"/>
    <mergeCell ref="Q445:V445"/>
    <mergeCell ref="W445:AB445"/>
    <mergeCell ref="AC445:AE445"/>
    <mergeCell ref="B442:M442"/>
    <mergeCell ref="N442:P442"/>
    <mergeCell ref="Q442:V442"/>
    <mergeCell ref="W442:AB442"/>
    <mergeCell ref="AC442:AE442"/>
    <mergeCell ref="B443:M443"/>
    <mergeCell ref="N443:P443"/>
    <mergeCell ref="Q443:V443"/>
    <mergeCell ref="W443:AB443"/>
    <mergeCell ref="AC443:AE443"/>
    <mergeCell ref="B440:M440"/>
    <mergeCell ref="N440:P440"/>
    <mergeCell ref="Q440:V440"/>
    <mergeCell ref="W440:AB440"/>
    <mergeCell ref="AC440:AE440"/>
    <mergeCell ref="B441:M441"/>
    <mergeCell ref="N441:P441"/>
    <mergeCell ref="Q441:V441"/>
    <mergeCell ref="W441:AB441"/>
    <mergeCell ref="AC441:AE441"/>
    <mergeCell ref="B438:M438"/>
    <mergeCell ref="N438:P438"/>
    <mergeCell ref="Q438:V438"/>
    <mergeCell ref="W438:AB438"/>
    <mergeCell ref="AC438:AE438"/>
    <mergeCell ref="B439:M439"/>
    <mergeCell ref="N439:P439"/>
    <mergeCell ref="Q439:V439"/>
    <mergeCell ref="W439:AB439"/>
    <mergeCell ref="AC439:AE439"/>
    <mergeCell ref="B436:M436"/>
    <mergeCell ref="N436:P436"/>
    <mergeCell ref="Q436:V436"/>
    <mergeCell ref="W436:AB436"/>
    <mergeCell ref="AC436:AE436"/>
    <mergeCell ref="B437:M437"/>
    <mergeCell ref="N437:P437"/>
    <mergeCell ref="Q437:V437"/>
    <mergeCell ref="W437:AB437"/>
    <mergeCell ref="AC437:AE437"/>
    <mergeCell ref="B434:M434"/>
    <mergeCell ref="N434:P434"/>
    <mergeCell ref="Q434:V434"/>
    <mergeCell ref="W434:AB434"/>
    <mergeCell ref="AC434:AE434"/>
    <mergeCell ref="B435:M435"/>
    <mergeCell ref="N435:P435"/>
    <mergeCell ref="Q435:V435"/>
    <mergeCell ref="W435:AB435"/>
    <mergeCell ref="AC435:AE435"/>
    <mergeCell ref="B432:M432"/>
    <mergeCell ref="N432:P432"/>
    <mergeCell ref="Q432:V432"/>
    <mergeCell ref="W432:AB432"/>
    <mergeCell ref="AC432:AE432"/>
    <mergeCell ref="B433:M433"/>
    <mergeCell ref="N433:P433"/>
    <mergeCell ref="Q433:V433"/>
    <mergeCell ref="W433:AB433"/>
    <mergeCell ref="AC433:AE433"/>
    <mergeCell ref="B430:M430"/>
    <mergeCell ref="N430:P430"/>
    <mergeCell ref="Q430:V430"/>
    <mergeCell ref="W430:AB430"/>
    <mergeCell ref="AC430:AE430"/>
    <mergeCell ref="B431:M431"/>
    <mergeCell ref="N431:P431"/>
    <mergeCell ref="Q431:V431"/>
    <mergeCell ref="W431:AB431"/>
    <mergeCell ref="AC431:AE431"/>
    <mergeCell ref="B428:M428"/>
    <mergeCell ref="N428:P428"/>
    <mergeCell ref="Q428:V428"/>
    <mergeCell ref="W428:AB428"/>
    <mergeCell ref="AC428:AE428"/>
    <mergeCell ref="B429:M429"/>
    <mergeCell ref="N429:P429"/>
    <mergeCell ref="Q429:V429"/>
    <mergeCell ref="W429:AB429"/>
    <mergeCell ref="AC429:AE429"/>
    <mergeCell ref="B426:M426"/>
    <mergeCell ref="N426:P426"/>
    <mergeCell ref="Q426:V426"/>
    <mergeCell ref="W426:AB426"/>
    <mergeCell ref="AC426:AE426"/>
    <mergeCell ref="B427:M427"/>
    <mergeCell ref="N427:P427"/>
    <mergeCell ref="Q427:V427"/>
    <mergeCell ref="W427:AB427"/>
    <mergeCell ref="AC427:AE427"/>
    <mergeCell ref="B424:M424"/>
    <mergeCell ref="N424:P424"/>
    <mergeCell ref="Q424:V424"/>
    <mergeCell ref="W424:AB424"/>
    <mergeCell ref="AC424:AE424"/>
    <mergeCell ref="B425:M425"/>
    <mergeCell ref="N425:P425"/>
    <mergeCell ref="Q425:V425"/>
    <mergeCell ref="W425:AB425"/>
    <mergeCell ref="AC425:AE425"/>
    <mergeCell ref="B422:M422"/>
    <mergeCell ref="N422:P422"/>
    <mergeCell ref="Q422:V422"/>
    <mergeCell ref="W422:AB422"/>
    <mergeCell ref="AC422:AE422"/>
    <mergeCell ref="B423:M423"/>
    <mergeCell ref="N423:P423"/>
    <mergeCell ref="Q423:V423"/>
    <mergeCell ref="W423:AB423"/>
    <mergeCell ref="AC423:AE423"/>
    <mergeCell ref="B420:M420"/>
    <mergeCell ref="N420:P420"/>
    <mergeCell ref="Q420:V420"/>
    <mergeCell ref="W420:AB420"/>
    <mergeCell ref="AC420:AE420"/>
    <mergeCell ref="B421:M421"/>
    <mergeCell ref="N421:P421"/>
    <mergeCell ref="Q421:V421"/>
    <mergeCell ref="W421:AB421"/>
    <mergeCell ref="AC421:AE421"/>
    <mergeCell ref="B418:M418"/>
    <mergeCell ref="N418:P418"/>
    <mergeCell ref="Q418:V418"/>
    <mergeCell ref="W418:AB418"/>
    <mergeCell ref="AC418:AE418"/>
    <mergeCell ref="B419:M419"/>
    <mergeCell ref="N419:P419"/>
    <mergeCell ref="Q419:V419"/>
    <mergeCell ref="W419:AB419"/>
    <mergeCell ref="AC419:AE419"/>
    <mergeCell ref="B416:M416"/>
    <mergeCell ref="N416:P416"/>
    <mergeCell ref="Q416:V416"/>
    <mergeCell ref="W416:AB416"/>
    <mergeCell ref="AC416:AE416"/>
    <mergeCell ref="B417:M417"/>
    <mergeCell ref="N417:P417"/>
    <mergeCell ref="Q417:V417"/>
    <mergeCell ref="W417:AB417"/>
    <mergeCell ref="AC417:AE417"/>
    <mergeCell ref="B414:M414"/>
    <mergeCell ref="N414:P414"/>
    <mergeCell ref="Q414:V414"/>
    <mergeCell ref="W414:AB414"/>
    <mergeCell ref="AC414:AE414"/>
    <mergeCell ref="B415:M415"/>
    <mergeCell ref="N415:P415"/>
    <mergeCell ref="Q415:V415"/>
    <mergeCell ref="W415:AB415"/>
    <mergeCell ref="AC415:AE415"/>
    <mergeCell ref="B412:M412"/>
    <mergeCell ref="N412:P412"/>
    <mergeCell ref="Q412:V412"/>
    <mergeCell ref="W412:AB412"/>
    <mergeCell ref="AC412:AE412"/>
    <mergeCell ref="B413:M413"/>
    <mergeCell ref="N413:P413"/>
    <mergeCell ref="Q413:V413"/>
    <mergeCell ref="W413:AB413"/>
    <mergeCell ref="AC413:AE413"/>
    <mergeCell ref="B410:M410"/>
    <mergeCell ref="N410:P410"/>
    <mergeCell ref="Q410:V410"/>
    <mergeCell ref="W410:AB410"/>
    <mergeCell ref="AC410:AE410"/>
    <mergeCell ref="B411:M411"/>
    <mergeCell ref="N411:P411"/>
    <mergeCell ref="Q411:V411"/>
    <mergeCell ref="W411:AB411"/>
    <mergeCell ref="AC411:AE411"/>
    <mergeCell ref="B408:M408"/>
    <mergeCell ref="N408:P408"/>
    <mergeCell ref="Q408:V408"/>
    <mergeCell ref="W408:AB408"/>
    <mergeCell ref="AC408:AE408"/>
    <mergeCell ref="B409:M409"/>
    <mergeCell ref="N409:P409"/>
    <mergeCell ref="Q409:V409"/>
    <mergeCell ref="W409:AB409"/>
    <mergeCell ref="AC409:AE409"/>
    <mergeCell ref="B406:M406"/>
    <mergeCell ref="N406:P406"/>
    <mergeCell ref="Q406:V406"/>
    <mergeCell ref="W406:AB406"/>
    <mergeCell ref="AC406:AE406"/>
    <mergeCell ref="B407:M407"/>
    <mergeCell ref="N407:P407"/>
    <mergeCell ref="Q407:V407"/>
    <mergeCell ref="W407:AB407"/>
    <mergeCell ref="AC407:AE407"/>
    <mergeCell ref="B404:M404"/>
    <mergeCell ref="N404:P404"/>
    <mergeCell ref="Q404:V404"/>
    <mergeCell ref="W404:AB404"/>
    <mergeCell ref="AC404:AE404"/>
    <mergeCell ref="B405:M405"/>
    <mergeCell ref="N405:P405"/>
    <mergeCell ref="Q405:V405"/>
    <mergeCell ref="W405:AB405"/>
    <mergeCell ref="AC405:AE405"/>
    <mergeCell ref="B402:M402"/>
    <mergeCell ref="N402:P402"/>
    <mergeCell ref="Q402:V402"/>
    <mergeCell ref="W402:AB402"/>
    <mergeCell ref="AC402:AE402"/>
    <mergeCell ref="B403:M403"/>
    <mergeCell ref="N403:P403"/>
    <mergeCell ref="Q403:V403"/>
    <mergeCell ref="W403:AB403"/>
    <mergeCell ref="AC403:AE403"/>
    <mergeCell ref="B400:M400"/>
    <mergeCell ref="N400:P400"/>
    <mergeCell ref="Q400:V400"/>
    <mergeCell ref="W400:AB400"/>
    <mergeCell ref="AC400:AE400"/>
    <mergeCell ref="B401:M401"/>
    <mergeCell ref="N401:P401"/>
    <mergeCell ref="Q401:V401"/>
    <mergeCell ref="W401:AB401"/>
    <mergeCell ref="AC401:AE401"/>
    <mergeCell ref="B398:M398"/>
    <mergeCell ref="N398:P398"/>
    <mergeCell ref="Q398:V398"/>
    <mergeCell ref="W398:AB398"/>
    <mergeCell ref="AC398:AE398"/>
    <mergeCell ref="B399:M399"/>
    <mergeCell ref="N399:P399"/>
    <mergeCell ref="Q399:V399"/>
    <mergeCell ref="W399:AB399"/>
    <mergeCell ref="AC399:AE399"/>
    <mergeCell ref="B396:M396"/>
    <mergeCell ref="N396:P396"/>
    <mergeCell ref="Q396:V396"/>
    <mergeCell ref="W396:AB396"/>
    <mergeCell ref="AC396:AE396"/>
    <mergeCell ref="B397:M397"/>
    <mergeCell ref="N397:P397"/>
    <mergeCell ref="Q397:V397"/>
    <mergeCell ref="W397:AB397"/>
    <mergeCell ref="AC397:AE397"/>
    <mergeCell ref="B394:M394"/>
    <mergeCell ref="N394:P394"/>
    <mergeCell ref="Q394:V394"/>
    <mergeCell ref="W394:AB394"/>
    <mergeCell ref="AC394:AE394"/>
    <mergeCell ref="B395:M395"/>
    <mergeCell ref="N395:P395"/>
    <mergeCell ref="Q395:V395"/>
    <mergeCell ref="W395:AB395"/>
    <mergeCell ref="AC395:AE395"/>
    <mergeCell ref="B392:M392"/>
    <mergeCell ref="N392:P392"/>
    <mergeCell ref="Q392:V392"/>
    <mergeCell ref="W392:AB392"/>
    <mergeCell ref="AC392:AE392"/>
    <mergeCell ref="B393:M393"/>
    <mergeCell ref="N393:P393"/>
    <mergeCell ref="Q393:V393"/>
    <mergeCell ref="W393:AB393"/>
    <mergeCell ref="AC393:AE393"/>
    <mergeCell ref="B390:M390"/>
    <mergeCell ref="N390:P390"/>
    <mergeCell ref="Q390:V390"/>
    <mergeCell ref="W390:AB390"/>
    <mergeCell ref="AC390:AE390"/>
    <mergeCell ref="B391:M391"/>
    <mergeCell ref="N391:P391"/>
    <mergeCell ref="Q391:V391"/>
    <mergeCell ref="W391:AB391"/>
    <mergeCell ref="AC391:AE391"/>
    <mergeCell ref="B388:M388"/>
    <mergeCell ref="N388:P388"/>
    <mergeCell ref="Q388:V388"/>
    <mergeCell ref="W388:AB388"/>
    <mergeCell ref="AC388:AE388"/>
    <mergeCell ref="B389:M389"/>
    <mergeCell ref="N389:P389"/>
    <mergeCell ref="Q389:V389"/>
    <mergeCell ref="W389:AB389"/>
    <mergeCell ref="AC389:AE389"/>
    <mergeCell ref="B386:M386"/>
    <mergeCell ref="N386:P386"/>
    <mergeCell ref="Q386:V386"/>
    <mergeCell ref="W386:AB386"/>
    <mergeCell ref="AC386:AE386"/>
    <mergeCell ref="B387:M387"/>
    <mergeCell ref="N387:P387"/>
    <mergeCell ref="Q387:V387"/>
    <mergeCell ref="W387:AB387"/>
    <mergeCell ref="AC387:AE387"/>
    <mergeCell ref="B384:M384"/>
    <mergeCell ref="N384:P384"/>
    <mergeCell ref="Q384:V384"/>
    <mergeCell ref="W384:AB384"/>
    <mergeCell ref="AC384:AE384"/>
    <mergeCell ref="B385:M385"/>
    <mergeCell ref="N385:P385"/>
    <mergeCell ref="Q385:V385"/>
    <mergeCell ref="W385:AB385"/>
    <mergeCell ref="AC385:AE385"/>
    <mergeCell ref="B382:M382"/>
    <mergeCell ref="N382:P382"/>
    <mergeCell ref="Q382:V382"/>
    <mergeCell ref="W382:AB382"/>
    <mergeCell ref="AC382:AE382"/>
    <mergeCell ref="B383:M383"/>
    <mergeCell ref="N383:P383"/>
    <mergeCell ref="Q383:V383"/>
    <mergeCell ref="W383:AB383"/>
    <mergeCell ref="AC383:AE383"/>
    <mergeCell ref="B380:M380"/>
    <mergeCell ref="N380:P380"/>
    <mergeCell ref="Q380:V380"/>
    <mergeCell ref="W380:AB380"/>
    <mergeCell ref="AC380:AE380"/>
    <mergeCell ref="B381:M381"/>
    <mergeCell ref="N381:P381"/>
    <mergeCell ref="Q381:V381"/>
    <mergeCell ref="W381:AB381"/>
    <mergeCell ref="AC381:AE381"/>
    <mergeCell ref="B378:M378"/>
    <mergeCell ref="N378:P378"/>
    <mergeCell ref="Q378:V378"/>
    <mergeCell ref="W378:AB378"/>
    <mergeCell ref="AC378:AE378"/>
    <mergeCell ref="B379:M379"/>
    <mergeCell ref="N379:P379"/>
    <mergeCell ref="Q379:V379"/>
    <mergeCell ref="W379:AB379"/>
    <mergeCell ref="AC379:AE379"/>
    <mergeCell ref="B376:M376"/>
    <mergeCell ref="N376:P376"/>
    <mergeCell ref="Q376:V376"/>
    <mergeCell ref="W376:AB376"/>
    <mergeCell ref="AC376:AE376"/>
    <mergeCell ref="B377:M377"/>
    <mergeCell ref="N377:P377"/>
    <mergeCell ref="Q377:V377"/>
    <mergeCell ref="W377:AB377"/>
    <mergeCell ref="AC377:AE377"/>
    <mergeCell ref="B374:M374"/>
    <mergeCell ref="N374:P374"/>
    <mergeCell ref="Q374:V374"/>
    <mergeCell ref="W374:AB374"/>
    <mergeCell ref="AC374:AE374"/>
    <mergeCell ref="B375:M375"/>
    <mergeCell ref="N375:P375"/>
    <mergeCell ref="Q375:V375"/>
    <mergeCell ref="W375:AB375"/>
    <mergeCell ref="AC375:AE375"/>
    <mergeCell ref="B372:M372"/>
    <mergeCell ref="N372:P372"/>
    <mergeCell ref="Q372:V372"/>
    <mergeCell ref="W372:AB372"/>
    <mergeCell ref="AC372:AE372"/>
    <mergeCell ref="B373:M373"/>
    <mergeCell ref="N373:P373"/>
    <mergeCell ref="Q373:V373"/>
    <mergeCell ref="W373:AB373"/>
    <mergeCell ref="AC373:AE373"/>
    <mergeCell ref="B370:M370"/>
    <mergeCell ref="N370:P370"/>
    <mergeCell ref="Q370:V370"/>
    <mergeCell ref="W370:AB370"/>
    <mergeCell ref="AC370:AE370"/>
    <mergeCell ref="B371:M371"/>
    <mergeCell ref="N371:P371"/>
    <mergeCell ref="Q371:V371"/>
    <mergeCell ref="W371:AB371"/>
    <mergeCell ref="AC371:AE371"/>
    <mergeCell ref="B368:M368"/>
    <mergeCell ref="N368:P368"/>
    <mergeCell ref="Q368:V368"/>
    <mergeCell ref="W368:AB368"/>
    <mergeCell ref="AC368:AE368"/>
    <mergeCell ref="B369:M369"/>
    <mergeCell ref="N369:P369"/>
    <mergeCell ref="Q369:V369"/>
    <mergeCell ref="W369:AB369"/>
    <mergeCell ref="AC369:AE369"/>
    <mergeCell ref="B366:M366"/>
    <mergeCell ref="N366:P366"/>
    <mergeCell ref="Q366:V366"/>
    <mergeCell ref="W366:AB366"/>
    <mergeCell ref="AC366:AE366"/>
    <mergeCell ref="B367:M367"/>
    <mergeCell ref="N367:P367"/>
    <mergeCell ref="Q367:V367"/>
    <mergeCell ref="W367:AB367"/>
    <mergeCell ref="AC367:AE367"/>
    <mergeCell ref="B364:M364"/>
    <mergeCell ref="N364:P364"/>
    <mergeCell ref="Q364:V364"/>
    <mergeCell ref="W364:AB364"/>
    <mergeCell ref="AC364:AE364"/>
    <mergeCell ref="B365:M365"/>
    <mergeCell ref="N365:P365"/>
    <mergeCell ref="Q365:V365"/>
    <mergeCell ref="W365:AB365"/>
    <mergeCell ref="AC365:AE365"/>
    <mergeCell ref="B362:M362"/>
    <mergeCell ref="N362:P362"/>
    <mergeCell ref="Q362:V362"/>
    <mergeCell ref="W362:AB362"/>
    <mergeCell ref="AC362:AE362"/>
    <mergeCell ref="B363:M363"/>
    <mergeCell ref="N363:P363"/>
    <mergeCell ref="Q363:V363"/>
    <mergeCell ref="W363:AB363"/>
    <mergeCell ref="AC363:AE363"/>
    <mergeCell ref="B360:M360"/>
    <mergeCell ref="N360:P360"/>
    <mergeCell ref="Q360:V360"/>
    <mergeCell ref="W360:AB360"/>
    <mergeCell ref="AC360:AE360"/>
    <mergeCell ref="B361:M361"/>
    <mergeCell ref="N361:P361"/>
    <mergeCell ref="Q361:V361"/>
    <mergeCell ref="W361:AB361"/>
    <mergeCell ref="AC361:AE361"/>
    <mergeCell ref="B358:M358"/>
    <mergeCell ref="N358:P358"/>
    <mergeCell ref="Q358:V358"/>
    <mergeCell ref="W358:AB358"/>
    <mergeCell ref="AC358:AE358"/>
    <mergeCell ref="B359:M359"/>
    <mergeCell ref="N359:P359"/>
    <mergeCell ref="Q359:V359"/>
    <mergeCell ref="W359:AB359"/>
    <mergeCell ref="AC359:AE359"/>
    <mergeCell ref="B356:M356"/>
    <mergeCell ref="N356:P356"/>
    <mergeCell ref="Q356:V356"/>
    <mergeCell ref="W356:AB356"/>
    <mergeCell ref="AC356:AE356"/>
    <mergeCell ref="B357:M357"/>
    <mergeCell ref="N357:P357"/>
    <mergeCell ref="Q357:V357"/>
    <mergeCell ref="W357:AB357"/>
    <mergeCell ref="AC357:AE357"/>
    <mergeCell ref="B354:M354"/>
    <mergeCell ref="N354:P354"/>
    <mergeCell ref="Q354:V354"/>
    <mergeCell ref="W354:AB354"/>
    <mergeCell ref="AC354:AE354"/>
    <mergeCell ref="B355:M355"/>
    <mergeCell ref="N355:P355"/>
    <mergeCell ref="Q355:V355"/>
    <mergeCell ref="W355:AB355"/>
    <mergeCell ref="AC355:AE355"/>
    <mergeCell ref="B352:M352"/>
    <mergeCell ref="N352:P352"/>
    <mergeCell ref="Q352:V352"/>
    <mergeCell ref="W352:AB352"/>
    <mergeCell ref="AC352:AE352"/>
    <mergeCell ref="B353:M353"/>
    <mergeCell ref="N353:P353"/>
    <mergeCell ref="Q353:V353"/>
    <mergeCell ref="W353:AB353"/>
    <mergeCell ref="AC353:AE353"/>
    <mergeCell ref="B350:M350"/>
    <mergeCell ref="N350:P350"/>
    <mergeCell ref="Q350:V350"/>
    <mergeCell ref="W350:AB350"/>
    <mergeCell ref="AC350:AE350"/>
    <mergeCell ref="B351:M351"/>
    <mergeCell ref="N351:P351"/>
    <mergeCell ref="Q351:V351"/>
    <mergeCell ref="W351:AB351"/>
    <mergeCell ref="AC351:AE351"/>
    <mergeCell ref="B348:M348"/>
    <mergeCell ref="N348:P348"/>
    <mergeCell ref="Q348:V348"/>
    <mergeCell ref="W348:AB348"/>
    <mergeCell ref="AC348:AE348"/>
    <mergeCell ref="B349:M349"/>
    <mergeCell ref="N349:P349"/>
    <mergeCell ref="Q349:V349"/>
    <mergeCell ref="W349:AB349"/>
    <mergeCell ref="AC349:AE349"/>
    <mergeCell ref="B346:M346"/>
    <mergeCell ref="N346:P346"/>
    <mergeCell ref="Q346:V346"/>
    <mergeCell ref="W346:AB346"/>
    <mergeCell ref="AC346:AE346"/>
    <mergeCell ref="B347:M347"/>
    <mergeCell ref="N347:P347"/>
    <mergeCell ref="Q347:V347"/>
    <mergeCell ref="W347:AB347"/>
    <mergeCell ref="AC347:AE347"/>
    <mergeCell ref="B344:M344"/>
    <mergeCell ref="N344:P344"/>
    <mergeCell ref="Q344:V344"/>
    <mergeCell ref="W344:AB344"/>
    <mergeCell ref="AC344:AE344"/>
    <mergeCell ref="B345:M345"/>
    <mergeCell ref="N345:P345"/>
    <mergeCell ref="Q345:V345"/>
    <mergeCell ref="W345:AB345"/>
    <mergeCell ref="AC345:AE345"/>
    <mergeCell ref="B342:M342"/>
    <mergeCell ref="N342:P342"/>
    <mergeCell ref="Q342:V342"/>
    <mergeCell ref="W342:AB342"/>
    <mergeCell ref="AC342:AE342"/>
    <mergeCell ref="B343:M343"/>
    <mergeCell ref="N343:P343"/>
    <mergeCell ref="Q343:V343"/>
    <mergeCell ref="W343:AB343"/>
    <mergeCell ref="AC343:AE343"/>
    <mergeCell ref="B340:M340"/>
    <mergeCell ref="N340:P340"/>
    <mergeCell ref="Q340:V340"/>
    <mergeCell ref="W340:AB340"/>
    <mergeCell ref="AC340:AE340"/>
    <mergeCell ref="B341:M341"/>
    <mergeCell ref="N341:P341"/>
    <mergeCell ref="Q341:V341"/>
    <mergeCell ref="W341:AB341"/>
    <mergeCell ref="AC341:AE341"/>
    <mergeCell ref="B338:M338"/>
    <mergeCell ref="N338:P338"/>
    <mergeCell ref="Q338:V338"/>
    <mergeCell ref="W338:AB338"/>
    <mergeCell ref="AC338:AE338"/>
    <mergeCell ref="B339:M339"/>
    <mergeCell ref="N339:P339"/>
    <mergeCell ref="Q339:V339"/>
    <mergeCell ref="W339:AB339"/>
    <mergeCell ref="AC339:AE339"/>
    <mergeCell ref="B336:M336"/>
    <mergeCell ref="N336:P336"/>
    <mergeCell ref="Q336:V336"/>
    <mergeCell ref="W336:AB336"/>
    <mergeCell ref="AC336:AE336"/>
    <mergeCell ref="B337:M337"/>
    <mergeCell ref="N337:P337"/>
    <mergeCell ref="Q337:V337"/>
    <mergeCell ref="W337:AB337"/>
    <mergeCell ref="AC337:AE337"/>
    <mergeCell ref="B334:M334"/>
    <mergeCell ref="N334:P334"/>
    <mergeCell ref="Q334:V334"/>
    <mergeCell ref="W334:AB334"/>
    <mergeCell ref="AC334:AE334"/>
    <mergeCell ref="B335:M335"/>
    <mergeCell ref="N335:P335"/>
    <mergeCell ref="Q335:V335"/>
    <mergeCell ref="W335:AB335"/>
    <mergeCell ref="AC335:AE335"/>
    <mergeCell ref="B332:M332"/>
    <mergeCell ref="N332:P332"/>
    <mergeCell ref="Q332:V332"/>
    <mergeCell ref="W332:AB332"/>
    <mergeCell ref="AC332:AE332"/>
    <mergeCell ref="B333:M333"/>
    <mergeCell ref="N333:P333"/>
    <mergeCell ref="Q333:V333"/>
    <mergeCell ref="W333:AB333"/>
    <mergeCell ref="AC333:AE333"/>
    <mergeCell ref="B330:M330"/>
    <mergeCell ref="N330:P330"/>
    <mergeCell ref="Q330:V330"/>
    <mergeCell ref="W330:AB330"/>
    <mergeCell ref="AC330:AE330"/>
    <mergeCell ref="B331:M331"/>
    <mergeCell ref="N331:P331"/>
    <mergeCell ref="Q331:V331"/>
    <mergeCell ref="W331:AB331"/>
    <mergeCell ref="AC331:AE331"/>
    <mergeCell ref="B328:M328"/>
    <mergeCell ref="N328:P328"/>
    <mergeCell ref="Q328:V328"/>
    <mergeCell ref="W328:AB328"/>
    <mergeCell ref="AC328:AE328"/>
    <mergeCell ref="B329:M329"/>
    <mergeCell ref="N329:P329"/>
    <mergeCell ref="Q329:V329"/>
    <mergeCell ref="W329:AB329"/>
    <mergeCell ref="AC329:AE329"/>
    <mergeCell ref="B326:M326"/>
    <mergeCell ref="N326:P326"/>
    <mergeCell ref="Q326:V326"/>
    <mergeCell ref="W326:AB326"/>
    <mergeCell ref="AC326:AE326"/>
    <mergeCell ref="B327:M327"/>
    <mergeCell ref="N327:P327"/>
    <mergeCell ref="Q327:V327"/>
    <mergeCell ref="W327:AB327"/>
    <mergeCell ref="AC327:AE327"/>
    <mergeCell ref="B324:M324"/>
    <mergeCell ref="N324:P324"/>
    <mergeCell ref="Q324:V324"/>
    <mergeCell ref="W324:AB324"/>
    <mergeCell ref="AC324:AE324"/>
    <mergeCell ref="B325:M325"/>
    <mergeCell ref="N325:P325"/>
    <mergeCell ref="Q325:V325"/>
    <mergeCell ref="W325:AB325"/>
    <mergeCell ref="AC325:AE325"/>
    <mergeCell ref="B322:M322"/>
    <mergeCell ref="N322:P322"/>
    <mergeCell ref="Q322:V322"/>
    <mergeCell ref="W322:AB322"/>
    <mergeCell ref="AC322:AE322"/>
    <mergeCell ref="B323:M323"/>
    <mergeCell ref="N323:P323"/>
    <mergeCell ref="Q323:V323"/>
    <mergeCell ref="W323:AB323"/>
    <mergeCell ref="AC323:AE323"/>
    <mergeCell ref="B320:M320"/>
    <mergeCell ref="N320:P320"/>
    <mergeCell ref="Q320:V320"/>
    <mergeCell ref="W320:AB320"/>
    <mergeCell ref="AC320:AE320"/>
    <mergeCell ref="B321:M321"/>
    <mergeCell ref="N321:P321"/>
    <mergeCell ref="Q321:V321"/>
    <mergeCell ref="W321:AB321"/>
    <mergeCell ref="AC321:AE321"/>
    <mergeCell ref="B318:M318"/>
    <mergeCell ref="N318:P318"/>
    <mergeCell ref="Q318:V318"/>
    <mergeCell ref="W318:AB318"/>
    <mergeCell ref="AC318:AE318"/>
    <mergeCell ref="B319:M319"/>
    <mergeCell ref="N319:P319"/>
    <mergeCell ref="Q319:V319"/>
    <mergeCell ref="W319:AB319"/>
    <mergeCell ref="AC319:AE319"/>
    <mergeCell ref="B316:M316"/>
    <mergeCell ref="N316:P316"/>
    <mergeCell ref="Q316:V316"/>
    <mergeCell ref="W316:AB316"/>
    <mergeCell ref="AC316:AE316"/>
    <mergeCell ref="B317:M317"/>
    <mergeCell ref="N317:P317"/>
    <mergeCell ref="Q317:V317"/>
    <mergeCell ref="W317:AB317"/>
    <mergeCell ref="AC317:AE317"/>
    <mergeCell ref="B314:M314"/>
    <mergeCell ref="N314:P314"/>
    <mergeCell ref="Q314:V314"/>
    <mergeCell ref="W314:AB314"/>
    <mergeCell ref="AC314:AE314"/>
    <mergeCell ref="B315:M315"/>
    <mergeCell ref="N315:P315"/>
    <mergeCell ref="Q315:V315"/>
    <mergeCell ref="W315:AB315"/>
    <mergeCell ref="AC315:AE315"/>
    <mergeCell ref="B312:M312"/>
    <mergeCell ref="N312:P312"/>
    <mergeCell ref="Q312:V312"/>
    <mergeCell ref="W312:AB312"/>
    <mergeCell ref="AC312:AE312"/>
    <mergeCell ref="B313:M313"/>
    <mergeCell ref="N313:P313"/>
    <mergeCell ref="Q313:V313"/>
    <mergeCell ref="W313:AB313"/>
    <mergeCell ref="AC313:AE313"/>
    <mergeCell ref="B310:M310"/>
    <mergeCell ref="N310:P310"/>
    <mergeCell ref="Q310:V310"/>
    <mergeCell ref="W310:AB310"/>
    <mergeCell ref="AC310:AE310"/>
    <mergeCell ref="B311:M311"/>
    <mergeCell ref="N311:P311"/>
    <mergeCell ref="Q311:V311"/>
    <mergeCell ref="W311:AB311"/>
    <mergeCell ref="AC311:AE311"/>
    <mergeCell ref="B308:M308"/>
    <mergeCell ref="N308:P308"/>
    <mergeCell ref="Q308:V308"/>
    <mergeCell ref="W308:AB308"/>
    <mergeCell ref="AC308:AE308"/>
    <mergeCell ref="B309:M309"/>
    <mergeCell ref="N309:P309"/>
    <mergeCell ref="Q309:V309"/>
    <mergeCell ref="W309:AB309"/>
    <mergeCell ref="AC309:AE309"/>
    <mergeCell ref="B306:M306"/>
    <mergeCell ref="N306:P306"/>
    <mergeCell ref="Q306:V306"/>
    <mergeCell ref="W306:AB306"/>
    <mergeCell ref="AC306:AE306"/>
    <mergeCell ref="B307:M307"/>
    <mergeCell ref="N307:P307"/>
    <mergeCell ref="Q307:V307"/>
    <mergeCell ref="W307:AB307"/>
    <mergeCell ref="AC307:AE307"/>
    <mergeCell ref="B304:M304"/>
    <mergeCell ref="N304:P304"/>
    <mergeCell ref="Q304:V304"/>
    <mergeCell ref="W304:AB304"/>
    <mergeCell ref="AC304:AE304"/>
    <mergeCell ref="B305:M305"/>
    <mergeCell ref="N305:P305"/>
    <mergeCell ref="Q305:V305"/>
    <mergeCell ref="W305:AB305"/>
    <mergeCell ref="AC305:AE305"/>
    <mergeCell ref="B302:M302"/>
    <mergeCell ref="N302:P302"/>
    <mergeCell ref="Q302:V302"/>
    <mergeCell ref="W302:AB302"/>
    <mergeCell ref="AC302:AE302"/>
    <mergeCell ref="B303:M303"/>
    <mergeCell ref="N303:P303"/>
    <mergeCell ref="Q303:V303"/>
    <mergeCell ref="W303:AB303"/>
    <mergeCell ref="AC303:AE303"/>
    <mergeCell ref="B300:M300"/>
    <mergeCell ref="N300:P300"/>
    <mergeCell ref="Q300:V300"/>
    <mergeCell ref="W300:AB300"/>
    <mergeCell ref="AC300:AE300"/>
    <mergeCell ref="B301:M301"/>
    <mergeCell ref="N301:P301"/>
    <mergeCell ref="Q301:V301"/>
    <mergeCell ref="W301:AB301"/>
    <mergeCell ref="AC301:AE301"/>
    <mergeCell ref="B298:M298"/>
    <mergeCell ref="N298:P298"/>
    <mergeCell ref="Q298:V298"/>
    <mergeCell ref="W298:AB298"/>
    <mergeCell ref="AC298:AE298"/>
    <mergeCell ref="B299:M299"/>
    <mergeCell ref="N299:P299"/>
    <mergeCell ref="Q299:V299"/>
    <mergeCell ref="W299:AB299"/>
    <mergeCell ref="AC299:AE299"/>
    <mergeCell ref="B296:M296"/>
    <mergeCell ref="N296:P296"/>
    <mergeCell ref="Q296:V296"/>
    <mergeCell ref="W296:AB296"/>
    <mergeCell ref="AC296:AE296"/>
    <mergeCell ref="B297:M297"/>
    <mergeCell ref="N297:P297"/>
    <mergeCell ref="Q297:V297"/>
    <mergeCell ref="W297:AB297"/>
    <mergeCell ref="AC297:AE297"/>
    <mergeCell ref="B294:M294"/>
    <mergeCell ref="N294:P294"/>
    <mergeCell ref="Q294:V294"/>
    <mergeCell ref="W294:AB294"/>
    <mergeCell ref="AC294:AE294"/>
    <mergeCell ref="B295:M295"/>
    <mergeCell ref="N295:P295"/>
    <mergeCell ref="Q295:V295"/>
    <mergeCell ref="W295:AB295"/>
    <mergeCell ref="AC295:AE295"/>
    <mergeCell ref="B292:M292"/>
    <mergeCell ref="N292:P292"/>
    <mergeCell ref="Q292:V292"/>
    <mergeCell ref="W292:AB292"/>
    <mergeCell ref="AC292:AE292"/>
    <mergeCell ref="B293:M293"/>
    <mergeCell ref="N293:P293"/>
    <mergeCell ref="Q293:V293"/>
    <mergeCell ref="W293:AB293"/>
    <mergeCell ref="AC293:AE293"/>
    <mergeCell ref="B290:M290"/>
    <mergeCell ref="N290:P290"/>
    <mergeCell ref="Q290:V290"/>
    <mergeCell ref="W290:AB290"/>
    <mergeCell ref="AC290:AE290"/>
    <mergeCell ref="B291:M291"/>
    <mergeCell ref="N291:P291"/>
    <mergeCell ref="Q291:V291"/>
    <mergeCell ref="W291:AB291"/>
    <mergeCell ref="AC291:AE291"/>
    <mergeCell ref="B288:M288"/>
    <mergeCell ref="N288:P288"/>
    <mergeCell ref="Q288:V288"/>
    <mergeCell ref="W288:AB288"/>
    <mergeCell ref="AC288:AE288"/>
    <mergeCell ref="B289:M289"/>
    <mergeCell ref="N289:P289"/>
    <mergeCell ref="Q289:V289"/>
    <mergeCell ref="W289:AB289"/>
    <mergeCell ref="AC289:AE289"/>
    <mergeCell ref="B286:M286"/>
    <mergeCell ref="N286:P286"/>
    <mergeCell ref="Q286:V286"/>
    <mergeCell ref="W286:AB286"/>
    <mergeCell ref="AC286:AE286"/>
    <mergeCell ref="B287:M287"/>
    <mergeCell ref="N287:P287"/>
    <mergeCell ref="Q287:V287"/>
    <mergeCell ref="W287:AB287"/>
    <mergeCell ref="AC287:AE287"/>
    <mergeCell ref="B284:M284"/>
    <mergeCell ref="N284:P284"/>
    <mergeCell ref="Q284:V284"/>
    <mergeCell ref="W284:AB284"/>
    <mergeCell ref="AC284:AE284"/>
    <mergeCell ref="B285:M285"/>
    <mergeCell ref="N285:P285"/>
    <mergeCell ref="Q285:V285"/>
    <mergeCell ref="W285:AB285"/>
    <mergeCell ref="AC285:AE285"/>
    <mergeCell ref="B282:M282"/>
    <mergeCell ref="N282:P282"/>
    <mergeCell ref="Q282:V282"/>
    <mergeCell ref="W282:AB282"/>
    <mergeCell ref="AC282:AE282"/>
    <mergeCell ref="B283:M283"/>
    <mergeCell ref="N283:P283"/>
    <mergeCell ref="Q283:V283"/>
    <mergeCell ref="W283:AB283"/>
    <mergeCell ref="AC283:AE283"/>
    <mergeCell ref="B280:M280"/>
    <mergeCell ref="N280:P280"/>
    <mergeCell ref="Q280:V280"/>
    <mergeCell ref="W280:AB280"/>
    <mergeCell ref="AC280:AE280"/>
    <mergeCell ref="B281:M281"/>
    <mergeCell ref="N281:P281"/>
    <mergeCell ref="Q281:V281"/>
    <mergeCell ref="W281:AB281"/>
    <mergeCell ref="AC281:AE281"/>
    <mergeCell ref="B278:M278"/>
    <mergeCell ref="N278:P278"/>
    <mergeCell ref="Q278:V278"/>
    <mergeCell ref="W278:AB278"/>
    <mergeCell ref="AC278:AE278"/>
    <mergeCell ref="B279:M279"/>
    <mergeCell ref="N279:P279"/>
    <mergeCell ref="Q279:V279"/>
    <mergeCell ref="W279:AB279"/>
    <mergeCell ref="AC279:AE279"/>
    <mergeCell ref="B276:M276"/>
    <mergeCell ref="N276:P276"/>
    <mergeCell ref="Q276:V276"/>
    <mergeCell ref="W276:AB276"/>
    <mergeCell ref="AC276:AE276"/>
    <mergeCell ref="B277:M277"/>
    <mergeCell ref="N277:P277"/>
    <mergeCell ref="Q277:V277"/>
    <mergeCell ref="W277:AB277"/>
    <mergeCell ref="AC277:AE277"/>
    <mergeCell ref="B274:M274"/>
    <mergeCell ref="N274:P274"/>
    <mergeCell ref="Q274:V274"/>
    <mergeCell ref="W274:AB274"/>
    <mergeCell ref="AC274:AE274"/>
    <mergeCell ref="B275:M275"/>
    <mergeCell ref="N275:P275"/>
    <mergeCell ref="Q275:V275"/>
    <mergeCell ref="W275:AB275"/>
    <mergeCell ref="AC275:AE275"/>
    <mergeCell ref="B272:M272"/>
    <mergeCell ref="N272:P272"/>
    <mergeCell ref="Q272:V272"/>
    <mergeCell ref="W272:AB272"/>
    <mergeCell ref="AC272:AE272"/>
    <mergeCell ref="B273:M273"/>
    <mergeCell ref="N273:P273"/>
    <mergeCell ref="Q273:V273"/>
    <mergeCell ref="W273:AB273"/>
    <mergeCell ref="AC273:AE273"/>
    <mergeCell ref="B270:M270"/>
    <mergeCell ref="N270:P270"/>
    <mergeCell ref="Q270:V270"/>
    <mergeCell ref="W270:AB270"/>
    <mergeCell ref="AC270:AE270"/>
    <mergeCell ref="B271:M271"/>
    <mergeCell ref="N271:P271"/>
    <mergeCell ref="Q271:V271"/>
    <mergeCell ref="W271:AB271"/>
    <mergeCell ref="AC271:AE271"/>
    <mergeCell ref="B268:M268"/>
    <mergeCell ref="N268:P268"/>
    <mergeCell ref="Q268:V268"/>
    <mergeCell ref="W268:AB268"/>
    <mergeCell ref="AC268:AE268"/>
    <mergeCell ref="B269:M269"/>
    <mergeCell ref="N269:P269"/>
    <mergeCell ref="Q269:V269"/>
    <mergeCell ref="W269:AB269"/>
    <mergeCell ref="AC269:AE269"/>
    <mergeCell ref="B266:M266"/>
    <mergeCell ref="N266:P266"/>
    <mergeCell ref="Q266:V266"/>
    <mergeCell ref="W266:AB266"/>
    <mergeCell ref="AC266:AE266"/>
    <mergeCell ref="B267:M267"/>
    <mergeCell ref="N267:P267"/>
    <mergeCell ref="Q267:V267"/>
    <mergeCell ref="W267:AB267"/>
    <mergeCell ref="AC267:AE267"/>
    <mergeCell ref="B264:M264"/>
    <mergeCell ref="N264:P264"/>
    <mergeCell ref="Q264:V264"/>
    <mergeCell ref="W264:AB264"/>
    <mergeCell ref="AC264:AE264"/>
    <mergeCell ref="B265:M265"/>
    <mergeCell ref="N265:P265"/>
    <mergeCell ref="Q265:V265"/>
    <mergeCell ref="W265:AB265"/>
    <mergeCell ref="AC265:AE265"/>
    <mergeCell ref="B262:M262"/>
    <mergeCell ref="N262:P262"/>
    <mergeCell ref="Q262:V262"/>
    <mergeCell ref="W262:AB262"/>
    <mergeCell ref="AC262:AE262"/>
    <mergeCell ref="B263:M263"/>
    <mergeCell ref="N263:P263"/>
    <mergeCell ref="Q263:V263"/>
    <mergeCell ref="W263:AB263"/>
    <mergeCell ref="AC263:AE263"/>
    <mergeCell ref="B260:M260"/>
    <mergeCell ref="N260:P260"/>
    <mergeCell ref="Q260:V260"/>
    <mergeCell ref="W260:AB260"/>
    <mergeCell ref="AC260:AE260"/>
    <mergeCell ref="B261:M261"/>
    <mergeCell ref="N261:P261"/>
    <mergeCell ref="Q261:V261"/>
    <mergeCell ref="W261:AB261"/>
    <mergeCell ref="AC261:AE261"/>
    <mergeCell ref="B258:M258"/>
    <mergeCell ref="N258:P258"/>
    <mergeCell ref="Q258:V258"/>
    <mergeCell ref="W258:AB258"/>
    <mergeCell ref="AC258:AE258"/>
    <mergeCell ref="B259:M259"/>
    <mergeCell ref="N259:P259"/>
    <mergeCell ref="Q259:V259"/>
    <mergeCell ref="W259:AB259"/>
    <mergeCell ref="AC259:AE259"/>
    <mergeCell ref="B256:M256"/>
    <mergeCell ref="N256:P256"/>
    <mergeCell ref="Q256:V256"/>
    <mergeCell ref="W256:AB256"/>
    <mergeCell ref="AC256:AE256"/>
    <mergeCell ref="B257:M257"/>
    <mergeCell ref="N257:P257"/>
    <mergeCell ref="Q257:V257"/>
    <mergeCell ref="W257:AB257"/>
    <mergeCell ref="AC257:AE257"/>
    <mergeCell ref="B254:M254"/>
    <mergeCell ref="N254:P254"/>
    <mergeCell ref="Q254:V254"/>
    <mergeCell ref="W254:AB254"/>
    <mergeCell ref="AC254:AE254"/>
    <mergeCell ref="B255:M255"/>
    <mergeCell ref="N255:P255"/>
    <mergeCell ref="Q255:V255"/>
    <mergeCell ref="W255:AB255"/>
    <mergeCell ref="AC255:AE255"/>
    <mergeCell ref="B252:M252"/>
    <mergeCell ref="N252:P252"/>
    <mergeCell ref="Q252:V252"/>
    <mergeCell ref="W252:AB252"/>
    <mergeCell ref="AC252:AE252"/>
    <mergeCell ref="B253:M253"/>
    <mergeCell ref="N253:P253"/>
    <mergeCell ref="Q253:V253"/>
    <mergeCell ref="W253:AB253"/>
    <mergeCell ref="AC253:AE253"/>
    <mergeCell ref="B250:M250"/>
    <mergeCell ref="N250:P250"/>
    <mergeCell ref="Q250:V250"/>
    <mergeCell ref="W250:AB250"/>
    <mergeCell ref="AC250:AE250"/>
    <mergeCell ref="B251:M251"/>
    <mergeCell ref="N251:P251"/>
    <mergeCell ref="Q251:V251"/>
    <mergeCell ref="W251:AB251"/>
    <mergeCell ref="AC251:AE251"/>
    <mergeCell ref="B248:M248"/>
    <mergeCell ref="N248:P248"/>
    <mergeCell ref="Q248:V248"/>
    <mergeCell ref="W248:AB248"/>
    <mergeCell ref="AC248:AE248"/>
    <mergeCell ref="B249:M249"/>
    <mergeCell ref="N249:P249"/>
    <mergeCell ref="Q249:V249"/>
    <mergeCell ref="W249:AB249"/>
    <mergeCell ref="AC249:AE249"/>
    <mergeCell ref="B246:M246"/>
    <mergeCell ref="N246:P246"/>
    <mergeCell ref="Q246:V246"/>
    <mergeCell ref="W246:AB246"/>
    <mergeCell ref="AC246:AE246"/>
    <mergeCell ref="B247:M247"/>
    <mergeCell ref="N247:P247"/>
    <mergeCell ref="Q247:V247"/>
    <mergeCell ref="W247:AB247"/>
    <mergeCell ref="AC247:AE247"/>
    <mergeCell ref="B244:M244"/>
    <mergeCell ref="N244:P244"/>
    <mergeCell ref="Q244:V244"/>
    <mergeCell ref="W244:AB244"/>
    <mergeCell ref="AC244:AE244"/>
    <mergeCell ref="B245:M245"/>
    <mergeCell ref="N245:P245"/>
    <mergeCell ref="Q245:V245"/>
    <mergeCell ref="W245:AB245"/>
    <mergeCell ref="AC245:AE245"/>
    <mergeCell ref="B242:M242"/>
    <mergeCell ref="N242:P242"/>
    <mergeCell ref="Q242:V242"/>
    <mergeCell ref="W242:AB242"/>
    <mergeCell ref="AC242:AE242"/>
    <mergeCell ref="B243:M243"/>
    <mergeCell ref="N243:P243"/>
    <mergeCell ref="Q243:V243"/>
    <mergeCell ref="W243:AB243"/>
    <mergeCell ref="AC243:AE243"/>
    <mergeCell ref="B240:M240"/>
    <mergeCell ref="N240:P240"/>
    <mergeCell ref="Q240:V240"/>
    <mergeCell ref="W240:AB240"/>
    <mergeCell ref="AC240:AE240"/>
    <mergeCell ref="B241:M241"/>
    <mergeCell ref="N241:P241"/>
    <mergeCell ref="Q241:V241"/>
    <mergeCell ref="W241:AB241"/>
    <mergeCell ref="AC241:AE241"/>
    <mergeCell ref="B238:M238"/>
    <mergeCell ref="N238:P238"/>
    <mergeCell ref="Q238:V238"/>
    <mergeCell ref="W238:AB238"/>
    <mergeCell ref="AC238:AE238"/>
    <mergeCell ref="B239:M239"/>
    <mergeCell ref="N239:P239"/>
    <mergeCell ref="Q239:V239"/>
    <mergeCell ref="W239:AB239"/>
    <mergeCell ref="AC239:AE239"/>
    <mergeCell ref="B236:M236"/>
    <mergeCell ref="N236:P236"/>
    <mergeCell ref="Q236:V236"/>
    <mergeCell ref="W236:AB236"/>
    <mergeCell ref="AC236:AE236"/>
    <mergeCell ref="B237:M237"/>
    <mergeCell ref="N237:P237"/>
    <mergeCell ref="Q237:V237"/>
    <mergeCell ref="W237:AB237"/>
    <mergeCell ref="AC237:AE237"/>
    <mergeCell ref="B234:M234"/>
    <mergeCell ref="N234:P234"/>
    <mergeCell ref="Q234:V234"/>
    <mergeCell ref="W234:AB234"/>
    <mergeCell ref="AC234:AE234"/>
    <mergeCell ref="B235:M235"/>
    <mergeCell ref="N235:P235"/>
    <mergeCell ref="Q235:V235"/>
    <mergeCell ref="W235:AB235"/>
    <mergeCell ref="AC235:AE235"/>
    <mergeCell ref="B232:M232"/>
    <mergeCell ref="N232:P232"/>
    <mergeCell ref="Q232:V232"/>
    <mergeCell ref="W232:AB232"/>
    <mergeCell ref="AC232:AE232"/>
    <mergeCell ref="B233:M233"/>
    <mergeCell ref="N233:P233"/>
    <mergeCell ref="Q233:V233"/>
    <mergeCell ref="W233:AB233"/>
    <mergeCell ref="AC233:AE233"/>
    <mergeCell ref="B230:M230"/>
    <mergeCell ref="N230:P230"/>
    <mergeCell ref="Q230:V230"/>
    <mergeCell ref="W230:AB230"/>
    <mergeCell ref="AC230:AE230"/>
    <mergeCell ref="B231:M231"/>
    <mergeCell ref="N231:P231"/>
    <mergeCell ref="Q231:V231"/>
    <mergeCell ref="W231:AB231"/>
    <mergeCell ref="AC231:AE231"/>
    <mergeCell ref="B228:M228"/>
    <mergeCell ref="N228:P228"/>
    <mergeCell ref="Q228:V228"/>
    <mergeCell ref="W228:AB228"/>
    <mergeCell ref="AC228:AE228"/>
    <mergeCell ref="B229:M229"/>
    <mergeCell ref="N229:P229"/>
    <mergeCell ref="Q229:V229"/>
    <mergeCell ref="W229:AB229"/>
    <mergeCell ref="AC229:AE229"/>
    <mergeCell ref="B226:M226"/>
    <mergeCell ref="N226:P226"/>
    <mergeCell ref="Q226:V226"/>
    <mergeCell ref="W226:AB226"/>
    <mergeCell ref="AC226:AE226"/>
    <mergeCell ref="B227:M227"/>
    <mergeCell ref="N227:P227"/>
    <mergeCell ref="Q227:V227"/>
    <mergeCell ref="W227:AB227"/>
    <mergeCell ref="AC227:AE227"/>
    <mergeCell ref="B224:M224"/>
    <mergeCell ref="N224:P224"/>
    <mergeCell ref="Q224:V224"/>
    <mergeCell ref="W224:AB224"/>
    <mergeCell ref="AC224:AE224"/>
    <mergeCell ref="B225:M225"/>
    <mergeCell ref="N225:P225"/>
    <mergeCell ref="Q225:V225"/>
    <mergeCell ref="W225:AB225"/>
    <mergeCell ref="AC225:AE225"/>
    <mergeCell ref="B222:M222"/>
    <mergeCell ref="N222:P222"/>
    <mergeCell ref="Q222:V222"/>
    <mergeCell ref="W222:AB222"/>
    <mergeCell ref="AC222:AE222"/>
    <mergeCell ref="B223:M223"/>
    <mergeCell ref="N223:P223"/>
    <mergeCell ref="Q223:V223"/>
    <mergeCell ref="W223:AB223"/>
    <mergeCell ref="AC223:AE223"/>
    <mergeCell ref="B220:M220"/>
    <mergeCell ref="N220:P220"/>
    <mergeCell ref="Q220:V220"/>
    <mergeCell ref="W220:AB220"/>
    <mergeCell ref="AC220:AE220"/>
    <mergeCell ref="B221:M221"/>
    <mergeCell ref="N221:P221"/>
    <mergeCell ref="Q221:V221"/>
    <mergeCell ref="W221:AB221"/>
    <mergeCell ref="AC221:AE221"/>
    <mergeCell ref="B218:M218"/>
    <mergeCell ref="N218:P218"/>
    <mergeCell ref="Q218:V218"/>
    <mergeCell ref="W218:AB218"/>
    <mergeCell ref="AC218:AE218"/>
    <mergeCell ref="B219:M219"/>
    <mergeCell ref="N219:P219"/>
    <mergeCell ref="Q219:V219"/>
    <mergeCell ref="W219:AB219"/>
    <mergeCell ref="AC219:AE219"/>
    <mergeCell ref="B216:M216"/>
    <mergeCell ref="N216:P216"/>
    <mergeCell ref="Q216:V216"/>
    <mergeCell ref="W216:AB216"/>
    <mergeCell ref="AC216:AE216"/>
    <mergeCell ref="B217:M217"/>
    <mergeCell ref="N217:P217"/>
    <mergeCell ref="Q217:V217"/>
    <mergeCell ref="W217:AB217"/>
    <mergeCell ref="AC217:AE217"/>
    <mergeCell ref="B214:M214"/>
    <mergeCell ref="N214:P214"/>
    <mergeCell ref="Q214:V214"/>
    <mergeCell ref="W214:AB214"/>
    <mergeCell ref="AC214:AE214"/>
    <mergeCell ref="B215:M215"/>
    <mergeCell ref="N215:P215"/>
    <mergeCell ref="Q215:V215"/>
    <mergeCell ref="W215:AB215"/>
    <mergeCell ref="AC215:AE215"/>
    <mergeCell ref="B212:M212"/>
    <mergeCell ref="N212:P212"/>
    <mergeCell ref="Q212:V212"/>
    <mergeCell ref="W212:AB212"/>
    <mergeCell ref="AC212:AE212"/>
    <mergeCell ref="B213:M213"/>
    <mergeCell ref="N213:P213"/>
    <mergeCell ref="Q213:V213"/>
    <mergeCell ref="W213:AB213"/>
    <mergeCell ref="AC213:AE213"/>
    <mergeCell ref="B210:M210"/>
    <mergeCell ref="N210:P210"/>
    <mergeCell ref="Q210:V210"/>
    <mergeCell ref="W210:AB210"/>
    <mergeCell ref="AC210:AE210"/>
    <mergeCell ref="B211:M211"/>
    <mergeCell ref="N211:P211"/>
    <mergeCell ref="Q211:V211"/>
    <mergeCell ref="W211:AB211"/>
    <mergeCell ref="AC211:AE211"/>
    <mergeCell ref="B208:M208"/>
    <mergeCell ref="N208:P208"/>
    <mergeCell ref="Q208:V208"/>
    <mergeCell ref="W208:AB208"/>
    <mergeCell ref="AC208:AE208"/>
    <mergeCell ref="B209:M209"/>
    <mergeCell ref="N209:P209"/>
    <mergeCell ref="Q209:V209"/>
    <mergeCell ref="W209:AB209"/>
    <mergeCell ref="AC209:AE209"/>
    <mergeCell ref="B206:M206"/>
    <mergeCell ref="N206:P206"/>
    <mergeCell ref="Q206:V206"/>
    <mergeCell ref="W206:AB206"/>
    <mergeCell ref="AC206:AE206"/>
    <mergeCell ref="B207:M207"/>
    <mergeCell ref="N207:P207"/>
    <mergeCell ref="Q207:V207"/>
    <mergeCell ref="W207:AB207"/>
    <mergeCell ref="AC207:AE207"/>
    <mergeCell ref="B204:M204"/>
    <mergeCell ref="N204:P204"/>
    <mergeCell ref="Q204:V204"/>
    <mergeCell ref="W204:AB204"/>
    <mergeCell ref="AC204:AE204"/>
    <mergeCell ref="B205:M205"/>
    <mergeCell ref="N205:P205"/>
    <mergeCell ref="Q205:V205"/>
    <mergeCell ref="W205:AB205"/>
    <mergeCell ref="AC205:AE205"/>
    <mergeCell ref="B202:M202"/>
    <mergeCell ref="N202:P202"/>
    <mergeCell ref="Q202:V202"/>
    <mergeCell ref="W202:AB202"/>
    <mergeCell ref="AC202:AE202"/>
    <mergeCell ref="B203:M203"/>
    <mergeCell ref="N203:P203"/>
    <mergeCell ref="Q203:V203"/>
    <mergeCell ref="W203:AB203"/>
    <mergeCell ref="AC203:AE203"/>
    <mergeCell ref="B200:M200"/>
    <mergeCell ref="N200:P200"/>
    <mergeCell ref="Q200:V200"/>
    <mergeCell ref="W200:AB200"/>
    <mergeCell ref="AC200:AE200"/>
    <mergeCell ref="B201:M201"/>
    <mergeCell ref="N201:P201"/>
    <mergeCell ref="Q201:V201"/>
    <mergeCell ref="W201:AB201"/>
    <mergeCell ref="AC201:AE201"/>
    <mergeCell ref="B198:M198"/>
    <mergeCell ref="N198:P198"/>
    <mergeCell ref="Q198:V198"/>
    <mergeCell ref="W198:AB198"/>
    <mergeCell ref="AC198:AE198"/>
    <mergeCell ref="B199:M199"/>
    <mergeCell ref="N199:P199"/>
    <mergeCell ref="Q199:V199"/>
    <mergeCell ref="W199:AB199"/>
    <mergeCell ref="AC199:AE199"/>
    <mergeCell ref="B196:M196"/>
    <mergeCell ref="N196:P196"/>
    <mergeCell ref="Q196:V196"/>
    <mergeCell ref="W196:AB196"/>
    <mergeCell ref="AC196:AE196"/>
    <mergeCell ref="B197:M197"/>
    <mergeCell ref="N197:P197"/>
    <mergeCell ref="Q197:V197"/>
    <mergeCell ref="W197:AB197"/>
    <mergeCell ref="AC197:AE197"/>
    <mergeCell ref="B194:M194"/>
    <mergeCell ref="N194:P194"/>
    <mergeCell ref="Q194:V194"/>
    <mergeCell ref="W194:AB194"/>
    <mergeCell ref="AC194:AE194"/>
    <mergeCell ref="B195:M195"/>
    <mergeCell ref="N195:P195"/>
    <mergeCell ref="Q195:V195"/>
    <mergeCell ref="W195:AB195"/>
    <mergeCell ref="AC195:AE195"/>
    <mergeCell ref="B192:M192"/>
    <mergeCell ref="N192:P192"/>
    <mergeCell ref="Q192:V192"/>
    <mergeCell ref="W192:AB192"/>
    <mergeCell ref="AC192:AE192"/>
    <mergeCell ref="B193:M193"/>
    <mergeCell ref="N193:P193"/>
    <mergeCell ref="Q193:V193"/>
    <mergeCell ref="W193:AB193"/>
    <mergeCell ref="AC193:AE193"/>
    <mergeCell ref="B190:M190"/>
    <mergeCell ref="N190:P190"/>
    <mergeCell ref="Q190:V190"/>
    <mergeCell ref="W190:AB190"/>
    <mergeCell ref="AC190:AE190"/>
    <mergeCell ref="B191:M191"/>
    <mergeCell ref="N191:P191"/>
    <mergeCell ref="Q191:V191"/>
    <mergeCell ref="W191:AB191"/>
    <mergeCell ref="AC191:AE191"/>
    <mergeCell ref="B188:M188"/>
    <mergeCell ref="N188:P188"/>
    <mergeCell ref="Q188:V188"/>
    <mergeCell ref="W188:AB188"/>
    <mergeCell ref="AC188:AE188"/>
    <mergeCell ref="B189:M189"/>
    <mergeCell ref="N189:P189"/>
    <mergeCell ref="Q189:V189"/>
    <mergeCell ref="W189:AB189"/>
    <mergeCell ref="AC189:AE189"/>
    <mergeCell ref="B186:M186"/>
    <mergeCell ref="N186:P186"/>
    <mergeCell ref="Q186:V186"/>
    <mergeCell ref="W186:AB186"/>
    <mergeCell ref="AC186:AE186"/>
    <mergeCell ref="B187:M187"/>
    <mergeCell ref="N187:P187"/>
    <mergeCell ref="Q187:V187"/>
    <mergeCell ref="W187:AB187"/>
    <mergeCell ref="AC187:AE187"/>
    <mergeCell ref="B184:M184"/>
    <mergeCell ref="N184:P184"/>
    <mergeCell ref="Q184:V184"/>
    <mergeCell ref="W184:AB184"/>
    <mergeCell ref="AC184:AE184"/>
    <mergeCell ref="B185:M185"/>
    <mergeCell ref="N185:P185"/>
    <mergeCell ref="Q185:V185"/>
    <mergeCell ref="W185:AB185"/>
    <mergeCell ref="AC185:AE185"/>
    <mergeCell ref="B182:M182"/>
    <mergeCell ref="N182:P182"/>
    <mergeCell ref="Q182:V182"/>
    <mergeCell ref="W182:AB182"/>
    <mergeCell ref="AC182:AE182"/>
    <mergeCell ref="B183:M183"/>
    <mergeCell ref="N183:P183"/>
    <mergeCell ref="Q183:V183"/>
    <mergeCell ref="W183:AB183"/>
    <mergeCell ref="AC183:AE183"/>
    <mergeCell ref="B180:M180"/>
    <mergeCell ref="N180:P180"/>
    <mergeCell ref="Q180:V180"/>
    <mergeCell ref="W180:AB180"/>
    <mergeCell ref="AC180:AE180"/>
    <mergeCell ref="B181:M181"/>
    <mergeCell ref="N181:P181"/>
    <mergeCell ref="Q181:V181"/>
    <mergeCell ref="W181:AB181"/>
    <mergeCell ref="AC181:AE181"/>
    <mergeCell ref="B178:M178"/>
    <mergeCell ref="N178:P178"/>
    <mergeCell ref="Q178:V178"/>
    <mergeCell ref="W178:AB178"/>
    <mergeCell ref="AC178:AE178"/>
    <mergeCell ref="B179:M179"/>
    <mergeCell ref="N179:P179"/>
    <mergeCell ref="Q179:V179"/>
    <mergeCell ref="W179:AB179"/>
    <mergeCell ref="AC179:AE179"/>
    <mergeCell ref="B176:M176"/>
    <mergeCell ref="N176:P176"/>
    <mergeCell ref="Q176:V176"/>
    <mergeCell ref="W176:AB176"/>
    <mergeCell ref="AC176:AE176"/>
    <mergeCell ref="B177:M177"/>
    <mergeCell ref="N177:P177"/>
    <mergeCell ref="Q177:V177"/>
    <mergeCell ref="W177:AB177"/>
    <mergeCell ref="AC177:AE177"/>
    <mergeCell ref="B174:M174"/>
    <mergeCell ref="N174:P174"/>
    <mergeCell ref="Q174:V174"/>
    <mergeCell ref="W174:AB174"/>
    <mergeCell ref="AC174:AE174"/>
    <mergeCell ref="B175:M175"/>
    <mergeCell ref="N175:P175"/>
    <mergeCell ref="Q175:V175"/>
    <mergeCell ref="W175:AB175"/>
    <mergeCell ref="AC175:AE175"/>
    <mergeCell ref="B172:M172"/>
    <mergeCell ref="N172:P172"/>
    <mergeCell ref="Q172:V172"/>
    <mergeCell ref="W172:AB172"/>
    <mergeCell ref="AC172:AE172"/>
    <mergeCell ref="B173:M173"/>
    <mergeCell ref="N173:P173"/>
    <mergeCell ref="Q173:V173"/>
    <mergeCell ref="W173:AB173"/>
    <mergeCell ref="AC173:AE173"/>
    <mergeCell ref="B170:M170"/>
    <mergeCell ref="N170:P170"/>
    <mergeCell ref="Q170:V170"/>
    <mergeCell ref="W170:AB170"/>
    <mergeCell ref="AC170:AE170"/>
    <mergeCell ref="B171:M171"/>
    <mergeCell ref="N171:P171"/>
    <mergeCell ref="Q171:V171"/>
    <mergeCell ref="W171:AB171"/>
    <mergeCell ref="AC171:AE171"/>
    <mergeCell ref="B168:M168"/>
    <mergeCell ref="N168:P168"/>
    <mergeCell ref="Q168:V168"/>
    <mergeCell ref="W168:AB168"/>
    <mergeCell ref="AC168:AE168"/>
    <mergeCell ref="B169:M169"/>
    <mergeCell ref="N169:P169"/>
    <mergeCell ref="Q169:V169"/>
    <mergeCell ref="W169:AB169"/>
    <mergeCell ref="AC169:AE169"/>
    <mergeCell ref="B166:M166"/>
    <mergeCell ref="N166:P166"/>
    <mergeCell ref="Q166:V166"/>
    <mergeCell ref="W166:AB166"/>
    <mergeCell ref="AC166:AE166"/>
    <mergeCell ref="B167:M167"/>
    <mergeCell ref="N167:P167"/>
    <mergeCell ref="Q167:V167"/>
    <mergeCell ref="W167:AB167"/>
    <mergeCell ref="AC167:AE167"/>
    <mergeCell ref="B164:M164"/>
    <mergeCell ref="N164:P164"/>
    <mergeCell ref="Q164:V164"/>
    <mergeCell ref="W164:AB164"/>
    <mergeCell ref="AC164:AE164"/>
    <mergeCell ref="B165:M165"/>
    <mergeCell ref="N165:P165"/>
    <mergeCell ref="Q165:V165"/>
    <mergeCell ref="W165:AB165"/>
    <mergeCell ref="AC165:AE165"/>
    <mergeCell ref="B162:M162"/>
    <mergeCell ref="N162:P162"/>
    <mergeCell ref="Q162:V162"/>
    <mergeCell ref="W162:AB162"/>
    <mergeCell ref="AC162:AE162"/>
    <mergeCell ref="B163:M163"/>
    <mergeCell ref="N163:P163"/>
    <mergeCell ref="Q163:V163"/>
    <mergeCell ref="W163:AB163"/>
    <mergeCell ref="AC163:AE163"/>
    <mergeCell ref="B160:M160"/>
    <mergeCell ref="N160:P160"/>
    <mergeCell ref="Q160:V160"/>
    <mergeCell ref="W160:AB160"/>
    <mergeCell ref="AC160:AE160"/>
    <mergeCell ref="B161:M161"/>
    <mergeCell ref="N161:P161"/>
    <mergeCell ref="Q161:V161"/>
    <mergeCell ref="W161:AB161"/>
    <mergeCell ref="AC161:AE161"/>
    <mergeCell ref="B158:M158"/>
    <mergeCell ref="N158:P158"/>
    <mergeCell ref="Q158:V158"/>
    <mergeCell ref="W158:AB158"/>
    <mergeCell ref="AC158:AE158"/>
    <mergeCell ref="B159:M159"/>
    <mergeCell ref="N159:P159"/>
    <mergeCell ref="Q159:V159"/>
    <mergeCell ref="W159:AB159"/>
    <mergeCell ref="AC159:AE159"/>
    <mergeCell ref="B156:M156"/>
    <mergeCell ref="N156:P156"/>
    <mergeCell ref="Q156:V156"/>
    <mergeCell ref="W156:AB156"/>
    <mergeCell ref="AC156:AE156"/>
    <mergeCell ref="B157:M157"/>
    <mergeCell ref="N157:P157"/>
    <mergeCell ref="Q157:V157"/>
    <mergeCell ref="W157:AB157"/>
    <mergeCell ref="AC157:AE157"/>
    <mergeCell ref="B154:M154"/>
    <mergeCell ref="N154:P154"/>
    <mergeCell ref="Q154:V154"/>
    <mergeCell ref="W154:AB154"/>
    <mergeCell ref="AC154:AE154"/>
    <mergeCell ref="B155:M155"/>
    <mergeCell ref="N155:P155"/>
    <mergeCell ref="Q155:V155"/>
    <mergeCell ref="W155:AB155"/>
    <mergeCell ref="AC155:AE155"/>
    <mergeCell ref="B152:M152"/>
    <mergeCell ref="N152:P152"/>
    <mergeCell ref="Q152:V152"/>
    <mergeCell ref="W152:AB152"/>
    <mergeCell ref="AC152:AE152"/>
    <mergeCell ref="B153:M153"/>
    <mergeCell ref="N153:P153"/>
    <mergeCell ref="Q153:V153"/>
    <mergeCell ref="W153:AB153"/>
    <mergeCell ref="AC153:AE153"/>
    <mergeCell ref="B150:M150"/>
    <mergeCell ref="N150:P150"/>
    <mergeCell ref="Q150:V150"/>
    <mergeCell ref="W150:AB150"/>
    <mergeCell ref="AC150:AE150"/>
    <mergeCell ref="B151:M151"/>
    <mergeCell ref="N151:P151"/>
    <mergeCell ref="Q151:V151"/>
    <mergeCell ref="W151:AB151"/>
    <mergeCell ref="AC151:AE151"/>
    <mergeCell ref="B148:M148"/>
    <mergeCell ref="N148:P148"/>
    <mergeCell ref="Q148:V148"/>
    <mergeCell ref="W148:AB148"/>
    <mergeCell ref="AC148:AE148"/>
    <mergeCell ref="B149:M149"/>
    <mergeCell ref="N149:P149"/>
    <mergeCell ref="Q149:V149"/>
    <mergeCell ref="W149:AB149"/>
    <mergeCell ref="AC149:AE149"/>
    <mergeCell ref="B146:M146"/>
    <mergeCell ref="N146:P146"/>
    <mergeCell ref="Q146:V146"/>
    <mergeCell ref="W146:AB146"/>
    <mergeCell ref="AC146:AE146"/>
    <mergeCell ref="B147:M147"/>
    <mergeCell ref="N147:P147"/>
    <mergeCell ref="Q147:V147"/>
    <mergeCell ref="W147:AB147"/>
    <mergeCell ref="AC147:AE147"/>
    <mergeCell ref="B144:M144"/>
    <mergeCell ref="N144:P144"/>
    <mergeCell ref="Q144:V144"/>
    <mergeCell ref="W144:AB144"/>
    <mergeCell ref="AC144:AE144"/>
    <mergeCell ref="B145:M145"/>
    <mergeCell ref="N145:P145"/>
    <mergeCell ref="Q145:V145"/>
    <mergeCell ref="W145:AB145"/>
    <mergeCell ref="AC145:AE145"/>
    <mergeCell ref="B142:M142"/>
    <mergeCell ref="N142:P142"/>
    <mergeCell ref="Q142:V142"/>
    <mergeCell ref="W142:AB142"/>
    <mergeCell ref="AC142:AE142"/>
    <mergeCell ref="B143:M143"/>
    <mergeCell ref="N143:P143"/>
    <mergeCell ref="Q143:V143"/>
    <mergeCell ref="W143:AB143"/>
    <mergeCell ref="AC143:AE143"/>
    <mergeCell ref="B140:M140"/>
    <mergeCell ref="N140:P140"/>
    <mergeCell ref="Q140:V140"/>
    <mergeCell ref="W140:AB140"/>
    <mergeCell ref="AC140:AE140"/>
    <mergeCell ref="B141:M141"/>
    <mergeCell ref="N141:P141"/>
    <mergeCell ref="Q141:V141"/>
    <mergeCell ref="W141:AB141"/>
    <mergeCell ref="AC141:AE141"/>
    <mergeCell ref="B138:M138"/>
    <mergeCell ref="N138:P138"/>
    <mergeCell ref="Q138:V138"/>
    <mergeCell ref="W138:AB138"/>
    <mergeCell ref="AC138:AE138"/>
    <mergeCell ref="B139:M139"/>
    <mergeCell ref="N139:P139"/>
    <mergeCell ref="Q139:V139"/>
    <mergeCell ref="W139:AB139"/>
    <mergeCell ref="AC139:AE139"/>
    <mergeCell ref="B136:M136"/>
    <mergeCell ref="N136:P136"/>
    <mergeCell ref="Q136:V136"/>
    <mergeCell ref="W136:AB136"/>
    <mergeCell ref="AC136:AE136"/>
    <mergeCell ref="B137:M137"/>
    <mergeCell ref="N137:P137"/>
    <mergeCell ref="Q137:V137"/>
    <mergeCell ref="W137:AB137"/>
    <mergeCell ref="AC137:AE137"/>
    <mergeCell ref="B134:M134"/>
    <mergeCell ref="N134:P134"/>
    <mergeCell ref="Q134:V134"/>
    <mergeCell ref="W134:AB134"/>
    <mergeCell ref="AC134:AE134"/>
    <mergeCell ref="B135:M135"/>
    <mergeCell ref="N135:P135"/>
    <mergeCell ref="Q135:V135"/>
    <mergeCell ref="W135:AB135"/>
    <mergeCell ref="AC135:AE135"/>
    <mergeCell ref="B132:M132"/>
    <mergeCell ref="N132:P132"/>
    <mergeCell ref="Q132:V132"/>
    <mergeCell ref="W132:AB132"/>
    <mergeCell ref="AC132:AE132"/>
    <mergeCell ref="B133:M133"/>
    <mergeCell ref="N133:P133"/>
    <mergeCell ref="Q133:V133"/>
    <mergeCell ref="W133:AB133"/>
    <mergeCell ref="AC133:AE133"/>
    <mergeCell ref="B130:M130"/>
    <mergeCell ref="N130:P130"/>
    <mergeCell ref="Q130:V130"/>
    <mergeCell ref="W130:AB130"/>
    <mergeCell ref="AC130:AE130"/>
    <mergeCell ref="B131:M131"/>
    <mergeCell ref="N131:P131"/>
    <mergeCell ref="Q131:V131"/>
    <mergeCell ref="W131:AB131"/>
    <mergeCell ref="AC131:AE131"/>
    <mergeCell ref="B128:M128"/>
    <mergeCell ref="N128:P128"/>
    <mergeCell ref="Q128:V128"/>
    <mergeCell ref="W128:AB128"/>
    <mergeCell ref="AC128:AE128"/>
    <mergeCell ref="B129:M129"/>
    <mergeCell ref="N129:P129"/>
    <mergeCell ref="Q129:V129"/>
    <mergeCell ref="W129:AB129"/>
    <mergeCell ref="AC129:AE129"/>
    <mergeCell ref="B126:M126"/>
    <mergeCell ref="N126:P126"/>
    <mergeCell ref="Q126:V126"/>
    <mergeCell ref="W126:AB126"/>
    <mergeCell ref="AC126:AE126"/>
    <mergeCell ref="B127:M127"/>
    <mergeCell ref="N127:P127"/>
    <mergeCell ref="Q127:V127"/>
    <mergeCell ref="W127:AB127"/>
    <mergeCell ref="AC127:AE127"/>
    <mergeCell ref="B124:M124"/>
    <mergeCell ref="N124:P124"/>
    <mergeCell ref="Q124:V124"/>
    <mergeCell ref="W124:AB124"/>
    <mergeCell ref="AC124:AE124"/>
    <mergeCell ref="B125:M125"/>
    <mergeCell ref="N125:P125"/>
    <mergeCell ref="Q125:V125"/>
    <mergeCell ref="W125:AB125"/>
    <mergeCell ref="AC125:AE125"/>
    <mergeCell ref="B122:M122"/>
    <mergeCell ref="N122:P122"/>
    <mergeCell ref="Q122:V122"/>
    <mergeCell ref="W122:AB122"/>
    <mergeCell ref="AC122:AE122"/>
    <mergeCell ref="B123:M123"/>
    <mergeCell ref="N123:P123"/>
    <mergeCell ref="Q123:V123"/>
    <mergeCell ref="W123:AB123"/>
    <mergeCell ref="AC123:AE123"/>
    <mergeCell ref="B120:M120"/>
    <mergeCell ref="N120:P120"/>
    <mergeCell ref="Q120:V120"/>
    <mergeCell ref="W120:AB120"/>
    <mergeCell ref="AC120:AE120"/>
    <mergeCell ref="B121:M121"/>
    <mergeCell ref="N121:P121"/>
    <mergeCell ref="Q121:V121"/>
    <mergeCell ref="W121:AB121"/>
    <mergeCell ref="AC121:AE121"/>
    <mergeCell ref="B118:M118"/>
    <mergeCell ref="N118:P118"/>
    <mergeCell ref="Q118:V118"/>
    <mergeCell ref="W118:AB118"/>
    <mergeCell ref="AC118:AE118"/>
    <mergeCell ref="B119:M119"/>
    <mergeCell ref="N119:P119"/>
    <mergeCell ref="Q119:V119"/>
    <mergeCell ref="W119:AB119"/>
    <mergeCell ref="AC119:AE119"/>
    <mergeCell ref="B116:M116"/>
    <mergeCell ref="N116:P116"/>
    <mergeCell ref="Q116:V116"/>
    <mergeCell ref="W116:AB116"/>
    <mergeCell ref="AC116:AE116"/>
    <mergeCell ref="B117:M117"/>
    <mergeCell ref="N117:P117"/>
    <mergeCell ref="Q117:V117"/>
    <mergeCell ref="W117:AB117"/>
    <mergeCell ref="AC117:AE117"/>
    <mergeCell ref="B114:M114"/>
    <mergeCell ref="N114:P114"/>
    <mergeCell ref="Q114:V114"/>
    <mergeCell ref="W114:AB114"/>
    <mergeCell ref="AC114:AE114"/>
    <mergeCell ref="B115:M115"/>
    <mergeCell ref="N115:P115"/>
    <mergeCell ref="Q115:V115"/>
    <mergeCell ref="W115:AB115"/>
    <mergeCell ref="AC115:AE115"/>
    <mergeCell ref="B112:M112"/>
    <mergeCell ref="N112:P112"/>
    <mergeCell ref="Q112:V112"/>
    <mergeCell ref="W112:AB112"/>
    <mergeCell ref="AC112:AE112"/>
    <mergeCell ref="B113:M113"/>
    <mergeCell ref="N113:P113"/>
    <mergeCell ref="Q113:V113"/>
    <mergeCell ref="W113:AB113"/>
    <mergeCell ref="AC113:AE113"/>
    <mergeCell ref="B110:M110"/>
    <mergeCell ref="N110:P110"/>
    <mergeCell ref="Q110:V110"/>
    <mergeCell ref="W110:AB110"/>
    <mergeCell ref="AC110:AE110"/>
    <mergeCell ref="B111:M111"/>
    <mergeCell ref="N111:P111"/>
    <mergeCell ref="Q111:V111"/>
    <mergeCell ref="W111:AB111"/>
    <mergeCell ref="AC111:AE111"/>
    <mergeCell ref="B108:M108"/>
    <mergeCell ref="N108:P108"/>
    <mergeCell ref="Q108:V108"/>
    <mergeCell ref="W108:AB108"/>
    <mergeCell ref="AC108:AE108"/>
    <mergeCell ref="B109:M109"/>
    <mergeCell ref="N109:P109"/>
    <mergeCell ref="Q109:V109"/>
    <mergeCell ref="W109:AB109"/>
    <mergeCell ref="AC109:AE109"/>
    <mergeCell ref="B106:M106"/>
    <mergeCell ref="N106:P106"/>
    <mergeCell ref="Q106:V106"/>
    <mergeCell ref="W106:AB106"/>
    <mergeCell ref="AC106:AE106"/>
    <mergeCell ref="B107:M107"/>
    <mergeCell ref="N107:P107"/>
    <mergeCell ref="Q107:V107"/>
    <mergeCell ref="W107:AB107"/>
    <mergeCell ref="AC107:AE107"/>
    <mergeCell ref="B104:M104"/>
    <mergeCell ref="N104:P104"/>
    <mergeCell ref="Q104:V104"/>
    <mergeCell ref="W104:AB104"/>
    <mergeCell ref="AC104:AE104"/>
    <mergeCell ref="B105:M105"/>
    <mergeCell ref="N105:P105"/>
    <mergeCell ref="Q105:V105"/>
    <mergeCell ref="W105:AB105"/>
    <mergeCell ref="AC105:AE105"/>
    <mergeCell ref="B102:M102"/>
    <mergeCell ref="N102:P102"/>
    <mergeCell ref="Q102:V102"/>
    <mergeCell ref="W102:AB102"/>
    <mergeCell ref="AC102:AE102"/>
    <mergeCell ref="B103:M103"/>
    <mergeCell ref="N103:P103"/>
    <mergeCell ref="Q103:V103"/>
    <mergeCell ref="W103:AB103"/>
    <mergeCell ref="AC103:AE103"/>
    <mergeCell ref="B100:M100"/>
    <mergeCell ref="N100:P100"/>
    <mergeCell ref="Q100:V100"/>
    <mergeCell ref="W100:AB100"/>
    <mergeCell ref="AC100:AE100"/>
    <mergeCell ref="B101:M101"/>
    <mergeCell ref="N101:P101"/>
    <mergeCell ref="Q101:V101"/>
    <mergeCell ref="W101:AB101"/>
    <mergeCell ref="AC101:AE101"/>
    <mergeCell ref="B98:M98"/>
    <mergeCell ref="N98:P98"/>
    <mergeCell ref="Q98:V98"/>
    <mergeCell ref="W98:AB98"/>
    <mergeCell ref="AC98:AE98"/>
    <mergeCell ref="B99:M99"/>
    <mergeCell ref="N99:P99"/>
    <mergeCell ref="Q99:V99"/>
    <mergeCell ref="W99:AB99"/>
    <mergeCell ref="AC99:AE99"/>
    <mergeCell ref="B96:M96"/>
    <mergeCell ref="N96:P96"/>
    <mergeCell ref="Q96:V96"/>
    <mergeCell ref="W96:AB96"/>
    <mergeCell ref="AC96:AE96"/>
    <mergeCell ref="B97:M97"/>
    <mergeCell ref="N97:P97"/>
    <mergeCell ref="Q97:V97"/>
    <mergeCell ref="W97:AB97"/>
    <mergeCell ref="AC97:AE97"/>
    <mergeCell ref="B94:M94"/>
    <mergeCell ref="N94:P94"/>
    <mergeCell ref="Q94:V94"/>
    <mergeCell ref="W94:AB94"/>
    <mergeCell ref="AC94:AE94"/>
    <mergeCell ref="B95:M95"/>
    <mergeCell ref="N95:P95"/>
    <mergeCell ref="Q95:V95"/>
    <mergeCell ref="W95:AB95"/>
    <mergeCell ref="AC95:AE95"/>
    <mergeCell ref="B92:M92"/>
    <mergeCell ref="N92:P92"/>
    <mergeCell ref="Q92:V92"/>
    <mergeCell ref="W92:AB92"/>
    <mergeCell ref="AC92:AE92"/>
    <mergeCell ref="B93:M93"/>
    <mergeCell ref="N93:P93"/>
    <mergeCell ref="Q93:V93"/>
    <mergeCell ref="W93:AB93"/>
    <mergeCell ref="AC93:AE93"/>
    <mergeCell ref="B90:M90"/>
    <mergeCell ref="N90:P90"/>
    <mergeCell ref="Q90:V90"/>
    <mergeCell ref="W90:AB90"/>
    <mergeCell ref="AC90:AE90"/>
    <mergeCell ref="B91:M91"/>
    <mergeCell ref="N91:P91"/>
    <mergeCell ref="Q91:V91"/>
    <mergeCell ref="W91:AB91"/>
    <mergeCell ref="AC91:AE91"/>
    <mergeCell ref="B88:M88"/>
    <mergeCell ref="N88:P88"/>
    <mergeCell ref="Q88:V88"/>
    <mergeCell ref="W88:AB88"/>
    <mergeCell ref="AC88:AE88"/>
    <mergeCell ref="B89:M89"/>
    <mergeCell ref="N89:P89"/>
    <mergeCell ref="Q89:V89"/>
    <mergeCell ref="W89:AB89"/>
    <mergeCell ref="AC89:AE89"/>
    <mergeCell ref="B86:M86"/>
    <mergeCell ref="N86:P86"/>
    <mergeCell ref="Q86:V86"/>
    <mergeCell ref="W86:AB86"/>
    <mergeCell ref="AC86:AE86"/>
    <mergeCell ref="B87:M87"/>
    <mergeCell ref="N87:P87"/>
    <mergeCell ref="Q87:V87"/>
    <mergeCell ref="W87:AB87"/>
    <mergeCell ref="AC87:AE87"/>
    <mergeCell ref="B84:M84"/>
    <mergeCell ref="N84:P84"/>
    <mergeCell ref="Q84:V84"/>
    <mergeCell ref="W84:AB84"/>
    <mergeCell ref="AC84:AE84"/>
    <mergeCell ref="B85:M85"/>
    <mergeCell ref="N85:P85"/>
    <mergeCell ref="Q85:V85"/>
    <mergeCell ref="W85:AB85"/>
    <mergeCell ref="AC85:AE85"/>
    <mergeCell ref="B82:M82"/>
    <mergeCell ref="N82:P82"/>
    <mergeCell ref="Q82:V82"/>
    <mergeCell ref="W82:AB82"/>
    <mergeCell ref="AC82:AE82"/>
    <mergeCell ref="B83:M83"/>
    <mergeCell ref="N83:P83"/>
    <mergeCell ref="Q83:V83"/>
    <mergeCell ref="W83:AB83"/>
    <mergeCell ref="AC83:AE83"/>
    <mergeCell ref="B80:M80"/>
    <mergeCell ref="N80:P80"/>
    <mergeCell ref="Q80:V80"/>
    <mergeCell ref="W80:AB80"/>
    <mergeCell ref="AC80:AE80"/>
    <mergeCell ref="B81:M81"/>
    <mergeCell ref="N81:P81"/>
    <mergeCell ref="Q81:V81"/>
    <mergeCell ref="W81:AB81"/>
    <mergeCell ref="AC81:AE81"/>
    <mergeCell ref="B78:M78"/>
    <mergeCell ref="N78:P78"/>
    <mergeCell ref="Q78:V78"/>
    <mergeCell ref="W78:AB78"/>
    <mergeCell ref="AC78:AE78"/>
    <mergeCell ref="B79:M79"/>
    <mergeCell ref="N79:P79"/>
    <mergeCell ref="Q79:V79"/>
    <mergeCell ref="W79:AB79"/>
    <mergeCell ref="AC79:AE79"/>
    <mergeCell ref="B76:M76"/>
    <mergeCell ref="N76:P76"/>
    <mergeCell ref="Q76:V76"/>
    <mergeCell ref="W76:AB76"/>
    <mergeCell ref="AC76:AE76"/>
    <mergeCell ref="B77:M77"/>
    <mergeCell ref="N77:P77"/>
    <mergeCell ref="Q77:V77"/>
    <mergeCell ref="W77:AB77"/>
    <mergeCell ref="AC77:AE77"/>
    <mergeCell ref="B74:M74"/>
    <mergeCell ref="N74:P74"/>
    <mergeCell ref="Q74:V74"/>
    <mergeCell ref="W74:AB74"/>
    <mergeCell ref="AC74:AE74"/>
    <mergeCell ref="B75:M75"/>
    <mergeCell ref="N75:P75"/>
    <mergeCell ref="Q75:V75"/>
    <mergeCell ref="W75:AB75"/>
    <mergeCell ref="AC75:AE75"/>
    <mergeCell ref="B72:M72"/>
    <mergeCell ref="N72:P72"/>
    <mergeCell ref="Q72:V72"/>
    <mergeCell ref="W72:AB72"/>
    <mergeCell ref="AC72:AE72"/>
    <mergeCell ref="B73:M73"/>
    <mergeCell ref="N73:P73"/>
    <mergeCell ref="Q73:V73"/>
    <mergeCell ref="W73:AB73"/>
    <mergeCell ref="AC73:AE73"/>
    <mergeCell ref="B70:M70"/>
    <mergeCell ref="N70:P70"/>
    <mergeCell ref="Q70:V70"/>
    <mergeCell ref="W70:AB70"/>
    <mergeCell ref="AC70:AE70"/>
    <mergeCell ref="B71:M71"/>
    <mergeCell ref="N71:P71"/>
    <mergeCell ref="Q71:V71"/>
    <mergeCell ref="W71:AB71"/>
    <mergeCell ref="AC71:AE71"/>
    <mergeCell ref="B68:M68"/>
    <mergeCell ref="N68:P68"/>
    <mergeCell ref="Q68:V68"/>
    <mergeCell ref="W68:AB68"/>
    <mergeCell ref="AC68:AE68"/>
    <mergeCell ref="B69:M69"/>
    <mergeCell ref="N69:P69"/>
    <mergeCell ref="Q69:V69"/>
    <mergeCell ref="W69:AB69"/>
    <mergeCell ref="AC69:AE69"/>
    <mergeCell ref="B66:M66"/>
    <mergeCell ref="N66:P66"/>
    <mergeCell ref="Q66:V66"/>
    <mergeCell ref="W66:AB66"/>
    <mergeCell ref="AC66:AE66"/>
    <mergeCell ref="B67:M67"/>
    <mergeCell ref="N67:P67"/>
    <mergeCell ref="Q67:V67"/>
    <mergeCell ref="W67:AB67"/>
    <mergeCell ref="AC67:AE67"/>
    <mergeCell ref="B64:M64"/>
    <mergeCell ref="N64:P64"/>
    <mergeCell ref="Q64:V64"/>
    <mergeCell ref="W64:AB64"/>
    <mergeCell ref="AC64:AE64"/>
    <mergeCell ref="B65:M65"/>
    <mergeCell ref="N65:P65"/>
    <mergeCell ref="Q65:V65"/>
    <mergeCell ref="W65:AB65"/>
    <mergeCell ref="AC65:AE65"/>
    <mergeCell ref="B62:M62"/>
    <mergeCell ref="N62:P62"/>
    <mergeCell ref="Q62:V62"/>
    <mergeCell ref="W62:AB62"/>
    <mergeCell ref="AC62:AE62"/>
    <mergeCell ref="B63:M63"/>
    <mergeCell ref="N63:P63"/>
    <mergeCell ref="Q63:V63"/>
    <mergeCell ref="W63:AB63"/>
    <mergeCell ref="AC63:AE63"/>
    <mergeCell ref="B60:M60"/>
    <mergeCell ref="N60:P60"/>
    <mergeCell ref="Q60:V60"/>
    <mergeCell ref="W60:AB60"/>
    <mergeCell ref="AC60:AE60"/>
    <mergeCell ref="B61:M61"/>
    <mergeCell ref="N61:P61"/>
    <mergeCell ref="Q61:V61"/>
    <mergeCell ref="W61:AB61"/>
    <mergeCell ref="AC61:AE61"/>
    <mergeCell ref="B58:M58"/>
    <mergeCell ref="N58:P58"/>
    <mergeCell ref="Q58:V58"/>
    <mergeCell ref="W58:AB58"/>
    <mergeCell ref="AC58:AE58"/>
    <mergeCell ref="B59:M59"/>
    <mergeCell ref="N59:P59"/>
    <mergeCell ref="Q59:V59"/>
    <mergeCell ref="W59:AB59"/>
    <mergeCell ref="AC59:AE59"/>
    <mergeCell ref="B56:M56"/>
    <mergeCell ref="N56:P56"/>
    <mergeCell ref="Q56:V56"/>
    <mergeCell ref="W56:AB56"/>
    <mergeCell ref="AC56:AE56"/>
    <mergeCell ref="B57:M57"/>
    <mergeCell ref="N57:P57"/>
    <mergeCell ref="Q57:V57"/>
    <mergeCell ref="W57:AB57"/>
    <mergeCell ref="AC57:AE57"/>
    <mergeCell ref="B54:M54"/>
    <mergeCell ref="N54:P54"/>
    <mergeCell ref="Q54:V54"/>
    <mergeCell ref="W54:AB54"/>
    <mergeCell ref="AC54:AE54"/>
    <mergeCell ref="B55:M55"/>
    <mergeCell ref="N55:P55"/>
    <mergeCell ref="Q55:V55"/>
    <mergeCell ref="W55:AB55"/>
    <mergeCell ref="AC55:AE55"/>
    <mergeCell ref="B52:M52"/>
    <mergeCell ref="N52:P52"/>
    <mergeCell ref="Q52:V52"/>
    <mergeCell ref="W52:AB52"/>
    <mergeCell ref="AC52:AE52"/>
    <mergeCell ref="B53:M53"/>
    <mergeCell ref="N53:P53"/>
    <mergeCell ref="Q53:V53"/>
    <mergeCell ref="W53:AB53"/>
    <mergeCell ref="AC53:AE53"/>
    <mergeCell ref="B50:M50"/>
    <mergeCell ref="N50:P50"/>
    <mergeCell ref="Q50:V50"/>
    <mergeCell ref="W50:AB50"/>
    <mergeCell ref="AC50:AE50"/>
    <mergeCell ref="B51:M51"/>
    <mergeCell ref="N51:P51"/>
    <mergeCell ref="Q51:V51"/>
    <mergeCell ref="W51:AB51"/>
    <mergeCell ref="AC51:AE51"/>
    <mergeCell ref="B48:M48"/>
    <mergeCell ref="N48:P48"/>
    <mergeCell ref="Q48:V48"/>
    <mergeCell ref="W48:AB48"/>
    <mergeCell ref="AC48:AE48"/>
    <mergeCell ref="B49:M49"/>
    <mergeCell ref="N49:P49"/>
    <mergeCell ref="Q49:V49"/>
    <mergeCell ref="W49:AB49"/>
    <mergeCell ref="AC49:AE49"/>
    <mergeCell ref="B46:M46"/>
    <mergeCell ref="N46:P46"/>
    <mergeCell ref="Q46:V46"/>
    <mergeCell ref="W46:AB46"/>
    <mergeCell ref="AC46:AE46"/>
    <mergeCell ref="B47:M47"/>
    <mergeCell ref="N47:P47"/>
    <mergeCell ref="Q47:V47"/>
    <mergeCell ref="W47:AB47"/>
    <mergeCell ref="AC47:AE47"/>
    <mergeCell ref="B44:M44"/>
    <mergeCell ref="N44:P44"/>
    <mergeCell ref="Q44:V44"/>
    <mergeCell ref="W44:AB44"/>
    <mergeCell ref="AC44:AE44"/>
    <mergeCell ref="B45:M45"/>
    <mergeCell ref="N45:P45"/>
    <mergeCell ref="Q45:V45"/>
    <mergeCell ref="W45:AB45"/>
    <mergeCell ref="AC45:AE45"/>
    <mergeCell ref="B42:M42"/>
    <mergeCell ref="N42:P42"/>
    <mergeCell ref="Q42:V42"/>
    <mergeCell ref="W42:AB42"/>
    <mergeCell ref="AC42:AE42"/>
    <mergeCell ref="B43:M43"/>
    <mergeCell ref="N43:P43"/>
    <mergeCell ref="Q43:V43"/>
    <mergeCell ref="W43:AB43"/>
    <mergeCell ref="AC43:AE43"/>
    <mergeCell ref="B40:M40"/>
    <mergeCell ref="N40:P40"/>
    <mergeCell ref="Q40:V40"/>
    <mergeCell ref="W40:AB40"/>
    <mergeCell ref="AC40:AE40"/>
    <mergeCell ref="B41:M41"/>
    <mergeCell ref="N41:P41"/>
    <mergeCell ref="Q41:V41"/>
    <mergeCell ref="W41:AB41"/>
    <mergeCell ref="AC41:AE41"/>
    <mergeCell ref="B38:M38"/>
    <mergeCell ref="N38:P38"/>
    <mergeCell ref="Q38:V38"/>
    <mergeCell ref="W38:AB38"/>
    <mergeCell ref="AC38:AE38"/>
    <mergeCell ref="B39:M39"/>
    <mergeCell ref="N39:P39"/>
    <mergeCell ref="Q39:V39"/>
    <mergeCell ref="W39:AB39"/>
    <mergeCell ref="AC39:AE39"/>
    <mergeCell ref="B36:M36"/>
    <mergeCell ref="N36:P36"/>
    <mergeCell ref="Q36:V36"/>
    <mergeCell ref="W36:AB36"/>
    <mergeCell ref="AC36:AE36"/>
    <mergeCell ref="B37:M37"/>
    <mergeCell ref="N37:P37"/>
    <mergeCell ref="Q37:V37"/>
    <mergeCell ref="W37:AB37"/>
    <mergeCell ref="AC37:AE37"/>
    <mergeCell ref="B34:M34"/>
    <mergeCell ref="N34:P34"/>
    <mergeCell ref="Q34:V34"/>
    <mergeCell ref="W34:AB34"/>
    <mergeCell ref="AC34:AE34"/>
    <mergeCell ref="B35:M35"/>
    <mergeCell ref="N35:P35"/>
    <mergeCell ref="Q35:V35"/>
    <mergeCell ref="W35:AB35"/>
    <mergeCell ref="AC35:AE35"/>
    <mergeCell ref="B32:M32"/>
    <mergeCell ref="N32:P32"/>
    <mergeCell ref="Q32:V32"/>
    <mergeCell ref="W32:AB32"/>
    <mergeCell ref="AC32:AE32"/>
    <mergeCell ref="B33:M33"/>
    <mergeCell ref="N33:P33"/>
    <mergeCell ref="Q33:V33"/>
    <mergeCell ref="W33:AB33"/>
    <mergeCell ref="AC33:AE33"/>
    <mergeCell ref="B30:M30"/>
    <mergeCell ref="N30:P30"/>
    <mergeCell ref="Q30:V30"/>
    <mergeCell ref="W30:AB30"/>
    <mergeCell ref="AC30:AE30"/>
    <mergeCell ref="B31:M31"/>
    <mergeCell ref="N31:P31"/>
    <mergeCell ref="Q31:V31"/>
    <mergeCell ref="W31:AB31"/>
    <mergeCell ref="AC31:AE31"/>
    <mergeCell ref="B28:M28"/>
    <mergeCell ref="N28:P28"/>
    <mergeCell ref="Q28:V28"/>
    <mergeCell ref="W28:AB28"/>
    <mergeCell ref="AC28:AE28"/>
    <mergeCell ref="B29:M29"/>
    <mergeCell ref="N29:P29"/>
    <mergeCell ref="Q29:V29"/>
    <mergeCell ref="W29:AB29"/>
    <mergeCell ref="AC29:AE29"/>
    <mergeCell ref="B26:M26"/>
    <mergeCell ref="N26:P26"/>
    <mergeCell ref="Q26:V26"/>
    <mergeCell ref="W26:AB26"/>
    <mergeCell ref="AC26:AE26"/>
    <mergeCell ref="B27:M27"/>
    <mergeCell ref="N27:P27"/>
    <mergeCell ref="Q27:V27"/>
    <mergeCell ref="W27:AB27"/>
    <mergeCell ref="AC27:AE27"/>
    <mergeCell ref="B24:M24"/>
    <mergeCell ref="N24:P24"/>
    <mergeCell ref="Q24:V24"/>
    <mergeCell ref="W24:AB24"/>
    <mergeCell ref="AC24:AE24"/>
    <mergeCell ref="B25:M25"/>
    <mergeCell ref="N25:P25"/>
    <mergeCell ref="Q25:V25"/>
    <mergeCell ref="W25:AB25"/>
    <mergeCell ref="AC25:AE25"/>
    <mergeCell ref="B22:M22"/>
    <mergeCell ref="N22:P22"/>
    <mergeCell ref="Q22:V22"/>
    <mergeCell ref="W22:AB22"/>
    <mergeCell ref="AC22:AE22"/>
    <mergeCell ref="B23:M23"/>
    <mergeCell ref="N23:P23"/>
    <mergeCell ref="Q23:V23"/>
    <mergeCell ref="W23:AB23"/>
    <mergeCell ref="AC23:AE23"/>
    <mergeCell ref="B20:M20"/>
    <mergeCell ref="N20:P20"/>
    <mergeCell ref="Q20:V20"/>
    <mergeCell ref="W20:AB20"/>
    <mergeCell ref="AC20:AE20"/>
    <mergeCell ref="B21:M21"/>
    <mergeCell ref="N21:P21"/>
    <mergeCell ref="Q21:V21"/>
    <mergeCell ref="W21:AB21"/>
    <mergeCell ref="AC21:AE21"/>
    <mergeCell ref="B18:M18"/>
    <mergeCell ref="N18:P18"/>
    <mergeCell ref="Q18:V18"/>
    <mergeCell ref="W18:AB18"/>
    <mergeCell ref="AC18:AE18"/>
    <mergeCell ref="B19:M19"/>
    <mergeCell ref="N19:P19"/>
    <mergeCell ref="Q19:V19"/>
    <mergeCell ref="W19:AB19"/>
    <mergeCell ref="AC19:AE19"/>
    <mergeCell ref="A9:D9"/>
    <mergeCell ref="E9:K9"/>
    <mergeCell ref="L9:U9"/>
    <mergeCell ref="V9:AE9"/>
    <mergeCell ref="B16:M16"/>
    <mergeCell ref="N16:P16"/>
    <mergeCell ref="Q16:V16"/>
    <mergeCell ref="W16:AB16"/>
    <mergeCell ref="AC16:AE16"/>
    <mergeCell ref="B17:M17"/>
    <mergeCell ref="N17:P17"/>
    <mergeCell ref="Q17:V17"/>
    <mergeCell ref="W17:AB17"/>
    <mergeCell ref="AC17:AE17"/>
    <mergeCell ref="B14:M14"/>
    <mergeCell ref="N14:P14"/>
    <mergeCell ref="Q14:V14"/>
    <mergeCell ref="W14:AB14"/>
    <mergeCell ref="AC14:AE14"/>
    <mergeCell ref="B15:M15"/>
    <mergeCell ref="N15:P15"/>
    <mergeCell ref="Q15:V15"/>
    <mergeCell ref="W15:AB15"/>
    <mergeCell ref="AC15:AE15"/>
    <mergeCell ref="A5:D5"/>
    <mergeCell ref="E5:AE5"/>
    <mergeCell ref="A6:D6"/>
    <mergeCell ref="E6:AE6"/>
    <mergeCell ref="A7:D7"/>
    <mergeCell ref="E7:AE7"/>
    <mergeCell ref="A1:C2"/>
    <mergeCell ref="D1:AE1"/>
    <mergeCell ref="D2:AE2"/>
    <mergeCell ref="A3:C3"/>
    <mergeCell ref="D3:AE3"/>
    <mergeCell ref="A4:C4"/>
    <mergeCell ref="D4:AE4"/>
    <mergeCell ref="B869:M869"/>
    <mergeCell ref="N869:P869"/>
    <mergeCell ref="Q869:V869"/>
    <mergeCell ref="W869:AB869"/>
    <mergeCell ref="AC869:AE869"/>
    <mergeCell ref="A12:AE12"/>
    <mergeCell ref="B13:M13"/>
    <mergeCell ref="N13:P13"/>
    <mergeCell ref="Q13:V13"/>
    <mergeCell ref="W13:AB13"/>
    <mergeCell ref="AC13:AE13"/>
    <mergeCell ref="A10:D10"/>
    <mergeCell ref="E10:K10"/>
    <mergeCell ref="L10:U10"/>
    <mergeCell ref="V10:AE10"/>
    <mergeCell ref="A11:D11"/>
    <mergeCell ref="E11:AE11"/>
    <mergeCell ref="A8:D8"/>
    <mergeCell ref="E8:AE8"/>
    <mergeCell ref="A1004:E1004"/>
    <mergeCell ref="F1004:T1004"/>
    <mergeCell ref="U1004:AE1004"/>
    <mergeCell ref="Q872:V872"/>
    <mergeCell ref="W872:AB872"/>
    <mergeCell ref="AC872:AE872"/>
    <mergeCell ref="B909:M909"/>
    <mergeCell ref="N909:P909"/>
    <mergeCell ref="Q909:V909"/>
    <mergeCell ref="W909:AB909"/>
    <mergeCell ref="AC909:AE909"/>
    <mergeCell ref="B910:M910"/>
    <mergeCell ref="N910:P910"/>
    <mergeCell ref="Q910:V910"/>
    <mergeCell ref="W910:AB910"/>
    <mergeCell ref="AC910:AE910"/>
    <mergeCell ref="B1000:M1000"/>
    <mergeCell ref="N1000:P1000"/>
    <mergeCell ref="Q1000:V1000"/>
    <mergeCell ref="W1000:AB1000"/>
    <mergeCell ref="B876:M876"/>
    <mergeCell ref="N876:P876"/>
    <mergeCell ref="Q876:V876"/>
    <mergeCell ref="W876:AB876"/>
    <mergeCell ref="AC876:AE876"/>
    <mergeCell ref="B877:M877"/>
    <mergeCell ref="N877:P877"/>
    <mergeCell ref="Q877:V877"/>
    <mergeCell ref="W877:AB877"/>
    <mergeCell ref="AC877:AE877"/>
    <mergeCell ref="B874:M874"/>
    <mergeCell ref="N874:P874"/>
  </mergeCells>
  <pageMargins left="0.52999994886203072" right="0.52999994886203072" top="0.52999994886203072" bottom="0.68999998212799307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Right="0"/>
  </sheetPr>
  <dimension ref="A1:N1003"/>
  <sheetViews>
    <sheetView showGridLines="0" zoomScale="70" zoomScaleNormal="70" workbookViewId="0">
      <pane ySplit="1" topLeftCell="A2" activePane="bottomLeft" state="frozen"/>
      <selection pane="bottomLeft" activeCell="B20" sqref="B20"/>
    </sheetView>
  </sheetViews>
  <sheetFormatPr defaultColWidth="14.42578125" defaultRowHeight="15" customHeight="1" outlineLevelCol="1" x14ac:dyDescent="0.25"/>
  <cols>
    <col min="1" max="1" width="64.85546875" bestFit="1" customWidth="1"/>
    <col min="2" max="2" width="25.7109375" bestFit="1" customWidth="1"/>
    <col min="3" max="3" width="23.28515625" style="24" customWidth="1" outlineLevel="1"/>
    <col min="4" max="4" width="21.28515625" style="24" customWidth="1" outlineLevel="1"/>
    <col min="5" max="5" width="30.7109375" customWidth="1"/>
    <col min="6" max="6" width="19.28515625" bestFit="1" customWidth="1"/>
    <col min="7" max="7" width="19.28515625" customWidth="1"/>
    <col min="8" max="8" width="20.140625" bestFit="1" customWidth="1"/>
    <col min="9" max="9" width="19.85546875" customWidth="1"/>
    <col min="10" max="10" width="11.7109375" customWidth="1"/>
    <col min="11" max="11" width="17.85546875" customWidth="1"/>
    <col min="12" max="12" width="11.42578125" customWidth="1"/>
    <col min="13" max="13" width="15.7109375" bestFit="1" customWidth="1"/>
    <col min="14" max="14" width="9.140625" customWidth="1"/>
  </cols>
  <sheetData>
    <row r="1" spans="1:14" s="24" customFormat="1" ht="22.5" customHeight="1" thickBot="1" x14ac:dyDescent="0.3">
      <c r="A1" s="50" t="s">
        <v>0</v>
      </c>
      <c r="B1" s="50" t="s">
        <v>15</v>
      </c>
      <c r="C1" s="50" t="s">
        <v>16</v>
      </c>
      <c r="D1" s="50" t="s">
        <v>2</v>
      </c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22.5" customHeight="1" thickBot="1" x14ac:dyDescent="0.3">
      <c r="A2" s="8" t="s">
        <v>17</v>
      </c>
      <c r="B2" s="61">
        <f>Relatório!AC14+Relatório!AC131</f>
        <v>22842123.309999999</v>
      </c>
      <c r="C2" s="9">
        <f>B2/$B$20</f>
        <v>0.11052248004121362</v>
      </c>
      <c r="D2" s="65">
        <f>B2/$G$2</f>
        <v>540.28685311453273</v>
      </c>
      <c r="E2" s="7"/>
      <c r="F2" s="25" t="s">
        <v>25</v>
      </c>
      <c r="G2" s="26">
        <v>42277.77</v>
      </c>
      <c r="H2" s="27" t="s">
        <v>26</v>
      </c>
      <c r="J2" s="7"/>
      <c r="K2" s="7"/>
      <c r="L2" s="7"/>
      <c r="M2" s="7"/>
      <c r="N2" s="7"/>
    </row>
    <row r="3" spans="1:14" ht="22.5" customHeight="1" x14ac:dyDescent="0.25">
      <c r="A3" s="2" t="s">
        <v>76</v>
      </c>
      <c r="B3" s="59">
        <f>Relatório!AC153</f>
        <v>3078669.41</v>
      </c>
      <c r="C3" s="10">
        <f>B3/$B$20</f>
        <v>1.4896258714760434E-2</v>
      </c>
      <c r="D3" s="64">
        <f>B3/$G$2</f>
        <v>72.820052003688943</v>
      </c>
      <c r="E3" s="7"/>
      <c r="F3" s="7"/>
      <c r="G3" s="7"/>
      <c r="H3" s="7"/>
      <c r="J3" s="7"/>
      <c r="K3" s="7"/>
      <c r="L3" s="7"/>
      <c r="M3" s="7"/>
      <c r="N3" s="7"/>
    </row>
    <row r="4" spans="1:14" ht="22.5" customHeight="1" x14ac:dyDescent="0.25">
      <c r="A4" s="8" t="s">
        <v>4</v>
      </c>
      <c r="B4" s="61">
        <f>Relatório!AC171+Relatório!AC207</f>
        <v>8389757.7599999998</v>
      </c>
      <c r="C4" s="9">
        <f t="shared" ref="C4:C19" si="0">B4/$B$20</f>
        <v>4.0594161146756243E-2</v>
      </c>
      <c r="D4" s="65">
        <f t="shared" ref="D4:D19" si="1">B4/$G$2</f>
        <v>198.44371545613689</v>
      </c>
      <c r="E4" s="7"/>
      <c r="F4" s="7"/>
      <c r="G4" s="7"/>
      <c r="H4" s="7"/>
      <c r="J4" s="7"/>
      <c r="K4" s="7"/>
      <c r="L4" s="7"/>
      <c r="M4" s="7"/>
      <c r="N4" s="7"/>
    </row>
    <row r="5" spans="1:14" ht="22.5" customHeight="1" x14ac:dyDescent="0.25">
      <c r="A5" s="2" t="s">
        <v>50</v>
      </c>
      <c r="B5" s="59">
        <f>Relatório!AC188</f>
        <v>5038678.71</v>
      </c>
      <c r="C5" s="10">
        <f t="shared" si="0"/>
        <v>2.4379838056309968E-2</v>
      </c>
      <c r="D5" s="64">
        <f t="shared" si="1"/>
        <v>119.18033306865524</v>
      </c>
      <c r="E5" s="7"/>
      <c r="F5" s="7"/>
      <c r="G5" s="7"/>
      <c r="H5" s="7" t="s">
        <v>1693</v>
      </c>
      <c r="I5" t="s">
        <v>1694</v>
      </c>
      <c r="J5" s="7"/>
      <c r="K5" s="7"/>
      <c r="L5" s="7"/>
      <c r="M5" s="7"/>
      <c r="N5" s="7"/>
    </row>
    <row r="6" spans="1:14" ht="19.5" customHeight="1" x14ac:dyDescent="0.25">
      <c r="A6" s="8" t="s">
        <v>5</v>
      </c>
      <c r="B6" s="61">
        <f>Relatório!AC224</f>
        <v>30247017.850000001</v>
      </c>
      <c r="C6" s="9">
        <f t="shared" si="0"/>
        <v>0.14635134314196369</v>
      </c>
      <c r="D6" s="65">
        <f t="shared" si="1"/>
        <v>715.43550783307649</v>
      </c>
      <c r="E6" s="7"/>
      <c r="F6" s="11"/>
      <c r="G6" s="11"/>
      <c r="H6" s="153">
        <f ca="1">[2]Obra!$C$68+[2]Obra!$C$69+[2]Obra!$C$75+[2]Obra!$C$76+[2]Obra!$C$77+[2]Obra!$C$78</f>
        <v>66708790.319306351</v>
      </c>
      <c r="I6" s="165">
        <f>[2]Obra!$C$70+[2]Obra!$C$71+[2]Obra!$C$73+[2]Obra!$C$74</f>
        <v>51415942.492354006</v>
      </c>
      <c r="J6" s="7"/>
      <c r="K6" s="7"/>
      <c r="L6" s="7"/>
      <c r="M6" s="7"/>
      <c r="N6" s="7"/>
    </row>
    <row r="7" spans="1:14" ht="19.5" customHeight="1" x14ac:dyDescent="0.25">
      <c r="A7" s="2" t="s">
        <v>627</v>
      </c>
      <c r="B7" s="59">
        <f>Relatório!AC301</f>
        <v>13469645.470000001</v>
      </c>
      <c r="C7" s="10">
        <f t="shared" si="0"/>
        <v>6.517339051263088E-2</v>
      </c>
      <c r="D7" s="64">
        <f t="shared" ref="D7" si="2">B7/$G$2</f>
        <v>318.5987688092348</v>
      </c>
      <c r="E7" s="165">
        <f>Relatório!AC908+Relatório!AC952+Relatório!AC969</f>
        <v>5397638.2799999993</v>
      </c>
      <c r="F7" s="7"/>
      <c r="G7" s="152"/>
      <c r="H7" s="153">
        <f>B8+B9+B15+B16+B18</f>
        <v>66708788.93</v>
      </c>
      <c r="I7" s="164">
        <f>B11+B12+B13+B14+B17</f>
        <v>51415942.780000001</v>
      </c>
      <c r="J7" s="7"/>
      <c r="K7" s="7"/>
      <c r="L7" s="7"/>
      <c r="M7" s="7"/>
      <c r="N7" s="7"/>
    </row>
    <row r="8" spans="1:14" ht="19.5" customHeight="1" x14ac:dyDescent="0.25">
      <c r="A8" s="8" t="s">
        <v>7</v>
      </c>
      <c r="B8" s="61">
        <f>Relatório!AC951+Relatório!AC938+Relatório!AC910+Relatório!AC442+Relatório!AC426</f>
        <v>16985534.369999997</v>
      </c>
      <c r="C8" s="9">
        <f t="shared" si="0"/>
        <v>8.2185152313568904E-2</v>
      </c>
      <c r="D8" s="65">
        <f t="shared" si="1"/>
        <v>401.76041380612077</v>
      </c>
      <c r="E8" s="165">
        <f>Relatório!AC426+Relatório!AC442</f>
        <v>14736927.369999999</v>
      </c>
      <c r="F8" s="7"/>
      <c r="G8" s="152"/>
      <c r="H8" s="153"/>
      <c r="I8" s="7"/>
      <c r="J8" s="7"/>
      <c r="K8" s="7"/>
      <c r="L8" s="7"/>
      <c r="M8" s="7"/>
      <c r="N8" s="7"/>
    </row>
    <row r="9" spans="1:14" ht="19.5" customHeight="1" x14ac:dyDescent="0.25">
      <c r="A9" s="2" t="s">
        <v>22</v>
      </c>
      <c r="B9" s="59">
        <f>Relatório!AC921+Relatório!AC924+Relatório!AC943+Relatório!AC968</f>
        <v>12866746.559999999</v>
      </c>
      <c r="C9" s="10">
        <f t="shared" si="0"/>
        <v>6.225624126853354E-2</v>
      </c>
      <c r="D9" s="64">
        <f t="shared" si="1"/>
        <v>304.33834518708056</v>
      </c>
      <c r="E9" s="165">
        <f>E7+E8</f>
        <v>20134565.649999999</v>
      </c>
      <c r="F9" s="7"/>
      <c r="G9" s="7"/>
      <c r="H9" s="153"/>
      <c r="I9" s="7"/>
      <c r="J9" s="7"/>
      <c r="K9" s="7"/>
      <c r="L9" s="7"/>
      <c r="M9" s="7"/>
      <c r="N9" s="7"/>
    </row>
    <row r="10" spans="1:14" ht="19.5" customHeight="1" x14ac:dyDescent="0.25">
      <c r="A10" s="8" t="s">
        <v>8</v>
      </c>
      <c r="B10" s="61">
        <f>Relatório!AC569</f>
        <v>2429082.62</v>
      </c>
      <c r="C10" s="9">
        <f t="shared" si="0"/>
        <v>1.1753208392403557E-2</v>
      </c>
      <c r="D10" s="65">
        <f t="shared" si="1"/>
        <v>57.455315642239412</v>
      </c>
      <c r="E10" s="164">
        <f>B7+B8</f>
        <v>30455179.839999996</v>
      </c>
      <c r="F10" s="164">
        <f>E10-E9</f>
        <v>10320614.189999998</v>
      </c>
      <c r="G10" s="7"/>
      <c r="H10" s="7"/>
      <c r="I10" s="7"/>
      <c r="J10" s="7"/>
      <c r="K10" s="7"/>
      <c r="L10" s="7"/>
      <c r="M10" s="7"/>
      <c r="N10" s="7"/>
    </row>
    <row r="11" spans="1:14" ht="19.5" customHeight="1" x14ac:dyDescent="0.25">
      <c r="A11" s="2" t="s">
        <v>18</v>
      </c>
      <c r="B11" s="59">
        <f>Relatório!AF480</f>
        <v>3615206.3400000008</v>
      </c>
      <c r="C11" s="10">
        <f t="shared" si="0"/>
        <v>1.7492313001506124E-2</v>
      </c>
      <c r="D11" s="64">
        <f t="shared" si="1"/>
        <v>85.510809581489298</v>
      </c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 ht="19.5" customHeight="1" x14ac:dyDescent="0.25">
      <c r="A12" s="8" t="s">
        <v>19</v>
      </c>
      <c r="B12" s="61">
        <f>Relatório!AF478+Relatório!AC550</f>
        <v>2666469.6100000003</v>
      </c>
      <c r="C12" s="9">
        <f t="shared" si="0"/>
        <v>1.2901814347649089E-2</v>
      </c>
      <c r="D12" s="65">
        <f t="shared" si="1"/>
        <v>63.070252049717865</v>
      </c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14" ht="19.5" customHeight="1" x14ac:dyDescent="0.25">
      <c r="A13" s="2" t="s">
        <v>9</v>
      </c>
      <c r="B13" s="59">
        <f>Relatório!AF765</f>
        <v>26983602.129999999</v>
      </c>
      <c r="C13" s="10">
        <f t="shared" si="0"/>
        <v>0.13056118239880801</v>
      </c>
      <c r="D13" s="64">
        <f t="shared" si="1"/>
        <v>638.24563428960425</v>
      </c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14" ht="19.5" customHeight="1" x14ac:dyDescent="0.25">
      <c r="A14" s="8" t="s">
        <v>10</v>
      </c>
      <c r="B14" s="61">
        <f>Relatório!AC620-Relatório!AC732</f>
        <v>4509003.5399999991</v>
      </c>
      <c r="C14" s="9">
        <f t="shared" si="0"/>
        <v>2.181698465559205E-2</v>
      </c>
      <c r="D14" s="65">
        <f t="shared" si="1"/>
        <v>106.6518773341167</v>
      </c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19.5" customHeight="1" x14ac:dyDescent="0.25">
      <c r="A15" s="2" t="s">
        <v>11</v>
      </c>
      <c r="B15" s="59">
        <f>Relatório!AC859+Relatório!AC965+Relatório!AC972+Relatório!AC975</f>
        <v>24788341.080000002</v>
      </c>
      <c r="C15" s="10">
        <f t="shared" si="0"/>
        <v>0.119939328541743</v>
      </c>
      <c r="D15" s="64">
        <f t="shared" si="1"/>
        <v>586.32092184616181</v>
      </c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4" ht="19.5" customHeight="1" x14ac:dyDescent="0.25">
      <c r="A16" s="8" t="s">
        <v>21</v>
      </c>
      <c r="B16" s="61">
        <f>Relatório!AC958</f>
        <v>1253778.1100000001</v>
      </c>
      <c r="C16" s="9">
        <f t="shared" si="0"/>
        <v>6.0664529412605452E-3</v>
      </c>
      <c r="D16" s="65">
        <f t="shared" si="1"/>
        <v>29.655729476743929</v>
      </c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 ht="19.5" customHeight="1" x14ac:dyDescent="0.25">
      <c r="A17" s="2" t="s">
        <v>12</v>
      </c>
      <c r="B17" s="59">
        <f>Relatório!AF479+Relatório!AC732+Relatório!AF766</f>
        <v>13641661.160000002</v>
      </c>
      <c r="C17" s="10">
        <f t="shared" si="0"/>
        <v>6.6005694953281444E-2</v>
      </c>
      <c r="D17" s="64">
        <f t="shared" si="1"/>
        <v>322.66747181793181</v>
      </c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 ht="19.5" customHeight="1" x14ac:dyDescent="0.25">
      <c r="A18" s="8" t="s">
        <v>13</v>
      </c>
      <c r="B18" s="61">
        <f>Relatório!AC978+Relatório!AC985</f>
        <v>10814388.810000001</v>
      </c>
      <c r="C18" s="9">
        <f t="shared" si="0"/>
        <v>5.2325830448865969E-2</v>
      </c>
      <c r="D18" s="65">
        <f t="shared" si="1"/>
        <v>255.7937377018703</v>
      </c>
      <c r="E18" s="7"/>
      <c r="F18" s="7"/>
      <c r="G18" s="7"/>
      <c r="H18" s="7">
        <v>3054295.6026000003</v>
      </c>
      <c r="I18" s="7"/>
      <c r="J18" s="7"/>
      <c r="K18" s="7"/>
      <c r="L18" s="7"/>
      <c r="M18" s="7"/>
      <c r="N18" s="7"/>
    </row>
    <row r="19" spans="1:14" ht="19.5" customHeight="1" x14ac:dyDescent="0.25">
      <c r="A19" s="2" t="s">
        <v>20</v>
      </c>
      <c r="B19" s="59">
        <f>SUM(B2:B18)*0.015</f>
        <v>3054295.6026000003</v>
      </c>
      <c r="C19" s="10">
        <f t="shared" si="0"/>
        <v>1.4778325123152709E-2</v>
      </c>
      <c r="D19" s="64">
        <f t="shared" si="1"/>
        <v>72.243536085276034</v>
      </c>
      <c r="E19" s="7"/>
      <c r="F19" s="164">
        <f>B20/104</f>
        <v>1987250.0234865388</v>
      </c>
      <c r="G19" s="7"/>
      <c r="H19" s="7"/>
      <c r="I19" s="7"/>
      <c r="J19" s="7"/>
      <c r="K19" s="7"/>
      <c r="L19" s="7"/>
      <c r="M19" s="7"/>
      <c r="N19" s="7"/>
    </row>
    <row r="20" spans="1:14" ht="19.5" customHeight="1" x14ac:dyDescent="0.25">
      <c r="A20" s="49" t="s">
        <v>14</v>
      </c>
      <c r="B20" s="62">
        <f>SUM(B2:B19)</f>
        <v>206674002.44260004</v>
      </c>
      <c r="C20" s="51">
        <f>SUM(C2:C19)</f>
        <v>0.99999999999999967</v>
      </c>
      <c r="D20" s="63">
        <f>SUM(D2:D19)</f>
        <v>4888.4792751036784</v>
      </c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 ht="22.5" customHeight="1" x14ac:dyDescent="0.25">
      <c r="A21" s="49" t="s">
        <v>1696</v>
      </c>
      <c r="B21" s="63">
        <v>3190.77</v>
      </c>
      <c r="C21" s="53">
        <v>45627</v>
      </c>
      <c r="D21" s="56" t="str">
        <f>ROUNDUP(+D20/B21,2)&amp;" CUB"</f>
        <v>1,54 CUB</v>
      </c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4" ht="22.5" customHeight="1" x14ac:dyDescent="0.25">
      <c r="A22" s="49" t="s">
        <v>1695</v>
      </c>
      <c r="B22" s="63">
        <v>2868.56</v>
      </c>
      <c r="C22" s="53">
        <v>45627</v>
      </c>
      <c r="D22" s="56" t="str">
        <f>ROUNDUP(+D20/B22,2)&amp;" CUB"</f>
        <v>1,71 CUB</v>
      </c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4" ht="22.5" customHeight="1" x14ac:dyDescent="0.25">
      <c r="A23" s="7"/>
      <c r="B23" s="7">
        <v>7385.89</v>
      </c>
      <c r="C23" s="13"/>
      <c r="D23" s="13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1:14" ht="15" customHeight="1" x14ac:dyDescent="0.25">
      <c r="A24" s="7"/>
      <c r="B24" s="12"/>
      <c r="C24" s="13"/>
      <c r="D24" s="13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4" ht="19.5" customHeight="1" x14ac:dyDescent="0.25">
      <c r="A25" s="108" t="s">
        <v>52</v>
      </c>
      <c r="B25" t="s">
        <v>73</v>
      </c>
      <c r="C25"/>
      <c r="D25" s="13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spans="1:14" ht="19.5" customHeight="1" x14ac:dyDescent="0.25">
      <c r="A26" s="109" t="s">
        <v>5</v>
      </c>
      <c r="B26" s="110">
        <v>0.13721716555953822</v>
      </c>
      <c r="C26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1:14" ht="19.5" customHeight="1" x14ac:dyDescent="0.25">
      <c r="A27" s="109" t="s">
        <v>20</v>
      </c>
      <c r="B27" s="110">
        <v>0.13043478260869565</v>
      </c>
      <c r="C27"/>
      <c r="D27" s="13"/>
      <c r="F27" s="7"/>
      <c r="G27" s="7"/>
      <c r="H27" s="7"/>
      <c r="I27" s="7"/>
      <c r="J27" s="7"/>
      <c r="K27" s="7"/>
      <c r="L27" s="7"/>
      <c r="M27" s="7"/>
      <c r="N27" s="7"/>
    </row>
    <row r="28" spans="1:14" ht="19.5" customHeight="1" x14ac:dyDescent="0.45">
      <c r="A28" s="109" t="s">
        <v>9</v>
      </c>
      <c r="B28" s="110">
        <v>0.12252728597939937</v>
      </c>
      <c r="C28"/>
      <c r="D28" s="13"/>
      <c r="E28" s="15"/>
      <c r="F28" s="7"/>
      <c r="G28" s="7"/>
      <c r="H28" s="7"/>
      <c r="I28" s="7"/>
      <c r="J28" s="7"/>
      <c r="K28" s="7"/>
      <c r="L28" s="7"/>
      <c r="M28" s="7"/>
      <c r="N28" s="7"/>
    </row>
    <row r="29" spans="1:14" ht="19.5" customHeight="1" x14ac:dyDescent="0.25">
      <c r="A29" s="109" t="s">
        <v>17</v>
      </c>
      <c r="B29" s="110">
        <v>0.10362447734528171</v>
      </c>
      <c r="C29"/>
      <c r="D29" s="13"/>
      <c r="E29" s="16"/>
      <c r="F29" s="7"/>
      <c r="G29" s="7"/>
      <c r="H29" s="7"/>
      <c r="I29" s="7"/>
      <c r="J29" s="7"/>
      <c r="K29" s="7"/>
      <c r="L29" s="7"/>
      <c r="M29" s="7"/>
      <c r="N29" s="7"/>
    </row>
    <row r="30" spans="1:14" ht="19.5" customHeight="1" x14ac:dyDescent="0.25">
      <c r="A30" s="109" t="s">
        <v>7</v>
      </c>
      <c r="B30" s="110">
        <v>7.6993587264686608E-2</v>
      </c>
      <c r="C30"/>
      <c r="D30" s="13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spans="1:14" ht="19.5" customHeight="1" x14ac:dyDescent="0.25">
      <c r="A31" s="109" t="s">
        <v>12</v>
      </c>
      <c r="B31" s="110">
        <v>6.2136749374158758E-2</v>
      </c>
      <c r="C31"/>
      <c r="D31" s="13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1:14" ht="19.5" customHeight="1" x14ac:dyDescent="0.25">
      <c r="A32" s="109" t="s">
        <v>627</v>
      </c>
      <c r="B32" s="110">
        <v>6.1364610552374743E-2</v>
      </c>
      <c r="C32"/>
      <c r="D32" s="13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spans="1:14" ht="19.5" customHeight="1" x14ac:dyDescent="0.25">
      <c r="A33" s="109" t="s">
        <v>22</v>
      </c>
      <c r="B33" s="110">
        <v>5.8595253406380408E-2</v>
      </c>
      <c r="C33"/>
      <c r="D33" s="13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1:14" ht="19.5" customHeight="1" x14ac:dyDescent="0.25">
      <c r="A34" s="109" t="s">
        <v>11</v>
      </c>
      <c r="B34" s="110">
        <v>5.8515314190662734E-2</v>
      </c>
      <c r="C34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spans="1:14" ht="19.5" customHeight="1" x14ac:dyDescent="0.25">
      <c r="A35" s="109" t="s">
        <v>13</v>
      </c>
      <c r="B35" s="110">
        <v>4.8183369691096593E-2</v>
      </c>
      <c r="C35"/>
      <c r="D35" s="13"/>
      <c r="F35" s="7"/>
      <c r="G35" s="7"/>
      <c r="H35" s="7"/>
      <c r="I35" s="7"/>
      <c r="J35" s="7"/>
      <c r="K35" s="7"/>
      <c r="L35" s="7"/>
      <c r="M35" s="7"/>
      <c r="N35" s="7"/>
    </row>
    <row r="36" spans="1:14" ht="19.5" customHeight="1" x14ac:dyDescent="0.25">
      <c r="A36" s="109" t="s">
        <v>4</v>
      </c>
      <c r="B36" s="110">
        <v>3.8051995449883275E-2</v>
      </c>
      <c r="C36"/>
      <c r="D36" s="13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spans="1:14" ht="19.5" customHeight="1" x14ac:dyDescent="0.25">
      <c r="A37" s="109" t="s">
        <v>50</v>
      </c>
      <c r="B37" s="110">
        <v>2.2860406984246056E-2</v>
      </c>
      <c r="C37"/>
      <c r="D37" s="13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spans="1:14" ht="19.5" customHeight="1" x14ac:dyDescent="0.25">
      <c r="A38" s="109" t="s">
        <v>10</v>
      </c>
      <c r="B38" s="110">
        <v>2.0323820541817739E-2</v>
      </c>
      <c r="C38"/>
      <c r="D38" s="13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spans="1:14" ht="19.5" customHeight="1" x14ac:dyDescent="0.25">
      <c r="A39" s="109" t="s">
        <v>18</v>
      </c>
      <c r="B39" s="110">
        <v>1.6400571102505309E-2</v>
      </c>
      <c r="C39"/>
      <c r="D39" s="13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1:14" ht="19.5" customHeight="1" x14ac:dyDescent="0.25">
      <c r="A40" s="109" t="s">
        <v>76</v>
      </c>
      <c r="B40" s="110">
        <v>1.3966543486370702E-2</v>
      </c>
      <c r="C40"/>
      <c r="D40" s="13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spans="1:14" ht="19.5" customHeight="1" x14ac:dyDescent="0.25">
      <c r="A41" s="109" t="s">
        <v>19</v>
      </c>
      <c r="B41" s="110">
        <v>1.2096577710547663E-2</v>
      </c>
      <c r="C41"/>
      <c r="D41" s="13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1:14" ht="19.5" customHeight="1" x14ac:dyDescent="0.25">
      <c r="A42" s="109" t="s">
        <v>8</v>
      </c>
      <c r="B42" s="110">
        <v>1.1019659315813736E-2</v>
      </c>
      <c r="C42"/>
      <c r="D42" s="13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spans="1:14" ht="19.5" x14ac:dyDescent="0.25">
      <c r="A43" s="109" t="s">
        <v>21</v>
      </c>
      <c r="B43" s="110">
        <v>5.6878294365404663E-3</v>
      </c>
      <c r="C43" s="13"/>
      <c r="D43" s="13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 spans="1:14" ht="19.5" x14ac:dyDescent="0.25">
      <c r="A44" s="109" t="s">
        <v>53</v>
      </c>
      <c r="B44" s="110">
        <v>0.99999999999999967</v>
      </c>
      <c r="C44" s="13"/>
      <c r="D44" s="13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 spans="1:14" ht="19.5" customHeight="1" x14ac:dyDescent="0.25">
      <c r="A45" s="7"/>
      <c r="B45" s="7"/>
      <c r="C45" s="13"/>
      <c r="D45" s="13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spans="1:14" ht="19.5" customHeight="1" x14ac:dyDescent="0.25">
      <c r="A46" s="7"/>
      <c r="B46" s="7"/>
      <c r="C46" s="13"/>
      <c r="D46" s="13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14" ht="19.5" customHeight="1" x14ac:dyDescent="0.25">
      <c r="A47" s="7"/>
      <c r="B47" s="7"/>
      <c r="C47" s="13"/>
      <c r="D47" s="13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14" ht="19.5" customHeight="1" x14ac:dyDescent="0.25">
      <c r="A48" s="7"/>
      <c r="B48" s="7"/>
      <c r="C48" s="13"/>
      <c r="D48" s="13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 spans="1:14" ht="19.5" customHeight="1" x14ac:dyDescent="0.25">
      <c r="A49" s="7"/>
      <c r="B49" s="7"/>
      <c r="C49" s="13"/>
      <c r="D49" s="13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spans="1:14" ht="19.5" customHeight="1" x14ac:dyDescent="0.25">
      <c r="A50" s="7"/>
      <c r="B50" s="7"/>
      <c r="C50" s="13"/>
      <c r="D50" s="13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1:14" ht="19.5" customHeight="1" x14ac:dyDescent="0.25">
      <c r="A51" s="7"/>
      <c r="B51" s="7"/>
      <c r="C51" s="13"/>
      <c r="D51" s="13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1:14" ht="19.5" customHeight="1" x14ac:dyDescent="0.25">
      <c r="A52" s="7"/>
      <c r="B52" s="7"/>
      <c r="C52" s="13"/>
      <c r="D52" s="13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 ht="19.5" customHeight="1" x14ac:dyDescent="0.25">
      <c r="A53" s="7"/>
      <c r="B53" s="7"/>
      <c r="C53" s="13"/>
      <c r="D53" s="13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spans="1:14" ht="19.5" customHeight="1" x14ac:dyDescent="0.25">
      <c r="A54" s="7"/>
      <c r="B54" s="7"/>
      <c r="C54" s="13"/>
      <c r="D54" s="13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spans="1:14" ht="19.5" customHeight="1" x14ac:dyDescent="0.25">
      <c r="A55" s="7"/>
      <c r="B55" s="7"/>
      <c r="C55" s="13"/>
      <c r="D55" s="13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spans="1:14" ht="19.5" customHeight="1" x14ac:dyDescent="0.25">
      <c r="A56" s="7"/>
      <c r="B56" s="7"/>
      <c r="C56" s="13"/>
      <c r="D56" s="13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1:14" ht="19.5" customHeight="1" x14ac:dyDescent="0.25">
      <c r="A57" s="7"/>
      <c r="B57" s="7"/>
      <c r="C57" s="13"/>
      <c r="D57" s="13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4" ht="19.5" customHeight="1" x14ac:dyDescent="0.25">
      <c r="A58" s="7"/>
      <c r="B58" s="7"/>
      <c r="C58" s="13"/>
      <c r="D58" s="13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spans="1:14" ht="19.5" customHeight="1" x14ac:dyDescent="0.25">
      <c r="A59" s="7"/>
      <c r="B59" s="7"/>
      <c r="C59" s="13"/>
      <c r="D59" s="13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spans="1:14" ht="19.5" customHeight="1" x14ac:dyDescent="0.25">
      <c r="A60" s="7"/>
      <c r="B60" s="7"/>
      <c r="C60" s="13"/>
      <c r="D60" s="13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 spans="1:14" ht="19.5" customHeight="1" x14ac:dyDescent="0.25">
      <c r="A61" s="7"/>
      <c r="B61" s="7"/>
      <c r="C61" s="13"/>
      <c r="D61" s="13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 spans="1:14" ht="19.5" customHeight="1" x14ac:dyDescent="0.25">
      <c r="A62" s="7"/>
      <c r="B62" s="7"/>
      <c r="C62" s="13"/>
      <c r="D62" s="13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 spans="1:14" ht="19.5" customHeight="1" x14ac:dyDescent="0.25">
      <c r="A63" s="7"/>
      <c r="B63" s="7"/>
      <c r="C63" s="13"/>
      <c r="D63" s="13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 spans="1:14" ht="19.5" customHeight="1" x14ac:dyDescent="0.25">
      <c r="A64" s="7"/>
      <c r="B64" s="7"/>
      <c r="C64" s="13"/>
      <c r="D64" s="13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 spans="1:14" ht="19.5" customHeight="1" x14ac:dyDescent="0.25">
      <c r="A65" s="7"/>
      <c r="B65" s="7"/>
      <c r="C65" s="13"/>
      <c r="D65" s="13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1:14" ht="19.5" customHeight="1" x14ac:dyDescent="0.25">
      <c r="A66" s="7"/>
      <c r="B66" s="7"/>
      <c r="C66" s="13"/>
      <c r="D66" s="13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 spans="1:14" ht="19.5" customHeight="1" x14ac:dyDescent="0.25">
      <c r="A67" s="7"/>
      <c r="B67" s="7"/>
      <c r="C67" s="13"/>
      <c r="D67" s="13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 spans="1:14" ht="19.5" customHeight="1" x14ac:dyDescent="0.25">
      <c r="A68" s="7"/>
      <c r="B68" s="7"/>
      <c r="C68" s="13"/>
      <c r="D68" s="13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 spans="1:14" ht="19.5" customHeight="1" x14ac:dyDescent="0.25">
      <c r="A69" s="7"/>
      <c r="B69" s="7"/>
      <c r="C69" s="13"/>
      <c r="D69" s="13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 spans="1:14" ht="19.5" customHeight="1" x14ac:dyDescent="0.25">
      <c r="A70" s="7"/>
      <c r="B70" s="7"/>
      <c r="C70" s="13"/>
      <c r="D70" s="13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 spans="1:14" ht="19.5" customHeight="1" x14ac:dyDescent="0.25">
      <c r="A71" s="7"/>
      <c r="B71" s="7"/>
      <c r="C71" s="13"/>
      <c r="D71" s="13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 spans="1:14" ht="19.5" customHeight="1" x14ac:dyDescent="0.25">
      <c r="A72" s="7"/>
      <c r="B72" s="7"/>
      <c r="C72" s="13"/>
      <c r="D72" s="13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 spans="1:14" ht="19.5" customHeight="1" x14ac:dyDescent="0.25">
      <c r="A73" s="7"/>
      <c r="B73" s="7"/>
      <c r="C73" s="13"/>
      <c r="D73" s="13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 spans="1:14" ht="19.5" customHeight="1" x14ac:dyDescent="0.25">
      <c r="A74" s="7"/>
      <c r="B74" s="7"/>
      <c r="C74" s="13"/>
      <c r="D74" s="13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 spans="1:14" ht="19.5" customHeight="1" x14ac:dyDescent="0.25">
      <c r="A75" s="7"/>
      <c r="B75" s="7"/>
      <c r="C75" s="13"/>
      <c r="D75" s="13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 spans="1:14" ht="19.5" customHeight="1" x14ac:dyDescent="0.25">
      <c r="A76" s="7"/>
      <c r="B76" s="7"/>
      <c r="C76" s="13"/>
      <c r="D76" s="13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 spans="1:14" ht="19.5" customHeight="1" x14ac:dyDescent="0.25">
      <c r="A77" s="7"/>
      <c r="B77" s="7"/>
      <c r="C77" s="13"/>
      <c r="D77" s="13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 spans="1:14" ht="19.5" customHeight="1" x14ac:dyDescent="0.25">
      <c r="A78" s="7"/>
      <c r="B78" s="7"/>
      <c r="C78" s="13"/>
      <c r="D78" s="13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 spans="1:14" ht="19.5" customHeight="1" x14ac:dyDescent="0.25">
      <c r="A79" s="7"/>
      <c r="B79" s="7"/>
      <c r="C79" s="13"/>
      <c r="D79" s="13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 spans="1:14" ht="19.5" customHeight="1" x14ac:dyDescent="0.25">
      <c r="A80" s="7"/>
      <c r="B80" s="7"/>
      <c r="C80" s="13"/>
      <c r="D80" s="13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 spans="1:14" ht="19.5" customHeight="1" x14ac:dyDescent="0.25">
      <c r="A81" s="7"/>
      <c r="B81" s="7"/>
      <c r="C81" s="13"/>
      <c r="D81" s="13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 spans="1:14" ht="19.5" customHeight="1" x14ac:dyDescent="0.25">
      <c r="A82" s="7"/>
      <c r="B82" s="7"/>
      <c r="C82" s="13"/>
      <c r="D82" s="13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 spans="1:14" ht="19.5" customHeight="1" x14ac:dyDescent="0.25">
      <c r="A83" s="7"/>
      <c r="B83" s="7"/>
      <c r="C83" s="13"/>
      <c r="D83" s="13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 spans="1:14" ht="19.5" customHeight="1" x14ac:dyDescent="0.25">
      <c r="A84" s="7"/>
      <c r="B84" s="7"/>
      <c r="C84" s="13"/>
      <c r="D84" s="13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 spans="1:14" ht="19.5" customHeight="1" x14ac:dyDescent="0.25">
      <c r="A85" s="7"/>
      <c r="B85" s="7"/>
      <c r="C85" s="13"/>
      <c r="D85" s="13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 spans="1:14" ht="19.5" customHeight="1" x14ac:dyDescent="0.25">
      <c r="A86" s="7"/>
      <c r="B86" s="7"/>
      <c r="C86" s="13"/>
      <c r="D86" s="13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 spans="1:14" ht="19.5" customHeight="1" x14ac:dyDescent="0.25">
      <c r="A87" s="7"/>
      <c r="B87" s="7"/>
      <c r="C87" s="13"/>
      <c r="D87" s="13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 spans="1:14" ht="19.5" customHeight="1" x14ac:dyDescent="0.25">
      <c r="A88" s="7"/>
      <c r="B88" s="7"/>
      <c r="C88" s="13"/>
      <c r="D88" s="13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 spans="1:14" ht="19.5" customHeight="1" x14ac:dyDescent="0.25">
      <c r="A89" s="7"/>
      <c r="B89" s="7"/>
      <c r="C89" s="13"/>
      <c r="D89" s="13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 spans="1:14" ht="19.5" customHeight="1" x14ac:dyDescent="0.25">
      <c r="A90" s="7"/>
      <c r="B90" s="7"/>
      <c r="C90" s="13"/>
      <c r="D90" s="13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 spans="1:14" ht="19.5" customHeight="1" x14ac:dyDescent="0.25">
      <c r="A91" s="7"/>
      <c r="B91" s="7"/>
      <c r="C91" s="13"/>
      <c r="D91" s="13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 spans="1:14" ht="19.5" customHeight="1" x14ac:dyDescent="0.25">
      <c r="A92" s="7"/>
      <c r="B92" s="7"/>
      <c r="C92" s="13"/>
      <c r="D92" s="13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 spans="1:14" ht="19.5" customHeight="1" x14ac:dyDescent="0.25">
      <c r="A93" s="7"/>
      <c r="B93" s="7"/>
      <c r="C93" s="13"/>
      <c r="D93" s="13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 spans="1:14" ht="19.5" customHeight="1" x14ac:dyDescent="0.25">
      <c r="A94" s="7"/>
      <c r="B94" s="7"/>
      <c r="C94" s="13"/>
      <c r="D94" s="13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 spans="1:14" ht="19.5" customHeight="1" x14ac:dyDescent="0.25">
      <c r="A95" s="7"/>
      <c r="B95" s="7"/>
      <c r="C95" s="13"/>
      <c r="D95" s="13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 spans="1:14" ht="19.5" customHeight="1" x14ac:dyDescent="0.25">
      <c r="A96" s="7"/>
      <c r="B96" s="7"/>
      <c r="C96" s="13"/>
      <c r="D96" s="13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 spans="1:14" ht="19.5" customHeight="1" x14ac:dyDescent="0.25">
      <c r="A97" s="7"/>
      <c r="B97" s="7"/>
      <c r="C97" s="13"/>
      <c r="D97" s="13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 spans="1:14" ht="19.5" customHeight="1" x14ac:dyDescent="0.25">
      <c r="A98" s="7"/>
      <c r="B98" s="7"/>
      <c r="C98" s="13"/>
      <c r="D98" s="13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 spans="1:14" ht="19.5" customHeight="1" x14ac:dyDescent="0.25">
      <c r="A99" s="7"/>
      <c r="B99" s="7"/>
      <c r="C99" s="13"/>
      <c r="D99" s="13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 spans="1:14" ht="19.5" customHeight="1" x14ac:dyDescent="0.25">
      <c r="A100" s="7"/>
      <c r="B100" s="7"/>
      <c r="C100" s="13"/>
      <c r="D100" s="13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 spans="1:14" ht="19.5" customHeight="1" x14ac:dyDescent="0.25">
      <c r="A101" s="7"/>
      <c r="B101" s="7"/>
      <c r="C101" s="13"/>
      <c r="D101" s="13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 spans="1:14" ht="19.5" customHeight="1" x14ac:dyDescent="0.25">
      <c r="A102" s="7"/>
      <c r="B102" s="7"/>
      <c r="C102" s="13"/>
      <c r="D102" s="13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 spans="1:14" ht="19.5" customHeight="1" x14ac:dyDescent="0.25">
      <c r="A103" s="7"/>
      <c r="B103" s="7"/>
      <c r="C103" s="13"/>
      <c r="D103" s="13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 spans="1:14" ht="19.5" customHeight="1" x14ac:dyDescent="0.25">
      <c r="A104" s="7"/>
      <c r="B104" s="7"/>
      <c r="C104" s="13"/>
      <c r="D104" s="13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 spans="1:14" ht="19.5" customHeight="1" x14ac:dyDescent="0.25">
      <c r="A105" s="7"/>
      <c r="B105" s="7"/>
      <c r="C105" s="13"/>
      <c r="D105" s="13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 spans="1:14" ht="19.5" customHeight="1" x14ac:dyDescent="0.25">
      <c r="A106" s="7"/>
      <c r="B106" s="7"/>
      <c r="C106" s="13"/>
      <c r="D106" s="13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 spans="1:14" ht="19.5" customHeight="1" x14ac:dyDescent="0.25">
      <c r="A107" s="7"/>
      <c r="B107" s="7"/>
      <c r="C107" s="13"/>
      <c r="D107" s="13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 spans="1:14" ht="19.5" customHeight="1" x14ac:dyDescent="0.25">
      <c r="A108" s="7"/>
      <c r="B108" s="7"/>
      <c r="C108" s="13"/>
      <c r="D108" s="13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 spans="1:14" ht="19.5" customHeight="1" x14ac:dyDescent="0.25">
      <c r="A109" s="7"/>
      <c r="B109" s="7"/>
      <c r="C109" s="13"/>
      <c r="D109" s="13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 spans="1:14" ht="19.5" customHeight="1" x14ac:dyDescent="0.25">
      <c r="A110" s="7"/>
      <c r="B110" s="7"/>
      <c r="C110" s="13"/>
      <c r="D110" s="13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 spans="1:14" ht="19.5" customHeight="1" x14ac:dyDescent="0.25">
      <c r="A111" s="7"/>
      <c r="B111" s="7"/>
      <c r="C111" s="13"/>
      <c r="D111" s="13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 spans="1:14" ht="19.5" customHeight="1" x14ac:dyDescent="0.25">
      <c r="A112" s="7"/>
      <c r="B112" s="7"/>
      <c r="C112" s="13"/>
      <c r="D112" s="13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 spans="1:14" ht="19.5" customHeight="1" x14ac:dyDescent="0.25">
      <c r="A113" s="7"/>
      <c r="B113" s="7"/>
      <c r="C113" s="13"/>
      <c r="D113" s="13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 spans="1:14" ht="19.5" customHeight="1" x14ac:dyDescent="0.25">
      <c r="A114" s="7"/>
      <c r="B114" s="7"/>
      <c r="C114" s="13"/>
      <c r="D114" s="13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 spans="1:14" ht="19.5" customHeight="1" x14ac:dyDescent="0.25">
      <c r="A115" s="7"/>
      <c r="B115" s="7"/>
      <c r="C115" s="13"/>
      <c r="D115" s="13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 spans="1:14" ht="19.5" customHeight="1" x14ac:dyDescent="0.25">
      <c r="A116" s="7"/>
      <c r="B116" s="7"/>
      <c r="C116" s="13"/>
      <c r="D116" s="13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 spans="1:14" ht="19.5" customHeight="1" x14ac:dyDescent="0.25">
      <c r="A117" s="7"/>
      <c r="B117" s="7"/>
      <c r="C117" s="13"/>
      <c r="D117" s="13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 spans="1:14" ht="19.5" customHeight="1" x14ac:dyDescent="0.25">
      <c r="A118" s="7"/>
      <c r="B118" s="7"/>
      <c r="C118" s="13"/>
      <c r="D118" s="13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 spans="1:14" ht="19.5" customHeight="1" x14ac:dyDescent="0.25">
      <c r="A119" s="7"/>
      <c r="B119" s="7"/>
      <c r="C119" s="13"/>
      <c r="D119" s="13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 spans="1:14" ht="19.5" customHeight="1" x14ac:dyDescent="0.25">
      <c r="A120" s="7"/>
      <c r="B120" s="7"/>
      <c r="C120" s="13"/>
      <c r="D120" s="13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 spans="1:14" ht="19.5" customHeight="1" x14ac:dyDescent="0.25">
      <c r="A121" s="7"/>
      <c r="B121" s="7"/>
      <c r="C121" s="13"/>
      <c r="D121" s="13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 spans="1:14" ht="19.5" customHeight="1" x14ac:dyDescent="0.25">
      <c r="A122" s="7"/>
      <c r="B122" s="7"/>
      <c r="C122" s="13"/>
      <c r="D122" s="13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 spans="1:14" ht="19.5" customHeight="1" x14ac:dyDescent="0.25">
      <c r="A123" s="7"/>
      <c r="B123" s="7"/>
      <c r="C123" s="13"/>
      <c r="D123" s="13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 spans="1:14" ht="19.5" customHeight="1" x14ac:dyDescent="0.25">
      <c r="A124" s="7"/>
      <c r="B124" s="7"/>
      <c r="C124" s="13"/>
      <c r="D124" s="13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 spans="1:14" ht="19.5" customHeight="1" x14ac:dyDescent="0.25">
      <c r="A125" s="7"/>
      <c r="B125" s="7"/>
      <c r="C125" s="13"/>
      <c r="D125" s="13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 spans="1:14" ht="19.5" customHeight="1" x14ac:dyDescent="0.25">
      <c r="A126" s="7"/>
      <c r="B126" s="7"/>
      <c r="C126" s="13"/>
      <c r="D126" s="13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 spans="1:14" ht="19.5" customHeight="1" x14ac:dyDescent="0.25">
      <c r="A127" s="7"/>
      <c r="B127" s="7"/>
      <c r="C127" s="13"/>
      <c r="D127" s="13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 spans="1:14" ht="19.5" customHeight="1" x14ac:dyDescent="0.25">
      <c r="A128" s="7"/>
      <c r="B128" s="7"/>
      <c r="C128" s="13"/>
      <c r="D128" s="13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 spans="1:14" ht="19.5" customHeight="1" x14ac:dyDescent="0.25">
      <c r="A129" s="7"/>
      <c r="B129" s="7"/>
      <c r="C129" s="13"/>
      <c r="D129" s="13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 spans="1:14" ht="19.5" customHeight="1" x14ac:dyDescent="0.25">
      <c r="A130" s="7"/>
      <c r="B130" s="7"/>
      <c r="C130" s="13"/>
      <c r="D130" s="13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 spans="1:14" ht="19.5" customHeight="1" x14ac:dyDescent="0.25">
      <c r="A131" s="7"/>
      <c r="B131" s="7"/>
      <c r="C131" s="13"/>
      <c r="D131" s="13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 spans="1:14" ht="19.5" customHeight="1" x14ac:dyDescent="0.25">
      <c r="A132" s="7"/>
      <c r="B132" s="7"/>
      <c r="C132" s="13"/>
      <c r="D132" s="13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 spans="1:14" ht="19.5" customHeight="1" x14ac:dyDescent="0.25">
      <c r="A133" s="7"/>
      <c r="B133" s="7"/>
      <c r="C133" s="13"/>
      <c r="D133" s="13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 spans="1:14" ht="19.5" customHeight="1" x14ac:dyDescent="0.25">
      <c r="A134" s="7"/>
      <c r="B134" s="7"/>
      <c r="C134" s="13"/>
      <c r="D134" s="13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 spans="1:14" ht="19.5" customHeight="1" x14ac:dyDescent="0.25">
      <c r="A135" s="7"/>
      <c r="B135" s="7"/>
      <c r="C135" s="13"/>
      <c r="D135" s="13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 spans="1:14" ht="19.5" customHeight="1" x14ac:dyDescent="0.25">
      <c r="A136" s="7"/>
      <c r="B136" s="7"/>
      <c r="C136" s="13"/>
      <c r="D136" s="13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 spans="1:14" ht="19.5" customHeight="1" x14ac:dyDescent="0.25">
      <c r="A137" s="7"/>
      <c r="B137" s="7"/>
      <c r="C137" s="13"/>
      <c r="D137" s="13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 spans="1:14" ht="19.5" customHeight="1" x14ac:dyDescent="0.25">
      <c r="A138" s="7"/>
      <c r="B138" s="7"/>
      <c r="C138" s="13"/>
      <c r="D138" s="13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 spans="1:14" ht="19.5" customHeight="1" x14ac:dyDescent="0.25">
      <c r="A139" s="7"/>
      <c r="B139" s="7"/>
      <c r="C139" s="13"/>
      <c r="D139" s="13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 spans="1:14" ht="19.5" customHeight="1" x14ac:dyDescent="0.25">
      <c r="A140" s="7"/>
      <c r="B140" s="7"/>
      <c r="C140" s="13"/>
      <c r="D140" s="13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 spans="1:14" ht="19.5" customHeight="1" x14ac:dyDescent="0.25">
      <c r="A141" s="7"/>
      <c r="B141" s="7"/>
      <c r="C141" s="13"/>
      <c r="D141" s="13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 spans="1:14" ht="19.5" customHeight="1" x14ac:dyDescent="0.25">
      <c r="A142" s="7"/>
      <c r="B142" s="7"/>
      <c r="C142" s="13"/>
      <c r="D142" s="13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 spans="1:14" ht="19.5" customHeight="1" x14ac:dyDescent="0.25">
      <c r="A143" s="7"/>
      <c r="B143" s="7"/>
      <c r="C143" s="13"/>
      <c r="D143" s="13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 spans="1:14" ht="19.5" customHeight="1" x14ac:dyDescent="0.25">
      <c r="A144" s="7"/>
      <c r="B144" s="7"/>
      <c r="C144" s="13"/>
      <c r="D144" s="13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 spans="1:14" ht="19.5" customHeight="1" x14ac:dyDescent="0.25">
      <c r="A145" s="7"/>
      <c r="B145" s="7"/>
      <c r="C145" s="13"/>
      <c r="D145" s="13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 spans="1:14" ht="19.5" customHeight="1" x14ac:dyDescent="0.25">
      <c r="A146" s="7"/>
      <c r="B146" s="7"/>
      <c r="C146" s="13"/>
      <c r="D146" s="13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4" ht="19.5" customHeight="1" x14ac:dyDescent="0.25">
      <c r="A147" s="7"/>
      <c r="B147" s="7"/>
      <c r="C147" s="13"/>
      <c r="D147" s="13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 spans="1:14" ht="19.5" customHeight="1" x14ac:dyDescent="0.25">
      <c r="A148" s="7"/>
      <c r="B148" s="7"/>
      <c r="C148" s="13"/>
      <c r="D148" s="13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 spans="1:14" ht="19.5" customHeight="1" x14ac:dyDescent="0.25">
      <c r="A149" s="7"/>
      <c r="B149" s="7"/>
      <c r="C149" s="13"/>
      <c r="D149" s="13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 spans="1:14" ht="19.5" customHeight="1" x14ac:dyDescent="0.25">
      <c r="A150" s="7"/>
      <c r="B150" s="7"/>
      <c r="C150" s="13"/>
      <c r="D150" s="13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 spans="1:14" ht="19.5" customHeight="1" x14ac:dyDescent="0.25">
      <c r="A151" s="7"/>
      <c r="B151" s="7"/>
      <c r="C151" s="13"/>
      <c r="D151" s="13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 spans="1:14" ht="19.5" customHeight="1" x14ac:dyDescent="0.25">
      <c r="A152" s="7"/>
      <c r="B152" s="7"/>
      <c r="C152" s="13"/>
      <c r="D152" s="13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 spans="1:14" ht="19.5" customHeight="1" x14ac:dyDescent="0.25">
      <c r="A153" s="7"/>
      <c r="B153" s="7"/>
      <c r="C153" s="13"/>
      <c r="D153" s="13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 spans="1:14" ht="19.5" customHeight="1" x14ac:dyDescent="0.25">
      <c r="A154" s="7"/>
      <c r="B154" s="7"/>
      <c r="C154" s="13"/>
      <c r="D154" s="13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 spans="1:14" ht="19.5" customHeight="1" x14ac:dyDescent="0.25">
      <c r="A155" s="7"/>
      <c r="B155" s="7"/>
      <c r="C155" s="13"/>
      <c r="D155" s="13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 spans="1:14" ht="19.5" customHeight="1" x14ac:dyDescent="0.25">
      <c r="A156" s="7"/>
      <c r="B156" s="7"/>
      <c r="C156" s="13"/>
      <c r="D156" s="13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 spans="1:14" ht="19.5" customHeight="1" x14ac:dyDescent="0.25">
      <c r="A157" s="7"/>
      <c r="B157" s="7"/>
      <c r="C157" s="13"/>
      <c r="D157" s="13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 spans="1:14" ht="19.5" customHeight="1" x14ac:dyDescent="0.25">
      <c r="A158" s="7"/>
      <c r="B158" s="7"/>
      <c r="C158" s="13"/>
      <c r="D158" s="13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 spans="1:14" ht="19.5" customHeight="1" x14ac:dyDescent="0.25">
      <c r="A159" s="7"/>
      <c r="B159" s="7"/>
      <c r="C159" s="13"/>
      <c r="D159" s="13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 spans="1:14" ht="19.5" customHeight="1" x14ac:dyDescent="0.25">
      <c r="A160" s="7"/>
      <c r="B160" s="7"/>
      <c r="C160" s="13"/>
      <c r="D160" s="13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 spans="1:14" ht="19.5" customHeight="1" x14ac:dyDescent="0.25">
      <c r="A161" s="7"/>
      <c r="B161" s="7"/>
      <c r="C161" s="13"/>
      <c r="D161" s="13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 spans="1:14" ht="19.5" customHeight="1" x14ac:dyDescent="0.25">
      <c r="A162" s="7"/>
      <c r="B162" s="7"/>
      <c r="C162" s="13"/>
      <c r="D162" s="13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 spans="1:14" ht="19.5" customHeight="1" x14ac:dyDescent="0.25">
      <c r="A163" s="7"/>
      <c r="B163" s="7"/>
      <c r="C163" s="13"/>
      <c r="D163" s="13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 spans="1:14" ht="19.5" customHeight="1" x14ac:dyDescent="0.25">
      <c r="A164" s="7"/>
      <c r="B164" s="7"/>
      <c r="C164" s="13"/>
      <c r="D164" s="13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 spans="1:14" ht="19.5" customHeight="1" x14ac:dyDescent="0.25">
      <c r="A165" s="7"/>
      <c r="B165" s="7"/>
      <c r="C165" s="13"/>
      <c r="D165" s="13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 spans="1:14" ht="19.5" customHeight="1" x14ac:dyDescent="0.25">
      <c r="A166" s="7"/>
      <c r="B166" s="7"/>
      <c r="C166" s="13"/>
      <c r="D166" s="13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 spans="1:14" ht="19.5" customHeight="1" x14ac:dyDescent="0.25">
      <c r="A167" s="7"/>
      <c r="B167" s="7"/>
      <c r="C167" s="13"/>
      <c r="D167" s="13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 spans="1:14" ht="19.5" customHeight="1" x14ac:dyDescent="0.25">
      <c r="A168" s="7"/>
      <c r="B168" s="7"/>
      <c r="C168" s="13"/>
      <c r="D168" s="13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 spans="1:14" ht="19.5" customHeight="1" x14ac:dyDescent="0.25">
      <c r="A169" s="7"/>
      <c r="B169" s="7"/>
      <c r="C169" s="13"/>
      <c r="D169" s="13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 spans="1:14" ht="19.5" customHeight="1" x14ac:dyDescent="0.25">
      <c r="A170" s="7"/>
      <c r="B170" s="7"/>
      <c r="C170" s="13"/>
      <c r="D170" s="13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 spans="1:14" ht="19.5" customHeight="1" x14ac:dyDescent="0.25">
      <c r="A171" s="7"/>
      <c r="B171" s="7"/>
      <c r="C171" s="13"/>
      <c r="D171" s="13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 spans="1:14" ht="19.5" customHeight="1" x14ac:dyDescent="0.25">
      <c r="A172" s="7"/>
      <c r="B172" s="7"/>
      <c r="C172" s="13"/>
      <c r="D172" s="13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 spans="1:14" ht="19.5" customHeight="1" x14ac:dyDescent="0.25">
      <c r="A173" s="7"/>
      <c r="B173" s="7"/>
      <c r="C173" s="13"/>
      <c r="D173" s="13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 spans="1:14" ht="19.5" customHeight="1" x14ac:dyDescent="0.25">
      <c r="A174" s="7"/>
      <c r="B174" s="7"/>
      <c r="C174" s="13"/>
      <c r="D174" s="13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 spans="1:14" ht="19.5" customHeight="1" x14ac:dyDescent="0.25">
      <c r="A175" s="7"/>
      <c r="B175" s="7"/>
      <c r="C175" s="13"/>
      <c r="D175" s="13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 spans="1:14" ht="19.5" customHeight="1" x14ac:dyDescent="0.25">
      <c r="A176" s="7"/>
      <c r="B176" s="7"/>
      <c r="C176" s="13"/>
      <c r="D176" s="13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 spans="1:14" ht="19.5" customHeight="1" x14ac:dyDescent="0.25">
      <c r="A177" s="7"/>
      <c r="B177" s="7"/>
      <c r="C177" s="13"/>
      <c r="D177" s="13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 spans="1:14" ht="19.5" customHeight="1" x14ac:dyDescent="0.25">
      <c r="A178" s="7"/>
      <c r="B178" s="7"/>
      <c r="C178" s="13"/>
      <c r="D178" s="13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 spans="1:14" ht="19.5" customHeight="1" x14ac:dyDescent="0.25">
      <c r="A179" s="7"/>
      <c r="B179" s="7"/>
      <c r="C179" s="13"/>
      <c r="D179" s="13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 spans="1:14" ht="19.5" customHeight="1" x14ac:dyDescent="0.25">
      <c r="A180" s="7"/>
      <c r="B180" s="7"/>
      <c r="C180" s="13"/>
      <c r="D180" s="13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 spans="1:14" ht="19.5" customHeight="1" x14ac:dyDescent="0.25">
      <c r="A181" s="7"/>
      <c r="B181" s="7"/>
      <c r="C181" s="13"/>
      <c r="D181" s="13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 spans="1:14" ht="19.5" customHeight="1" x14ac:dyDescent="0.25">
      <c r="A182" s="7"/>
      <c r="B182" s="7"/>
      <c r="C182" s="13"/>
      <c r="D182" s="13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 spans="1:14" ht="19.5" customHeight="1" x14ac:dyDescent="0.25">
      <c r="A183" s="7"/>
      <c r="B183" s="7"/>
      <c r="C183" s="13"/>
      <c r="D183" s="13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 spans="1:14" ht="19.5" customHeight="1" x14ac:dyDescent="0.25">
      <c r="A184" s="7"/>
      <c r="B184" s="7"/>
      <c r="C184" s="13"/>
      <c r="D184" s="13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 spans="1:14" ht="19.5" customHeight="1" x14ac:dyDescent="0.25">
      <c r="A185" s="7"/>
      <c r="B185" s="7"/>
      <c r="C185" s="13"/>
      <c r="D185" s="13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 spans="1:14" ht="19.5" customHeight="1" x14ac:dyDescent="0.25">
      <c r="A186" s="7"/>
      <c r="B186" s="7"/>
      <c r="C186" s="13"/>
      <c r="D186" s="13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 spans="1:14" ht="19.5" customHeight="1" x14ac:dyDescent="0.25">
      <c r="A187" s="7"/>
      <c r="B187" s="7"/>
      <c r="C187" s="13"/>
      <c r="D187" s="13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 spans="1:14" ht="19.5" customHeight="1" x14ac:dyDescent="0.25">
      <c r="A188" s="7"/>
      <c r="B188" s="7"/>
      <c r="C188" s="13"/>
      <c r="D188" s="13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 spans="1:14" ht="19.5" customHeight="1" x14ac:dyDescent="0.25">
      <c r="A189" s="7"/>
      <c r="B189" s="7"/>
      <c r="C189" s="13"/>
      <c r="D189" s="13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 spans="1:14" ht="19.5" customHeight="1" x14ac:dyDescent="0.25">
      <c r="A190" s="7"/>
      <c r="B190" s="7"/>
      <c r="C190" s="13"/>
      <c r="D190" s="13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 spans="1:14" ht="19.5" customHeight="1" x14ac:dyDescent="0.25">
      <c r="A191" s="7"/>
      <c r="B191" s="7"/>
      <c r="C191" s="13"/>
      <c r="D191" s="13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 spans="1:14" ht="19.5" customHeight="1" x14ac:dyDescent="0.25">
      <c r="A192" s="7"/>
      <c r="B192" s="7"/>
      <c r="C192" s="13"/>
      <c r="D192" s="13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 spans="1:14" ht="19.5" customHeight="1" x14ac:dyDescent="0.25">
      <c r="A193" s="7"/>
      <c r="B193" s="7"/>
      <c r="C193" s="13"/>
      <c r="D193" s="13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 spans="1:14" ht="19.5" customHeight="1" x14ac:dyDescent="0.25">
      <c r="A194" s="7"/>
      <c r="B194" s="7"/>
      <c r="C194" s="13"/>
      <c r="D194" s="13"/>
      <c r="E194" s="7"/>
      <c r="F194" s="7"/>
      <c r="G194" s="7"/>
      <c r="H194" s="7"/>
      <c r="I194" s="7"/>
      <c r="J194" s="7"/>
      <c r="K194" s="7"/>
      <c r="L194" s="7"/>
      <c r="M194" s="7"/>
      <c r="N194" s="7"/>
    </row>
    <row r="195" spans="1:14" ht="19.5" customHeight="1" x14ac:dyDescent="0.25">
      <c r="A195" s="7"/>
      <c r="B195" s="7"/>
      <c r="C195" s="13"/>
      <c r="D195" s="13"/>
      <c r="E195" s="7"/>
      <c r="F195" s="7"/>
      <c r="G195" s="7"/>
      <c r="H195" s="7"/>
      <c r="I195" s="7"/>
      <c r="J195" s="7"/>
      <c r="K195" s="7"/>
      <c r="L195" s="7"/>
      <c r="M195" s="7"/>
      <c r="N195" s="7"/>
    </row>
    <row r="196" spans="1:14" ht="19.5" customHeight="1" x14ac:dyDescent="0.25">
      <c r="A196" s="7"/>
      <c r="B196" s="7"/>
      <c r="C196" s="13"/>
      <c r="D196" s="13"/>
      <c r="E196" s="7"/>
      <c r="F196" s="7"/>
      <c r="G196" s="7"/>
      <c r="H196" s="7"/>
      <c r="I196" s="7"/>
      <c r="J196" s="7"/>
      <c r="K196" s="7"/>
      <c r="L196" s="7"/>
      <c r="M196" s="7"/>
      <c r="N196" s="7"/>
    </row>
    <row r="197" spans="1:14" ht="19.5" customHeight="1" x14ac:dyDescent="0.25">
      <c r="A197" s="7"/>
      <c r="B197" s="7"/>
      <c r="C197" s="13"/>
      <c r="D197" s="13"/>
      <c r="E197" s="7"/>
      <c r="F197" s="7"/>
      <c r="G197" s="7"/>
      <c r="H197" s="7"/>
      <c r="I197" s="7"/>
      <c r="J197" s="7"/>
      <c r="K197" s="7"/>
      <c r="L197" s="7"/>
      <c r="M197" s="7"/>
      <c r="N197" s="7"/>
    </row>
    <row r="198" spans="1:14" ht="19.5" customHeight="1" x14ac:dyDescent="0.25">
      <c r="A198" s="7"/>
      <c r="B198" s="7"/>
      <c r="C198" s="13"/>
      <c r="D198" s="13"/>
      <c r="E198" s="7"/>
      <c r="F198" s="7"/>
      <c r="G198" s="7"/>
      <c r="H198" s="7"/>
      <c r="I198" s="7"/>
      <c r="J198" s="7"/>
      <c r="K198" s="7"/>
      <c r="L198" s="7"/>
      <c r="M198" s="7"/>
      <c r="N198" s="7"/>
    </row>
    <row r="199" spans="1:14" ht="19.5" customHeight="1" x14ac:dyDescent="0.25">
      <c r="A199" s="7"/>
      <c r="B199" s="7"/>
      <c r="C199" s="13"/>
      <c r="D199" s="13"/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 spans="1:14" ht="19.5" customHeight="1" x14ac:dyDescent="0.25">
      <c r="A200" s="7"/>
      <c r="B200" s="7"/>
      <c r="C200" s="13"/>
      <c r="D200" s="13"/>
      <c r="E200" s="7"/>
      <c r="F200" s="7"/>
      <c r="G200" s="7"/>
      <c r="H200" s="7"/>
      <c r="I200" s="7"/>
      <c r="J200" s="7"/>
      <c r="K200" s="7"/>
      <c r="L200" s="7"/>
      <c r="M200" s="7"/>
      <c r="N200" s="7"/>
    </row>
    <row r="201" spans="1:14" ht="19.5" customHeight="1" x14ac:dyDescent="0.25">
      <c r="A201" s="7"/>
      <c r="B201" s="7"/>
      <c r="C201" s="13"/>
      <c r="D201" s="13"/>
      <c r="E201" s="7"/>
      <c r="F201" s="7"/>
      <c r="G201" s="7"/>
      <c r="H201" s="7"/>
      <c r="I201" s="7"/>
      <c r="J201" s="7"/>
      <c r="K201" s="7"/>
      <c r="L201" s="7"/>
      <c r="M201" s="7"/>
      <c r="N201" s="7"/>
    </row>
    <row r="202" spans="1:14" ht="19.5" customHeight="1" x14ac:dyDescent="0.25">
      <c r="A202" s="7"/>
      <c r="B202" s="7"/>
      <c r="C202" s="13"/>
      <c r="D202" s="13"/>
      <c r="E202" s="7"/>
      <c r="F202" s="7"/>
      <c r="G202" s="7"/>
      <c r="H202" s="7"/>
      <c r="I202" s="7"/>
      <c r="J202" s="7"/>
      <c r="K202" s="7"/>
      <c r="L202" s="7"/>
      <c r="M202" s="7"/>
      <c r="N202" s="7"/>
    </row>
    <row r="203" spans="1:14" ht="19.5" customHeight="1" x14ac:dyDescent="0.25">
      <c r="A203" s="7"/>
      <c r="B203" s="7"/>
      <c r="C203" s="13"/>
      <c r="D203" s="13"/>
      <c r="E203" s="7"/>
      <c r="F203" s="7"/>
      <c r="G203" s="7"/>
      <c r="H203" s="7"/>
      <c r="I203" s="7"/>
      <c r="J203" s="7"/>
      <c r="K203" s="7"/>
      <c r="L203" s="7"/>
      <c r="M203" s="7"/>
      <c r="N203" s="7"/>
    </row>
    <row r="204" spans="1:14" ht="19.5" customHeight="1" x14ac:dyDescent="0.25">
      <c r="A204" s="7"/>
      <c r="B204" s="7"/>
      <c r="C204" s="13"/>
      <c r="D204" s="13"/>
      <c r="E204" s="7"/>
      <c r="F204" s="7"/>
      <c r="G204" s="7"/>
      <c r="H204" s="7"/>
      <c r="I204" s="7"/>
      <c r="J204" s="7"/>
      <c r="K204" s="7"/>
      <c r="L204" s="7"/>
      <c r="M204" s="7"/>
      <c r="N204" s="7"/>
    </row>
    <row r="205" spans="1:14" ht="19.5" customHeight="1" x14ac:dyDescent="0.25">
      <c r="A205" s="7"/>
      <c r="B205" s="7"/>
      <c r="C205" s="13"/>
      <c r="D205" s="13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r="206" spans="1:14" ht="19.5" customHeight="1" x14ac:dyDescent="0.25">
      <c r="A206" s="7"/>
      <c r="B206" s="7"/>
      <c r="C206" s="13"/>
      <c r="D206" s="13"/>
      <c r="E206" s="7"/>
      <c r="F206" s="7"/>
      <c r="G206" s="7"/>
      <c r="H206" s="7"/>
      <c r="I206" s="7"/>
      <c r="J206" s="7"/>
      <c r="K206" s="7"/>
      <c r="L206" s="7"/>
      <c r="M206" s="7"/>
      <c r="N206" s="7"/>
    </row>
    <row r="207" spans="1:14" ht="19.5" customHeight="1" x14ac:dyDescent="0.25">
      <c r="A207" s="7"/>
      <c r="B207" s="7"/>
      <c r="C207" s="13"/>
      <c r="D207" s="13"/>
      <c r="E207" s="7"/>
      <c r="F207" s="7"/>
      <c r="G207" s="7"/>
      <c r="H207" s="7"/>
      <c r="I207" s="7"/>
      <c r="J207" s="7"/>
      <c r="K207" s="7"/>
      <c r="L207" s="7"/>
      <c r="M207" s="7"/>
      <c r="N207" s="7"/>
    </row>
    <row r="208" spans="1:14" ht="19.5" customHeight="1" x14ac:dyDescent="0.25">
      <c r="A208" s="7"/>
      <c r="B208" s="7"/>
      <c r="C208" s="13"/>
      <c r="D208" s="13"/>
      <c r="E208" s="7"/>
      <c r="F208" s="7"/>
      <c r="G208" s="7"/>
      <c r="H208" s="7"/>
      <c r="I208" s="7"/>
      <c r="J208" s="7"/>
      <c r="K208" s="7"/>
      <c r="L208" s="7"/>
      <c r="M208" s="7"/>
      <c r="N208" s="7"/>
    </row>
    <row r="209" spans="1:14" ht="19.5" customHeight="1" x14ac:dyDescent="0.25">
      <c r="A209" s="7"/>
      <c r="B209" s="7"/>
      <c r="C209" s="13"/>
      <c r="D209" s="13"/>
      <c r="E209" s="7"/>
      <c r="F209" s="7"/>
      <c r="G209" s="7"/>
      <c r="H209" s="7"/>
      <c r="I209" s="7"/>
      <c r="J209" s="7"/>
      <c r="K209" s="7"/>
      <c r="L209" s="7"/>
      <c r="M209" s="7"/>
      <c r="N209" s="7"/>
    </row>
    <row r="210" spans="1:14" ht="19.5" customHeight="1" x14ac:dyDescent="0.25">
      <c r="A210" s="7"/>
      <c r="B210" s="7"/>
      <c r="C210" s="13"/>
      <c r="D210" s="13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 spans="1:14" ht="19.5" customHeight="1" x14ac:dyDescent="0.25">
      <c r="A211" s="7"/>
      <c r="B211" s="7"/>
      <c r="C211" s="13"/>
      <c r="D211" s="13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 spans="1:14" ht="19.5" customHeight="1" x14ac:dyDescent="0.25">
      <c r="A212" s="7"/>
      <c r="B212" s="7"/>
      <c r="C212" s="13"/>
      <c r="D212" s="13"/>
      <c r="E212" s="7"/>
      <c r="F212" s="7"/>
      <c r="G212" s="7"/>
      <c r="H212" s="7"/>
      <c r="I212" s="7"/>
      <c r="J212" s="7"/>
      <c r="K212" s="7"/>
      <c r="L212" s="7"/>
      <c r="M212" s="7"/>
      <c r="N212" s="7"/>
    </row>
    <row r="213" spans="1:14" ht="19.5" customHeight="1" x14ac:dyDescent="0.25">
      <c r="A213" s="7"/>
      <c r="B213" s="7"/>
      <c r="C213" s="13"/>
      <c r="D213" s="13"/>
      <c r="E213" s="7"/>
      <c r="F213" s="7"/>
      <c r="G213" s="7"/>
      <c r="H213" s="7"/>
      <c r="I213" s="7"/>
      <c r="J213" s="7"/>
      <c r="K213" s="7"/>
      <c r="L213" s="7"/>
      <c r="M213" s="7"/>
      <c r="N213" s="7"/>
    </row>
    <row r="214" spans="1:14" ht="19.5" customHeight="1" x14ac:dyDescent="0.25">
      <c r="A214" s="7"/>
      <c r="B214" s="7"/>
      <c r="C214" s="13"/>
      <c r="D214" s="13"/>
      <c r="E214" s="7"/>
      <c r="F214" s="7"/>
      <c r="G214" s="7"/>
      <c r="H214" s="7"/>
      <c r="I214" s="7"/>
      <c r="J214" s="7"/>
      <c r="K214" s="7"/>
      <c r="L214" s="7"/>
      <c r="M214" s="7"/>
      <c r="N214" s="7"/>
    </row>
    <row r="215" spans="1:14" ht="19.5" customHeight="1" x14ac:dyDescent="0.25">
      <c r="A215" s="7"/>
      <c r="B215" s="7"/>
      <c r="C215" s="13"/>
      <c r="D215" s="13"/>
      <c r="E215" s="7"/>
      <c r="F215" s="7"/>
      <c r="G215" s="7"/>
      <c r="H215" s="7"/>
      <c r="I215" s="7"/>
      <c r="J215" s="7"/>
      <c r="K215" s="7"/>
      <c r="L215" s="7"/>
      <c r="M215" s="7"/>
      <c r="N215" s="7"/>
    </row>
    <row r="216" spans="1:14" ht="19.5" customHeight="1" x14ac:dyDescent="0.25">
      <c r="A216" s="7"/>
      <c r="B216" s="7"/>
      <c r="C216" s="13"/>
      <c r="D216" s="13"/>
      <c r="E216" s="7"/>
      <c r="F216" s="7"/>
      <c r="G216" s="7"/>
      <c r="H216" s="7"/>
      <c r="I216" s="7"/>
      <c r="J216" s="7"/>
      <c r="K216" s="7"/>
      <c r="L216" s="7"/>
      <c r="M216" s="7"/>
      <c r="N216" s="7"/>
    </row>
    <row r="217" spans="1:14" ht="19.5" customHeight="1" x14ac:dyDescent="0.25">
      <c r="A217" s="7"/>
      <c r="B217" s="7"/>
      <c r="C217" s="13"/>
      <c r="D217" s="13"/>
      <c r="E217" s="7"/>
      <c r="F217" s="7"/>
      <c r="G217" s="7"/>
      <c r="H217" s="7"/>
      <c r="I217" s="7"/>
      <c r="J217" s="7"/>
      <c r="K217" s="7"/>
      <c r="L217" s="7"/>
      <c r="M217" s="7"/>
      <c r="N217" s="7"/>
    </row>
    <row r="218" spans="1:14" ht="19.5" customHeight="1" x14ac:dyDescent="0.25">
      <c r="A218" s="7"/>
      <c r="B218" s="7"/>
      <c r="C218" s="13"/>
      <c r="D218" s="13"/>
      <c r="E218" s="7"/>
      <c r="F218" s="7"/>
      <c r="G218" s="7"/>
      <c r="H218" s="7"/>
      <c r="I218" s="7"/>
      <c r="J218" s="7"/>
      <c r="K218" s="7"/>
      <c r="L218" s="7"/>
      <c r="M218" s="7"/>
      <c r="N218" s="7"/>
    </row>
    <row r="219" spans="1:14" ht="19.5" customHeight="1" x14ac:dyDescent="0.25">
      <c r="A219" s="7"/>
      <c r="B219" s="7"/>
      <c r="C219" s="13"/>
      <c r="D219" s="13"/>
      <c r="E219" s="7"/>
      <c r="F219" s="7"/>
      <c r="G219" s="7"/>
      <c r="H219" s="7"/>
      <c r="I219" s="7"/>
      <c r="J219" s="7"/>
      <c r="K219" s="7"/>
      <c r="L219" s="7"/>
      <c r="M219" s="7"/>
      <c r="N219" s="7"/>
    </row>
    <row r="220" spans="1:14" ht="19.5" customHeight="1" x14ac:dyDescent="0.25">
      <c r="A220" s="7"/>
      <c r="B220" s="7"/>
      <c r="C220" s="13"/>
      <c r="D220" s="13"/>
      <c r="E220" s="7"/>
      <c r="F220" s="7"/>
      <c r="G220" s="7"/>
      <c r="H220" s="7"/>
      <c r="I220" s="7"/>
      <c r="J220" s="7"/>
      <c r="K220" s="7"/>
      <c r="L220" s="7"/>
      <c r="M220" s="7"/>
      <c r="N220" s="7"/>
    </row>
    <row r="221" spans="1:14" ht="19.5" customHeight="1" x14ac:dyDescent="0.25">
      <c r="A221" s="7"/>
      <c r="B221" s="7"/>
      <c r="C221" s="13"/>
      <c r="D221" s="13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r="222" spans="1:14" ht="19.5" customHeight="1" x14ac:dyDescent="0.25">
      <c r="A222" s="7"/>
      <c r="B222" s="7"/>
      <c r="C222" s="13"/>
      <c r="D222" s="13"/>
      <c r="E222" s="7"/>
      <c r="F222" s="7"/>
      <c r="G222" s="7"/>
      <c r="H222" s="7"/>
      <c r="I222" s="7"/>
      <c r="J222" s="7"/>
      <c r="K222" s="7"/>
      <c r="L222" s="7"/>
      <c r="M222" s="7"/>
      <c r="N222" s="7"/>
    </row>
    <row r="223" spans="1:14" ht="19.5" customHeight="1" x14ac:dyDescent="0.25">
      <c r="A223" s="7"/>
      <c r="B223" s="7"/>
      <c r="C223" s="13"/>
      <c r="D223" s="13"/>
      <c r="E223" s="7"/>
      <c r="F223" s="7"/>
      <c r="G223" s="7"/>
      <c r="H223" s="7"/>
      <c r="I223" s="7"/>
      <c r="J223" s="7"/>
      <c r="K223" s="7"/>
      <c r="L223" s="7"/>
      <c r="M223" s="7"/>
      <c r="N223" s="7"/>
    </row>
    <row r="224" spans="1:14" ht="19.5" customHeight="1" x14ac:dyDescent="0.25">
      <c r="A224" s="7"/>
      <c r="B224" s="7"/>
      <c r="C224" s="13"/>
      <c r="D224" s="13"/>
      <c r="E224" s="7"/>
      <c r="F224" s="7"/>
      <c r="G224" s="7"/>
      <c r="H224" s="7"/>
      <c r="I224" s="7"/>
      <c r="J224" s="7"/>
      <c r="K224" s="7"/>
      <c r="L224" s="7"/>
      <c r="M224" s="7"/>
      <c r="N224" s="7"/>
    </row>
    <row r="225" spans="1:14" ht="19.5" customHeight="1" x14ac:dyDescent="0.25">
      <c r="A225" s="7"/>
      <c r="B225" s="7"/>
      <c r="C225" s="13"/>
      <c r="D225" s="13"/>
      <c r="E225" s="7"/>
      <c r="F225" s="7"/>
      <c r="G225" s="7"/>
      <c r="H225" s="7"/>
      <c r="I225" s="7"/>
      <c r="J225" s="7"/>
      <c r="K225" s="7"/>
      <c r="L225" s="7"/>
      <c r="M225" s="7"/>
      <c r="N225" s="7"/>
    </row>
    <row r="226" spans="1:14" ht="19.5" customHeight="1" x14ac:dyDescent="0.25">
      <c r="A226" s="7"/>
      <c r="B226" s="7"/>
      <c r="C226" s="13"/>
      <c r="D226" s="13"/>
      <c r="E226" s="7"/>
      <c r="F226" s="7"/>
      <c r="G226" s="7"/>
      <c r="H226" s="7"/>
      <c r="I226" s="7"/>
      <c r="J226" s="7"/>
      <c r="K226" s="7"/>
      <c r="L226" s="7"/>
      <c r="M226" s="7"/>
      <c r="N226" s="7"/>
    </row>
    <row r="227" spans="1:14" ht="19.5" customHeight="1" x14ac:dyDescent="0.25">
      <c r="A227" s="7"/>
      <c r="B227" s="7"/>
      <c r="C227" s="13"/>
      <c r="D227" s="13"/>
      <c r="E227" s="7"/>
      <c r="F227" s="7"/>
      <c r="G227" s="7"/>
      <c r="H227" s="7"/>
      <c r="I227" s="7"/>
      <c r="J227" s="7"/>
      <c r="K227" s="7"/>
      <c r="L227" s="7"/>
      <c r="M227" s="7"/>
      <c r="N227" s="7"/>
    </row>
    <row r="228" spans="1:14" ht="19.5" customHeight="1" x14ac:dyDescent="0.25">
      <c r="A228" s="7"/>
      <c r="B228" s="7"/>
      <c r="C228" s="13"/>
      <c r="D228" s="13"/>
      <c r="E228" s="7"/>
      <c r="F228" s="7"/>
      <c r="G228" s="7"/>
      <c r="H228" s="7"/>
      <c r="I228" s="7"/>
      <c r="J228" s="7"/>
      <c r="K228" s="7"/>
      <c r="L228" s="7"/>
      <c r="M228" s="7"/>
      <c r="N228" s="7"/>
    </row>
    <row r="229" spans="1:14" ht="19.5" customHeight="1" x14ac:dyDescent="0.25">
      <c r="A229" s="7"/>
      <c r="B229" s="7"/>
      <c r="C229" s="13"/>
      <c r="D229" s="13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r="230" spans="1:14" ht="19.5" customHeight="1" x14ac:dyDescent="0.25">
      <c r="A230" s="7"/>
      <c r="B230" s="7"/>
      <c r="C230" s="13"/>
      <c r="D230" s="13"/>
      <c r="E230" s="7"/>
      <c r="F230" s="7"/>
      <c r="G230" s="7"/>
      <c r="H230" s="7"/>
      <c r="I230" s="7"/>
      <c r="J230" s="7"/>
      <c r="K230" s="7"/>
      <c r="L230" s="7"/>
      <c r="M230" s="7"/>
      <c r="N230" s="7"/>
    </row>
    <row r="231" spans="1:14" ht="19.5" customHeight="1" x14ac:dyDescent="0.25">
      <c r="A231" s="7"/>
      <c r="B231" s="7"/>
      <c r="C231" s="13"/>
      <c r="D231" s="13"/>
      <c r="E231" s="7"/>
      <c r="F231" s="7"/>
      <c r="G231" s="7"/>
      <c r="H231" s="7"/>
      <c r="I231" s="7"/>
      <c r="J231" s="7"/>
      <c r="K231" s="7"/>
      <c r="L231" s="7"/>
      <c r="M231" s="7"/>
      <c r="N231" s="7"/>
    </row>
    <row r="232" spans="1:14" ht="19.5" customHeight="1" x14ac:dyDescent="0.25">
      <c r="A232" s="7"/>
      <c r="B232" s="7"/>
      <c r="C232" s="13"/>
      <c r="D232" s="13"/>
      <c r="E232" s="7"/>
      <c r="F232" s="7"/>
      <c r="G232" s="7"/>
      <c r="H232" s="7"/>
      <c r="I232" s="7"/>
      <c r="J232" s="7"/>
      <c r="K232" s="7"/>
      <c r="L232" s="7"/>
      <c r="M232" s="7"/>
      <c r="N232" s="7"/>
    </row>
    <row r="233" spans="1:14" ht="19.5" customHeight="1" x14ac:dyDescent="0.25">
      <c r="A233" s="7"/>
      <c r="B233" s="7"/>
      <c r="C233" s="13"/>
      <c r="D233" s="13"/>
      <c r="E233" s="7"/>
      <c r="F233" s="7"/>
      <c r="G233" s="7"/>
      <c r="H233" s="7"/>
      <c r="I233" s="7"/>
      <c r="J233" s="7"/>
      <c r="K233" s="7"/>
      <c r="L233" s="7"/>
      <c r="M233" s="7"/>
      <c r="N233" s="7"/>
    </row>
    <row r="234" spans="1:14" ht="19.5" customHeight="1" x14ac:dyDescent="0.25">
      <c r="A234" s="7"/>
      <c r="B234" s="7"/>
      <c r="C234" s="13"/>
      <c r="D234" s="13"/>
      <c r="E234" s="7"/>
      <c r="F234" s="7"/>
      <c r="G234" s="7"/>
      <c r="H234" s="7"/>
      <c r="I234" s="7"/>
      <c r="J234" s="7"/>
      <c r="K234" s="7"/>
      <c r="L234" s="7"/>
      <c r="M234" s="7"/>
      <c r="N234" s="7"/>
    </row>
    <row r="235" spans="1:14" ht="19.5" customHeight="1" x14ac:dyDescent="0.25">
      <c r="A235" s="7"/>
      <c r="B235" s="7"/>
      <c r="C235" s="13"/>
      <c r="D235" s="13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 spans="1:14" ht="19.5" customHeight="1" x14ac:dyDescent="0.25">
      <c r="A236" s="7"/>
      <c r="B236" s="7"/>
      <c r="C236" s="13"/>
      <c r="D236" s="13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 spans="1:14" ht="19.5" customHeight="1" x14ac:dyDescent="0.25">
      <c r="A237" s="7"/>
      <c r="B237" s="7"/>
      <c r="C237" s="13"/>
      <c r="D237" s="13"/>
      <c r="E237" s="7"/>
      <c r="F237" s="7"/>
      <c r="G237" s="7"/>
      <c r="H237" s="7"/>
      <c r="I237" s="7"/>
      <c r="J237" s="7"/>
      <c r="K237" s="7"/>
      <c r="L237" s="7"/>
      <c r="M237" s="7"/>
      <c r="N237" s="7"/>
    </row>
    <row r="238" spans="1:14" ht="19.5" customHeight="1" x14ac:dyDescent="0.25">
      <c r="A238" s="7"/>
      <c r="B238" s="7"/>
      <c r="C238" s="13"/>
      <c r="D238" s="13"/>
      <c r="E238" s="7"/>
      <c r="F238" s="7"/>
      <c r="G238" s="7"/>
      <c r="H238" s="7"/>
      <c r="I238" s="7"/>
      <c r="J238" s="7"/>
      <c r="K238" s="7"/>
      <c r="L238" s="7"/>
      <c r="M238" s="7"/>
      <c r="N238" s="7"/>
    </row>
    <row r="239" spans="1:14" ht="19.5" customHeight="1" x14ac:dyDescent="0.25">
      <c r="A239" s="7"/>
      <c r="B239" s="7"/>
      <c r="C239" s="13"/>
      <c r="D239" s="13"/>
      <c r="E239" s="7"/>
      <c r="F239" s="7"/>
      <c r="G239" s="7"/>
      <c r="H239" s="7"/>
      <c r="I239" s="7"/>
      <c r="J239" s="7"/>
      <c r="K239" s="7"/>
      <c r="L239" s="7"/>
      <c r="M239" s="7"/>
      <c r="N239" s="7"/>
    </row>
    <row r="240" spans="1:14" ht="19.5" customHeight="1" x14ac:dyDescent="0.25">
      <c r="A240" s="7"/>
      <c r="B240" s="7"/>
      <c r="C240" s="13"/>
      <c r="D240" s="13"/>
      <c r="E240" s="7"/>
      <c r="F240" s="7"/>
      <c r="G240" s="7"/>
      <c r="H240" s="7"/>
      <c r="I240" s="7"/>
      <c r="J240" s="7"/>
      <c r="K240" s="7"/>
      <c r="L240" s="7"/>
      <c r="M240" s="7"/>
      <c r="N240" s="7"/>
    </row>
    <row r="241" spans="1:14" ht="19.5" customHeight="1" x14ac:dyDescent="0.25">
      <c r="A241" s="7"/>
      <c r="B241" s="7"/>
      <c r="C241" s="13"/>
      <c r="D241" s="13"/>
      <c r="E241" s="7"/>
      <c r="F241" s="7"/>
      <c r="G241" s="7"/>
      <c r="H241" s="7"/>
      <c r="I241" s="7"/>
      <c r="J241" s="7"/>
      <c r="K241" s="7"/>
      <c r="L241" s="7"/>
      <c r="M241" s="7"/>
      <c r="N241" s="7"/>
    </row>
    <row r="242" spans="1:14" ht="19.5" customHeight="1" x14ac:dyDescent="0.25">
      <c r="A242" s="7"/>
      <c r="B242" s="7"/>
      <c r="C242" s="13"/>
      <c r="D242" s="13"/>
      <c r="E242" s="7"/>
      <c r="F242" s="7"/>
      <c r="G242" s="7"/>
      <c r="H242" s="7"/>
      <c r="I242" s="7"/>
      <c r="J242" s="7"/>
      <c r="K242" s="7"/>
      <c r="L242" s="7"/>
      <c r="M242" s="7"/>
      <c r="N242" s="7"/>
    </row>
    <row r="243" spans="1:14" ht="19.5" customHeight="1" x14ac:dyDescent="0.25">
      <c r="A243" s="7"/>
      <c r="B243" s="7"/>
      <c r="C243" s="13"/>
      <c r="D243" s="13"/>
      <c r="E243" s="7"/>
      <c r="F243" s="7"/>
      <c r="G243" s="7"/>
      <c r="H243" s="7"/>
      <c r="I243" s="7"/>
      <c r="J243" s="7"/>
      <c r="K243" s="7"/>
      <c r="L243" s="7"/>
      <c r="M243" s="7"/>
      <c r="N243" s="7"/>
    </row>
    <row r="244" spans="1:14" ht="19.5" customHeight="1" x14ac:dyDescent="0.25">
      <c r="A244" s="7"/>
      <c r="B244" s="7"/>
      <c r="C244" s="13"/>
      <c r="D244" s="13"/>
      <c r="E244" s="7"/>
      <c r="F244" s="7"/>
      <c r="G244" s="7"/>
      <c r="H244" s="7"/>
      <c r="I244" s="7"/>
      <c r="J244" s="7"/>
      <c r="K244" s="7"/>
      <c r="L244" s="7"/>
      <c r="M244" s="7"/>
      <c r="N244" s="7"/>
    </row>
    <row r="245" spans="1:14" ht="19.5" customHeight="1" x14ac:dyDescent="0.25">
      <c r="A245" s="7"/>
      <c r="B245" s="7"/>
      <c r="C245" s="13"/>
      <c r="D245" s="13"/>
      <c r="E245" s="7"/>
      <c r="F245" s="7"/>
      <c r="G245" s="7"/>
      <c r="H245" s="7"/>
      <c r="I245" s="7"/>
      <c r="J245" s="7"/>
      <c r="K245" s="7"/>
      <c r="L245" s="7"/>
      <c r="M245" s="7"/>
      <c r="N245" s="7"/>
    </row>
    <row r="246" spans="1:14" ht="19.5" customHeight="1" x14ac:dyDescent="0.25">
      <c r="A246" s="7"/>
      <c r="B246" s="7"/>
      <c r="C246" s="13"/>
      <c r="D246" s="13"/>
      <c r="E246" s="7"/>
      <c r="F246" s="7"/>
      <c r="G246" s="7"/>
      <c r="H246" s="7"/>
      <c r="I246" s="7"/>
      <c r="J246" s="7"/>
      <c r="K246" s="7"/>
      <c r="L246" s="7"/>
      <c r="M246" s="7"/>
      <c r="N246" s="7"/>
    </row>
    <row r="247" spans="1:14" ht="19.5" customHeight="1" x14ac:dyDescent="0.25">
      <c r="A247" s="7"/>
      <c r="B247" s="7"/>
      <c r="C247" s="13"/>
      <c r="D247" s="13"/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r="248" spans="1:14" ht="19.5" customHeight="1" x14ac:dyDescent="0.25">
      <c r="A248" s="7"/>
      <c r="B248" s="7"/>
      <c r="C248" s="13"/>
      <c r="D248" s="13"/>
      <c r="E248" s="7"/>
      <c r="F248" s="7"/>
      <c r="G248" s="7"/>
      <c r="H248" s="7"/>
      <c r="I248" s="7"/>
      <c r="J248" s="7"/>
      <c r="K248" s="7"/>
      <c r="L248" s="7"/>
      <c r="M248" s="7"/>
      <c r="N248" s="7"/>
    </row>
    <row r="249" spans="1:14" ht="19.5" customHeight="1" x14ac:dyDescent="0.25">
      <c r="A249" s="7"/>
      <c r="B249" s="7"/>
      <c r="C249" s="13"/>
      <c r="D249" s="13"/>
      <c r="E249" s="7"/>
      <c r="F249" s="7"/>
      <c r="G249" s="7"/>
      <c r="H249" s="7"/>
      <c r="I249" s="7"/>
      <c r="J249" s="7"/>
      <c r="K249" s="7"/>
      <c r="L249" s="7"/>
      <c r="M249" s="7"/>
      <c r="N249" s="7"/>
    </row>
    <row r="250" spans="1:14" ht="19.5" customHeight="1" x14ac:dyDescent="0.25">
      <c r="A250" s="7"/>
      <c r="B250" s="7"/>
      <c r="C250" s="13"/>
      <c r="D250" s="13"/>
      <c r="E250" s="7"/>
      <c r="F250" s="7"/>
      <c r="G250" s="7"/>
      <c r="H250" s="7"/>
      <c r="I250" s="7"/>
      <c r="J250" s="7"/>
      <c r="K250" s="7"/>
      <c r="L250" s="7"/>
      <c r="M250" s="7"/>
      <c r="N250" s="7"/>
    </row>
    <row r="251" spans="1:14" ht="19.5" customHeight="1" x14ac:dyDescent="0.25">
      <c r="A251" s="7"/>
      <c r="B251" s="7"/>
      <c r="C251" s="13"/>
      <c r="D251" s="13"/>
      <c r="E251" s="7"/>
      <c r="F251" s="7"/>
      <c r="G251" s="7"/>
      <c r="H251" s="7"/>
      <c r="I251" s="7"/>
      <c r="J251" s="7"/>
      <c r="K251" s="7"/>
      <c r="L251" s="7"/>
      <c r="M251" s="7"/>
      <c r="N251" s="7"/>
    </row>
    <row r="252" spans="1:14" ht="19.5" customHeight="1" x14ac:dyDescent="0.25">
      <c r="A252" s="7"/>
      <c r="B252" s="7"/>
      <c r="C252" s="13"/>
      <c r="D252" s="13"/>
      <c r="E252" s="7"/>
      <c r="F252" s="7"/>
      <c r="G252" s="7"/>
      <c r="H252" s="7"/>
      <c r="I252" s="7"/>
      <c r="J252" s="7"/>
      <c r="K252" s="7"/>
      <c r="L252" s="7"/>
      <c r="M252" s="7"/>
      <c r="N252" s="7"/>
    </row>
    <row r="253" spans="1:14" ht="19.5" customHeight="1" x14ac:dyDescent="0.25">
      <c r="A253" s="7"/>
      <c r="B253" s="7"/>
      <c r="C253" s="13"/>
      <c r="D253" s="13"/>
      <c r="E253" s="7"/>
      <c r="F253" s="7"/>
      <c r="G253" s="7"/>
      <c r="H253" s="7"/>
      <c r="I253" s="7"/>
      <c r="J253" s="7"/>
      <c r="K253" s="7"/>
      <c r="L253" s="7"/>
      <c r="M253" s="7"/>
      <c r="N253" s="7"/>
    </row>
    <row r="254" spans="1:14" ht="19.5" customHeight="1" x14ac:dyDescent="0.25">
      <c r="A254" s="7"/>
      <c r="B254" s="7"/>
      <c r="C254" s="13"/>
      <c r="D254" s="13"/>
      <c r="E254" s="7"/>
      <c r="F254" s="7"/>
      <c r="G254" s="7"/>
      <c r="H254" s="7"/>
      <c r="I254" s="7"/>
      <c r="J254" s="7"/>
      <c r="K254" s="7"/>
      <c r="L254" s="7"/>
      <c r="M254" s="7"/>
      <c r="N254" s="7"/>
    </row>
    <row r="255" spans="1:14" ht="19.5" customHeight="1" x14ac:dyDescent="0.25">
      <c r="A255" s="7"/>
      <c r="B255" s="7"/>
      <c r="C255" s="13"/>
      <c r="D255" s="13"/>
      <c r="E255" s="7"/>
      <c r="F255" s="7"/>
      <c r="G255" s="7"/>
      <c r="H255" s="7"/>
      <c r="I255" s="7"/>
      <c r="J255" s="7"/>
      <c r="K255" s="7"/>
      <c r="L255" s="7"/>
      <c r="M255" s="7"/>
      <c r="N255" s="7"/>
    </row>
    <row r="256" spans="1:14" ht="19.5" customHeight="1" x14ac:dyDescent="0.25">
      <c r="A256" s="7"/>
      <c r="B256" s="7"/>
      <c r="C256" s="13"/>
      <c r="D256" s="13"/>
      <c r="E256" s="7"/>
      <c r="F256" s="7"/>
      <c r="G256" s="7"/>
      <c r="H256" s="7"/>
      <c r="I256" s="7"/>
      <c r="J256" s="7"/>
      <c r="K256" s="7"/>
      <c r="L256" s="7"/>
      <c r="M256" s="7"/>
      <c r="N256" s="7"/>
    </row>
    <row r="257" spans="1:14" ht="19.5" customHeight="1" x14ac:dyDescent="0.25">
      <c r="A257" s="7"/>
      <c r="B257" s="7"/>
      <c r="C257" s="13"/>
      <c r="D257" s="13"/>
      <c r="E257" s="7"/>
      <c r="F257" s="7"/>
      <c r="G257" s="7"/>
      <c r="H257" s="7"/>
      <c r="I257" s="7"/>
      <c r="J257" s="7"/>
      <c r="K257" s="7"/>
      <c r="L257" s="7"/>
      <c r="M257" s="7"/>
      <c r="N257" s="7"/>
    </row>
    <row r="258" spans="1:14" ht="19.5" customHeight="1" x14ac:dyDescent="0.25">
      <c r="A258" s="7"/>
      <c r="B258" s="7"/>
      <c r="C258" s="13"/>
      <c r="D258" s="13"/>
      <c r="E258" s="7"/>
      <c r="F258" s="7"/>
      <c r="G258" s="7"/>
      <c r="H258" s="7"/>
      <c r="I258" s="7"/>
      <c r="J258" s="7"/>
      <c r="K258" s="7"/>
      <c r="L258" s="7"/>
      <c r="M258" s="7"/>
      <c r="N258" s="7"/>
    </row>
    <row r="259" spans="1:14" ht="19.5" customHeight="1" x14ac:dyDescent="0.25">
      <c r="A259" s="7"/>
      <c r="B259" s="7"/>
      <c r="C259" s="13"/>
      <c r="D259" s="13"/>
      <c r="E259" s="7"/>
      <c r="F259" s="7"/>
      <c r="G259" s="7"/>
      <c r="H259" s="7"/>
      <c r="I259" s="7"/>
      <c r="J259" s="7"/>
      <c r="K259" s="7"/>
      <c r="L259" s="7"/>
      <c r="M259" s="7"/>
      <c r="N259" s="7"/>
    </row>
    <row r="260" spans="1:14" ht="19.5" customHeight="1" x14ac:dyDescent="0.25">
      <c r="A260" s="7"/>
      <c r="B260" s="7"/>
      <c r="C260" s="13"/>
      <c r="D260" s="13"/>
      <c r="E260" s="7"/>
      <c r="F260" s="7"/>
      <c r="G260" s="7"/>
      <c r="H260" s="7"/>
      <c r="I260" s="7"/>
      <c r="J260" s="7"/>
      <c r="K260" s="7"/>
      <c r="L260" s="7"/>
      <c r="M260" s="7"/>
      <c r="N260" s="7"/>
    </row>
    <row r="261" spans="1:14" ht="19.5" customHeight="1" x14ac:dyDescent="0.25">
      <c r="A261" s="7"/>
      <c r="B261" s="7"/>
      <c r="C261" s="13"/>
      <c r="D261" s="13"/>
      <c r="E261" s="7"/>
      <c r="F261" s="7"/>
      <c r="G261" s="7"/>
      <c r="H261" s="7"/>
      <c r="I261" s="7"/>
      <c r="J261" s="7"/>
      <c r="K261" s="7"/>
      <c r="L261" s="7"/>
      <c r="M261" s="7"/>
      <c r="N261" s="7"/>
    </row>
    <row r="262" spans="1:14" ht="19.5" customHeight="1" x14ac:dyDescent="0.25">
      <c r="A262" s="7"/>
      <c r="B262" s="7"/>
      <c r="C262" s="13"/>
      <c r="D262" s="13"/>
      <c r="E262" s="7"/>
      <c r="F262" s="7"/>
      <c r="G262" s="7"/>
      <c r="H262" s="7"/>
      <c r="I262" s="7"/>
      <c r="J262" s="7"/>
      <c r="K262" s="7"/>
      <c r="L262" s="7"/>
      <c r="M262" s="7"/>
      <c r="N262" s="7"/>
    </row>
    <row r="263" spans="1:14" ht="19.5" customHeight="1" x14ac:dyDescent="0.25">
      <c r="A263" s="7"/>
      <c r="B263" s="7"/>
      <c r="C263" s="13"/>
      <c r="D263" s="13"/>
      <c r="E263" s="7"/>
      <c r="F263" s="7"/>
      <c r="G263" s="7"/>
      <c r="H263" s="7"/>
      <c r="I263" s="7"/>
      <c r="J263" s="7"/>
      <c r="K263" s="7"/>
      <c r="L263" s="7"/>
      <c r="M263" s="7"/>
      <c r="N263" s="7"/>
    </row>
    <row r="264" spans="1:14" ht="19.5" customHeight="1" x14ac:dyDescent="0.25">
      <c r="A264" s="7"/>
      <c r="B264" s="7"/>
      <c r="C264" s="13"/>
      <c r="D264" s="13"/>
      <c r="E264" s="7"/>
      <c r="F264" s="7"/>
      <c r="G264" s="7"/>
      <c r="H264" s="7"/>
      <c r="I264" s="7"/>
      <c r="J264" s="7"/>
      <c r="K264" s="7"/>
      <c r="L264" s="7"/>
      <c r="M264" s="7"/>
      <c r="N264" s="7"/>
    </row>
    <row r="265" spans="1:14" ht="19.5" customHeight="1" x14ac:dyDescent="0.25">
      <c r="A265" s="7"/>
      <c r="B265" s="7"/>
      <c r="C265" s="13"/>
      <c r="D265" s="13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r="266" spans="1:14" ht="19.5" customHeight="1" x14ac:dyDescent="0.25">
      <c r="A266" s="7"/>
      <c r="B266" s="7"/>
      <c r="C266" s="13"/>
      <c r="D266" s="13"/>
      <c r="E266" s="7"/>
      <c r="F266" s="7"/>
      <c r="G266" s="7"/>
      <c r="H266" s="7"/>
      <c r="I266" s="7"/>
      <c r="J266" s="7"/>
      <c r="K266" s="7"/>
      <c r="L266" s="7"/>
      <c r="M266" s="7"/>
      <c r="N266" s="7"/>
    </row>
    <row r="267" spans="1:14" ht="19.5" customHeight="1" x14ac:dyDescent="0.25">
      <c r="A267" s="7"/>
      <c r="B267" s="7"/>
      <c r="C267" s="13"/>
      <c r="D267" s="13"/>
      <c r="E267" s="7"/>
      <c r="F267" s="7"/>
      <c r="G267" s="7"/>
      <c r="H267" s="7"/>
      <c r="I267" s="7"/>
      <c r="J267" s="7"/>
      <c r="K267" s="7"/>
      <c r="L267" s="7"/>
      <c r="M267" s="7"/>
      <c r="N267" s="7"/>
    </row>
    <row r="268" spans="1:14" ht="19.5" customHeight="1" x14ac:dyDescent="0.25">
      <c r="A268" s="7"/>
      <c r="B268" s="7"/>
      <c r="C268" s="13"/>
      <c r="D268" s="13"/>
      <c r="E268" s="7"/>
      <c r="F268" s="7"/>
      <c r="G268" s="7"/>
      <c r="H268" s="7"/>
      <c r="I268" s="7"/>
      <c r="J268" s="7"/>
      <c r="K268" s="7"/>
      <c r="L268" s="7"/>
      <c r="M268" s="7"/>
      <c r="N268" s="7"/>
    </row>
    <row r="269" spans="1:14" ht="19.5" customHeight="1" x14ac:dyDescent="0.25">
      <c r="A269" s="7"/>
      <c r="B269" s="7"/>
      <c r="C269" s="13"/>
      <c r="D269" s="13"/>
      <c r="E269" s="7"/>
      <c r="F269" s="7"/>
      <c r="G269" s="7"/>
      <c r="H269" s="7"/>
      <c r="I269" s="7"/>
      <c r="J269" s="7"/>
      <c r="K269" s="7"/>
      <c r="L269" s="7"/>
      <c r="M269" s="7"/>
      <c r="N269" s="7"/>
    </row>
    <row r="270" spans="1:14" ht="19.5" customHeight="1" x14ac:dyDescent="0.25">
      <c r="A270" s="7"/>
      <c r="B270" s="7"/>
      <c r="C270" s="13"/>
      <c r="D270" s="13"/>
      <c r="E270" s="7"/>
      <c r="F270" s="7"/>
      <c r="G270" s="7"/>
      <c r="H270" s="7"/>
      <c r="I270" s="7"/>
      <c r="J270" s="7"/>
      <c r="K270" s="7"/>
      <c r="L270" s="7"/>
      <c r="M270" s="7"/>
      <c r="N270" s="7"/>
    </row>
    <row r="271" spans="1:14" ht="19.5" customHeight="1" x14ac:dyDescent="0.25">
      <c r="A271" s="7"/>
      <c r="B271" s="7"/>
      <c r="C271" s="13"/>
      <c r="D271" s="13"/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 spans="1:14" ht="19.5" customHeight="1" x14ac:dyDescent="0.25">
      <c r="A272" s="7"/>
      <c r="B272" s="7"/>
      <c r="C272" s="13"/>
      <c r="D272" s="13"/>
      <c r="E272" s="7"/>
      <c r="F272" s="7"/>
      <c r="G272" s="7"/>
      <c r="H272" s="7"/>
      <c r="I272" s="7"/>
      <c r="J272" s="7"/>
      <c r="K272" s="7"/>
      <c r="L272" s="7"/>
      <c r="M272" s="7"/>
      <c r="N272" s="7"/>
    </row>
    <row r="273" spans="1:14" ht="19.5" customHeight="1" x14ac:dyDescent="0.25">
      <c r="A273" s="7"/>
      <c r="B273" s="7"/>
      <c r="C273" s="13"/>
      <c r="D273" s="13"/>
      <c r="E273" s="7"/>
      <c r="F273" s="7"/>
      <c r="G273" s="7"/>
      <c r="H273" s="7"/>
      <c r="I273" s="7"/>
      <c r="J273" s="7"/>
      <c r="K273" s="7"/>
      <c r="L273" s="7"/>
      <c r="M273" s="7"/>
      <c r="N273" s="7"/>
    </row>
    <row r="274" spans="1:14" ht="19.5" customHeight="1" x14ac:dyDescent="0.25">
      <c r="A274" s="7"/>
      <c r="B274" s="7"/>
      <c r="C274" s="13"/>
      <c r="D274" s="13"/>
      <c r="E274" s="7"/>
      <c r="F274" s="7"/>
      <c r="G274" s="7"/>
      <c r="H274" s="7"/>
      <c r="I274" s="7"/>
      <c r="J274" s="7"/>
      <c r="K274" s="7"/>
      <c r="L274" s="7"/>
      <c r="M274" s="7"/>
      <c r="N274" s="7"/>
    </row>
    <row r="275" spans="1:14" ht="19.5" customHeight="1" x14ac:dyDescent="0.25">
      <c r="A275" s="7"/>
      <c r="B275" s="7"/>
      <c r="C275" s="13"/>
      <c r="D275" s="13"/>
      <c r="E275" s="7"/>
      <c r="F275" s="7"/>
      <c r="G275" s="7"/>
      <c r="H275" s="7"/>
      <c r="I275" s="7"/>
      <c r="J275" s="7"/>
      <c r="K275" s="7"/>
      <c r="L275" s="7"/>
      <c r="M275" s="7"/>
      <c r="N275" s="7"/>
    </row>
    <row r="276" spans="1:14" ht="19.5" customHeight="1" x14ac:dyDescent="0.25">
      <c r="A276" s="7"/>
      <c r="B276" s="7"/>
      <c r="C276" s="13"/>
      <c r="D276" s="13"/>
      <c r="E276" s="7"/>
      <c r="F276" s="7"/>
      <c r="G276" s="7"/>
      <c r="H276" s="7"/>
      <c r="I276" s="7"/>
      <c r="J276" s="7"/>
      <c r="K276" s="7"/>
      <c r="L276" s="7"/>
      <c r="M276" s="7"/>
      <c r="N276" s="7"/>
    </row>
    <row r="277" spans="1:14" ht="19.5" customHeight="1" x14ac:dyDescent="0.25">
      <c r="A277" s="7"/>
      <c r="B277" s="7"/>
      <c r="C277" s="13"/>
      <c r="D277" s="13"/>
      <c r="E277" s="7"/>
      <c r="F277" s="7"/>
      <c r="G277" s="7"/>
      <c r="H277" s="7"/>
      <c r="I277" s="7"/>
      <c r="J277" s="7"/>
      <c r="K277" s="7"/>
      <c r="L277" s="7"/>
      <c r="M277" s="7"/>
      <c r="N277" s="7"/>
    </row>
    <row r="278" spans="1:14" ht="19.5" customHeight="1" x14ac:dyDescent="0.25">
      <c r="A278" s="7"/>
      <c r="B278" s="7"/>
      <c r="C278" s="13"/>
      <c r="D278" s="13"/>
      <c r="E278" s="7"/>
      <c r="F278" s="7"/>
      <c r="G278" s="7"/>
      <c r="H278" s="7"/>
      <c r="I278" s="7"/>
      <c r="J278" s="7"/>
      <c r="K278" s="7"/>
      <c r="L278" s="7"/>
      <c r="M278" s="7"/>
      <c r="N278" s="7"/>
    </row>
    <row r="279" spans="1:14" ht="19.5" customHeight="1" x14ac:dyDescent="0.25">
      <c r="A279" s="7"/>
      <c r="B279" s="7"/>
      <c r="C279" s="13"/>
      <c r="D279" s="13"/>
      <c r="E279" s="7"/>
      <c r="F279" s="7"/>
      <c r="G279" s="7"/>
      <c r="H279" s="7"/>
      <c r="I279" s="7"/>
      <c r="J279" s="7"/>
      <c r="K279" s="7"/>
      <c r="L279" s="7"/>
      <c r="M279" s="7"/>
      <c r="N279" s="7"/>
    </row>
    <row r="280" spans="1:14" ht="19.5" customHeight="1" x14ac:dyDescent="0.25">
      <c r="A280" s="7"/>
      <c r="B280" s="7"/>
      <c r="C280" s="13"/>
      <c r="D280" s="13"/>
      <c r="E280" s="7"/>
      <c r="F280" s="7"/>
      <c r="G280" s="7"/>
      <c r="H280" s="7"/>
      <c r="I280" s="7"/>
      <c r="J280" s="7"/>
      <c r="K280" s="7"/>
      <c r="L280" s="7"/>
      <c r="M280" s="7"/>
      <c r="N280" s="7"/>
    </row>
    <row r="281" spans="1:14" ht="19.5" customHeight="1" x14ac:dyDescent="0.25">
      <c r="A281" s="7"/>
      <c r="B281" s="7"/>
      <c r="C281" s="13"/>
      <c r="D281" s="13"/>
      <c r="E281" s="7"/>
      <c r="F281" s="7"/>
      <c r="G281" s="7"/>
      <c r="H281" s="7"/>
      <c r="I281" s="7"/>
      <c r="J281" s="7"/>
      <c r="K281" s="7"/>
      <c r="L281" s="7"/>
      <c r="M281" s="7"/>
      <c r="N281" s="7"/>
    </row>
    <row r="282" spans="1:14" ht="19.5" customHeight="1" x14ac:dyDescent="0.25">
      <c r="A282" s="7"/>
      <c r="B282" s="7"/>
      <c r="C282" s="13"/>
      <c r="D282" s="13"/>
      <c r="E282" s="7"/>
      <c r="F282" s="7"/>
      <c r="G282" s="7"/>
      <c r="H282" s="7"/>
      <c r="I282" s="7"/>
      <c r="J282" s="7"/>
      <c r="K282" s="7"/>
      <c r="L282" s="7"/>
      <c r="M282" s="7"/>
      <c r="N282" s="7"/>
    </row>
    <row r="283" spans="1:14" ht="19.5" customHeight="1" x14ac:dyDescent="0.25">
      <c r="A283" s="7"/>
      <c r="B283" s="7"/>
      <c r="C283" s="13"/>
      <c r="D283" s="13"/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 spans="1:14" ht="19.5" customHeight="1" x14ac:dyDescent="0.25">
      <c r="A284" s="7"/>
      <c r="B284" s="7"/>
      <c r="C284" s="13"/>
      <c r="D284" s="13"/>
      <c r="E284" s="7"/>
      <c r="F284" s="7"/>
      <c r="G284" s="7"/>
      <c r="H284" s="7"/>
      <c r="I284" s="7"/>
      <c r="J284" s="7"/>
      <c r="K284" s="7"/>
      <c r="L284" s="7"/>
      <c r="M284" s="7"/>
      <c r="N284" s="7"/>
    </row>
    <row r="285" spans="1:14" ht="19.5" customHeight="1" x14ac:dyDescent="0.25">
      <c r="A285" s="7"/>
      <c r="B285" s="7"/>
      <c r="C285" s="13"/>
      <c r="D285" s="13"/>
      <c r="E285" s="7"/>
      <c r="F285" s="7"/>
      <c r="G285" s="7"/>
      <c r="H285" s="7"/>
      <c r="I285" s="7"/>
      <c r="J285" s="7"/>
      <c r="K285" s="7"/>
      <c r="L285" s="7"/>
      <c r="M285" s="7"/>
      <c r="N285" s="7"/>
    </row>
    <row r="286" spans="1:14" ht="19.5" customHeight="1" x14ac:dyDescent="0.25">
      <c r="A286" s="7"/>
      <c r="B286" s="7"/>
      <c r="C286" s="13"/>
      <c r="D286" s="13"/>
      <c r="E286" s="7"/>
      <c r="F286" s="7"/>
      <c r="G286" s="7"/>
      <c r="H286" s="7"/>
      <c r="I286" s="7"/>
      <c r="J286" s="7"/>
      <c r="K286" s="7"/>
      <c r="L286" s="7"/>
      <c r="M286" s="7"/>
      <c r="N286" s="7"/>
    </row>
    <row r="287" spans="1:14" ht="19.5" customHeight="1" x14ac:dyDescent="0.25">
      <c r="A287" s="7"/>
      <c r="B287" s="7"/>
      <c r="C287" s="13"/>
      <c r="D287" s="13"/>
      <c r="E287" s="7"/>
      <c r="F287" s="7"/>
      <c r="G287" s="7"/>
      <c r="H287" s="7"/>
      <c r="I287" s="7"/>
      <c r="J287" s="7"/>
      <c r="K287" s="7"/>
      <c r="L287" s="7"/>
      <c r="M287" s="7"/>
      <c r="N287" s="7"/>
    </row>
    <row r="288" spans="1:14" ht="19.5" customHeight="1" x14ac:dyDescent="0.25">
      <c r="A288" s="7"/>
      <c r="B288" s="7"/>
      <c r="C288" s="13"/>
      <c r="D288" s="13"/>
      <c r="E288" s="7"/>
      <c r="F288" s="7"/>
      <c r="G288" s="7"/>
      <c r="H288" s="7"/>
      <c r="I288" s="7"/>
      <c r="J288" s="7"/>
      <c r="K288" s="7"/>
      <c r="L288" s="7"/>
      <c r="M288" s="7"/>
      <c r="N288" s="7"/>
    </row>
    <row r="289" spans="1:14" ht="19.5" customHeight="1" x14ac:dyDescent="0.25">
      <c r="A289" s="7"/>
      <c r="B289" s="7"/>
      <c r="C289" s="13"/>
      <c r="D289" s="13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r="290" spans="1:14" ht="19.5" customHeight="1" x14ac:dyDescent="0.25">
      <c r="A290" s="7"/>
      <c r="B290" s="7"/>
      <c r="C290" s="13"/>
      <c r="D290" s="13"/>
      <c r="E290" s="7"/>
      <c r="F290" s="7"/>
      <c r="G290" s="7"/>
      <c r="H290" s="7"/>
      <c r="I290" s="7"/>
      <c r="J290" s="7"/>
      <c r="K290" s="7"/>
      <c r="L290" s="7"/>
      <c r="M290" s="7"/>
      <c r="N290" s="7"/>
    </row>
    <row r="291" spans="1:14" ht="19.5" customHeight="1" x14ac:dyDescent="0.25">
      <c r="A291" s="7"/>
      <c r="B291" s="7"/>
      <c r="C291" s="13"/>
      <c r="D291" s="13"/>
      <c r="E291" s="7"/>
      <c r="F291" s="7"/>
      <c r="G291" s="7"/>
      <c r="H291" s="7"/>
      <c r="I291" s="7"/>
      <c r="J291" s="7"/>
      <c r="K291" s="7"/>
      <c r="L291" s="7"/>
      <c r="M291" s="7"/>
      <c r="N291" s="7"/>
    </row>
    <row r="292" spans="1:14" ht="19.5" customHeight="1" x14ac:dyDescent="0.25">
      <c r="A292" s="7"/>
      <c r="B292" s="7"/>
      <c r="C292" s="13"/>
      <c r="D292" s="13"/>
      <c r="E292" s="7"/>
      <c r="F292" s="7"/>
      <c r="G292" s="7"/>
      <c r="H292" s="7"/>
      <c r="I292" s="7"/>
      <c r="J292" s="7"/>
      <c r="K292" s="7"/>
      <c r="L292" s="7"/>
      <c r="M292" s="7"/>
      <c r="N292" s="7"/>
    </row>
    <row r="293" spans="1:14" ht="19.5" customHeight="1" x14ac:dyDescent="0.25">
      <c r="A293" s="7"/>
      <c r="B293" s="7"/>
      <c r="C293" s="13"/>
      <c r="D293" s="13"/>
      <c r="E293" s="7"/>
      <c r="F293" s="7"/>
      <c r="G293" s="7"/>
      <c r="H293" s="7"/>
      <c r="I293" s="7"/>
      <c r="J293" s="7"/>
      <c r="K293" s="7"/>
      <c r="L293" s="7"/>
      <c r="M293" s="7"/>
      <c r="N293" s="7"/>
    </row>
    <row r="294" spans="1:14" ht="19.5" customHeight="1" x14ac:dyDescent="0.25">
      <c r="A294" s="7"/>
      <c r="B294" s="7"/>
      <c r="C294" s="13"/>
      <c r="D294" s="13"/>
      <c r="E294" s="7"/>
      <c r="F294" s="7"/>
      <c r="G294" s="7"/>
      <c r="H294" s="7"/>
      <c r="I294" s="7"/>
      <c r="J294" s="7"/>
      <c r="K294" s="7"/>
      <c r="L294" s="7"/>
      <c r="M294" s="7"/>
      <c r="N294" s="7"/>
    </row>
    <row r="295" spans="1:14" ht="19.5" customHeight="1" x14ac:dyDescent="0.25">
      <c r="A295" s="7"/>
      <c r="B295" s="7"/>
      <c r="C295" s="13"/>
      <c r="D295" s="13"/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r="296" spans="1:14" ht="19.5" customHeight="1" x14ac:dyDescent="0.25">
      <c r="A296" s="7"/>
      <c r="B296" s="7"/>
      <c r="C296" s="13"/>
      <c r="D296" s="13"/>
      <c r="E296" s="7"/>
      <c r="F296" s="7"/>
      <c r="G296" s="7"/>
      <c r="H296" s="7"/>
      <c r="I296" s="7"/>
      <c r="J296" s="7"/>
      <c r="K296" s="7"/>
      <c r="L296" s="7"/>
      <c r="M296" s="7"/>
      <c r="N296" s="7"/>
    </row>
    <row r="297" spans="1:14" ht="19.5" customHeight="1" x14ac:dyDescent="0.25">
      <c r="A297" s="7"/>
      <c r="B297" s="7"/>
      <c r="C297" s="13"/>
      <c r="D297" s="13"/>
      <c r="E297" s="7"/>
      <c r="F297" s="7"/>
      <c r="G297" s="7"/>
      <c r="H297" s="7"/>
      <c r="I297" s="7"/>
      <c r="J297" s="7"/>
      <c r="K297" s="7"/>
      <c r="L297" s="7"/>
      <c r="M297" s="7"/>
      <c r="N297" s="7"/>
    </row>
    <row r="298" spans="1:14" ht="19.5" customHeight="1" x14ac:dyDescent="0.25">
      <c r="A298" s="7"/>
      <c r="B298" s="7"/>
      <c r="C298" s="13"/>
      <c r="D298" s="13"/>
      <c r="E298" s="7"/>
      <c r="F298" s="7"/>
      <c r="G298" s="7"/>
      <c r="H298" s="7"/>
      <c r="I298" s="7"/>
      <c r="J298" s="7"/>
      <c r="K298" s="7"/>
      <c r="L298" s="7"/>
      <c r="M298" s="7"/>
      <c r="N298" s="7"/>
    </row>
    <row r="299" spans="1:14" ht="19.5" customHeight="1" x14ac:dyDescent="0.25">
      <c r="A299" s="7"/>
      <c r="B299" s="7"/>
      <c r="C299" s="13"/>
      <c r="D299" s="13"/>
      <c r="E299" s="7"/>
      <c r="F299" s="7"/>
      <c r="G299" s="7"/>
      <c r="H299" s="7"/>
      <c r="I299" s="7"/>
      <c r="J299" s="7"/>
      <c r="K299" s="7"/>
      <c r="L299" s="7"/>
      <c r="M299" s="7"/>
      <c r="N299" s="7"/>
    </row>
    <row r="300" spans="1:14" ht="19.5" customHeight="1" x14ac:dyDescent="0.25">
      <c r="A300" s="7"/>
      <c r="B300" s="7"/>
      <c r="C300" s="13"/>
      <c r="D300" s="13"/>
      <c r="E300" s="7"/>
      <c r="F300" s="7"/>
      <c r="G300" s="7"/>
      <c r="H300" s="7"/>
      <c r="I300" s="7"/>
      <c r="J300" s="7"/>
      <c r="K300" s="7"/>
      <c r="L300" s="7"/>
      <c r="M300" s="7"/>
      <c r="N300" s="7"/>
    </row>
    <row r="301" spans="1:14" ht="19.5" customHeight="1" x14ac:dyDescent="0.25">
      <c r="A301" s="7"/>
      <c r="B301" s="7"/>
      <c r="C301" s="13"/>
      <c r="D301" s="13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 spans="1:14" ht="19.5" customHeight="1" x14ac:dyDescent="0.25">
      <c r="A302" s="7"/>
      <c r="B302" s="7"/>
      <c r="C302" s="13"/>
      <c r="D302" s="13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 spans="1:14" ht="19.5" customHeight="1" x14ac:dyDescent="0.25">
      <c r="A303" s="7"/>
      <c r="B303" s="7"/>
      <c r="C303" s="13"/>
      <c r="D303" s="13"/>
      <c r="E303" s="7"/>
      <c r="F303" s="7"/>
      <c r="G303" s="7"/>
      <c r="H303" s="7"/>
      <c r="I303" s="7"/>
      <c r="J303" s="7"/>
      <c r="K303" s="7"/>
      <c r="L303" s="7"/>
      <c r="M303" s="7"/>
      <c r="N303" s="7"/>
    </row>
    <row r="304" spans="1:14" ht="19.5" customHeight="1" x14ac:dyDescent="0.25">
      <c r="A304" s="7"/>
      <c r="B304" s="7"/>
      <c r="C304" s="13"/>
      <c r="D304" s="13"/>
      <c r="E304" s="7"/>
      <c r="F304" s="7"/>
      <c r="G304" s="7"/>
      <c r="H304" s="7"/>
      <c r="I304" s="7"/>
      <c r="J304" s="7"/>
      <c r="K304" s="7"/>
      <c r="L304" s="7"/>
      <c r="M304" s="7"/>
      <c r="N304" s="7"/>
    </row>
    <row r="305" spans="1:14" ht="19.5" customHeight="1" x14ac:dyDescent="0.25">
      <c r="A305" s="7"/>
      <c r="B305" s="7"/>
      <c r="C305" s="13"/>
      <c r="D305" s="13"/>
      <c r="E305" s="7"/>
      <c r="F305" s="7"/>
      <c r="G305" s="7"/>
      <c r="H305" s="7"/>
      <c r="I305" s="7"/>
      <c r="J305" s="7"/>
      <c r="K305" s="7"/>
      <c r="L305" s="7"/>
      <c r="M305" s="7"/>
      <c r="N305" s="7"/>
    </row>
    <row r="306" spans="1:14" ht="19.5" customHeight="1" x14ac:dyDescent="0.25">
      <c r="A306" s="7"/>
      <c r="B306" s="7"/>
      <c r="C306" s="13"/>
      <c r="D306" s="13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r="307" spans="1:14" ht="19.5" customHeight="1" x14ac:dyDescent="0.25">
      <c r="A307" s="7"/>
      <c r="B307" s="7"/>
      <c r="C307" s="13"/>
      <c r="D307" s="13"/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r="308" spans="1:14" ht="19.5" customHeight="1" x14ac:dyDescent="0.25">
      <c r="A308" s="7"/>
      <c r="B308" s="7"/>
      <c r="C308" s="13"/>
      <c r="D308" s="13"/>
      <c r="E308" s="7"/>
      <c r="F308" s="7"/>
      <c r="G308" s="7"/>
      <c r="H308" s="7"/>
      <c r="I308" s="7"/>
      <c r="J308" s="7"/>
      <c r="K308" s="7"/>
      <c r="L308" s="7"/>
      <c r="M308" s="7"/>
      <c r="N308" s="7"/>
    </row>
    <row r="309" spans="1:14" ht="19.5" customHeight="1" x14ac:dyDescent="0.25">
      <c r="A309" s="7"/>
      <c r="B309" s="7"/>
      <c r="C309" s="13"/>
      <c r="D309" s="13"/>
      <c r="E309" s="7"/>
      <c r="F309" s="7"/>
      <c r="G309" s="7"/>
      <c r="H309" s="7"/>
      <c r="I309" s="7"/>
      <c r="J309" s="7"/>
      <c r="K309" s="7"/>
      <c r="L309" s="7"/>
      <c r="M309" s="7"/>
      <c r="N309" s="7"/>
    </row>
    <row r="310" spans="1:14" ht="19.5" customHeight="1" x14ac:dyDescent="0.25">
      <c r="A310" s="7"/>
      <c r="B310" s="7"/>
      <c r="C310" s="13"/>
      <c r="D310" s="13"/>
      <c r="E310" s="7"/>
      <c r="F310" s="7"/>
      <c r="G310" s="7"/>
      <c r="H310" s="7"/>
      <c r="I310" s="7"/>
      <c r="J310" s="7"/>
      <c r="K310" s="7"/>
      <c r="L310" s="7"/>
      <c r="M310" s="7"/>
      <c r="N310" s="7"/>
    </row>
    <row r="311" spans="1:14" ht="19.5" customHeight="1" x14ac:dyDescent="0.25">
      <c r="A311" s="7"/>
      <c r="B311" s="7"/>
      <c r="C311" s="13"/>
      <c r="D311" s="13"/>
      <c r="E311" s="7"/>
      <c r="F311" s="7"/>
      <c r="G311" s="7"/>
      <c r="H311" s="7"/>
      <c r="I311" s="7"/>
      <c r="J311" s="7"/>
      <c r="K311" s="7"/>
      <c r="L311" s="7"/>
      <c r="M311" s="7"/>
      <c r="N311" s="7"/>
    </row>
    <row r="312" spans="1:14" ht="19.5" customHeight="1" x14ac:dyDescent="0.25">
      <c r="A312" s="7"/>
      <c r="B312" s="7"/>
      <c r="C312" s="13"/>
      <c r="D312" s="13"/>
      <c r="E312" s="7"/>
      <c r="F312" s="7"/>
      <c r="G312" s="7"/>
      <c r="H312" s="7"/>
      <c r="I312" s="7"/>
      <c r="J312" s="7"/>
      <c r="K312" s="7"/>
      <c r="L312" s="7"/>
      <c r="M312" s="7"/>
      <c r="N312" s="7"/>
    </row>
    <row r="313" spans="1:14" ht="19.5" customHeight="1" x14ac:dyDescent="0.25">
      <c r="A313" s="7"/>
      <c r="B313" s="7"/>
      <c r="C313" s="13"/>
      <c r="D313" s="13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r="314" spans="1:14" ht="19.5" customHeight="1" x14ac:dyDescent="0.25">
      <c r="A314" s="7"/>
      <c r="B314" s="7"/>
      <c r="C314" s="13"/>
      <c r="D314" s="13"/>
      <c r="E314" s="7"/>
      <c r="F314" s="7"/>
      <c r="G314" s="7"/>
      <c r="H314" s="7"/>
      <c r="I314" s="7"/>
      <c r="J314" s="7"/>
      <c r="K314" s="7"/>
      <c r="L314" s="7"/>
      <c r="M314" s="7"/>
      <c r="N314" s="7"/>
    </row>
    <row r="315" spans="1:14" ht="19.5" customHeight="1" x14ac:dyDescent="0.25">
      <c r="A315" s="7"/>
      <c r="B315" s="7"/>
      <c r="C315" s="13"/>
      <c r="D315" s="13"/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r="316" spans="1:14" ht="19.5" customHeight="1" x14ac:dyDescent="0.25">
      <c r="A316" s="7"/>
      <c r="B316" s="7"/>
      <c r="C316" s="13"/>
      <c r="D316" s="13"/>
      <c r="E316" s="7"/>
      <c r="F316" s="7"/>
      <c r="G316" s="7"/>
      <c r="H316" s="7"/>
      <c r="I316" s="7"/>
      <c r="J316" s="7"/>
      <c r="K316" s="7"/>
      <c r="L316" s="7"/>
      <c r="M316" s="7"/>
      <c r="N316" s="7"/>
    </row>
    <row r="317" spans="1:14" ht="19.5" customHeight="1" x14ac:dyDescent="0.25">
      <c r="A317" s="7"/>
      <c r="B317" s="7"/>
      <c r="C317" s="13"/>
      <c r="D317" s="13"/>
      <c r="E317" s="7"/>
      <c r="F317" s="7"/>
      <c r="G317" s="7"/>
      <c r="H317" s="7"/>
      <c r="I317" s="7"/>
      <c r="J317" s="7"/>
      <c r="K317" s="7"/>
      <c r="L317" s="7"/>
      <c r="M317" s="7"/>
      <c r="N317" s="7"/>
    </row>
    <row r="318" spans="1:14" ht="19.5" customHeight="1" x14ac:dyDescent="0.25">
      <c r="A318" s="7"/>
      <c r="B318" s="7"/>
      <c r="C318" s="13"/>
      <c r="D318" s="13"/>
      <c r="E318" s="7"/>
      <c r="F318" s="7"/>
      <c r="G318" s="7"/>
      <c r="H318" s="7"/>
      <c r="I318" s="7"/>
      <c r="J318" s="7"/>
      <c r="K318" s="7"/>
      <c r="L318" s="7"/>
      <c r="M318" s="7"/>
      <c r="N318" s="7"/>
    </row>
    <row r="319" spans="1:14" ht="19.5" customHeight="1" x14ac:dyDescent="0.25">
      <c r="A319" s="7"/>
      <c r="B319" s="7"/>
      <c r="C319" s="13"/>
      <c r="D319" s="13"/>
      <c r="E319" s="7"/>
      <c r="F319" s="7"/>
      <c r="G319" s="7"/>
      <c r="H319" s="7"/>
      <c r="I319" s="7"/>
      <c r="J319" s="7"/>
      <c r="K319" s="7"/>
      <c r="L319" s="7"/>
      <c r="M319" s="7"/>
      <c r="N319" s="7"/>
    </row>
    <row r="320" spans="1:14" ht="19.5" customHeight="1" x14ac:dyDescent="0.25">
      <c r="A320" s="7"/>
      <c r="B320" s="7"/>
      <c r="C320" s="13"/>
      <c r="D320" s="13"/>
      <c r="E320" s="7"/>
      <c r="F320" s="7"/>
      <c r="G320" s="7"/>
      <c r="H320" s="7"/>
      <c r="I320" s="7"/>
      <c r="J320" s="7"/>
      <c r="K320" s="7"/>
      <c r="L320" s="7"/>
      <c r="M320" s="7"/>
      <c r="N320" s="7"/>
    </row>
    <row r="321" spans="1:14" ht="19.5" customHeight="1" x14ac:dyDescent="0.25">
      <c r="A321" s="7"/>
      <c r="B321" s="7"/>
      <c r="C321" s="13"/>
      <c r="D321" s="13"/>
      <c r="E321" s="7"/>
      <c r="F321" s="7"/>
      <c r="G321" s="7"/>
      <c r="H321" s="7"/>
      <c r="I321" s="7"/>
      <c r="J321" s="7"/>
      <c r="K321" s="7"/>
      <c r="L321" s="7"/>
      <c r="M321" s="7"/>
      <c r="N321" s="7"/>
    </row>
    <row r="322" spans="1:14" ht="19.5" customHeight="1" x14ac:dyDescent="0.25">
      <c r="A322" s="7"/>
      <c r="B322" s="7"/>
      <c r="C322" s="13"/>
      <c r="D322" s="13"/>
      <c r="E322" s="7"/>
      <c r="F322" s="7"/>
      <c r="G322" s="7"/>
      <c r="H322" s="7"/>
      <c r="I322" s="7"/>
      <c r="J322" s="7"/>
      <c r="K322" s="7"/>
      <c r="L322" s="7"/>
      <c r="M322" s="7"/>
      <c r="N322" s="7"/>
    </row>
    <row r="323" spans="1:14" ht="19.5" customHeight="1" x14ac:dyDescent="0.25">
      <c r="A323" s="7"/>
      <c r="B323" s="7"/>
      <c r="C323" s="13"/>
      <c r="D323" s="13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r="324" spans="1:14" ht="19.5" customHeight="1" x14ac:dyDescent="0.25">
      <c r="A324" s="7"/>
      <c r="B324" s="7"/>
      <c r="C324" s="13"/>
      <c r="D324" s="13"/>
      <c r="E324" s="7"/>
      <c r="F324" s="7"/>
      <c r="G324" s="7"/>
      <c r="H324" s="7"/>
      <c r="I324" s="7"/>
      <c r="J324" s="7"/>
      <c r="K324" s="7"/>
      <c r="L324" s="7"/>
      <c r="M324" s="7"/>
      <c r="N324" s="7"/>
    </row>
    <row r="325" spans="1:14" ht="19.5" customHeight="1" x14ac:dyDescent="0.25">
      <c r="A325" s="7"/>
      <c r="B325" s="7"/>
      <c r="C325" s="13"/>
      <c r="D325" s="13"/>
      <c r="E325" s="7"/>
      <c r="F325" s="7"/>
      <c r="G325" s="7"/>
      <c r="H325" s="7"/>
      <c r="I325" s="7"/>
      <c r="J325" s="7"/>
      <c r="K325" s="7"/>
      <c r="L325" s="7"/>
      <c r="M325" s="7"/>
      <c r="N325" s="7"/>
    </row>
    <row r="326" spans="1:14" ht="19.5" customHeight="1" x14ac:dyDescent="0.25">
      <c r="A326" s="7"/>
      <c r="B326" s="7"/>
      <c r="C326" s="13"/>
      <c r="D326" s="13"/>
      <c r="E326" s="7"/>
      <c r="F326" s="7"/>
      <c r="G326" s="7"/>
      <c r="H326" s="7"/>
      <c r="I326" s="7"/>
      <c r="J326" s="7"/>
      <c r="K326" s="7"/>
      <c r="L326" s="7"/>
      <c r="M326" s="7"/>
      <c r="N326" s="7"/>
    </row>
    <row r="327" spans="1:14" ht="19.5" customHeight="1" x14ac:dyDescent="0.25">
      <c r="A327" s="7"/>
      <c r="B327" s="7"/>
      <c r="C327" s="13"/>
      <c r="D327" s="13"/>
      <c r="E327" s="7"/>
      <c r="F327" s="7"/>
      <c r="G327" s="7"/>
      <c r="H327" s="7"/>
      <c r="I327" s="7"/>
      <c r="J327" s="7"/>
      <c r="K327" s="7"/>
      <c r="L327" s="7"/>
      <c r="M327" s="7"/>
      <c r="N327" s="7"/>
    </row>
    <row r="328" spans="1:14" ht="19.5" customHeight="1" x14ac:dyDescent="0.25">
      <c r="A328" s="7"/>
      <c r="B328" s="7"/>
      <c r="C328" s="13"/>
      <c r="D328" s="13"/>
      <c r="E328" s="7"/>
      <c r="F328" s="7"/>
      <c r="G328" s="7"/>
      <c r="H328" s="7"/>
      <c r="I328" s="7"/>
      <c r="J328" s="7"/>
      <c r="K328" s="7"/>
      <c r="L328" s="7"/>
      <c r="M328" s="7"/>
      <c r="N328" s="7"/>
    </row>
    <row r="329" spans="1:14" ht="19.5" customHeight="1" x14ac:dyDescent="0.25">
      <c r="A329" s="7"/>
      <c r="B329" s="7"/>
      <c r="C329" s="13"/>
      <c r="D329" s="13"/>
      <c r="E329" s="7"/>
      <c r="F329" s="7"/>
      <c r="G329" s="7"/>
      <c r="H329" s="7"/>
      <c r="I329" s="7"/>
      <c r="J329" s="7"/>
      <c r="K329" s="7"/>
      <c r="L329" s="7"/>
      <c r="M329" s="7"/>
      <c r="N329" s="7"/>
    </row>
    <row r="330" spans="1:14" ht="19.5" customHeight="1" x14ac:dyDescent="0.25">
      <c r="A330" s="7"/>
      <c r="B330" s="7"/>
      <c r="C330" s="13"/>
      <c r="D330" s="13"/>
      <c r="E330" s="7"/>
      <c r="F330" s="7"/>
      <c r="G330" s="7"/>
      <c r="H330" s="7"/>
      <c r="I330" s="7"/>
      <c r="J330" s="7"/>
      <c r="K330" s="7"/>
      <c r="L330" s="7"/>
      <c r="M330" s="7"/>
      <c r="N330" s="7"/>
    </row>
    <row r="331" spans="1:14" ht="19.5" customHeight="1" x14ac:dyDescent="0.25">
      <c r="A331" s="7"/>
      <c r="B331" s="7"/>
      <c r="C331" s="13"/>
      <c r="D331" s="13"/>
      <c r="E331" s="7"/>
      <c r="F331" s="7"/>
      <c r="G331" s="7"/>
      <c r="H331" s="7"/>
      <c r="I331" s="7"/>
      <c r="J331" s="7"/>
      <c r="K331" s="7"/>
      <c r="L331" s="7"/>
      <c r="M331" s="7"/>
      <c r="N331" s="7"/>
    </row>
    <row r="332" spans="1:14" ht="19.5" customHeight="1" x14ac:dyDescent="0.25">
      <c r="A332" s="7"/>
      <c r="B332" s="7"/>
      <c r="C332" s="13"/>
      <c r="D332" s="13"/>
      <c r="E332" s="7"/>
      <c r="F332" s="7"/>
      <c r="G332" s="7"/>
      <c r="H332" s="7"/>
      <c r="I332" s="7"/>
      <c r="J332" s="7"/>
      <c r="K332" s="7"/>
      <c r="L332" s="7"/>
      <c r="M332" s="7"/>
      <c r="N332" s="7"/>
    </row>
    <row r="333" spans="1:14" ht="19.5" customHeight="1" x14ac:dyDescent="0.25">
      <c r="A333" s="7"/>
      <c r="B333" s="7"/>
      <c r="C333" s="13"/>
      <c r="D333" s="13"/>
      <c r="E333" s="7"/>
      <c r="F333" s="7"/>
      <c r="G333" s="7"/>
      <c r="H333" s="7"/>
      <c r="I333" s="7"/>
      <c r="J333" s="7"/>
      <c r="K333" s="7"/>
      <c r="L333" s="7"/>
      <c r="M333" s="7"/>
      <c r="N333" s="7"/>
    </row>
    <row r="334" spans="1:14" ht="19.5" customHeight="1" x14ac:dyDescent="0.25">
      <c r="A334" s="7"/>
      <c r="B334" s="7"/>
      <c r="C334" s="13"/>
      <c r="D334" s="13"/>
      <c r="E334" s="7"/>
      <c r="F334" s="7"/>
      <c r="G334" s="7"/>
      <c r="H334" s="7"/>
      <c r="I334" s="7"/>
      <c r="J334" s="7"/>
      <c r="K334" s="7"/>
      <c r="L334" s="7"/>
      <c r="M334" s="7"/>
      <c r="N334" s="7"/>
    </row>
    <row r="335" spans="1:14" ht="19.5" customHeight="1" x14ac:dyDescent="0.25">
      <c r="A335" s="7"/>
      <c r="B335" s="7"/>
      <c r="C335" s="13"/>
      <c r="D335" s="13"/>
      <c r="E335" s="7"/>
      <c r="F335" s="7"/>
      <c r="G335" s="7"/>
      <c r="H335" s="7"/>
      <c r="I335" s="7"/>
      <c r="J335" s="7"/>
      <c r="K335" s="7"/>
      <c r="L335" s="7"/>
      <c r="M335" s="7"/>
      <c r="N335" s="7"/>
    </row>
    <row r="336" spans="1:14" ht="19.5" customHeight="1" x14ac:dyDescent="0.25">
      <c r="A336" s="7"/>
      <c r="B336" s="7"/>
      <c r="C336" s="13"/>
      <c r="D336" s="13"/>
      <c r="E336" s="7"/>
      <c r="F336" s="7"/>
      <c r="G336" s="7"/>
      <c r="H336" s="7"/>
      <c r="I336" s="7"/>
      <c r="J336" s="7"/>
      <c r="K336" s="7"/>
      <c r="L336" s="7"/>
      <c r="M336" s="7"/>
      <c r="N336" s="7"/>
    </row>
    <row r="337" spans="1:14" ht="19.5" customHeight="1" x14ac:dyDescent="0.25">
      <c r="A337" s="7"/>
      <c r="B337" s="7"/>
      <c r="C337" s="13"/>
      <c r="D337" s="13"/>
      <c r="E337" s="7"/>
      <c r="F337" s="7"/>
      <c r="G337" s="7"/>
      <c r="H337" s="7"/>
      <c r="I337" s="7"/>
      <c r="J337" s="7"/>
      <c r="K337" s="7"/>
      <c r="L337" s="7"/>
      <c r="M337" s="7"/>
      <c r="N337" s="7"/>
    </row>
    <row r="338" spans="1:14" ht="19.5" customHeight="1" x14ac:dyDescent="0.25">
      <c r="A338" s="7"/>
      <c r="B338" s="7"/>
      <c r="C338" s="13"/>
      <c r="D338" s="13"/>
      <c r="E338" s="7"/>
      <c r="F338" s="7"/>
      <c r="G338" s="7"/>
      <c r="H338" s="7"/>
      <c r="I338" s="7"/>
      <c r="J338" s="7"/>
      <c r="K338" s="7"/>
      <c r="L338" s="7"/>
      <c r="M338" s="7"/>
      <c r="N338" s="7"/>
    </row>
    <row r="339" spans="1:14" ht="19.5" customHeight="1" x14ac:dyDescent="0.25">
      <c r="A339" s="7"/>
      <c r="B339" s="7"/>
      <c r="C339" s="13"/>
      <c r="D339" s="13"/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 spans="1:14" ht="19.5" customHeight="1" x14ac:dyDescent="0.25">
      <c r="A340" s="7"/>
      <c r="B340" s="7"/>
      <c r="C340" s="13"/>
      <c r="D340" s="13"/>
      <c r="E340" s="7"/>
      <c r="F340" s="7"/>
      <c r="G340" s="7"/>
      <c r="H340" s="7"/>
      <c r="I340" s="7"/>
      <c r="J340" s="7"/>
      <c r="K340" s="7"/>
      <c r="L340" s="7"/>
      <c r="M340" s="7"/>
      <c r="N340" s="7"/>
    </row>
    <row r="341" spans="1:14" ht="19.5" customHeight="1" x14ac:dyDescent="0.25">
      <c r="A341" s="7"/>
      <c r="B341" s="7"/>
      <c r="C341" s="13"/>
      <c r="D341" s="13"/>
      <c r="E341" s="7"/>
      <c r="F341" s="7"/>
      <c r="G341" s="7"/>
      <c r="H341" s="7"/>
      <c r="I341" s="7"/>
      <c r="J341" s="7"/>
      <c r="K341" s="7"/>
      <c r="L341" s="7"/>
      <c r="M341" s="7"/>
      <c r="N341" s="7"/>
    </row>
    <row r="342" spans="1:14" ht="19.5" customHeight="1" x14ac:dyDescent="0.25">
      <c r="A342" s="7"/>
      <c r="B342" s="7"/>
      <c r="C342" s="13"/>
      <c r="D342" s="13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r="343" spans="1:14" ht="19.5" customHeight="1" x14ac:dyDescent="0.25">
      <c r="A343" s="7"/>
      <c r="B343" s="7"/>
      <c r="C343" s="13"/>
      <c r="D343" s="13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r="344" spans="1:14" ht="19.5" customHeight="1" x14ac:dyDescent="0.25">
      <c r="A344" s="7"/>
      <c r="B344" s="7"/>
      <c r="C344" s="13"/>
      <c r="D344" s="13"/>
      <c r="E344" s="7"/>
      <c r="F344" s="7"/>
      <c r="G344" s="7"/>
      <c r="H344" s="7"/>
      <c r="I344" s="7"/>
      <c r="J344" s="7"/>
      <c r="K344" s="7"/>
      <c r="L344" s="7"/>
      <c r="M344" s="7"/>
      <c r="N344" s="7"/>
    </row>
    <row r="345" spans="1:14" ht="19.5" customHeight="1" x14ac:dyDescent="0.25">
      <c r="A345" s="7"/>
      <c r="B345" s="7"/>
      <c r="C345" s="13"/>
      <c r="D345" s="13"/>
      <c r="E345" s="7"/>
      <c r="F345" s="7"/>
      <c r="G345" s="7"/>
      <c r="H345" s="7"/>
      <c r="I345" s="7"/>
      <c r="J345" s="7"/>
      <c r="K345" s="7"/>
      <c r="L345" s="7"/>
      <c r="M345" s="7"/>
      <c r="N345" s="7"/>
    </row>
    <row r="346" spans="1:14" ht="19.5" customHeight="1" x14ac:dyDescent="0.25">
      <c r="A346" s="7"/>
      <c r="B346" s="7"/>
      <c r="C346" s="13"/>
      <c r="D346" s="13"/>
      <c r="E346" s="7"/>
      <c r="F346" s="7"/>
      <c r="G346" s="7"/>
      <c r="H346" s="7"/>
      <c r="I346" s="7"/>
      <c r="J346" s="7"/>
      <c r="K346" s="7"/>
      <c r="L346" s="7"/>
      <c r="M346" s="7"/>
      <c r="N346" s="7"/>
    </row>
    <row r="347" spans="1:14" ht="19.5" customHeight="1" x14ac:dyDescent="0.25">
      <c r="A347" s="7"/>
      <c r="B347" s="7"/>
      <c r="C347" s="13"/>
      <c r="D347" s="13"/>
      <c r="E347" s="7"/>
      <c r="F347" s="7"/>
      <c r="G347" s="7"/>
      <c r="H347" s="7"/>
      <c r="I347" s="7"/>
      <c r="J347" s="7"/>
      <c r="K347" s="7"/>
      <c r="L347" s="7"/>
      <c r="M347" s="7"/>
      <c r="N347" s="7"/>
    </row>
    <row r="348" spans="1:14" ht="19.5" customHeight="1" x14ac:dyDescent="0.25">
      <c r="A348" s="7"/>
      <c r="B348" s="7"/>
      <c r="C348" s="13"/>
      <c r="D348" s="13"/>
      <c r="E348" s="7"/>
      <c r="F348" s="7"/>
      <c r="G348" s="7"/>
      <c r="H348" s="7"/>
      <c r="I348" s="7"/>
      <c r="J348" s="7"/>
      <c r="K348" s="7"/>
      <c r="L348" s="7"/>
      <c r="M348" s="7"/>
      <c r="N348" s="7"/>
    </row>
    <row r="349" spans="1:14" ht="19.5" customHeight="1" x14ac:dyDescent="0.25">
      <c r="A349" s="7"/>
      <c r="B349" s="7"/>
      <c r="C349" s="13"/>
      <c r="D349" s="13"/>
      <c r="E349" s="7"/>
      <c r="F349" s="7"/>
      <c r="G349" s="7"/>
      <c r="H349" s="7"/>
      <c r="I349" s="7"/>
      <c r="J349" s="7"/>
      <c r="K349" s="7"/>
      <c r="L349" s="7"/>
      <c r="M349" s="7"/>
      <c r="N349" s="7"/>
    </row>
    <row r="350" spans="1:14" ht="19.5" customHeight="1" x14ac:dyDescent="0.25">
      <c r="A350" s="7"/>
      <c r="B350" s="7"/>
      <c r="C350" s="13"/>
      <c r="D350" s="13"/>
      <c r="E350" s="7"/>
      <c r="F350" s="7"/>
      <c r="G350" s="7"/>
      <c r="H350" s="7"/>
      <c r="I350" s="7"/>
      <c r="J350" s="7"/>
      <c r="K350" s="7"/>
      <c r="L350" s="7"/>
      <c r="M350" s="7"/>
      <c r="N350" s="7"/>
    </row>
    <row r="351" spans="1:14" ht="19.5" customHeight="1" x14ac:dyDescent="0.25">
      <c r="A351" s="7"/>
      <c r="B351" s="7"/>
      <c r="C351" s="13"/>
      <c r="D351" s="13"/>
      <c r="E351" s="7"/>
      <c r="F351" s="7"/>
      <c r="G351" s="7"/>
      <c r="H351" s="7"/>
      <c r="I351" s="7"/>
      <c r="J351" s="7"/>
      <c r="K351" s="7"/>
      <c r="L351" s="7"/>
      <c r="M351" s="7"/>
      <c r="N351" s="7"/>
    </row>
    <row r="352" spans="1:14" ht="19.5" customHeight="1" x14ac:dyDescent="0.25">
      <c r="A352" s="7"/>
      <c r="B352" s="7"/>
      <c r="C352" s="13"/>
      <c r="D352" s="13"/>
      <c r="E352" s="7"/>
      <c r="F352" s="7"/>
      <c r="G352" s="7"/>
      <c r="H352" s="7"/>
      <c r="I352" s="7"/>
      <c r="J352" s="7"/>
      <c r="K352" s="7"/>
      <c r="L352" s="7"/>
      <c r="M352" s="7"/>
      <c r="N352" s="7"/>
    </row>
    <row r="353" spans="1:14" ht="19.5" customHeight="1" x14ac:dyDescent="0.25">
      <c r="A353" s="7"/>
      <c r="B353" s="7"/>
      <c r="C353" s="13"/>
      <c r="D353" s="13"/>
      <c r="E353" s="7"/>
      <c r="F353" s="7"/>
      <c r="G353" s="7"/>
      <c r="H353" s="7"/>
      <c r="I353" s="7"/>
      <c r="J353" s="7"/>
      <c r="K353" s="7"/>
      <c r="L353" s="7"/>
      <c r="M353" s="7"/>
      <c r="N353" s="7"/>
    </row>
    <row r="354" spans="1:14" ht="19.5" customHeight="1" x14ac:dyDescent="0.25">
      <c r="A354" s="7"/>
      <c r="B354" s="7"/>
      <c r="C354" s="13"/>
      <c r="D354" s="13"/>
      <c r="E354" s="7"/>
      <c r="F354" s="7"/>
      <c r="G354" s="7"/>
      <c r="H354" s="7"/>
      <c r="I354" s="7"/>
      <c r="J354" s="7"/>
      <c r="K354" s="7"/>
      <c r="L354" s="7"/>
      <c r="M354" s="7"/>
      <c r="N354" s="7"/>
    </row>
    <row r="355" spans="1:14" ht="19.5" customHeight="1" x14ac:dyDescent="0.25">
      <c r="A355" s="7"/>
      <c r="B355" s="7"/>
      <c r="C355" s="13"/>
      <c r="D355" s="13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r="356" spans="1:14" ht="19.5" customHeight="1" x14ac:dyDescent="0.25">
      <c r="A356" s="7"/>
      <c r="B356" s="7"/>
      <c r="C356" s="13"/>
      <c r="D356" s="13"/>
      <c r="E356" s="7"/>
      <c r="F356" s="7"/>
      <c r="G356" s="7"/>
      <c r="H356" s="7"/>
      <c r="I356" s="7"/>
      <c r="J356" s="7"/>
      <c r="K356" s="7"/>
      <c r="L356" s="7"/>
      <c r="M356" s="7"/>
      <c r="N356" s="7"/>
    </row>
    <row r="357" spans="1:14" ht="19.5" customHeight="1" x14ac:dyDescent="0.25">
      <c r="A357" s="7"/>
      <c r="B357" s="7"/>
      <c r="C357" s="13"/>
      <c r="D357" s="13"/>
      <c r="E357" s="7"/>
      <c r="F357" s="7"/>
      <c r="G357" s="7"/>
      <c r="H357" s="7"/>
      <c r="I357" s="7"/>
      <c r="J357" s="7"/>
      <c r="K357" s="7"/>
      <c r="L357" s="7"/>
      <c r="M357" s="7"/>
      <c r="N357" s="7"/>
    </row>
    <row r="358" spans="1:14" ht="19.5" customHeight="1" x14ac:dyDescent="0.25">
      <c r="A358" s="7"/>
      <c r="B358" s="7"/>
      <c r="C358" s="13"/>
      <c r="D358" s="13"/>
      <c r="E358" s="7"/>
      <c r="F358" s="7"/>
      <c r="G358" s="7"/>
      <c r="H358" s="7"/>
      <c r="I358" s="7"/>
      <c r="J358" s="7"/>
      <c r="K358" s="7"/>
      <c r="L358" s="7"/>
      <c r="M358" s="7"/>
      <c r="N358" s="7"/>
    </row>
    <row r="359" spans="1:14" ht="19.5" customHeight="1" x14ac:dyDescent="0.25">
      <c r="A359" s="7"/>
      <c r="B359" s="7"/>
      <c r="C359" s="13"/>
      <c r="D359" s="13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r="360" spans="1:14" ht="19.5" customHeight="1" x14ac:dyDescent="0.25">
      <c r="A360" s="7"/>
      <c r="B360" s="7"/>
      <c r="C360" s="13"/>
      <c r="D360" s="13"/>
      <c r="E360" s="7"/>
      <c r="F360" s="7"/>
      <c r="G360" s="7"/>
      <c r="H360" s="7"/>
      <c r="I360" s="7"/>
      <c r="J360" s="7"/>
      <c r="K360" s="7"/>
      <c r="L360" s="7"/>
      <c r="M360" s="7"/>
      <c r="N360" s="7"/>
    </row>
    <row r="361" spans="1:14" ht="19.5" customHeight="1" x14ac:dyDescent="0.25">
      <c r="A361" s="7"/>
      <c r="B361" s="7"/>
      <c r="C361" s="13"/>
      <c r="D361" s="13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r="362" spans="1:14" ht="19.5" customHeight="1" x14ac:dyDescent="0.25">
      <c r="A362" s="7"/>
      <c r="B362" s="7"/>
      <c r="C362" s="13"/>
      <c r="D362" s="13"/>
      <c r="E362" s="7"/>
      <c r="F362" s="7"/>
      <c r="G362" s="7"/>
      <c r="H362" s="7"/>
      <c r="I362" s="7"/>
      <c r="J362" s="7"/>
      <c r="K362" s="7"/>
      <c r="L362" s="7"/>
      <c r="M362" s="7"/>
      <c r="N362" s="7"/>
    </row>
    <row r="363" spans="1:14" ht="19.5" customHeight="1" x14ac:dyDescent="0.25">
      <c r="A363" s="7"/>
      <c r="B363" s="7"/>
      <c r="C363" s="13"/>
      <c r="D363" s="13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 spans="1:14" ht="19.5" customHeight="1" x14ac:dyDescent="0.25">
      <c r="A364" s="7"/>
      <c r="B364" s="7"/>
      <c r="C364" s="13"/>
      <c r="D364" s="13"/>
      <c r="E364" s="7"/>
      <c r="F364" s="7"/>
      <c r="G364" s="7"/>
      <c r="H364" s="7"/>
      <c r="I364" s="7"/>
      <c r="J364" s="7"/>
      <c r="K364" s="7"/>
      <c r="L364" s="7"/>
      <c r="M364" s="7"/>
      <c r="N364" s="7"/>
    </row>
    <row r="365" spans="1:14" ht="19.5" customHeight="1" x14ac:dyDescent="0.25">
      <c r="A365" s="7"/>
      <c r="B365" s="7"/>
      <c r="C365" s="13"/>
      <c r="D365" s="13"/>
      <c r="E365" s="7"/>
      <c r="F365" s="7"/>
      <c r="G365" s="7"/>
      <c r="H365" s="7"/>
      <c r="I365" s="7"/>
      <c r="J365" s="7"/>
      <c r="K365" s="7"/>
      <c r="L365" s="7"/>
      <c r="M365" s="7"/>
      <c r="N365" s="7"/>
    </row>
    <row r="366" spans="1:14" ht="19.5" customHeight="1" x14ac:dyDescent="0.25">
      <c r="A366" s="7"/>
      <c r="B366" s="7"/>
      <c r="C366" s="13"/>
      <c r="D366" s="13"/>
      <c r="E366" s="7"/>
      <c r="F366" s="7"/>
      <c r="G366" s="7"/>
      <c r="H366" s="7"/>
      <c r="I366" s="7"/>
      <c r="J366" s="7"/>
      <c r="K366" s="7"/>
      <c r="L366" s="7"/>
      <c r="M366" s="7"/>
      <c r="N366" s="7"/>
    </row>
    <row r="367" spans="1:14" ht="19.5" customHeight="1" x14ac:dyDescent="0.25">
      <c r="A367" s="7"/>
      <c r="B367" s="7"/>
      <c r="C367" s="13"/>
      <c r="D367" s="13"/>
      <c r="E367" s="7"/>
      <c r="F367" s="7"/>
      <c r="G367" s="7"/>
      <c r="H367" s="7"/>
      <c r="I367" s="7"/>
      <c r="J367" s="7"/>
      <c r="K367" s="7"/>
      <c r="L367" s="7"/>
      <c r="M367" s="7"/>
      <c r="N367" s="7"/>
    </row>
    <row r="368" spans="1:14" ht="19.5" customHeight="1" x14ac:dyDescent="0.25">
      <c r="A368" s="7"/>
      <c r="B368" s="7"/>
      <c r="C368" s="13"/>
      <c r="D368" s="13"/>
      <c r="E368" s="7"/>
      <c r="F368" s="7"/>
      <c r="G368" s="7"/>
      <c r="H368" s="7"/>
      <c r="I368" s="7"/>
      <c r="J368" s="7"/>
      <c r="K368" s="7"/>
      <c r="L368" s="7"/>
      <c r="M368" s="7"/>
      <c r="N368" s="7"/>
    </row>
    <row r="369" spans="1:14" ht="19.5" customHeight="1" x14ac:dyDescent="0.25">
      <c r="A369" s="7"/>
      <c r="B369" s="7"/>
      <c r="C369" s="13"/>
      <c r="D369" s="13"/>
      <c r="E369" s="7"/>
      <c r="F369" s="7"/>
      <c r="G369" s="7"/>
      <c r="H369" s="7"/>
      <c r="I369" s="7"/>
      <c r="J369" s="7"/>
      <c r="K369" s="7"/>
      <c r="L369" s="7"/>
      <c r="M369" s="7"/>
      <c r="N369" s="7"/>
    </row>
    <row r="370" spans="1:14" ht="19.5" customHeight="1" x14ac:dyDescent="0.25">
      <c r="A370" s="7"/>
      <c r="B370" s="7"/>
      <c r="C370" s="13"/>
      <c r="D370" s="13"/>
      <c r="E370" s="7"/>
      <c r="F370" s="7"/>
      <c r="G370" s="7"/>
      <c r="H370" s="7"/>
      <c r="I370" s="7"/>
      <c r="J370" s="7"/>
      <c r="K370" s="7"/>
      <c r="L370" s="7"/>
      <c r="M370" s="7"/>
      <c r="N370" s="7"/>
    </row>
    <row r="371" spans="1:14" ht="19.5" customHeight="1" x14ac:dyDescent="0.25">
      <c r="A371" s="7"/>
      <c r="B371" s="7"/>
      <c r="C371" s="13"/>
      <c r="D371" s="13"/>
      <c r="E371" s="7"/>
      <c r="F371" s="7"/>
      <c r="G371" s="7"/>
      <c r="H371" s="7"/>
      <c r="I371" s="7"/>
      <c r="J371" s="7"/>
      <c r="K371" s="7"/>
      <c r="L371" s="7"/>
      <c r="M371" s="7"/>
      <c r="N371" s="7"/>
    </row>
    <row r="372" spans="1:14" ht="19.5" customHeight="1" x14ac:dyDescent="0.25">
      <c r="A372" s="7"/>
      <c r="B372" s="7"/>
      <c r="C372" s="13"/>
      <c r="D372" s="13"/>
      <c r="E372" s="7"/>
      <c r="F372" s="7"/>
      <c r="G372" s="7"/>
      <c r="H372" s="7"/>
      <c r="I372" s="7"/>
      <c r="J372" s="7"/>
      <c r="K372" s="7"/>
      <c r="L372" s="7"/>
      <c r="M372" s="7"/>
      <c r="N372" s="7"/>
    </row>
    <row r="373" spans="1:14" ht="19.5" customHeight="1" x14ac:dyDescent="0.25">
      <c r="A373" s="7"/>
      <c r="B373" s="7"/>
      <c r="C373" s="13"/>
      <c r="D373" s="13"/>
      <c r="E373" s="7"/>
      <c r="F373" s="7"/>
      <c r="G373" s="7"/>
      <c r="H373" s="7"/>
      <c r="I373" s="7"/>
      <c r="J373" s="7"/>
      <c r="K373" s="7"/>
      <c r="L373" s="7"/>
      <c r="M373" s="7"/>
      <c r="N373" s="7"/>
    </row>
    <row r="374" spans="1:14" ht="19.5" customHeight="1" x14ac:dyDescent="0.25">
      <c r="A374" s="7"/>
      <c r="B374" s="7"/>
      <c r="C374" s="13"/>
      <c r="D374" s="13"/>
      <c r="E374" s="7"/>
      <c r="F374" s="7"/>
      <c r="G374" s="7"/>
      <c r="H374" s="7"/>
      <c r="I374" s="7"/>
      <c r="J374" s="7"/>
      <c r="K374" s="7"/>
      <c r="L374" s="7"/>
      <c r="M374" s="7"/>
      <c r="N374" s="7"/>
    </row>
    <row r="375" spans="1:14" ht="19.5" customHeight="1" x14ac:dyDescent="0.25">
      <c r="A375" s="7"/>
      <c r="B375" s="7"/>
      <c r="C375" s="13"/>
      <c r="D375" s="13"/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r="376" spans="1:14" ht="19.5" customHeight="1" x14ac:dyDescent="0.25">
      <c r="A376" s="7"/>
      <c r="B376" s="7"/>
      <c r="C376" s="13"/>
      <c r="D376" s="13"/>
      <c r="E376" s="7"/>
      <c r="F376" s="7"/>
      <c r="G376" s="7"/>
      <c r="H376" s="7"/>
      <c r="I376" s="7"/>
      <c r="J376" s="7"/>
      <c r="K376" s="7"/>
      <c r="L376" s="7"/>
      <c r="M376" s="7"/>
      <c r="N376" s="7"/>
    </row>
    <row r="377" spans="1:14" ht="19.5" customHeight="1" x14ac:dyDescent="0.25">
      <c r="A377" s="7"/>
      <c r="B377" s="7"/>
      <c r="C377" s="13"/>
      <c r="D377" s="13"/>
      <c r="E377" s="7"/>
      <c r="F377" s="7"/>
      <c r="G377" s="7"/>
      <c r="H377" s="7"/>
      <c r="I377" s="7"/>
      <c r="J377" s="7"/>
      <c r="K377" s="7"/>
      <c r="L377" s="7"/>
      <c r="M377" s="7"/>
      <c r="N377" s="7"/>
    </row>
    <row r="378" spans="1:14" ht="19.5" customHeight="1" x14ac:dyDescent="0.25">
      <c r="A378" s="7"/>
      <c r="B378" s="7"/>
      <c r="C378" s="13"/>
      <c r="D378" s="13"/>
      <c r="E378" s="7"/>
      <c r="F378" s="7"/>
      <c r="G378" s="7"/>
      <c r="H378" s="7"/>
      <c r="I378" s="7"/>
      <c r="J378" s="7"/>
      <c r="K378" s="7"/>
      <c r="L378" s="7"/>
      <c r="M378" s="7"/>
      <c r="N378" s="7"/>
    </row>
    <row r="379" spans="1:14" ht="19.5" customHeight="1" x14ac:dyDescent="0.25">
      <c r="A379" s="7"/>
      <c r="B379" s="7"/>
      <c r="C379" s="13"/>
      <c r="D379" s="13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r="380" spans="1:14" ht="19.5" customHeight="1" x14ac:dyDescent="0.25">
      <c r="A380" s="7"/>
      <c r="B380" s="7"/>
      <c r="C380" s="13"/>
      <c r="D380" s="13"/>
      <c r="E380" s="7"/>
      <c r="F380" s="7"/>
      <c r="G380" s="7"/>
      <c r="H380" s="7"/>
      <c r="I380" s="7"/>
      <c r="J380" s="7"/>
      <c r="K380" s="7"/>
      <c r="L380" s="7"/>
      <c r="M380" s="7"/>
      <c r="N380" s="7"/>
    </row>
    <row r="381" spans="1:14" ht="19.5" customHeight="1" x14ac:dyDescent="0.25">
      <c r="A381" s="7"/>
      <c r="B381" s="7"/>
      <c r="C381" s="13"/>
      <c r="D381" s="13"/>
      <c r="E381" s="7"/>
      <c r="F381" s="7"/>
      <c r="G381" s="7"/>
      <c r="H381" s="7"/>
      <c r="I381" s="7"/>
      <c r="J381" s="7"/>
      <c r="K381" s="7"/>
      <c r="L381" s="7"/>
      <c r="M381" s="7"/>
      <c r="N381" s="7"/>
    </row>
    <row r="382" spans="1:14" ht="19.5" customHeight="1" x14ac:dyDescent="0.25">
      <c r="A382" s="7"/>
      <c r="B382" s="7"/>
      <c r="C382" s="13"/>
      <c r="D382" s="13"/>
      <c r="E382" s="7"/>
      <c r="F382" s="7"/>
      <c r="G382" s="7"/>
      <c r="H382" s="7"/>
      <c r="I382" s="7"/>
      <c r="J382" s="7"/>
      <c r="K382" s="7"/>
      <c r="L382" s="7"/>
      <c r="M382" s="7"/>
      <c r="N382" s="7"/>
    </row>
    <row r="383" spans="1:14" ht="19.5" customHeight="1" x14ac:dyDescent="0.25">
      <c r="A383" s="7"/>
      <c r="B383" s="7"/>
      <c r="C383" s="13"/>
      <c r="D383" s="13"/>
      <c r="E383" s="7"/>
      <c r="F383" s="7"/>
      <c r="G383" s="7"/>
      <c r="H383" s="7"/>
      <c r="I383" s="7"/>
      <c r="J383" s="7"/>
      <c r="K383" s="7"/>
      <c r="L383" s="7"/>
      <c r="M383" s="7"/>
      <c r="N383" s="7"/>
    </row>
    <row r="384" spans="1:14" ht="19.5" customHeight="1" x14ac:dyDescent="0.25">
      <c r="A384" s="7"/>
      <c r="B384" s="7"/>
      <c r="C384" s="13"/>
      <c r="D384" s="13"/>
      <c r="E384" s="7"/>
      <c r="F384" s="7"/>
      <c r="G384" s="7"/>
      <c r="H384" s="7"/>
      <c r="I384" s="7"/>
      <c r="J384" s="7"/>
      <c r="K384" s="7"/>
      <c r="L384" s="7"/>
      <c r="M384" s="7"/>
      <c r="N384" s="7"/>
    </row>
    <row r="385" spans="1:14" ht="19.5" customHeight="1" x14ac:dyDescent="0.25">
      <c r="A385" s="7"/>
      <c r="B385" s="7"/>
      <c r="C385" s="13"/>
      <c r="D385" s="13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r="386" spans="1:14" ht="19.5" customHeight="1" x14ac:dyDescent="0.25">
      <c r="A386" s="7"/>
      <c r="B386" s="7"/>
      <c r="C386" s="13"/>
      <c r="D386" s="13"/>
      <c r="E386" s="7"/>
      <c r="F386" s="7"/>
      <c r="G386" s="7"/>
      <c r="H386" s="7"/>
      <c r="I386" s="7"/>
      <c r="J386" s="7"/>
      <c r="K386" s="7"/>
      <c r="L386" s="7"/>
      <c r="M386" s="7"/>
      <c r="N386" s="7"/>
    </row>
    <row r="387" spans="1:14" ht="19.5" customHeight="1" x14ac:dyDescent="0.25">
      <c r="A387" s="7"/>
      <c r="B387" s="7"/>
      <c r="C387" s="13"/>
      <c r="D387" s="13"/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r="388" spans="1:14" ht="19.5" customHeight="1" x14ac:dyDescent="0.25">
      <c r="A388" s="7"/>
      <c r="B388" s="7"/>
      <c r="C388" s="13"/>
      <c r="D388" s="13"/>
      <c r="E388" s="7"/>
      <c r="F388" s="7"/>
      <c r="G388" s="7"/>
      <c r="H388" s="7"/>
      <c r="I388" s="7"/>
      <c r="J388" s="7"/>
      <c r="K388" s="7"/>
      <c r="L388" s="7"/>
      <c r="M388" s="7"/>
      <c r="N388" s="7"/>
    </row>
    <row r="389" spans="1:14" ht="19.5" customHeight="1" x14ac:dyDescent="0.25">
      <c r="A389" s="7"/>
      <c r="B389" s="7"/>
      <c r="C389" s="13"/>
      <c r="D389" s="13"/>
      <c r="E389" s="7"/>
      <c r="F389" s="7"/>
      <c r="G389" s="7"/>
      <c r="H389" s="7"/>
      <c r="I389" s="7"/>
      <c r="J389" s="7"/>
      <c r="K389" s="7"/>
      <c r="L389" s="7"/>
      <c r="M389" s="7"/>
      <c r="N389" s="7"/>
    </row>
    <row r="390" spans="1:14" ht="19.5" customHeight="1" x14ac:dyDescent="0.25">
      <c r="A390" s="7"/>
      <c r="B390" s="7"/>
      <c r="C390" s="13"/>
      <c r="D390" s="13"/>
      <c r="E390" s="7"/>
      <c r="F390" s="7"/>
      <c r="G390" s="7"/>
      <c r="H390" s="7"/>
      <c r="I390" s="7"/>
      <c r="J390" s="7"/>
      <c r="K390" s="7"/>
      <c r="L390" s="7"/>
      <c r="M390" s="7"/>
      <c r="N390" s="7"/>
    </row>
    <row r="391" spans="1:14" ht="19.5" customHeight="1" x14ac:dyDescent="0.25">
      <c r="A391" s="7"/>
      <c r="B391" s="7"/>
      <c r="C391" s="13"/>
      <c r="D391" s="13"/>
      <c r="E391" s="7"/>
      <c r="F391" s="7"/>
      <c r="G391" s="7"/>
      <c r="H391" s="7"/>
      <c r="I391" s="7"/>
      <c r="J391" s="7"/>
      <c r="K391" s="7"/>
      <c r="L391" s="7"/>
      <c r="M391" s="7"/>
      <c r="N391" s="7"/>
    </row>
    <row r="392" spans="1:14" ht="19.5" customHeight="1" x14ac:dyDescent="0.25">
      <c r="A392" s="7"/>
      <c r="B392" s="7"/>
      <c r="C392" s="13"/>
      <c r="D392" s="13"/>
      <c r="E392" s="7"/>
      <c r="F392" s="7"/>
      <c r="G392" s="7"/>
      <c r="H392" s="7"/>
      <c r="I392" s="7"/>
      <c r="J392" s="7"/>
      <c r="K392" s="7"/>
      <c r="L392" s="7"/>
      <c r="M392" s="7"/>
      <c r="N392" s="7"/>
    </row>
    <row r="393" spans="1:14" ht="19.5" customHeight="1" x14ac:dyDescent="0.25">
      <c r="A393" s="7"/>
      <c r="B393" s="7"/>
      <c r="C393" s="13"/>
      <c r="D393" s="13"/>
      <c r="E393" s="7"/>
      <c r="F393" s="7"/>
      <c r="G393" s="7"/>
      <c r="H393" s="7"/>
      <c r="I393" s="7"/>
      <c r="J393" s="7"/>
      <c r="K393" s="7"/>
      <c r="L393" s="7"/>
      <c r="M393" s="7"/>
      <c r="N393" s="7"/>
    </row>
    <row r="394" spans="1:14" ht="19.5" customHeight="1" x14ac:dyDescent="0.25">
      <c r="A394" s="7"/>
      <c r="B394" s="7"/>
      <c r="C394" s="13"/>
      <c r="D394" s="13"/>
      <c r="E394" s="7"/>
      <c r="F394" s="7"/>
      <c r="G394" s="7"/>
      <c r="H394" s="7"/>
      <c r="I394" s="7"/>
      <c r="J394" s="7"/>
      <c r="K394" s="7"/>
      <c r="L394" s="7"/>
      <c r="M394" s="7"/>
      <c r="N394" s="7"/>
    </row>
    <row r="395" spans="1:14" ht="19.5" customHeight="1" x14ac:dyDescent="0.25">
      <c r="A395" s="7"/>
      <c r="B395" s="7"/>
      <c r="C395" s="13"/>
      <c r="D395" s="13"/>
      <c r="E395" s="7"/>
      <c r="F395" s="7"/>
      <c r="G395" s="7"/>
      <c r="H395" s="7"/>
      <c r="I395" s="7"/>
      <c r="J395" s="7"/>
      <c r="K395" s="7"/>
      <c r="L395" s="7"/>
      <c r="M395" s="7"/>
      <c r="N395" s="7"/>
    </row>
    <row r="396" spans="1:14" ht="19.5" customHeight="1" x14ac:dyDescent="0.25">
      <c r="A396" s="7"/>
      <c r="B396" s="7"/>
      <c r="C396" s="13"/>
      <c r="D396" s="13"/>
      <c r="E396" s="7"/>
      <c r="F396" s="7"/>
      <c r="G396" s="7"/>
      <c r="H396" s="7"/>
      <c r="I396" s="7"/>
      <c r="J396" s="7"/>
      <c r="K396" s="7"/>
      <c r="L396" s="7"/>
      <c r="M396" s="7"/>
      <c r="N396" s="7"/>
    </row>
    <row r="397" spans="1:14" ht="19.5" customHeight="1" x14ac:dyDescent="0.25">
      <c r="A397" s="7"/>
      <c r="B397" s="7"/>
      <c r="C397" s="13"/>
      <c r="D397" s="13"/>
      <c r="E397" s="7"/>
      <c r="F397" s="7"/>
      <c r="G397" s="7"/>
      <c r="H397" s="7"/>
      <c r="I397" s="7"/>
      <c r="J397" s="7"/>
      <c r="K397" s="7"/>
      <c r="L397" s="7"/>
      <c r="M397" s="7"/>
      <c r="N397" s="7"/>
    </row>
    <row r="398" spans="1:14" ht="19.5" customHeight="1" x14ac:dyDescent="0.25">
      <c r="A398" s="7"/>
      <c r="B398" s="7"/>
      <c r="C398" s="13"/>
      <c r="D398" s="13"/>
      <c r="E398" s="7"/>
      <c r="F398" s="7"/>
      <c r="G398" s="7"/>
      <c r="H398" s="7"/>
      <c r="I398" s="7"/>
      <c r="J398" s="7"/>
      <c r="K398" s="7"/>
      <c r="L398" s="7"/>
      <c r="M398" s="7"/>
      <c r="N398" s="7"/>
    </row>
    <row r="399" spans="1:14" ht="19.5" customHeight="1" x14ac:dyDescent="0.25">
      <c r="A399" s="7"/>
      <c r="B399" s="7"/>
      <c r="C399" s="13"/>
      <c r="D399" s="13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 spans="1:14" ht="19.5" customHeight="1" x14ac:dyDescent="0.25">
      <c r="A400" s="7"/>
      <c r="B400" s="7"/>
      <c r="C400" s="13"/>
      <c r="D400" s="13"/>
      <c r="E400" s="7"/>
      <c r="F400" s="7"/>
      <c r="G400" s="7"/>
      <c r="H400" s="7"/>
      <c r="I400" s="7"/>
      <c r="J400" s="7"/>
      <c r="K400" s="7"/>
      <c r="L400" s="7"/>
      <c r="M400" s="7"/>
      <c r="N400" s="7"/>
    </row>
    <row r="401" spans="1:14" ht="19.5" customHeight="1" x14ac:dyDescent="0.25">
      <c r="A401" s="7"/>
      <c r="B401" s="7"/>
      <c r="C401" s="13"/>
      <c r="D401" s="13"/>
      <c r="E401" s="7"/>
      <c r="F401" s="7"/>
      <c r="G401" s="7"/>
      <c r="H401" s="7"/>
      <c r="I401" s="7"/>
      <c r="J401" s="7"/>
      <c r="K401" s="7"/>
      <c r="L401" s="7"/>
      <c r="M401" s="7"/>
      <c r="N401" s="7"/>
    </row>
    <row r="402" spans="1:14" ht="19.5" customHeight="1" x14ac:dyDescent="0.25">
      <c r="A402" s="7"/>
      <c r="B402" s="7"/>
      <c r="C402" s="13"/>
      <c r="D402" s="13"/>
      <c r="E402" s="7"/>
      <c r="F402" s="7"/>
      <c r="G402" s="7"/>
      <c r="H402" s="7"/>
      <c r="I402" s="7"/>
      <c r="J402" s="7"/>
      <c r="K402" s="7"/>
      <c r="L402" s="7"/>
      <c r="M402" s="7"/>
      <c r="N402" s="7"/>
    </row>
    <row r="403" spans="1:14" ht="19.5" customHeight="1" x14ac:dyDescent="0.25">
      <c r="A403" s="7"/>
      <c r="B403" s="7"/>
      <c r="C403" s="13"/>
      <c r="D403" s="13"/>
      <c r="E403" s="7"/>
      <c r="F403" s="7"/>
      <c r="G403" s="7"/>
      <c r="H403" s="7"/>
      <c r="I403" s="7"/>
      <c r="J403" s="7"/>
      <c r="K403" s="7"/>
      <c r="L403" s="7"/>
      <c r="M403" s="7"/>
      <c r="N403" s="7"/>
    </row>
    <row r="404" spans="1:14" ht="19.5" customHeight="1" x14ac:dyDescent="0.25">
      <c r="A404" s="7"/>
      <c r="B404" s="7"/>
      <c r="C404" s="13"/>
      <c r="D404" s="13"/>
      <c r="E404" s="7"/>
      <c r="F404" s="7"/>
      <c r="G404" s="7"/>
      <c r="H404" s="7"/>
      <c r="I404" s="7"/>
      <c r="J404" s="7"/>
      <c r="K404" s="7"/>
      <c r="L404" s="7"/>
      <c r="M404" s="7"/>
      <c r="N404" s="7"/>
    </row>
    <row r="405" spans="1:14" ht="19.5" customHeight="1" x14ac:dyDescent="0.25">
      <c r="A405" s="7"/>
      <c r="B405" s="7"/>
      <c r="C405" s="13"/>
      <c r="D405" s="13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r="406" spans="1:14" ht="19.5" customHeight="1" x14ac:dyDescent="0.25">
      <c r="A406" s="7"/>
      <c r="B406" s="7"/>
      <c r="C406" s="13"/>
      <c r="D406" s="13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r="407" spans="1:14" ht="19.5" customHeight="1" x14ac:dyDescent="0.25">
      <c r="A407" s="7"/>
      <c r="B407" s="7"/>
      <c r="C407" s="13"/>
      <c r="D407" s="13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 spans="1:14" ht="19.5" customHeight="1" x14ac:dyDescent="0.25">
      <c r="A408" s="7"/>
      <c r="B408" s="7"/>
      <c r="C408" s="13"/>
      <c r="D408" s="13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r="409" spans="1:14" ht="19.5" customHeight="1" x14ac:dyDescent="0.25">
      <c r="A409" s="7"/>
      <c r="B409" s="7"/>
      <c r="C409" s="13"/>
      <c r="D409" s="13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r="410" spans="1:14" ht="19.5" customHeight="1" x14ac:dyDescent="0.25">
      <c r="A410" s="7"/>
      <c r="B410" s="7"/>
      <c r="C410" s="13"/>
      <c r="D410" s="13"/>
      <c r="E410" s="7"/>
      <c r="F410" s="7"/>
      <c r="G410" s="7"/>
      <c r="H410" s="7"/>
      <c r="I410" s="7"/>
      <c r="J410" s="7"/>
      <c r="K410" s="7"/>
      <c r="L410" s="7"/>
      <c r="M410" s="7"/>
      <c r="N410" s="7"/>
    </row>
    <row r="411" spans="1:14" ht="19.5" customHeight="1" x14ac:dyDescent="0.25">
      <c r="A411" s="7"/>
      <c r="B411" s="7"/>
      <c r="C411" s="13"/>
      <c r="D411" s="13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 spans="1:14" ht="19.5" customHeight="1" x14ac:dyDescent="0.25">
      <c r="A412" s="7"/>
      <c r="B412" s="7"/>
      <c r="C412" s="13"/>
      <c r="D412" s="13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r="413" spans="1:14" ht="19.5" customHeight="1" x14ac:dyDescent="0.25">
      <c r="A413" s="7"/>
      <c r="B413" s="7"/>
      <c r="C413" s="13"/>
      <c r="D413" s="13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r="414" spans="1:14" ht="19.5" customHeight="1" x14ac:dyDescent="0.25">
      <c r="A414" s="7"/>
      <c r="B414" s="7"/>
      <c r="C414" s="13"/>
      <c r="D414" s="13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 spans="1:14" ht="19.5" customHeight="1" x14ac:dyDescent="0.25">
      <c r="A415" s="7"/>
      <c r="B415" s="7"/>
      <c r="C415" s="13"/>
      <c r="D415" s="13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 spans="1:14" ht="19.5" customHeight="1" x14ac:dyDescent="0.25">
      <c r="A416" s="7"/>
      <c r="B416" s="7"/>
      <c r="C416" s="13"/>
      <c r="D416" s="13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r="417" spans="1:14" ht="19.5" customHeight="1" x14ac:dyDescent="0.25">
      <c r="A417" s="7"/>
      <c r="B417" s="7"/>
      <c r="C417" s="13"/>
      <c r="D417" s="13"/>
      <c r="E417" s="7"/>
      <c r="F417" s="7"/>
      <c r="G417" s="7"/>
      <c r="H417" s="7"/>
      <c r="I417" s="7"/>
      <c r="J417" s="7"/>
      <c r="K417" s="7"/>
      <c r="L417" s="7"/>
      <c r="M417" s="7"/>
      <c r="N417" s="7"/>
    </row>
    <row r="418" spans="1:14" ht="19.5" customHeight="1" x14ac:dyDescent="0.25">
      <c r="A418" s="7"/>
      <c r="B418" s="7"/>
      <c r="C418" s="13"/>
      <c r="D418" s="13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r="419" spans="1:14" ht="19.5" customHeight="1" x14ac:dyDescent="0.25">
      <c r="A419" s="7"/>
      <c r="B419" s="7"/>
      <c r="C419" s="13"/>
      <c r="D419" s="13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r="420" spans="1:14" ht="19.5" customHeight="1" x14ac:dyDescent="0.25">
      <c r="A420" s="7"/>
      <c r="B420" s="7"/>
      <c r="C420" s="13"/>
      <c r="D420" s="13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r="421" spans="1:14" ht="19.5" customHeight="1" x14ac:dyDescent="0.25">
      <c r="A421" s="7"/>
      <c r="B421" s="7"/>
      <c r="C421" s="13"/>
      <c r="D421" s="13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r="422" spans="1:14" ht="19.5" customHeight="1" x14ac:dyDescent="0.25">
      <c r="A422" s="7"/>
      <c r="B422" s="7"/>
      <c r="C422" s="13"/>
      <c r="D422" s="13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r="423" spans="1:14" ht="19.5" customHeight="1" x14ac:dyDescent="0.25">
      <c r="A423" s="7"/>
      <c r="B423" s="7"/>
      <c r="C423" s="13"/>
      <c r="D423" s="13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 spans="1:14" ht="19.5" customHeight="1" x14ac:dyDescent="0.25">
      <c r="A424" s="7"/>
      <c r="B424" s="7"/>
      <c r="C424" s="13"/>
      <c r="D424" s="13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r="425" spans="1:14" ht="19.5" customHeight="1" x14ac:dyDescent="0.25">
      <c r="A425" s="7"/>
      <c r="B425" s="7"/>
      <c r="C425" s="13"/>
      <c r="D425" s="13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r="426" spans="1:14" ht="19.5" customHeight="1" x14ac:dyDescent="0.25">
      <c r="A426" s="7"/>
      <c r="B426" s="7"/>
      <c r="C426" s="13"/>
      <c r="D426" s="13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r="427" spans="1:14" ht="19.5" customHeight="1" x14ac:dyDescent="0.25">
      <c r="A427" s="7"/>
      <c r="B427" s="7"/>
      <c r="C427" s="13"/>
      <c r="D427" s="13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 spans="1:14" ht="19.5" customHeight="1" x14ac:dyDescent="0.25">
      <c r="A428" s="7"/>
      <c r="B428" s="7"/>
      <c r="C428" s="13"/>
      <c r="D428" s="13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r="429" spans="1:14" ht="19.5" customHeight="1" x14ac:dyDescent="0.25">
      <c r="A429" s="7"/>
      <c r="B429" s="7"/>
      <c r="C429" s="13"/>
      <c r="D429" s="13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 spans="1:14" ht="19.5" customHeight="1" x14ac:dyDescent="0.25">
      <c r="A430" s="7"/>
      <c r="B430" s="7"/>
      <c r="C430" s="13"/>
      <c r="D430" s="13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r="431" spans="1:14" ht="19.5" customHeight="1" x14ac:dyDescent="0.25">
      <c r="A431" s="7"/>
      <c r="B431" s="7"/>
      <c r="C431" s="13"/>
      <c r="D431" s="13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r="432" spans="1:14" ht="19.5" customHeight="1" x14ac:dyDescent="0.25">
      <c r="A432" s="7"/>
      <c r="B432" s="7"/>
      <c r="C432" s="13"/>
      <c r="D432" s="13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r="433" spans="1:14" ht="19.5" customHeight="1" x14ac:dyDescent="0.25">
      <c r="A433" s="7"/>
      <c r="B433" s="7"/>
      <c r="C433" s="13"/>
      <c r="D433" s="13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 spans="1:14" ht="19.5" customHeight="1" x14ac:dyDescent="0.25">
      <c r="A434" s="7"/>
      <c r="B434" s="7"/>
      <c r="C434" s="13"/>
      <c r="D434" s="13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r="435" spans="1:14" ht="19.5" customHeight="1" x14ac:dyDescent="0.25">
      <c r="A435" s="7"/>
      <c r="B435" s="7"/>
      <c r="C435" s="13"/>
      <c r="D435" s="13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 spans="1:14" ht="19.5" customHeight="1" x14ac:dyDescent="0.25">
      <c r="A436" s="7"/>
      <c r="B436" s="7"/>
      <c r="C436" s="13"/>
      <c r="D436" s="13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r="437" spans="1:14" ht="19.5" customHeight="1" x14ac:dyDescent="0.25">
      <c r="A437" s="7"/>
      <c r="B437" s="7"/>
      <c r="C437" s="13"/>
      <c r="D437" s="13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r="438" spans="1:14" ht="19.5" customHeight="1" x14ac:dyDescent="0.25">
      <c r="A438" s="7"/>
      <c r="B438" s="7"/>
      <c r="C438" s="13"/>
      <c r="D438" s="13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r="439" spans="1:14" ht="19.5" customHeight="1" x14ac:dyDescent="0.25">
      <c r="A439" s="7"/>
      <c r="B439" s="7"/>
      <c r="C439" s="13"/>
      <c r="D439" s="13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r="440" spans="1:14" ht="19.5" customHeight="1" x14ac:dyDescent="0.25">
      <c r="A440" s="7"/>
      <c r="B440" s="7"/>
      <c r="C440" s="13"/>
      <c r="D440" s="13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r="441" spans="1:14" ht="19.5" customHeight="1" x14ac:dyDescent="0.25">
      <c r="A441" s="7"/>
      <c r="B441" s="7"/>
      <c r="C441" s="13"/>
      <c r="D441" s="13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 spans="1:14" ht="19.5" customHeight="1" x14ac:dyDescent="0.25">
      <c r="A442" s="7"/>
      <c r="B442" s="7"/>
      <c r="C442" s="13"/>
      <c r="D442" s="13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r="443" spans="1:14" ht="19.5" customHeight="1" x14ac:dyDescent="0.25">
      <c r="A443" s="7"/>
      <c r="B443" s="7"/>
      <c r="C443" s="13"/>
      <c r="D443" s="13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r="444" spans="1:14" ht="19.5" customHeight="1" x14ac:dyDescent="0.25">
      <c r="A444" s="7"/>
      <c r="B444" s="7"/>
      <c r="C444" s="13"/>
      <c r="D444" s="13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r="445" spans="1:14" ht="19.5" customHeight="1" x14ac:dyDescent="0.25">
      <c r="A445" s="7"/>
      <c r="B445" s="7"/>
      <c r="C445" s="13"/>
      <c r="D445" s="13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r="446" spans="1:14" ht="19.5" customHeight="1" x14ac:dyDescent="0.25">
      <c r="A446" s="7"/>
      <c r="B446" s="7"/>
      <c r="C446" s="13"/>
      <c r="D446" s="13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r="447" spans="1:14" ht="19.5" customHeight="1" x14ac:dyDescent="0.25">
      <c r="A447" s="7"/>
      <c r="B447" s="7"/>
      <c r="C447" s="13"/>
      <c r="D447" s="13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 spans="1:14" ht="19.5" customHeight="1" x14ac:dyDescent="0.25">
      <c r="A448" s="7"/>
      <c r="B448" s="7"/>
      <c r="C448" s="13"/>
      <c r="D448" s="13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r="449" spans="1:14" ht="19.5" customHeight="1" x14ac:dyDescent="0.25">
      <c r="A449" s="7"/>
      <c r="B449" s="7"/>
      <c r="C449" s="13"/>
      <c r="D449" s="13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r="450" spans="1:14" ht="19.5" customHeight="1" x14ac:dyDescent="0.25">
      <c r="A450" s="7"/>
      <c r="B450" s="7"/>
      <c r="C450" s="13"/>
      <c r="D450" s="13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r="451" spans="1:14" ht="19.5" customHeight="1" x14ac:dyDescent="0.25">
      <c r="A451" s="7"/>
      <c r="B451" s="7"/>
      <c r="C451" s="13"/>
      <c r="D451" s="13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r="452" spans="1:14" ht="19.5" customHeight="1" x14ac:dyDescent="0.25">
      <c r="A452" s="7"/>
      <c r="B452" s="7"/>
      <c r="C452" s="13"/>
      <c r="D452" s="13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r="453" spans="1:14" ht="19.5" customHeight="1" x14ac:dyDescent="0.25">
      <c r="A453" s="7"/>
      <c r="B453" s="7"/>
      <c r="C453" s="13"/>
      <c r="D453" s="13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r="454" spans="1:14" ht="19.5" customHeight="1" x14ac:dyDescent="0.25">
      <c r="A454" s="7"/>
      <c r="B454" s="7"/>
      <c r="C454" s="13"/>
      <c r="D454" s="13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r="455" spans="1:14" ht="19.5" customHeight="1" x14ac:dyDescent="0.25">
      <c r="A455" s="7"/>
      <c r="B455" s="7"/>
      <c r="C455" s="13"/>
      <c r="D455" s="13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 spans="1:14" ht="19.5" customHeight="1" x14ac:dyDescent="0.25">
      <c r="A456" s="7"/>
      <c r="B456" s="7"/>
      <c r="C456" s="13"/>
      <c r="D456" s="13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 spans="1:14" ht="19.5" customHeight="1" x14ac:dyDescent="0.25">
      <c r="A457" s="7"/>
      <c r="B457" s="7"/>
      <c r="C457" s="13"/>
      <c r="D457" s="13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r="458" spans="1:14" ht="19.5" customHeight="1" x14ac:dyDescent="0.25">
      <c r="A458" s="7"/>
      <c r="B458" s="7"/>
      <c r="C458" s="13"/>
      <c r="D458" s="13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 spans="1:14" ht="19.5" customHeight="1" x14ac:dyDescent="0.25">
      <c r="A459" s="7"/>
      <c r="B459" s="7"/>
      <c r="C459" s="13"/>
      <c r="D459" s="13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 spans="1:14" ht="19.5" customHeight="1" x14ac:dyDescent="0.25">
      <c r="A460" s="7"/>
      <c r="B460" s="7"/>
      <c r="C460" s="13"/>
      <c r="D460" s="13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 spans="1:14" ht="19.5" customHeight="1" x14ac:dyDescent="0.25">
      <c r="A461" s="7"/>
      <c r="B461" s="7"/>
      <c r="C461" s="13"/>
      <c r="D461" s="13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 spans="1:14" ht="19.5" customHeight="1" x14ac:dyDescent="0.25">
      <c r="A462" s="7"/>
      <c r="B462" s="7"/>
      <c r="C462" s="13"/>
      <c r="D462" s="13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r="463" spans="1:14" ht="19.5" customHeight="1" x14ac:dyDescent="0.25">
      <c r="A463" s="7"/>
      <c r="B463" s="7"/>
      <c r="C463" s="13"/>
      <c r="D463" s="13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r="464" spans="1:14" ht="19.5" customHeight="1" x14ac:dyDescent="0.25">
      <c r="A464" s="7"/>
      <c r="B464" s="7"/>
      <c r="C464" s="13"/>
      <c r="D464" s="13"/>
      <c r="E464" s="7"/>
      <c r="F464" s="7"/>
      <c r="G464" s="7"/>
      <c r="H464" s="7"/>
      <c r="I464" s="7"/>
      <c r="J464" s="7"/>
      <c r="K464" s="7"/>
      <c r="L464" s="7"/>
      <c r="M464" s="7"/>
      <c r="N464" s="7"/>
    </row>
    <row r="465" spans="1:14" ht="19.5" customHeight="1" x14ac:dyDescent="0.25">
      <c r="A465" s="7"/>
      <c r="B465" s="7"/>
      <c r="C465" s="13"/>
      <c r="D465" s="13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r="466" spans="1:14" ht="19.5" customHeight="1" x14ac:dyDescent="0.25">
      <c r="A466" s="7"/>
      <c r="B466" s="7"/>
      <c r="C466" s="13"/>
      <c r="D466" s="13"/>
      <c r="E466" s="7"/>
      <c r="F466" s="7"/>
      <c r="G466" s="7"/>
      <c r="H466" s="7"/>
      <c r="I466" s="7"/>
      <c r="J466" s="7"/>
      <c r="K466" s="7"/>
      <c r="L466" s="7"/>
      <c r="M466" s="7"/>
      <c r="N466" s="7"/>
    </row>
    <row r="467" spans="1:14" ht="19.5" customHeight="1" x14ac:dyDescent="0.25">
      <c r="A467" s="7"/>
      <c r="B467" s="7"/>
      <c r="C467" s="13"/>
      <c r="D467" s="13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r="468" spans="1:14" ht="19.5" customHeight="1" x14ac:dyDescent="0.25">
      <c r="A468" s="7"/>
      <c r="B468" s="7"/>
      <c r="C468" s="13"/>
      <c r="D468" s="13"/>
      <c r="E468" s="7"/>
      <c r="F468" s="7"/>
      <c r="G468" s="7"/>
      <c r="H468" s="7"/>
      <c r="I468" s="7"/>
      <c r="J468" s="7"/>
      <c r="K468" s="7"/>
      <c r="L468" s="7"/>
      <c r="M468" s="7"/>
      <c r="N468" s="7"/>
    </row>
    <row r="469" spans="1:14" ht="19.5" customHeight="1" x14ac:dyDescent="0.25">
      <c r="A469" s="7"/>
      <c r="B469" s="7"/>
      <c r="C469" s="13"/>
      <c r="D469" s="13"/>
      <c r="E469" s="7"/>
      <c r="F469" s="7"/>
      <c r="G469" s="7"/>
      <c r="H469" s="7"/>
      <c r="I469" s="7"/>
      <c r="J469" s="7"/>
      <c r="K469" s="7"/>
      <c r="L469" s="7"/>
      <c r="M469" s="7"/>
      <c r="N469" s="7"/>
    </row>
    <row r="470" spans="1:14" ht="19.5" customHeight="1" x14ac:dyDescent="0.25">
      <c r="A470" s="7"/>
      <c r="B470" s="7"/>
      <c r="C470" s="13"/>
      <c r="D470" s="13"/>
      <c r="E470" s="7"/>
      <c r="F470" s="7"/>
      <c r="G470" s="7"/>
      <c r="H470" s="7"/>
      <c r="I470" s="7"/>
      <c r="J470" s="7"/>
      <c r="K470" s="7"/>
      <c r="L470" s="7"/>
      <c r="M470" s="7"/>
      <c r="N470" s="7"/>
    </row>
    <row r="471" spans="1:14" ht="19.5" customHeight="1" x14ac:dyDescent="0.25">
      <c r="A471" s="7"/>
      <c r="B471" s="7"/>
      <c r="C471" s="13"/>
      <c r="D471" s="13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 spans="1:14" ht="19.5" customHeight="1" x14ac:dyDescent="0.25">
      <c r="A472" s="7"/>
      <c r="B472" s="7"/>
      <c r="C472" s="13"/>
      <c r="D472" s="13"/>
      <c r="E472" s="7"/>
      <c r="F472" s="7"/>
      <c r="G472" s="7"/>
      <c r="H472" s="7"/>
      <c r="I472" s="7"/>
      <c r="J472" s="7"/>
      <c r="K472" s="7"/>
      <c r="L472" s="7"/>
      <c r="M472" s="7"/>
      <c r="N472" s="7"/>
    </row>
    <row r="473" spans="1:14" ht="19.5" customHeight="1" x14ac:dyDescent="0.25">
      <c r="A473" s="7"/>
      <c r="B473" s="7"/>
      <c r="C473" s="13"/>
      <c r="D473" s="13"/>
      <c r="E473" s="7"/>
      <c r="F473" s="7"/>
      <c r="G473" s="7"/>
      <c r="H473" s="7"/>
      <c r="I473" s="7"/>
      <c r="J473" s="7"/>
      <c r="K473" s="7"/>
      <c r="L473" s="7"/>
      <c r="M473" s="7"/>
      <c r="N473" s="7"/>
    </row>
    <row r="474" spans="1:14" ht="19.5" customHeight="1" x14ac:dyDescent="0.25">
      <c r="A474" s="7"/>
      <c r="B474" s="7"/>
      <c r="C474" s="13"/>
      <c r="D474" s="13"/>
      <c r="E474" s="7"/>
      <c r="F474" s="7"/>
      <c r="G474" s="7"/>
      <c r="H474" s="7"/>
      <c r="I474" s="7"/>
      <c r="J474" s="7"/>
      <c r="K474" s="7"/>
      <c r="L474" s="7"/>
      <c r="M474" s="7"/>
      <c r="N474" s="7"/>
    </row>
    <row r="475" spans="1:14" ht="19.5" customHeight="1" x14ac:dyDescent="0.25">
      <c r="A475" s="7"/>
      <c r="B475" s="7"/>
      <c r="C475" s="13"/>
      <c r="D475" s="13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r="476" spans="1:14" ht="19.5" customHeight="1" x14ac:dyDescent="0.25">
      <c r="A476" s="7"/>
      <c r="B476" s="7"/>
      <c r="C476" s="13"/>
      <c r="D476" s="13"/>
      <c r="E476" s="7"/>
      <c r="F476" s="7"/>
      <c r="G476" s="7"/>
      <c r="H476" s="7"/>
      <c r="I476" s="7"/>
      <c r="J476" s="7"/>
      <c r="K476" s="7"/>
      <c r="L476" s="7"/>
      <c r="M476" s="7"/>
      <c r="N476" s="7"/>
    </row>
    <row r="477" spans="1:14" ht="19.5" customHeight="1" x14ac:dyDescent="0.25">
      <c r="A477" s="7"/>
      <c r="B477" s="7"/>
      <c r="C477" s="13"/>
      <c r="D477" s="13"/>
      <c r="E477" s="7"/>
      <c r="F477" s="7"/>
      <c r="G477" s="7"/>
      <c r="H477" s="7"/>
      <c r="I477" s="7"/>
      <c r="J477" s="7"/>
      <c r="K477" s="7"/>
      <c r="L477" s="7"/>
      <c r="M477" s="7"/>
      <c r="N477" s="7"/>
    </row>
    <row r="478" spans="1:14" ht="19.5" customHeight="1" x14ac:dyDescent="0.25">
      <c r="A478" s="7"/>
      <c r="B478" s="7"/>
      <c r="C478" s="13"/>
      <c r="D478" s="13"/>
      <c r="E478" s="7"/>
      <c r="F478" s="7"/>
      <c r="G478" s="7"/>
      <c r="H478" s="7"/>
      <c r="I478" s="7"/>
      <c r="J478" s="7"/>
      <c r="K478" s="7"/>
      <c r="L478" s="7"/>
      <c r="M478" s="7"/>
      <c r="N478" s="7"/>
    </row>
    <row r="479" spans="1:14" ht="19.5" customHeight="1" x14ac:dyDescent="0.25">
      <c r="A479" s="7"/>
      <c r="B479" s="7"/>
      <c r="C479" s="13"/>
      <c r="D479" s="13"/>
      <c r="E479" s="7"/>
      <c r="F479" s="7"/>
      <c r="G479" s="7"/>
      <c r="H479" s="7"/>
      <c r="I479" s="7"/>
      <c r="J479" s="7"/>
      <c r="K479" s="7"/>
      <c r="L479" s="7"/>
      <c r="M479" s="7"/>
      <c r="N479" s="7"/>
    </row>
    <row r="480" spans="1:14" ht="19.5" customHeight="1" x14ac:dyDescent="0.25">
      <c r="A480" s="7"/>
      <c r="B480" s="7"/>
      <c r="C480" s="13"/>
      <c r="D480" s="13"/>
      <c r="E480" s="7"/>
      <c r="F480" s="7"/>
      <c r="G480" s="7"/>
      <c r="H480" s="7"/>
      <c r="I480" s="7"/>
      <c r="J480" s="7"/>
      <c r="K480" s="7"/>
      <c r="L480" s="7"/>
      <c r="M480" s="7"/>
      <c r="N480" s="7"/>
    </row>
    <row r="481" spans="1:14" ht="19.5" customHeight="1" x14ac:dyDescent="0.25">
      <c r="A481" s="7"/>
      <c r="B481" s="7"/>
      <c r="C481" s="13"/>
      <c r="D481" s="13"/>
      <c r="E481" s="7"/>
      <c r="F481" s="7"/>
      <c r="G481" s="7"/>
      <c r="H481" s="7"/>
      <c r="I481" s="7"/>
      <c r="J481" s="7"/>
      <c r="K481" s="7"/>
      <c r="L481" s="7"/>
      <c r="M481" s="7"/>
      <c r="N481" s="7"/>
    </row>
    <row r="482" spans="1:14" ht="19.5" customHeight="1" x14ac:dyDescent="0.25">
      <c r="A482" s="7"/>
      <c r="B482" s="7"/>
      <c r="C482" s="13"/>
      <c r="D482" s="13"/>
      <c r="E482" s="7"/>
      <c r="F482" s="7"/>
      <c r="G482" s="7"/>
      <c r="H482" s="7"/>
      <c r="I482" s="7"/>
      <c r="J482" s="7"/>
      <c r="K482" s="7"/>
      <c r="L482" s="7"/>
      <c r="M482" s="7"/>
      <c r="N482" s="7"/>
    </row>
    <row r="483" spans="1:14" ht="19.5" customHeight="1" x14ac:dyDescent="0.25">
      <c r="A483" s="7"/>
      <c r="B483" s="7"/>
      <c r="C483" s="13"/>
      <c r="D483" s="13"/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 spans="1:14" ht="19.5" customHeight="1" x14ac:dyDescent="0.25">
      <c r="A484" s="7"/>
      <c r="B484" s="7"/>
      <c r="C484" s="13"/>
      <c r="D484" s="13"/>
      <c r="E484" s="7"/>
      <c r="F484" s="7"/>
      <c r="G484" s="7"/>
      <c r="H484" s="7"/>
      <c r="I484" s="7"/>
      <c r="J484" s="7"/>
      <c r="K484" s="7"/>
      <c r="L484" s="7"/>
      <c r="M484" s="7"/>
      <c r="N484" s="7"/>
    </row>
    <row r="485" spans="1:14" ht="19.5" customHeight="1" x14ac:dyDescent="0.25">
      <c r="A485" s="7"/>
      <c r="B485" s="7"/>
      <c r="C485" s="13"/>
      <c r="D485" s="13"/>
      <c r="E485" s="7"/>
      <c r="F485" s="7"/>
      <c r="G485" s="7"/>
      <c r="H485" s="7"/>
      <c r="I485" s="7"/>
      <c r="J485" s="7"/>
      <c r="K485" s="7"/>
      <c r="L485" s="7"/>
      <c r="M485" s="7"/>
      <c r="N485" s="7"/>
    </row>
    <row r="486" spans="1:14" ht="19.5" customHeight="1" x14ac:dyDescent="0.25">
      <c r="A486" s="7"/>
      <c r="B486" s="7"/>
      <c r="C486" s="13"/>
      <c r="D486" s="13"/>
      <c r="E486" s="7"/>
      <c r="F486" s="7"/>
      <c r="G486" s="7"/>
      <c r="H486" s="7"/>
      <c r="I486" s="7"/>
      <c r="J486" s="7"/>
      <c r="K486" s="7"/>
      <c r="L486" s="7"/>
      <c r="M486" s="7"/>
      <c r="N486" s="7"/>
    </row>
    <row r="487" spans="1:14" ht="19.5" customHeight="1" x14ac:dyDescent="0.25">
      <c r="A487" s="7"/>
      <c r="B487" s="7"/>
      <c r="C487" s="13"/>
      <c r="D487" s="13"/>
      <c r="E487" s="7"/>
      <c r="F487" s="7"/>
      <c r="G487" s="7"/>
      <c r="H487" s="7"/>
      <c r="I487" s="7"/>
      <c r="J487" s="7"/>
      <c r="K487" s="7"/>
      <c r="L487" s="7"/>
      <c r="M487" s="7"/>
      <c r="N487" s="7"/>
    </row>
    <row r="488" spans="1:14" ht="19.5" customHeight="1" x14ac:dyDescent="0.25">
      <c r="A488" s="7"/>
      <c r="B488" s="7"/>
      <c r="C488" s="13"/>
      <c r="D488" s="13"/>
      <c r="E488" s="7"/>
      <c r="F488" s="7"/>
      <c r="G488" s="7"/>
      <c r="H488" s="7"/>
      <c r="I488" s="7"/>
      <c r="J488" s="7"/>
      <c r="K488" s="7"/>
      <c r="L488" s="7"/>
      <c r="M488" s="7"/>
      <c r="N488" s="7"/>
    </row>
    <row r="489" spans="1:14" ht="19.5" customHeight="1" x14ac:dyDescent="0.25">
      <c r="A489" s="7"/>
      <c r="B489" s="7"/>
      <c r="C489" s="13"/>
      <c r="D489" s="13"/>
      <c r="E489" s="7"/>
      <c r="F489" s="7"/>
      <c r="G489" s="7"/>
      <c r="H489" s="7"/>
      <c r="I489" s="7"/>
      <c r="J489" s="7"/>
      <c r="K489" s="7"/>
      <c r="L489" s="7"/>
      <c r="M489" s="7"/>
      <c r="N489" s="7"/>
    </row>
    <row r="490" spans="1:14" ht="19.5" customHeight="1" x14ac:dyDescent="0.25">
      <c r="A490" s="7"/>
      <c r="B490" s="7"/>
      <c r="C490" s="13"/>
      <c r="D490" s="13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r="491" spans="1:14" ht="19.5" customHeight="1" x14ac:dyDescent="0.25">
      <c r="A491" s="7"/>
      <c r="B491" s="7"/>
      <c r="C491" s="13"/>
      <c r="D491" s="13"/>
      <c r="E491" s="7"/>
      <c r="F491" s="7"/>
      <c r="G491" s="7"/>
      <c r="H491" s="7"/>
      <c r="I491" s="7"/>
      <c r="J491" s="7"/>
      <c r="K491" s="7"/>
      <c r="L491" s="7"/>
      <c r="M491" s="7"/>
      <c r="N491" s="7"/>
    </row>
    <row r="492" spans="1:14" ht="19.5" customHeight="1" x14ac:dyDescent="0.25">
      <c r="A492" s="7"/>
      <c r="B492" s="7"/>
      <c r="C492" s="13"/>
      <c r="D492" s="13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r="493" spans="1:14" ht="19.5" customHeight="1" x14ac:dyDescent="0.25">
      <c r="A493" s="7"/>
      <c r="B493" s="7"/>
      <c r="C493" s="13"/>
      <c r="D493" s="13"/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r="494" spans="1:14" ht="19.5" customHeight="1" x14ac:dyDescent="0.25">
      <c r="A494" s="7"/>
      <c r="B494" s="7"/>
      <c r="C494" s="13"/>
      <c r="D494" s="13"/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r="495" spans="1:14" ht="19.5" customHeight="1" x14ac:dyDescent="0.25">
      <c r="A495" s="7"/>
      <c r="B495" s="7"/>
      <c r="C495" s="13"/>
      <c r="D495" s="13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 spans="1:14" ht="19.5" customHeight="1" x14ac:dyDescent="0.25">
      <c r="A496" s="7"/>
      <c r="B496" s="7"/>
      <c r="C496" s="13"/>
      <c r="D496" s="13"/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r="497" spans="1:14" ht="19.5" customHeight="1" x14ac:dyDescent="0.25">
      <c r="A497" s="7"/>
      <c r="B497" s="7"/>
      <c r="C497" s="13"/>
      <c r="D497" s="13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r="498" spans="1:14" ht="19.5" customHeight="1" x14ac:dyDescent="0.25">
      <c r="A498" s="7"/>
      <c r="B498" s="7"/>
      <c r="C498" s="13"/>
      <c r="D498" s="13"/>
      <c r="E498" s="7"/>
      <c r="F498" s="7"/>
      <c r="G498" s="7"/>
      <c r="H498" s="7"/>
      <c r="I498" s="7"/>
      <c r="J498" s="7"/>
      <c r="K498" s="7"/>
      <c r="L498" s="7"/>
      <c r="M498" s="7"/>
      <c r="N498" s="7"/>
    </row>
    <row r="499" spans="1:14" ht="19.5" customHeight="1" x14ac:dyDescent="0.25">
      <c r="A499" s="7"/>
      <c r="B499" s="7"/>
      <c r="C499" s="13"/>
      <c r="D499" s="13"/>
      <c r="E499" s="7"/>
      <c r="F499" s="7"/>
      <c r="G499" s="7"/>
      <c r="H499" s="7"/>
      <c r="I499" s="7"/>
      <c r="J499" s="7"/>
      <c r="K499" s="7"/>
      <c r="L499" s="7"/>
      <c r="M499" s="7"/>
      <c r="N499" s="7"/>
    </row>
    <row r="500" spans="1:14" ht="19.5" customHeight="1" x14ac:dyDescent="0.25">
      <c r="A500" s="7"/>
      <c r="B500" s="7"/>
      <c r="C500" s="13"/>
      <c r="D500" s="13"/>
      <c r="E500" s="7"/>
      <c r="F500" s="7"/>
      <c r="G500" s="7"/>
      <c r="H500" s="7"/>
      <c r="I500" s="7"/>
      <c r="J500" s="7"/>
      <c r="K500" s="7"/>
      <c r="L500" s="7"/>
      <c r="M500" s="7"/>
      <c r="N500" s="7"/>
    </row>
    <row r="501" spans="1:14" ht="19.5" customHeight="1" x14ac:dyDescent="0.25">
      <c r="A501" s="7"/>
      <c r="B501" s="7"/>
      <c r="C501" s="13"/>
      <c r="D501" s="13"/>
      <c r="E501" s="7"/>
      <c r="F501" s="7"/>
      <c r="G501" s="7"/>
      <c r="H501" s="7"/>
      <c r="I501" s="7"/>
      <c r="J501" s="7"/>
      <c r="K501" s="7"/>
      <c r="L501" s="7"/>
      <c r="M501" s="7"/>
      <c r="N501" s="7"/>
    </row>
    <row r="502" spans="1:14" ht="19.5" customHeight="1" x14ac:dyDescent="0.25">
      <c r="A502" s="7"/>
      <c r="B502" s="7"/>
      <c r="C502" s="13"/>
      <c r="D502" s="13"/>
      <c r="E502" s="7"/>
      <c r="F502" s="7"/>
      <c r="G502" s="7"/>
      <c r="H502" s="7"/>
      <c r="I502" s="7"/>
      <c r="J502" s="7"/>
      <c r="K502" s="7"/>
      <c r="L502" s="7"/>
      <c r="M502" s="7"/>
      <c r="N502" s="7"/>
    </row>
    <row r="503" spans="1:14" ht="19.5" customHeight="1" x14ac:dyDescent="0.25">
      <c r="A503" s="7"/>
      <c r="B503" s="7"/>
      <c r="C503" s="13"/>
      <c r="D503" s="13"/>
      <c r="E503" s="7"/>
      <c r="F503" s="7"/>
      <c r="G503" s="7"/>
      <c r="H503" s="7"/>
      <c r="I503" s="7"/>
      <c r="J503" s="7"/>
      <c r="K503" s="7"/>
      <c r="L503" s="7"/>
      <c r="M503" s="7"/>
      <c r="N503" s="7"/>
    </row>
    <row r="504" spans="1:14" ht="19.5" customHeight="1" x14ac:dyDescent="0.25">
      <c r="A504" s="7"/>
      <c r="B504" s="7"/>
      <c r="C504" s="13"/>
      <c r="D504" s="13"/>
      <c r="E504" s="7"/>
      <c r="F504" s="7"/>
      <c r="G504" s="7"/>
      <c r="H504" s="7"/>
      <c r="I504" s="7"/>
      <c r="J504" s="7"/>
      <c r="K504" s="7"/>
      <c r="L504" s="7"/>
      <c r="M504" s="7"/>
      <c r="N504" s="7"/>
    </row>
    <row r="505" spans="1:14" ht="19.5" customHeight="1" x14ac:dyDescent="0.25">
      <c r="A505" s="7"/>
      <c r="B505" s="7"/>
      <c r="C505" s="13"/>
      <c r="D505" s="13"/>
      <c r="E505" s="7"/>
      <c r="F505" s="7"/>
      <c r="G505" s="7"/>
      <c r="H505" s="7"/>
      <c r="I505" s="7"/>
      <c r="J505" s="7"/>
      <c r="K505" s="7"/>
      <c r="L505" s="7"/>
      <c r="M505" s="7"/>
      <c r="N505" s="7"/>
    </row>
    <row r="506" spans="1:14" ht="19.5" customHeight="1" x14ac:dyDescent="0.25">
      <c r="A506" s="7"/>
      <c r="B506" s="7"/>
      <c r="C506" s="13"/>
      <c r="D506" s="13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r="507" spans="1:14" ht="19.5" customHeight="1" x14ac:dyDescent="0.25">
      <c r="A507" s="7"/>
      <c r="B507" s="7"/>
      <c r="C507" s="13"/>
      <c r="D507" s="13"/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 spans="1:14" ht="19.5" customHeight="1" x14ac:dyDescent="0.25">
      <c r="A508" s="7"/>
      <c r="B508" s="7"/>
      <c r="C508" s="13"/>
      <c r="D508" s="13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r="509" spans="1:14" ht="19.5" customHeight="1" x14ac:dyDescent="0.25">
      <c r="A509" s="7"/>
      <c r="B509" s="7"/>
      <c r="C509" s="13"/>
      <c r="D509" s="13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r="510" spans="1:14" ht="19.5" customHeight="1" x14ac:dyDescent="0.25">
      <c r="A510" s="7"/>
      <c r="B510" s="7"/>
      <c r="C510" s="13"/>
      <c r="D510" s="13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r="511" spans="1:14" ht="19.5" customHeight="1" x14ac:dyDescent="0.25">
      <c r="A511" s="7"/>
      <c r="B511" s="7"/>
      <c r="C511" s="13"/>
      <c r="D511" s="13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r="512" spans="1:14" ht="19.5" customHeight="1" x14ac:dyDescent="0.25">
      <c r="A512" s="7"/>
      <c r="B512" s="7"/>
      <c r="C512" s="13"/>
      <c r="D512" s="13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r="513" spans="1:14" ht="19.5" customHeight="1" x14ac:dyDescent="0.25">
      <c r="A513" s="7"/>
      <c r="B513" s="7"/>
      <c r="C513" s="13"/>
      <c r="D513" s="13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r="514" spans="1:14" ht="19.5" customHeight="1" x14ac:dyDescent="0.25">
      <c r="A514" s="7"/>
      <c r="B514" s="7"/>
      <c r="C514" s="13"/>
      <c r="D514" s="13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 spans="1:14" ht="19.5" customHeight="1" x14ac:dyDescent="0.25">
      <c r="A515" s="7"/>
      <c r="B515" s="7"/>
      <c r="C515" s="13"/>
      <c r="D515" s="13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 spans="1:14" ht="19.5" customHeight="1" x14ac:dyDescent="0.25">
      <c r="A516" s="7"/>
      <c r="B516" s="7"/>
      <c r="C516" s="13"/>
      <c r="D516" s="13"/>
      <c r="E516" s="7"/>
      <c r="F516" s="7"/>
      <c r="G516" s="7"/>
      <c r="H516" s="7"/>
      <c r="I516" s="7"/>
      <c r="J516" s="7"/>
      <c r="K516" s="7"/>
      <c r="L516" s="7"/>
      <c r="M516" s="7"/>
      <c r="N516" s="7"/>
    </row>
    <row r="517" spans="1:14" ht="19.5" customHeight="1" x14ac:dyDescent="0.25">
      <c r="A517" s="7"/>
      <c r="B517" s="7"/>
      <c r="C517" s="13"/>
      <c r="D517" s="13"/>
      <c r="E517" s="7"/>
      <c r="F517" s="7"/>
      <c r="G517" s="7"/>
      <c r="H517" s="7"/>
      <c r="I517" s="7"/>
      <c r="J517" s="7"/>
      <c r="K517" s="7"/>
      <c r="L517" s="7"/>
      <c r="M517" s="7"/>
      <c r="N517" s="7"/>
    </row>
    <row r="518" spans="1:14" ht="19.5" customHeight="1" x14ac:dyDescent="0.25">
      <c r="A518" s="7"/>
      <c r="B518" s="7"/>
      <c r="C518" s="13"/>
      <c r="D518" s="13"/>
      <c r="E518" s="7"/>
      <c r="F518" s="7"/>
      <c r="G518" s="7"/>
      <c r="H518" s="7"/>
      <c r="I518" s="7"/>
      <c r="J518" s="7"/>
      <c r="K518" s="7"/>
      <c r="L518" s="7"/>
      <c r="M518" s="7"/>
      <c r="N518" s="7"/>
    </row>
    <row r="519" spans="1:14" ht="19.5" customHeight="1" x14ac:dyDescent="0.25">
      <c r="A519" s="7"/>
      <c r="B519" s="7"/>
      <c r="C519" s="13"/>
      <c r="D519" s="13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 spans="1:14" ht="19.5" customHeight="1" x14ac:dyDescent="0.25">
      <c r="A520" s="7"/>
      <c r="B520" s="7"/>
      <c r="C520" s="13"/>
      <c r="D520" s="13"/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r="521" spans="1:14" ht="19.5" customHeight="1" x14ac:dyDescent="0.25">
      <c r="A521" s="7"/>
      <c r="B521" s="7"/>
      <c r="C521" s="13"/>
      <c r="D521" s="13"/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r="522" spans="1:14" ht="19.5" customHeight="1" x14ac:dyDescent="0.25">
      <c r="A522" s="7"/>
      <c r="B522" s="7"/>
      <c r="C522" s="13"/>
      <c r="D522" s="13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r="523" spans="1:14" ht="19.5" customHeight="1" x14ac:dyDescent="0.25">
      <c r="A523" s="7"/>
      <c r="B523" s="7"/>
      <c r="C523" s="13"/>
      <c r="D523" s="13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r="524" spans="1:14" ht="19.5" customHeight="1" x14ac:dyDescent="0.25">
      <c r="A524" s="7"/>
      <c r="B524" s="7"/>
      <c r="C524" s="13"/>
      <c r="D524" s="13"/>
      <c r="E524" s="7"/>
      <c r="F524" s="7"/>
      <c r="G524" s="7"/>
      <c r="H524" s="7"/>
      <c r="I524" s="7"/>
      <c r="J524" s="7"/>
      <c r="K524" s="7"/>
      <c r="L524" s="7"/>
      <c r="M524" s="7"/>
      <c r="N524" s="7"/>
    </row>
    <row r="525" spans="1:14" ht="19.5" customHeight="1" x14ac:dyDescent="0.25">
      <c r="A525" s="7"/>
      <c r="B525" s="7"/>
      <c r="C525" s="13"/>
      <c r="D525" s="13"/>
      <c r="E525" s="7"/>
      <c r="F525" s="7"/>
      <c r="G525" s="7"/>
      <c r="H525" s="7"/>
      <c r="I525" s="7"/>
      <c r="J525" s="7"/>
      <c r="K525" s="7"/>
      <c r="L525" s="7"/>
      <c r="M525" s="7"/>
      <c r="N525" s="7"/>
    </row>
    <row r="526" spans="1:14" ht="19.5" customHeight="1" x14ac:dyDescent="0.25">
      <c r="A526" s="7"/>
      <c r="B526" s="7"/>
      <c r="C526" s="13"/>
      <c r="D526" s="13"/>
      <c r="E526" s="7"/>
      <c r="F526" s="7"/>
      <c r="G526" s="7"/>
      <c r="H526" s="7"/>
      <c r="I526" s="7"/>
      <c r="J526" s="7"/>
      <c r="K526" s="7"/>
      <c r="L526" s="7"/>
      <c r="M526" s="7"/>
      <c r="N526" s="7"/>
    </row>
    <row r="527" spans="1:14" ht="19.5" customHeight="1" x14ac:dyDescent="0.25">
      <c r="A527" s="7"/>
      <c r="B527" s="7"/>
      <c r="C527" s="13"/>
      <c r="D527" s="13"/>
      <c r="E527" s="7"/>
      <c r="F527" s="7"/>
      <c r="G527" s="7"/>
      <c r="H527" s="7"/>
      <c r="I527" s="7"/>
      <c r="J527" s="7"/>
      <c r="K527" s="7"/>
      <c r="L527" s="7"/>
      <c r="M527" s="7"/>
      <c r="N527" s="7"/>
    </row>
    <row r="528" spans="1:14" ht="19.5" customHeight="1" x14ac:dyDescent="0.25">
      <c r="A528" s="7"/>
      <c r="B528" s="7"/>
      <c r="C528" s="13"/>
      <c r="D528" s="13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r="529" spans="1:14" ht="19.5" customHeight="1" x14ac:dyDescent="0.25">
      <c r="A529" s="7"/>
      <c r="B529" s="7"/>
      <c r="C529" s="13"/>
      <c r="D529" s="13"/>
      <c r="E529" s="7"/>
      <c r="F529" s="7"/>
      <c r="G529" s="7"/>
      <c r="H529" s="7"/>
      <c r="I529" s="7"/>
      <c r="J529" s="7"/>
      <c r="K529" s="7"/>
      <c r="L529" s="7"/>
      <c r="M529" s="7"/>
      <c r="N529" s="7"/>
    </row>
    <row r="530" spans="1:14" ht="19.5" customHeight="1" x14ac:dyDescent="0.25">
      <c r="A530" s="7"/>
      <c r="B530" s="7"/>
      <c r="C530" s="13"/>
      <c r="D530" s="13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r="531" spans="1:14" ht="19.5" customHeight="1" x14ac:dyDescent="0.25">
      <c r="A531" s="7"/>
      <c r="B531" s="7"/>
      <c r="C531" s="13"/>
      <c r="D531" s="13"/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 spans="1:14" ht="19.5" customHeight="1" x14ac:dyDescent="0.25">
      <c r="A532" s="7"/>
      <c r="B532" s="7"/>
      <c r="C532" s="13"/>
      <c r="D532" s="13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r="533" spans="1:14" ht="19.5" customHeight="1" x14ac:dyDescent="0.25">
      <c r="A533" s="7"/>
      <c r="B533" s="7"/>
      <c r="C533" s="13"/>
      <c r="D533" s="13"/>
      <c r="E533" s="7"/>
      <c r="F533" s="7"/>
      <c r="G533" s="7"/>
      <c r="H533" s="7"/>
      <c r="I533" s="7"/>
      <c r="J533" s="7"/>
      <c r="K533" s="7"/>
      <c r="L533" s="7"/>
      <c r="M533" s="7"/>
      <c r="N533" s="7"/>
    </row>
    <row r="534" spans="1:14" ht="19.5" customHeight="1" x14ac:dyDescent="0.25">
      <c r="A534" s="7"/>
      <c r="B534" s="7"/>
      <c r="C534" s="13"/>
      <c r="D534" s="13"/>
      <c r="E534" s="7"/>
      <c r="F534" s="7"/>
      <c r="G534" s="7"/>
      <c r="H534" s="7"/>
      <c r="I534" s="7"/>
      <c r="J534" s="7"/>
      <c r="K534" s="7"/>
      <c r="L534" s="7"/>
      <c r="M534" s="7"/>
      <c r="N534" s="7"/>
    </row>
    <row r="535" spans="1:14" ht="19.5" customHeight="1" x14ac:dyDescent="0.25">
      <c r="A535" s="7"/>
      <c r="B535" s="7"/>
      <c r="C535" s="13"/>
      <c r="D535" s="13"/>
      <c r="E535" s="7"/>
      <c r="F535" s="7"/>
      <c r="G535" s="7"/>
      <c r="H535" s="7"/>
      <c r="I535" s="7"/>
      <c r="J535" s="7"/>
      <c r="K535" s="7"/>
      <c r="L535" s="7"/>
      <c r="M535" s="7"/>
      <c r="N535" s="7"/>
    </row>
    <row r="536" spans="1:14" ht="19.5" customHeight="1" x14ac:dyDescent="0.25">
      <c r="A536" s="7"/>
      <c r="B536" s="7"/>
      <c r="C536" s="13"/>
      <c r="D536" s="13"/>
      <c r="E536" s="7"/>
      <c r="F536" s="7"/>
      <c r="G536" s="7"/>
      <c r="H536" s="7"/>
      <c r="I536" s="7"/>
      <c r="J536" s="7"/>
      <c r="K536" s="7"/>
      <c r="L536" s="7"/>
      <c r="M536" s="7"/>
      <c r="N536" s="7"/>
    </row>
    <row r="537" spans="1:14" ht="19.5" customHeight="1" x14ac:dyDescent="0.25">
      <c r="A537" s="7"/>
      <c r="B537" s="7"/>
      <c r="C537" s="13"/>
      <c r="D537" s="13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r="538" spans="1:14" ht="19.5" customHeight="1" x14ac:dyDescent="0.25">
      <c r="A538" s="7"/>
      <c r="B538" s="7"/>
      <c r="C538" s="13"/>
      <c r="D538" s="13"/>
      <c r="E538" s="7"/>
      <c r="F538" s="7"/>
      <c r="G538" s="7"/>
      <c r="H538" s="7"/>
      <c r="I538" s="7"/>
      <c r="J538" s="7"/>
      <c r="K538" s="7"/>
      <c r="L538" s="7"/>
      <c r="M538" s="7"/>
      <c r="N538" s="7"/>
    </row>
    <row r="539" spans="1:14" ht="19.5" customHeight="1" x14ac:dyDescent="0.25">
      <c r="A539" s="7"/>
      <c r="B539" s="7"/>
      <c r="C539" s="13"/>
      <c r="D539" s="13"/>
      <c r="E539" s="7"/>
      <c r="F539" s="7"/>
      <c r="G539" s="7"/>
      <c r="H539" s="7"/>
      <c r="I539" s="7"/>
      <c r="J539" s="7"/>
      <c r="K539" s="7"/>
      <c r="L539" s="7"/>
      <c r="M539" s="7"/>
      <c r="N539" s="7"/>
    </row>
    <row r="540" spans="1:14" ht="19.5" customHeight="1" x14ac:dyDescent="0.25">
      <c r="A540" s="7"/>
      <c r="B540" s="7"/>
      <c r="C540" s="13"/>
      <c r="D540" s="13"/>
      <c r="E540" s="7"/>
      <c r="F540" s="7"/>
      <c r="G540" s="7"/>
      <c r="H540" s="7"/>
      <c r="I540" s="7"/>
      <c r="J540" s="7"/>
      <c r="K540" s="7"/>
      <c r="L540" s="7"/>
      <c r="M540" s="7"/>
      <c r="N540" s="7"/>
    </row>
    <row r="541" spans="1:14" ht="19.5" customHeight="1" x14ac:dyDescent="0.25">
      <c r="A541" s="7"/>
      <c r="B541" s="7"/>
      <c r="C541" s="13"/>
      <c r="D541" s="13"/>
      <c r="E541" s="7"/>
      <c r="F541" s="7"/>
      <c r="G541" s="7"/>
      <c r="H541" s="7"/>
      <c r="I541" s="7"/>
      <c r="J541" s="7"/>
      <c r="K541" s="7"/>
      <c r="L541" s="7"/>
      <c r="M541" s="7"/>
      <c r="N541" s="7"/>
    </row>
    <row r="542" spans="1:14" ht="19.5" customHeight="1" x14ac:dyDescent="0.25">
      <c r="A542" s="7"/>
      <c r="B542" s="7"/>
      <c r="C542" s="13"/>
      <c r="D542" s="13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r="543" spans="1:14" ht="19.5" customHeight="1" x14ac:dyDescent="0.25">
      <c r="A543" s="7"/>
      <c r="B543" s="7"/>
      <c r="C543" s="13"/>
      <c r="D543" s="13"/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 spans="1:14" ht="19.5" customHeight="1" x14ac:dyDescent="0.25">
      <c r="A544" s="7"/>
      <c r="B544" s="7"/>
      <c r="C544" s="13"/>
      <c r="D544" s="13"/>
      <c r="E544" s="7"/>
      <c r="F544" s="7"/>
      <c r="G544" s="7"/>
      <c r="H544" s="7"/>
      <c r="I544" s="7"/>
      <c r="J544" s="7"/>
      <c r="K544" s="7"/>
      <c r="L544" s="7"/>
      <c r="M544" s="7"/>
      <c r="N544" s="7"/>
    </row>
    <row r="545" spans="1:14" ht="19.5" customHeight="1" x14ac:dyDescent="0.25">
      <c r="A545" s="7"/>
      <c r="B545" s="7"/>
      <c r="C545" s="13"/>
      <c r="D545" s="13"/>
      <c r="E545" s="7"/>
      <c r="F545" s="7"/>
      <c r="G545" s="7"/>
      <c r="H545" s="7"/>
      <c r="I545" s="7"/>
      <c r="J545" s="7"/>
      <c r="K545" s="7"/>
      <c r="L545" s="7"/>
      <c r="M545" s="7"/>
      <c r="N545" s="7"/>
    </row>
    <row r="546" spans="1:14" ht="19.5" customHeight="1" x14ac:dyDescent="0.25">
      <c r="A546" s="7"/>
      <c r="B546" s="7"/>
      <c r="C546" s="13"/>
      <c r="D546" s="13"/>
      <c r="E546" s="7"/>
      <c r="F546" s="7"/>
      <c r="G546" s="7"/>
      <c r="H546" s="7"/>
      <c r="I546" s="7"/>
      <c r="J546" s="7"/>
      <c r="K546" s="7"/>
      <c r="L546" s="7"/>
      <c r="M546" s="7"/>
      <c r="N546" s="7"/>
    </row>
    <row r="547" spans="1:14" ht="19.5" customHeight="1" x14ac:dyDescent="0.25">
      <c r="A547" s="7"/>
      <c r="B547" s="7"/>
      <c r="C547" s="13"/>
      <c r="D547" s="13"/>
      <c r="E547" s="7"/>
      <c r="F547" s="7"/>
      <c r="G547" s="7"/>
      <c r="H547" s="7"/>
      <c r="I547" s="7"/>
      <c r="J547" s="7"/>
      <c r="K547" s="7"/>
      <c r="L547" s="7"/>
      <c r="M547" s="7"/>
      <c r="N547" s="7"/>
    </row>
    <row r="548" spans="1:14" ht="19.5" customHeight="1" x14ac:dyDescent="0.25">
      <c r="A548" s="7"/>
      <c r="B548" s="7"/>
      <c r="C548" s="13"/>
      <c r="D548" s="13"/>
      <c r="E548" s="7"/>
      <c r="F548" s="7"/>
      <c r="G548" s="7"/>
      <c r="H548" s="7"/>
      <c r="I548" s="7"/>
      <c r="J548" s="7"/>
      <c r="K548" s="7"/>
      <c r="L548" s="7"/>
      <c r="M548" s="7"/>
      <c r="N548" s="7"/>
    </row>
    <row r="549" spans="1:14" ht="19.5" customHeight="1" x14ac:dyDescent="0.25">
      <c r="A549" s="7"/>
      <c r="B549" s="7"/>
      <c r="C549" s="13"/>
      <c r="D549" s="13"/>
      <c r="E549" s="7"/>
      <c r="F549" s="7"/>
      <c r="G549" s="7"/>
      <c r="H549" s="7"/>
      <c r="I549" s="7"/>
      <c r="J549" s="7"/>
      <c r="K549" s="7"/>
      <c r="L549" s="7"/>
      <c r="M549" s="7"/>
      <c r="N549" s="7"/>
    </row>
    <row r="550" spans="1:14" ht="19.5" customHeight="1" x14ac:dyDescent="0.25">
      <c r="A550" s="7"/>
      <c r="B550" s="7"/>
      <c r="C550" s="13"/>
      <c r="D550" s="13"/>
      <c r="E550" s="7"/>
      <c r="F550" s="7"/>
      <c r="G550" s="7"/>
      <c r="H550" s="7"/>
      <c r="I550" s="7"/>
      <c r="J550" s="7"/>
      <c r="K550" s="7"/>
      <c r="L550" s="7"/>
      <c r="M550" s="7"/>
      <c r="N550" s="7"/>
    </row>
    <row r="551" spans="1:14" ht="19.5" customHeight="1" x14ac:dyDescent="0.25">
      <c r="A551" s="7"/>
      <c r="B551" s="7"/>
      <c r="C551" s="13"/>
      <c r="D551" s="13"/>
      <c r="E551" s="7"/>
      <c r="F551" s="7"/>
      <c r="G551" s="7"/>
      <c r="H551" s="7"/>
      <c r="I551" s="7"/>
      <c r="J551" s="7"/>
      <c r="K551" s="7"/>
      <c r="L551" s="7"/>
      <c r="M551" s="7"/>
      <c r="N551" s="7"/>
    </row>
    <row r="552" spans="1:14" ht="19.5" customHeight="1" x14ac:dyDescent="0.25">
      <c r="A552" s="7"/>
      <c r="B552" s="7"/>
      <c r="C552" s="13"/>
      <c r="D552" s="13"/>
      <c r="E552" s="7"/>
      <c r="F552" s="7"/>
      <c r="G552" s="7"/>
      <c r="H552" s="7"/>
      <c r="I552" s="7"/>
      <c r="J552" s="7"/>
      <c r="K552" s="7"/>
      <c r="L552" s="7"/>
      <c r="M552" s="7"/>
      <c r="N552" s="7"/>
    </row>
    <row r="553" spans="1:14" ht="19.5" customHeight="1" x14ac:dyDescent="0.25">
      <c r="A553" s="7"/>
      <c r="B553" s="7"/>
      <c r="C553" s="13"/>
      <c r="D553" s="13"/>
      <c r="E553" s="7"/>
      <c r="F553" s="7"/>
      <c r="G553" s="7"/>
      <c r="H553" s="7"/>
      <c r="I553" s="7"/>
      <c r="J553" s="7"/>
      <c r="K553" s="7"/>
      <c r="L553" s="7"/>
      <c r="M553" s="7"/>
      <c r="N553" s="7"/>
    </row>
    <row r="554" spans="1:14" ht="19.5" customHeight="1" x14ac:dyDescent="0.25">
      <c r="A554" s="7"/>
      <c r="B554" s="7"/>
      <c r="C554" s="13"/>
      <c r="D554" s="13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r="555" spans="1:14" ht="19.5" customHeight="1" x14ac:dyDescent="0.25">
      <c r="A555" s="7"/>
      <c r="B555" s="7"/>
      <c r="C555" s="13"/>
      <c r="D555" s="13"/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 spans="1:14" ht="19.5" customHeight="1" x14ac:dyDescent="0.25">
      <c r="A556" s="7"/>
      <c r="B556" s="7"/>
      <c r="C556" s="13"/>
      <c r="D556" s="13"/>
      <c r="E556" s="7"/>
      <c r="F556" s="7"/>
      <c r="G556" s="7"/>
      <c r="H556" s="7"/>
      <c r="I556" s="7"/>
      <c r="J556" s="7"/>
      <c r="K556" s="7"/>
      <c r="L556" s="7"/>
      <c r="M556" s="7"/>
      <c r="N556" s="7"/>
    </row>
    <row r="557" spans="1:14" ht="19.5" customHeight="1" x14ac:dyDescent="0.25">
      <c r="A557" s="7"/>
      <c r="B557" s="7"/>
      <c r="C557" s="13"/>
      <c r="D557" s="13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r="558" spans="1:14" ht="19.5" customHeight="1" x14ac:dyDescent="0.25">
      <c r="A558" s="7"/>
      <c r="B558" s="7"/>
      <c r="C558" s="13"/>
      <c r="D558" s="13"/>
      <c r="E558" s="7"/>
      <c r="F558" s="7"/>
      <c r="G558" s="7"/>
      <c r="H558" s="7"/>
      <c r="I558" s="7"/>
      <c r="J558" s="7"/>
      <c r="K558" s="7"/>
      <c r="L558" s="7"/>
      <c r="M558" s="7"/>
      <c r="N558" s="7"/>
    </row>
    <row r="559" spans="1:14" ht="19.5" customHeight="1" x14ac:dyDescent="0.25">
      <c r="A559" s="7"/>
      <c r="B559" s="7"/>
      <c r="C559" s="13"/>
      <c r="D559" s="13"/>
      <c r="E559" s="7"/>
      <c r="F559" s="7"/>
      <c r="G559" s="7"/>
      <c r="H559" s="7"/>
      <c r="I559" s="7"/>
      <c r="J559" s="7"/>
      <c r="K559" s="7"/>
      <c r="L559" s="7"/>
      <c r="M559" s="7"/>
      <c r="N559" s="7"/>
    </row>
    <row r="560" spans="1:14" ht="19.5" customHeight="1" x14ac:dyDescent="0.25">
      <c r="A560" s="7"/>
      <c r="B560" s="7"/>
      <c r="C560" s="13"/>
      <c r="D560" s="13"/>
      <c r="E560" s="7"/>
      <c r="F560" s="7"/>
      <c r="G560" s="7"/>
      <c r="H560" s="7"/>
      <c r="I560" s="7"/>
      <c r="J560" s="7"/>
      <c r="K560" s="7"/>
      <c r="L560" s="7"/>
      <c r="M560" s="7"/>
      <c r="N560" s="7"/>
    </row>
    <row r="561" spans="1:14" ht="19.5" customHeight="1" x14ac:dyDescent="0.25">
      <c r="A561" s="7"/>
      <c r="B561" s="7"/>
      <c r="C561" s="13"/>
      <c r="D561" s="13"/>
      <c r="E561" s="7"/>
      <c r="F561" s="7"/>
      <c r="G561" s="7"/>
      <c r="H561" s="7"/>
      <c r="I561" s="7"/>
      <c r="J561" s="7"/>
      <c r="K561" s="7"/>
      <c r="L561" s="7"/>
      <c r="M561" s="7"/>
      <c r="N561" s="7"/>
    </row>
    <row r="562" spans="1:14" ht="19.5" customHeight="1" x14ac:dyDescent="0.25">
      <c r="A562" s="7"/>
      <c r="B562" s="7"/>
      <c r="C562" s="13"/>
      <c r="D562" s="13"/>
      <c r="E562" s="7"/>
      <c r="F562" s="7"/>
      <c r="G562" s="7"/>
      <c r="H562" s="7"/>
      <c r="I562" s="7"/>
      <c r="J562" s="7"/>
      <c r="K562" s="7"/>
      <c r="L562" s="7"/>
      <c r="M562" s="7"/>
      <c r="N562" s="7"/>
    </row>
    <row r="563" spans="1:14" ht="19.5" customHeight="1" x14ac:dyDescent="0.25">
      <c r="A563" s="7"/>
      <c r="B563" s="7"/>
      <c r="C563" s="13"/>
      <c r="D563" s="13"/>
      <c r="E563" s="7"/>
      <c r="F563" s="7"/>
      <c r="G563" s="7"/>
      <c r="H563" s="7"/>
      <c r="I563" s="7"/>
      <c r="J563" s="7"/>
      <c r="K563" s="7"/>
      <c r="L563" s="7"/>
      <c r="M563" s="7"/>
      <c r="N563" s="7"/>
    </row>
    <row r="564" spans="1:14" ht="19.5" customHeight="1" x14ac:dyDescent="0.25">
      <c r="A564" s="7"/>
      <c r="B564" s="7"/>
      <c r="C564" s="13"/>
      <c r="D564" s="13"/>
      <c r="E564" s="7"/>
      <c r="F564" s="7"/>
      <c r="G564" s="7"/>
      <c r="H564" s="7"/>
      <c r="I564" s="7"/>
      <c r="J564" s="7"/>
      <c r="K564" s="7"/>
      <c r="L564" s="7"/>
      <c r="M564" s="7"/>
      <c r="N564" s="7"/>
    </row>
    <row r="565" spans="1:14" ht="19.5" customHeight="1" x14ac:dyDescent="0.25">
      <c r="A565" s="7"/>
      <c r="B565" s="7"/>
      <c r="C565" s="13"/>
      <c r="D565" s="13"/>
      <c r="E565" s="7"/>
      <c r="F565" s="7"/>
      <c r="G565" s="7"/>
      <c r="H565" s="7"/>
      <c r="I565" s="7"/>
      <c r="J565" s="7"/>
      <c r="K565" s="7"/>
      <c r="L565" s="7"/>
      <c r="M565" s="7"/>
      <c r="N565" s="7"/>
    </row>
    <row r="566" spans="1:14" ht="19.5" customHeight="1" x14ac:dyDescent="0.25">
      <c r="A566" s="7"/>
      <c r="B566" s="7"/>
      <c r="C566" s="13"/>
      <c r="D566" s="13"/>
      <c r="E566" s="7"/>
      <c r="F566" s="7"/>
      <c r="G566" s="7"/>
      <c r="H566" s="7"/>
      <c r="I566" s="7"/>
      <c r="J566" s="7"/>
      <c r="K566" s="7"/>
      <c r="L566" s="7"/>
      <c r="M566" s="7"/>
      <c r="N566" s="7"/>
    </row>
    <row r="567" spans="1:14" ht="19.5" customHeight="1" x14ac:dyDescent="0.25">
      <c r="A567" s="7"/>
      <c r="B567" s="7"/>
      <c r="C567" s="13"/>
      <c r="D567" s="13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 spans="1:14" ht="19.5" customHeight="1" x14ac:dyDescent="0.25">
      <c r="A568" s="7"/>
      <c r="B568" s="7"/>
      <c r="C568" s="13"/>
      <c r="D568" s="13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r="569" spans="1:14" ht="19.5" customHeight="1" x14ac:dyDescent="0.25">
      <c r="A569" s="7"/>
      <c r="B569" s="7"/>
      <c r="C569" s="13"/>
      <c r="D569" s="13"/>
      <c r="E569" s="7"/>
      <c r="F569" s="7"/>
      <c r="G569" s="7"/>
      <c r="H569" s="7"/>
      <c r="I569" s="7"/>
      <c r="J569" s="7"/>
      <c r="K569" s="7"/>
      <c r="L569" s="7"/>
      <c r="M569" s="7"/>
      <c r="N569" s="7"/>
    </row>
    <row r="570" spans="1:14" ht="19.5" customHeight="1" x14ac:dyDescent="0.25">
      <c r="A570" s="7"/>
      <c r="B570" s="7"/>
      <c r="C570" s="13"/>
      <c r="D570" s="13"/>
      <c r="E570" s="7"/>
      <c r="F570" s="7"/>
      <c r="G570" s="7"/>
      <c r="H570" s="7"/>
      <c r="I570" s="7"/>
      <c r="J570" s="7"/>
      <c r="K570" s="7"/>
      <c r="L570" s="7"/>
      <c r="M570" s="7"/>
      <c r="N570" s="7"/>
    </row>
    <row r="571" spans="1:14" ht="19.5" customHeight="1" x14ac:dyDescent="0.25">
      <c r="A571" s="7"/>
      <c r="B571" s="7"/>
      <c r="C571" s="13"/>
      <c r="D571" s="13"/>
      <c r="E571" s="7"/>
      <c r="F571" s="7"/>
      <c r="G571" s="7"/>
      <c r="H571" s="7"/>
      <c r="I571" s="7"/>
      <c r="J571" s="7"/>
      <c r="K571" s="7"/>
      <c r="L571" s="7"/>
      <c r="M571" s="7"/>
      <c r="N571" s="7"/>
    </row>
    <row r="572" spans="1:14" ht="19.5" customHeight="1" x14ac:dyDescent="0.25">
      <c r="A572" s="7"/>
      <c r="B572" s="7"/>
      <c r="C572" s="13"/>
      <c r="D572" s="13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r="573" spans="1:14" ht="19.5" customHeight="1" x14ac:dyDescent="0.25">
      <c r="A573" s="7"/>
      <c r="B573" s="7"/>
      <c r="C573" s="13"/>
      <c r="D573" s="13"/>
      <c r="E573" s="7"/>
      <c r="F573" s="7"/>
      <c r="G573" s="7"/>
      <c r="H573" s="7"/>
      <c r="I573" s="7"/>
      <c r="J573" s="7"/>
      <c r="K573" s="7"/>
      <c r="L573" s="7"/>
      <c r="M573" s="7"/>
      <c r="N573" s="7"/>
    </row>
    <row r="574" spans="1:14" ht="19.5" customHeight="1" x14ac:dyDescent="0.25">
      <c r="A574" s="7"/>
      <c r="B574" s="7"/>
      <c r="C574" s="13"/>
      <c r="D574" s="13"/>
      <c r="E574" s="7"/>
      <c r="F574" s="7"/>
      <c r="G574" s="7"/>
      <c r="H574" s="7"/>
      <c r="I574" s="7"/>
      <c r="J574" s="7"/>
      <c r="K574" s="7"/>
      <c r="L574" s="7"/>
      <c r="M574" s="7"/>
      <c r="N574" s="7"/>
    </row>
    <row r="575" spans="1:14" ht="19.5" customHeight="1" x14ac:dyDescent="0.25">
      <c r="A575" s="7"/>
      <c r="B575" s="7"/>
      <c r="C575" s="13"/>
      <c r="D575" s="13"/>
      <c r="E575" s="7"/>
      <c r="F575" s="7"/>
      <c r="G575" s="7"/>
      <c r="H575" s="7"/>
      <c r="I575" s="7"/>
      <c r="J575" s="7"/>
      <c r="K575" s="7"/>
      <c r="L575" s="7"/>
      <c r="M575" s="7"/>
      <c r="N575" s="7"/>
    </row>
    <row r="576" spans="1:14" ht="19.5" customHeight="1" x14ac:dyDescent="0.25">
      <c r="A576" s="7"/>
      <c r="B576" s="7"/>
      <c r="C576" s="13"/>
      <c r="D576" s="13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r="577" spans="1:14" ht="19.5" customHeight="1" x14ac:dyDescent="0.25">
      <c r="A577" s="7"/>
      <c r="B577" s="7"/>
      <c r="C577" s="13"/>
      <c r="D577" s="13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r="578" spans="1:14" ht="19.5" customHeight="1" x14ac:dyDescent="0.25">
      <c r="A578" s="7"/>
      <c r="B578" s="7"/>
      <c r="C578" s="13"/>
      <c r="D578" s="13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r="579" spans="1:14" ht="19.5" customHeight="1" x14ac:dyDescent="0.25">
      <c r="A579" s="7"/>
      <c r="B579" s="7"/>
      <c r="C579" s="13"/>
      <c r="D579" s="13"/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 spans="1:14" ht="19.5" customHeight="1" x14ac:dyDescent="0.25">
      <c r="A580" s="7"/>
      <c r="B580" s="7"/>
      <c r="C580" s="13"/>
      <c r="D580" s="13"/>
      <c r="E580" s="7"/>
      <c r="F580" s="7"/>
      <c r="G580" s="7"/>
      <c r="H580" s="7"/>
      <c r="I580" s="7"/>
      <c r="J580" s="7"/>
      <c r="K580" s="7"/>
      <c r="L580" s="7"/>
      <c r="M580" s="7"/>
      <c r="N580" s="7"/>
    </row>
    <row r="581" spans="1:14" ht="19.5" customHeight="1" x14ac:dyDescent="0.25">
      <c r="A581" s="7"/>
      <c r="B581" s="7"/>
      <c r="C581" s="13"/>
      <c r="D581" s="13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r="582" spans="1:14" ht="19.5" customHeight="1" x14ac:dyDescent="0.25">
      <c r="A582" s="7"/>
      <c r="B582" s="7"/>
      <c r="C582" s="13"/>
      <c r="D582" s="13"/>
      <c r="E582" s="7"/>
      <c r="F582" s="7"/>
      <c r="G582" s="7"/>
      <c r="H582" s="7"/>
      <c r="I582" s="7"/>
      <c r="J582" s="7"/>
      <c r="K582" s="7"/>
      <c r="L582" s="7"/>
      <c r="M582" s="7"/>
      <c r="N582" s="7"/>
    </row>
    <row r="583" spans="1:14" ht="19.5" customHeight="1" x14ac:dyDescent="0.25">
      <c r="A583" s="7"/>
      <c r="B583" s="7"/>
      <c r="C583" s="13"/>
      <c r="D583" s="13"/>
      <c r="E583" s="7"/>
      <c r="F583" s="7"/>
      <c r="G583" s="7"/>
      <c r="H583" s="7"/>
      <c r="I583" s="7"/>
      <c r="J583" s="7"/>
      <c r="K583" s="7"/>
      <c r="L583" s="7"/>
      <c r="M583" s="7"/>
      <c r="N583" s="7"/>
    </row>
    <row r="584" spans="1:14" ht="19.5" customHeight="1" x14ac:dyDescent="0.25">
      <c r="A584" s="7"/>
      <c r="B584" s="7"/>
      <c r="C584" s="13"/>
      <c r="D584" s="13"/>
      <c r="E584" s="7"/>
      <c r="F584" s="7"/>
      <c r="G584" s="7"/>
      <c r="H584" s="7"/>
      <c r="I584" s="7"/>
      <c r="J584" s="7"/>
      <c r="K584" s="7"/>
      <c r="L584" s="7"/>
      <c r="M584" s="7"/>
      <c r="N584" s="7"/>
    </row>
    <row r="585" spans="1:14" ht="19.5" customHeight="1" x14ac:dyDescent="0.25">
      <c r="A585" s="7"/>
      <c r="B585" s="7"/>
      <c r="C585" s="13"/>
      <c r="D585" s="13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r="586" spans="1:14" ht="19.5" customHeight="1" x14ac:dyDescent="0.25">
      <c r="A586" s="7"/>
      <c r="B586" s="7"/>
      <c r="C586" s="13"/>
      <c r="D586" s="13"/>
      <c r="E586" s="7"/>
      <c r="F586" s="7"/>
      <c r="G586" s="7"/>
      <c r="H586" s="7"/>
      <c r="I586" s="7"/>
      <c r="J586" s="7"/>
      <c r="K586" s="7"/>
      <c r="L586" s="7"/>
      <c r="M586" s="7"/>
      <c r="N586" s="7"/>
    </row>
    <row r="587" spans="1:14" ht="19.5" customHeight="1" x14ac:dyDescent="0.25">
      <c r="A587" s="7"/>
      <c r="B587" s="7"/>
      <c r="C587" s="13"/>
      <c r="D587" s="13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r="588" spans="1:14" ht="19.5" customHeight="1" x14ac:dyDescent="0.25">
      <c r="A588" s="7"/>
      <c r="B588" s="7"/>
      <c r="C588" s="13"/>
      <c r="D588" s="13"/>
      <c r="E588" s="7"/>
      <c r="F588" s="7"/>
      <c r="G588" s="7"/>
      <c r="H588" s="7"/>
      <c r="I588" s="7"/>
      <c r="J588" s="7"/>
      <c r="K588" s="7"/>
      <c r="L588" s="7"/>
      <c r="M588" s="7"/>
      <c r="N588" s="7"/>
    </row>
    <row r="589" spans="1:14" ht="19.5" customHeight="1" x14ac:dyDescent="0.25">
      <c r="A589" s="7"/>
      <c r="B589" s="7"/>
      <c r="C589" s="13"/>
      <c r="D589" s="13"/>
      <c r="E589" s="7"/>
      <c r="F589" s="7"/>
      <c r="G589" s="7"/>
      <c r="H589" s="7"/>
      <c r="I589" s="7"/>
      <c r="J589" s="7"/>
      <c r="K589" s="7"/>
      <c r="L589" s="7"/>
      <c r="M589" s="7"/>
      <c r="N589" s="7"/>
    </row>
    <row r="590" spans="1:14" ht="19.5" customHeight="1" x14ac:dyDescent="0.25">
      <c r="A590" s="7"/>
      <c r="B590" s="7"/>
      <c r="C590" s="13"/>
      <c r="D590" s="13"/>
      <c r="E590" s="7"/>
      <c r="F590" s="7"/>
      <c r="G590" s="7"/>
      <c r="H590" s="7"/>
      <c r="I590" s="7"/>
      <c r="J590" s="7"/>
      <c r="K590" s="7"/>
      <c r="L590" s="7"/>
      <c r="M590" s="7"/>
      <c r="N590" s="7"/>
    </row>
    <row r="591" spans="1:14" ht="19.5" customHeight="1" x14ac:dyDescent="0.25">
      <c r="A591" s="7"/>
      <c r="B591" s="7"/>
      <c r="C591" s="13"/>
      <c r="D591" s="13"/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 spans="1:14" ht="19.5" customHeight="1" x14ac:dyDescent="0.25">
      <c r="A592" s="7"/>
      <c r="B592" s="7"/>
      <c r="C592" s="13"/>
      <c r="D592" s="13"/>
      <c r="E592" s="7"/>
      <c r="F592" s="7"/>
      <c r="G592" s="7"/>
      <c r="H592" s="7"/>
      <c r="I592" s="7"/>
      <c r="J592" s="7"/>
      <c r="K592" s="7"/>
      <c r="L592" s="7"/>
      <c r="M592" s="7"/>
      <c r="N592" s="7"/>
    </row>
    <row r="593" spans="1:14" ht="19.5" customHeight="1" x14ac:dyDescent="0.25">
      <c r="A593" s="7"/>
      <c r="B593" s="7"/>
      <c r="C593" s="13"/>
      <c r="D593" s="13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r="594" spans="1:14" ht="19.5" customHeight="1" x14ac:dyDescent="0.25">
      <c r="A594" s="7"/>
      <c r="B594" s="7"/>
      <c r="C594" s="13"/>
      <c r="D594" s="13"/>
      <c r="E594" s="7"/>
      <c r="F594" s="7"/>
      <c r="G594" s="7"/>
      <c r="H594" s="7"/>
      <c r="I594" s="7"/>
      <c r="J594" s="7"/>
      <c r="K594" s="7"/>
      <c r="L594" s="7"/>
      <c r="M594" s="7"/>
      <c r="N594" s="7"/>
    </row>
    <row r="595" spans="1:14" ht="19.5" customHeight="1" x14ac:dyDescent="0.25">
      <c r="A595" s="7"/>
      <c r="B595" s="7"/>
      <c r="C595" s="13"/>
      <c r="D595" s="13"/>
      <c r="E595" s="7"/>
      <c r="F595" s="7"/>
      <c r="G595" s="7"/>
      <c r="H595" s="7"/>
      <c r="I595" s="7"/>
      <c r="J595" s="7"/>
      <c r="K595" s="7"/>
      <c r="L595" s="7"/>
      <c r="M595" s="7"/>
      <c r="N595" s="7"/>
    </row>
    <row r="596" spans="1:14" ht="19.5" customHeight="1" x14ac:dyDescent="0.25">
      <c r="A596" s="7"/>
      <c r="B596" s="7"/>
      <c r="C596" s="13"/>
      <c r="D596" s="13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r="597" spans="1:14" ht="19.5" customHeight="1" x14ac:dyDescent="0.25">
      <c r="A597" s="7"/>
      <c r="B597" s="7"/>
      <c r="C597" s="13"/>
      <c r="D597" s="13"/>
      <c r="E597" s="7"/>
      <c r="F597" s="7"/>
      <c r="G597" s="7"/>
      <c r="H597" s="7"/>
      <c r="I597" s="7"/>
      <c r="J597" s="7"/>
      <c r="K597" s="7"/>
      <c r="L597" s="7"/>
      <c r="M597" s="7"/>
      <c r="N597" s="7"/>
    </row>
    <row r="598" spans="1:14" ht="19.5" customHeight="1" x14ac:dyDescent="0.25">
      <c r="A598" s="7"/>
      <c r="B598" s="7"/>
      <c r="C598" s="13"/>
      <c r="D598" s="13"/>
      <c r="E598" s="7"/>
      <c r="F598" s="7"/>
      <c r="G598" s="7"/>
      <c r="H598" s="7"/>
      <c r="I598" s="7"/>
      <c r="J598" s="7"/>
      <c r="K598" s="7"/>
      <c r="L598" s="7"/>
      <c r="M598" s="7"/>
      <c r="N598" s="7"/>
    </row>
    <row r="599" spans="1:14" ht="19.5" customHeight="1" x14ac:dyDescent="0.25">
      <c r="A599" s="7"/>
      <c r="B599" s="7"/>
      <c r="C599" s="13"/>
      <c r="D599" s="13"/>
      <c r="E599" s="7"/>
      <c r="F599" s="7"/>
      <c r="G599" s="7"/>
      <c r="H599" s="7"/>
      <c r="I599" s="7"/>
      <c r="J599" s="7"/>
      <c r="K599" s="7"/>
      <c r="L599" s="7"/>
      <c r="M599" s="7"/>
      <c r="N599" s="7"/>
    </row>
    <row r="600" spans="1:14" ht="19.5" customHeight="1" x14ac:dyDescent="0.25">
      <c r="A600" s="7"/>
      <c r="B600" s="7"/>
      <c r="C600" s="13"/>
      <c r="D600" s="13"/>
      <c r="E600" s="7"/>
      <c r="F600" s="7"/>
      <c r="G600" s="7"/>
      <c r="H600" s="7"/>
      <c r="I600" s="7"/>
      <c r="J600" s="7"/>
      <c r="K600" s="7"/>
      <c r="L600" s="7"/>
      <c r="M600" s="7"/>
      <c r="N600" s="7"/>
    </row>
    <row r="601" spans="1:14" ht="19.5" customHeight="1" x14ac:dyDescent="0.25">
      <c r="A601" s="7"/>
      <c r="B601" s="7"/>
      <c r="C601" s="13"/>
      <c r="D601" s="13"/>
      <c r="E601" s="7"/>
      <c r="F601" s="7"/>
      <c r="G601" s="7"/>
      <c r="H601" s="7"/>
      <c r="I601" s="7"/>
      <c r="J601" s="7"/>
      <c r="K601" s="7"/>
      <c r="L601" s="7"/>
      <c r="M601" s="7"/>
      <c r="N601" s="7"/>
    </row>
    <row r="602" spans="1:14" ht="19.5" customHeight="1" x14ac:dyDescent="0.25">
      <c r="A602" s="7"/>
      <c r="B602" s="7"/>
      <c r="C602" s="13"/>
      <c r="D602" s="13"/>
      <c r="E602" s="7"/>
      <c r="F602" s="7"/>
      <c r="G602" s="7"/>
      <c r="H602" s="7"/>
      <c r="I602" s="7"/>
      <c r="J602" s="7"/>
      <c r="K602" s="7"/>
      <c r="L602" s="7"/>
      <c r="M602" s="7"/>
      <c r="N602" s="7"/>
    </row>
    <row r="603" spans="1:14" ht="19.5" customHeight="1" x14ac:dyDescent="0.25">
      <c r="A603" s="7"/>
      <c r="B603" s="7"/>
      <c r="C603" s="13"/>
      <c r="D603" s="13"/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r="604" spans="1:14" ht="19.5" customHeight="1" x14ac:dyDescent="0.25">
      <c r="A604" s="7"/>
      <c r="B604" s="7"/>
      <c r="C604" s="13"/>
      <c r="D604" s="13"/>
      <c r="E604" s="7"/>
      <c r="F604" s="7"/>
      <c r="G604" s="7"/>
      <c r="H604" s="7"/>
      <c r="I604" s="7"/>
      <c r="J604" s="7"/>
      <c r="K604" s="7"/>
      <c r="L604" s="7"/>
      <c r="M604" s="7"/>
      <c r="N604" s="7"/>
    </row>
    <row r="605" spans="1:14" ht="19.5" customHeight="1" x14ac:dyDescent="0.25">
      <c r="A605" s="7"/>
      <c r="B605" s="7"/>
      <c r="C605" s="13"/>
      <c r="D605" s="13"/>
      <c r="E605" s="7"/>
      <c r="F605" s="7"/>
      <c r="G605" s="7"/>
      <c r="H605" s="7"/>
      <c r="I605" s="7"/>
      <c r="J605" s="7"/>
      <c r="K605" s="7"/>
      <c r="L605" s="7"/>
      <c r="M605" s="7"/>
      <c r="N605" s="7"/>
    </row>
    <row r="606" spans="1:14" ht="19.5" customHeight="1" x14ac:dyDescent="0.25">
      <c r="A606" s="7"/>
      <c r="B606" s="7"/>
      <c r="C606" s="13"/>
      <c r="D606" s="13"/>
      <c r="E606" s="7"/>
      <c r="F606" s="7"/>
      <c r="G606" s="7"/>
      <c r="H606" s="7"/>
      <c r="I606" s="7"/>
      <c r="J606" s="7"/>
      <c r="K606" s="7"/>
      <c r="L606" s="7"/>
      <c r="M606" s="7"/>
      <c r="N606" s="7"/>
    </row>
    <row r="607" spans="1:14" ht="19.5" customHeight="1" x14ac:dyDescent="0.25">
      <c r="A607" s="7"/>
      <c r="B607" s="7"/>
      <c r="C607" s="13"/>
      <c r="D607" s="13"/>
      <c r="E607" s="7"/>
      <c r="F607" s="7"/>
      <c r="G607" s="7"/>
      <c r="H607" s="7"/>
      <c r="I607" s="7"/>
      <c r="J607" s="7"/>
      <c r="K607" s="7"/>
      <c r="L607" s="7"/>
      <c r="M607" s="7"/>
      <c r="N607" s="7"/>
    </row>
    <row r="608" spans="1:14" ht="19.5" customHeight="1" x14ac:dyDescent="0.25">
      <c r="A608" s="7"/>
      <c r="B608" s="7"/>
      <c r="C608" s="13"/>
      <c r="D608" s="13"/>
      <c r="E608" s="7"/>
      <c r="F608" s="7"/>
      <c r="G608" s="7"/>
      <c r="H608" s="7"/>
      <c r="I608" s="7"/>
      <c r="J608" s="7"/>
      <c r="K608" s="7"/>
      <c r="L608" s="7"/>
      <c r="M608" s="7"/>
      <c r="N608" s="7"/>
    </row>
    <row r="609" spans="1:14" ht="19.5" customHeight="1" x14ac:dyDescent="0.25">
      <c r="A609" s="7"/>
      <c r="B609" s="7"/>
      <c r="C609" s="13"/>
      <c r="D609" s="13"/>
      <c r="E609" s="7"/>
      <c r="F609" s="7"/>
      <c r="G609" s="7"/>
      <c r="H609" s="7"/>
      <c r="I609" s="7"/>
      <c r="J609" s="7"/>
      <c r="K609" s="7"/>
      <c r="L609" s="7"/>
      <c r="M609" s="7"/>
      <c r="N609" s="7"/>
    </row>
    <row r="610" spans="1:14" ht="19.5" customHeight="1" x14ac:dyDescent="0.25">
      <c r="A610" s="7"/>
      <c r="B610" s="7"/>
      <c r="C610" s="13"/>
      <c r="D610" s="13"/>
      <c r="E610" s="7"/>
      <c r="F610" s="7"/>
      <c r="G610" s="7"/>
      <c r="H610" s="7"/>
      <c r="I610" s="7"/>
      <c r="J610" s="7"/>
      <c r="K610" s="7"/>
      <c r="L610" s="7"/>
      <c r="M610" s="7"/>
      <c r="N610" s="7"/>
    </row>
    <row r="611" spans="1:14" ht="19.5" customHeight="1" x14ac:dyDescent="0.25">
      <c r="A611" s="7"/>
      <c r="B611" s="7"/>
      <c r="C611" s="13"/>
      <c r="D611" s="13"/>
      <c r="E611" s="7"/>
      <c r="F611" s="7"/>
      <c r="G611" s="7"/>
      <c r="H611" s="7"/>
      <c r="I611" s="7"/>
      <c r="J611" s="7"/>
      <c r="K611" s="7"/>
      <c r="L611" s="7"/>
      <c r="M611" s="7"/>
      <c r="N611" s="7"/>
    </row>
    <row r="612" spans="1:14" ht="19.5" customHeight="1" x14ac:dyDescent="0.25">
      <c r="A612" s="7"/>
      <c r="B612" s="7"/>
      <c r="C612" s="13"/>
      <c r="D612" s="13"/>
      <c r="E612" s="7"/>
      <c r="F612" s="7"/>
      <c r="G612" s="7"/>
      <c r="H612" s="7"/>
      <c r="I612" s="7"/>
      <c r="J612" s="7"/>
      <c r="K612" s="7"/>
      <c r="L612" s="7"/>
      <c r="M612" s="7"/>
      <c r="N612" s="7"/>
    </row>
    <row r="613" spans="1:14" ht="19.5" customHeight="1" x14ac:dyDescent="0.25">
      <c r="A613" s="7"/>
      <c r="B613" s="7"/>
      <c r="C613" s="13"/>
      <c r="D613" s="13"/>
      <c r="E613" s="7"/>
      <c r="F613" s="7"/>
      <c r="G613" s="7"/>
      <c r="H613" s="7"/>
      <c r="I613" s="7"/>
      <c r="J613" s="7"/>
      <c r="K613" s="7"/>
      <c r="L613" s="7"/>
      <c r="M613" s="7"/>
      <c r="N613" s="7"/>
    </row>
    <row r="614" spans="1:14" ht="19.5" customHeight="1" x14ac:dyDescent="0.25">
      <c r="A614" s="7"/>
      <c r="B614" s="7"/>
      <c r="C614" s="13"/>
      <c r="D614" s="13"/>
      <c r="E614" s="7"/>
      <c r="F614" s="7"/>
      <c r="G614" s="7"/>
      <c r="H614" s="7"/>
      <c r="I614" s="7"/>
      <c r="J614" s="7"/>
      <c r="K614" s="7"/>
      <c r="L614" s="7"/>
      <c r="M614" s="7"/>
      <c r="N614" s="7"/>
    </row>
    <row r="615" spans="1:14" ht="19.5" customHeight="1" x14ac:dyDescent="0.25">
      <c r="A615" s="7"/>
      <c r="B615" s="7"/>
      <c r="C615" s="13"/>
      <c r="D615" s="13"/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r="616" spans="1:14" ht="19.5" customHeight="1" x14ac:dyDescent="0.25">
      <c r="A616" s="7"/>
      <c r="B616" s="7"/>
      <c r="C616" s="13"/>
      <c r="D616" s="13"/>
      <c r="E616" s="7"/>
      <c r="F616" s="7"/>
      <c r="G616" s="7"/>
      <c r="H616" s="7"/>
      <c r="I616" s="7"/>
      <c r="J616" s="7"/>
      <c r="K616" s="7"/>
      <c r="L616" s="7"/>
      <c r="M616" s="7"/>
      <c r="N616" s="7"/>
    </row>
    <row r="617" spans="1:14" ht="19.5" customHeight="1" x14ac:dyDescent="0.25">
      <c r="A617" s="7"/>
      <c r="B617" s="7"/>
      <c r="C617" s="13"/>
      <c r="D617" s="13"/>
      <c r="E617" s="7"/>
      <c r="F617" s="7"/>
      <c r="G617" s="7"/>
      <c r="H617" s="7"/>
      <c r="I617" s="7"/>
      <c r="J617" s="7"/>
      <c r="K617" s="7"/>
      <c r="L617" s="7"/>
      <c r="M617" s="7"/>
      <c r="N617" s="7"/>
    </row>
    <row r="618" spans="1:14" ht="19.5" customHeight="1" x14ac:dyDescent="0.25">
      <c r="A618" s="7"/>
      <c r="B618" s="7"/>
      <c r="C618" s="13"/>
      <c r="D618" s="13"/>
      <c r="E618" s="7"/>
      <c r="F618" s="7"/>
      <c r="G618" s="7"/>
      <c r="H618" s="7"/>
      <c r="I618" s="7"/>
      <c r="J618" s="7"/>
      <c r="K618" s="7"/>
      <c r="L618" s="7"/>
      <c r="M618" s="7"/>
      <c r="N618" s="7"/>
    </row>
    <row r="619" spans="1:14" ht="19.5" customHeight="1" x14ac:dyDescent="0.25">
      <c r="A619" s="7"/>
      <c r="B619" s="7"/>
      <c r="C619" s="13"/>
      <c r="D619" s="13"/>
      <c r="E619" s="7"/>
      <c r="F619" s="7"/>
      <c r="G619" s="7"/>
      <c r="H619" s="7"/>
      <c r="I619" s="7"/>
      <c r="J619" s="7"/>
      <c r="K619" s="7"/>
      <c r="L619" s="7"/>
      <c r="M619" s="7"/>
      <c r="N619" s="7"/>
    </row>
    <row r="620" spans="1:14" ht="19.5" customHeight="1" x14ac:dyDescent="0.25">
      <c r="A620" s="7"/>
      <c r="B620" s="7"/>
      <c r="C620" s="13"/>
      <c r="D620" s="13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r="621" spans="1:14" ht="19.5" customHeight="1" x14ac:dyDescent="0.25">
      <c r="A621" s="7"/>
      <c r="B621" s="7"/>
      <c r="C621" s="13"/>
      <c r="D621" s="13"/>
      <c r="E621" s="7"/>
      <c r="F621" s="7"/>
      <c r="G621" s="7"/>
      <c r="H621" s="7"/>
      <c r="I621" s="7"/>
      <c r="J621" s="7"/>
      <c r="K621" s="7"/>
      <c r="L621" s="7"/>
      <c r="M621" s="7"/>
      <c r="N621" s="7"/>
    </row>
    <row r="622" spans="1:14" ht="19.5" customHeight="1" x14ac:dyDescent="0.25">
      <c r="A622" s="7"/>
      <c r="B622" s="7"/>
      <c r="C622" s="13"/>
      <c r="D622" s="13"/>
      <c r="E622" s="7"/>
      <c r="F622" s="7"/>
      <c r="G622" s="7"/>
      <c r="H622" s="7"/>
      <c r="I622" s="7"/>
      <c r="J622" s="7"/>
      <c r="K622" s="7"/>
      <c r="L622" s="7"/>
      <c r="M622" s="7"/>
      <c r="N622" s="7"/>
    </row>
    <row r="623" spans="1:14" ht="19.5" customHeight="1" x14ac:dyDescent="0.25">
      <c r="A623" s="7"/>
      <c r="B623" s="7"/>
      <c r="C623" s="13"/>
      <c r="D623" s="13"/>
      <c r="E623" s="7"/>
      <c r="F623" s="7"/>
      <c r="G623" s="7"/>
      <c r="H623" s="7"/>
      <c r="I623" s="7"/>
      <c r="J623" s="7"/>
      <c r="K623" s="7"/>
      <c r="L623" s="7"/>
      <c r="M623" s="7"/>
      <c r="N623" s="7"/>
    </row>
    <row r="624" spans="1:14" ht="19.5" customHeight="1" x14ac:dyDescent="0.25">
      <c r="A624" s="7"/>
      <c r="B624" s="7"/>
      <c r="C624" s="13"/>
      <c r="D624" s="13"/>
      <c r="E624" s="7"/>
      <c r="F624" s="7"/>
      <c r="G624" s="7"/>
      <c r="H624" s="7"/>
      <c r="I624" s="7"/>
      <c r="J624" s="7"/>
      <c r="K624" s="7"/>
      <c r="L624" s="7"/>
      <c r="M624" s="7"/>
      <c r="N624" s="7"/>
    </row>
    <row r="625" spans="1:14" ht="19.5" customHeight="1" x14ac:dyDescent="0.25">
      <c r="A625" s="7"/>
      <c r="B625" s="7"/>
      <c r="C625" s="13"/>
      <c r="D625" s="13"/>
      <c r="E625" s="7"/>
      <c r="F625" s="7"/>
      <c r="G625" s="7"/>
      <c r="H625" s="7"/>
      <c r="I625" s="7"/>
      <c r="J625" s="7"/>
      <c r="K625" s="7"/>
      <c r="L625" s="7"/>
      <c r="M625" s="7"/>
      <c r="N625" s="7"/>
    </row>
    <row r="626" spans="1:14" ht="19.5" customHeight="1" x14ac:dyDescent="0.25">
      <c r="A626" s="7"/>
      <c r="B626" s="7"/>
      <c r="C626" s="13"/>
      <c r="D626" s="13"/>
      <c r="E626" s="7"/>
      <c r="F626" s="7"/>
      <c r="G626" s="7"/>
      <c r="H626" s="7"/>
      <c r="I626" s="7"/>
      <c r="J626" s="7"/>
      <c r="K626" s="7"/>
      <c r="L626" s="7"/>
      <c r="M626" s="7"/>
      <c r="N626" s="7"/>
    </row>
    <row r="627" spans="1:14" ht="19.5" customHeight="1" x14ac:dyDescent="0.25">
      <c r="A627" s="7"/>
      <c r="B627" s="7"/>
      <c r="C627" s="13"/>
      <c r="D627" s="13"/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 spans="1:14" ht="19.5" customHeight="1" x14ac:dyDescent="0.25">
      <c r="A628" s="7"/>
      <c r="B628" s="7"/>
      <c r="C628" s="13"/>
      <c r="D628" s="13"/>
      <c r="E628" s="7"/>
      <c r="F628" s="7"/>
      <c r="G628" s="7"/>
      <c r="H628" s="7"/>
      <c r="I628" s="7"/>
      <c r="J628" s="7"/>
      <c r="K628" s="7"/>
      <c r="L628" s="7"/>
      <c r="M628" s="7"/>
      <c r="N628" s="7"/>
    </row>
    <row r="629" spans="1:14" ht="19.5" customHeight="1" x14ac:dyDescent="0.25">
      <c r="A629" s="7"/>
      <c r="B629" s="7"/>
      <c r="C629" s="13"/>
      <c r="D629" s="13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r="630" spans="1:14" ht="19.5" customHeight="1" x14ac:dyDescent="0.25">
      <c r="A630" s="7"/>
      <c r="B630" s="7"/>
      <c r="C630" s="13"/>
      <c r="D630" s="13"/>
      <c r="E630" s="7"/>
      <c r="F630" s="7"/>
      <c r="G630" s="7"/>
      <c r="H630" s="7"/>
      <c r="I630" s="7"/>
      <c r="J630" s="7"/>
      <c r="K630" s="7"/>
      <c r="L630" s="7"/>
      <c r="M630" s="7"/>
      <c r="N630" s="7"/>
    </row>
    <row r="631" spans="1:14" ht="19.5" customHeight="1" x14ac:dyDescent="0.25">
      <c r="A631" s="7"/>
      <c r="B631" s="7"/>
      <c r="C631" s="13"/>
      <c r="D631" s="13"/>
      <c r="E631" s="7"/>
      <c r="F631" s="7"/>
      <c r="G631" s="7"/>
      <c r="H631" s="7"/>
      <c r="I631" s="7"/>
      <c r="J631" s="7"/>
      <c r="K631" s="7"/>
      <c r="L631" s="7"/>
      <c r="M631" s="7"/>
      <c r="N631" s="7"/>
    </row>
    <row r="632" spans="1:14" ht="19.5" customHeight="1" x14ac:dyDescent="0.25">
      <c r="A632" s="7"/>
      <c r="B632" s="7"/>
      <c r="C632" s="13"/>
      <c r="D632" s="13"/>
      <c r="E632" s="7"/>
      <c r="F632" s="7"/>
      <c r="G632" s="7"/>
      <c r="H632" s="7"/>
      <c r="I632" s="7"/>
      <c r="J632" s="7"/>
      <c r="K632" s="7"/>
      <c r="L632" s="7"/>
      <c r="M632" s="7"/>
      <c r="N632" s="7"/>
    </row>
    <row r="633" spans="1:14" ht="19.5" customHeight="1" x14ac:dyDescent="0.25">
      <c r="A633" s="7"/>
      <c r="B633" s="7"/>
      <c r="C633" s="13"/>
      <c r="D633" s="13"/>
      <c r="E633" s="7"/>
      <c r="F633" s="7"/>
      <c r="G633" s="7"/>
      <c r="H633" s="7"/>
      <c r="I633" s="7"/>
      <c r="J633" s="7"/>
      <c r="K633" s="7"/>
      <c r="L633" s="7"/>
      <c r="M633" s="7"/>
      <c r="N633" s="7"/>
    </row>
    <row r="634" spans="1:14" ht="19.5" customHeight="1" x14ac:dyDescent="0.25">
      <c r="A634" s="7"/>
      <c r="B634" s="7"/>
      <c r="C634" s="13"/>
      <c r="D634" s="13"/>
      <c r="E634" s="7"/>
      <c r="F634" s="7"/>
      <c r="G634" s="7"/>
      <c r="H634" s="7"/>
      <c r="I634" s="7"/>
      <c r="J634" s="7"/>
      <c r="K634" s="7"/>
      <c r="L634" s="7"/>
      <c r="M634" s="7"/>
      <c r="N634" s="7"/>
    </row>
    <row r="635" spans="1:14" ht="19.5" customHeight="1" x14ac:dyDescent="0.25">
      <c r="A635" s="7"/>
      <c r="B635" s="7"/>
      <c r="C635" s="13"/>
      <c r="D635" s="13"/>
      <c r="E635" s="7"/>
      <c r="F635" s="7"/>
      <c r="G635" s="7"/>
      <c r="H635" s="7"/>
      <c r="I635" s="7"/>
      <c r="J635" s="7"/>
      <c r="K635" s="7"/>
      <c r="L635" s="7"/>
      <c r="M635" s="7"/>
      <c r="N635" s="7"/>
    </row>
    <row r="636" spans="1:14" ht="19.5" customHeight="1" x14ac:dyDescent="0.25">
      <c r="A636" s="7"/>
      <c r="B636" s="7"/>
      <c r="C636" s="13"/>
      <c r="D636" s="13"/>
      <c r="E636" s="7"/>
      <c r="F636" s="7"/>
      <c r="G636" s="7"/>
      <c r="H636" s="7"/>
      <c r="I636" s="7"/>
      <c r="J636" s="7"/>
      <c r="K636" s="7"/>
      <c r="L636" s="7"/>
      <c r="M636" s="7"/>
      <c r="N636" s="7"/>
    </row>
    <row r="637" spans="1:14" ht="19.5" customHeight="1" x14ac:dyDescent="0.25">
      <c r="A637" s="7"/>
      <c r="B637" s="7"/>
      <c r="C637" s="13"/>
      <c r="D637" s="13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r="638" spans="1:14" ht="19.5" customHeight="1" x14ac:dyDescent="0.25">
      <c r="A638" s="7"/>
      <c r="B638" s="7"/>
      <c r="C638" s="13"/>
      <c r="D638" s="13"/>
      <c r="E638" s="7"/>
      <c r="F638" s="7"/>
      <c r="G638" s="7"/>
      <c r="H638" s="7"/>
      <c r="I638" s="7"/>
      <c r="J638" s="7"/>
      <c r="K638" s="7"/>
      <c r="L638" s="7"/>
      <c r="M638" s="7"/>
      <c r="N638" s="7"/>
    </row>
    <row r="639" spans="1:14" ht="19.5" customHeight="1" x14ac:dyDescent="0.25">
      <c r="A639" s="7"/>
      <c r="B639" s="7"/>
      <c r="C639" s="13"/>
      <c r="D639" s="13"/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 spans="1:14" ht="19.5" customHeight="1" x14ac:dyDescent="0.25">
      <c r="A640" s="7"/>
      <c r="B640" s="7"/>
      <c r="C640" s="13"/>
      <c r="D640" s="13"/>
      <c r="E640" s="7"/>
      <c r="F640" s="7"/>
      <c r="G640" s="7"/>
      <c r="H640" s="7"/>
      <c r="I640" s="7"/>
      <c r="J640" s="7"/>
      <c r="K640" s="7"/>
      <c r="L640" s="7"/>
      <c r="M640" s="7"/>
      <c r="N640" s="7"/>
    </row>
    <row r="641" spans="1:14" ht="19.5" customHeight="1" x14ac:dyDescent="0.25">
      <c r="A641" s="7"/>
      <c r="B641" s="7"/>
      <c r="C641" s="13"/>
      <c r="D641" s="13"/>
      <c r="E641" s="7"/>
      <c r="F641" s="7"/>
      <c r="G641" s="7"/>
      <c r="H641" s="7"/>
      <c r="I641" s="7"/>
      <c r="J641" s="7"/>
      <c r="K641" s="7"/>
      <c r="L641" s="7"/>
      <c r="M641" s="7"/>
      <c r="N641" s="7"/>
    </row>
    <row r="642" spans="1:14" ht="19.5" customHeight="1" x14ac:dyDescent="0.25">
      <c r="A642" s="7"/>
      <c r="B642" s="7"/>
      <c r="C642" s="13"/>
      <c r="D642" s="13"/>
      <c r="E642" s="7"/>
      <c r="F642" s="7"/>
      <c r="G642" s="7"/>
      <c r="H642" s="7"/>
      <c r="I642" s="7"/>
      <c r="J642" s="7"/>
      <c r="K642" s="7"/>
      <c r="L642" s="7"/>
      <c r="M642" s="7"/>
      <c r="N642" s="7"/>
    </row>
    <row r="643" spans="1:14" ht="19.5" customHeight="1" x14ac:dyDescent="0.25">
      <c r="A643" s="7"/>
      <c r="B643" s="7"/>
      <c r="C643" s="13"/>
      <c r="D643" s="13"/>
      <c r="E643" s="7"/>
      <c r="F643" s="7"/>
      <c r="G643" s="7"/>
      <c r="H643" s="7"/>
      <c r="I643" s="7"/>
      <c r="J643" s="7"/>
      <c r="K643" s="7"/>
      <c r="L643" s="7"/>
      <c r="M643" s="7"/>
      <c r="N643" s="7"/>
    </row>
    <row r="644" spans="1:14" ht="19.5" customHeight="1" x14ac:dyDescent="0.25">
      <c r="A644" s="7"/>
      <c r="B644" s="7"/>
      <c r="C644" s="13"/>
      <c r="D644" s="13"/>
      <c r="E644" s="7"/>
      <c r="F644" s="7"/>
      <c r="G644" s="7"/>
      <c r="H644" s="7"/>
      <c r="I644" s="7"/>
      <c r="J644" s="7"/>
      <c r="K644" s="7"/>
      <c r="L644" s="7"/>
      <c r="M644" s="7"/>
      <c r="N644" s="7"/>
    </row>
    <row r="645" spans="1:14" ht="19.5" customHeight="1" x14ac:dyDescent="0.25">
      <c r="A645" s="7"/>
      <c r="B645" s="7"/>
      <c r="C645" s="13"/>
      <c r="D645" s="13"/>
      <c r="E645" s="7"/>
      <c r="F645" s="7"/>
      <c r="G645" s="7"/>
      <c r="H645" s="7"/>
      <c r="I645" s="7"/>
      <c r="J645" s="7"/>
      <c r="K645" s="7"/>
      <c r="L645" s="7"/>
      <c r="M645" s="7"/>
      <c r="N645" s="7"/>
    </row>
    <row r="646" spans="1:14" ht="19.5" customHeight="1" x14ac:dyDescent="0.25">
      <c r="A646" s="7"/>
      <c r="B646" s="7"/>
      <c r="C646" s="13"/>
      <c r="D646" s="13"/>
      <c r="E646" s="7"/>
      <c r="F646" s="7"/>
      <c r="G646" s="7"/>
      <c r="H646" s="7"/>
      <c r="I646" s="7"/>
      <c r="J646" s="7"/>
      <c r="K646" s="7"/>
      <c r="L646" s="7"/>
      <c r="M646" s="7"/>
      <c r="N646" s="7"/>
    </row>
    <row r="647" spans="1:14" ht="19.5" customHeight="1" x14ac:dyDescent="0.25">
      <c r="A647" s="7"/>
      <c r="B647" s="7"/>
      <c r="C647" s="13"/>
      <c r="D647" s="13"/>
      <c r="E647" s="7"/>
      <c r="F647" s="7"/>
      <c r="G647" s="7"/>
      <c r="H647" s="7"/>
      <c r="I647" s="7"/>
      <c r="J647" s="7"/>
      <c r="K647" s="7"/>
      <c r="L647" s="7"/>
      <c r="M647" s="7"/>
      <c r="N647" s="7"/>
    </row>
    <row r="648" spans="1:14" ht="19.5" customHeight="1" x14ac:dyDescent="0.25">
      <c r="A648" s="7"/>
      <c r="B648" s="7"/>
      <c r="C648" s="13"/>
      <c r="D648" s="13"/>
      <c r="E648" s="7"/>
      <c r="F648" s="7"/>
      <c r="G648" s="7"/>
      <c r="H648" s="7"/>
      <c r="I648" s="7"/>
      <c r="J648" s="7"/>
      <c r="K648" s="7"/>
      <c r="L648" s="7"/>
      <c r="M648" s="7"/>
      <c r="N648" s="7"/>
    </row>
    <row r="649" spans="1:14" ht="19.5" customHeight="1" x14ac:dyDescent="0.25">
      <c r="A649" s="7"/>
      <c r="B649" s="7"/>
      <c r="C649" s="13"/>
      <c r="D649" s="13"/>
      <c r="E649" s="7"/>
      <c r="F649" s="7"/>
      <c r="G649" s="7"/>
      <c r="H649" s="7"/>
      <c r="I649" s="7"/>
      <c r="J649" s="7"/>
      <c r="K649" s="7"/>
      <c r="L649" s="7"/>
      <c r="M649" s="7"/>
      <c r="N649" s="7"/>
    </row>
    <row r="650" spans="1:14" ht="19.5" customHeight="1" x14ac:dyDescent="0.25">
      <c r="A650" s="7"/>
      <c r="B650" s="7"/>
      <c r="C650" s="13"/>
      <c r="D650" s="13"/>
      <c r="E650" s="7"/>
      <c r="F650" s="7"/>
      <c r="G650" s="7"/>
      <c r="H650" s="7"/>
      <c r="I650" s="7"/>
      <c r="J650" s="7"/>
      <c r="K650" s="7"/>
      <c r="L650" s="7"/>
      <c r="M650" s="7"/>
      <c r="N650" s="7"/>
    </row>
    <row r="651" spans="1:14" ht="19.5" customHeight="1" x14ac:dyDescent="0.25">
      <c r="A651" s="7"/>
      <c r="B651" s="7"/>
      <c r="C651" s="13"/>
      <c r="D651" s="13"/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r="652" spans="1:14" ht="19.5" customHeight="1" x14ac:dyDescent="0.25">
      <c r="A652" s="7"/>
      <c r="B652" s="7"/>
      <c r="C652" s="13"/>
      <c r="D652" s="13"/>
      <c r="E652" s="7"/>
      <c r="F652" s="7"/>
      <c r="G652" s="7"/>
      <c r="H652" s="7"/>
      <c r="I652" s="7"/>
      <c r="J652" s="7"/>
      <c r="K652" s="7"/>
      <c r="L652" s="7"/>
      <c r="M652" s="7"/>
      <c r="N652" s="7"/>
    </row>
    <row r="653" spans="1:14" ht="19.5" customHeight="1" x14ac:dyDescent="0.25">
      <c r="A653" s="7"/>
      <c r="B653" s="7"/>
      <c r="C653" s="13"/>
      <c r="D653" s="13"/>
      <c r="E653" s="7"/>
      <c r="F653" s="7"/>
      <c r="G653" s="7"/>
      <c r="H653" s="7"/>
      <c r="I653" s="7"/>
      <c r="J653" s="7"/>
      <c r="K653" s="7"/>
      <c r="L653" s="7"/>
      <c r="M653" s="7"/>
      <c r="N653" s="7"/>
    </row>
    <row r="654" spans="1:14" ht="19.5" customHeight="1" x14ac:dyDescent="0.25">
      <c r="A654" s="7"/>
      <c r="B654" s="7"/>
      <c r="C654" s="13"/>
      <c r="D654" s="13"/>
      <c r="E654" s="7"/>
      <c r="F654" s="7"/>
      <c r="G654" s="7"/>
      <c r="H654" s="7"/>
      <c r="I654" s="7"/>
      <c r="J654" s="7"/>
      <c r="K654" s="7"/>
      <c r="L654" s="7"/>
      <c r="M654" s="7"/>
      <c r="N654" s="7"/>
    </row>
    <row r="655" spans="1:14" ht="19.5" customHeight="1" x14ac:dyDescent="0.25">
      <c r="A655" s="7"/>
      <c r="B655" s="7"/>
      <c r="C655" s="13"/>
      <c r="D655" s="13"/>
      <c r="E655" s="7"/>
      <c r="F655" s="7"/>
      <c r="G655" s="7"/>
      <c r="H655" s="7"/>
      <c r="I655" s="7"/>
      <c r="J655" s="7"/>
      <c r="K655" s="7"/>
      <c r="L655" s="7"/>
      <c r="M655" s="7"/>
      <c r="N655" s="7"/>
    </row>
    <row r="656" spans="1:14" ht="19.5" customHeight="1" x14ac:dyDescent="0.25">
      <c r="A656" s="7"/>
      <c r="B656" s="7"/>
      <c r="C656" s="13"/>
      <c r="D656" s="13"/>
      <c r="E656" s="7"/>
      <c r="F656" s="7"/>
      <c r="G656" s="7"/>
      <c r="H656" s="7"/>
      <c r="I656" s="7"/>
      <c r="J656" s="7"/>
      <c r="K656" s="7"/>
      <c r="L656" s="7"/>
      <c r="M656" s="7"/>
      <c r="N656" s="7"/>
    </row>
    <row r="657" spans="1:14" ht="19.5" customHeight="1" x14ac:dyDescent="0.25">
      <c r="A657" s="7"/>
      <c r="B657" s="7"/>
      <c r="C657" s="13"/>
      <c r="D657" s="13"/>
      <c r="E657" s="7"/>
      <c r="F657" s="7"/>
      <c r="G657" s="7"/>
      <c r="H657" s="7"/>
      <c r="I657" s="7"/>
      <c r="J657" s="7"/>
      <c r="K657" s="7"/>
      <c r="L657" s="7"/>
      <c r="M657" s="7"/>
      <c r="N657" s="7"/>
    </row>
    <row r="658" spans="1:14" ht="19.5" customHeight="1" x14ac:dyDescent="0.25">
      <c r="A658" s="7"/>
      <c r="B658" s="7"/>
      <c r="C658" s="13"/>
      <c r="D658" s="13"/>
      <c r="E658" s="7"/>
      <c r="F658" s="7"/>
      <c r="G658" s="7"/>
      <c r="H658" s="7"/>
      <c r="I658" s="7"/>
      <c r="J658" s="7"/>
      <c r="K658" s="7"/>
      <c r="L658" s="7"/>
      <c r="M658" s="7"/>
      <c r="N658" s="7"/>
    </row>
    <row r="659" spans="1:14" ht="19.5" customHeight="1" x14ac:dyDescent="0.25">
      <c r="A659" s="7"/>
      <c r="B659" s="7"/>
      <c r="C659" s="13"/>
      <c r="D659" s="13"/>
      <c r="E659" s="7"/>
      <c r="F659" s="7"/>
      <c r="G659" s="7"/>
      <c r="H659" s="7"/>
      <c r="I659" s="7"/>
      <c r="J659" s="7"/>
      <c r="K659" s="7"/>
      <c r="L659" s="7"/>
      <c r="M659" s="7"/>
      <c r="N659" s="7"/>
    </row>
    <row r="660" spans="1:14" ht="19.5" customHeight="1" x14ac:dyDescent="0.25">
      <c r="A660" s="7"/>
      <c r="B660" s="7"/>
      <c r="C660" s="13"/>
      <c r="D660" s="13"/>
      <c r="E660" s="7"/>
      <c r="F660" s="7"/>
      <c r="G660" s="7"/>
      <c r="H660" s="7"/>
      <c r="I660" s="7"/>
      <c r="J660" s="7"/>
      <c r="K660" s="7"/>
      <c r="L660" s="7"/>
      <c r="M660" s="7"/>
      <c r="N660" s="7"/>
    </row>
    <row r="661" spans="1:14" ht="19.5" customHeight="1" x14ac:dyDescent="0.25">
      <c r="A661" s="7"/>
      <c r="B661" s="7"/>
      <c r="C661" s="13"/>
      <c r="D661" s="13"/>
      <c r="E661" s="7"/>
      <c r="F661" s="7"/>
      <c r="G661" s="7"/>
      <c r="H661" s="7"/>
      <c r="I661" s="7"/>
      <c r="J661" s="7"/>
      <c r="K661" s="7"/>
      <c r="L661" s="7"/>
      <c r="M661" s="7"/>
      <c r="N661" s="7"/>
    </row>
    <row r="662" spans="1:14" ht="19.5" customHeight="1" x14ac:dyDescent="0.25">
      <c r="A662" s="7"/>
      <c r="B662" s="7"/>
      <c r="C662" s="13"/>
      <c r="D662" s="13"/>
      <c r="E662" s="7"/>
      <c r="F662" s="7"/>
      <c r="G662" s="7"/>
      <c r="H662" s="7"/>
      <c r="I662" s="7"/>
      <c r="J662" s="7"/>
      <c r="K662" s="7"/>
      <c r="L662" s="7"/>
      <c r="M662" s="7"/>
      <c r="N662" s="7"/>
    </row>
    <row r="663" spans="1:14" ht="19.5" customHeight="1" x14ac:dyDescent="0.25">
      <c r="A663" s="7"/>
      <c r="B663" s="7"/>
      <c r="C663" s="13"/>
      <c r="D663" s="13"/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r="664" spans="1:14" ht="19.5" customHeight="1" x14ac:dyDescent="0.25">
      <c r="A664" s="7"/>
      <c r="B664" s="7"/>
      <c r="C664" s="13"/>
      <c r="D664" s="13"/>
      <c r="E664" s="7"/>
      <c r="F664" s="7"/>
      <c r="G664" s="7"/>
      <c r="H664" s="7"/>
      <c r="I664" s="7"/>
      <c r="J664" s="7"/>
      <c r="K664" s="7"/>
      <c r="L664" s="7"/>
      <c r="M664" s="7"/>
      <c r="N664" s="7"/>
    </row>
    <row r="665" spans="1:14" ht="19.5" customHeight="1" x14ac:dyDescent="0.25">
      <c r="A665" s="7"/>
      <c r="B665" s="7"/>
      <c r="C665" s="13"/>
      <c r="D665" s="13"/>
      <c r="E665" s="7"/>
      <c r="F665" s="7"/>
      <c r="G665" s="7"/>
      <c r="H665" s="7"/>
      <c r="I665" s="7"/>
      <c r="J665" s="7"/>
      <c r="K665" s="7"/>
      <c r="L665" s="7"/>
      <c r="M665" s="7"/>
      <c r="N665" s="7"/>
    </row>
    <row r="666" spans="1:14" ht="19.5" customHeight="1" x14ac:dyDescent="0.25">
      <c r="A666" s="7"/>
      <c r="B666" s="7"/>
      <c r="C666" s="13"/>
      <c r="D666" s="13"/>
      <c r="E666" s="7"/>
      <c r="F666" s="7"/>
      <c r="G666" s="7"/>
      <c r="H666" s="7"/>
      <c r="I666" s="7"/>
      <c r="J666" s="7"/>
      <c r="K666" s="7"/>
      <c r="L666" s="7"/>
      <c r="M666" s="7"/>
      <c r="N666" s="7"/>
    </row>
    <row r="667" spans="1:14" ht="19.5" customHeight="1" x14ac:dyDescent="0.25">
      <c r="A667" s="7"/>
      <c r="B667" s="7"/>
      <c r="C667" s="13"/>
      <c r="D667" s="13"/>
      <c r="E667" s="7"/>
      <c r="F667" s="7"/>
      <c r="G667" s="7"/>
      <c r="H667" s="7"/>
      <c r="I667" s="7"/>
      <c r="J667" s="7"/>
      <c r="K667" s="7"/>
      <c r="L667" s="7"/>
      <c r="M667" s="7"/>
      <c r="N667" s="7"/>
    </row>
    <row r="668" spans="1:14" ht="19.5" customHeight="1" x14ac:dyDescent="0.25">
      <c r="A668" s="7"/>
      <c r="B668" s="7"/>
      <c r="C668" s="13"/>
      <c r="D668" s="13"/>
      <c r="E668" s="7"/>
      <c r="F668" s="7"/>
      <c r="G668" s="7"/>
      <c r="H668" s="7"/>
      <c r="I668" s="7"/>
      <c r="J668" s="7"/>
      <c r="K668" s="7"/>
      <c r="L668" s="7"/>
      <c r="M668" s="7"/>
      <c r="N668" s="7"/>
    </row>
    <row r="669" spans="1:14" ht="19.5" customHeight="1" x14ac:dyDescent="0.25">
      <c r="A669" s="7"/>
      <c r="B669" s="7"/>
      <c r="C669" s="13"/>
      <c r="D669" s="13"/>
      <c r="E669" s="7"/>
      <c r="F669" s="7"/>
      <c r="G669" s="7"/>
      <c r="H669" s="7"/>
      <c r="I669" s="7"/>
      <c r="J669" s="7"/>
      <c r="K669" s="7"/>
      <c r="L669" s="7"/>
      <c r="M669" s="7"/>
      <c r="N669" s="7"/>
    </row>
    <row r="670" spans="1:14" ht="19.5" customHeight="1" x14ac:dyDescent="0.25">
      <c r="A670" s="7"/>
      <c r="B670" s="7"/>
      <c r="C670" s="13"/>
      <c r="D670" s="13"/>
      <c r="E670" s="7"/>
      <c r="F670" s="7"/>
      <c r="G670" s="7"/>
      <c r="H670" s="7"/>
      <c r="I670" s="7"/>
      <c r="J670" s="7"/>
      <c r="K670" s="7"/>
      <c r="L670" s="7"/>
      <c r="M670" s="7"/>
      <c r="N670" s="7"/>
    </row>
    <row r="671" spans="1:14" ht="19.5" customHeight="1" x14ac:dyDescent="0.25">
      <c r="A671" s="7"/>
      <c r="B671" s="7"/>
      <c r="C671" s="13"/>
      <c r="D671" s="13"/>
      <c r="E671" s="7"/>
      <c r="F671" s="7"/>
      <c r="G671" s="7"/>
      <c r="H671" s="7"/>
      <c r="I671" s="7"/>
      <c r="J671" s="7"/>
      <c r="K671" s="7"/>
      <c r="L671" s="7"/>
      <c r="M671" s="7"/>
      <c r="N671" s="7"/>
    </row>
    <row r="672" spans="1:14" ht="19.5" customHeight="1" x14ac:dyDescent="0.25">
      <c r="A672" s="7"/>
      <c r="B672" s="7"/>
      <c r="C672" s="13"/>
      <c r="D672" s="13"/>
      <c r="E672" s="7"/>
      <c r="F672" s="7"/>
      <c r="G672" s="7"/>
      <c r="H672" s="7"/>
      <c r="I672" s="7"/>
      <c r="J672" s="7"/>
      <c r="K672" s="7"/>
      <c r="L672" s="7"/>
      <c r="M672" s="7"/>
      <c r="N672" s="7"/>
    </row>
    <row r="673" spans="1:14" ht="19.5" customHeight="1" x14ac:dyDescent="0.25">
      <c r="A673" s="7"/>
      <c r="B673" s="7"/>
      <c r="C673" s="13"/>
      <c r="D673" s="13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r="674" spans="1:14" ht="19.5" customHeight="1" x14ac:dyDescent="0.25">
      <c r="A674" s="7"/>
      <c r="B674" s="7"/>
      <c r="C674" s="13"/>
      <c r="D674" s="13"/>
      <c r="E674" s="7"/>
      <c r="F674" s="7"/>
      <c r="G674" s="7"/>
      <c r="H674" s="7"/>
      <c r="I674" s="7"/>
      <c r="J674" s="7"/>
      <c r="K674" s="7"/>
      <c r="L674" s="7"/>
      <c r="M674" s="7"/>
      <c r="N674" s="7"/>
    </row>
    <row r="675" spans="1:14" ht="19.5" customHeight="1" x14ac:dyDescent="0.25">
      <c r="A675" s="7"/>
      <c r="B675" s="7"/>
      <c r="C675" s="13"/>
      <c r="D675" s="13"/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r="676" spans="1:14" ht="19.5" customHeight="1" x14ac:dyDescent="0.25">
      <c r="A676" s="7"/>
      <c r="B676" s="7"/>
      <c r="C676" s="13"/>
      <c r="D676" s="13"/>
      <c r="E676" s="7"/>
      <c r="F676" s="7"/>
      <c r="G676" s="7"/>
      <c r="H676" s="7"/>
      <c r="I676" s="7"/>
      <c r="J676" s="7"/>
      <c r="K676" s="7"/>
      <c r="L676" s="7"/>
      <c r="M676" s="7"/>
      <c r="N676" s="7"/>
    </row>
    <row r="677" spans="1:14" ht="19.5" customHeight="1" x14ac:dyDescent="0.25">
      <c r="A677" s="7"/>
      <c r="B677" s="7"/>
      <c r="C677" s="13"/>
      <c r="D677" s="13"/>
      <c r="E677" s="7"/>
      <c r="F677" s="7"/>
      <c r="G677" s="7"/>
      <c r="H677" s="7"/>
      <c r="I677" s="7"/>
      <c r="J677" s="7"/>
      <c r="K677" s="7"/>
      <c r="L677" s="7"/>
      <c r="M677" s="7"/>
      <c r="N677" s="7"/>
    </row>
    <row r="678" spans="1:14" ht="19.5" customHeight="1" x14ac:dyDescent="0.25">
      <c r="A678" s="7"/>
      <c r="B678" s="7"/>
      <c r="C678" s="13"/>
      <c r="D678" s="13"/>
      <c r="E678" s="7"/>
      <c r="F678" s="7"/>
      <c r="G678" s="7"/>
      <c r="H678" s="7"/>
      <c r="I678" s="7"/>
      <c r="J678" s="7"/>
      <c r="K678" s="7"/>
      <c r="L678" s="7"/>
      <c r="M678" s="7"/>
      <c r="N678" s="7"/>
    </row>
    <row r="679" spans="1:14" ht="19.5" customHeight="1" x14ac:dyDescent="0.25">
      <c r="A679" s="7"/>
      <c r="B679" s="7"/>
      <c r="C679" s="13"/>
      <c r="D679" s="13"/>
      <c r="E679" s="7"/>
      <c r="F679" s="7"/>
      <c r="G679" s="7"/>
      <c r="H679" s="7"/>
      <c r="I679" s="7"/>
      <c r="J679" s="7"/>
      <c r="K679" s="7"/>
      <c r="L679" s="7"/>
      <c r="M679" s="7"/>
      <c r="N679" s="7"/>
    </row>
    <row r="680" spans="1:14" ht="19.5" customHeight="1" x14ac:dyDescent="0.25">
      <c r="A680" s="7"/>
      <c r="B680" s="7"/>
      <c r="C680" s="13"/>
      <c r="D680" s="13"/>
      <c r="E680" s="7"/>
      <c r="F680" s="7"/>
      <c r="G680" s="7"/>
      <c r="H680" s="7"/>
      <c r="I680" s="7"/>
      <c r="J680" s="7"/>
      <c r="K680" s="7"/>
      <c r="L680" s="7"/>
      <c r="M680" s="7"/>
      <c r="N680" s="7"/>
    </row>
    <row r="681" spans="1:14" ht="19.5" customHeight="1" x14ac:dyDescent="0.25">
      <c r="A681" s="7"/>
      <c r="B681" s="7"/>
      <c r="C681" s="13"/>
      <c r="D681" s="13"/>
      <c r="E681" s="7"/>
      <c r="F681" s="7"/>
      <c r="G681" s="7"/>
      <c r="H681" s="7"/>
      <c r="I681" s="7"/>
      <c r="J681" s="7"/>
      <c r="K681" s="7"/>
      <c r="L681" s="7"/>
      <c r="M681" s="7"/>
      <c r="N681" s="7"/>
    </row>
    <row r="682" spans="1:14" ht="19.5" customHeight="1" x14ac:dyDescent="0.25">
      <c r="A682" s="7"/>
      <c r="B682" s="7"/>
      <c r="C682" s="13"/>
      <c r="D682" s="13"/>
      <c r="E682" s="7"/>
      <c r="F682" s="7"/>
      <c r="G682" s="7"/>
      <c r="H682" s="7"/>
      <c r="I682" s="7"/>
      <c r="J682" s="7"/>
      <c r="K682" s="7"/>
      <c r="L682" s="7"/>
      <c r="M682" s="7"/>
      <c r="N682" s="7"/>
    </row>
    <row r="683" spans="1:14" ht="19.5" customHeight="1" x14ac:dyDescent="0.25">
      <c r="A683" s="7"/>
      <c r="B683" s="7"/>
      <c r="C683" s="13"/>
      <c r="D683" s="13"/>
      <c r="E683" s="7"/>
      <c r="F683" s="7"/>
      <c r="G683" s="7"/>
      <c r="H683" s="7"/>
      <c r="I683" s="7"/>
      <c r="J683" s="7"/>
      <c r="K683" s="7"/>
      <c r="L683" s="7"/>
      <c r="M683" s="7"/>
      <c r="N683" s="7"/>
    </row>
    <row r="684" spans="1:14" ht="19.5" customHeight="1" x14ac:dyDescent="0.25">
      <c r="A684" s="7"/>
      <c r="B684" s="7"/>
      <c r="C684" s="13"/>
      <c r="D684" s="13"/>
      <c r="E684" s="7"/>
      <c r="F684" s="7"/>
      <c r="G684" s="7"/>
      <c r="H684" s="7"/>
      <c r="I684" s="7"/>
      <c r="J684" s="7"/>
      <c r="K684" s="7"/>
      <c r="L684" s="7"/>
      <c r="M684" s="7"/>
      <c r="N684" s="7"/>
    </row>
    <row r="685" spans="1:14" ht="19.5" customHeight="1" x14ac:dyDescent="0.25">
      <c r="A685" s="7"/>
      <c r="B685" s="7"/>
      <c r="C685" s="13"/>
      <c r="D685" s="13"/>
      <c r="E685" s="7"/>
      <c r="F685" s="7"/>
      <c r="G685" s="7"/>
      <c r="H685" s="7"/>
      <c r="I685" s="7"/>
      <c r="J685" s="7"/>
      <c r="K685" s="7"/>
      <c r="L685" s="7"/>
      <c r="M685" s="7"/>
      <c r="N685" s="7"/>
    </row>
    <row r="686" spans="1:14" ht="19.5" customHeight="1" x14ac:dyDescent="0.25">
      <c r="A686" s="7"/>
      <c r="B686" s="7"/>
      <c r="C686" s="13"/>
      <c r="D686" s="13"/>
      <c r="E686" s="7"/>
      <c r="F686" s="7"/>
      <c r="G686" s="7"/>
      <c r="H686" s="7"/>
      <c r="I686" s="7"/>
      <c r="J686" s="7"/>
      <c r="K686" s="7"/>
      <c r="L686" s="7"/>
      <c r="M686" s="7"/>
      <c r="N686" s="7"/>
    </row>
    <row r="687" spans="1:14" ht="19.5" customHeight="1" x14ac:dyDescent="0.25">
      <c r="A687" s="7"/>
      <c r="B687" s="7"/>
      <c r="C687" s="13"/>
      <c r="D687" s="13"/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r="688" spans="1:14" ht="19.5" customHeight="1" x14ac:dyDescent="0.25">
      <c r="A688" s="7"/>
      <c r="B688" s="7"/>
      <c r="C688" s="13"/>
      <c r="D688" s="13"/>
      <c r="E688" s="7"/>
      <c r="F688" s="7"/>
      <c r="G688" s="7"/>
      <c r="H688" s="7"/>
      <c r="I688" s="7"/>
      <c r="J688" s="7"/>
      <c r="K688" s="7"/>
      <c r="L688" s="7"/>
      <c r="M688" s="7"/>
      <c r="N688" s="7"/>
    </row>
    <row r="689" spans="1:14" ht="19.5" customHeight="1" x14ac:dyDescent="0.25">
      <c r="A689" s="7"/>
      <c r="B689" s="7"/>
      <c r="C689" s="13"/>
      <c r="D689" s="13"/>
      <c r="E689" s="7"/>
      <c r="F689" s="7"/>
      <c r="G689" s="7"/>
      <c r="H689" s="7"/>
      <c r="I689" s="7"/>
      <c r="J689" s="7"/>
      <c r="K689" s="7"/>
      <c r="L689" s="7"/>
      <c r="M689" s="7"/>
      <c r="N689" s="7"/>
    </row>
    <row r="690" spans="1:14" ht="19.5" customHeight="1" x14ac:dyDescent="0.25">
      <c r="A690" s="7"/>
      <c r="B690" s="7"/>
      <c r="C690" s="13"/>
      <c r="D690" s="13"/>
      <c r="E690" s="7"/>
      <c r="F690" s="7"/>
      <c r="G690" s="7"/>
      <c r="H690" s="7"/>
      <c r="I690" s="7"/>
      <c r="J690" s="7"/>
      <c r="K690" s="7"/>
      <c r="L690" s="7"/>
      <c r="M690" s="7"/>
      <c r="N690" s="7"/>
    </row>
    <row r="691" spans="1:14" ht="19.5" customHeight="1" x14ac:dyDescent="0.25">
      <c r="A691" s="7"/>
      <c r="B691" s="7"/>
      <c r="C691" s="13"/>
      <c r="D691" s="13"/>
      <c r="E691" s="7"/>
      <c r="F691" s="7"/>
      <c r="G691" s="7"/>
      <c r="H691" s="7"/>
      <c r="I691" s="7"/>
      <c r="J691" s="7"/>
      <c r="K691" s="7"/>
      <c r="L691" s="7"/>
      <c r="M691" s="7"/>
      <c r="N691" s="7"/>
    </row>
    <row r="692" spans="1:14" ht="19.5" customHeight="1" x14ac:dyDescent="0.25">
      <c r="A692" s="7"/>
      <c r="B692" s="7"/>
      <c r="C692" s="13"/>
      <c r="D692" s="13"/>
      <c r="E692" s="7"/>
      <c r="F692" s="7"/>
      <c r="G692" s="7"/>
      <c r="H692" s="7"/>
      <c r="I692" s="7"/>
      <c r="J692" s="7"/>
      <c r="K692" s="7"/>
      <c r="L692" s="7"/>
      <c r="M692" s="7"/>
      <c r="N692" s="7"/>
    </row>
    <row r="693" spans="1:14" ht="19.5" customHeight="1" x14ac:dyDescent="0.25">
      <c r="A693" s="7"/>
      <c r="B693" s="7"/>
      <c r="C693" s="13"/>
      <c r="D693" s="13"/>
      <c r="E693" s="7"/>
      <c r="F693" s="7"/>
      <c r="G693" s="7"/>
      <c r="H693" s="7"/>
      <c r="I693" s="7"/>
      <c r="J693" s="7"/>
      <c r="K693" s="7"/>
      <c r="L693" s="7"/>
      <c r="M693" s="7"/>
      <c r="N693" s="7"/>
    </row>
    <row r="694" spans="1:14" ht="19.5" customHeight="1" x14ac:dyDescent="0.25">
      <c r="A694" s="7"/>
      <c r="B694" s="7"/>
      <c r="C694" s="13"/>
      <c r="D694" s="13"/>
      <c r="E694" s="7"/>
      <c r="F694" s="7"/>
      <c r="G694" s="7"/>
      <c r="H694" s="7"/>
      <c r="I694" s="7"/>
      <c r="J694" s="7"/>
      <c r="K694" s="7"/>
      <c r="L694" s="7"/>
      <c r="M694" s="7"/>
      <c r="N694" s="7"/>
    </row>
    <row r="695" spans="1:14" ht="19.5" customHeight="1" x14ac:dyDescent="0.25">
      <c r="A695" s="7"/>
      <c r="B695" s="7"/>
      <c r="C695" s="13"/>
      <c r="D695" s="13"/>
      <c r="E695" s="7"/>
      <c r="F695" s="7"/>
      <c r="G695" s="7"/>
      <c r="H695" s="7"/>
      <c r="I695" s="7"/>
      <c r="J695" s="7"/>
      <c r="K695" s="7"/>
      <c r="L695" s="7"/>
      <c r="M695" s="7"/>
      <c r="N695" s="7"/>
    </row>
    <row r="696" spans="1:14" ht="19.5" customHeight="1" x14ac:dyDescent="0.25">
      <c r="A696" s="7"/>
      <c r="B696" s="7"/>
      <c r="C696" s="13"/>
      <c r="D696" s="13"/>
      <c r="E696" s="7"/>
      <c r="F696" s="7"/>
      <c r="G696" s="7"/>
      <c r="H696" s="7"/>
      <c r="I696" s="7"/>
      <c r="J696" s="7"/>
      <c r="K696" s="7"/>
      <c r="L696" s="7"/>
      <c r="M696" s="7"/>
      <c r="N696" s="7"/>
    </row>
    <row r="697" spans="1:14" ht="19.5" customHeight="1" x14ac:dyDescent="0.25">
      <c r="A697" s="7"/>
      <c r="B697" s="7"/>
      <c r="C697" s="13"/>
      <c r="D697" s="13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r="698" spans="1:14" ht="19.5" customHeight="1" x14ac:dyDescent="0.25">
      <c r="A698" s="7"/>
      <c r="B698" s="7"/>
      <c r="C698" s="13"/>
      <c r="D698" s="13"/>
      <c r="E698" s="7"/>
      <c r="F698" s="7"/>
      <c r="G698" s="7"/>
      <c r="H698" s="7"/>
      <c r="I698" s="7"/>
      <c r="J698" s="7"/>
      <c r="K698" s="7"/>
      <c r="L698" s="7"/>
      <c r="M698" s="7"/>
      <c r="N698" s="7"/>
    </row>
    <row r="699" spans="1:14" ht="19.5" customHeight="1" x14ac:dyDescent="0.25">
      <c r="A699" s="7"/>
      <c r="B699" s="7"/>
      <c r="C699" s="13"/>
      <c r="D699" s="13"/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r="700" spans="1:14" ht="19.5" customHeight="1" x14ac:dyDescent="0.25">
      <c r="A700" s="7"/>
      <c r="B700" s="7"/>
      <c r="C700" s="13"/>
      <c r="D700" s="13"/>
      <c r="E700" s="7"/>
      <c r="F700" s="7"/>
      <c r="G700" s="7"/>
      <c r="H700" s="7"/>
      <c r="I700" s="7"/>
      <c r="J700" s="7"/>
      <c r="K700" s="7"/>
      <c r="L700" s="7"/>
      <c r="M700" s="7"/>
      <c r="N700" s="7"/>
    </row>
    <row r="701" spans="1:14" ht="19.5" customHeight="1" x14ac:dyDescent="0.25">
      <c r="A701" s="7"/>
      <c r="B701" s="7"/>
      <c r="C701" s="13"/>
      <c r="D701" s="13"/>
      <c r="E701" s="7"/>
      <c r="F701" s="7"/>
      <c r="G701" s="7"/>
      <c r="H701" s="7"/>
      <c r="I701" s="7"/>
      <c r="J701" s="7"/>
      <c r="K701" s="7"/>
      <c r="L701" s="7"/>
      <c r="M701" s="7"/>
      <c r="N701" s="7"/>
    </row>
    <row r="702" spans="1:14" ht="19.5" customHeight="1" x14ac:dyDescent="0.25">
      <c r="A702" s="7"/>
      <c r="B702" s="7"/>
      <c r="C702" s="13"/>
      <c r="D702" s="13"/>
      <c r="E702" s="7"/>
      <c r="F702" s="7"/>
      <c r="G702" s="7"/>
      <c r="H702" s="7"/>
      <c r="I702" s="7"/>
      <c r="J702" s="7"/>
      <c r="K702" s="7"/>
      <c r="L702" s="7"/>
      <c r="M702" s="7"/>
      <c r="N702" s="7"/>
    </row>
    <row r="703" spans="1:14" ht="19.5" customHeight="1" x14ac:dyDescent="0.25">
      <c r="A703" s="7"/>
      <c r="B703" s="7"/>
      <c r="C703" s="13"/>
      <c r="D703" s="13"/>
      <c r="E703" s="7"/>
      <c r="F703" s="7"/>
      <c r="G703" s="7"/>
      <c r="H703" s="7"/>
      <c r="I703" s="7"/>
      <c r="J703" s="7"/>
      <c r="K703" s="7"/>
      <c r="L703" s="7"/>
      <c r="M703" s="7"/>
      <c r="N703" s="7"/>
    </row>
    <row r="704" spans="1:14" ht="19.5" customHeight="1" x14ac:dyDescent="0.25">
      <c r="A704" s="7"/>
      <c r="B704" s="7"/>
      <c r="C704" s="13"/>
      <c r="D704" s="13"/>
      <c r="E704" s="7"/>
      <c r="F704" s="7"/>
      <c r="G704" s="7"/>
      <c r="H704" s="7"/>
      <c r="I704" s="7"/>
      <c r="J704" s="7"/>
      <c r="K704" s="7"/>
      <c r="L704" s="7"/>
      <c r="M704" s="7"/>
      <c r="N704" s="7"/>
    </row>
    <row r="705" spans="1:14" ht="19.5" customHeight="1" x14ac:dyDescent="0.25">
      <c r="A705" s="7"/>
      <c r="B705" s="7"/>
      <c r="C705" s="13"/>
      <c r="D705" s="13"/>
      <c r="E705" s="7"/>
      <c r="F705" s="7"/>
      <c r="G705" s="7"/>
      <c r="H705" s="7"/>
      <c r="I705" s="7"/>
      <c r="J705" s="7"/>
      <c r="K705" s="7"/>
      <c r="L705" s="7"/>
      <c r="M705" s="7"/>
      <c r="N705" s="7"/>
    </row>
    <row r="706" spans="1:14" ht="19.5" customHeight="1" x14ac:dyDescent="0.25">
      <c r="A706" s="7"/>
      <c r="B706" s="7"/>
      <c r="C706" s="13"/>
      <c r="D706" s="13"/>
      <c r="E706" s="7"/>
      <c r="F706" s="7"/>
      <c r="G706" s="7"/>
      <c r="H706" s="7"/>
      <c r="I706" s="7"/>
      <c r="J706" s="7"/>
      <c r="K706" s="7"/>
      <c r="L706" s="7"/>
      <c r="M706" s="7"/>
      <c r="N706" s="7"/>
    </row>
    <row r="707" spans="1:14" ht="19.5" customHeight="1" x14ac:dyDescent="0.25">
      <c r="A707" s="7"/>
      <c r="B707" s="7"/>
      <c r="C707" s="13"/>
      <c r="D707" s="13"/>
      <c r="E707" s="7"/>
      <c r="F707" s="7"/>
      <c r="G707" s="7"/>
      <c r="H707" s="7"/>
      <c r="I707" s="7"/>
      <c r="J707" s="7"/>
      <c r="K707" s="7"/>
      <c r="L707" s="7"/>
      <c r="M707" s="7"/>
      <c r="N707" s="7"/>
    </row>
    <row r="708" spans="1:14" ht="19.5" customHeight="1" x14ac:dyDescent="0.25">
      <c r="A708" s="7"/>
      <c r="B708" s="7"/>
      <c r="C708" s="13"/>
      <c r="D708" s="13"/>
      <c r="E708" s="7"/>
      <c r="F708" s="7"/>
      <c r="G708" s="7"/>
      <c r="H708" s="7"/>
      <c r="I708" s="7"/>
      <c r="J708" s="7"/>
      <c r="K708" s="7"/>
      <c r="L708" s="7"/>
      <c r="M708" s="7"/>
      <c r="N708" s="7"/>
    </row>
    <row r="709" spans="1:14" ht="19.5" customHeight="1" x14ac:dyDescent="0.25">
      <c r="A709" s="7"/>
      <c r="B709" s="7"/>
      <c r="C709" s="13"/>
      <c r="D709" s="13"/>
      <c r="E709" s="7"/>
      <c r="F709" s="7"/>
      <c r="G709" s="7"/>
      <c r="H709" s="7"/>
      <c r="I709" s="7"/>
      <c r="J709" s="7"/>
      <c r="K709" s="7"/>
      <c r="L709" s="7"/>
      <c r="M709" s="7"/>
      <c r="N709" s="7"/>
    </row>
    <row r="710" spans="1:14" ht="19.5" customHeight="1" x14ac:dyDescent="0.25">
      <c r="A710" s="7"/>
      <c r="B710" s="7"/>
      <c r="C710" s="13"/>
      <c r="D710" s="13"/>
      <c r="E710" s="7"/>
      <c r="F710" s="7"/>
      <c r="G710" s="7"/>
      <c r="H710" s="7"/>
      <c r="I710" s="7"/>
      <c r="J710" s="7"/>
      <c r="K710" s="7"/>
      <c r="L710" s="7"/>
      <c r="M710" s="7"/>
      <c r="N710" s="7"/>
    </row>
    <row r="711" spans="1:14" ht="19.5" customHeight="1" x14ac:dyDescent="0.25">
      <c r="A711" s="7"/>
      <c r="B711" s="7"/>
      <c r="C711" s="13"/>
      <c r="D711" s="13"/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r="712" spans="1:14" ht="19.5" customHeight="1" x14ac:dyDescent="0.25">
      <c r="A712" s="7"/>
      <c r="B712" s="7"/>
      <c r="C712" s="13"/>
      <c r="D712" s="13"/>
      <c r="E712" s="7"/>
      <c r="F712" s="7"/>
      <c r="G712" s="7"/>
      <c r="H712" s="7"/>
      <c r="I712" s="7"/>
      <c r="J712" s="7"/>
      <c r="K712" s="7"/>
      <c r="L712" s="7"/>
      <c r="M712" s="7"/>
      <c r="N712" s="7"/>
    </row>
    <row r="713" spans="1:14" ht="19.5" customHeight="1" x14ac:dyDescent="0.25">
      <c r="A713" s="7"/>
      <c r="B713" s="7"/>
      <c r="C713" s="13"/>
      <c r="D713" s="13"/>
      <c r="E713" s="7"/>
      <c r="F713" s="7"/>
      <c r="G713" s="7"/>
      <c r="H713" s="7"/>
      <c r="I713" s="7"/>
      <c r="J713" s="7"/>
      <c r="K713" s="7"/>
      <c r="L713" s="7"/>
      <c r="M713" s="7"/>
      <c r="N713" s="7"/>
    </row>
    <row r="714" spans="1:14" ht="19.5" customHeight="1" x14ac:dyDescent="0.25">
      <c r="A714" s="7"/>
      <c r="B714" s="7"/>
      <c r="C714" s="13"/>
      <c r="D714" s="13"/>
      <c r="E714" s="7"/>
      <c r="F714" s="7"/>
      <c r="G714" s="7"/>
      <c r="H714" s="7"/>
      <c r="I714" s="7"/>
      <c r="J714" s="7"/>
      <c r="K714" s="7"/>
      <c r="L714" s="7"/>
      <c r="M714" s="7"/>
      <c r="N714" s="7"/>
    </row>
    <row r="715" spans="1:14" ht="19.5" customHeight="1" x14ac:dyDescent="0.25">
      <c r="A715" s="7"/>
      <c r="B715" s="7"/>
      <c r="C715" s="13"/>
      <c r="D715" s="13"/>
      <c r="E715" s="7"/>
      <c r="F715" s="7"/>
      <c r="G715" s="7"/>
      <c r="H715" s="7"/>
      <c r="I715" s="7"/>
      <c r="J715" s="7"/>
      <c r="K715" s="7"/>
      <c r="L715" s="7"/>
      <c r="M715" s="7"/>
      <c r="N715" s="7"/>
    </row>
    <row r="716" spans="1:14" ht="19.5" customHeight="1" x14ac:dyDescent="0.25">
      <c r="A716" s="7"/>
      <c r="B716" s="7"/>
      <c r="C716" s="13"/>
      <c r="D716" s="13"/>
      <c r="E716" s="7"/>
      <c r="F716" s="7"/>
      <c r="G716" s="7"/>
      <c r="H716" s="7"/>
      <c r="I716" s="7"/>
      <c r="J716" s="7"/>
      <c r="K716" s="7"/>
      <c r="L716" s="7"/>
      <c r="M716" s="7"/>
      <c r="N716" s="7"/>
    </row>
    <row r="717" spans="1:14" ht="19.5" customHeight="1" x14ac:dyDescent="0.25">
      <c r="A717" s="7"/>
      <c r="B717" s="7"/>
      <c r="C717" s="13"/>
      <c r="D717" s="13"/>
      <c r="E717" s="7"/>
      <c r="F717" s="7"/>
      <c r="G717" s="7"/>
      <c r="H717" s="7"/>
      <c r="I717" s="7"/>
      <c r="J717" s="7"/>
      <c r="K717" s="7"/>
      <c r="L717" s="7"/>
      <c r="M717" s="7"/>
      <c r="N717" s="7"/>
    </row>
    <row r="718" spans="1:14" ht="19.5" customHeight="1" x14ac:dyDescent="0.25">
      <c r="A718" s="7"/>
      <c r="B718" s="7"/>
      <c r="C718" s="13"/>
      <c r="D718" s="13"/>
      <c r="E718" s="7"/>
      <c r="F718" s="7"/>
      <c r="G718" s="7"/>
      <c r="H718" s="7"/>
      <c r="I718" s="7"/>
      <c r="J718" s="7"/>
      <c r="K718" s="7"/>
      <c r="L718" s="7"/>
      <c r="M718" s="7"/>
      <c r="N718" s="7"/>
    </row>
    <row r="719" spans="1:14" ht="19.5" customHeight="1" x14ac:dyDescent="0.25">
      <c r="A719" s="7"/>
      <c r="B719" s="7"/>
      <c r="C719" s="13"/>
      <c r="D719" s="13"/>
      <c r="E719" s="7"/>
      <c r="F719" s="7"/>
      <c r="G719" s="7"/>
      <c r="H719" s="7"/>
      <c r="I719" s="7"/>
      <c r="J719" s="7"/>
      <c r="K719" s="7"/>
      <c r="L719" s="7"/>
      <c r="M719" s="7"/>
      <c r="N719" s="7"/>
    </row>
    <row r="720" spans="1:14" ht="19.5" customHeight="1" x14ac:dyDescent="0.25">
      <c r="A720" s="7"/>
      <c r="B720" s="7"/>
      <c r="C720" s="13"/>
      <c r="D720" s="13"/>
      <c r="E720" s="7"/>
      <c r="F720" s="7"/>
      <c r="G720" s="7"/>
      <c r="H720" s="7"/>
      <c r="I720" s="7"/>
      <c r="J720" s="7"/>
      <c r="K720" s="7"/>
      <c r="L720" s="7"/>
      <c r="M720" s="7"/>
      <c r="N720" s="7"/>
    </row>
    <row r="721" spans="1:14" ht="19.5" customHeight="1" x14ac:dyDescent="0.25">
      <c r="A721" s="7"/>
      <c r="B721" s="7"/>
      <c r="C721" s="13"/>
      <c r="D721" s="13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r="722" spans="1:14" ht="19.5" customHeight="1" x14ac:dyDescent="0.25">
      <c r="A722" s="7"/>
      <c r="B722" s="7"/>
      <c r="C722" s="13"/>
      <c r="D722" s="13"/>
      <c r="E722" s="7"/>
      <c r="F722" s="7"/>
      <c r="G722" s="7"/>
      <c r="H722" s="7"/>
      <c r="I722" s="7"/>
      <c r="J722" s="7"/>
      <c r="K722" s="7"/>
      <c r="L722" s="7"/>
      <c r="M722" s="7"/>
      <c r="N722" s="7"/>
    </row>
    <row r="723" spans="1:14" ht="19.5" customHeight="1" x14ac:dyDescent="0.25">
      <c r="A723" s="7"/>
      <c r="B723" s="7"/>
      <c r="C723" s="13"/>
      <c r="D723" s="13"/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r="724" spans="1:14" ht="19.5" customHeight="1" x14ac:dyDescent="0.25">
      <c r="A724" s="7"/>
      <c r="B724" s="7"/>
      <c r="C724" s="13"/>
      <c r="D724" s="13"/>
      <c r="E724" s="7"/>
      <c r="F724" s="7"/>
      <c r="G724" s="7"/>
      <c r="H724" s="7"/>
      <c r="I724" s="7"/>
      <c r="J724" s="7"/>
      <c r="K724" s="7"/>
      <c r="L724" s="7"/>
      <c r="M724" s="7"/>
      <c r="N724" s="7"/>
    </row>
    <row r="725" spans="1:14" ht="19.5" customHeight="1" x14ac:dyDescent="0.25">
      <c r="A725" s="7"/>
      <c r="B725" s="7"/>
      <c r="C725" s="13"/>
      <c r="D725" s="13"/>
      <c r="E725" s="7"/>
      <c r="F725" s="7"/>
      <c r="G725" s="7"/>
      <c r="H725" s="7"/>
      <c r="I725" s="7"/>
      <c r="J725" s="7"/>
      <c r="K725" s="7"/>
      <c r="L725" s="7"/>
      <c r="M725" s="7"/>
      <c r="N725" s="7"/>
    </row>
    <row r="726" spans="1:14" ht="19.5" customHeight="1" x14ac:dyDescent="0.25">
      <c r="A726" s="7"/>
      <c r="B726" s="7"/>
      <c r="C726" s="13"/>
      <c r="D726" s="13"/>
      <c r="E726" s="7"/>
      <c r="F726" s="7"/>
      <c r="G726" s="7"/>
      <c r="H726" s="7"/>
      <c r="I726" s="7"/>
      <c r="J726" s="7"/>
      <c r="K726" s="7"/>
      <c r="L726" s="7"/>
      <c r="M726" s="7"/>
      <c r="N726" s="7"/>
    </row>
    <row r="727" spans="1:14" ht="19.5" customHeight="1" x14ac:dyDescent="0.25">
      <c r="A727" s="7"/>
      <c r="B727" s="7"/>
      <c r="C727" s="13"/>
      <c r="D727" s="13"/>
      <c r="E727" s="7"/>
      <c r="F727" s="7"/>
      <c r="G727" s="7"/>
      <c r="H727" s="7"/>
      <c r="I727" s="7"/>
      <c r="J727" s="7"/>
      <c r="K727" s="7"/>
      <c r="L727" s="7"/>
      <c r="M727" s="7"/>
      <c r="N727" s="7"/>
    </row>
    <row r="728" spans="1:14" ht="19.5" customHeight="1" x14ac:dyDescent="0.25">
      <c r="A728" s="7"/>
      <c r="B728" s="7"/>
      <c r="C728" s="13"/>
      <c r="D728" s="13"/>
      <c r="E728" s="7"/>
      <c r="F728" s="7"/>
      <c r="G728" s="7"/>
      <c r="H728" s="7"/>
      <c r="I728" s="7"/>
      <c r="J728" s="7"/>
      <c r="K728" s="7"/>
      <c r="L728" s="7"/>
      <c r="M728" s="7"/>
      <c r="N728" s="7"/>
    </row>
    <row r="729" spans="1:14" ht="19.5" customHeight="1" x14ac:dyDescent="0.25">
      <c r="A729" s="7"/>
      <c r="B729" s="7"/>
      <c r="C729" s="13"/>
      <c r="D729" s="13"/>
      <c r="E729" s="7"/>
      <c r="F729" s="7"/>
      <c r="G729" s="7"/>
      <c r="H729" s="7"/>
      <c r="I729" s="7"/>
      <c r="J729" s="7"/>
      <c r="K729" s="7"/>
      <c r="L729" s="7"/>
      <c r="M729" s="7"/>
      <c r="N729" s="7"/>
    </row>
    <row r="730" spans="1:14" ht="19.5" customHeight="1" x14ac:dyDescent="0.25">
      <c r="A730" s="7"/>
      <c r="B730" s="7"/>
      <c r="C730" s="13"/>
      <c r="D730" s="13"/>
      <c r="E730" s="7"/>
      <c r="F730" s="7"/>
      <c r="G730" s="7"/>
      <c r="H730" s="7"/>
      <c r="I730" s="7"/>
      <c r="J730" s="7"/>
      <c r="K730" s="7"/>
      <c r="L730" s="7"/>
      <c r="M730" s="7"/>
      <c r="N730" s="7"/>
    </row>
    <row r="731" spans="1:14" ht="19.5" customHeight="1" x14ac:dyDescent="0.25">
      <c r="A731" s="7"/>
      <c r="B731" s="7"/>
      <c r="C731" s="13"/>
      <c r="D731" s="13"/>
      <c r="E731" s="7"/>
      <c r="F731" s="7"/>
      <c r="G731" s="7"/>
      <c r="H731" s="7"/>
      <c r="I731" s="7"/>
      <c r="J731" s="7"/>
      <c r="K731" s="7"/>
      <c r="L731" s="7"/>
      <c r="M731" s="7"/>
      <c r="N731" s="7"/>
    </row>
    <row r="732" spans="1:14" ht="19.5" customHeight="1" x14ac:dyDescent="0.25">
      <c r="A732" s="7"/>
      <c r="B732" s="7"/>
      <c r="C732" s="13"/>
      <c r="D732" s="13"/>
      <c r="E732" s="7"/>
      <c r="F732" s="7"/>
      <c r="G732" s="7"/>
      <c r="H732" s="7"/>
      <c r="I732" s="7"/>
      <c r="J732" s="7"/>
      <c r="K732" s="7"/>
      <c r="L732" s="7"/>
      <c r="M732" s="7"/>
      <c r="N732" s="7"/>
    </row>
    <row r="733" spans="1:14" ht="19.5" customHeight="1" x14ac:dyDescent="0.25">
      <c r="A733" s="7"/>
      <c r="B733" s="7"/>
      <c r="C733" s="13"/>
      <c r="D733" s="13"/>
      <c r="E733" s="7"/>
      <c r="F733" s="7"/>
      <c r="G733" s="7"/>
      <c r="H733" s="7"/>
      <c r="I733" s="7"/>
      <c r="J733" s="7"/>
      <c r="K733" s="7"/>
      <c r="L733" s="7"/>
      <c r="M733" s="7"/>
      <c r="N733" s="7"/>
    </row>
    <row r="734" spans="1:14" ht="19.5" customHeight="1" x14ac:dyDescent="0.25">
      <c r="A734" s="7"/>
      <c r="B734" s="7"/>
      <c r="C734" s="13"/>
      <c r="D734" s="13"/>
      <c r="E734" s="7"/>
      <c r="F734" s="7"/>
      <c r="G734" s="7"/>
      <c r="H734" s="7"/>
      <c r="I734" s="7"/>
      <c r="J734" s="7"/>
      <c r="K734" s="7"/>
      <c r="L734" s="7"/>
      <c r="M734" s="7"/>
      <c r="N734" s="7"/>
    </row>
    <row r="735" spans="1:14" ht="19.5" customHeight="1" x14ac:dyDescent="0.25">
      <c r="A735" s="7"/>
      <c r="B735" s="7"/>
      <c r="C735" s="13"/>
      <c r="D735" s="13"/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r="736" spans="1:14" ht="19.5" customHeight="1" x14ac:dyDescent="0.25">
      <c r="A736" s="7"/>
      <c r="B736" s="7"/>
      <c r="C736" s="13"/>
      <c r="D736" s="13"/>
      <c r="E736" s="7"/>
      <c r="F736" s="7"/>
      <c r="G736" s="7"/>
      <c r="H736" s="7"/>
      <c r="I736" s="7"/>
      <c r="J736" s="7"/>
      <c r="K736" s="7"/>
      <c r="L736" s="7"/>
      <c r="M736" s="7"/>
      <c r="N736" s="7"/>
    </row>
    <row r="737" spans="1:14" ht="19.5" customHeight="1" x14ac:dyDescent="0.25">
      <c r="A737" s="7"/>
      <c r="B737" s="7"/>
      <c r="C737" s="13"/>
      <c r="D737" s="13"/>
      <c r="E737" s="7"/>
      <c r="F737" s="7"/>
      <c r="G737" s="7"/>
      <c r="H737" s="7"/>
      <c r="I737" s="7"/>
      <c r="J737" s="7"/>
      <c r="K737" s="7"/>
      <c r="L737" s="7"/>
      <c r="M737" s="7"/>
      <c r="N737" s="7"/>
    </row>
    <row r="738" spans="1:14" ht="19.5" customHeight="1" x14ac:dyDescent="0.25">
      <c r="A738" s="7"/>
      <c r="B738" s="7"/>
      <c r="C738" s="13"/>
      <c r="D738" s="13"/>
      <c r="E738" s="7"/>
      <c r="F738" s="7"/>
      <c r="G738" s="7"/>
      <c r="H738" s="7"/>
      <c r="I738" s="7"/>
      <c r="J738" s="7"/>
      <c r="K738" s="7"/>
      <c r="L738" s="7"/>
      <c r="M738" s="7"/>
      <c r="N738" s="7"/>
    </row>
    <row r="739" spans="1:14" ht="19.5" customHeight="1" x14ac:dyDescent="0.25">
      <c r="A739" s="7"/>
      <c r="B739" s="7"/>
      <c r="C739" s="13"/>
      <c r="D739" s="13"/>
      <c r="E739" s="7"/>
      <c r="F739" s="7"/>
      <c r="G739" s="7"/>
      <c r="H739" s="7"/>
      <c r="I739" s="7"/>
      <c r="J739" s="7"/>
      <c r="K739" s="7"/>
      <c r="L739" s="7"/>
      <c r="M739" s="7"/>
      <c r="N739" s="7"/>
    </row>
    <row r="740" spans="1:14" ht="19.5" customHeight="1" x14ac:dyDescent="0.25">
      <c r="A740" s="7"/>
      <c r="B740" s="7"/>
      <c r="C740" s="13"/>
      <c r="D740" s="13"/>
      <c r="E740" s="7"/>
      <c r="F740" s="7"/>
      <c r="G740" s="7"/>
      <c r="H740" s="7"/>
      <c r="I740" s="7"/>
      <c r="J740" s="7"/>
      <c r="K740" s="7"/>
      <c r="L740" s="7"/>
      <c r="M740" s="7"/>
      <c r="N740" s="7"/>
    </row>
    <row r="741" spans="1:14" ht="19.5" customHeight="1" x14ac:dyDescent="0.25">
      <c r="A741" s="7"/>
      <c r="B741" s="7"/>
      <c r="C741" s="13"/>
      <c r="D741" s="13"/>
      <c r="E741" s="7"/>
      <c r="F741" s="7"/>
      <c r="G741" s="7"/>
      <c r="H741" s="7"/>
      <c r="I741" s="7"/>
      <c r="J741" s="7"/>
      <c r="K741" s="7"/>
      <c r="L741" s="7"/>
      <c r="M741" s="7"/>
      <c r="N741" s="7"/>
    </row>
    <row r="742" spans="1:14" ht="19.5" customHeight="1" x14ac:dyDescent="0.25">
      <c r="A742" s="7"/>
      <c r="B742" s="7"/>
      <c r="C742" s="13"/>
      <c r="D742" s="13"/>
      <c r="E742" s="7"/>
      <c r="F742" s="7"/>
      <c r="G742" s="7"/>
      <c r="H742" s="7"/>
      <c r="I742" s="7"/>
      <c r="J742" s="7"/>
      <c r="K742" s="7"/>
      <c r="L742" s="7"/>
      <c r="M742" s="7"/>
      <c r="N742" s="7"/>
    </row>
    <row r="743" spans="1:14" ht="19.5" customHeight="1" x14ac:dyDescent="0.25">
      <c r="A743" s="7"/>
      <c r="B743" s="7"/>
      <c r="C743" s="13"/>
      <c r="D743" s="13"/>
      <c r="E743" s="7"/>
      <c r="F743" s="7"/>
      <c r="G743" s="7"/>
      <c r="H743" s="7"/>
      <c r="I743" s="7"/>
      <c r="J743" s="7"/>
      <c r="K743" s="7"/>
      <c r="L743" s="7"/>
      <c r="M743" s="7"/>
      <c r="N743" s="7"/>
    </row>
    <row r="744" spans="1:14" ht="19.5" customHeight="1" x14ac:dyDescent="0.25">
      <c r="A744" s="7"/>
      <c r="B744" s="7"/>
      <c r="C744" s="13"/>
      <c r="D744" s="13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r="745" spans="1:14" ht="19.5" customHeight="1" x14ac:dyDescent="0.25">
      <c r="A745" s="7"/>
      <c r="B745" s="7"/>
      <c r="C745" s="13"/>
      <c r="D745" s="13"/>
      <c r="E745" s="7"/>
      <c r="F745" s="7"/>
      <c r="G745" s="7"/>
      <c r="H745" s="7"/>
      <c r="I745" s="7"/>
      <c r="J745" s="7"/>
      <c r="K745" s="7"/>
      <c r="L745" s="7"/>
      <c r="M745" s="7"/>
      <c r="N745" s="7"/>
    </row>
    <row r="746" spans="1:14" ht="19.5" customHeight="1" x14ac:dyDescent="0.25">
      <c r="A746" s="7"/>
      <c r="B746" s="7"/>
      <c r="C746" s="13"/>
      <c r="D746" s="13"/>
      <c r="E746" s="7"/>
      <c r="F746" s="7"/>
      <c r="G746" s="7"/>
      <c r="H746" s="7"/>
      <c r="I746" s="7"/>
      <c r="J746" s="7"/>
      <c r="K746" s="7"/>
      <c r="L746" s="7"/>
      <c r="M746" s="7"/>
      <c r="N746" s="7"/>
    </row>
    <row r="747" spans="1:14" ht="19.5" customHeight="1" x14ac:dyDescent="0.25">
      <c r="A747" s="7"/>
      <c r="B747" s="7"/>
      <c r="C747" s="13"/>
      <c r="D747" s="13"/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r="748" spans="1:14" ht="19.5" customHeight="1" x14ac:dyDescent="0.25">
      <c r="A748" s="7"/>
      <c r="B748" s="7"/>
      <c r="C748" s="13"/>
      <c r="D748" s="13"/>
      <c r="E748" s="7"/>
      <c r="F748" s="7"/>
      <c r="G748" s="7"/>
      <c r="H748" s="7"/>
      <c r="I748" s="7"/>
      <c r="J748" s="7"/>
      <c r="K748" s="7"/>
      <c r="L748" s="7"/>
      <c r="M748" s="7"/>
      <c r="N748" s="7"/>
    </row>
    <row r="749" spans="1:14" ht="19.5" customHeight="1" x14ac:dyDescent="0.25">
      <c r="A749" s="7"/>
      <c r="B749" s="7"/>
      <c r="C749" s="13"/>
      <c r="D749" s="13"/>
      <c r="E749" s="7"/>
      <c r="F749" s="7"/>
      <c r="G749" s="7"/>
      <c r="H749" s="7"/>
      <c r="I749" s="7"/>
      <c r="J749" s="7"/>
      <c r="K749" s="7"/>
      <c r="L749" s="7"/>
      <c r="M749" s="7"/>
      <c r="N749" s="7"/>
    </row>
    <row r="750" spans="1:14" ht="19.5" customHeight="1" x14ac:dyDescent="0.25">
      <c r="A750" s="7"/>
      <c r="B750" s="7"/>
      <c r="C750" s="13"/>
      <c r="D750" s="13"/>
      <c r="E750" s="7"/>
      <c r="F750" s="7"/>
      <c r="G750" s="7"/>
      <c r="H750" s="7"/>
      <c r="I750" s="7"/>
      <c r="J750" s="7"/>
      <c r="K750" s="7"/>
      <c r="L750" s="7"/>
      <c r="M750" s="7"/>
      <c r="N750" s="7"/>
    </row>
    <row r="751" spans="1:14" ht="19.5" customHeight="1" x14ac:dyDescent="0.25">
      <c r="A751" s="7"/>
      <c r="B751" s="7"/>
      <c r="C751" s="13"/>
      <c r="D751" s="13"/>
      <c r="E751" s="7"/>
      <c r="F751" s="7"/>
      <c r="G751" s="7"/>
      <c r="H751" s="7"/>
      <c r="I751" s="7"/>
      <c r="J751" s="7"/>
      <c r="K751" s="7"/>
      <c r="L751" s="7"/>
      <c r="M751" s="7"/>
      <c r="N751" s="7"/>
    </row>
    <row r="752" spans="1:14" ht="19.5" customHeight="1" x14ac:dyDescent="0.25">
      <c r="A752" s="7"/>
      <c r="B752" s="7"/>
      <c r="C752" s="13"/>
      <c r="D752" s="13"/>
      <c r="E752" s="7"/>
      <c r="F752" s="7"/>
      <c r="G752" s="7"/>
      <c r="H752" s="7"/>
      <c r="I752" s="7"/>
      <c r="J752" s="7"/>
      <c r="K752" s="7"/>
      <c r="L752" s="7"/>
      <c r="M752" s="7"/>
      <c r="N752" s="7"/>
    </row>
    <row r="753" spans="1:14" ht="19.5" customHeight="1" x14ac:dyDescent="0.25">
      <c r="A753" s="7"/>
      <c r="B753" s="7"/>
      <c r="C753" s="13"/>
      <c r="D753" s="13"/>
      <c r="E753" s="7"/>
      <c r="F753" s="7"/>
      <c r="G753" s="7"/>
      <c r="H753" s="7"/>
      <c r="I753" s="7"/>
      <c r="J753" s="7"/>
      <c r="K753" s="7"/>
      <c r="L753" s="7"/>
      <c r="M753" s="7"/>
      <c r="N753" s="7"/>
    </row>
    <row r="754" spans="1:14" ht="19.5" customHeight="1" x14ac:dyDescent="0.25">
      <c r="A754" s="7"/>
      <c r="B754" s="7"/>
      <c r="C754" s="13"/>
      <c r="D754" s="13"/>
      <c r="E754" s="7"/>
      <c r="F754" s="7"/>
      <c r="G754" s="7"/>
      <c r="H754" s="7"/>
      <c r="I754" s="7"/>
      <c r="J754" s="7"/>
      <c r="K754" s="7"/>
      <c r="L754" s="7"/>
      <c r="M754" s="7"/>
      <c r="N754" s="7"/>
    </row>
    <row r="755" spans="1:14" ht="19.5" customHeight="1" x14ac:dyDescent="0.25">
      <c r="A755" s="7"/>
      <c r="B755" s="7"/>
      <c r="C755" s="13"/>
      <c r="D755" s="13"/>
      <c r="E755" s="7"/>
      <c r="F755" s="7"/>
      <c r="G755" s="7"/>
      <c r="H755" s="7"/>
      <c r="I755" s="7"/>
      <c r="J755" s="7"/>
      <c r="K755" s="7"/>
      <c r="L755" s="7"/>
      <c r="M755" s="7"/>
      <c r="N755" s="7"/>
    </row>
    <row r="756" spans="1:14" ht="19.5" customHeight="1" x14ac:dyDescent="0.25">
      <c r="A756" s="7"/>
      <c r="B756" s="7"/>
      <c r="C756" s="13"/>
      <c r="D756" s="13"/>
      <c r="E756" s="7"/>
      <c r="F756" s="7"/>
      <c r="G756" s="7"/>
      <c r="H756" s="7"/>
      <c r="I756" s="7"/>
      <c r="J756" s="7"/>
      <c r="K756" s="7"/>
      <c r="L756" s="7"/>
      <c r="M756" s="7"/>
      <c r="N756" s="7"/>
    </row>
    <row r="757" spans="1:14" ht="19.5" customHeight="1" x14ac:dyDescent="0.25">
      <c r="A757" s="7"/>
      <c r="B757" s="7"/>
      <c r="C757" s="13"/>
      <c r="D757" s="13"/>
      <c r="E757" s="7"/>
      <c r="F757" s="7"/>
      <c r="G757" s="7"/>
      <c r="H757" s="7"/>
      <c r="I757" s="7"/>
      <c r="J757" s="7"/>
      <c r="K757" s="7"/>
      <c r="L757" s="7"/>
      <c r="M757" s="7"/>
      <c r="N757" s="7"/>
    </row>
    <row r="758" spans="1:14" ht="19.5" customHeight="1" x14ac:dyDescent="0.25">
      <c r="A758" s="7"/>
      <c r="B758" s="7"/>
      <c r="C758" s="13"/>
      <c r="D758" s="13"/>
      <c r="E758" s="7"/>
      <c r="F758" s="7"/>
      <c r="G758" s="7"/>
      <c r="H758" s="7"/>
      <c r="I758" s="7"/>
      <c r="J758" s="7"/>
      <c r="K758" s="7"/>
      <c r="L758" s="7"/>
      <c r="M758" s="7"/>
      <c r="N758" s="7"/>
    </row>
    <row r="759" spans="1:14" ht="19.5" customHeight="1" x14ac:dyDescent="0.25">
      <c r="A759" s="7"/>
      <c r="B759" s="7"/>
      <c r="C759" s="13"/>
      <c r="D759" s="13"/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 spans="1:14" ht="19.5" customHeight="1" x14ac:dyDescent="0.25">
      <c r="A760" s="7"/>
      <c r="B760" s="7"/>
      <c r="C760" s="13"/>
      <c r="D760" s="13"/>
      <c r="E760" s="7"/>
      <c r="F760" s="7"/>
      <c r="G760" s="7"/>
      <c r="H760" s="7"/>
      <c r="I760" s="7"/>
      <c r="J760" s="7"/>
      <c r="K760" s="7"/>
      <c r="L760" s="7"/>
      <c r="M760" s="7"/>
      <c r="N760" s="7"/>
    </row>
    <row r="761" spans="1:14" ht="19.5" customHeight="1" x14ac:dyDescent="0.25">
      <c r="A761" s="7"/>
      <c r="B761" s="7"/>
      <c r="C761" s="13"/>
      <c r="D761" s="13"/>
      <c r="E761" s="7"/>
      <c r="F761" s="7"/>
      <c r="G761" s="7"/>
      <c r="H761" s="7"/>
      <c r="I761" s="7"/>
      <c r="J761" s="7"/>
      <c r="K761" s="7"/>
      <c r="L761" s="7"/>
      <c r="M761" s="7"/>
      <c r="N761" s="7"/>
    </row>
    <row r="762" spans="1:14" ht="19.5" customHeight="1" x14ac:dyDescent="0.25">
      <c r="A762" s="7"/>
      <c r="B762" s="7"/>
      <c r="C762" s="13"/>
      <c r="D762" s="13"/>
      <c r="E762" s="7"/>
      <c r="F762" s="7"/>
      <c r="G762" s="7"/>
      <c r="H762" s="7"/>
      <c r="I762" s="7"/>
      <c r="J762" s="7"/>
      <c r="K762" s="7"/>
      <c r="L762" s="7"/>
      <c r="M762" s="7"/>
      <c r="N762" s="7"/>
    </row>
    <row r="763" spans="1:14" ht="19.5" customHeight="1" x14ac:dyDescent="0.25">
      <c r="A763" s="7"/>
      <c r="B763" s="7"/>
      <c r="C763" s="13"/>
      <c r="D763" s="13"/>
      <c r="E763" s="7"/>
      <c r="F763" s="7"/>
      <c r="G763" s="7"/>
      <c r="H763" s="7"/>
      <c r="I763" s="7"/>
      <c r="J763" s="7"/>
      <c r="K763" s="7"/>
      <c r="L763" s="7"/>
      <c r="M763" s="7"/>
      <c r="N763" s="7"/>
    </row>
    <row r="764" spans="1:14" ht="19.5" customHeight="1" x14ac:dyDescent="0.25">
      <c r="A764" s="7"/>
      <c r="B764" s="7"/>
      <c r="C764" s="13"/>
      <c r="D764" s="13"/>
      <c r="E764" s="7"/>
      <c r="F764" s="7"/>
      <c r="G764" s="7"/>
      <c r="H764" s="7"/>
      <c r="I764" s="7"/>
      <c r="J764" s="7"/>
      <c r="K764" s="7"/>
      <c r="L764" s="7"/>
      <c r="M764" s="7"/>
      <c r="N764" s="7"/>
    </row>
    <row r="765" spans="1:14" ht="19.5" customHeight="1" x14ac:dyDescent="0.25">
      <c r="A765" s="7"/>
      <c r="B765" s="7"/>
      <c r="C765" s="13"/>
      <c r="D765" s="13"/>
      <c r="E765" s="7"/>
      <c r="F765" s="7"/>
      <c r="G765" s="7"/>
      <c r="H765" s="7"/>
      <c r="I765" s="7"/>
      <c r="J765" s="7"/>
      <c r="K765" s="7"/>
      <c r="L765" s="7"/>
      <c r="M765" s="7"/>
      <c r="N765" s="7"/>
    </row>
    <row r="766" spans="1:14" ht="19.5" customHeight="1" x14ac:dyDescent="0.25">
      <c r="A766" s="7"/>
      <c r="B766" s="7"/>
      <c r="C766" s="13"/>
      <c r="D766" s="13"/>
      <c r="E766" s="7"/>
      <c r="F766" s="7"/>
      <c r="G766" s="7"/>
      <c r="H766" s="7"/>
      <c r="I766" s="7"/>
      <c r="J766" s="7"/>
      <c r="K766" s="7"/>
      <c r="L766" s="7"/>
      <c r="M766" s="7"/>
      <c r="N766" s="7"/>
    </row>
    <row r="767" spans="1:14" ht="19.5" customHeight="1" x14ac:dyDescent="0.25">
      <c r="A767" s="7"/>
      <c r="B767" s="7"/>
      <c r="C767" s="13"/>
      <c r="D767" s="13"/>
      <c r="E767" s="7"/>
      <c r="F767" s="7"/>
      <c r="G767" s="7"/>
      <c r="H767" s="7"/>
      <c r="I767" s="7"/>
      <c r="J767" s="7"/>
      <c r="K767" s="7"/>
      <c r="L767" s="7"/>
      <c r="M767" s="7"/>
      <c r="N767" s="7"/>
    </row>
    <row r="768" spans="1:14" ht="19.5" customHeight="1" x14ac:dyDescent="0.25">
      <c r="A768" s="7"/>
      <c r="B768" s="7"/>
      <c r="C768" s="13"/>
      <c r="D768" s="13"/>
      <c r="E768" s="7"/>
      <c r="F768" s="7"/>
      <c r="G768" s="7"/>
      <c r="H768" s="7"/>
      <c r="I768" s="7"/>
      <c r="J768" s="7"/>
      <c r="K768" s="7"/>
      <c r="L768" s="7"/>
      <c r="M768" s="7"/>
      <c r="N768" s="7"/>
    </row>
    <row r="769" spans="1:14" ht="19.5" customHeight="1" x14ac:dyDescent="0.25">
      <c r="A769" s="7"/>
      <c r="B769" s="7"/>
      <c r="C769" s="13"/>
      <c r="D769" s="13"/>
      <c r="E769" s="7"/>
      <c r="F769" s="7"/>
      <c r="G769" s="7"/>
      <c r="H769" s="7"/>
      <c r="I769" s="7"/>
      <c r="J769" s="7"/>
      <c r="K769" s="7"/>
      <c r="L769" s="7"/>
      <c r="M769" s="7"/>
      <c r="N769" s="7"/>
    </row>
    <row r="770" spans="1:14" ht="19.5" customHeight="1" x14ac:dyDescent="0.25">
      <c r="A770" s="7"/>
      <c r="B770" s="7"/>
      <c r="C770" s="13"/>
      <c r="D770" s="13"/>
      <c r="E770" s="7"/>
      <c r="F770" s="7"/>
      <c r="G770" s="7"/>
      <c r="H770" s="7"/>
      <c r="I770" s="7"/>
      <c r="J770" s="7"/>
      <c r="K770" s="7"/>
      <c r="L770" s="7"/>
      <c r="M770" s="7"/>
      <c r="N770" s="7"/>
    </row>
    <row r="771" spans="1:14" ht="19.5" customHeight="1" x14ac:dyDescent="0.25">
      <c r="A771" s="7"/>
      <c r="B771" s="7"/>
      <c r="C771" s="13"/>
      <c r="D771" s="13"/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r="772" spans="1:14" ht="19.5" customHeight="1" x14ac:dyDescent="0.25">
      <c r="A772" s="7"/>
      <c r="B772" s="7"/>
      <c r="C772" s="13"/>
      <c r="D772" s="13"/>
      <c r="E772" s="7"/>
      <c r="F772" s="7"/>
      <c r="G772" s="7"/>
      <c r="H772" s="7"/>
      <c r="I772" s="7"/>
      <c r="J772" s="7"/>
      <c r="K772" s="7"/>
      <c r="L772" s="7"/>
      <c r="M772" s="7"/>
      <c r="N772" s="7"/>
    </row>
    <row r="773" spans="1:14" ht="19.5" customHeight="1" x14ac:dyDescent="0.25">
      <c r="A773" s="7"/>
      <c r="B773" s="7"/>
      <c r="C773" s="13"/>
      <c r="D773" s="13"/>
      <c r="E773" s="7"/>
      <c r="F773" s="7"/>
      <c r="G773" s="7"/>
      <c r="H773" s="7"/>
      <c r="I773" s="7"/>
      <c r="J773" s="7"/>
      <c r="K773" s="7"/>
      <c r="L773" s="7"/>
      <c r="M773" s="7"/>
      <c r="N773" s="7"/>
    </row>
    <row r="774" spans="1:14" ht="19.5" customHeight="1" x14ac:dyDescent="0.25">
      <c r="A774" s="7"/>
      <c r="B774" s="7"/>
      <c r="C774" s="13"/>
      <c r="D774" s="13"/>
      <c r="E774" s="7"/>
      <c r="F774" s="7"/>
      <c r="G774" s="7"/>
      <c r="H774" s="7"/>
      <c r="I774" s="7"/>
      <c r="J774" s="7"/>
      <c r="K774" s="7"/>
      <c r="L774" s="7"/>
      <c r="M774" s="7"/>
      <c r="N774" s="7"/>
    </row>
    <row r="775" spans="1:14" ht="19.5" customHeight="1" x14ac:dyDescent="0.25">
      <c r="A775" s="7"/>
      <c r="B775" s="7"/>
      <c r="C775" s="13"/>
      <c r="D775" s="13"/>
      <c r="E775" s="7"/>
      <c r="F775" s="7"/>
      <c r="G775" s="7"/>
      <c r="H775" s="7"/>
      <c r="I775" s="7"/>
      <c r="J775" s="7"/>
      <c r="K775" s="7"/>
      <c r="L775" s="7"/>
      <c r="M775" s="7"/>
      <c r="N775" s="7"/>
    </row>
    <row r="776" spans="1:14" ht="19.5" customHeight="1" x14ac:dyDescent="0.25">
      <c r="A776" s="7"/>
      <c r="B776" s="7"/>
      <c r="C776" s="13"/>
      <c r="D776" s="13"/>
      <c r="E776" s="7"/>
      <c r="F776" s="7"/>
      <c r="G776" s="7"/>
      <c r="H776" s="7"/>
      <c r="I776" s="7"/>
      <c r="J776" s="7"/>
      <c r="K776" s="7"/>
      <c r="L776" s="7"/>
      <c r="M776" s="7"/>
      <c r="N776" s="7"/>
    </row>
    <row r="777" spans="1:14" ht="19.5" customHeight="1" x14ac:dyDescent="0.25">
      <c r="A777" s="7"/>
      <c r="B777" s="7"/>
      <c r="C777" s="13"/>
      <c r="D777" s="13"/>
      <c r="E777" s="7"/>
      <c r="F777" s="7"/>
      <c r="G777" s="7"/>
      <c r="H777" s="7"/>
      <c r="I777" s="7"/>
      <c r="J777" s="7"/>
      <c r="K777" s="7"/>
      <c r="L777" s="7"/>
      <c r="M777" s="7"/>
      <c r="N777" s="7"/>
    </row>
    <row r="778" spans="1:14" ht="19.5" customHeight="1" x14ac:dyDescent="0.25">
      <c r="A778" s="7"/>
      <c r="B778" s="7"/>
      <c r="C778" s="13"/>
      <c r="D778" s="13"/>
      <c r="E778" s="7"/>
      <c r="F778" s="7"/>
      <c r="G778" s="7"/>
      <c r="H778" s="7"/>
      <c r="I778" s="7"/>
      <c r="J778" s="7"/>
      <c r="K778" s="7"/>
      <c r="L778" s="7"/>
      <c r="M778" s="7"/>
      <c r="N778" s="7"/>
    </row>
    <row r="779" spans="1:14" ht="19.5" customHeight="1" x14ac:dyDescent="0.25">
      <c r="A779" s="7"/>
      <c r="B779" s="7"/>
      <c r="C779" s="13"/>
      <c r="D779" s="13"/>
      <c r="E779" s="7"/>
      <c r="F779" s="7"/>
      <c r="G779" s="7"/>
      <c r="H779" s="7"/>
      <c r="I779" s="7"/>
      <c r="J779" s="7"/>
      <c r="K779" s="7"/>
      <c r="L779" s="7"/>
      <c r="M779" s="7"/>
      <c r="N779" s="7"/>
    </row>
    <row r="780" spans="1:14" ht="19.5" customHeight="1" x14ac:dyDescent="0.25">
      <c r="A780" s="7"/>
      <c r="B780" s="7"/>
      <c r="C780" s="13"/>
      <c r="D780" s="13"/>
      <c r="E780" s="7"/>
      <c r="F780" s="7"/>
      <c r="G780" s="7"/>
      <c r="H780" s="7"/>
      <c r="I780" s="7"/>
      <c r="J780" s="7"/>
      <c r="K780" s="7"/>
      <c r="L780" s="7"/>
      <c r="M780" s="7"/>
      <c r="N780" s="7"/>
    </row>
    <row r="781" spans="1:14" ht="19.5" customHeight="1" x14ac:dyDescent="0.25">
      <c r="A781" s="7"/>
      <c r="B781" s="7"/>
      <c r="C781" s="13"/>
      <c r="D781" s="13"/>
      <c r="E781" s="7"/>
      <c r="F781" s="7"/>
      <c r="G781" s="7"/>
      <c r="H781" s="7"/>
      <c r="I781" s="7"/>
      <c r="J781" s="7"/>
      <c r="K781" s="7"/>
      <c r="L781" s="7"/>
      <c r="M781" s="7"/>
      <c r="N781" s="7"/>
    </row>
    <row r="782" spans="1:14" ht="19.5" customHeight="1" x14ac:dyDescent="0.25">
      <c r="A782" s="7"/>
      <c r="B782" s="7"/>
      <c r="C782" s="13"/>
      <c r="D782" s="13"/>
      <c r="E782" s="7"/>
      <c r="F782" s="7"/>
      <c r="G782" s="7"/>
      <c r="H782" s="7"/>
      <c r="I782" s="7"/>
      <c r="J782" s="7"/>
      <c r="K782" s="7"/>
      <c r="L782" s="7"/>
      <c r="M782" s="7"/>
      <c r="N782" s="7"/>
    </row>
    <row r="783" spans="1:14" ht="19.5" customHeight="1" x14ac:dyDescent="0.25">
      <c r="A783" s="7"/>
      <c r="B783" s="7"/>
      <c r="C783" s="13"/>
      <c r="D783" s="13"/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 spans="1:14" ht="19.5" customHeight="1" x14ac:dyDescent="0.25">
      <c r="A784" s="7"/>
      <c r="B784" s="7"/>
      <c r="C784" s="13"/>
      <c r="D784" s="13"/>
      <c r="E784" s="7"/>
      <c r="F784" s="7"/>
      <c r="G784" s="7"/>
      <c r="H784" s="7"/>
      <c r="I784" s="7"/>
      <c r="J784" s="7"/>
      <c r="K784" s="7"/>
      <c r="L784" s="7"/>
      <c r="M784" s="7"/>
      <c r="N784" s="7"/>
    </row>
    <row r="785" spans="1:14" ht="19.5" customHeight="1" x14ac:dyDescent="0.25">
      <c r="A785" s="7"/>
      <c r="B785" s="7"/>
      <c r="C785" s="13"/>
      <c r="D785" s="13"/>
      <c r="E785" s="7"/>
      <c r="F785" s="7"/>
      <c r="G785" s="7"/>
      <c r="H785" s="7"/>
      <c r="I785" s="7"/>
      <c r="J785" s="7"/>
      <c r="K785" s="7"/>
      <c r="L785" s="7"/>
      <c r="M785" s="7"/>
      <c r="N785" s="7"/>
    </row>
    <row r="786" spans="1:14" ht="19.5" customHeight="1" x14ac:dyDescent="0.25">
      <c r="A786" s="7"/>
      <c r="B786" s="7"/>
      <c r="C786" s="13"/>
      <c r="D786" s="13"/>
      <c r="E786" s="7"/>
      <c r="F786" s="7"/>
      <c r="G786" s="7"/>
      <c r="H786" s="7"/>
      <c r="I786" s="7"/>
      <c r="J786" s="7"/>
      <c r="K786" s="7"/>
      <c r="L786" s="7"/>
      <c r="M786" s="7"/>
      <c r="N786" s="7"/>
    </row>
    <row r="787" spans="1:14" ht="19.5" customHeight="1" x14ac:dyDescent="0.25">
      <c r="A787" s="7"/>
      <c r="B787" s="7"/>
      <c r="C787" s="13"/>
      <c r="D787" s="13"/>
      <c r="E787" s="7"/>
      <c r="F787" s="7"/>
      <c r="G787" s="7"/>
      <c r="H787" s="7"/>
      <c r="I787" s="7"/>
      <c r="J787" s="7"/>
      <c r="K787" s="7"/>
      <c r="L787" s="7"/>
      <c r="M787" s="7"/>
      <c r="N787" s="7"/>
    </row>
    <row r="788" spans="1:14" ht="19.5" customHeight="1" x14ac:dyDescent="0.25">
      <c r="A788" s="7"/>
      <c r="B788" s="7"/>
      <c r="C788" s="13"/>
      <c r="D788" s="13"/>
      <c r="E788" s="7"/>
      <c r="F788" s="7"/>
      <c r="G788" s="7"/>
      <c r="H788" s="7"/>
      <c r="I788" s="7"/>
      <c r="J788" s="7"/>
      <c r="K788" s="7"/>
      <c r="L788" s="7"/>
      <c r="M788" s="7"/>
      <c r="N788" s="7"/>
    </row>
    <row r="789" spans="1:14" ht="19.5" customHeight="1" x14ac:dyDescent="0.25">
      <c r="A789" s="7"/>
      <c r="B789" s="7"/>
      <c r="C789" s="13"/>
      <c r="D789" s="13"/>
      <c r="E789" s="7"/>
      <c r="F789" s="7"/>
      <c r="G789" s="7"/>
      <c r="H789" s="7"/>
      <c r="I789" s="7"/>
      <c r="J789" s="7"/>
      <c r="K789" s="7"/>
      <c r="L789" s="7"/>
      <c r="M789" s="7"/>
      <c r="N789" s="7"/>
    </row>
    <row r="790" spans="1:14" ht="19.5" customHeight="1" x14ac:dyDescent="0.25">
      <c r="A790" s="7"/>
      <c r="B790" s="7"/>
      <c r="C790" s="13"/>
      <c r="D790" s="13"/>
      <c r="E790" s="7"/>
      <c r="F790" s="7"/>
      <c r="G790" s="7"/>
      <c r="H790" s="7"/>
      <c r="I790" s="7"/>
      <c r="J790" s="7"/>
      <c r="K790" s="7"/>
      <c r="L790" s="7"/>
      <c r="M790" s="7"/>
      <c r="N790" s="7"/>
    </row>
    <row r="791" spans="1:14" ht="19.5" customHeight="1" x14ac:dyDescent="0.25">
      <c r="A791" s="7"/>
      <c r="B791" s="7"/>
      <c r="C791" s="13"/>
      <c r="D791" s="13"/>
      <c r="E791" s="7"/>
      <c r="F791" s="7"/>
      <c r="G791" s="7"/>
      <c r="H791" s="7"/>
      <c r="I791" s="7"/>
      <c r="J791" s="7"/>
      <c r="K791" s="7"/>
      <c r="L791" s="7"/>
      <c r="M791" s="7"/>
      <c r="N791" s="7"/>
    </row>
    <row r="792" spans="1:14" ht="19.5" customHeight="1" x14ac:dyDescent="0.25">
      <c r="A792" s="7"/>
      <c r="B792" s="7"/>
      <c r="C792" s="13"/>
      <c r="D792" s="13"/>
      <c r="E792" s="7"/>
      <c r="F792" s="7"/>
      <c r="G792" s="7"/>
      <c r="H792" s="7"/>
      <c r="I792" s="7"/>
      <c r="J792" s="7"/>
      <c r="K792" s="7"/>
      <c r="L792" s="7"/>
      <c r="M792" s="7"/>
      <c r="N792" s="7"/>
    </row>
    <row r="793" spans="1:14" ht="19.5" customHeight="1" x14ac:dyDescent="0.25">
      <c r="A793" s="7"/>
      <c r="B793" s="7"/>
      <c r="C793" s="13"/>
      <c r="D793" s="13"/>
      <c r="E793" s="7"/>
      <c r="F793" s="7"/>
      <c r="G793" s="7"/>
      <c r="H793" s="7"/>
      <c r="I793" s="7"/>
      <c r="J793" s="7"/>
      <c r="K793" s="7"/>
      <c r="L793" s="7"/>
      <c r="M793" s="7"/>
      <c r="N793" s="7"/>
    </row>
    <row r="794" spans="1:14" ht="19.5" customHeight="1" x14ac:dyDescent="0.25">
      <c r="A794" s="7"/>
      <c r="B794" s="7"/>
      <c r="C794" s="13"/>
      <c r="D794" s="13"/>
      <c r="E794" s="7"/>
      <c r="F794" s="7"/>
      <c r="G794" s="7"/>
      <c r="H794" s="7"/>
      <c r="I794" s="7"/>
      <c r="J794" s="7"/>
      <c r="K794" s="7"/>
      <c r="L794" s="7"/>
      <c r="M794" s="7"/>
      <c r="N794" s="7"/>
    </row>
    <row r="795" spans="1:14" ht="19.5" customHeight="1" x14ac:dyDescent="0.25">
      <c r="A795" s="7"/>
      <c r="B795" s="7"/>
      <c r="C795" s="13"/>
      <c r="D795" s="13"/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 spans="1:14" ht="19.5" customHeight="1" x14ac:dyDescent="0.25">
      <c r="A796" s="7"/>
      <c r="B796" s="7"/>
      <c r="C796" s="13"/>
      <c r="D796" s="13"/>
      <c r="E796" s="7"/>
      <c r="F796" s="7"/>
      <c r="G796" s="7"/>
      <c r="H796" s="7"/>
      <c r="I796" s="7"/>
      <c r="J796" s="7"/>
      <c r="K796" s="7"/>
      <c r="L796" s="7"/>
      <c r="M796" s="7"/>
      <c r="N796" s="7"/>
    </row>
    <row r="797" spans="1:14" ht="19.5" customHeight="1" x14ac:dyDescent="0.25">
      <c r="A797" s="7"/>
      <c r="B797" s="7"/>
      <c r="C797" s="13"/>
      <c r="D797" s="13"/>
      <c r="E797" s="7"/>
      <c r="F797" s="7"/>
      <c r="G797" s="7"/>
      <c r="H797" s="7"/>
      <c r="I797" s="7"/>
      <c r="J797" s="7"/>
      <c r="K797" s="7"/>
      <c r="L797" s="7"/>
      <c r="M797" s="7"/>
      <c r="N797" s="7"/>
    </row>
    <row r="798" spans="1:14" ht="19.5" customHeight="1" x14ac:dyDescent="0.25">
      <c r="A798" s="7"/>
      <c r="B798" s="7"/>
      <c r="C798" s="13"/>
      <c r="D798" s="13"/>
      <c r="E798" s="7"/>
      <c r="F798" s="7"/>
      <c r="G798" s="7"/>
      <c r="H798" s="7"/>
      <c r="I798" s="7"/>
      <c r="J798" s="7"/>
      <c r="K798" s="7"/>
      <c r="L798" s="7"/>
      <c r="M798" s="7"/>
      <c r="N798" s="7"/>
    </row>
    <row r="799" spans="1:14" ht="19.5" customHeight="1" x14ac:dyDescent="0.25">
      <c r="A799" s="7"/>
      <c r="B799" s="7"/>
      <c r="C799" s="13"/>
      <c r="D799" s="13"/>
      <c r="E799" s="7"/>
      <c r="F799" s="7"/>
      <c r="G799" s="7"/>
      <c r="H799" s="7"/>
      <c r="I799" s="7"/>
      <c r="J799" s="7"/>
      <c r="K799" s="7"/>
      <c r="L799" s="7"/>
      <c r="M799" s="7"/>
      <c r="N799" s="7"/>
    </row>
    <row r="800" spans="1:14" ht="19.5" customHeight="1" x14ac:dyDescent="0.25">
      <c r="A800" s="7"/>
      <c r="B800" s="7"/>
      <c r="C800" s="13"/>
      <c r="D800" s="13"/>
      <c r="E800" s="7"/>
      <c r="F800" s="7"/>
      <c r="G800" s="7"/>
      <c r="H800" s="7"/>
      <c r="I800" s="7"/>
      <c r="J800" s="7"/>
      <c r="K800" s="7"/>
      <c r="L800" s="7"/>
      <c r="M800" s="7"/>
      <c r="N800" s="7"/>
    </row>
    <row r="801" spans="1:14" ht="19.5" customHeight="1" x14ac:dyDescent="0.25">
      <c r="A801" s="7"/>
      <c r="B801" s="7"/>
      <c r="C801" s="13"/>
      <c r="D801" s="13"/>
      <c r="E801" s="7"/>
      <c r="F801" s="7"/>
      <c r="G801" s="7"/>
      <c r="H801" s="7"/>
      <c r="I801" s="7"/>
      <c r="J801" s="7"/>
      <c r="K801" s="7"/>
      <c r="L801" s="7"/>
      <c r="M801" s="7"/>
      <c r="N801" s="7"/>
    </row>
    <row r="802" spans="1:14" ht="19.5" customHeight="1" x14ac:dyDescent="0.25">
      <c r="A802" s="7"/>
      <c r="B802" s="7"/>
      <c r="C802" s="13"/>
      <c r="D802" s="13"/>
      <c r="E802" s="7"/>
      <c r="F802" s="7"/>
      <c r="G802" s="7"/>
      <c r="H802" s="7"/>
      <c r="I802" s="7"/>
      <c r="J802" s="7"/>
      <c r="K802" s="7"/>
      <c r="L802" s="7"/>
      <c r="M802" s="7"/>
      <c r="N802" s="7"/>
    </row>
    <row r="803" spans="1:14" ht="19.5" customHeight="1" x14ac:dyDescent="0.25">
      <c r="A803" s="7"/>
      <c r="B803" s="7"/>
      <c r="C803" s="13"/>
      <c r="D803" s="13"/>
      <c r="E803" s="7"/>
      <c r="F803" s="7"/>
      <c r="G803" s="7"/>
      <c r="H803" s="7"/>
      <c r="I803" s="7"/>
      <c r="J803" s="7"/>
      <c r="K803" s="7"/>
      <c r="L803" s="7"/>
      <c r="M803" s="7"/>
      <c r="N803" s="7"/>
    </row>
    <row r="804" spans="1:14" ht="19.5" customHeight="1" x14ac:dyDescent="0.25">
      <c r="A804" s="7"/>
      <c r="B804" s="7"/>
      <c r="C804" s="13"/>
      <c r="D804" s="13"/>
      <c r="E804" s="7"/>
      <c r="F804" s="7"/>
      <c r="G804" s="7"/>
      <c r="H804" s="7"/>
      <c r="I804" s="7"/>
      <c r="J804" s="7"/>
      <c r="K804" s="7"/>
      <c r="L804" s="7"/>
      <c r="M804" s="7"/>
      <c r="N804" s="7"/>
    </row>
    <row r="805" spans="1:14" ht="19.5" customHeight="1" x14ac:dyDescent="0.25">
      <c r="A805" s="7"/>
      <c r="B805" s="7"/>
      <c r="C805" s="13"/>
      <c r="D805" s="13"/>
      <c r="E805" s="7"/>
      <c r="F805" s="7"/>
      <c r="G805" s="7"/>
      <c r="H805" s="7"/>
      <c r="I805" s="7"/>
      <c r="J805" s="7"/>
      <c r="K805" s="7"/>
      <c r="L805" s="7"/>
      <c r="M805" s="7"/>
      <c r="N805" s="7"/>
    </row>
    <row r="806" spans="1:14" ht="19.5" customHeight="1" x14ac:dyDescent="0.25">
      <c r="A806" s="7"/>
      <c r="B806" s="7"/>
      <c r="C806" s="13"/>
      <c r="D806" s="13"/>
      <c r="E806" s="7"/>
      <c r="F806" s="7"/>
      <c r="G806" s="7"/>
      <c r="H806" s="7"/>
      <c r="I806" s="7"/>
      <c r="J806" s="7"/>
      <c r="K806" s="7"/>
      <c r="L806" s="7"/>
      <c r="M806" s="7"/>
      <c r="N806" s="7"/>
    </row>
    <row r="807" spans="1:14" ht="19.5" customHeight="1" x14ac:dyDescent="0.25">
      <c r="A807" s="7"/>
      <c r="B807" s="7"/>
      <c r="C807" s="13"/>
      <c r="D807" s="13"/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r="808" spans="1:14" ht="19.5" customHeight="1" x14ac:dyDescent="0.25">
      <c r="A808" s="7"/>
      <c r="B808" s="7"/>
      <c r="C808" s="13"/>
      <c r="D808" s="13"/>
      <c r="E808" s="7"/>
      <c r="F808" s="7"/>
      <c r="G808" s="7"/>
      <c r="H808" s="7"/>
      <c r="I808" s="7"/>
      <c r="J808" s="7"/>
      <c r="K808" s="7"/>
      <c r="L808" s="7"/>
      <c r="M808" s="7"/>
      <c r="N808" s="7"/>
    </row>
    <row r="809" spans="1:14" ht="19.5" customHeight="1" x14ac:dyDescent="0.25">
      <c r="A809" s="7"/>
      <c r="B809" s="7"/>
      <c r="C809" s="13"/>
      <c r="D809" s="13"/>
      <c r="E809" s="7"/>
      <c r="F809" s="7"/>
      <c r="G809" s="7"/>
      <c r="H809" s="7"/>
      <c r="I809" s="7"/>
      <c r="J809" s="7"/>
      <c r="K809" s="7"/>
      <c r="L809" s="7"/>
      <c r="M809" s="7"/>
      <c r="N809" s="7"/>
    </row>
    <row r="810" spans="1:14" ht="19.5" customHeight="1" x14ac:dyDescent="0.25">
      <c r="A810" s="7"/>
      <c r="B810" s="7"/>
      <c r="C810" s="13"/>
      <c r="D810" s="13"/>
      <c r="E810" s="7"/>
      <c r="F810" s="7"/>
      <c r="G810" s="7"/>
      <c r="H810" s="7"/>
      <c r="I810" s="7"/>
      <c r="J810" s="7"/>
      <c r="K810" s="7"/>
      <c r="L810" s="7"/>
      <c r="M810" s="7"/>
      <c r="N810" s="7"/>
    </row>
    <row r="811" spans="1:14" ht="19.5" customHeight="1" x14ac:dyDescent="0.25">
      <c r="A811" s="7"/>
      <c r="B811" s="7"/>
      <c r="C811" s="13"/>
      <c r="D811" s="13"/>
      <c r="E811" s="7"/>
      <c r="F811" s="7"/>
      <c r="G811" s="7"/>
      <c r="H811" s="7"/>
      <c r="I811" s="7"/>
      <c r="J811" s="7"/>
      <c r="K811" s="7"/>
      <c r="L811" s="7"/>
      <c r="M811" s="7"/>
      <c r="N811" s="7"/>
    </row>
    <row r="812" spans="1:14" ht="19.5" customHeight="1" x14ac:dyDescent="0.25">
      <c r="A812" s="7"/>
      <c r="B812" s="7"/>
      <c r="C812" s="13"/>
      <c r="D812" s="13"/>
      <c r="E812" s="7"/>
      <c r="F812" s="7"/>
      <c r="G812" s="7"/>
      <c r="H812" s="7"/>
      <c r="I812" s="7"/>
      <c r="J812" s="7"/>
      <c r="K812" s="7"/>
      <c r="L812" s="7"/>
      <c r="M812" s="7"/>
      <c r="N812" s="7"/>
    </row>
    <row r="813" spans="1:14" ht="19.5" customHeight="1" x14ac:dyDescent="0.25">
      <c r="A813" s="7"/>
      <c r="B813" s="7"/>
      <c r="C813" s="13"/>
      <c r="D813" s="13"/>
      <c r="E813" s="7"/>
      <c r="F813" s="7"/>
      <c r="G813" s="7"/>
      <c r="H813" s="7"/>
      <c r="I813" s="7"/>
      <c r="J813" s="7"/>
      <c r="K813" s="7"/>
      <c r="L813" s="7"/>
      <c r="M813" s="7"/>
      <c r="N813" s="7"/>
    </row>
    <row r="814" spans="1:14" ht="19.5" customHeight="1" x14ac:dyDescent="0.25">
      <c r="A814" s="7"/>
      <c r="B814" s="7"/>
      <c r="C814" s="13"/>
      <c r="D814" s="13"/>
      <c r="E814" s="7"/>
      <c r="F814" s="7"/>
      <c r="G814" s="7"/>
      <c r="H814" s="7"/>
      <c r="I814" s="7"/>
      <c r="J814" s="7"/>
      <c r="K814" s="7"/>
      <c r="L814" s="7"/>
      <c r="M814" s="7"/>
      <c r="N814" s="7"/>
    </row>
    <row r="815" spans="1:14" ht="19.5" customHeight="1" x14ac:dyDescent="0.25">
      <c r="A815" s="7"/>
      <c r="B815" s="7"/>
      <c r="C815" s="13"/>
      <c r="D815" s="13"/>
      <c r="E815" s="7"/>
      <c r="F815" s="7"/>
      <c r="G815" s="7"/>
      <c r="H815" s="7"/>
      <c r="I815" s="7"/>
      <c r="J815" s="7"/>
      <c r="K815" s="7"/>
      <c r="L815" s="7"/>
      <c r="M815" s="7"/>
      <c r="N815" s="7"/>
    </row>
    <row r="816" spans="1:14" ht="19.5" customHeight="1" x14ac:dyDescent="0.25">
      <c r="A816" s="7"/>
      <c r="B816" s="7"/>
      <c r="C816" s="13"/>
      <c r="D816" s="13"/>
      <c r="E816" s="7"/>
      <c r="F816" s="7"/>
      <c r="G816" s="7"/>
      <c r="H816" s="7"/>
      <c r="I816" s="7"/>
      <c r="J816" s="7"/>
      <c r="K816" s="7"/>
      <c r="L816" s="7"/>
      <c r="M816" s="7"/>
      <c r="N816" s="7"/>
    </row>
    <row r="817" spans="1:14" ht="19.5" customHeight="1" x14ac:dyDescent="0.25">
      <c r="A817" s="7"/>
      <c r="B817" s="7"/>
      <c r="C817" s="13"/>
      <c r="D817" s="13"/>
      <c r="E817" s="7"/>
      <c r="F817" s="7"/>
      <c r="G817" s="7"/>
      <c r="H817" s="7"/>
      <c r="I817" s="7"/>
      <c r="J817" s="7"/>
      <c r="K817" s="7"/>
      <c r="L817" s="7"/>
      <c r="M817" s="7"/>
      <c r="N817" s="7"/>
    </row>
    <row r="818" spans="1:14" ht="19.5" customHeight="1" x14ac:dyDescent="0.25">
      <c r="A818" s="7"/>
      <c r="B818" s="7"/>
      <c r="C818" s="13"/>
      <c r="D818" s="13"/>
      <c r="E818" s="7"/>
      <c r="F818" s="7"/>
      <c r="G818" s="7"/>
      <c r="H818" s="7"/>
      <c r="I818" s="7"/>
      <c r="J818" s="7"/>
      <c r="K818" s="7"/>
      <c r="L818" s="7"/>
      <c r="M818" s="7"/>
      <c r="N818" s="7"/>
    </row>
    <row r="819" spans="1:14" ht="19.5" customHeight="1" x14ac:dyDescent="0.25">
      <c r="A819" s="7"/>
      <c r="B819" s="7"/>
      <c r="C819" s="13"/>
      <c r="D819" s="13"/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r="820" spans="1:14" ht="19.5" customHeight="1" x14ac:dyDescent="0.25">
      <c r="A820" s="7"/>
      <c r="B820" s="7"/>
      <c r="C820" s="13"/>
      <c r="D820" s="13"/>
      <c r="E820" s="7"/>
      <c r="F820" s="7"/>
      <c r="G820" s="7"/>
      <c r="H820" s="7"/>
      <c r="I820" s="7"/>
      <c r="J820" s="7"/>
      <c r="K820" s="7"/>
      <c r="L820" s="7"/>
      <c r="M820" s="7"/>
      <c r="N820" s="7"/>
    </row>
    <row r="821" spans="1:14" ht="19.5" customHeight="1" x14ac:dyDescent="0.25">
      <c r="A821" s="7"/>
      <c r="B821" s="7"/>
      <c r="C821" s="13"/>
      <c r="D821" s="13"/>
      <c r="E821" s="7"/>
      <c r="F821" s="7"/>
      <c r="G821" s="7"/>
      <c r="H821" s="7"/>
      <c r="I821" s="7"/>
      <c r="J821" s="7"/>
      <c r="K821" s="7"/>
      <c r="L821" s="7"/>
      <c r="M821" s="7"/>
      <c r="N821" s="7"/>
    </row>
    <row r="822" spans="1:14" ht="19.5" customHeight="1" x14ac:dyDescent="0.25">
      <c r="A822" s="7"/>
      <c r="B822" s="7"/>
      <c r="C822" s="13"/>
      <c r="D822" s="13"/>
      <c r="E822" s="7"/>
      <c r="F822" s="7"/>
      <c r="G822" s="7"/>
      <c r="H822" s="7"/>
      <c r="I822" s="7"/>
      <c r="J822" s="7"/>
      <c r="K822" s="7"/>
      <c r="L822" s="7"/>
      <c r="M822" s="7"/>
      <c r="N822" s="7"/>
    </row>
    <row r="823" spans="1:14" ht="19.5" customHeight="1" x14ac:dyDescent="0.25">
      <c r="A823" s="7"/>
      <c r="B823" s="7"/>
      <c r="C823" s="13"/>
      <c r="D823" s="13"/>
      <c r="E823" s="7"/>
      <c r="F823" s="7"/>
      <c r="G823" s="7"/>
      <c r="H823" s="7"/>
      <c r="I823" s="7"/>
      <c r="J823" s="7"/>
      <c r="K823" s="7"/>
      <c r="L823" s="7"/>
      <c r="M823" s="7"/>
      <c r="N823" s="7"/>
    </row>
    <row r="824" spans="1:14" ht="19.5" customHeight="1" x14ac:dyDescent="0.25">
      <c r="A824" s="7"/>
      <c r="B824" s="7"/>
      <c r="C824" s="13"/>
      <c r="D824" s="13"/>
      <c r="E824" s="7"/>
      <c r="F824" s="7"/>
      <c r="G824" s="7"/>
      <c r="H824" s="7"/>
      <c r="I824" s="7"/>
      <c r="J824" s="7"/>
      <c r="K824" s="7"/>
      <c r="L824" s="7"/>
      <c r="M824" s="7"/>
      <c r="N824" s="7"/>
    </row>
    <row r="825" spans="1:14" ht="19.5" customHeight="1" x14ac:dyDescent="0.25">
      <c r="A825" s="7"/>
      <c r="B825" s="7"/>
      <c r="C825" s="13"/>
      <c r="D825" s="13"/>
      <c r="E825" s="7"/>
      <c r="F825" s="7"/>
      <c r="G825" s="7"/>
      <c r="H825" s="7"/>
      <c r="I825" s="7"/>
      <c r="J825" s="7"/>
      <c r="K825" s="7"/>
      <c r="L825" s="7"/>
      <c r="M825" s="7"/>
      <c r="N825" s="7"/>
    </row>
    <row r="826" spans="1:14" ht="19.5" customHeight="1" x14ac:dyDescent="0.25">
      <c r="A826" s="7"/>
      <c r="B826" s="7"/>
      <c r="C826" s="13"/>
      <c r="D826" s="13"/>
      <c r="E826" s="7"/>
      <c r="F826" s="7"/>
      <c r="G826" s="7"/>
      <c r="H826" s="7"/>
      <c r="I826" s="7"/>
      <c r="J826" s="7"/>
      <c r="K826" s="7"/>
      <c r="L826" s="7"/>
      <c r="M826" s="7"/>
      <c r="N826" s="7"/>
    </row>
    <row r="827" spans="1:14" ht="19.5" customHeight="1" x14ac:dyDescent="0.25">
      <c r="A827" s="7"/>
      <c r="B827" s="7"/>
      <c r="C827" s="13"/>
      <c r="D827" s="13"/>
      <c r="E827" s="7"/>
      <c r="F827" s="7"/>
      <c r="G827" s="7"/>
      <c r="H827" s="7"/>
      <c r="I827" s="7"/>
      <c r="J827" s="7"/>
      <c r="K827" s="7"/>
      <c r="L827" s="7"/>
      <c r="M827" s="7"/>
      <c r="N827" s="7"/>
    </row>
    <row r="828" spans="1:14" ht="19.5" customHeight="1" x14ac:dyDescent="0.25">
      <c r="A828" s="7"/>
      <c r="B828" s="7"/>
      <c r="C828" s="13"/>
      <c r="D828" s="13"/>
      <c r="E828" s="7"/>
      <c r="F828" s="7"/>
      <c r="G828" s="7"/>
      <c r="H828" s="7"/>
      <c r="I828" s="7"/>
      <c r="J828" s="7"/>
      <c r="K828" s="7"/>
      <c r="L828" s="7"/>
      <c r="M828" s="7"/>
      <c r="N828" s="7"/>
    </row>
    <row r="829" spans="1:14" ht="19.5" customHeight="1" x14ac:dyDescent="0.25">
      <c r="A829" s="7"/>
      <c r="B829" s="7"/>
      <c r="C829" s="13"/>
      <c r="D829" s="13"/>
      <c r="E829" s="7"/>
      <c r="F829" s="7"/>
      <c r="G829" s="7"/>
      <c r="H829" s="7"/>
      <c r="I829" s="7"/>
      <c r="J829" s="7"/>
      <c r="K829" s="7"/>
      <c r="L829" s="7"/>
      <c r="M829" s="7"/>
      <c r="N829" s="7"/>
    </row>
    <row r="830" spans="1:14" ht="19.5" customHeight="1" x14ac:dyDescent="0.25">
      <c r="A830" s="7"/>
      <c r="B830" s="7"/>
      <c r="C830" s="13"/>
      <c r="D830" s="13"/>
      <c r="E830" s="7"/>
      <c r="F830" s="7"/>
      <c r="G830" s="7"/>
      <c r="H830" s="7"/>
      <c r="I830" s="7"/>
      <c r="J830" s="7"/>
      <c r="K830" s="7"/>
      <c r="L830" s="7"/>
      <c r="M830" s="7"/>
      <c r="N830" s="7"/>
    </row>
    <row r="831" spans="1:14" ht="19.5" customHeight="1" x14ac:dyDescent="0.25">
      <c r="A831" s="7"/>
      <c r="B831" s="7"/>
      <c r="C831" s="13"/>
      <c r="D831" s="13"/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r="832" spans="1:14" ht="19.5" customHeight="1" x14ac:dyDescent="0.25">
      <c r="A832" s="7"/>
      <c r="B832" s="7"/>
      <c r="C832" s="13"/>
      <c r="D832" s="13"/>
      <c r="E832" s="7"/>
      <c r="F832" s="7"/>
      <c r="G832" s="7"/>
      <c r="H832" s="7"/>
      <c r="I832" s="7"/>
      <c r="J832" s="7"/>
      <c r="K832" s="7"/>
      <c r="L832" s="7"/>
      <c r="M832" s="7"/>
      <c r="N832" s="7"/>
    </row>
    <row r="833" spans="1:14" ht="19.5" customHeight="1" x14ac:dyDescent="0.25">
      <c r="A833" s="7"/>
      <c r="B833" s="7"/>
      <c r="C833" s="13"/>
      <c r="D833" s="13"/>
      <c r="E833" s="7"/>
      <c r="F833" s="7"/>
      <c r="G833" s="7"/>
      <c r="H833" s="7"/>
      <c r="I833" s="7"/>
      <c r="J833" s="7"/>
      <c r="K833" s="7"/>
      <c r="L833" s="7"/>
      <c r="M833" s="7"/>
      <c r="N833" s="7"/>
    </row>
    <row r="834" spans="1:14" ht="19.5" customHeight="1" x14ac:dyDescent="0.25">
      <c r="A834" s="7"/>
      <c r="B834" s="7"/>
      <c r="C834" s="13"/>
      <c r="D834" s="13"/>
      <c r="E834" s="7"/>
      <c r="F834" s="7"/>
      <c r="G834" s="7"/>
      <c r="H834" s="7"/>
      <c r="I834" s="7"/>
      <c r="J834" s="7"/>
      <c r="K834" s="7"/>
      <c r="L834" s="7"/>
      <c r="M834" s="7"/>
      <c r="N834" s="7"/>
    </row>
    <row r="835" spans="1:14" ht="19.5" customHeight="1" x14ac:dyDescent="0.25">
      <c r="A835" s="7"/>
      <c r="B835" s="7"/>
      <c r="C835" s="13"/>
      <c r="D835" s="13"/>
      <c r="E835" s="7"/>
      <c r="F835" s="7"/>
      <c r="G835" s="7"/>
      <c r="H835" s="7"/>
      <c r="I835" s="7"/>
      <c r="J835" s="7"/>
      <c r="K835" s="7"/>
      <c r="L835" s="7"/>
      <c r="M835" s="7"/>
      <c r="N835" s="7"/>
    </row>
    <row r="836" spans="1:14" ht="19.5" customHeight="1" x14ac:dyDescent="0.25">
      <c r="A836" s="7"/>
      <c r="B836" s="7"/>
      <c r="C836" s="13"/>
      <c r="D836" s="13"/>
      <c r="E836" s="7"/>
      <c r="F836" s="7"/>
      <c r="G836" s="7"/>
      <c r="H836" s="7"/>
      <c r="I836" s="7"/>
      <c r="J836" s="7"/>
      <c r="K836" s="7"/>
      <c r="L836" s="7"/>
      <c r="M836" s="7"/>
      <c r="N836" s="7"/>
    </row>
    <row r="837" spans="1:14" ht="19.5" customHeight="1" x14ac:dyDescent="0.25">
      <c r="A837" s="7"/>
      <c r="B837" s="7"/>
      <c r="C837" s="13"/>
      <c r="D837" s="13"/>
      <c r="E837" s="7"/>
      <c r="F837" s="7"/>
      <c r="G837" s="7"/>
      <c r="H837" s="7"/>
      <c r="I837" s="7"/>
      <c r="J837" s="7"/>
      <c r="K837" s="7"/>
      <c r="L837" s="7"/>
      <c r="M837" s="7"/>
      <c r="N837" s="7"/>
    </row>
    <row r="838" spans="1:14" ht="19.5" customHeight="1" x14ac:dyDescent="0.25">
      <c r="A838" s="7"/>
      <c r="B838" s="7"/>
      <c r="C838" s="13"/>
      <c r="D838" s="13"/>
      <c r="E838" s="7"/>
      <c r="F838" s="7"/>
      <c r="G838" s="7"/>
      <c r="H838" s="7"/>
      <c r="I838" s="7"/>
      <c r="J838" s="7"/>
      <c r="K838" s="7"/>
      <c r="L838" s="7"/>
      <c r="M838" s="7"/>
      <c r="N838" s="7"/>
    </row>
    <row r="839" spans="1:14" ht="19.5" customHeight="1" x14ac:dyDescent="0.25">
      <c r="A839" s="7"/>
      <c r="B839" s="7"/>
      <c r="C839" s="13"/>
      <c r="D839" s="13"/>
      <c r="E839" s="7"/>
      <c r="F839" s="7"/>
      <c r="G839" s="7"/>
      <c r="H839" s="7"/>
      <c r="I839" s="7"/>
      <c r="J839" s="7"/>
      <c r="K839" s="7"/>
      <c r="L839" s="7"/>
      <c r="M839" s="7"/>
      <c r="N839" s="7"/>
    </row>
    <row r="840" spans="1:14" ht="19.5" customHeight="1" x14ac:dyDescent="0.25">
      <c r="A840" s="7"/>
      <c r="B840" s="7"/>
      <c r="C840" s="13"/>
      <c r="D840" s="13"/>
      <c r="E840" s="7"/>
      <c r="F840" s="7"/>
      <c r="G840" s="7"/>
      <c r="H840" s="7"/>
      <c r="I840" s="7"/>
      <c r="J840" s="7"/>
      <c r="K840" s="7"/>
      <c r="L840" s="7"/>
      <c r="M840" s="7"/>
      <c r="N840" s="7"/>
    </row>
    <row r="841" spans="1:14" ht="19.5" customHeight="1" x14ac:dyDescent="0.25">
      <c r="A841" s="7"/>
      <c r="B841" s="7"/>
      <c r="C841" s="13"/>
      <c r="D841" s="13"/>
      <c r="E841" s="7"/>
      <c r="F841" s="7"/>
      <c r="G841" s="7"/>
      <c r="H841" s="7"/>
      <c r="I841" s="7"/>
      <c r="J841" s="7"/>
      <c r="K841" s="7"/>
      <c r="L841" s="7"/>
      <c r="M841" s="7"/>
      <c r="N841" s="7"/>
    </row>
    <row r="842" spans="1:14" ht="19.5" customHeight="1" x14ac:dyDescent="0.25">
      <c r="A842" s="7"/>
      <c r="B842" s="7"/>
      <c r="C842" s="13"/>
      <c r="D842" s="13"/>
      <c r="E842" s="7"/>
      <c r="F842" s="7"/>
      <c r="G842" s="7"/>
      <c r="H842" s="7"/>
      <c r="I842" s="7"/>
      <c r="J842" s="7"/>
      <c r="K842" s="7"/>
      <c r="L842" s="7"/>
      <c r="M842" s="7"/>
      <c r="N842" s="7"/>
    </row>
    <row r="843" spans="1:14" ht="19.5" customHeight="1" x14ac:dyDescent="0.25">
      <c r="A843" s="7"/>
      <c r="B843" s="7"/>
      <c r="C843" s="13"/>
      <c r="D843" s="13"/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r="844" spans="1:14" ht="19.5" customHeight="1" x14ac:dyDescent="0.25">
      <c r="A844" s="7"/>
      <c r="B844" s="7"/>
      <c r="C844" s="13"/>
      <c r="D844" s="13"/>
      <c r="E844" s="7"/>
      <c r="F844" s="7"/>
      <c r="G844" s="7"/>
      <c r="H844" s="7"/>
      <c r="I844" s="7"/>
      <c r="J844" s="7"/>
      <c r="K844" s="7"/>
      <c r="L844" s="7"/>
      <c r="M844" s="7"/>
      <c r="N844" s="7"/>
    </row>
    <row r="845" spans="1:14" ht="19.5" customHeight="1" x14ac:dyDescent="0.25">
      <c r="A845" s="7"/>
      <c r="B845" s="7"/>
      <c r="C845" s="13"/>
      <c r="D845" s="13"/>
      <c r="E845" s="7"/>
      <c r="F845" s="7"/>
      <c r="G845" s="7"/>
      <c r="H845" s="7"/>
      <c r="I845" s="7"/>
      <c r="J845" s="7"/>
      <c r="K845" s="7"/>
      <c r="L845" s="7"/>
      <c r="M845" s="7"/>
      <c r="N845" s="7"/>
    </row>
    <row r="846" spans="1:14" ht="19.5" customHeight="1" x14ac:dyDescent="0.25">
      <c r="A846" s="7"/>
      <c r="B846" s="7"/>
      <c r="C846" s="13"/>
      <c r="D846" s="13"/>
      <c r="E846" s="7"/>
      <c r="F846" s="7"/>
      <c r="G846" s="7"/>
      <c r="H846" s="7"/>
      <c r="I846" s="7"/>
      <c r="J846" s="7"/>
      <c r="K846" s="7"/>
      <c r="L846" s="7"/>
      <c r="M846" s="7"/>
      <c r="N846" s="7"/>
    </row>
    <row r="847" spans="1:14" ht="19.5" customHeight="1" x14ac:dyDescent="0.25">
      <c r="A847" s="7"/>
      <c r="B847" s="7"/>
      <c r="C847" s="13"/>
      <c r="D847" s="13"/>
      <c r="E847" s="7"/>
      <c r="F847" s="7"/>
      <c r="G847" s="7"/>
      <c r="H847" s="7"/>
      <c r="I847" s="7"/>
      <c r="J847" s="7"/>
      <c r="K847" s="7"/>
      <c r="L847" s="7"/>
      <c r="M847" s="7"/>
      <c r="N847" s="7"/>
    </row>
    <row r="848" spans="1:14" ht="19.5" customHeight="1" x14ac:dyDescent="0.25">
      <c r="A848" s="7"/>
      <c r="B848" s="7"/>
      <c r="C848" s="13"/>
      <c r="D848" s="13"/>
      <c r="E848" s="7"/>
      <c r="F848" s="7"/>
      <c r="G848" s="7"/>
      <c r="H848" s="7"/>
      <c r="I848" s="7"/>
      <c r="J848" s="7"/>
      <c r="K848" s="7"/>
      <c r="L848" s="7"/>
      <c r="M848" s="7"/>
      <c r="N848" s="7"/>
    </row>
    <row r="849" spans="1:14" ht="19.5" customHeight="1" x14ac:dyDescent="0.25">
      <c r="A849" s="7"/>
      <c r="B849" s="7"/>
      <c r="C849" s="13"/>
      <c r="D849" s="13"/>
      <c r="E849" s="7"/>
      <c r="F849" s="7"/>
      <c r="G849" s="7"/>
      <c r="H849" s="7"/>
      <c r="I849" s="7"/>
      <c r="J849" s="7"/>
      <c r="K849" s="7"/>
      <c r="L849" s="7"/>
      <c r="M849" s="7"/>
      <c r="N849" s="7"/>
    </row>
    <row r="850" spans="1:14" ht="19.5" customHeight="1" x14ac:dyDescent="0.25">
      <c r="A850" s="7"/>
      <c r="B850" s="7"/>
      <c r="C850" s="13"/>
      <c r="D850" s="13"/>
      <c r="E850" s="7"/>
      <c r="F850" s="7"/>
      <c r="G850" s="7"/>
      <c r="H850" s="7"/>
      <c r="I850" s="7"/>
      <c r="J850" s="7"/>
      <c r="K850" s="7"/>
      <c r="L850" s="7"/>
      <c r="M850" s="7"/>
      <c r="N850" s="7"/>
    </row>
    <row r="851" spans="1:14" ht="19.5" customHeight="1" x14ac:dyDescent="0.25">
      <c r="A851" s="7"/>
      <c r="B851" s="7"/>
      <c r="C851" s="13"/>
      <c r="D851" s="13"/>
      <c r="E851" s="7"/>
      <c r="F851" s="7"/>
      <c r="G851" s="7"/>
      <c r="H851" s="7"/>
      <c r="I851" s="7"/>
      <c r="J851" s="7"/>
      <c r="K851" s="7"/>
      <c r="L851" s="7"/>
      <c r="M851" s="7"/>
      <c r="N851" s="7"/>
    </row>
    <row r="852" spans="1:14" ht="19.5" customHeight="1" x14ac:dyDescent="0.25">
      <c r="A852" s="7"/>
      <c r="B852" s="7"/>
      <c r="C852" s="13"/>
      <c r="D852" s="13"/>
      <c r="E852" s="7"/>
      <c r="F852" s="7"/>
      <c r="G852" s="7"/>
      <c r="H852" s="7"/>
      <c r="I852" s="7"/>
      <c r="J852" s="7"/>
      <c r="K852" s="7"/>
      <c r="L852" s="7"/>
      <c r="M852" s="7"/>
      <c r="N852" s="7"/>
    </row>
    <row r="853" spans="1:14" ht="19.5" customHeight="1" x14ac:dyDescent="0.25">
      <c r="A853" s="7"/>
      <c r="B853" s="7"/>
      <c r="C853" s="13"/>
      <c r="D853" s="13"/>
      <c r="E853" s="7"/>
      <c r="F853" s="7"/>
      <c r="G853" s="7"/>
      <c r="H853" s="7"/>
      <c r="I853" s="7"/>
      <c r="J853" s="7"/>
      <c r="K853" s="7"/>
      <c r="L853" s="7"/>
      <c r="M853" s="7"/>
      <c r="N853" s="7"/>
    </row>
    <row r="854" spans="1:14" ht="19.5" customHeight="1" x14ac:dyDescent="0.25">
      <c r="A854" s="7"/>
      <c r="B854" s="7"/>
      <c r="C854" s="13"/>
      <c r="D854" s="13"/>
      <c r="E854" s="7"/>
      <c r="F854" s="7"/>
      <c r="G854" s="7"/>
      <c r="H854" s="7"/>
      <c r="I854" s="7"/>
      <c r="J854" s="7"/>
      <c r="K854" s="7"/>
      <c r="L854" s="7"/>
      <c r="M854" s="7"/>
      <c r="N854" s="7"/>
    </row>
    <row r="855" spans="1:14" ht="19.5" customHeight="1" x14ac:dyDescent="0.25">
      <c r="A855" s="7"/>
      <c r="B855" s="7"/>
      <c r="C855" s="13"/>
      <c r="D855" s="13"/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r="856" spans="1:14" ht="19.5" customHeight="1" x14ac:dyDescent="0.25">
      <c r="A856" s="7"/>
      <c r="B856" s="7"/>
      <c r="C856" s="13"/>
      <c r="D856" s="13"/>
      <c r="E856" s="7"/>
      <c r="F856" s="7"/>
      <c r="G856" s="7"/>
      <c r="H856" s="7"/>
      <c r="I856" s="7"/>
      <c r="J856" s="7"/>
      <c r="K856" s="7"/>
      <c r="L856" s="7"/>
      <c r="M856" s="7"/>
      <c r="N856" s="7"/>
    </row>
    <row r="857" spans="1:14" ht="19.5" customHeight="1" x14ac:dyDescent="0.25">
      <c r="A857" s="7"/>
      <c r="B857" s="7"/>
      <c r="C857" s="13"/>
      <c r="D857" s="13"/>
      <c r="E857" s="7"/>
      <c r="F857" s="7"/>
      <c r="G857" s="7"/>
      <c r="H857" s="7"/>
      <c r="I857" s="7"/>
      <c r="J857" s="7"/>
      <c r="K857" s="7"/>
      <c r="L857" s="7"/>
      <c r="M857" s="7"/>
      <c r="N857" s="7"/>
    </row>
    <row r="858" spans="1:14" ht="19.5" customHeight="1" x14ac:dyDescent="0.25">
      <c r="A858" s="7"/>
      <c r="B858" s="7"/>
      <c r="C858" s="13"/>
      <c r="D858" s="13"/>
      <c r="E858" s="7"/>
      <c r="F858" s="7"/>
      <c r="G858" s="7"/>
      <c r="H858" s="7"/>
      <c r="I858" s="7"/>
      <c r="J858" s="7"/>
      <c r="K858" s="7"/>
      <c r="L858" s="7"/>
      <c r="M858" s="7"/>
      <c r="N858" s="7"/>
    </row>
    <row r="859" spans="1:14" ht="19.5" customHeight="1" x14ac:dyDescent="0.25">
      <c r="A859" s="7"/>
      <c r="B859" s="7"/>
      <c r="C859" s="13"/>
      <c r="D859" s="13"/>
      <c r="E859" s="7"/>
      <c r="F859" s="7"/>
      <c r="G859" s="7"/>
      <c r="H859" s="7"/>
      <c r="I859" s="7"/>
      <c r="J859" s="7"/>
      <c r="K859" s="7"/>
      <c r="L859" s="7"/>
      <c r="M859" s="7"/>
      <c r="N859" s="7"/>
    </row>
    <row r="860" spans="1:14" ht="19.5" customHeight="1" x14ac:dyDescent="0.25">
      <c r="A860" s="7"/>
      <c r="B860" s="7"/>
      <c r="C860" s="13"/>
      <c r="D860" s="13"/>
      <c r="E860" s="7"/>
      <c r="F860" s="7"/>
      <c r="G860" s="7"/>
      <c r="H860" s="7"/>
      <c r="I860" s="7"/>
      <c r="J860" s="7"/>
      <c r="K860" s="7"/>
      <c r="L860" s="7"/>
      <c r="M860" s="7"/>
      <c r="N860" s="7"/>
    </row>
    <row r="861" spans="1:14" ht="19.5" customHeight="1" x14ac:dyDescent="0.25">
      <c r="A861" s="7"/>
      <c r="B861" s="7"/>
      <c r="C861" s="13"/>
      <c r="D861" s="13"/>
      <c r="E861" s="7"/>
      <c r="F861" s="7"/>
      <c r="G861" s="7"/>
      <c r="H861" s="7"/>
      <c r="I861" s="7"/>
      <c r="J861" s="7"/>
      <c r="K861" s="7"/>
      <c r="L861" s="7"/>
      <c r="M861" s="7"/>
      <c r="N861" s="7"/>
    </row>
    <row r="862" spans="1:14" ht="19.5" customHeight="1" x14ac:dyDescent="0.25">
      <c r="A862" s="7"/>
      <c r="B862" s="7"/>
      <c r="C862" s="13"/>
      <c r="D862" s="13"/>
      <c r="E862" s="7"/>
      <c r="F862" s="7"/>
      <c r="G862" s="7"/>
      <c r="H862" s="7"/>
      <c r="I862" s="7"/>
      <c r="J862" s="7"/>
      <c r="K862" s="7"/>
      <c r="L862" s="7"/>
      <c r="M862" s="7"/>
      <c r="N862" s="7"/>
    </row>
    <row r="863" spans="1:14" ht="19.5" customHeight="1" x14ac:dyDescent="0.25">
      <c r="A863" s="7"/>
      <c r="B863" s="7"/>
      <c r="C863" s="13"/>
      <c r="D863" s="13"/>
      <c r="E863" s="7"/>
      <c r="F863" s="7"/>
      <c r="G863" s="7"/>
      <c r="H863" s="7"/>
      <c r="I863" s="7"/>
      <c r="J863" s="7"/>
      <c r="K863" s="7"/>
      <c r="L863" s="7"/>
      <c r="M863" s="7"/>
      <c r="N863" s="7"/>
    </row>
    <row r="864" spans="1:14" ht="19.5" customHeight="1" x14ac:dyDescent="0.25">
      <c r="A864" s="7"/>
      <c r="B864" s="7"/>
      <c r="C864" s="13"/>
      <c r="D864" s="13"/>
      <c r="E864" s="7"/>
      <c r="F864" s="7"/>
      <c r="G864" s="7"/>
      <c r="H864" s="7"/>
      <c r="I864" s="7"/>
      <c r="J864" s="7"/>
      <c r="K864" s="7"/>
      <c r="L864" s="7"/>
      <c r="M864" s="7"/>
      <c r="N864" s="7"/>
    </row>
    <row r="865" spans="1:14" ht="19.5" customHeight="1" x14ac:dyDescent="0.25">
      <c r="A865" s="7"/>
      <c r="B865" s="7"/>
      <c r="C865" s="13"/>
      <c r="D865" s="13"/>
      <c r="E865" s="7"/>
      <c r="F865" s="7"/>
      <c r="G865" s="7"/>
      <c r="H865" s="7"/>
      <c r="I865" s="7"/>
      <c r="J865" s="7"/>
      <c r="K865" s="7"/>
      <c r="L865" s="7"/>
      <c r="M865" s="7"/>
      <c r="N865" s="7"/>
    </row>
    <row r="866" spans="1:14" ht="19.5" customHeight="1" x14ac:dyDescent="0.25">
      <c r="A866" s="7"/>
      <c r="B866" s="7"/>
      <c r="C866" s="13"/>
      <c r="D866" s="13"/>
      <c r="E866" s="7"/>
      <c r="F866" s="7"/>
      <c r="G866" s="7"/>
      <c r="H866" s="7"/>
      <c r="I866" s="7"/>
      <c r="J866" s="7"/>
      <c r="K866" s="7"/>
      <c r="L866" s="7"/>
      <c r="M866" s="7"/>
      <c r="N866" s="7"/>
    </row>
    <row r="867" spans="1:14" ht="19.5" customHeight="1" x14ac:dyDescent="0.25">
      <c r="A867" s="7"/>
      <c r="B867" s="7"/>
      <c r="C867" s="13"/>
      <c r="D867" s="13"/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r="868" spans="1:14" ht="19.5" customHeight="1" x14ac:dyDescent="0.25">
      <c r="A868" s="7"/>
      <c r="B868" s="7"/>
      <c r="C868" s="13"/>
      <c r="D868" s="13"/>
      <c r="E868" s="7"/>
      <c r="F868" s="7"/>
      <c r="G868" s="7"/>
      <c r="H868" s="7"/>
      <c r="I868" s="7"/>
      <c r="J868" s="7"/>
      <c r="K868" s="7"/>
      <c r="L868" s="7"/>
      <c r="M868" s="7"/>
      <c r="N868" s="7"/>
    </row>
    <row r="869" spans="1:14" ht="19.5" customHeight="1" x14ac:dyDescent="0.25">
      <c r="A869" s="7"/>
      <c r="B869" s="7"/>
      <c r="C869" s="13"/>
      <c r="D869" s="13"/>
      <c r="E869" s="7"/>
      <c r="F869" s="7"/>
      <c r="G869" s="7"/>
      <c r="H869" s="7"/>
      <c r="I869" s="7"/>
      <c r="J869" s="7"/>
      <c r="K869" s="7"/>
      <c r="L869" s="7"/>
      <c r="M869" s="7"/>
      <c r="N869" s="7"/>
    </row>
    <row r="870" spans="1:14" ht="19.5" customHeight="1" x14ac:dyDescent="0.25">
      <c r="A870" s="7"/>
      <c r="B870" s="7"/>
      <c r="C870" s="13"/>
      <c r="D870" s="13"/>
      <c r="E870" s="7"/>
      <c r="F870" s="7"/>
      <c r="G870" s="7"/>
      <c r="H870" s="7"/>
      <c r="I870" s="7"/>
      <c r="J870" s="7"/>
      <c r="K870" s="7"/>
      <c r="L870" s="7"/>
      <c r="M870" s="7"/>
      <c r="N870" s="7"/>
    </row>
    <row r="871" spans="1:14" ht="19.5" customHeight="1" x14ac:dyDescent="0.25">
      <c r="A871" s="7"/>
      <c r="B871" s="7"/>
      <c r="C871" s="13"/>
      <c r="D871" s="13"/>
      <c r="E871" s="7"/>
      <c r="F871" s="7"/>
      <c r="G871" s="7"/>
      <c r="H871" s="7"/>
      <c r="I871" s="7"/>
      <c r="J871" s="7"/>
      <c r="K871" s="7"/>
      <c r="L871" s="7"/>
      <c r="M871" s="7"/>
      <c r="N871" s="7"/>
    </row>
    <row r="872" spans="1:14" ht="19.5" customHeight="1" x14ac:dyDescent="0.25">
      <c r="A872" s="7"/>
      <c r="B872" s="7"/>
      <c r="C872" s="13"/>
      <c r="D872" s="13"/>
      <c r="E872" s="7"/>
      <c r="F872" s="7"/>
      <c r="G872" s="7"/>
      <c r="H872" s="7"/>
      <c r="I872" s="7"/>
      <c r="J872" s="7"/>
      <c r="K872" s="7"/>
      <c r="L872" s="7"/>
      <c r="M872" s="7"/>
      <c r="N872" s="7"/>
    </row>
    <row r="873" spans="1:14" ht="19.5" customHeight="1" x14ac:dyDescent="0.25">
      <c r="A873" s="7"/>
      <c r="B873" s="7"/>
      <c r="C873" s="13"/>
      <c r="D873" s="13"/>
      <c r="E873" s="7"/>
      <c r="F873" s="7"/>
      <c r="G873" s="7"/>
      <c r="H873" s="7"/>
      <c r="I873" s="7"/>
      <c r="J873" s="7"/>
      <c r="K873" s="7"/>
      <c r="L873" s="7"/>
      <c r="M873" s="7"/>
      <c r="N873" s="7"/>
    </row>
    <row r="874" spans="1:14" ht="19.5" customHeight="1" x14ac:dyDescent="0.25">
      <c r="A874" s="7"/>
      <c r="B874" s="7"/>
      <c r="C874" s="13"/>
      <c r="D874" s="13"/>
      <c r="E874" s="7"/>
      <c r="F874" s="7"/>
      <c r="G874" s="7"/>
      <c r="H874" s="7"/>
      <c r="I874" s="7"/>
      <c r="J874" s="7"/>
      <c r="K874" s="7"/>
      <c r="L874" s="7"/>
      <c r="M874" s="7"/>
      <c r="N874" s="7"/>
    </row>
    <row r="875" spans="1:14" ht="19.5" customHeight="1" x14ac:dyDescent="0.25">
      <c r="A875" s="7"/>
      <c r="B875" s="7"/>
      <c r="C875" s="13"/>
      <c r="D875" s="13"/>
      <c r="E875" s="7"/>
      <c r="F875" s="7"/>
      <c r="G875" s="7"/>
      <c r="H875" s="7"/>
      <c r="I875" s="7"/>
      <c r="J875" s="7"/>
      <c r="K875" s="7"/>
      <c r="L875" s="7"/>
      <c r="M875" s="7"/>
      <c r="N875" s="7"/>
    </row>
    <row r="876" spans="1:14" ht="19.5" customHeight="1" x14ac:dyDescent="0.25">
      <c r="A876" s="7"/>
      <c r="B876" s="7"/>
      <c r="C876" s="13"/>
      <c r="D876" s="13"/>
      <c r="E876" s="7"/>
      <c r="F876" s="7"/>
      <c r="G876" s="7"/>
      <c r="H876" s="7"/>
      <c r="I876" s="7"/>
      <c r="J876" s="7"/>
      <c r="K876" s="7"/>
      <c r="L876" s="7"/>
      <c r="M876" s="7"/>
      <c r="N876" s="7"/>
    </row>
    <row r="877" spans="1:14" ht="19.5" customHeight="1" x14ac:dyDescent="0.25">
      <c r="A877" s="7"/>
      <c r="B877" s="7"/>
      <c r="C877" s="13"/>
      <c r="D877" s="13"/>
      <c r="E877" s="7"/>
      <c r="F877" s="7"/>
      <c r="G877" s="7"/>
      <c r="H877" s="7"/>
      <c r="I877" s="7"/>
      <c r="J877" s="7"/>
      <c r="K877" s="7"/>
      <c r="L877" s="7"/>
      <c r="M877" s="7"/>
      <c r="N877" s="7"/>
    </row>
    <row r="878" spans="1:14" ht="19.5" customHeight="1" x14ac:dyDescent="0.25">
      <c r="A878" s="7"/>
      <c r="B878" s="7"/>
      <c r="C878" s="13"/>
      <c r="D878" s="13"/>
      <c r="E878" s="7"/>
      <c r="F878" s="7"/>
      <c r="G878" s="7"/>
      <c r="H878" s="7"/>
      <c r="I878" s="7"/>
      <c r="J878" s="7"/>
      <c r="K878" s="7"/>
      <c r="L878" s="7"/>
      <c r="M878" s="7"/>
      <c r="N878" s="7"/>
    </row>
    <row r="879" spans="1:14" ht="19.5" customHeight="1" x14ac:dyDescent="0.25">
      <c r="A879" s="7"/>
      <c r="B879" s="7"/>
      <c r="C879" s="13"/>
      <c r="D879" s="13"/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r="880" spans="1:14" ht="19.5" customHeight="1" x14ac:dyDescent="0.25">
      <c r="A880" s="7"/>
      <c r="B880" s="7"/>
      <c r="C880" s="13"/>
      <c r="D880" s="13"/>
      <c r="E880" s="7"/>
      <c r="F880" s="7"/>
      <c r="G880" s="7"/>
      <c r="H880" s="7"/>
      <c r="I880" s="7"/>
      <c r="J880" s="7"/>
      <c r="K880" s="7"/>
      <c r="L880" s="7"/>
      <c r="M880" s="7"/>
      <c r="N880" s="7"/>
    </row>
    <row r="881" spans="1:14" ht="19.5" customHeight="1" x14ac:dyDescent="0.25">
      <c r="A881" s="7"/>
      <c r="B881" s="7"/>
      <c r="C881" s="13"/>
      <c r="D881" s="13"/>
      <c r="E881" s="7"/>
      <c r="F881" s="7"/>
      <c r="G881" s="7"/>
      <c r="H881" s="7"/>
      <c r="I881" s="7"/>
      <c r="J881" s="7"/>
      <c r="K881" s="7"/>
      <c r="L881" s="7"/>
      <c r="M881" s="7"/>
      <c r="N881" s="7"/>
    </row>
    <row r="882" spans="1:14" ht="19.5" customHeight="1" x14ac:dyDescent="0.25">
      <c r="A882" s="7"/>
      <c r="B882" s="7"/>
      <c r="C882" s="13"/>
      <c r="D882" s="13"/>
      <c r="E882" s="7"/>
      <c r="F882" s="7"/>
      <c r="G882" s="7"/>
      <c r="H882" s="7"/>
      <c r="I882" s="7"/>
      <c r="J882" s="7"/>
      <c r="K882" s="7"/>
      <c r="L882" s="7"/>
      <c r="M882" s="7"/>
      <c r="N882" s="7"/>
    </row>
    <row r="883" spans="1:14" ht="19.5" customHeight="1" x14ac:dyDescent="0.25">
      <c r="A883" s="7"/>
      <c r="B883" s="7"/>
      <c r="C883" s="13"/>
      <c r="D883" s="13"/>
      <c r="E883" s="7"/>
      <c r="F883" s="7"/>
      <c r="G883" s="7"/>
      <c r="H883" s="7"/>
      <c r="I883" s="7"/>
      <c r="J883" s="7"/>
      <c r="K883" s="7"/>
      <c r="L883" s="7"/>
      <c r="M883" s="7"/>
      <c r="N883" s="7"/>
    </row>
    <row r="884" spans="1:14" ht="19.5" customHeight="1" x14ac:dyDescent="0.25">
      <c r="A884" s="7"/>
      <c r="B884" s="7"/>
      <c r="C884" s="13"/>
      <c r="D884" s="13"/>
      <c r="E884" s="7"/>
      <c r="F884" s="7"/>
      <c r="G884" s="7"/>
      <c r="H884" s="7"/>
      <c r="I884" s="7"/>
      <c r="J884" s="7"/>
      <c r="K884" s="7"/>
      <c r="L884" s="7"/>
      <c r="M884" s="7"/>
      <c r="N884" s="7"/>
    </row>
    <row r="885" spans="1:14" ht="19.5" customHeight="1" x14ac:dyDescent="0.25">
      <c r="A885" s="7"/>
      <c r="B885" s="7"/>
      <c r="C885" s="13"/>
      <c r="D885" s="13"/>
      <c r="E885" s="7"/>
      <c r="F885" s="7"/>
      <c r="G885" s="7"/>
      <c r="H885" s="7"/>
      <c r="I885" s="7"/>
      <c r="J885" s="7"/>
      <c r="K885" s="7"/>
      <c r="L885" s="7"/>
      <c r="M885" s="7"/>
      <c r="N885" s="7"/>
    </row>
    <row r="886" spans="1:14" ht="19.5" customHeight="1" x14ac:dyDescent="0.25">
      <c r="A886" s="7"/>
      <c r="B886" s="7"/>
      <c r="C886" s="13"/>
      <c r="D886" s="13"/>
      <c r="E886" s="7"/>
      <c r="F886" s="7"/>
      <c r="G886" s="7"/>
      <c r="H886" s="7"/>
      <c r="I886" s="7"/>
      <c r="J886" s="7"/>
      <c r="K886" s="7"/>
      <c r="L886" s="7"/>
      <c r="M886" s="7"/>
      <c r="N886" s="7"/>
    </row>
    <row r="887" spans="1:14" ht="19.5" customHeight="1" x14ac:dyDescent="0.25">
      <c r="A887" s="7"/>
      <c r="B887" s="7"/>
      <c r="C887" s="13"/>
      <c r="D887" s="13"/>
      <c r="E887" s="7"/>
      <c r="F887" s="7"/>
      <c r="G887" s="7"/>
      <c r="H887" s="7"/>
      <c r="I887" s="7"/>
      <c r="J887" s="7"/>
      <c r="K887" s="7"/>
      <c r="L887" s="7"/>
      <c r="M887" s="7"/>
      <c r="N887" s="7"/>
    </row>
    <row r="888" spans="1:14" ht="19.5" customHeight="1" x14ac:dyDescent="0.25">
      <c r="A888" s="7"/>
      <c r="B888" s="7"/>
      <c r="C888" s="13"/>
      <c r="D888" s="13"/>
      <c r="E888" s="7"/>
      <c r="F888" s="7"/>
      <c r="G888" s="7"/>
      <c r="H888" s="7"/>
      <c r="I888" s="7"/>
      <c r="J888" s="7"/>
      <c r="K888" s="7"/>
      <c r="L888" s="7"/>
      <c r="M888" s="7"/>
      <c r="N888" s="7"/>
    </row>
    <row r="889" spans="1:14" ht="19.5" customHeight="1" x14ac:dyDescent="0.25">
      <c r="A889" s="7"/>
      <c r="B889" s="7"/>
      <c r="C889" s="13"/>
      <c r="D889" s="13"/>
      <c r="E889" s="7"/>
      <c r="F889" s="7"/>
      <c r="G889" s="7"/>
      <c r="H889" s="7"/>
      <c r="I889" s="7"/>
      <c r="J889" s="7"/>
      <c r="K889" s="7"/>
      <c r="L889" s="7"/>
      <c r="M889" s="7"/>
      <c r="N889" s="7"/>
    </row>
    <row r="890" spans="1:14" ht="19.5" customHeight="1" x14ac:dyDescent="0.25">
      <c r="A890" s="7"/>
      <c r="B890" s="7"/>
      <c r="C890" s="13"/>
      <c r="D890" s="13"/>
      <c r="E890" s="7"/>
      <c r="F890" s="7"/>
      <c r="G890" s="7"/>
      <c r="H890" s="7"/>
      <c r="I890" s="7"/>
      <c r="J890" s="7"/>
      <c r="K890" s="7"/>
      <c r="L890" s="7"/>
      <c r="M890" s="7"/>
      <c r="N890" s="7"/>
    </row>
    <row r="891" spans="1:14" ht="19.5" customHeight="1" x14ac:dyDescent="0.25">
      <c r="A891" s="7"/>
      <c r="B891" s="7"/>
      <c r="C891" s="13"/>
      <c r="D891" s="13"/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r="892" spans="1:14" ht="19.5" customHeight="1" x14ac:dyDescent="0.25">
      <c r="A892" s="7"/>
      <c r="B892" s="7"/>
      <c r="C892" s="13"/>
      <c r="D892" s="13"/>
      <c r="E892" s="7"/>
      <c r="F892" s="7"/>
      <c r="G892" s="7"/>
      <c r="H892" s="7"/>
      <c r="I892" s="7"/>
      <c r="J892" s="7"/>
      <c r="K892" s="7"/>
      <c r="L892" s="7"/>
      <c r="M892" s="7"/>
      <c r="N892" s="7"/>
    </row>
    <row r="893" spans="1:14" ht="19.5" customHeight="1" x14ac:dyDescent="0.25">
      <c r="A893" s="7"/>
      <c r="B893" s="7"/>
      <c r="C893" s="13"/>
      <c r="D893" s="13"/>
      <c r="E893" s="7"/>
      <c r="F893" s="7"/>
      <c r="G893" s="7"/>
      <c r="H893" s="7"/>
      <c r="I893" s="7"/>
      <c r="J893" s="7"/>
      <c r="K893" s="7"/>
      <c r="L893" s="7"/>
      <c r="M893" s="7"/>
      <c r="N893" s="7"/>
    </row>
    <row r="894" spans="1:14" ht="19.5" customHeight="1" x14ac:dyDescent="0.25">
      <c r="A894" s="7"/>
      <c r="B894" s="7"/>
      <c r="C894" s="13"/>
      <c r="D894" s="13"/>
      <c r="E894" s="7"/>
      <c r="F894" s="7"/>
      <c r="G894" s="7"/>
      <c r="H894" s="7"/>
      <c r="I894" s="7"/>
      <c r="J894" s="7"/>
      <c r="K894" s="7"/>
      <c r="L894" s="7"/>
      <c r="M894" s="7"/>
      <c r="N894" s="7"/>
    </row>
    <row r="895" spans="1:14" ht="19.5" customHeight="1" x14ac:dyDescent="0.25">
      <c r="A895" s="7"/>
      <c r="B895" s="7"/>
      <c r="C895" s="13"/>
      <c r="D895" s="13"/>
      <c r="E895" s="7"/>
      <c r="F895" s="7"/>
      <c r="G895" s="7"/>
      <c r="H895" s="7"/>
      <c r="I895" s="7"/>
      <c r="J895" s="7"/>
      <c r="K895" s="7"/>
      <c r="L895" s="7"/>
      <c r="M895" s="7"/>
      <c r="N895" s="7"/>
    </row>
    <row r="896" spans="1:14" ht="19.5" customHeight="1" x14ac:dyDescent="0.25">
      <c r="A896" s="7"/>
      <c r="B896" s="7"/>
      <c r="C896" s="13"/>
      <c r="D896" s="13"/>
      <c r="E896" s="7"/>
      <c r="F896" s="7"/>
      <c r="G896" s="7"/>
      <c r="H896" s="7"/>
      <c r="I896" s="7"/>
      <c r="J896" s="7"/>
      <c r="K896" s="7"/>
      <c r="L896" s="7"/>
      <c r="M896" s="7"/>
      <c r="N896" s="7"/>
    </row>
    <row r="897" spans="1:14" ht="19.5" customHeight="1" x14ac:dyDescent="0.25">
      <c r="A897" s="7"/>
      <c r="B897" s="7"/>
      <c r="C897" s="13"/>
      <c r="D897" s="13"/>
      <c r="E897" s="7"/>
      <c r="F897" s="7"/>
      <c r="G897" s="7"/>
      <c r="H897" s="7"/>
      <c r="I897" s="7"/>
      <c r="J897" s="7"/>
      <c r="K897" s="7"/>
      <c r="L897" s="7"/>
      <c r="M897" s="7"/>
      <c r="N897" s="7"/>
    </row>
    <row r="898" spans="1:14" ht="19.5" customHeight="1" x14ac:dyDescent="0.25">
      <c r="A898" s="7"/>
      <c r="B898" s="7"/>
      <c r="C898" s="13"/>
      <c r="D898" s="13"/>
      <c r="E898" s="7"/>
      <c r="F898" s="7"/>
      <c r="G898" s="7"/>
      <c r="H898" s="7"/>
      <c r="I898" s="7"/>
      <c r="J898" s="7"/>
      <c r="K898" s="7"/>
      <c r="L898" s="7"/>
      <c r="M898" s="7"/>
      <c r="N898" s="7"/>
    </row>
    <row r="899" spans="1:14" ht="19.5" customHeight="1" x14ac:dyDescent="0.25">
      <c r="A899" s="7"/>
      <c r="B899" s="7"/>
      <c r="C899" s="13"/>
      <c r="D899" s="13"/>
      <c r="E899" s="7"/>
      <c r="F899" s="7"/>
      <c r="G899" s="7"/>
      <c r="H899" s="7"/>
      <c r="I899" s="7"/>
      <c r="J899" s="7"/>
      <c r="K899" s="7"/>
      <c r="L899" s="7"/>
      <c r="M899" s="7"/>
      <c r="N899" s="7"/>
    </row>
    <row r="900" spans="1:14" ht="19.5" customHeight="1" x14ac:dyDescent="0.25">
      <c r="A900" s="7"/>
      <c r="B900" s="7"/>
      <c r="C900" s="13"/>
      <c r="D900" s="13"/>
      <c r="E900" s="7"/>
      <c r="F900" s="7"/>
      <c r="G900" s="7"/>
      <c r="H900" s="7"/>
      <c r="I900" s="7"/>
      <c r="J900" s="7"/>
      <c r="K900" s="7"/>
      <c r="L900" s="7"/>
      <c r="M900" s="7"/>
      <c r="N900" s="7"/>
    </row>
    <row r="901" spans="1:14" ht="19.5" customHeight="1" x14ac:dyDescent="0.25">
      <c r="A901" s="7"/>
      <c r="B901" s="7"/>
      <c r="C901" s="13"/>
      <c r="D901" s="13"/>
      <c r="E901" s="7"/>
      <c r="F901" s="7"/>
      <c r="G901" s="7"/>
      <c r="H901" s="7"/>
      <c r="I901" s="7"/>
      <c r="J901" s="7"/>
      <c r="K901" s="7"/>
      <c r="L901" s="7"/>
      <c r="M901" s="7"/>
      <c r="N901" s="7"/>
    </row>
    <row r="902" spans="1:14" ht="19.5" customHeight="1" x14ac:dyDescent="0.25">
      <c r="A902" s="7"/>
      <c r="B902" s="7"/>
      <c r="C902" s="13"/>
      <c r="D902" s="13"/>
      <c r="E902" s="7"/>
      <c r="F902" s="7"/>
      <c r="G902" s="7"/>
      <c r="H902" s="7"/>
      <c r="I902" s="7"/>
      <c r="J902" s="7"/>
      <c r="K902" s="7"/>
      <c r="L902" s="7"/>
      <c r="M902" s="7"/>
      <c r="N902" s="7"/>
    </row>
    <row r="903" spans="1:14" ht="19.5" customHeight="1" x14ac:dyDescent="0.25">
      <c r="A903" s="7"/>
      <c r="B903" s="7"/>
      <c r="C903" s="13"/>
      <c r="D903" s="13"/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r="904" spans="1:14" ht="19.5" customHeight="1" x14ac:dyDescent="0.25">
      <c r="A904" s="7"/>
      <c r="B904" s="7"/>
      <c r="C904" s="13"/>
      <c r="D904" s="13"/>
      <c r="E904" s="7"/>
      <c r="F904" s="7"/>
      <c r="G904" s="7"/>
      <c r="H904" s="7"/>
      <c r="I904" s="7"/>
      <c r="J904" s="7"/>
      <c r="K904" s="7"/>
      <c r="L904" s="7"/>
      <c r="M904" s="7"/>
      <c r="N904" s="7"/>
    </row>
    <row r="905" spans="1:14" ht="19.5" customHeight="1" x14ac:dyDescent="0.25">
      <c r="A905" s="7"/>
      <c r="B905" s="7"/>
      <c r="C905" s="13"/>
      <c r="D905" s="13"/>
      <c r="E905" s="7"/>
      <c r="F905" s="7"/>
      <c r="G905" s="7"/>
      <c r="H905" s="7"/>
      <c r="I905" s="7"/>
      <c r="J905" s="7"/>
      <c r="K905" s="7"/>
      <c r="L905" s="7"/>
      <c r="M905" s="7"/>
      <c r="N905" s="7"/>
    </row>
    <row r="906" spans="1:14" ht="19.5" customHeight="1" x14ac:dyDescent="0.25">
      <c r="A906" s="7"/>
      <c r="B906" s="7"/>
      <c r="C906" s="13"/>
      <c r="D906" s="13"/>
      <c r="E906" s="7"/>
      <c r="F906" s="7"/>
      <c r="G906" s="7"/>
      <c r="H906" s="7"/>
      <c r="I906" s="7"/>
      <c r="J906" s="7"/>
      <c r="K906" s="7"/>
      <c r="L906" s="7"/>
      <c r="M906" s="7"/>
      <c r="N906" s="7"/>
    </row>
    <row r="907" spans="1:14" ht="19.5" customHeight="1" x14ac:dyDescent="0.25">
      <c r="A907" s="7"/>
      <c r="B907" s="7"/>
      <c r="C907" s="13"/>
      <c r="D907" s="13"/>
      <c r="E907" s="7"/>
      <c r="F907" s="7"/>
      <c r="G907" s="7"/>
      <c r="H907" s="7"/>
      <c r="I907" s="7"/>
      <c r="J907" s="7"/>
      <c r="K907" s="7"/>
      <c r="L907" s="7"/>
      <c r="M907" s="7"/>
      <c r="N907" s="7"/>
    </row>
    <row r="908" spans="1:14" ht="19.5" customHeight="1" x14ac:dyDescent="0.25">
      <c r="A908" s="7"/>
      <c r="B908" s="7"/>
      <c r="C908" s="13"/>
      <c r="D908" s="13"/>
      <c r="E908" s="7"/>
      <c r="F908" s="7"/>
      <c r="G908" s="7"/>
      <c r="H908" s="7"/>
      <c r="I908" s="7"/>
      <c r="J908" s="7"/>
      <c r="K908" s="7"/>
      <c r="L908" s="7"/>
      <c r="M908" s="7"/>
      <c r="N908" s="7"/>
    </row>
    <row r="909" spans="1:14" ht="19.5" customHeight="1" x14ac:dyDescent="0.25">
      <c r="A909" s="7"/>
      <c r="B909" s="7"/>
      <c r="C909" s="13"/>
      <c r="D909" s="13"/>
      <c r="E909" s="7"/>
      <c r="F909" s="7"/>
      <c r="G909" s="7"/>
      <c r="H909" s="7"/>
      <c r="I909" s="7"/>
      <c r="J909" s="7"/>
      <c r="K909" s="7"/>
      <c r="L909" s="7"/>
      <c r="M909" s="7"/>
      <c r="N909" s="7"/>
    </row>
    <row r="910" spans="1:14" ht="19.5" customHeight="1" x14ac:dyDescent="0.25">
      <c r="A910" s="7"/>
      <c r="B910" s="7"/>
      <c r="C910" s="13"/>
      <c r="D910" s="13"/>
      <c r="E910" s="7"/>
      <c r="F910" s="7"/>
      <c r="G910" s="7"/>
      <c r="H910" s="7"/>
      <c r="I910" s="7"/>
      <c r="J910" s="7"/>
      <c r="K910" s="7"/>
      <c r="L910" s="7"/>
      <c r="M910" s="7"/>
      <c r="N910" s="7"/>
    </row>
    <row r="911" spans="1:14" ht="19.5" customHeight="1" x14ac:dyDescent="0.25">
      <c r="A911" s="7"/>
      <c r="B911" s="7"/>
      <c r="C911" s="13"/>
      <c r="D911" s="13"/>
      <c r="E911" s="7"/>
      <c r="F911" s="7"/>
      <c r="G911" s="7"/>
      <c r="H911" s="7"/>
      <c r="I911" s="7"/>
      <c r="J911" s="7"/>
      <c r="K911" s="7"/>
      <c r="L911" s="7"/>
      <c r="M911" s="7"/>
      <c r="N911" s="7"/>
    </row>
    <row r="912" spans="1:14" ht="19.5" customHeight="1" x14ac:dyDescent="0.25">
      <c r="A912" s="7"/>
      <c r="B912" s="7"/>
      <c r="C912" s="13"/>
      <c r="D912" s="13"/>
      <c r="E912" s="7"/>
      <c r="F912" s="7"/>
      <c r="G912" s="7"/>
      <c r="H912" s="7"/>
      <c r="I912" s="7"/>
      <c r="J912" s="7"/>
      <c r="K912" s="7"/>
      <c r="L912" s="7"/>
      <c r="M912" s="7"/>
      <c r="N912" s="7"/>
    </row>
    <row r="913" spans="1:14" ht="19.5" customHeight="1" x14ac:dyDescent="0.25">
      <c r="A913" s="7"/>
      <c r="B913" s="7"/>
      <c r="C913" s="13"/>
      <c r="D913" s="13"/>
      <c r="E913" s="7"/>
      <c r="F913" s="7"/>
      <c r="G913" s="7"/>
      <c r="H913" s="7"/>
      <c r="I913" s="7"/>
      <c r="J913" s="7"/>
      <c r="K913" s="7"/>
      <c r="L913" s="7"/>
      <c r="M913" s="7"/>
      <c r="N913" s="7"/>
    </row>
    <row r="914" spans="1:14" ht="19.5" customHeight="1" x14ac:dyDescent="0.25">
      <c r="A914" s="7"/>
      <c r="B914" s="7"/>
      <c r="C914" s="13"/>
      <c r="D914" s="13"/>
      <c r="E914" s="7"/>
      <c r="F914" s="7"/>
      <c r="G914" s="7"/>
      <c r="H914" s="7"/>
      <c r="I914" s="7"/>
      <c r="J914" s="7"/>
      <c r="K914" s="7"/>
      <c r="L914" s="7"/>
      <c r="M914" s="7"/>
      <c r="N914" s="7"/>
    </row>
    <row r="915" spans="1:14" ht="19.5" customHeight="1" x14ac:dyDescent="0.25">
      <c r="A915" s="7"/>
      <c r="B915" s="7"/>
      <c r="C915" s="13"/>
      <c r="D915" s="13"/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r="916" spans="1:14" ht="19.5" customHeight="1" x14ac:dyDescent="0.25">
      <c r="A916" s="7"/>
      <c r="B916" s="7"/>
      <c r="C916" s="13"/>
      <c r="D916" s="13"/>
      <c r="E916" s="7"/>
      <c r="F916" s="7"/>
      <c r="G916" s="7"/>
      <c r="H916" s="7"/>
      <c r="I916" s="7"/>
      <c r="J916" s="7"/>
      <c r="K916" s="7"/>
      <c r="L916" s="7"/>
      <c r="M916" s="7"/>
      <c r="N916" s="7"/>
    </row>
    <row r="917" spans="1:14" ht="19.5" customHeight="1" x14ac:dyDescent="0.25">
      <c r="A917" s="7"/>
      <c r="B917" s="7"/>
      <c r="C917" s="13"/>
      <c r="D917" s="13"/>
      <c r="E917" s="7"/>
      <c r="F917" s="7"/>
      <c r="G917" s="7"/>
      <c r="H917" s="7"/>
      <c r="I917" s="7"/>
      <c r="J917" s="7"/>
      <c r="K917" s="7"/>
      <c r="L917" s="7"/>
      <c r="M917" s="7"/>
      <c r="N917" s="7"/>
    </row>
    <row r="918" spans="1:14" ht="19.5" customHeight="1" x14ac:dyDescent="0.25">
      <c r="A918" s="7"/>
      <c r="B918" s="7"/>
      <c r="C918" s="13"/>
      <c r="D918" s="13"/>
      <c r="E918" s="7"/>
      <c r="F918" s="7"/>
      <c r="G918" s="7"/>
      <c r="H918" s="7"/>
      <c r="I918" s="7"/>
      <c r="J918" s="7"/>
      <c r="K918" s="7"/>
      <c r="L918" s="7"/>
      <c r="M918" s="7"/>
      <c r="N918" s="7"/>
    </row>
    <row r="919" spans="1:14" ht="19.5" customHeight="1" x14ac:dyDescent="0.25">
      <c r="A919" s="7"/>
      <c r="B919" s="7"/>
      <c r="C919" s="13"/>
      <c r="D919" s="13"/>
      <c r="E919" s="7"/>
      <c r="F919" s="7"/>
      <c r="G919" s="7"/>
      <c r="H919" s="7"/>
      <c r="I919" s="7"/>
      <c r="J919" s="7"/>
      <c r="K919" s="7"/>
      <c r="L919" s="7"/>
      <c r="M919" s="7"/>
      <c r="N919" s="7"/>
    </row>
    <row r="920" spans="1:14" ht="19.5" customHeight="1" x14ac:dyDescent="0.25">
      <c r="A920" s="7"/>
      <c r="B920" s="7"/>
      <c r="C920" s="13"/>
      <c r="D920" s="13"/>
      <c r="E920" s="7"/>
      <c r="F920" s="7"/>
      <c r="G920" s="7"/>
      <c r="H920" s="7"/>
      <c r="I920" s="7"/>
      <c r="J920" s="7"/>
      <c r="K920" s="7"/>
      <c r="L920" s="7"/>
      <c r="M920" s="7"/>
      <c r="N920" s="7"/>
    </row>
    <row r="921" spans="1:14" ht="19.5" customHeight="1" x14ac:dyDescent="0.25">
      <c r="A921" s="7"/>
      <c r="B921" s="7"/>
      <c r="C921" s="13"/>
      <c r="D921" s="13"/>
      <c r="E921" s="7"/>
      <c r="F921" s="7"/>
      <c r="G921" s="7"/>
      <c r="H921" s="7"/>
      <c r="I921" s="7"/>
      <c r="J921" s="7"/>
      <c r="K921" s="7"/>
      <c r="L921" s="7"/>
      <c r="M921" s="7"/>
      <c r="N921" s="7"/>
    </row>
    <row r="922" spans="1:14" ht="19.5" customHeight="1" x14ac:dyDescent="0.25">
      <c r="A922" s="7"/>
      <c r="B922" s="7"/>
      <c r="C922" s="13"/>
      <c r="D922" s="13"/>
      <c r="E922" s="7"/>
      <c r="F922" s="7"/>
      <c r="G922" s="7"/>
      <c r="H922" s="7"/>
      <c r="I922" s="7"/>
      <c r="J922" s="7"/>
      <c r="K922" s="7"/>
      <c r="L922" s="7"/>
      <c r="M922" s="7"/>
      <c r="N922" s="7"/>
    </row>
    <row r="923" spans="1:14" ht="19.5" customHeight="1" x14ac:dyDescent="0.25">
      <c r="A923" s="7"/>
      <c r="B923" s="7"/>
      <c r="C923" s="13"/>
      <c r="D923" s="13"/>
      <c r="E923" s="7"/>
      <c r="F923" s="7"/>
      <c r="G923" s="7"/>
      <c r="H923" s="7"/>
      <c r="I923" s="7"/>
      <c r="J923" s="7"/>
      <c r="K923" s="7"/>
      <c r="L923" s="7"/>
      <c r="M923" s="7"/>
      <c r="N923" s="7"/>
    </row>
    <row r="924" spans="1:14" ht="19.5" customHeight="1" x14ac:dyDescent="0.25">
      <c r="A924" s="7"/>
      <c r="B924" s="7"/>
      <c r="C924" s="13"/>
      <c r="D924" s="13"/>
      <c r="E924" s="7"/>
      <c r="F924" s="7"/>
      <c r="G924" s="7"/>
      <c r="H924" s="7"/>
      <c r="I924" s="7"/>
      <c r="J924" s="7"/>
      <c r="K924" s="7"/>
      <c r="L924" s="7"/>
      <c r="M924" s="7"/>
      <c r="N924" s="7"/>
    </row>
    <row r="925" spans="1:14" ht="19.5" customHeight="1" x14ac:dyDescent="0.25">
      <c r="A925" s="7"/>
      <c r="B925" s="7"/>
      <c r="C925" s="13"/>
      <c r="D925" s="13"/>
      <c r="E925" s="7"/>
      <c r="F925" s="7"/>
      <c r="G925" s="7"/>
      <c r="H925" s="7"/>
      <c r="I925" s="7"/>
      <c r="J925" s="7"/>
      <c r="K925" s="7"/>
      <c r="L925" s="7"/>
      <c r="M925" s="7"/>
      <c r="N925" s="7"/>
    </row>
    <row r="926" spans="1:14" ht="19.5" customHeight="1" x14ac:dyDescent="0.25">
      <c r="A926" s="7"/>
      <c r="B926" s="7"/>
      <c r="C926" s="13"/>
      <c r="D926" s="13"/>
      <c r="E926" s="7"/>
      <c r="F926" s="7"/>
      <c r="G926" s="7"/>
      <c r="H926" s="7"/>
      <c r="I926" s="7"/>
      <c r="J926" s="7"/>
      <c r="K926" s="7"/>
      <c r="L926" s="7"/>
      <c r="M926" s="7"/>
      <c r="N926" s="7"/>
    </row>
    <row r="927" spans="1:14" ht="19.5" customHeight="1" x14ac:dyDescent="0.25">
      <c r="A927" s="7"/>
      <c r="B927" s="7"/>
      <c r="C927" s="13"/>
      <c r="D927" s="13"/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r="928" spans="1:14" ht="19.5" customHeight="1" x14ac:dyDescent="0.25">
      <c r="A928" s="7"/>
      <c r="B928" s="7"/>
      <c r="C928" s="13"/>
      <c r="D928" s="13"/>
      <c r="E928" s="7"/>
      <c r="F928" s="7"/>
      <c r="G928" s="7"/>
      <c r="H928" s="7"/>
      <c r="I928" s="7"/>
      <c r="J928" s="7"/>
      <c r="K928" s="7"/>
      <c r="L928" s="7"/>
      <c r="M928" s="7"/>
      <c r="N928" s="7"/>
    </row>
    <row r="929" spans="1:14" ht="19.5" customHeight="1" x14ac:dyDescent="0.25">
      <c r="A929" s="7"/>
      <c r="B929" s="7"/>
      <c r="C929" s="13"/>
      <c r="D929" s="13"/>
      <c r="E929" s="7"/>
      <c r="F929" s="7"/>
      <c r="G929" s="7"/>
      <c r="H929" s="7"/>
      <c r="I929" s="7"/>
      <c r="J929" s="7"/>
      <c r="K929" s="7"/>
      <c r="L929" s="7"/>
      <c r="M929" s="7"/>
      <c r="N929" s="7"/>
    </row>
    <row r="930" spans="1:14" ht="19.5" customHeight="1" x14ac:dyDescent="0.25">
      <c r="A930" s="7"/>
      <c r="B930" s="7"/>
      <c r="C930" s="13"/>
      <c r="D930" s="13"/>
      <c r="E930" s="7"/>
      <c r="F930" s="7"/>
      <c r="G930" s="7"/>
      <c r="H930" s="7"/>
      <c r="I930" s="7"/>
      <c r="J930" s="7"/>
      <c r="K930" s="7"/>
      <c r="L930" s="7"/>
      <c r="M930" s="7"/>
      <c r="N930" s="7"/>
    </row>
    <row r="931" spans="1:14" ht="19.5" customHeight="1" x14ac:dyDescent="0.25">
      <c r="A931" s="7"/>
      <c r="B931" s="7"/>
      <c r="C931" s="13"/>
      <c r="D931" s="13"/>
      <c r="E931" s="7"/>
      <c r="F931" s="7"/>
      <c r="G931" s="7"/>
      <c r="H931" s="7"/>
      <c r="I931" s="7"/>
      <c r="J931" s="7"/>
      <c r="K931" s="7"/>
      <c r="L931" s="7"/>
      <c r="M931" s="7"/>
      <c r="N931" s="7"/>
    </row>
    <row r="932" spans="1:14" ht="19.5" customHeight="1" x14ac:dyDescent="0.25">
      <c r="A932" s="7"/>
      <c r="B932" s="7"/>
      <c r="C932" s="13"/>
      <c r="D932" s="13"/>
      <c r="E932" s="7"/>
      <c r="F932" s="7"/>
      <c r="G932" s="7"/>
      <c r="H932" s="7"/>
      <c r="I932" s="7"/>
      <c r="J932" s="7"/>
      <c r="K932" s="7"/>
      <c r="L932" s="7"/>
      <c r="M932" s="7"/>
      <c r="N932" s="7"/>
    </row>
    <row r="933" spans="1:14" ht="19.5" customHeight="1" x14ac:dyDescent="0.25">
      <c r="A933" s="7"/>
      <c r="B933" s="7"/>
      <c r="C933" s="13"/>
      <c r="D933" s="13"/>
      <c r="E933" s="7"/>
      <c r="F933" s="7"/>
      <c r="G933" s="7"/>
      <c r="H933" s="7"/>
      <c r="I933" s="7"/>
      <c r="J933" s="7"/>
      <c r="K933" s="7"/>
      <c r="L933" s="7"/>
      <c r="M933" s="7"/>
      <c r="N933" s="7"/>
    </row>
    <row r="934" spans="1:14" ht="19.5" customHeight="1" x14ac:dyDescent="0.25">
      <c r="A934" s="7"/>
      <c r="B934" s="7"/>
      <c r="C934" s="13"/>
      <c r="D934" s="13"/>
      <c r="E934" s="7"/>
      <c r="F934" s="7"/>
      <c r="G934" s="7"/>
      <c r="H934" s="7"/>
      <c r="I934" s="7"/>
      <c r="J934" s="7"/>
      <c r="K934" s="7"/>
      <c r="L934" s="7"/>
      <c r="M934" s="7"/>
      <c r="N934" s="7"/>
    </row>
    <row r="935" spans="1:14" ht="19.5" customHeight="1" x14ac:dyDescent="0.25">
      <c r="A935" s="7"/>
      <c r="B935" s="7"/>
      <c r="C935" s="13"/>
      <c r="D935" s="13"/>
      <c r="E935" s="7"/>
      <c r="F935" s="7"/>
      <c r="G935" s="7"/>
      <c r="H935" s="7"/>
      <c r="I935" s="7"/>
      <c r="J935" s="7"/>
      <c r="K935" s="7"/>
      <c r="L935" s="7"/>
      <c r="M935" s="7"/>
      <c r="N935" s="7"/>
    </row>
    <row r="936" spans="1:14" ht="19.5" customHeight="1" x14ac:dyDescent="0.25">
      <c r="A936" s="7"/>
      <c r="B936" s="7"/>
      <c r="C936" s="13"/>
      <c r="D936" s="13"/>
      <c r="E936" s="7"/>
      <c r="F936" s="7"/>
      <c r="G936" s="7"/>
      <c r="H936" s="7"/>
      <c r="I936" s="7"/>
      <c r="J936" s="7"/>
      <c r="K936" s="7"/>
      <c r="L936" s="7"/>
      <c r="M936" s="7"/>
      <c r="N936" s="7"/>
    </row>
    <row r="937" spans="1:14" ht="19.5" customHeight="1" x14ac:dyDescent="0.25">
      <c r="A937" s="7"/>
      <c r="B937" s="7"/>
      <c r="C937" s="13"/>
      <c r="D937" s="13"/>
      <c r="E937" s="7"/>
      <c r="F937" s="7"/>
      <c r="G937" s="7"/>
      <c r="H937" s="7"/>
      <c r="I937" s="7"/>
      <c r="J937" s="7"/>
      <c r="K937" s="7"/>
      <c r="L937" s="7"/>
      <c r="M937" s="7"/>
      <c r="N937" s="7"/>
    </row>
    <row r="938" spans="1:14" ht="19.5" customHeight="1" x14ac:dyDescent="0.25">
      <c r="A938" s="7"/>
      <c r="B938" s="7"/>
      <c r="C938" s="13"/>
      <c r="D938" s="13"/>
      <c r="E938" s="7"/>
      <c r="F938" s="7"/>
      <c r="G938" s="7"/>
      <c r="H938" s="7"/>
      <c r="I938" s="7"/>
      <c r="J938" s="7"/>
      <c r="K938" s="7"/>
      <c r="L938" s="7"/>
      <c r="M938" s="7"/>
      <c r="N938" s="7"/>
    </row>
    <row r="939" spans="1:14" ht="19.5" customHeight="1" x14ac:dyDescent="0.25">
      <c r="A939" s="7"/>
      <c r="B939" s="7"/>
      <c r="C939" s="13"/>
      <c r="D939" s="13"/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r="940" spans="1:14" ht="19.5" customHeight="1" x14ac:dyDescent="0.25">
      <c r="A940" s="7"/>
      <c r="B940" s="7"/>
      <c r="C940" s="13"/>
      <c r="D940" s="13"/>
      <c r="E940" s="7"/>
      <c r="F940" s="7"/>
      <c r="G940" s="7"/>
      <c r="H940" s="7"/>
      <c r="I940" s="7"/>
      <c r="J940" s="7"/>
      <c r="K940" s="7"/>
      <c r="L940" s="7"/>
      <c r="M940" s="7"/>
      <c r="N940" s="7"/>
    </row>
    <row r="941" spans="1:14" ht="19.5" customHeight="1" x14ac:dyDescent="0.25">
      <c r="A941" s="7"/>
      <c r="B941" s="7"/>
      <c r="C941" s="13"/>
      <c r="D941" s="13"/>
      <c r="E941" s="7"/>
      <c r="F941" s="7"/>
      <c r="G941" s="7"/>
      <c r="H941" s="7"/>
      <c r="I941" s="7"/>
      <c r="J941" s="7"/>
      <c r="K941" s="7"/>
      <c r="L941" s="7"/>
      <c r="M941" s="7"/>
      <c r="N941" s="7"/>
    </row>
    <row r="942" spans="1:14" ht="19.5" customHeight="1" x14ac:dyDescent="0.25">
      <c r="A942" s="7"/>
      <c r="B942" s="7"/>
      <c r="C942" s="13"/>
      <c r="D942" s="13"/>
      <c r="E942" s="7"/>
      <c r="F942" s="7"/>
      <c r="G942" s="7"/>
      <c r="H942" s="7"/>
      <c r="I942" s="7"/>
      <c r="J942" s="7"/>
      <c r="K942" s="7"/>
      <c r="L942" s="7"/>
      <c r="M942" s="7"/>
      <c r="N942" s="7"/>
    </row>
    <row r="943" spans="1:14" ht="19.5" customHeight="1" x14ac:dyDescent="0.25">
      <c r="A943" s="7"/>
      <c r="B943" s="7"/>
      <c r="C943" s="13"/>
      <c r="D943" s="13"/>
      <c r="E943" s="7"/>
      <c r="F943" s="7"/>
      <c r="G943" s="7"/>
      <c r="H943" s="7"/>
      <c r="I943" s="7"/>
      <c r="J943" s="7"/>
      <c r="K943" s="7"/>
      <c r="L943" s="7"/>
      <c r="M943" s="7"/>
      <c r="N943" s="7"/>
    </row>
    <row r="944" spans="1:14" ht="19.5" customHeight="1" x14ac:dyDescent="0.25">
      <c r="A944" s="7"/>
      <c r="B944" s="7"/>
      <c r="C944" s="13"/>
      <c r="D944" s="13"/>
      <c r="E944" s="7"/>
      <c r="F944" s="7"/>
      <c r="G944" s="7"/>
      <c r="H944" s="7"/>
      <c r="I944" s="7"/>
      <c r="J944" s="7"/>
      <c r="K944" s="7"/>
      <c r="L944" s="7"/>
      <c r="M944" s="7"/>
      <c r="N944" s="7"/>
    </row>
    <row r="945" spans="1:14" ht="19.5" customHeight="1" x14ac:dyDescent="0.25">
      <c r="A945" s="7"/>
      <c r="B945" s="7"/>
      <c r="C945" s="13"/>
      <c r="D945" s="13"/>
      <c r="E945" s="7"/>
      <c r="F945" s="7"/>
      <c r="G945" s="7"/>
      <c r="H945" s="7"/>
      <c r="I945" s="7"/>
      <c r="J945" s="7"/>
      <c r="K945" s="7"/>
      <c r="L945" s="7"/>
      <c r="M945" s="7"/>
      <c r="N945" s="7"/>
    </row>
    <row r="946" spans="1:14" ht="19.5" customHeight="1" x14ac:dyDescent="0.25">
      <c r="A946" s="7"/>
      <c r="B946" s="7"/>
      <c r="C946" s="13"/>
      <c r="D946" s="13"/>
      <c r="E946" s="7"/>
      <c r="F946" s="7"/>
      <c r="G946" s="7"/>
      <c r="H946" s="7"/>
      <c r="I946" s="7"/>
      <c r="J946" s="7"/>
      <c r="K946" s="7"/>
      <c r="L946" s="7"/>
      <c r="M946" s="7"/>
      <c r="N946" s="7"/>
    </row>
    <row r="947" spans="1:14" ht="19.5" customHeight="1" x14ac:dyDescent="0.25">
      <c r="A947" s="7"/>
      <c r="B947" s="7"/>
      <c r="C947" s="13"/>
      <c r="D947" s="13"/>
      <c r="E947" s="7"/>
      <c r="F947" s="7"/>
      <c r="G947" s="7"/>
      <c r="H947" s="7"/>
      <c r="I947" s="7"/>
      <c r="J947" s="7"/>
      <c r="K947" s="7"/>
      <c r="L947" s="7"/>
      <c r="M947" s="7"/>
      <c r="N947" s="7"/>
    </row>
    <row r="948" spans="1:14" ht="19.5" customHeight="1" x14ac:dyDescent="0.25">
      <c r="A948" s="7"/>
      <c r="B948" s="7"/>
      <c r="C948" s="13"/>
      <c r="D948" s="13"/>
      <c r="E948" s="7"/>
      <c r="F948" s="7"/>
      <c r="G948" s="7"/>
      <c r="H948" s="7"/>
      <c r="I948" s="7"/>
      <c r="J948" s="7"/>
      <c r="K948" s="7"/>
      <c r="L948" s="7"/>
      <c r="M948" s="7"/>
      <c r="N948" s="7"/>
    </row>
    <row r="949" spans="1:14" ht="19.5" customHeight="1" x14ac:dyDescent="0.25">
      <c r="A949" s="7"/>
      <c r="B949" s="7"/>
      <c r="C949" s="13"/>
      <c r="D949" s="13"/>
      <c r="E949" s="7"/>
      <c r="F949" s="7"/>
      <c r="G949" s="7"/>
      <c r="H949" s="7"/>
      <c r="I949" s="7"/>
      <c r="J949" s="7"/>
      <c r="K949" s="7"/>
      <c r="L949" s="7"/>
      <c r="M949" s="7"/>
      <c r="N949" s="7"/>
    </row>
    <row r="950" spans="1:14" ht="19.5" customHeight="1" x14ac:dyDescent="0.25">
      <c r="A950" s="7"/>
      <c r="B950" s="7"/>
      <c r="C950" s="13"/>
      <c r="D950" s="13"/>
      <c r="E950" s="7"/>
      <c r="F950" s="7"/>
      <c r="G950" s="7"/>
      <c r="H950" s="7"/>
      <c r="I950" s="7"/>
      <c r="J950" s="7"/>
      <c r="K950" s="7"/>
      <c r="L950" s="7"/>
      <c r="M950" s="7"/>
      <c r="N950" s="7"/>
    </row>
    <row r="951" spans="1:14" ht="19.5" customHeight="1" x14ac:dyDescent="0.25">
      <c r="A951" s="7"/>
      <c r="B951" s="7"/>
      <c r="C951" s="13"/>
      <c r="D951" s="13"/>
      <c r="E951" s="7"/>
      <c r="F951" s="7"/>
      <c r="G951" s="7"/>
      <c r="H951" s="7"/>
      <c r="I951" s="7"/>
      <c r="J951" s="7"/>
      <c r="K951" s="7"/>
      <c r="L951" s="7"/>
      <c r="M951" s="7"/>
      <c r="N951" s="7"/>
    </row>
    <row r="952" spans="1:14" ht="19.5" customHeight="1" x14ac:dyDescent="0.25">
      <c r="A952" s="7"/>
      <c r="B952" s="7"/>
      <c r="C952" s="13"/>
      <c r="D952" s="13"/>
      <c r="E952" s="7"/>
      <c r="F952" s="7"/>
      <c r="G952" s="7"/>
      <c r="H952" s="7"/>
      <c r="I952" s="7"/>
      <c r="J952" s="7"/>
      <c r="K952" s="7"/>
      <c r="L952" s="7"/>
      <c r="M952" s="7"/>
      <c r="N952" s="7"/>
    </row>
    <row r="953" spans="1:14" ht="19.5" customHeight="1" x14ac:dyDescent="0.25">
      <c r="A953" s="7"/>
      <c r="B953" s="7"/>
      <c r="C953" s="13"/>
      <c r="D953" s="13"/>
      <c r="E953" s="7"/>
      <c r="F953" s="7"/>
      <c r="G953" s="7"/>
      <c r="H953" s="7"/>
      <c r="I953" s="7"/>
      <c r="J953" s="7"/>
      <c r="K953" s="7"/>
      <c r="L953" s="7"/>
      <c r="M953" s="7"/>
      <c r="N953" s="7"/>
    </row>
    <row r="954" spans="1:14" ht="19.5" customHeight="1" x14ac:dyDescent="0.25">
      <c r="A954" s="7"/>
      <c r="B954" s="7"/>
      <c r="C954" s="13"/>
      <c r="D954" s="13"/>
      <c r="E954" s="7"/>
      <c r="F954" s="7"/>
      <c r="G954" s="7"/>
      <c r="H954" s="7"/>
      <c r="I954" s="7"/>
      <c r="J954" s="7"/>
      <c r="K954" s="7"/>
      <c r="L954" s="7"/>
      <c r="M954" s="7"/>
      <c r="N954" s="7"/>
    </row>
    <row r="955" spans="1:14" ht="19.5" customHeight="1" x14ac:dyDescent="0.25">
      <c r="A955" s="7"/>
      <c r="B955" s="7"/>
      <c r="C955" s="13"/>
      <c r="D955" s="13"/>
      <c r="E955" s="7"/>
      <c r="F955" s="7"/>
      <c r="G955" s="7"/>
      <c r="H955" s="7"/>
      <c r="I955" s="7"/>
      <c r="J955" s="7"/>
      <c r="K955" s="7"/>
      <c r="L955" s="7"/>
      <c r="M955" s="7"/>
      <c r="N955" s="7"/>
    </row>
    <row r="956" spans="1:14" ht="19.5" customHeight="1" x14ac:dyDescent="0.25">
      <c r="A956" s="7"/>
      <c r="B956" s="7"/>
      <c r="C956" s="13"/>
      <c r="D956" s="13"/>
      <c r="E956" s="7"/>
      <c r="F956" s="7"/>
      <c r="G956" s="7"/>
      <c r="H956" s="7"/>
      <c r="I956" s="7"/>
      <c r="J956" s="7"/>
      <c r="K956" s="7"/>
      <c r="L956" s="7"/>
      <c r="M956" s="7"/>
      <c r="N956" s="7"/>
    </row>
    <row r="957" spans="1:14" ht="19.5" customHeight="1" x14ac:dyDescent="0.25">
      <c r="A957" s="7"/>
      <c r="B957" s="7"/>
      <c r="C957" s="13"/>
      <c r="D957" s="13"/>
      <c r="E957" s="7"/>
      <c r="F957" s="7"/>
      <c r="G957" s="7"/>
      <c r="H957" s="7"/>
      <c r="I957" s="7"/>
      <c r="J957" s="7"/>
      <c r="K957" s="7"/>
      <c r="L957" s="7"/>
      <c r="M957" s="7"/>
      <c r="N957" s="7"/>
    </row>
    <row r="958" spans="1:14" ht="19.5" customHeight="1" x14ac:dyDescent="0.25">
      <c r="A958" s="7"/>
      <c r="B958" s="7"/>
      <c r="C958" s="13"/>
      <c r="D958" s="13"/>
      <c r="E958" s="7"/>
      <c r="F958" s="7"/>
      <c r="G958" s="7"/>
      <c r="H958" s="7"/>
      <c r="I958" s="7"/>
      <c r="J958" s="7"/>
      <c r="K958" s="7"/>
      <c r="L958" s="7"/>
      <c r="M958" s="7"/>
      <c r="N958" s="7"/>
    </row>
    <row r="959" spans="1:14" ht="19.5" customHeight="1" x14ac:dyDescent="0.25">
      <c r="A959" s="7"/>
      <c r="B959" s="7"/>
      <c r="C959" s="13"/>
      <c r="D959" s="13"/>
      <c r="E959" s="7"/>
      <c r="F959" s="7"/>
      <c r="G959" s="7"/>
      <c r="H959" s="7"/>
      <c r="I959" s="7"/>
      <c r="J959" s="7"/>
      <c r="K959" s="7"/>
      <c r="L959" s="7"/>
      <c r="M959" s="7"/>
      <c r="N959" s="7"/>
    </row>
    <row r="960" spans="1:14" ht="19.5" customHeight="1" x14ac:dyDescent="0.25">
      <c r="A960" s="7"/>
      <c r="B960" s="7"/>
      <c r="C960" s="13"/>
      <c r="D960" s="13"/>
      <c r="E960" s="7"/>
      <c r="F960" s="7"/>
      <c r="G960" s="7"/>
      <c r="H960" s="7"/>
      <c r="I960" s="7"/>
      <c r="J960" s="7"/>
      <c r="K960" s="7"/>
      <c r="L960" s="7"/>
      <c r="M960" s="7"/>
      <c r="N960" s="7"/>
    </row>
    <row r="961" spans="1:14" ht="19.5" customHeight="1" x14ac:dyDescent="0.25">
      <c r="A961" s="7"/>
      <c r="B961" s="7"/>
      <c r="C961" s="13"/>
      <c r="D961" s="13"/>
      <c r="E961" s="7"/>
      <c r="F961" s="7"/>
      <c r="G961" s="7"/>
      <c r="H961" s="7"/>
      <c r="I961" s="7"/>
      <c r="J961" s="7"/>
      <c r="K961" s="7"/>
      <c r="L961" s="7"/>
      <c r="M961" s="7"/>
      <c r="N961" s="7"/>
    </row>
    <row r="962" spans="1:14" ht="19.5" customHeight="1" x14ac:dyDescent="0.25">
      <c r="A962" s="7"/>
      <c r="B962" s="7"/>
      <c r="C962" s="13"/>
      <c r="D962" s="13"/>
      <c r="E962" s="7"/>
      <c r="F962" s="7"/>
      <c r="G962" s="7"/>
      <c r="H962" s="7"/>
      <c r="I962" s="7"/>
      <c r="J962" s="7"/>
      <c r="K962" s="7"/>
      <c r="L962" s="7"/>
      <c r="M962" s="7"/>
      <c r="N962" s="7"/>
    </row>
    <row r="963" spans="1:14" ht="19.5" customHeight="1" x14ac:dyDescent="0.25">
      <c r="A963" s="7"/>
      <c r="B963" s="7"/>
      <c r="C963" s="13"/>
      <c r="D963" s="13"/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r="964" spans="1:14" ht="19.5" customHeight="1" x14ac:dyDescent="0.25">
      <c r="A964" s="7"/>
      <c r="B964" s="7"/>
      <c r="C964" s="13"/>
      <c r="D964" s="13"/>
      <c r="E964" s="7"/>
      <c r="F964" s="7"/>
      <c r="G964" s="7"/>
      <c r="H964" s="7"/>
      <c r="I964" s="7"/>
      <c r="J964" s="7"/>
      <c r="K964" s="7"/>
      <c r="L964" s="7"/>
      <c r="M964" s="7"/>
      <c r="N964" s="7"/>
    </row>
    <row r="965" spans="1:14" ht="19.5" customHeight="1" x14ac:dyDescent="0.25">
      <c r="A965" s="7"/>
      <c r="B965" s="7"/>
      <c r="C965" s="13"/>
      <c r="D965" s="13"/>
      <c r="E965" s="7"/>
      <c r="F965" s="7"/>
      <c r="G965" s="7"/>
      <c r="H965" s="7"/>
      <c r="I965" s="7"/>
      <c r="J965" s="7"/>
      <c r="K965" s="7"/>
      <c r="L965" s="7"/>
      <c r="M965" s="7"/>
      <c r="N965" s="7"/>
    </row>
    <row r="966" spans="1:14" ht="19.5" customHeight="1" x14ac:dyDescent="0.25">
      <c r="A966" s="7"/>
      <c r="B966" s="7"/>
      <c r="C966" s="13"/>
      <c r="D966" s="13"/>
      <c r="E966" s="7"/>
      <c r="F966" s="7"/>
      <c r="G966" s="7"/>
      <c r="H966" s="7"/>
      <c r="I966" s="7"/>
      <c r="J966" s="7"/>
      <c r="K966" s="7"/>
      <c r="L966" s="7"/>
      <c r="M966" s="7"/>
      <c r="N966" s="7"/>
    </row>
    <row r="967" spans="1:14" ht="19.5" customHeight="1" x14ac:dyDescent="0.25">
      <c r="A967" s="7"/>
      <c r="B967" s="7"/>
      <c r="C967" s="13"/>
      <c r="D967" s="13"/>
      <c r="E967" s="7"/>
      <c r="F967" s="7"/>
      <c r="G967" s="7"/>
      <c r="H967" s="7"/>
      <c r="I967" s="7"/>
      <c r="J967" s="7"/>
      <c r="K967" s="7"/>
      <c r="L967" s="7"/>
      <c r="M967" s="7"/>
      <c r="N967" s="7"/>
    </row>
    <row r="968" spans="1:14" ht="19.5" customHeight="1" x14ac:dyDescent="0.25">
      <c r="A968" s="7"/>
      <c r="B968" s="7"/>
      <c r="C968" s="13"/>
      <c r="D968" s="13"/>
      <c r="E968" s="7"/>
      <c r="F968" s="7"/>
      <c r="G968" s="7"/>
      <c r="H968" s="7"/>
      <c r="I968" s="7"/>
      <c r="J968" s="7"/>
      <c r="K968" s="7"/>
      <c r="L968" s="7"/>
      <c r="M968" s="7"/>
      <c r="N968" s="7"/>
    </row>
    <row r="969" spans="1:14" ht="19.5" customHeight="1" x14ac:dyDescent="0.25">
      <c r="A969" s="7"/>
      <c r="B969" s="7"/>
      <c r="C969" s="13"/>
      <c r="D969" s="13"/>
      <c r="E969" s="7"/>
      <c r="F969" s="7"/>
      <c r="G969" s="7"/>
      <c r="H969" s="7"/>
      <c r="I969" s="7"/>
      <c r="J969" s="7"/>
      <c r="K969" s="7"/>
      <c r="L969" s="7"/>
      <c r="M969" s="7"/>
      <c r="N969" s="7"/>
    </row>
    <row r="970" spans="1:14" ht="19.5" customHeight="1" x14ac:dyDescent="0.25">
      <c r="A970" s="7"/>
      <c r="B970" s="7"/>
      <c r="C970" s="13"/>
      <c r="D970" s="13"/>
      <c r="E970" s="7"/>
      <c r="F970" s="7"/>
      <c r="G970" s="7"/>
      <c r="H970" s="7"/>
      <c r="I970" s="7"/>
      <c r="J970" s="7"/>
      <c r="K970" s="7"/>
      <c r="L970" s="7"/>
      <c r="M970" s="7"/>
      <c r="N970" s="7"/>
    </row>
    <row r="971" spans="1:14" ht="19.5" customHeight="1" x14ac:dyDescent="0.25">
      <c r="A971" s="7"/>
      <c r="B971" s="7"/>
      <c r="C971" s="13"/>
      <c r="D971" s="13"/>
      <c r="E971" s="7"/>
      <c r="F971" s="7"/>
      <c r="G971" s="7"/>
      <c r="H971" s="7"/>
      <c r="I971" s="7"/>
      <c r="J971" s="7"/>
      <c r="K971" s="7"/>
      <c r="L971" s="7"/>
      <c r="M971" s="7"/>
      <c r="N971" s="7"/>
    </row>
    <row r="972" spans="1:14" ht="19.5" customHeight="1" x14ac:dyDescent="0.25">
      <c r="A972" s="7"/>
      <c r="B972" s="7"/>
      <c r="C972" s="13"/>
      <c r="D972" s="13"/>
      <c r="E972" s="7"/>
      <c r="F972" s="7"/>
      <c r="G972" s="7"/>
      <c r="H972" s="7"/>
      <c r="I972" s="7"/>
      <c r="J972" s="7"/>
      <c r="K972" s="7"/>
      <c r="L972" s="7"/>
      <c r="M972" s="7"/>
      <c r="N972" s="7"/>
    </row>
    <row r="973" spans="1:14" ht="19.5" customHeight="1" x14ac:dyDescent="0.25">
      <c r="A973" s="7"/>
      <c r="B973" s="7"/>
      <c r="C973" s="13"/>
      <c r="D973" s="13"/>
      <c r="E973" s="7"/>
      <c r="F973" s="7"/>
      <c r="G973" s="7"/>
      <c r="H973" s="7"/>
      <c r="I973" s="7"/>
      <c r="J973" s="7"/>
      <c r="K973" s="7"/>
      <c r="L973" s="7"/>
      <c r="M973" s="7"/>
      <c r="N973" s="7"/>
    </row>
    <row r="974" spans="1:14" ht="19.5" customHeight="1" x14ac:dyDescent="0.25">
      <c r="A974" s="7"/>
      <c r="B974" s="7"/>
      <c r="C974" s="13"/>
      <c r="D974" s="13"/>
      <c r="E974" s="7"/>
      <c r="F974" s="7"/>
      <c r="G974" s="7"/>
      <c r="H974" s="7"/>
      <c r="I974" s="7"/>
      <c r="J974" s="7"/>
      <c r="K974" s="7"/>
      <c r="L974" s="7"/>
      <c r="M974" s="7"/>
      <c r="N974" s="7"/>
    </row>
    <row r="975" spans="1:14" ht="19.5" customHeight="1" x14ac:dyDescent="0.25">
      <c r="A975" s="7"/>
      <c r="B975" s="7"/>
      <c r="C975" s="13"/>
      <c r="D975" s="13"/>
      <c r="E975" s="7"/>
      <c r="F975" s="7"/>
      <c r="G975" s="7"/>
      <c r="H975" s="7"/>
      <c r="I975" s="7"/>
      <c r="J975" s="7"/>
      <c r="K975" s="7"/>
      <c r="L975" s="7"/>
      <c r="M975" s="7"/>
      <c r="N975" s="7"/>
    </row>
    <row r="976" spans="1:14" ht="19.5" customHeight="1" x14ac:dyDescent="0.25">
      <c r="A976" s="7"/>
      <c r="B976" s="7"/>
      <c r="C976" s="13"/>
      <c r="D976" s="13"/>
      <c r="E976" s="7"/>
      <c r="F976" s="7"/>
      <c r="G976" s="7"/>
      <c r="H976" s="7"/>
      <c r="I976" s="7"/>
      <c r="J976" s="7"/>
      <c r="K976" s="7"/>
      <c r="L976" s="7"/>
      <c r="M976" s="7"/>
      <c r="N976" s="7"/>
    </row>
    <row r="977" spans="1:14" ht="19.5" customHeight="1" x14ac:dyDescent="0.25">
      <c r="A977" s="7"/>
      <c r="B977" s="7"/>
      <c r="C977" s="13"/>
      <c r="D977" s="13"/>
      <c r="E977" s="7"/>
      <c r="F977" s="7"/>
      <c r="G977" s="7"/>
      <c r="H977" s="7"/>
      <c r="I977" s="7"/>
      <c r="J977" s="7"/>
      <c r="K977" s="7"/>
      <c r="L977" s="7"/>
      <c r="M977" s="7"/>
      <c r="N977" s="7"/>
    </row>
    <row r="978" spans="1:14" ht="19.5" customHeight="1" x14ac:dyDescent="0.25">
      <c r="A978" s="7"/>
      <c r="B978" s="7"/>
      <c r="C978" s="13"/>
      <c r="D978" s="13"/>
      <c r="E978" s="7"/>
      <c r="F978" s="7"/>
      <c r="G978" s="7"/>
      <c r="H978" s="7"/>
      <c r="I978" s="7"/>
      <c r="J978" s="7"/>
      <c r="K978" s="7"/>
      <c r="L978" s="7"/>
      <c r="M978" s="7"/>
      <c r="N978" s="7"/>
    </row>
    <row r="979" spans="1:14" ht="19.5" customHeight="1" x14ac:dyDescent="0.25">
      <c r="A979" s="7"/>
      <c r="B979" s="7"/>
      <c r="C979" s="13"/>
      <c r="D979" s="13"/>
      <c r="E979" s="7"/>
      <c r="F979" s="7"/>
      <c r="G979" s="7"/>
      <c r="H979" s="7"/>
      <c r="I979" s="7"/>
      <c r="J979" s="7"/>
      <c r="K979" s="7"/>
      <c r="L979" s="7"/>
      <c r="M979" s="7"/>
      <c r="N979" s="7"/>
    </row>
    <row r="980" spans="1:14" ht="19.5" customHeight="1" x14ac:dyDescent="0.25">
      <c r="A980" s="7"/>
      <c r="B980" s="7"/>
      <c r="C980" s="13"/>
      <c r="D980" s="13"/>
      <c r="E980" s="7"/>
      <c r="F980" s="7"/>
      <c r="G980" s="7"/>
      <c r="H980" s="7"/>
      <c r="I980" s="7"/>
      <c r="J980" s="7"/>
      <c r="K980" s="7"/>
      <c r="L980" s="7"/>
      <c r="M980" s="7"/>
      <c r="N980" s="7"/>
    </row>
    <row r="981" spans="1:14" ht="19.5" customHeight="1" x14ac:dyDescent="0.25">
      <c r="A981" s="7"/>
      <c r="B981" s="7"/>
      <c r="C981" s="13"/>
      <c r="D981" s="13"/>
      <c r="E981" s="7"/>
      <c r="F981" s="7"/>
      <c r="G981" s="7"/>
      <c r="H981" s="7"/>
      <c r="I981" s="7"/>
      <c r="J981" s="7"/>
      <c r="K981" s="7"/>
      <c r="L981" s="7"/>
      <c r="M981" s="7"/>
      <c r="N981" s="7"/>
    </row>
    <row r="982" spans="1:14" ht="19.5" customHeight="1" x14ac:dyDescent="0.25">
      <c r="A982" s="7"/>
      <c r="B982" s="7"/>
      <c r="C982" s="13"/>
      <c r="D982" s="13"/>
      <c r="E982" s="7"/>
      <c r="F982" s="7"/>
      <c r="G982" s="7"/>
      <c r="H982" s="7"/>
      <c r="I982" s="7"/>
      <c r="J982" s="7"/>
      <c r="K982" s="7"/>
      <c r="L982" s="7"/>
      <c r="M982" s="7"/>
      <c r="N982" s="7"/>
    </row>
    <row r="983" spans="1:14" ht="19.5" customHeight="1" x14ac:dyDescent="0.25">
      <c r="A983" s="7"/>
      <c r="B983" s="7"/>
      <c r="C983" s="13"/>
      <c r="D983" s="13"/>
      <c r="E983" s="7"/>
      <c r="F983" s="7"/>
      <c r="G983" s="7"/>
      <c r="H983" s="7"/>
      <c r="I983" s="7"/>
      <c r="J983" s="7"/>
      <c r="K983" s="7"/>
      <c r="L983" s="7"/>
      <c r="M983" s="7"/>
      <c r="N983" s="7"/>
    </row>
    <row r="984" spans="1:14" ht="19.5" customHeight="1" x14ac:dyDescent="0.25">
      <c r="A984" s="7"/>
      <c r="B984" s="7"/>
      <c r="C984" s="13"/>
      <c r="D984" s="13"/>
      <c r="E984" s="7"/>
      <c r="F984" s="7"/>
      <c r="G984" s="7"/>
      <c r="H984" s="7"/>
      <c r="I984" s="7"/>
      <c r="J984" s="7"/>
      <c r="K984" s="7"/>
      <c r="L984" s="7"/>
      <c r="M984" s="7"/>
      <c r="N984" s="7"/>
    </row>
    <row r="985" spans="1:14" ht="19.5" customHeight="1" x14ac:dyDescent="0.25">
      <c r="A985" s="7"/>
      <c r="B985" s="7"/>
      <c r="C985" s="13"/>
      <c r="D985" s="13"/>
      <c r="E985" s="7"/>
      <c r="F985" s="7"/>
      <c r="G985" s="7"/>
      <c r="H985" s="7"/>
      <c r="I985" s="7"/>
      <c r="J985" s="7"/>
      <c r="K985" s="7"/>
      <c r="L985" s="7"/>
      <c r="M985" s="7"/>
      <c r="N985" s="7"/>
    </row>
    <row r="986" spans="1:14" ht="19.5" customHeight="1" x14ac:dyDescent="0.25">
      <c r="A986" s="7"/>
      <c r="B986" s="7"/>
      <c r="C986" s="13"/>
      <c r="D986" s="13"/>
      <c r="E986" s="7"/>
      <c r="F986" s="7"/>
      <c r="G986" s="7"/>
      <c r="H986" s="7"/>
      <c r="I986" s="7"/>
      <c r="J986" s="7"/>
      <c r="K986" s="7"/>
      <c r="L986" s="7"/>
      <c r="M986" s="7"/>
      <c r="N986" s="7"/>
    </row>
    <row r="987" spans="1:14" ht="19.5" customHeight="1" x14ac:dyDescent="0.25">
      <c r="A987" s="7"/>
      <c r="B987" s="7"/>
      <c r="C987" s="13"/>
      <c r="D987" s="13"/>
      <c r="E987" s="7"/>
      <c r="F987" s="7"/>
      <c r="G987" s="7"/>
      <c r="H987" s="7"/>
      <c r="I987" s="7"/>
      <c r="J987" s="7"/>
      <c r="K987" s="7"/>
      <c r="L987" s="7"/>
      <c r="M987" s="7"/>
      <c r="N987" s="7"/>
    </row>
    <row r="988" spans="1:14" ht="19.5" customHeight="1" x14ac:dyDescent="0.25">
      <c r="A988" s="7"/>
      <c r="B988" s="7"/>
      <c r="C988" s="13"/>
      <c r="D988" s="13"/>
      <c r="E988" s="7"/>
      <c r="F988" s="7"/>
      <c r="G988" s="7"/>
      <c r="H988" s="7"/>
      <c r="I988" s="7"/>
      <c r="J988" s="7"/>
      <c r="K988" s="7"/>
      <c r="L988" s="7"/>
      <c r="M988" s="7"/>
      <c r="N988" s="7"/>
    </row>
    <row r="989" spans="1:14" ht="19.5" customHeight="1" x14ac:dyDescent="0.25">
      <c r="A989" s="7"/>
      <c r="B989" s="7"/>
      <c r="C989" s="13"/>
      <c r="D989" s="13"/>
      <c r="E989" s="7"/>
      <c r="F989" s="7"/>
      <c r="G989" s="7"/>
      <c r="H989" s="7"/>
      <c r="I989" s="7"/>
      <c r="J989" s="7"/>
      <c r="K989" s="7"/>
      <c r="L989" s="7"/>
      <c r="M989" s="7"/>
      <c r="N989" s="7"/>
    </row>
    <row r="990" spans="1:14" ht="19.5" customHeight="1" x14ac:dyDescent="0.25">
      <c r="A990" s="7"/>
      <c r="B990" s="7"/>
      <c r="C990" s="13"/>
      <c r="D990" s="13"/>
      <c r="E990" s="7"/>
      <c r="F990" s="7"/>
      <c r="G990" s="7"/>
      <c r="H990" s="7"/>
      <c r="I990" s="7"/>
      <c r="J990" s="7"/>
      <c r="K990" s="7"/>
      <c r="L990" s="7"/>
      <c r="M990" s="7"/>
      <c r="N990" s="7"/>
    </row>
    <row r="991" spans="1:14" ht="19.5" customHeight="1" x14ac:dyDescent="0.25">
      <c r="A991" s="7"/>
      <c r="B991" s="7"/>
      <c r="C991" s="13"/>
      <c r="D991" s="13"/>
      <c r="E991" s="7"/>
      <c r="F991" s="7"/>
      <c r="G991" s="7"/>
      <c r="H991" s="7"/>
      <c r="I991" s="7"/>
      <c r="J991" s="7"/>
      <c r="K991" s="7"/>
      <c r="L991" s="7"/>
      <c r="M991" s="7"/>
      <c r="N991" s="7"/>
    </row>
    <row r="992" spans="1:14" ht="19.5" customHeight="1" x14ac:dyDescent="0.25">
      <c r="A992" s="7"/>
      <c r="B992" s="7"/>
      <c r="C992" s="13"/>
      <c r="D992" s="13"/>
      <c r="E992" s="7"/>
      <c r="F992" s="7"/>
      <c r="G992" s="7"/>
      <c r="H992" s="7"/>
      <c r="I992" s="7"/>
      <c r="J992" s="7"/>
      <c r="K992" s="7"/>
      <c r="L992" s="7"/>
      <c r="M992" s="7"/>
      <c r="N992" s="7"/>
    </row>
    <row r="993" spans="1:14" ht="19.5" customHeight="1" x14ac:dyDescent="0.25">
      <c r="A993" s="7"/>
      <c r="B993" s="7"/>
      <c r="C993" s="13"/>
      <c r="D993" s="13"/>
      <c r="E993" s="7"/>
      <c r="F993" s="7"/>
      <c r="G993" s="7"/>
      <c r="H993" s="7"/>
      <c r="I993" s="7"/>
      <c r="J993" s="7"/>
      <c r="K993" s="7"/>
      <c r="L993" s="7"/>
      <c r="M993" s="7"/>
      <c r="N993" s="7"/>
    </row>
    <row r="994" spans="1:14" ht="19.5" customHeight="1" x14ac:dyDescent="0.25">
      <c r="A994" s="7"/>
      <c r="B994" s="7"/>
      <c r="C994" s="13"/>
      <c r="D994" s="13"/>
      <c r="E994" s="7"/>
      <c r="F994" s="7"/>
      <c r="G994" s="7"/>
      <c r="H994" s="7"/>
      <c r="I994" s="7"/>
      <c r="J994" s="7"/>
      <c r="K994" s="7"/>
      <c r="L994" s="7"/>
      <c r="M994" s="7"/>
      <c r="N994" s="7"/>
    </row>
    <row r="995" spans="1:14" ht="19.5" customHeight="1" x14ac:dyDescent="0.25">
      <c r="A995" s="7"/>
      <c r="B995" s="7"/>
      <c r="C995" s="13"/>
      <c r="D995" s="13"/>
      <c r="E995" s="7"/>
      <c r="F995" s="7"/>
      <c r="G995" s="7"/>
      <c r="H995" s="7"/>
      <c r="I995" s="7"/>
      <c r="J995" s="7"/>
      <c r="K995" s="7"/>
      <c r="L995" s="7"/>
      <c r="M995" s="7"/>
      <c r="N995" s="7"/>
    </row>
    <row r="996" spans="1:14" ht="19.5" customHeight="1" x14ac:dyDescent="0.25">
      <c r="A996" s="7"/>
      <c r="B996" s="7"/>
      <c r="C996" s="13"/>
      <c r="D996" s="13"/>
      <c r="E996" s="7"/>
      <c r="F996" s="7"/>
      <c r="G996" s="7"/>
      <c r="H996" s="7"/>
      <c r="I996" s="7"/>
      <c r="J996" s="7"/>
      <c r="K996" s="7"/>
      <c r="L996" s="7"/>
      <c r="M996" s="7"/>
      <c r="N996" s="7"/>
    </row>
    <row r="997" spans="1:14" ht="19.5" customHeight="1" x14ac:dyDescent="0.25">
      <c r="A997" s="7"/>
      <c r="B997" s="7"/>
      <c r="C997" s="13"/>
      <c r="D997" s="13"/>
      <c r="E997" s="7"/>
      <c r="F997" s="7"/>
      <c r="G997" s="7"/>
      <c r="H997" s="7"/>
      <c r="I997" s="7"/>
      <c r="J997" s="7"/>
      <c r="K997" s="7"/>
      <c r="L997" s="7"/>
      <c r="M997" s="7"/>
      <c r="N997" s="7"/>
    </row>
    <row r="998" spans="1:14" ht="19.5" customHeight="1" x14ac:dyDescent="0.25">
      <c r="A998" s="7"/>
      <c r="B998" s="7"/>
      <c r="C998" s="13"/>
      <c r="D998" s="13"/>
      <c r="E998" s="7"/>
      <c r="F998" s="7"/>
      <c r="G998" s="7"/>
      <c r="H998" s="7"/>
      <c r="I998" s="7"/>
      <c r="J998" s="7"/>
      <c r="K998" s="7"/>
      <c r="L998" s="7"/>
      <c r="M998" s="7"/>
      <c r="N998" s="7"/>
    </row>
    <row r="999" spans="1:14" ht="19.5" customHeight="1" x14ac:dyDescent="0.25">
      <c r="A999" s="7"/>
      <c r="B999" s="7"/>
      <c r="C999" s="13"/>
      <c r="D999" s="13"/>
      <c r="E999" s="7"/>
      <c r="F999" s="7"/>
      <c r="G999" s="7"/>
      <c r="H999" s="7"/>
      <c r="I999" s="7"/>
      <c r="J999" s="7"/>
      <c r="K999" s="7"/>
      <c r="L999" s="7"/>
      <c r="M999" s="7"/>
      <c r="N999" s="7"/>
    </row>
    <row r="1000" spans="1:14" ht="19.5" customHeight="1" x14ac:dyDescent="0.25">
      <c r="A1000" s="7"/>
      <c r="B1000" s="7"/>
      <c r="C1000" s="13"/>
      <c r="D1000" s="13"/>
      <c r="E1000" s="7"/>
      <c r="F1000" s="7"/>
      <c r="G1000" s="7"/>
      <c r="H1000" s="7"/>
      <c r="I1000" s="7"/>
      <c r="J1000" s="7"/>
      <c r="K1000" s="7"/>
      <c r="L1000" s="7"/>
      <c r="M1000" s="7"/>
      <c r="N1000" s="7"/>
    </row>
    <row r="1001" spans="1:14" ht="19.5" customHeight="1" x14ac:dyDescent="0.25">
      <c r="A1001" s="7"/>
      <c r="B1001" s="7"/>
      <c r="C1001" s="13"/>
      <c r="D1001" s="13"/>
      <c r="E1001" s="7"/>
      <c r="F1001" s="7"/>
      <c r="G1001" s="7"/>
      <c r="H1001" s="7"/>
      <c r="I1001" s="7"/>
      <c r="J1001" s="7"/>
      <c r="K1001" s="7"/>
      <c r="L1001" s="7"/>
      <c r="M1001" s="7"/>
      <c r="N1001" s="7"/>
    </row>
    <row r="1002" spans="1:14" ht="15" customHeight="1" x14ac:dyDescent="0.25">
      <c r="A1002" s="7"/>
      <c r="B1002" s="7"/>
      <c r="C1002" s="13"/>
      <c r="D1002" s="13"/>
      <c r="E1002" s="7"/>
    </row>
    <row r="1003" spans="1:14" ht="15" customHeight="1" x14ac:dyDescent="0.25">
      <c r="E1003" s="7"/>
    </row>
  </sheetData>
  <pageMargins left="0.511811024" right="0.511811024" top="0.78740157499999996" bottom="0.78740157499999996" header="0" footer="0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AE950"/>
  <sheetViews>
    <sheetView showGridLines="0" tabSelected="1" zoomScale="70" zoomScaleNormal="70" workbookViewId="0">
      <pane ySplit="2" topLeftCell="A3" activePane="bottomLeft" state="frozen"/>
      <selection activeCell="X36" sqref="X36:AD36"/>
      <selection pane="bottomLeft" activeCell="G12" sqref="G12"/>
    </sheetView>
  </sheetViews>
  <sheetFormatPr defaultColWidth="14.42578125" defaultRowHeight="15" customHeight="1" x14ac:dyDescent="0.25"/>
  <cols>
    <col min="1" max="1" width="64.85546875" bestFit="1" customWidth="1"/>
    <col min="2" max="2" width="25.7109375" customWidth="1"/>
    <col min="3" max="3" width="16.85546875" customWidth="1"/>
    <col min="4" max="4" width="30.140625" style="43" customWidth="1"/>
    <col min="5" max="5" width="76.7109375" style="121" customWidth="1"/>
    <col min="6" max="6" width="27.85546875" customWidth="1"/>
    <col min="7" max="7" width="29.28515625" customWidth="1"/>
    <col min="8" max="8" width="11.7109375" customWidth="1"/>
    <col min="9" max="11" width="9.140625" customWidth="1"/>
    <col min="12" max="12" width="10.85546875" customWidth="1"/>
    <col min="13" max="24" width="9.140625" customWidth="1"/>
  </cols>
  <sheetData>
    <row r="1" spans="1:27" ht="21.6" customHeight="1" x14ac:dyDescent="0.6">
      <c r="A1" s="214" t="s">
        <v>0</v>
      </c>
      <c r="B1" s="216" t="s">
        <v>1709</v>
      </c>
      <c r="C1" s="217"/>
      <c r="D1" s="112" t="s">
        <v>72</v>
      </c>
      <c r="E1" s="218" t="s">
        <v>51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7" ht="22.15" customHeight="1" x14ac:dyDescent="0.6">
      <c r="A2" s="215"/>
      <c r="B2" s="52" t="s">
        <v>1</v>
      </c>
      <c r="C2" s="50" t="s">
        <v>2</v>
      </c>
      <c r="D2" s="113" t="s">
        <v>2</v>
      </c>
      <c r="E2" s="218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7" ht="19.5" customHeight="1" x14ac:dyDescent="0.25">
      <c r="A3" s="28" t="str">
        <f>ORÇAMENTO_EXECUTIVO!A2</f>
        <v>GERENCIAMENTO TÉCNICO E ADMINISTRATIVO</v>
      </c>
      <c r="B3" s="60">
        <f>ORÇAMENTO_EXECUTIVO!B2</f>
        <v>22842123.309999999</v>
      </c>
      <c r="C3" s="17">
        <f>B3/ORÇAMENTO_EXECUTIVO!$G$2</f>
        <v>540.28685311453273</v>
      </c>
      <c r="D3" s="114" t="str">
        <f>FIXED(CÁLCULO_MÉDIAS!V8,2,FALSE)&amp;" "&amp;"-"&amp;FIXED(CÁLCULO_MÉDIAS!W8,2,FALSE)</f>
        <v>330,00 -480,00</v>
      </c>
      <c r="E3" s="116"/>
      <c r="F3" s="7"/>
      <c r="G3" s="3"/>
      <c r="H3" s="4"/>
      <c r="I3" s="5"/>
      <c r="J3" s="3"/>
      <c r="K3" s="4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7" ht="19.5" customHeight="1" x14ac:dyDescent="0.25">
      <c r="A4" s="29" t="str">
        <f>ORÇAMENTO_EXECUTIVO!A3</f>
        <v>MOVIEMNTAÇÃO DE TERRA</v>
      </c>
      <c r="B4" s="59">
        <f>ORÇAMENTO_EXECUTIVO!B3</f>
        <v>3078669.41</v>
      </c>
      <c r="C4" s="18">
        <f>B4/ORÇAMENTO_EXECUTIVO!$G$2</f>
        <v>72.820052003688943</v>
      </c>
      <c r="D4" s="111" t="str">
        <f>FIXED(CÁLCULO_MÉDIAS!V9,2,FALSE)&amp;" "&amp;"-"&amp;FIXED(CÁLCULO_MÉDIAS!W9,2,FALSE)</f>
        <v>25,00 -38,00</v>
      </c>
      <c r="E4" s="115" t="s">
        <v>1686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7" ht="19.5" customHeight="1" x14ac:dyDescent="0.25">
      <c r="A5" s="28" t="s">
        <v>71</v>
      </c>
      <c r="B5" s="60">
        <f>ORÇAMENTO_EXECUTIVO!B4+ORÇAMENTO_EXECUTIVO!B5</f>
        <v>13428436.469999999</v>
      </c>
      <c r="C5" s="17">
        <f>B5/ORÇAMENTO_EXECUTIVO!$G$2</f>
        <v>317.6240485247921</v>
      </c>
      <c r="D5" s="114" t="str">
        <f>FIXED(CÁLCULO_MÉDIAS!V10,2,FALSE)&amp;" "&amp;"-"&amp;FIXED(CÁLCULO_MÉDIAS!W10,2,FALSE)</f>
        <v>310,00 -450,00</v>
      </c>
      <c r="E5" s="116" t="s">
        <v>1687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7" ht="19.5" customHeight="1" x14ac:dyDescent="0.25">
      <c r="A6" s="29" t="str">
        <f>ORÇAMENTO_EXECUTIVO!A6</f>
        <v>SUPRAESTRUTURA</v>
      </c>
      <c r="B6" s="59">
        <f>ORÇAMENTO_EXECUTIVO!B6</f>
        <v>30247017.850000001</v>
      </c>
      <c r="C6" s="18">
        <f>B6/ORÇAMENTO_EXECUTIVO!$G$2</f>
        <v>715.43550783307649</v>
      </c>
      <c r="D6" s="111" t="str">
        <f>FIXED(CÁLCULO_MÉDIAS!V11,2,FALSE)&amp;" "&amp;"-"&amp;FIXED(CÁLCULO_MÉDIAS!W11,2,FALSE)</f>
        <v>680,00 -740,00</v>
      </c>
      <c r="E6" s="11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7" ht="19.149999999999999" customHeight="1" x14ac:dyDescent="0.25">
      <c r="A7" s="28" t="str">
        <f>ORÇAMENTO_EXECUTIVO!A7</f>
        <v>PAREDES E DIVISÓRIAS</v>
      </c>
      <c r="B7" s="60">
        <f>ORÇAMENTO_EXECUTIVO!B7</f>
        <v>13469645.470000001</v>
      </c>
      <c r="C7" s="17">
        <f>B7/ORÇAMENTO_EXECUTIVO!$G$2</f>
        <v>318.5987688092348</v>
      </c>
      <c r="D7" s="114" t="str">
        <f>FIXED(CÁLCULO_MÉDIAS!V12,2,FALSE)&amp;" "&amp;"-"&amp;FIXED(CÁLCULO_MÉDIAS!W12,2,FALSE)</f>
        <v>115,00 -150,00</v>
      </c>
      <c r="E7" s="116" t="s">
        <v>681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7" ht="19.5" customHeight="1" x14ac:dyDescent="0.25">
      <c r="A8" s="29" t="str">
        <f>ORÇAMENTO_EXECUTIVO!A8</f>
        <v>INSTALAÇÕES ELÉTRICAS, HIDRÁULICAS, GLP E PREVENTIVAS</v>
      </c>
      <c r="B8" s="59">
        <f>ORÇAMENTO_EXECUTIVO!B8</f>
        <v>16985534.369999997</v>
      </c>
      <c r="C8" s="18">
        <f>B8/ORÇAMENTO_EXECUTIVO!$G$2</f>
        <v>401.76041380612077</v>
      </c>
      <c r="D8" s="111" t="str">
        <f>FIXED(CÁLCULO_MÉDIAS!V13,2,FALSE)&amp;" "&amp;"-"&amp;FIXED(CÁLCULO_MÉDIAS!W13,2,FALSE)</f>
        <v>330,00 -350,00</v>
      </c>
      <c r="E8" s="115" t="s">
        <v>1688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A8" t="s">
        <v>33</v>
      </c>
    </row>
    <row r="9" spans="1:27" ht="19.5" customHeight="1" x14ac:dyDescent="0.25">
      <c r="A9" s="28" t="str">
        <f>ORÇAMENTO_EXECUTIVO!A9</f>
        <v>EQUIPAMENTOS E SISTEMAS ESPECIAIS</v>
      </c>
      <c r="B9" s="60">
        <f>ORÇAMENTO_EXECUTIVO!B9</f>
        <v>12866746.559999999</v>
      </c>
      <c r="C9" s="17">
        <f>B9/ORÇAMENTO_EXECUTIVO!$G$2</f>
        <v>304.33834518708056</v>
      </c>
      <c r="D9" s="114" t="str">
        <f>FIXED(CÁLCULO_MÉDIAS!V14,2,FALSE)&amp;" "&amp;"-"&amp;FIXED(CÁLCULO_MÉDIAS!W14,2,FALSE)</f>
        <v>180,00 -250,00</v>
      </c>
      <c r="E9" s="116" t="s">
        <v>1689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A9" t="s">
        <v>34</v>
      </c>
    </row>
    <row r="10" spans="1:27" ht="19.5" customHeight="1" x14ac:dyDescent="0.25">
      <c r="A10" s="29" t="str">
        <f>ORÇAMENTO_EXECUTIVO!A10</f>
        <v>IMPERMEABILIZAÇÃO</v>
      </c>
      <c r="B10" s="59">
        <f>ORÇAMENTO_EXECUTIVO!B10</f>
        <v>2429082.62</v>
      </c>
      <c r="C10" s="18">
        <f>B10/ORÇAMENTO_EXECUTIVO!$G$2</f>
        <v>57.455315642239412</v>
      </c>
      <c r="D10" s="111" t="str">
        <f>FIXED(CÁLCULO_MÉDIAS!V15,2,FALSE)&amp;" "&amp;"-"&amp;FIXED(CÁLCULO_MÉDIAS!W15,2,FALSE)</f>
        <v>40,00 -75,00</v>
      </c>
      <c r="E10" s="11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7" ht="19.5" customHeight="1" x14ac:dyDescent="0.25">
      <c r="A11" s="28" t="str">
        <f>ORÇAMENTO_EXECUTIVO!A11</f>
        <v>REVESTIMENTOS INTERNOS EM PISO E PAREDE</v>
      </c>
      <c r="B11" s="60">
        <f>ORÇAMENTO_EXECUTIVO!B11</f>
        <v>3615206.3400000008</v>
      </c>
      <c r="C11" s="17">
        <f>B11/ORÇAMENTO_EXECUTIVO!$G$2</f>
        <v>85.510809581489298</v>
      </c>
      <c r="D11" s="114" t="str">
        <f>FIXED(CÁLCULO_MÉDIAS!V16,2,FALSE)&amp;" "&amp;"-"&amp;FIXED(CÁLCULO_MÉDIAS!W16,2,FALSE)</f>
        <v>140,00 -170,00</v>
      </c>
      <c r="E11" s="116" t="s">
        <v>681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7" ht="19.5" customHeight="1" x14ac:dyDescent="0.25">
      <c r="A12" s="29" t="str">
        <f>ORÇAMENTO_EXECUTIVO!A12</f>
        <v>REVESTIMENTOS E ACABAMENTOS INTERNOS EM TETO</v>
      </c>
      <c r="B12" s="59">
        <f>ORÇAMENTO_EXECUTIVO!B12</f>
        <v>2666469.6100000003</v>
      </c>
      <c r="C12" s="18">
        <f>B12/ORÇAMENTO_EXECUTIVO!$G$2</f>
        <v>63.070252049717865</v>
      </c>
      <c r="D12" s="111" t="str">
        <f>FIXED(CÁLCULO_MÉDIAS!V17,2,FALSE)&amp;" "&amp;"-"&amp;FIXED(CÁLCULO_MÉDIAS!W17,2,FALSE)</f>
        <v>50,00 -65,00</v>
      </c>
      <c r="E12" s="115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7" ht="19.5" customHeight="1" x14ac:dyDescent="0.25">
      <c r="A13" s="28" t="str">
        <f>ORÇAMENTO_EXECUTIVO!A13</f>
        <v>ACABAMENTOS EM PISO E PAREDE</v>
      </c>
      <c r="B13" s="60">
        <f>ORÇAMENTO_EXECUTIVO!B13</f>
        <v>26983602.129999999</v>
      </c>
      <c r="C13" s="17">
        <f>B13/ORÇAMENTO_EXECUTIVO!$G$2</f>
        <v>638.24563428960425</v>
      </c>
      <c r="D13" s="114" t="str">
        <f>FIXED(CÁLCULO_MÉDIAS!V18,2,FALSE)&amp;" "&amp;"-"&amp;FIXED(CÁLCULO_MÉDIAS!W18,2,FALSE)</f>
        <v>140,00 -210,00</v>
      </c>
      <c r="E13" s="116" t="s">
        <v>1690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7" ht="19.5" customHeight="1" x14ac:dyDescent="0.25">
      <c r="A14" s="29" t="str">
        <f>ORÇAMENTO_EXECUTIVO!A14</f>
        <v>PINTURA INTERNA</v>
      </c>
      <c r="B14" s="59">
        <f>ORÇAMENTO_EXECUTIVO!B14</f>
        <v>4509003.5399999991</v>
      </c>
      <c r="C14" s="18">
        <f>B14/ORÇAMENTO_EXECUTIVO!$G$2</f>
        <v>106.6518773341167</v>
      </c>
      <c r="D14" s="111" t="str">
        <f>FIXED(CÁLCULO_MÉDIAS!V19,2,FALSE)&amp;" "&amp;"-"&amp;FIXED(CÁLCULO_MÉDIAS!W19,2,FALSE)</f>
        <v>105,00 -130,00</v>
      </c>
      <c r="E14" s="115"/>
      <c r="F14" s="166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7" ht="19.5" customHeight="1" x14ac:dyDescent="0.25">
      <c r="A15" s="28" t="str">
        <f>ORÇAMENTO_EXECUTIVO!A15</f>
        <v>ESQUADRIAS, VIDROS E FERRAGENS</v>
      </c>
      <c r="B15" s="60">
        <f>ORÇAMENTO_EXECUTIVO!B15</f>
        <v>24788341.080000002</v>
      </c>
      <c r="C15" s="17">
        <f>B15/ORÇAMENTO_EXECUTIVO!$G$2</f>
        <v>586.32092184616181</v>
      </c>
      <c r="D15" s="114" t="str">
        <f>FIXED(CÁLCULO_MÉDIAS!V20,2,FALSE)&amp;" "&amp;"-"&amp;FIXED(CÁLCULO_MÉDIAS!W20,2,FALSE)</f>
        <v>350,00 -480,00</v>
      </c>
      <c r="E15" s="116"/>
      <c r="F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7" ht="19.5" customHeight="1" x14ac:dyDescent="0.25">
      <c r="A16" s="29" t="str">
        <f>ORÇAMENTO_EXECUTIVO!A16</f>
        <v>COBERTURA</v>
      </c>
      <c r="B16" s="59">
        <f>ORÇAMENTO_EXECUTIVO!B16</f>
        <v>1253778.1100000001</v>
      </c>
      <c r="C16" s="18">
        <f>B16/ORÇAMENTO_EXECUTIVO!$G$2</f>
        <v>29.655729476743929</v>
      </c>
      <c r="D16" s="111" t="str">
        <f>FIXED(CÁLCULO_MÉDIAS!V21,2,FALSE)&amp;" "&amp;"-"&amp;FIXED(CÁLCULO_MÉDIAS!W21,2,FALSE)</f>
        <v>5,00 -12,00</v>
      </c>
      <c r="E16" s="115" t="s">
        <v>1691</v>
      </c>
      <c r="F16" s="66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9.5" customHeight="1" x14ac:dyDescent="0.25">
      <c r="A17" s="28" t="str">
        <f>ORÇAMENTO_EXECUTIVO!A17</f>
        <v>REVESTIMENTOS E ACABAMENTOS DE FACHADA</v>
      </c>
      <c r="B17" s="60">
        <f>ORÇAMENTO_EXECUTIVO!B17</f>
        <v>13641661.160000002</v>
      </c>
      <c r="C17" s="17">
        <f>B17/ORÇAMENTO_EXECUTIVO!$G$2</f>
        <v>322.66747181793181</v>
      </c>
      <c r="D17" s="114" t="str">
        <f>FIXED(CÁLCULO_MÉDIAS!V22,2,FALSE)&amp;" "&amp;"-"&amp;FIXED(CÁLCULO_MÉDIAS!W22,2,FALSE)</f>
        <v>190,00 -215,00</v>
      </c>
      <c r="E17" s="116" t="s">
        <v>1690</v>
      </c>
      <c r="F17" s="66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9.5" customHeight="1" x14ac:dyDescent="0.25">
      <c r="A18" s="29" t="str">
        <f>ORÇAMENTO_EXECUTIVO!A18</f>
        <v>SERVIÇOS COMPLEMENTARES</v>
      </c>
      <c r="B18" s="59">
        <f>ORÇAMENTO_EXECUTIVO!B18</f>
        <v>10814388.810000001</v>
      </c>
      <c r="C18" s="18">
        <f>B18/ORÇAMENTO_EXECUTIVO!$G$2</f>
        <v>255.7937377018703</v>
      </c>
      <c r="D18" s="111" t="str">
        <f>FIXED(CÁLCULO_MÉDIAS!V23,2,FALSE)&amp;" "&amp;"-"&amp;FIXED(CÁLCULO_MÉDIAS!W23,2,FALSE)</f>
        <v>180,00 -210,00</v>
      </c>
      <c r="E18" s="115" t="s">
        <v>1692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s="121" customFormat="1" ht="19.5" customHeight="1" thickBot="1" x14ac:dyDescent="0.3">
      <c r="A19" s="117" t="s">
        <v>14</v>
      </c>
      <c r="B19" s="118">
        <f>SUM(B3:B18)</f>
        <v>203619706.84000003</v>
      </c>
      <c r="C19" s="119">
        <f>SUM(C3:C18)</f>
        <v>4816.2357390184025</v>
      </c>
      <c r="D19" s="120" t="str">
        <f>FIXED(CÁLCULO_MÉDIAS!V24,2,FALSE)&amp;" "&amp;"-"&amp;FIXED(CÁLCULO_MÉDIAS!W24,2,FALSE)</f>
        <v>3.170,00 -4.025,00</v>
      </c>
      <c r="E19" s="5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1.75" customHeight="1" x14ac:dyDescent="0.6">
      <c r="A20" s="1"/>
      <c r="B20" s="6"/>
      <c r="C20" s="1"/>
      <c r="D20" s="48"/>
      <c r="E20" s="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21.75" customHeight="1" x14ac:dyDescent="0.6">
      <c r="A21" s="1"/>
      <c r="B21" s="6"/>
      <c r="C21" s="1"/>
      <c r="D21" s="48"/>
      <c r="E21" s="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21.75" customHeight="1" x14ac:dyDescent="0.6">
      <c r="A22" s="1"/>
      <c r="B22" s="6"/>
      <c r="C22" s="67"/>
      <c r="D22" s="48"/>
      <c r="E22" s="122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21.75" customHeight="1" x14ac:dyDescent="0.6">
      <c r="A23" s="1"/>
      <c r="B23" s="6"/>
      <c r="C23" s="1"/>
      <c r="D23" s="48"/>
      <c r="E23" s="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21.75" customHeight="1" x14ac:dyDescent="0.6">
      <c r="A24" s="1"/>
      <c r="B24" s="6"/>
      <c r="C24" s="67"/>
      <c r="D24" s="48"/>
      <c r="E24" s="12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21.75" customHeight="1" x14ac:dyDescent="0.6">
      <c r="A25" s="1"/>
      <c r="B25" s="6"/>
      <c r="C25" s="1"/>
      <c r="D25" s="48"/>
      <c r="E25" s="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21.75" customHeight="1" x14ac:dyDescent="0.6">
      <c r="A26" s="1"/>
      <c r="B26" s="6"/>
      <c r="C26" s="1"/>
      <c r="D26" s="48"/>
      <c r="E26" s="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21.75" customHeight="1" x14ac:dyDescent="0.6">
      <c r="A27" s="1"/>
      <c r="B27" s="6"/>
      <c r="C27" s="1"/>
      <c r="D27" s="48"/>
      <c r="E27" s="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21.75" customHeight="1" x14ac:dyDescent="0.6">
      <c r="A28" s="1"/>
      <c r="B28" s="6"/>
      <c r="C28" s="1"/>
      <c r="D28" s="48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21.75" customHeight="1" x14ac:dyDescent="0.6">
      <c r="A29" s="1"/>
      <c r="B29" s="6"/>
      <c r="C29" s="1"/>
      <c r="D29" s="48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21.75" customHeight="1" x14ac:dyDescent="0.6">
      <c r="A30" s="1"/>
      <c r="B30" s="6"/>
      <c r="C30" s="1"/>
      <c r="D30" s="48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21.75" customHeight="1" x14ac:dyDescent="0.6">
      <c r="A31" s="1"/>
      <c r="B31" s="6"/>
      <c r="C31" s="1"/>
      <c r="D31" s="48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21.75" customHeight="1" x14ac:dyDescent="0.6">
      <c r="A32" s="1"/>
      <c r="B32" s="6"/>
      <c r="C32" s="1"/>
      <c r="D32" s="48"/>
      <c r="E32" s="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21.75" customHeight="1" x14ac:dyDescent="0.6">
      <c r="A33" s="1"/>
      <c r="B33" s="6"/>
      <c r="C33" s="1"/>
      <c r="D33" s="48"/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21.75" customHeight="1" x14ac:dyDescent="0.6">
      <c r="A34" s="1"/>
      <c r="B34" s="6"/>
      <c r="C34" s="1"/>
      <c r="D34" s="48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21.75" customHeight="1" x14ac:dyDescent="0.6">
      <c r="A35" s="1"/>
      <c r="B35" s="6"/>
      <c r="C35" s="1"/>
      <c r="D35" s="48"/>
      <c r="E35" s="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21.75" customHeight="1" x14ac:dyDescent="0.6">
      <c r="A36" s="1"/>
      <c r="B36" s="6"/>
      <c r="C36" s="1"/>
      <c r="D36" s="48"/>
      <c r="E36" s="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1.75" customHeight="1" x14ac:dyDescent="0.6">
      <c r="A37" s="1"/>
      <c r="B37" s="6"/>
      <c r="C37" s="1"/>
      <c r="D37" s="48"/>
      <c r="E37" s="3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21.75" customHeight="1" x14ac:dyDescent="0.6">
      <c r="A38" s="1"/>
      <c r="B38" s="6"/>
      <c r="C38" s="1"/>
      <c r="D38" s="48"/>
      <c r="E38" s="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21.75" customHeight="1" x14ac:dyDescent="0.6">
      <c r="A39" s="1"/>
      <c r="B39" s="6"/>
      <c r="C39" s="1"/>
      <c r="D39" s="48"/>
      <c r="E39" s="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21.75" customHeight="1" x14ac:dyDescent="0.6">
      <c r="A40" s="1"/>
      <c r="B40" s="6"/>
      <c r="C40" s="1"/>
      <c r="D40" s="48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21.75" customHeight="1" x14ac:dyDescent="0.6">
      <c r="A41" s="1"/>
      <c r="B41" s="6"/>
      <c r="C41" s="1"/>
      <c r="D41" s="48"/>
      <c r="E41" s="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21.75" customHeight="1" x14ac:dyDescent="0.6">
      <c r="A42" s="1"/>
      <c r="B42" s="6"/>
      <c r="C42" s="1"/>
      <c r="D42" s="48"/>
      <c r="E42" s="3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21.75" customHeight="1" x14ac:dyDescent="0.6">
      <c r="A43" s="1"/>
      <c r="B43" s="6"/>
      <c r="C43" s="1"/>
      <c r="D43" s="48"/>
      <c r="E43" s="3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21.75" customHeight="1" x14ac:dyDescent="0.6">
      <c r="A44" s="1"/>
      <c r="B44" s="6"/>
      <c r="C44" s="1"/>
      <c r="D44" s="48"/>
      <c r="E44" s="3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21.75" customHeight="1" x14ac:dyDescent="0.6">
      <c r="A45" s="1"/>
      <c r="B45" s="6"/>
      <c r="C45" s="1"/>
      <c r="D45" s="48"/>
      <c r="E45" s="3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21.75" customHeight="1" x14ac:dyDescent="0.6">
      <c r="A46" s="1"/>
      <c r="B46" s="6"/>
      <c r="C46" s="1"/>
      <c r="D46" s="48"/>
      <c r="E46" s="3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21.75" customHeight="1" x14ac:dyDescent="0.6">
      <c r="A47" s="1"/>
      <c r="B47" s="6"/>
      <c r="C47" s="1"/>
      <c r="D47" s="48"/>
      <c r="E47" s="3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21.75" customHeight="1" x14ac:dyDescent="0.6">
      <c r="A48" s="1"/>
      <c r="B48" s="6"/>
      <c r="C48" s="1"/>
      <c r="D48" s="48"/>
      <c r="E48" s="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21.75" customHeight="1" x14ac:dyDescent="0.6">
      <c r="A49" s="1"/>
      <c r="B49" s="6"/>
      <c r="C49" s="1"/>
      <c r="D49" s="48"/>
      <c r="E49" s="3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21.75" customHeight="1" x14ac:dyDescent="0.6">
      <c r="A50" s="1"/>
      <c r="B50" s="6"/>
      <c r="C50" s="1"/>
      <c r="D50" s="48"/>
      <c r="E50" s="3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21.75" customHeight="1" x14ac:dyDescent="0.6">
      <c r="A51" s="1"/>
      <c r="B51" s="6"/>
      <c r="C51" s="1"/>
      <c r="D51" s="48"/>
      <c r="E51" s="3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21.75" customHeight="1" x14ac:dyDescent="0.6">
      <c r="A52" s="1"/>
      <c r="B52" s="6"/>
      <c r="C52" s="1"/>
      <c r="D52" s="48"/>
      <c r="E52" s="3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21.75" customHeight="1" x14ac:dyDescent="0.6">
      <c r="A53" s="1"/>
      <c r="B53" s="6"/>
      <c r="C53" s="1"/>
      <c r="D53" s="48"/>
      <c r="E53" s="3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21.75" customHeight="1" x14ac:dyDescent="0.6">
      <c r="A54" s="1"/>
      <c r="B54" s="6"/>
      <c r="C54" s="1"/>
      <c r="D54" s="48"/>
      <c r="E54" s="3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21.75" customHeight="1" x14ac:dyDescent="0.6">
      <c r="A55" s="1"/>
      <c r="B55" s="6"/>
      <c r="C55" s="1"/>
      <c r="D55" s="48"/>
      <c r="E55" s="3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21.75" customHeight="1" x14ac:dyDescent="0.6">
      <c r="A56" s="1"/>
      <c r="B56" s="6"/>
      <c r="C56" s="1"/>
      <c r="D56" s="48"/>
      <c r="E56" s="3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21.75" customHeight="1" x14ac:dyDescent="0.6">
      <c r="A57" s="1"/>
      <c r="B57" s="6"/>
      <c r="C57" s="1"/>
      <c r="D57" s="48"/>
      <c r="E57" s="3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21.75" customHeight="1" x14ac:dyDescent="0.6">
      <c r="A58" s="1"/>
      <c r="B58" s="6"/>
      <c r="C58" s="1"/>
      <c r="D58" s="48"/>
      <c r="E58" s="3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21.75" customHeight="1" x14ac:dyDescent="0.6">
      <c r="A59" s="1"/>
      <c r="B59" s="6"/>
      <c r="C59" s="1"/>
      <c r="D59" s="48"/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21.75" customHeight="1" x14ac:dyDescent="0.6">
      <c r="A60" s="1"/>
      <c r="B60" s="6"/>
      <c r="C60" s="1"/>
      <c r="D60" s="48"/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21.75" customHeight="1" x14ac:dyDescent="0.6">
      <c r="A61" s="1"/>
      <c r="B61" s="6"/>
      <c r="C61" s="1"/>
      <c r="D61" s="48"/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21.75" customHeight="1" x14ac:dyDescent="0.6">
      <c r="A62" s="1"/>
      <c r="B62" s="6"/>
      <c r="C62" s="1"/>
      <c r="D62" s="48"/>
      <c r="E62" s="3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21.75" customHeight="1" x14ac:dyDescent="0.6">
      <c r="A63" s="1"/>
      <c r="B63" s="6"/>
      <c r="C63" s="1"/>
      <c r="D63" s="48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21.75" customHeight="1" x14ac:dyDescent="0.6">
      <c r="A64" s="1"/>
      <c r="B64" s="6"/>
      <c r="C64" s="1"/>
      <c r="D64" s="48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21.75" customHeight="1" x14ac:dyDescent="0.6">
      <c r="A65" s="1"/>
      <c r="B65" s="6"/>
      <c r="C65" s="1"/>
      <c r="D65" s="48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21.75" customHeight="1" x14ac:dyDescent="0.6">
      <c r="A66" s="1"/>
      <c r="B66" s="6"/>
      <c r="C66" s="1"/>
      <c r="D66" s="48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21.75" customHeight="1" x14ac:dyDescent="0.6">
      <c r="A67" s="1"/>
      <c r="B67" s="6"/>
      <c r="C67" s="1"/>
      <c r="D67" s="48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21.75" customHeight="1" x14ac:dyDescent="0.6">
      <c r="A68" s="1"/>
      <c r="B68" s="6"/>
      <c r="C68" s="1"/>
      <c r="D68" s="48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21.75" customHeight="1" x14ac:dyDescent="0.6">
      <c r="A69" s="1"/>
      <c r="B69" s="6"/>
      <c r="C69" s="1"/>
      <c r="D69" s="48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21.75" customHeight="1" x14ac:dyDescent="0.6">
      <c r="A70" s="1"/>
      <c r="B70" s="6"/>
      <c r="C70" s="1"/>
      <c r="D70" s="48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21.75" customHeight="1" x14ac:dyDescent="0.6">
      <c r="A71" s="1"/>
      <c r="B71" s="6"/>
      <c r="C71" s="1"/>
      <c r="D71" s="48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21.75" customHeight="1" x14ac:dyDescent="0.6">
      <c r="A72" s="1"/>
      <c r="B72" s="6"/>
      <c r="C72" s="1"/>
      <c r="D72" s="48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21.75" customHeight="1" x14ac:dyDescent="0.6">
      <c r="A73" s="1"/>
      <c r="B73" s="6"/>
      <c r="C73" s="1"/>
      <c r="D73" s="48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21.75" customHeight="1" x14ac:dyDescent="0.6">
      <c r="A74" s="1"/>
      <c r="B74" s="6"/>
      <c r="C74" s="1"/>
      <c r="D74" s="48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21.75" customHeight="1" x14ac:dyDescent="0.6">
      <c r="A75" s="1"/>
      <c r="B75" s="6"/>
      <c r="C75" s="1"/>
      <c r="D75" s="48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21.75" customHeight="1" x14ac:dyDescent="0.6">
      <c r="A76" s="1"/>
      <c r="B76" s="6"/>
      <c r="C76" s="1"/>
      <c r="D76" s="48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21.75" customHeight="1" x14ac:dyDescent="0.6">
      <c r="A77" s="1"/>
      <c r="B77" s="6"/>
      <c r="C77" s="1"/>
      <c r="D77" s="48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21.75" customHeight="1" x14ac:dyDescent="0.6">
      <c r="A78" s="1"/>
      <c r="B78" s="6"/>
      <c r="C78" s="1"/>
      <c r="D78" s="48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21.75" customHeight="1" x14ac:dyDescent="0.6">
      <c r="A79" s="1"/>
      <c r="B79" s="6"/>
      <c r="C79" s="1"/>
      <c r="D79" s="48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21.75" customHeight="1" x14ac:dyDescent="0.6">
      <c r="A80" s="1"/>
      <c r="B80" s="6"/>
      <c r="C80" s="1"/>
      <c r="D80" s="48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21.75" customHeight="1" x14ac:dyDescent="0.6">
      <c r="A81" s="1"/>
      <c r="B81" s="6"/>
      <c r="C81" s="1"/>
      <c r="D81" s="48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21.75" customHeight="1" x14ac:dyDescent="0.6">
      <c r="A82" s="1"/>
      <c r="B82" s="6"/>
      <c r="C82" s="1"/>
      <c r="D82" s="48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21.75" customHeight="1" x14ac:dyDescent="0.6">
      <c r="A83" s="1"/>
      <c r="B83" s="6"/>
      <c r="C83" s="1"/>
      <c r="D83" s="48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21.75" customHeight="1" x14ac:dyDescent="0.6">
      <c r="A84" s="1"/>
      <c r="B84" s="6"/>
      <c r="C84" s="1"/>
      <c r="D84" s="48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21.75" customHeight="1" x14ac:dyDescent="0.6">
      <c r="A85" s="1"/>
      <c r="B85" s="6"/>
      <c r="C85" s="1"/>
      <c r="D85" s="48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21.75" customHeight="1" x14ac:dyDescent="0.6">
      <c r="A86" s="1"/>
      <c r="B86" s="6"/>
      <c r="C86" s="1"/>
      <c r="D86" s="48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21.75" customHeight="1" x14ac:dyDescent="0.6">
      <c r="A87" s="1"/>
      <c r="B87" s="6"/>
      <c r="C87" s="1"/>
      <c r="D87" s="48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21.75" customHeight="1" x14ac:dyDescent="0.6">
      <c r="A88" s="1"/>
      <c r="B88" s="6"/>
      <c r="C88" s="1"/>
      <c r="D88" s="48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21.75" customHeight="1" x14ac:dyDescent="0.6">
      <c r="A89" s="1"/>
      <c r="B89" s="6"/>
      <c r="C89" s="1"/>
      <c r="D89" s="48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21.75" customHeight="1" x14ac:dyDescent="0.6">
      <c r="A90" s="1"/>
      <c r="B90" s="6"/>
      <c r="C90" s="1"/>
      <c r="D90" s="48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21.75" customHeight="1" x14ac:dyDescent="0.6">
      <c r="A91" s="1"/>
      <c r="B91" s="6"/>
      <c r="C91" s="1"/>
      <c r="D91" s="48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21.75" customHeight="1" x14ac:dyDescent="0.6">
      <c r="A92" s="1"/>
      <c r="B92" s="6"/>
      <c r="C92" s="1"/>
      <c r="D92" s="48"/>
      <c r="E92" s="3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21.75" customHeight="1" x14ac:dyDescent="0.6">
      <c r="A93" s="1"/>
      <c r="B93" s="6"/>
      <c r="C93" s="1"/>
      <c r="D93" s="48"/>
      <c r="E93" s="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21.75" customHeight="1" x14ac:dyDescent="0.6">
      <c r="A94" s="1"/>
      <c r="B94" s="6"/>
      <c r="C94" s="1"/>
      <c r="D94" s="48"/>
      <c r="E94" s="3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21.75" customHeight="1" x14ac:dyDescent="0.6">
      <c r="A95" s="1"/>
      <c r="B95" s="6"/>
      <c r="C95" s="1"/>
      <c r="D95" s="48"/>
      <c r="E95" s="3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21.75" customHeight="1" x14ac:dyDescent="0.6">
      <c r="A96" s="1"/>
      <c r="B96" s="6"/>
      <c r="C96" s="1"/>
      <c r="D96" s="48"/>
      <c r="E96" s="3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21.75" customHeight="1" x14ac:dyDescent="0.6">
      <c r="A97" s="1"/>
      <c r="B97" s="6"/>
      <c r="C97" s="1"/>
      <c r="D97" s="48"/>
      <c r="E97" s="3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21.75" customHeight="1" x14ac:dyDescent="0.6">
      <c r="A98" s="1"/>
      <c r="B98" s="6"/>
      <c r="C98" s="1"/>
      <c r="D98" s="48"/>
      <c r="E98" s="3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21.75" customHeight="1" x14ac:dyDescent="0.6">
      <c r="A99" s="1"/>
      <c r="B99" s="6"/>
      <c r="C99" s="1"/>
      <c r="D99" s="48"/>
      <c r="E99" s="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21.75" customHeight="1" x14ac:dyDescent="0.6">
      <c r="A100" s="1"/>
      <c r="B100" s="6"/>
      <c r="C100" s="1"/>
      <c r="D100" s="48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21.75" customHeight="1" x14ac:dyDescent="0.6">
      <c r="A101" s="1"/>
      <c r="B101" s="6"/>
      <c r="C101" s="1"/>
      <c r="D101" s="48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21.75" customHeight="1" x14ac:dyDescent="0.6">
      <c r="A102" s="1"/>
      <c r="B102" s="6"/>
      <c r="C102" s="1"/>
      <c r="D102" s="48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21.75" customHeight="1" x14ac:dyDescent="0.6">
      <c r="A103" s="1"/>
      <c r="B103" s="6"/>
      <c r="C103" s="1"/>
      <c r="D103" s="48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21.75" customHeight="1" x14ac:dyDescent="0.6">
      <c r="A104" s="1"/>
      <c r="B104" s="6"/>
      <c r="C104" s="1"/>
      <c r="D104" s="48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21.75" customHeight="1" x14ac:dyDescent="0.6">
      <c r="A105" s="1"/>
      <c r="B105" s="6"/>
      <c r="C105" s="1"/>
      <c r="D105" s="48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21.75" customHeight="1" x14ac:dyDescent="0.6">
      <c r="A106" s="1"/>
      <c r="B106" s="6"/>
      <c r="C106" s="1"/>
      <c r="D106" s="48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21.75" customHeight="1" x14ac:dyDescent="0.6">
      <c r="A107" s="1"/>
      <c r="B107" s="6"/>
      <c r="C107" s="1"/>
      <c r="D107" s="48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21.75" customHeight="1" x14ac:dyDescent="0.6">
      <c r="A108" s="1"/>
      <c r="B108" s="6"/>
      <c r="C108" s="1"/>
      <c r="D108" s="48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21.75" customHeight="1" x14ac:dyDescent="0.6">
      <c r="A109" s="1"/>
      <c r="B109" s="6"/>
      <c r="C109" s="1"/>
      <c r="D109" s="48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21.75" customHeight="1" x14ac:dyDescent="0.6">
      <c r="A110" s="1"/>
      <c r="B110" s="6"/>
      <c r="C110" s="1"/>
      <c r="D110" s="48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21.75" customHeight="1" x14ac:dyDescent="0.6">
      <c r="A111" s="1"/>
      <c r="B111" s="6"/>
      <c r="C111" s="1"/>
      <c r="D111" s="48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21.75" customHeight="1" x14ac:dyDescent="0.6">
      <c r="A112" s="1"/>
      <c r="B112" s="6"/>
      <c r="C112" s="1"/>
      <c r="D112" s="48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21.75" customHeight="1" x14ac:dyDescent="0.6">
      <c r="A113" s="1"/>
      <c r="B113" s="6"/>
      <c r="C113" s="1"/>
      <c r="D113" s="48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21.75" customHeight="1" x14ac:dyDescent="0.6">
      <c r="A114" s="1"/>
      <c r="B114" s="6"/>
      <c r="C114" s="1"/>
      <c r="D114" s="48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21.75" customHeight="1" x14ac:dyDescent="0.6">
      <c r="A115" s="1"/>
      <c r="B115" s="6"/>
      <c r="C115" s="1"/>
      <c r="D115" s="48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21.75" customHeight="1" x14ac:dyDescent="0.6">
      <c r="A116" s="1"/>
      <c r="B116" s="6"/>
      <c r="C116" s="1"/>
      <c r="D116" s="48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21.75" customHeight="1" x14ac:dyDescent="0.6">
      <c r="A117" s="1"/>
      <c r="B117" s="6"/>
      <c r="C117" s="1"/>
      <c r="D117" s="48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21.75" customHeight="1" x14ac:dyDescent="0.6">
      <c r="A118" s="1"/>
      <c r="B118" s="6"/>
      <c r="C118" s="1"/>
      <c r="D118" s="48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21.75" customHeight="1" x14ac:dyDescent="0.6">
      <c r="A119" s="1"/>
      <c r="B119" s="6"/>
      <c r="C119" s="1"/>
      <c r="D119" s="48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21.75" customHeight="1" x14ac:dyDescent="0.6">
      <c r="A120" s="1"/>
      <c r="B120" s="6"/>
      <c r="C120" s="1"/>
      <c r="D120" s="48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21.75" customHeight="1" x14ac:dyDescent="0.6">
      <c r="A121" s="1"/>
      <c r="B121" s="6"/>
      <c r="C121" s="1"/>
      <c r="D121" s="48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21.75" customHeight="1" x14ac:dyDescent="0.6">
      <c r="A122" s="1"/>
      <c r="B122" s="6"/>
      <c r="C122" s="1"/>
      <c r="D122" s="48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21.75" customHeight="1" x14ac:dyDescent="0.6">
      <c r="A123" s="1"/>
      <c r="B123" s="6"/>
      <c r="C123" s="1"/>
      <c r="D123" s="48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21.75" customHeight="1" x14ac:dyDescent="0.6">
      <c r="A124" s="1"/>
      <c r="B124" s="6"/>
      <c r="C124" s="1"/>
      <c r="D124" s="48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21.75" customHeight="1" x14ac:dyDescent="0.6">
      <c r="A125" s="1"/>
      <c r="B125" s="6"/>
      <c r="C125" s="1"/>
      <c r="D125" s="48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21.75" customHeight="1" x14ac:dyDescent="0.6">
      <c r="A126" s="1"/>
      <c r="B126" s="6"/>
      <c r="C126" s="1"/>
      <c r="D126" s="48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21.75" customHeight="1" x14ac:dyDescent="0.6">
      <c r="A127" s="1"/>
      <c r="B127" s="6"/>
      <c r="C127" s="1"/>
      <c r="D127" s="48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21.75" customHeight="1" x14ac:dyDescent="0.6">
      <c r="A128" s="1"/>
      <c r="B128" s="6"/>
      <c r="C128" s="1"/>
      <c r="D128" s="48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21.75" customHeight="1" x14ac:dyDescent="0.6">
      <c r="A129" s="1"/>
      <c r="B129" s="6"/>
      <c r="C129" s="1"/>
      <c r="D129" s="48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21.75" customHeight="1" x14ac:dyDescent="0.6">
      <c r="A130" s="1"/>
      <c r="B130" s="6"/>
      <c r="C130" s="1"/>
      <c r="D130" s="48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21.75" customHeight="1" x14ac:dyDescent="0.6">
      <c r="A131" s="1"/>
      <c r="B131" s="6"/>
      <c r="C131" s="1"/>
      <c r="D131" s="48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21.75" customHeight="1" x14ac:dyDescent="0.6">
      <c r="A132" s="1"/>
      <c r="B132" s="6"/>
      <c r="C132" s="1"/>
      <c r="D132" s="48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21.75" customHeight="1" x14ac:dyDescent="0.6">
      <c r="A133" s="1"/>
      <c r="B133" s="6"/>
      <c r="C133" s="1"/>
      <c r="D133" s="48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21.75" customHeight="1" x14ac:dyDescent="0.6">
      <c r="A134" s="1"/>
      <c r="B134" s="6"/>
      <c r="C134" s="1"/>
      <c r="D134" s="48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21.75" customHeight="1" x14ac:dyDescent="0.6">
      <c r="A135" s="1"/>
      <c r="B135" s="6"/>
      <c r="C135" s="1"/>
      <c r="D135" s="48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21.75" customHeight="1" x14ac:dyDescent="0.6">
      <c r="A136" s="1"/>
      <c r="B136" s="6"/>
      <c r="C136" s="1"/>
      <c r="D136" s="48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21.75" customHeight="1" x14ac:dyDescent="0.6">
      <c r="A137" s="1"/>
      <c r="B137" s="6"/>
      <c r="C137" s="1"/>
      <c r="D137" s="48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21.75" customHeight="1" x14ac:dyDescent="0.6">
      <c r="A138" s="1"/>
      <c r="B138" s="6"/>
      <c r="C138" s="1"/>
      <c r="D138" s="48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21.75" customHeight="1" x14ac:dyDescent="0.6">
      <c r="A139" s="1"/>
      <c r="B139" s="6"/>
      <c r="C139" s="1"/>
      <c r="D139" s="48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21.75" customHeight="1" x14ac:dyDescent="0.6">
      <c r="A140" s="1"/>
      <c r="B140" s="6"/>
      <c r="C140" s="1"/>
      <c r="D140" s="48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21.75" customHeight="1" x14ac:dyDescent="0.6">
      <c r="A141" s="1"/>
      <c r="B141" s="6"/>
      <c r="C141" s="1"/>
      <c r="D141" s="48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21.75" customHeight="1" x14ac:dyDescent="0.6">
      <c r="A142" s="1"/>
      <c r="B142" s="6"/>
      <c r="C142" s="1"/>
      <c r="D142" s="48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21.75" customHeight="1" x14ac:dyDescent="0.6">
      <c r="A143" s="1"/>
      <c r="B143" s="6"/>
      <c r="C143" s="1"/>
      <c r="D143" s="48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21.75" customHeight="1" x14ac:dyDescent="0.6">
      <c r="A144" s="1"/>
      <c r="B144" s="6"/>
      <c r="C144" s="1"/>
      <c r="D144" s="48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21.75" customHeight="1" x14ac:dyDescent="0.6">
      <c r="A145" s="1"/>
      <c r="B145" s="6"/>
      <c r="C145" s="1"/>
      <c r="D145" s="48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21.75" customHeight="1" x14ac:dyDescent="0.6">
      <c r="A146" s="1"/>
      <c r="B146" s="6"/>
      <c r="C146" s="1"/>
      <c r="D146" s="48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21.75" customHeight="1" x14ac:dyDescent="0.6">
      <c r="A147" s="1"/>
      <c r="B147" s="6"/>
      <c r="C147" s="1"/>
      <c r="D147" s="48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21.75" customHeight="1" x14ac:dyDescent="0.6">
      <c r="A148" s="1"/>
      <c r="B148" s="6"/>
      <c r="C148" s="1"/>
      <c r="D148" s="48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21.75" customHeight="1" x14ac:dyDescent="0.6">
      <c r="A149" s="1"/>
      <c r="B149" s="6"/>
      <c r="C149" s="1"/>
      <c r="D149" s="48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21.75" customHeight="1" x14ac:dyDescent="0.6">
      <c r="A150" s="1"/>
      <c r="B150" s="6"/>
      <c r="C150" s="1"/>
      <c r="D150" s="48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21.75" customHeight="1" x14ac:dyDescent="0.6">
      <c r="A151" s="1"/>
      <c r="B151" s="6"/>
      <c r="C151" s="1"/>
      <c r="D151" s="48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21.75" customHeight="1" x14ac:dyDescent="0.6">
      <c r="A152" s="1"/>
      <c r="B152" s="6"/>
      <c r="C152" s="1"/>
      <c r="D152" s="48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21.75" customHeight="1" x14ac:dyDescent="0.6">
      <c r="A153" s="1"/>
      <c r="B153" s="6"/>
      <c r="C153" s="1"/>
      <c r="D153" s="48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21.75" customHeight="1" x14ac:dyDescent="0.6">
      <c r="A154" s="1"/>
      <c r="B154" s="6"/>
      <c r="C154" s="1"/>
      <c r="D154" s="48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21.75" customHeight="1" x14ac:dyDescent="0.6">
      <c r="A155" s="1"/>
      <c r="B155" s="6"/>
      <c r="C155" s="1"/>
      <c r="D155" s="48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21.75" customHeight="1" x14ac:dyDescent="0.6">
      <c r="A156" s="1"/>
      <c r="B156" s="6"/>
      <c r="C156" s="1"/>
      <c r="D156" s="48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21.75" customHeight="1" x14ac:dyDescent="0.6">
      <c r="A157" s="1"/>
      <c r="B157" s="6"/>
      <c r="C157" s="1"/>
      <c r="D157" s="48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21.75" customHeight="1" x14ac:dyDescent="0.6">
      <c r="A158" s="1"/>
      <c r="B158" s="6"/>
      <c r="C158" s="1"/>
      <c r="D158" s="48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21.75" customHeight="1" x14ac:dyDescent="0.6">
      <c r="A159" s="1"/>
      <c r="B159" s="6"/>
      <c r="C159" s="1"/>
      <c r="D159" s="48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21.75" customHeight="1" x14ac:dyDescent="0.6">
      <c r="A160" s="1"/>
      <c r="B160" s="6"/>
      <c r="C160" s="1"/>
      <c r="D160" s="48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21.75" customHeight="1" x14ac:dyDescent="0.6">
      <c r="A161" s="1"/>
      <c r="B161" s="6"/>
      <c r="C161" s="1"/>
      <c r="D161" s="48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21.75" customHeight="1" x14ac:dyDescent="0.6">
      <c r="A162" s="1"/>
      <c r="B162" s="6"/>
      <c r="C162" s="1"/>
      <c r="D162" s="48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21.75" customHeight="1" x14ac:dyDescent="0.6">
      <c r="A163" s="1"/>
      <c r="B163" s="6"/>
      <c r="C163" s="1"/>
      <c r="D163" s="48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21.75" customHeight="1" x14ac:dyDescent="0.6">
      <c r="A164" s="1"/>
      <c r="B164" s="6"/>
      <c r="C164" s="1"/>
      <c r="D164" s="48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21.75" customHeight="1" x14ac:dyDescent="0.6">
      <c r="A165" s="1"/>
      <c r="B165" s="6"/>
      <c r="C165" s="1"/>
      <c r="D165" s="48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21.75" customHeight="1" x14ac:dyDescent="0.6">
      <c r="A166" s="1"/>
      <c r="B166" s="6"/>
      <c r="C166" s="1"/>
      <c r="D166" s="48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21.75" customHeight="1" x14ac:dyDescent="0.6">
      <c r="A167" s="1"/>
      <c r="B167" s="6"/>
      <c r="C167" s="1"/>
      <c r="D167" s="48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21.75" customHeight="1" x14ac:dyDescent="0.6">
      <c r="A168" s="1"/>
      <c r="B168" s="6"/>
      <c r="C168" s="1"/>
      <c r="D168" s="48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21.75" customHeight="1" x14ac:dyDescent="0.6">
      <c r="A169" s="1"/>
      <c r="B169" s="6"/>
      <c r="C169" s="1"/>
      <c r="D169" s="48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21.75" customHeight="1" x14ac:dyDescent="0.6">
      <c r="A170" s="1"/>
      <c r="B170" s="6"/>
      <c r="C170" s="1"/>
      <c r="D170" s="48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21.75" customHeight="1" x14ac:dyDescent="0.6">
      <c r="A171" s="1"/>
      <c r="B171" s="6"/>
      <c r="C171" s="1"/>
      <c r="D171" s="48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21.75" customHeight="1" x14ac:dyDescent="0.6">
      <c r="A172" s="1"/>
      <c r="B172" s="6"/>
      <c r="C172" s="1"/>
      <c r="D172" s="48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21.75" customHeight="1" x14ac:dyDescent="0.6">
      <c r="A173" s="1"/>
      <c r="B173" s="6"/>
      <c r="C173" s="1"/>
      <c r="D173" s="48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21.75" customHeight="1" x14ac:dyDescent="0.6">
      <c r="A174" s="1"/>
      <c r="B174" s="6"/>
      <c r="C174" s="1"/>
      <c r="D174" s="48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21.75" customHeight="1" x14ac:dyDescent="0.6">
      <c r="A175" s="1"/>
      <c r="B175" s="6"/>
      <c r="C175" s="1"/>
      <c r="D175" s="48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21.75" customHeight="1" x14ac:dyDescent="0.6">
      <c r="A176" s="1"/>
      <c r="B176" s="6"/>
      <c r="C176" s="1"/>
      <c r="D176" s="48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21.75" customHeight="1" x14ac:dyDescent="0.6">
      <c r="A177" s="1"/>
      <c r="B177" s="6"/>
      <c r="C177" s="1"/>
      <c r="D177" s="48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21.75" customHeight="1" x14ac:dyDescent="0.6">
      <c r="A178" s="1"/>
      <c r="B178" s="6"/>
      <c r="C178" s="1"/>
      <c r="D178" s="48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21.75" customHeight="1" x14ac:dyDescent="0.6">
      <c r="A179" s="1"/>
      <c r="B179" s="6"/>
      <c r="C179" s="1"/>
      <c r="D179" s="48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21.75" customHeight="1" x14ac:dyDescent="0.6">
      <c r="A180" s="1"/>
      <c r="B180" s="6"/>
      <c r="C180" s="1"/>
      <c r="D180" s="48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21.75" customHeight="1" x14ac:dyDescent="0.6">
      <c r="A181" s="1"/>
      <c r="B181" s="6"/>
      <c r="C181" s="1"/>
      <c r="D181" s="48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21.75" customHeight="1" x14ac:dyDescent="0.6">
      <c r="A182" s="1"/>
      <c r="B182" s="6"/>
      <c r="C182" s="1"/>
      <c r="D182" s="48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21.75" customHeight="1" x14ac:dyDescent="0.6">
      <c r="A183" s="1"/>
      <c r="B183" s="6"/>
      <c r="C183" s="1"/>
      <c r="D183" s="48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21.75" customHeight="1" x14ac:dyDescent="0.6">
      <c r="A184" s="1"/>
      <c r="B184" s="6"/>
      <c r="C184" s="1"/>
      <c r="D184" s="48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21.75" customHeight="1" x14ac:dyDescent="0.6">
      <c r="A185" s="1"/>
      <c r="B185" s="6"/>
      <c r="C185" s="1"/>
      <c r="D185" s="48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21.75" customHeight="1" x14ac:dyDescent="0.6">
      <c r="A186" s="1"/>
      <c r="B186" s="6"/>
      <c r="C186" s="1"/>
      <c r="D186" s="48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21.75" customHeight="1" x14ac:dyDescent="0.6">
      <c r="A187" s="1"/>
      <c r="B187" s="6"/>
      <c r="C187" s="1"/>
      <c r="D187" s="48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21.75" customHeight="1" x14ac:dyDescent="0.6">
      <c r="A188" s="1"/>
      <c r="B188" s="6"/>
      <c r="C188" s="1"/>
      <c r="D188" s="48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21.75" customHeight="1" x14ac:dyDescent="0.6">
      <c r="A189" s="1"/>
      <c r="B189" s="6"/>
      <c r="C189" s="1"/>
      <c r="D189" s="48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21.75" customHeight="1" x14ac:dyDescent="0.6">
      <c r="A190" s="1"/>
      <c r="B190" s="6"/>
      <c r="C190" s="1"/>
      <c r="D190" s="48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21.75" customHeight="1" x14ac:dyDescent="0.6">
      <c r="A191" s="1"/>
      <c r="B191" s="6"/>
      <c r="C191" s="1"/>
      <c r="D191" s="48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21.75" customHeight="1" x14ac:dyDescent="0.6">
      <c r="A192" s="1"/>
      <c r="B192" s="6"/>
      <c r="C192" s="1"/>
      <c r="D192" s="48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21.75" customHeight="1" x14ac:dyDescent="0.6">
      <c r="A193" s="1"/>
      <c r="B193" s="6"/>
      <c r="C193" s="1"/>
      <c r="D193" s="48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21.75" customHeight="1" x14ac:dyDescent="0.6">
      <c r="A194" s="1"/>
      <c r="B194" s="6"/>
      <c r="C194" s="1"/>
      <c r="D194" s="48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21.75" customHeight="1" x14ac:dyDescent="0.6">
      <c r="A195" s="1"/>
      <c r="B195" s="6"/>
      <c r="C195" s="1"/>
      <c r="D195" s="48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21.75" customHeight="1" x14ac:dyDescent="0.6">
      <c r="A196" s="1"/>
      <c r="B196" s="6"/>
      <c r="C196" s="1"/>
      <c r="D196" s="48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21.75" customHeight="1" x14ac:dyDescent="0.6">
      <c r="A197" s="1"/>
      <c r="B197" s="6"/>
      <c r="C197" s="1"/>
      <c r="D197" s="48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21.75" customHeight="1" x14ac:dyDescent="0.6">
      <c r="A198" s="1"/>
      <c r="B198" s="6"/>
      <c r="C198" s="1"/>
      <c r="D198" s="48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21.75" customHeight="1" x14ac:dyDescent="0.6">
      <c r="A199" s="1"/>
      <c r="B199" s="6"/>
      <c r="C199" s="1"/>
      <c r="D199" s="48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21.75" customHeight="1" x14ac:dyDescent="0.6">
      <c r="A200" s="1"/>
      <c r="B200" s="6"/>
      <c r="C200" s="1"/>
      <c r="D200" s="48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21.75" customHeight="1" x14ac:dyDescent="0.6">
      <c r="A201" s="1"/>
      <c r="B201" s="6"/>
      <c r="C201" s="1"/>
      <c r="D201" s="48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21.75" customHeight="1" x14ac:dyDescent="0.6">
      <c r="A202" s="1"/>
      <c r="B202" s="6"/>
      <c r="C202" s="1"/>
      <c r="D202" s="48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21.75" customHeight="1" x14ac:dyDescent="0.6">
      <c r="A203" s="1"/>
      <c r="B203" s="6"/>
      <c r="C203" s="1"/>
      <c r="D203" s="48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21.75" customHeight="1" x14ac:dyDescent="0.6">
      <c r="A204" s="1"/>
      <c r="B204" s="6"/>
      <c r="C204" s="1"/>
      <c r="D204" s="48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21.75" customHeight="1" x14ac:dyDescent="0.6">
      <c r="A205" s="1"/>
      <c r="B205" s="6"/>
      <c r="C205" s="1"/>
      <c r="D205" s="48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21.75" customHeight="1" x14ac:dyDescent="0.6">
      <c r="A206" s="1"/>
      <c r="B206" s="6"/>
      <c r="C206" s="1"/>
      <c r="D206" s="48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21.75" customHeight="1" x14ac:dyDescent="0.6">
      <c r="A207" s="1"/>
      <c r="B207" s="6"/>
      <c r="C207" s="1"/>
      <c r="D207" s="48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21.75" customHeight="1" x14ac:dyDescent="0.6">
      <c r="A208" s="1"/>
      <c r="B208" s="6"/>
      <c r="C208" s="1"/>
      <c r="D208" s="48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21.75" customHeight="1" x14ac:dyDescent="0.6">
      <c r="A209" s="1"/>
      <c r="B209" s="6"/>
      <c r="C209" s="1"/>
      <c r="D209" s="48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21.75" customHeight="1" x14ac:dyDescent="0.6">
      <c r="A210" s="1"/>
      <c r="B210" s="6"/>
      <c r="C210" s="1"/>
      <c r="D210" s="48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21.75" customHeight="1" x14ac:dyDescent="0.6">
      <c r="A211" s="1"/>
      <c r="B211" s="6"/>
      <c r="C211" s="1"/>
      <c r="D211" s="48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21.75" customHeight="1" x14ac:dyDescent="0.6">
      <c r="A212" s="1"/>
      <c r="B212" s="6"/>
      <c r="C212" s="1"/>
      <c r="D212" s="48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21.75" customHeight="1" x14ac:dyDescent="0.6">
      <c r="A213" s="1"/>
      <c r="B213" s="6"/>
      <c r="C213" s="1"/>
      <c r="D213" s="48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21.75" customHeight="1" x14ac:dyDescent="0.6">
      <c r="A214" s="1"/>
      <c r="B214" s="6"/>
      <c r="C214" s="1"/>
      <c r="D214" s="48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21.75" customHeight="1" x14ac:dyDescent="0.6">
      <c r="A215" s="1"/>
      <c r="B215" s="6"/>
      <c r="C215" s="1"/>
      <c r="D215" s="48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21.75" customHeight="1" x14ac:dyDescent="0.6">
      <c r="A216" s="1"/>
      <c r="B216" s="6"/>
      <c r="C216" s="1"/>
      <c r="D216" s="48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21.75" customHeight="1" x14ac:dyDescent="0.6">
      <c r="A217" s="1"/>
      <c r="B217" s="6"/>
      <c r="C217" s="1"/>
      <c r="D217" s="48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21.75" customHeight="1" x14ac:dyDescent="0.6">
      <c r="A218" s="1"/>
      <c r="B218" s="6"/>
      <c r="C218" s="1"/>
      <c r="D218" s="48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21.75" customHeight="1" x14ac:dyDescent="0.6">
      <c r="A219" s="1"/>
      <c r="B219" s="6"/>
      <c r="C219" s="1"/>
      <c r="D219" s="48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21.75" customHeight="1" x14ac:dyDescent="0.6">
      <c r="A220" s="1"/>
      <c r="B220" s="6"/>
      <c r="C220" s="1"/>
      <c r="D220" s="48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21.75" customHeight="1" x14ac:dyDescent="0.6">
      <c r="A221" s="1"/>
      <c r="B221" s="6"/>
      <c r="C221" s="1"/>
      <c r="D221" s="48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21.75" customHeight="1" x14ac:dyDescent="0.6">
      <c r="A222" s="1"/>
      <c r="B222" s="6"/>
      <c r="C222" s="1"/>
      <c r="D222" s="48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21.75" customHeight="1" x14ac:dyDescent="0.6">
      <c r="A223" s="1"/>
      <c r="B223" s="6"/>
      <c r="C223" s="1"/>
      <c r="D223" s="48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21.75" customHeight="1" x14ac:dyDescent="0.6">
      <c r="A224" s="1"/>
      <c r="B224" s="6"/>
      <c r="C224" s="1"/>
      <c r="D224" s="48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21.75" customHeight="1" x14ac:dyDescent="0.6">
      <c r="A225" s="1"/>
      <c r="B225" s="6"/>
      <c r="C225" s="1"/>
      <c r="D225" s="48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21.75" customHeight="1" x14ac:dyDescent="0.6">
      <c r="A226" s="1"/>
      <c r="B226" s="6"/>
      <c r="C226" s="1"/>
      <c r="D226" s="48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21.75" customHeight="1" x14ac:dyDescent="0.6">
      <c r="A227" s="1"/>
      <c r="B227" s="6"/>
      <c r="C227" s="1"/>
      <c r="D227" s="48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21.75" customHeight="1" x14ac:dyDescent="0.6">
      <c r="A228" s="1"/>
      <c r="B228" s="6"/>
      <c r="C228" s="1"/>
      <c r="D228" s="48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21.75" customHeight="1" x14ac:dyDescent="0.6">
      <c r="A229" s="1"/>
      <c r="B229" s="6"/>
      <c r="C229" s="1"/>
      <c r="D229" s="48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21.75" customHeight="1" x14ac:dyDescent="0.6">
      <c r="A230" s="1"/>
      <c r="B230" s="6"/>
      <c r="C230" s="1"/>
      <c r="D230" s="48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21.75" customHeight="1" x14ac:dyDescent="0.6">
      <c r="A231" s="1"/>
      <c r="B231" s="6"/>
      <c r="C231" s="1"/>
      <c r="D231" s="48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21.75" customHeight="1" x14ac:dyDescent="0.6">
      <c r="A232" s="1"/>
      <c r="B232" s="6"/>
      <c r="C232" s="1"/>
      <c r="D232" s="48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21.75" customHeight="1" x14ac:dyDescent="0.6">
      <c r="A233" s="1"/>
      <c r="B233" s="6"/>
      <c r="C233" s="1"/>
      <c r="D233" s="48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21.75" customHeight="1" x14ac:dyDescent="0.6">
      <c r="A234" s="1"/>
      <c r="B234" s="6"/>
      <c r="C234" s="1"/>
      <c r="D234" s="48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21.75" customHeight="1" x14ac:dyDescent="0.6">
      <c r="A235" s="1"/>
      <c r="B235" s="6"/>
      <c r="C235" s="1"/>
      <c r="D235" s="48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21.75" customHeight="1" x14ac:dyDescent="0.6">
      <c r="A236" s="1"/>
      <c r="B236" s="6"/>
      <c r="C236" s="1"/>
      <c r="D236" s="48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21.75" customHeight="1" x14ac:dyDescent="0.6">
      <c r="A237" s="1"/>
      <c r="B237" s="6"/>
      <c r="C237" s="1"/>
      <c r="D237" s="48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21.75" customHeight="1" x14ac:dyDescent="0.6">
      <c r="A238" s="1"/>
      <c r="B238" s="6"/>
      <c r="C238" s="1"/>
      <c r="D238" s="48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21.75" customHeight="1" x14ac:dyDescent="0.6">
      <c r="A239" s="1"/>
      <c r="B239" s="6"/>
      <c r="C239" s="1"/>
      <c r="D239" s="48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21.75" customHeight="1" x14ac:dyDescent="0.6">
      <c r="A240" s="1"/>
      <c r="B240" s="6"/>
      <c r="C240" s="1"/>
      <c r="D240" s="48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21.75" customHeight="1" x14ac:dyDescent="0.6">
      <c r="A241" s="1"/>
      <c r="B241" s="6"/>
      <c r="C241" s="1"/>
      <c r="D241" s="48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21.75" customHeight="1" x14ac:dyDescent="0.6">
      <c r="A242" s="1"/>
      <c r="B242" s="6"/>
      <c r="C242" s="1"/>
      <c r="D242" s="48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21.75" customHeight="1" x14ac:dyDescent="0.6">
      <c r="A243" s="1"/>
      <c r="B243" s="6"/>
      <c r="C243" s="1"/>
      <c r="D243" s="48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21.75" customHeight="1" x14ac:dyDescent="0.6">
      <c r="A244" s="1"/>
      <c r="B244" s="6"/>
      <c r="C244" s="1"/>
      <c r="D244" s="48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21.75" customHeight="1" x14ac:dyDescent="0.6">
      <c r="A245" s="1"/>
      <c r="B245" s="6"/>
      <c r="C245" s="1"/>
      <c r="D245" s="48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21.75" customHeight="1" x14ac:dyDescent="0.6">
      <c r="A246" s="1"/>
      <c r="B246" s="6"/>
      <c r="C246" s="1"/>
      <c r="D246" s="48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21.75" customHeight="1" x14ac:dyDescent="0.6">
      <c r="A247" s="1"/>
      <c r="B247" s="6"/>
      <c r="C247" s="1"/>
      <c r="D247" s="48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21.75" customHeight="1" x14ac:dyDescent="0.6">
      <c r="A248" s="1"/>
      <c r="B248" s="6"/>
      <c r="C248" s="1"/>
      <c r="D248" s="48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21.75" customHeight="1" x14ac:dyDescent="0.6">
      <c r="A249" s="1"/>
      <c r="B249" s="6"/>
      <c r="C249" s="1"/>
      <c r="D249" s="48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21.75" customHeight="1" x14ac:dyDescent="0.6">
      <c r="A250" s="1"/>
      <c r="B250" s="6"/>
      <c r="C250" s="1"/>
      <c r="D250" s="48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21.75" customHeight="1" x14ac:dyDescent="0.6">
      <c r="A251" s="1"/>
      <c r="B251" s="6"/>
      <c r="C251" s="1"/>
      <c r="D251" s="48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21.75" customHeight="1" x14ac:dyDescent="0.6">
      <c r="A252" s="1"/>
      <c r="B252" s="6"/>
      <c r="C252" s="1"/>
      <c r="D252" s="48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21.75" customHeight="1" x14ac:dyDescent="0.6">
      <c r="A253" s="1"/>
      <c r="B253" s="6"/>
      <c r="C253" s="1"/>
      <c r="D253" s="48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21.75" customHeight="1" x14ac:dyDescent="0.6">
      <c r="A254" s="1"/>
      <c r="B254" s="6"/>
      <c r="C254" s="1"/>
      <c r="D254" s="48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21.75" customHeight="1" x14ac:dyDescent="0.6">
      <c r="A255" s="1"/>
      <c r="B255" s="6"/>
      <c r="C255" s="1"/>
      <c r="D255" s="48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21.75" customHeight="1" x14ac:dyDescent="0.6">
      <c r="A256" s="1"/>
      <c r="B256" s="6"/>
      <c r="C256" s="1"/>
      <c r="D256" s="48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21.75" customHeight="1" x14ac:dyDescent="0.6">
      <c r="A257" s="1"/>
      <c r="B257" s="6"/>
      <c r="C257" s="1"/>
      <c r="D257" s="48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21.75" customHeight="1" x14ac:dyDescent="0.6">
      <c r="A258" s="1"/>
      <c r="B258" s="6"/>
      <c r="C258" s="1"/>
      <c r="D258" s="48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21.75" customHeight="1" x14ac:dyDescent="0.6">
      <c r="A259" s="1"/>
      <c r="B259" s="6"/>
      <c r="C259" s="1"/>
      <c r="D259" s="48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21.75" customHeight="1" x14ac:dyDescent="0.6">
      <c r="A260" s="1"/>
      <c r="B260" s="6"/>
      <c r="C260" s="1"/>
      <c r="D260" s="48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21.75" customHeight="1" x14ac:dyDescent="0.6">
      <c r="A261" s="1"/>
      <c r="B261" s="6"/>
      <c r="C261" s="1"/>
      <c r="D261" s="48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21.75" customHeight="1" x14ac:dyDescent="0.6">
      <c r="A262" s="1"/>
      <c r="B262" s="6"/>
      <c r="C262" s="1"/>
      <c r="D262" s="48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21.75" customHeight="1" x14ac:dyDescent="0.6">
      <c r="A263" s="1"/>
      <c r="B263" s="6"/>
      <c r="C263" s="1"/>
      <c r="D263" s="48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21.75" customHeight="1" x14ac:dyDescent="0.6">
      <c r="A264" s="1"/>
      <c r="B264" s="6"/>
      <c r="C264" s="1"/>
      <c r="D264" s="48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21.75" customHeight="1" x14ac:dyDescent="0.6">
      <c r="A265" s="1"/>
      <c r="B265" s="6"/>
      <c r="C265" s="1"/>
      <c r="D265" s="48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21.75" customHeight="1" x14ac:dyDescent="0.6">
      <c r="A266" s="1"/>
      <c r="B266" s="6"/>
      <c r="C266" s="1"/>
      <c r="D266" s="48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21.75" customHeight="1" x14ac:dyDescent="0.6">
      <c r="A267" s="1"/>
      <c r="B267" s="6"/>
      <c r="C267" s="1"/>
      <c r="D267" s="48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21.75" customHeight="1" x14ac:dyDescent="0.6">
      <c r="A268" s="1"/>
      <c r="B268" s="6"/>
      <c r="C268" s="1"/>
      <c r="D268" s="48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21.75" customHeight="1" x14ac:dyDescent="0.6">
      <c r="A269" s="1"/>
      <c r="B269" s="6"/>
      <c r="C269" s="1"/>
      <c r="D269" s="48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21.75" customHeight="1" x14ac:dyDescent="0.6">
      <c r="A270" s="1"/>
      <c r="B270" s="6"/>
      <c r="C270" s="1"/>
      <c r="D270" s="48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21.75" customHeight="1" x14ac:dyDescent="0.6">
      <c r="A271" s="1"/>
      <c r="B271" s="6"/>
      <c r="C271" s="1"/>
      <c r="D271" s="48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21.75" customHeight="1" x14ac:dyDescent="0.6">
      <c r="A272" s="1"/>
      <c r="B272" s="6"/>
      <c r="C272" s="1"/>
      <c r="D272" s="48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21.75" customHeight="1" x14ac:dyDescent="0.6">
      <c r="A273" s="1"/>
      <c r="B273" s="6"/>
      <c r="C273" s="1"/>
      <c r="D273" s="48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21.75" customHeight="1" x14ac:dyDescent="0.6">
      <c r="A274" s="1"/>
      <c r="B274" s="6"/>
      <c r="C274" s="1"/>
      <c r="D274" s="48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21.75" customHeight="1" x14ac:dyDescent="0.6">
      <c r="A275" s="1"/>
      <c r="B275" s="6"/>
      <c r="C275" s="1"/>
      <c r="D275" s="48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21.75" customHeight="1" x14ac:dyDescent="0.6">
      <c r="A276" s="1"/>
      <c r="B276" s="6"/>
      <c r="C276" s="1"/>
      <c r="D276" s="48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21.75" customHeight="1" x14ac:dyDescent="0.6">
      <c r="A277" s="1"/>
      <c r="B277" s="6"/>
      <c r="C277" s="1"/>
      <c r="D277" s="48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21.75" customHeight="1" x14ac:dyDescent="0.6">
      <c r="A278" s="1"/>
      <c r="B278" s="6"/>
      <c r="C278" s="1"/>
      <c r="D278" s="48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21.75" customHeight="1" x14ac:dyDescent="0.6">
      <c r="A279" s="1"/>
      <c r="B279" s="6"/>
      <c r="C279" s="1"/>
      <c r="D279" s="48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21.75" customHeight="1" x14ac:dyDescent="0.6">
      <c r="A280" s="1"/>
      <c r="B280" s="6"/>
      <c r="C280" s="1"/>
      <c r="D280" s="48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21.75" customHeight="1" x14ac:dyDescent="0.6">
      <c r="A281" s="1"/>
      <c r="B281" s="6"/>
      <c r="C281" s="1"/>
      <c r="D281" s="48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21.75" customHeight="1" x14ac:dyDescent="0.6">
      <c r="A282" s="1"/>
      <c r="B282" s="6"/>
      <c r="C282" s="1"/>
      <c r="D282" s="48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21.75" customHeight="1" x14ac:dyDescent="0.6">
      <c r="A283" s="1"/>
      <c r="B283" s="6"/>
      <c r="C283" s="1"/>
      <c r="D283" s="48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21.75" customHeight="1" x14ac:dyDescent="0.6">
      <c r="A284" s="1"/>
      <c r="B284" s="6"/>
      <c r="C284" s="1"/>
      <c r="D284" s="48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21.75" customHeight="1" x14ac:dyDescent="0.6">
      <c r="A285" s="1"/>
      <c r="B285" s="6"/>
      <c r="C285" s="1"/>
      <c r="D285" s="48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21.75" customHeight="1" x14ac:dyDescent="0.6">
      <c r="A286" s="1"/>
      <c r="B286" s="6"/>
      <c r="C286" s="1"/>
      <c r="D286" s="48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21.75" customHeight="1" x14ac:dyDescent="0.6">
      <c r="A287" s="1"/>
      <c r="B287" s="6"/>
      <c r="C287" s="1"/>
      <c r="D287" s="48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21.75" customHeight="1" x14ac:dyDescent="0.6">
      <c r="A288" s="1"/>
      <c r="B288" s="6"/>
      <c r="C288" s="1"/>
      <c r="D288" s="48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21.75" customHeight="1" x14ac:dyDescent="0.6">
      <c r="A289" s="1"/>
      <c r="B289" s="6"/>
      <c r="C289" s="1"/>
      <c r="D289" s="48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21.75" customHeight="1" x14ac:dyDescent="0.6">
      <c r="A290" s="1"/>
      <c r="B290" s="6"/>
      <c r="C290" s="1"/>
      <c r="D290" s="48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21.75" customHeight="1" x14ac:dyDescent="0.6">
      <c r="A291" s="1"/>
      <c r="B291" s="6"/>
      <c r="C291" s="1"/>
      <c r="D291" s="48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21.75" customHeight="1" x14ac:dyDescent="0.6">
      <c r="A292" s="1"/>
      <c r="B292" s="6"/>
      <c r="C292" s="1"/>
      <c r="D292" s="48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21.75" customHeight="1" x14ac:dyDescent="0.6">
      <c r="A293" s="1"/>
      <c r="B293" s="6"/>
      <c r="C293" s="1"/>
      <c r="D293" s="48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21.75" customHeight="1" x14ac:dyDescent="0.6">
      <c r="A294" s="1"/>
      <c r="B294" s="6"/>
      <c r="C294" s="1"/>
      <c r="D294" s="48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21.75" customHeight="1" x14ac:dyDescent="0.6">
      <c r="A295" s="1"/>
      <c r="B295" s="6"/>
      <c r="C295" s="1"/>
      <c r="D295" s="48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21.75" customHeight="1" x14ac:dyDescent="0.6">
      <c r="A296" s="1"/>
      <c r="B296" s="6"/>
      <c r="C296" s="1"/>
      <c r="D296" s="48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21.75" customHeight="1" x14ac:dyDescent="0.6">
      <c r="A297" s="1"/>
      <c r="B297" s="6"/>
      <c r="C297" s="1"/>
      <c r="D297" s="48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21.75" customHeight="1" x14ac:dyDescent="0.6">
      <c r="A298" s="1"/>
      <c r="B298" s="6"/>
      <c r="C298" s="1"/>
      <c r="D298" s="48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21.75" customHeight="1" x14ac:dyDescent="0.6">
      <c r="A299" s="1"/>
      <c r="B299" s="6"/>
      <c r="C299" s="1"/>
      <c r="D299" s="48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21.75" customHeight="1" x14ac:dyDescent="0.6">
      <c r="A300" s="1"/>
      <c r="B300" s="6"/>
      <c r="C300" s="1"/>
      <c r="D300" s="48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21.75" customHeight="1" x14ac:dyDescent="0.6">
      <c r="A301" s="1"/>
      <c r="B301" s="6"/>
      <c r="C301" s="1"/>
      <c r="D301" s="48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21.75" customHeight="1" x14ac:dyDescent="0.6">
      <c r="A302" s="1"/>
      <c r="B302" s="6"/>
      <c r="C302" s="1"/>
      <c r="D302" s="48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21.75" customHeight="1" x14ac:dyDescent="0.6">
      <c r="A303" s="1"/>
      <c r="B303" s="6"/>
      <c r="C303" s="1"/>
      <c r="D303" s="48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21.75" customHeight="1" x14ac:dyDescent="0.6">
      <c r="A304" s="1"/>
      <c r="B304" s="6"/>
      <c r="C304" s="1"/>
      <c r="D304" s="48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21.75" customHeight="1" x14ac:dyDescent="0.6">
      <c r="A305" s="1"/>
      <c r="B305" s="6"/>
      <c r="C305" s="1"/>
      <c r="D305" s="48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21.75" customHeight="1" x14ac:dyDescent="0.6">
      <c r="A306" s="1"/>
      <c r="B306" s="6"/>
      <c r="C306" s="1"/>
      <c r="D306" s="48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21.75" customHeight="1" x14ac:dyDescent="0.6">
      <c r="A307" s="1"/>
      <c r="B307" s="6"/>
      <c r="C307" s="1"/>
      <c r="D307" s="48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21.75" customHeight="1" x14ac:dyDescent="0.6">
      <c r="A308" s="1"/>
      <c r="B308" s="6"/>
      <c r="C308" s="1"/>
      <c r="D308" s="48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21.75" customHeight="1" x14ac:dyDescent="0.6">
      <c r="A309" s="1"/>
      <c r="B309" s="6"/>
      <c r="C309" s="1"/>
      <c r="D309" s="48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21.75" customHeight="1" x14ac:dyDescent="0.6">
      <c r="A310" s="1"/>
      <c r="B310" s="6"/>
      <c r="C310" s="1"/>
      <c r="D310" s="48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21.75" customHeight="1" x14ac:dyDescent="0.6">
      <c r="A311" s="1"/>
      <c r="B311" s="6"/>
      <c r="C311" s="1"/>
      <c r="D311" s="48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21.75" customHeight="1" x14ac:dyDescent="0.6">
      <c r="A312" s="1"/>
      <c r="B312" s="6"/>
      <c r="C312" s="1"/>
      <c r="D312" s="48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21.75" customHeight="1" x14ac:dyDescent="0.6">
      <c r="A313" s="1"/>
      <c r="B313" s="6"/>
      <c r="C313" s="1"/>
      <c r="D313" s="48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21.75" customHeight="1" x14ac:dyDescent="0.6">
      <c r="A314" s="1"/>
      <c r="B314" s="6"/>
      <c r="C314" s="1"/>
      <c r="D314" s="48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21.75" customHeight="1" x14ac:dyDescent="0.6">
      <c r="A315" s="1"/>
      <c r="B315" s="6"/>
      <c r="C315" s="1"/>
      <c r="D315" s="48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21.75" customHeight="1" x14ac:dyDescent="0.6">
      <c r="A316" s="1"/>
      <c r="B316" s="6"/>
      <c r="C316" s="1"/>
      <c r="D316" s="48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21.75" customHeight="1" x14ac:dyDescent="0.6">
      <c r="A317" s="1"/>
      <c r="B317" s="6"/>
      <c r="C317" s="1"/>
      <c r="D317" s="48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21.75" customHeight="1" x14ac:dyDescent="0.6">
      <c r="A318" s="1"/>
      <c r="B318" s="6"/>
      <c r="C318" s="1"/>
      <c r="D318" s="48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21.75" customHeight="1" x14ac:dyDescent="0.6">
      <c r="A319" s="1"/>
      <c r="B319" s="6"/>
      <c r="C319" s="1"/>
      <c r="D319" s="48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21.75" customHeight="1" x14ac:dyDescent="0.6">
      <c r="A320" s="1"/>
      <c r="B320" s="6"/>
      <c r="C320" s="1"/>
      <c r="D320" s="48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21.75" customHeight="1" x14ac:dyDescent="0.6">
      <c r="A321" s="1"/>
      <c r="B321" s="6"/>
      <c r="C321" s="1"/>
      <c r="D321" s="48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21.75" customHeight="1" x14ac:dyDescent="0.6">
      <c r="A322" s="1"/>
      <c r="B322" s="6"/>
      <c r="C322" s="1"/>
      <c r="D322" s="48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21.75" customHeight="1" x14ac:dyDescent="0.6">
      <c r="A323" s="1"/>
      <c r="B323" s="6"/>
      <c r="C323" s="1"/>
      <c r="D323" s="48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21.75" customHeight="1" x14ac:dyDescent="0.6">
      <c r="A324" s="1"/>
      <c r="B324" s="6"/>
      <c r="C324" s="1"/>
      <c r="D324" s="48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21.75" customHeight="1" x14ac:dyDescent="0.6">
      <c r="A325" s="1"/>
      <c r="B325" s="6"/>
      <c r="C325" s="1"/>
      <c r="D325" s="48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21.75" customHeight="1" x14ac:dyDescent="0.6">
      <c r="A326" s="1"/>
      <c r="B326" s="6"/>
      <c r="C326" s="1"/>
      <c r="D326" s="48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21.75" customHeight="1" x14ac:dyDescent="0.6">
      <c r="A327" s="1"/>
      <c r="B327" s="6"/>
      <c r="C327" s="1"/>
      <c r="D327" s="48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21.75" customHeight="1" x14ac:dyDescent="0.6">
      <c r="A328" s="1"/>
      <c r="B328" s="6"/>
      <c r="C328" s="1"/>
      <c r="D328" s="48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21.75" customHeight="1" x14ac:dyDescent="0.6">
      <c r="A329" s="1"/>
      <c r="B329" s="6"/>
      <c r="C329" s="1"/>
      <c r="D329" s="48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21.75" customHeight="1" x14ac:dyDescent="0.6">
      <c r="A330" s="1"/>
      <c r="B330" s="6"/>
      <c r="C330" s="1"/>
      <c r="D330" s="48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21.75" customHeight="1" x14ac:dyDescent="0.6">
      <c r="A331" s="1"/>
      <c r="B331" s="6"/>
      <c r="C331" s="1"/>
      <c r="D331" s="48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21.75" customHeight="1" x14ac:dyDescent="0.6">
      <c r="A332" s="1"/>
      <c r="B332" s="6"/>
      <c r="C332" s="1"/>
      <c r="D332" s="48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21.75" customHeight="1" x14ac:dyDescent="0.6">
      <c r="A333" s="1"/>
      <c r="B333" s="6"/>
      <c r="C333" s="1"/>
      <c r="D333" s="48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21.75" customHeight="1" x14ac:dyDescent="0.6">
      <c r="A334" s="1"/>
      <c r="B334" s="6"/>
      <c r="C334" s="1"/>
      <c r="D334" s="48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21.75" customHeight="1" x14ac:dyDescent="0.6">
      <c r="A335" s="1"/>
      <c r="B335" s="6"/>
      <c r="C335" s="1"/>
      <c r="D335" s="48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21.75" customHeight="1" x14ac:dyDescent="0.6">
      <c r="A336" s="1"/>
      <c r="B336" s="6"/>
      <c r="C336" s="1"/>
      <c r="D336" s="48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21.75" customHeight="1" x14ac:dyDescent="0.6">
      <c r="A337" s="1"/>
      <c r="B337" s="6"/>
      <c r="C337" s="1"/>
      <c r="D337" s="48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21.75" customHeight="1" x14ac:dyDescent="0.6">
      <c r="A338" s="1"/>
      <c r="B338" s="6"/>
      <c r="C338" s="1"/>
      <c r="D338" s="48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21.75" customHeight="1" x14ac:dyDescent="0.6">
      <c r="A339" s="1"/>
      <c r="B339" s="6"/>
      <c r="C339" s="1"/>
      <c r="D339" s="48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21.75" customHeight="1" x14ac:dyDescent="0.6">
      <c r="A340" s="1"/>
      <c r="B340" s="6"/>
      <c r="C340" s="1"/>
      <c r="D340" s="48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21.75" customHeight="1" x14ac:dyDescent="0.6">
      <c r="A341" s="1"/>
      <c r="B341" s="6"/>
      <c r="C341" s="1"/>
      <c r="D341" s="48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21.75" customHeight="1" x14ac:dyDescent="0.6">
      <c r="A342" s="1"/>
      <c r="B342" s="6"/>
      <c r="C342" s="1"/>
      <c r="D342" s="48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21.75" customHeight="1" x14ac:dyDescent="0.6">
      <c r="A343" s="1"/>
      <c r="B343" s="6"/>
      <c r="C343" s="1"/>
      <c r="D343" s="48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21.75" customHeight="1" x14ac:dyDescent="0.6">
      <c r="A344" s="1"/>
      <c r="B344" s="6"/>
      <c r="C344" s="1"/>
      <c r="D344" s="48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21.75" customHeight="1" x14ac:dyDescent="0.6">
      <c r="A345" s="1"/>
      <c r="B345" s="6"/>
      <c r="C345" s="1"/>
      <c r="D345" s="48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21.75" customHeight="1" x14ac:dyDescent="0.6">
      <c r="A346" s="1"/>
      <c r="B346" s="6"/>
      <c r="C346" s="1"/>
      <c r="D346" s="48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21.75" customHeight="1" x14ac:dyDescent="0.6">
      <c r="A347" s="1"/>
      <c r="B347" s="6"/>
      <c r="C347" s="1"/>
      <c r="D347" s="48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21.75" customHeight="1" x14ac:dyDescent="0.6">
      <c r="A348" s="1"/>
      <c r="B348" s="6"/>
      <c r="C348" s="1"/>
      <c r="D348" s="48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21.75" customHeight="1" x14ac:dyDescent="0.6">
      <c r="A349" s="1"/>
      <c r="B349" s="6"/>
      <c r="C349" s="1"/>
      <c r="D349" s="48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21.75" customHeight="1" x14ac:dyDescent="0.6">
      <c r="A350" s="1"/>
      <c r="B350" s="6"/>
      <c r="C350" s="1"/>
      <c r="D350" s="48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21.75" customHeight="1" x14ac:dyDescent="0.6">
      <c r="A351" s="1"/>
      <c r="B351" s="6"/>
      <c r="C351" s="1"/>
      <c r="D351" s="48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21.75" customHeight="1" x14ac:dyDescent="0.6">
      <c r="A352" s="1"/>
      <c r="B352" s="6"/>
      <c r="C352" s="1"/>
      <c r="D352" s="48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21.75" customHeight="1" x14ac:dyDescent="0.6">
      <c r="A353" s="1"/>
      <c r="B353" s="6"/>
      <c r="C353" s="1"/>
      <c r="D353" s="48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21.75" customHeight="1" x14ac:dyDescent="0.6">
      <c r="A354" s="1"/>
      <c r="B354" s="6"/>
      <c r="C354" s="1"/>
      <c r="D354" s="48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21.75" customHeight="1" x14ac:dyDescent="0.6">
      <c r="A355" s="1"/>
      <c r="B355" s="6"/>
      <c r="C355" s="1"/>
      <c r="D355" s="48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21.75" customHeight="1" x14ac:dyDescent="0.6">
      <c r="A356" s="1"/>
      <c r="B356" s="6"/>
      <c r="C356" s="1"/>
      <c r="D356" s="48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21.75" customHeight="1" x14ac:dyDescent="0.6">
      <c r="A357" s="1"/>
      <c r="B357" s="6"/>
      <c r="C357" s="1"/>
      <c r="D357" s="48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21.75" customHeight="1" x14ac:dyDescent="0.6">
      <c r="A358" s="1"/>
      <c r="B358" s="6"/>
      <c r="C358" s="1"/>
      <c r="D358" s="48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21.75" customHeight="1" x14ac:dyDescent="0.6">
      <c r="A359" s="1"/>
      <c r="B359" s="6"/>
      <c r="C359" s="1"/>
      <c r="D359" s="48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21.75" customHeight="1" x14ac:dyDescent="0.6">
      <c r="A360" s="1"/>
      <c r="B360" s="6"/>
      <c r="C360" s="1"/>
      <c r="D360" s="48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21.75" customHeight="1" x14ac:dyDescent="0.6">
      <c r="A361" s="1"/>
      <c r="B361" s="6"/>
      <c r="C361" s="1"/>
      <c r="D361" s="48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21.75" customHeight="1" x14ac:dyDescent="0.6">
      <c r="A362" s="1"/>
      <c r="B362" s="6"/>
      <c r="C362" s="1"/>
      <c r="D362" s="48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21.75" customHeight="1" x14ac:dyDescent="0.6">
      <c r="A363" s="1"/>
      <c r="B363" s="6"/>
      <c r="C363" s="1"/>
      <c r="D363" s="48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21.75" customHeight="1" x14ac:dyDescent="0.6">
      <c r="A364" s="1"/>
      <c r="B364" s="6"/>
      <c r="C364" s="1"/>
      <c r="D364" s="48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21.75" customHeight="1" x14ac:dyDescent="0.6">
      <c r="A365" s="1"/>
      <c r="B365" s="6"/>
      <c r="C365" s="1"/>
      <c r="D365" s="48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21.75" customHeight="1" x14ac:dyDescent="0.6">
      <c r="A366" s="1"/>
      <c r="B366" s="6"/>
      <c r="C366" s="1"/>
      <c r="D366" s="48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21.75" customHeight="1" x14ac:dyDescent="0.6">
      <c r="A367" s="1"/>
      <c r="B367" s="6"/>
      <c r="C367" s="1"/>
      <c r="D367" s="48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21.75" customHeight="1" x14ac:dyDescent="0.6">
      <c r="A368" s="1"/>
      <c r="B368" s="6"/>
      <c r="C368" s="1"/>
      <c r="D368" s="48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21.75" customHeight="1" x14ac:dyDescent="0.6">
      <c r="A369" s="1"/>
      <c r="B369" s="6"/>
      <c r="C369" s="1"/>
      <c r="D369" s="48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21.75" customHeight="1" x14ac:dyDescent="0.6">
      <c r="A370" s="1"/>
      <c r="B370" s="6"/>
      <c r="C370" s="1"/>
      <c r="D370" s="48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21.75" customHeight="1" x14ac:dyDescent="0.6">
      <c r="A371" s="1"/>
      <c r="B371" s="6"/>
      <c r="C371" s="1"/>
      <c r="D371" s="48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21.75" customHeight="1" x14ac:dyDescent="0.6">
      <c r="A372" s="1"/>
      <c r="B372" s="6"/>
      <c r="C372" s="1"/>
      <c r="D372" s="48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21.75" customHeight="1" x14ac:dyDescent="0.6">
      <c r="A373" s="1"/>
      <c r="B373" s="6"/>
      <c r="C373" s="1"/>
      <c r="D373" s="48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21.75" customHeight="1" x14ac:dyDescent="0.6">
      <c r="A374" s="1"/>
      <c r="B374" s="6"/>
      <c r="C374" s="1"/>
      <c r="D374" s="48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21.75" customHeight="1" x14ac:dyDescent="0.6">
      <c r="A375" s="1"/>
      <c r="B375" s="6"/>
      <c r="C375" s="1"/>
      <c r="D375" s="48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21.75" customHeight="1" x14ac:dyDescent="0.6">
      <c r="A376" s="1"/>
      <c r="B376" s="6"/>
      <c r="C376" s="1"/>
      <c r="D376" s="48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21.75" customHeight="1" x14ac:dyDescent="0.6">
      <c r="A377" s="1"/>
      <c r="B377" s="6"/>
      <c r="C377" s="1"/>
      <c r="D377" s="48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21.75" customHeight="1" x14ac:dyDescent="0.6">
      <c r="A378" s="1"/>
      <c r="B378" s="6"/>
      <c r="C378" s="1"/>
      <c r="D378" s="48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21.75" customHeight="1" x14ac:dyDescent="0.6">
      <c r="A379" s="1"/>
      <c r="B379" s="6"/>
      <c r="C379" s="1"/>
      <c r="D379" s="48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21.75" customHeight="1" x14ac:dyDescent="0.6">
      <c r="A380" s="1"/>
      <c r="B380" s="6"/>
      <c r="C380" s="1"/>
      <c r="D380" s="48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21.75" customHeight="1" x14ac:dyDescent="0.6">
      <c r="A381" s="1"/>
      <c r="B381" s="6"/>
      <c r="C381" s="1"/>
      <c r="D381" s="48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21.75" customHeight="1" x14ac:dyDescent="0.6">
      <c r="A382" s="1"/>
      <c r="B382" s="6"/>
      <c r="C382" s="1"/>
      <c r="D382" s="48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21.75" customHeight="1" x14ac:dyDescent="0.6">
      <c r="A383" s="1"/>
      <c r="B383" s="6"/>
      <c r="C383" s="1"/>
      <c r="D383" s="48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21.75" customHeight="1" x14ac:dyDescent="0.6">
      <c r="A384" s="1"/>
      <c r="B384" s="6"/>
      <c r="C384" s="1"/>
      <c r="D384" s="48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21.75" customHeight="1" x14ac:dyDescent="0.6">
      <c r="A385" s="1"/>
      <c r="B385" s="6"/>
      <c r="C385" s="1"/>
      <c r="D385" s="48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21.75" customHeight="1" x14ac:dyDescent="0.6">
      <c r="A386" s="1"/>
      <c r="B386" s="6"/>
      <c r="C386" s="1"/>
      <c r="D386" s="48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21.75" customHeight="1" x14ac:dyDescent="0.6">
      <c r="A387" s="1"/>
      <c r="B387" s="6"/>
      <c r="C387" s="1"/>
      <c r="D387" s="48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21.75" customHeight="1" x14ac:dyDescent="0.6">
      <c r="A388" s="1"/>
      <c r="B388" s="6"/>
      <c r="C388" s="1"/>
      <c r="D388" s="48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21.75" customHeight="1" x14ac:dyDescent="0.6">
      <c r="A389" s="1"/>
      <c r="B389" s="6"/>
      <c r="C389" s="1"/>
      <c r="D389" s="48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21.75" customHeight="1" x14ac:dyDescent="0.6">
      <c r="A390" s="1"/>
      <c r="B390" s="6"/>
      <c r="C390" s="1"/>
      <c r="D390" s="48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21.75" customHeight="1" x14ac:dyDescent="0.6">
      <c r="A391" s="1"/>
      <c r="B391" s="6"/>
      <c r="C391" s="1"/>
      <c r="D391" s="48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21.75" customHeight="1" x14ac:dyDescent="0.6">
      <c r="A392" s="1"/>
      <c r="B392" s="6"/>
      <c r="C392" s="1"/>
      <c r="D392" s="48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21.75" customHeight="1" x14ac:dyDescent="0.6">
      <c r="A393" s="1"/>
      <c r="B393" s="6"/>
      <c r="C393" s="1"/>
      <c r="D393" s="48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21.75" customHeight="1" x14ac:dyDescent="0.6">
      <c r="A394" s="1"/>
      <c r="B394" s="6"/>
      <c r="C394" s="1"/>
      <c r="D394" s="48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21.75" customHeight="1" x14ac:dyDescent="0.6">
      <c r="A395" s="1"/>
      <c r="B395" s="6"/>
      <c r="C395" s="1"/>
      <c r="D395" s="48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21.75" customHeight="1" x14ac:dyDescent="0.6">
      <c r="A396" s="1"/>
      <c r="B396" s="6"/>
      <c r="C396" s="1"/>
      <c r="D396" s="48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21.75" customHeight="1" x14ac:dyDescent="0.6">
      <c r="A397" s="1"/>
      <c r="B397" s="6"/>
      <c r="C397" s="1"/>
      <c r="D397" s="48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21.75" customHeight="1" x14ac:dyDescent="0.6">
      <c r="A398" s="1"/>
      <c r="B398" s="6"/>
      <c r="C398" s="1"/>
      <c r="D398" s="48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21.75" customHeight="1" x14ac:dyDescent="0.6">
      <c r="A399" s="1"/>
      <c r="B399" s="6"/>
      <c r="C399" s="1"/>
      <c r="D399" s="48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21.75" customHeight="1" x14ac:dyDescent="0.6">
      <c r="A400" s="1"/>
      <c r="B400" s="6"/>
      <c r="C400" s="1"/>
      <c r="D400" s="48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21.75" customHeight="1" x14ac:dyDescent="0.6">
      <c r="A401" s="1"/>
      <c r="B401" s="6"/>
      <c r="C401" s="1"/>
      <c r="D401" s="48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21.75" customHeight="1" x14ac:dyDescent="0.6">
      <c r="A402" s="1"/>
      <c r="B402" s="6"/>
      <c r="C402" s="1"/>
      <c r="D402" s="48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21.75" customHeight="1" x14ac:dyDescent="0.6">
      <c r="A403" s="1"/>
      <c r="B403" s="6"/>
      <c r="C403" s="1"/>
      <c r="D403" s="48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21.75" customHeight="1" x14ac:dyDescent="0.6">
      <c r="A404" s="1"/>
      <c r="B404" s="6"/>
      <c r="C404" s="1"/>
      <c r="D404" s="48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21.75" customHeight="1" x14ac:dyDescent="0.6">
      <c r="A405" s="1"/>
      <c r="B405" s="6"/>
      <c r="C405" s="1"/>
      <c r="D405" s="48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21.75" customHeight="1" x14ac:dyDescent="0.6">
      <c r="A406" s="1"/>
      <c r="B406" s="6"/>
      <c r="C406" s="1"/>
      <c r="D406" s="48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21.75" customHeight="1" x14ac:dyDescent="0.6">
      <c r="A407" s="1"/>
      <c r="B407" s="6"/>
      <c r="C407" s="1"/>
      <c r="D407" s="48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21.75" customHeight="1" x14ac:dyDescent="0.6">
      <c r="A408" s="1"/>
      <c r="B408" s="6"/>
      <c r="C408" s="1"/>
      <c r="D408" s="48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21.75" customHeight="1" x14ac:dyDescent="0.6">
      <c r="A409" s="1"/>
      <c r="B409" s="6"/>
      <c r="C409" s="1"/>
      <c r="D409" s="48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21.75" customHeight="1" x14ac:dyDescent="0.6">
      <c r="A410" s="1"/>
      <c r="B410" s="6"/>
      <c r="C410" s="1"/>
      <c r="D410" s="48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21.75" customHeight="1" x14ac:dyDescent="0.6">
      <c r="A411" s="1"/>
      <c r="B411" s="6"/>
      <c r="C411" s="1"/>
      <c r="D411" s="48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21.75" customHeight="1" x14ac:dyDescent="0.6">
      <c r="A412" s="1"/>
      <c r="B412" s="6"/>
      <c r="C412" s="1"/>
      <c r="D412" s="48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21.75" customHeight="1" x14ac:dyDescent="0.6">
      <c r="A413" s="1"/>
      <c r="B413" s="6"/>
      <c r="C413" s="1"/>
      <c r="D413" s="48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21.75" customHeight="1" x14ac:dyDescent="0.6">
      <c r="A414" s="1"/>
      <c r="B414" s="6"/>
      <c r="C414" s="1"/>
      <c r="D414" s="48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21.75" customHeight="1" x14ac:dyDescent="0.6">
      <c r="A415" s="1"/>
      <c r="B415" s="6"/>
      <c r="C415" s="1"/>
      <c r="D415" s="48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21.75" customHeight="1" x14ac:dyDescent="0.6">
      <c r="A416" s="1"/>
      <c r="B416" s="6"/>
      <c r="C416" s="1"/>
      <c r="D416" s="48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21.75" customHeight="1" x14ac:dyDescent="0.6">
      <c r="A417" s="1"/>
      <c r="B417" s="6"/>
      <c r="C417" s="1"/>
      <c r="D417" s="48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21.75" customHeight="1" x14ac:dyDescent="0.6">
      <c r="A418" s="1"/>
      <c r="B418" s="6"/>
      <c r="C418" s="1"/>
      <c r="D418" s="48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21.75" customHeight="1" x14ac:dyDescent="0.6">
      <c r="A419" s="1"/>
      <c r="B419" s="6"/>
      <c r="C419" s="1"/>
      <c r="D419" s="48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21.75" customHeight="1" x14ac:dyDescent="0.6">
      <c r="A420" s="1"/>
      <c r="B420" s="6"/>
      <c r="C420" s="1"/>
      <c r="D420" s="48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21.75" customHeight="1" x14ac:dyDescent="0.6">
      <c r="A421" s="1"/>
      <c r="B421" s="6"/>
      <c r="C421" s="1"/>
      <c r="D421" s="48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21.75" customHeight="1" x14ac:dyDescent="0.6">
      <c r="A422" s="1"/>
      <c r="B422" s="6"/>
      <c r="C422" s="1"/>
      <c r="D422" s="48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21.75" customHeight="1" x14ac:dyDescent="0.6">
      <c r="A423" s="1"/>
      <c r="B423" s="6"/>
      <c r="C423" s="1"/>
      <c r="D423" s="48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21.75" customHeight="1" x14ac:dyDescent="0.6">
      <c r="A424" s="1"/>
      <c r="B424" s="6"/>
      <c r="C424" s="1"/>
      <c r="D424" s="48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21.75" customHeight="1" x14ac:dyDescent="0.6">
      <c r="A425" s="1"/>
      <c r="B425" s="6"/>
      <c r="C425" s="1"/>
      <c r="D425" s="48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21.75" customHeight="1" x14ac:dyDescent="0.6">
      <c r="A426" s="1"/>
      <c r="B426" s="6"/>
      <c r="C426" s="1"/>
      <c r="D426" s="48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21.75" customHeight="1" x14ac:dyDescent="0.6">
      <c r="A427" s="1"/>
      <c r="B427" s="6"/>
      <c r="C427" s="1"/>
      <c r="D427" s="48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21.75" customHeight="1" x14ac:dyDescent="0.6">
      <c r="A428" s="1"/>
      <c r="B428" s="6"/>
      <c r="C428" s="1"/>
      <c r="D428" s="48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21.75" customHeight="1" x14ac:dyDescent="0.6">
      <c r="A429" s="1"/>
      <c r="B429" s="6"/>
      <c r="C429" s="1"/>
      <c r="D429" s="48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21.75" customHeight="1" x14ac:dyDescent="0.6">
      <c r="A430" s="1"/>
      <c r="B430" s="6"/>
      <c r="C430" s="1"/>
      <c r="D430" s="48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21.75" customHeight="1" x14ac:dyDescent="0.6">
      <c r="A431" s="1"/>
      <c r="B431" s="6"/>
      <c r="C431" s="1"/>
      <c r="D431" s="48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21.75" customHeight="1" x14ac:dyDescent="0.6">
      <c r="A432" s="1"/>
      <c r="B432" s="6"/>
      <c r="C432" s="1"/>
      <c r="D432" s="48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21.75" customHeight="1" x14ac:dyDescent="0.6">
      <c r="A433" s="1"/>
      <c r="B433" s="6"/>
      <c r="C433" s="1"/>
      <c r="D433" s="48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21.75" customHeight="1" x14ac:dyDescent="0.6">
      <c r="A434" s="1"/>
      <c r="B434" s="6"/>
      <c r="C434" s="1"/>
      <c r="D434" s="48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21.75" customHeight="1" x14ac:dyDescent="0.6">
      <c r="A435" s="1"/>
      <c r="B435" s="6"/>
      <c r="C435" s="1"/>
      <c r="D435" s="48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21.75" customHeight="1" x14ac:dyDescent="0.6">
      <c r="A436" s="1"/>
      <c r="B436" s="6"/>
      <c r="C436" s="1"/>
      <c r="D436" s="48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21.75" customHeight="1" x14ac:dyDescent="0.6">
      <c r="A437" s="1"/>
      <c r="B437" s="6"/>
      <c r="C437" s="1"/>
      <c r="D437" s="48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21.75" customHeight="1" x14ac:dyDescent="0.6">
      <c r="A438" s="1"/>
      <c r="B438" s="6"/>
      <c r="C438" s="1"/>
      <c r="D438" s="48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21.75" customHeight="1" x14ac:dyDescent="0.6">
      <c r="A439" s="1"/>
      <c r="B439" s="6"/>
      <c r="C439" s="1"/>
      <c r="D439" s="48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21.75" customHeight="1" x14ac:dyDescent="0.6">
      <c r="A440" s="1"/>
      <c r="B440" s="6"/>
      <c r="C440" s="1"/>
      <c r="D440" s="48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21.75" customHeight="1" x14ac:dyDescent="0.6">
      <c r="A441" s="1"/>
      <c r="B441" s="6"/>
      <c r="C441" s="1"/>
      <c r="D441" s="48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21.75" customHeight="1" x14ac:dyDescent="0.6">
      <c r="A442" s="1"/>
      <c r="B442" s="6"/>
      <c r="C442" s="1"/>
      <c r="D442" s="48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21.75" customHeight="1" x14ac:dyDescent="0.6">
      <c r="A443" s="1"/>
      <c r="B443" s="6"/>
      <c r="C443" s="1"/>
      <c r="D443" s="48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21.75" customHeight="1" x14ac:dyDescent="0.6">
      <c r="A444" s="1"/>
      <c r="B444" s="6"/>
      <c r="C444" s="1"/>
      <c r="D444" s="48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21.75" customHeight="1" x14ac:dyDescent="0.6">
      <c r="A445" s="1"/>
      <c r="B445" s="6"/>
      <c r="C445" s="1"/>
      <c r="D445" s="48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21.75" customHeight="1" x14ac:dyDescent="0.6">
      <c r="A446" s="1"/>
      <c r="B446" s="6"/>
      <c r="C446" s="1"/>
      <c r="D446" s="48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21.75" customHeight="1" x14ac:dyDescent="0.6">
      <c r="A447" s="1"/>
      <c r="B447" s="6"/>
      <c r="C447" s="1"/>
      <c r="D447" s="48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21.75" customHeight="1" x14ac:dyDescent="0.6">
      <c r="A448" s="1"/>
      <c r="B448" s="6"/>
      <c r="C448" s="1"/>
      <c r="D448" s="48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21.75" customHeight="1" x14ac:dyDescent="0.6">
      <c r="A449" s="1"/>
      <c r="B449" s="6"/>
      <c r="C449" s="1"/>
      <c r="D449" s="48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21.75" customHeight="1" x14ac:dyDescent="0.6">
      <c r="A450" s="1"/>
      <c r="B450" s="6"/>
      <c r="C450" s="1"/>
      <c r="D450" s="48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21.75" customHeight="1" x14ac:dyDescent="0.6">
      <c r="A451" s="1"/>
      <c r="B451" s="6"/>
      <c r="C451" s="1"/>
      <c r="D451" s="48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21.75" customHeight="1" x14ac:dyDescent="0.6">
      <c r="A452" s="1"/>
      <c r="B452" s="6"/>
      <c r="C452" s="1"/>
      <c r="D452" s="48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21.75" customHeight="1" x14ac:dyDescent="0.6">
      <c r="A453" s="1"/>
      <c r="B453" s="6"/>
      <c r="C453" s="1"/>
      <c r="D453" s="48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21.75" customHeight="1" x14ac:dyDescent="0.6">
      <c r="A454" s="1"/>
      <c r="B454" s="6"/>
      <c r="C454" s="1"/>
      <c r="D454" s="48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21.75" customHeight="1" x14ac:dyDescent="0.6">
      <c r="A455" s="1"/>
      <c r="B455" s="6"/>
      <c r="C455" s="1"/>
      <c r="D455" s="48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21.75" customHeight="1" x14ac:dyDescent="0.6">
      <c r="A456" s="1"/>
      <c r="B456" s="6"/>
      <c r="C456" s="1"/>
      <c r="D456" s="48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21.75" customHeight="1" x14ac:dyDescent="0.6">
      <c r="A457" s="1"/>
      <c r="B457" s="6"/>
      <c r="C457" s="1"/>
      <c r="D457" s="48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21.75" customHeight="1" x14ac:dyDescent="0.6">
      <c r="A458" s="1"/>
      <c r="B458" s="6"/>
      <c r="C458" s="1"/>
      <c r="D458" s="48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21.75" customHeight="1" x14ac:dyDescent="0.6">
      <c r="A459" s="1"/>
      <c r="B459" s="6"/>
      <c r="C459" s="1"/>
      <c r="D459" s="48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21.75" customHeight="1" x14ac:dyDescent="0.6">
      <c r="A460" s="1"/>
      <c r="B460" s="6"/>
      <c r="C460" s="1"/>
      <c r="D460" s="48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21.75" customHeight="1" x14ac:dyDescent="0.6">
      <c r="A461" s="1"/>
      <c r="B461" s="6"/>
      <c r="C461" s="1"/>
      <c r="D461" s="48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21.75" customHeight="1" x14ac:dyDescent="0.6">
      <c r="A462" s="1"/>
      <c r="B462" s="6"/>
      <c r="C462" s="1"/>
      <c r="D462" s="48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21.75" customHeight="1" x14ac:dyDescent="0.6">
      <c r="A463" s="1"/>
      <c r="B463" s="6"/>
      <c r="C463" s="1"/>
      <c r="D463" s="48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21.75" customHeight="1" x14ac:dyDescent="0.6">
      <c r="A464" s="1"/>
      <c r="B464" s="6"/>
      <c r="C464" s="1"/>
      <c r="D464" s="48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21.75" customHeight="1" x14ac:dyDescent="0.6">
      <c r="A465" s="1"/>
      <c r="B465" s="6"/>
      <c r="C465" s="1"/>
      <c r="D465" s="48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21.75" customHeight="1" x14ac:dyDescent="0.6">
      <c r="A466" s="1"/>
      <c r="B466" s="6"/>
      <c r="C466" s="1"/>
      <c r="D466" s="48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21.75" customHeight="1" x14ac:dyDescent="0.6">
      <c r="A467" s="1"/>
      <c r="B467" s="6"/>
      <c r="C467" s="1"/>
      <c r="D467" s="48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21.75" customHeight="1" x14ac:dyDescent="0.6">
      <c r="A468" s="1"/>
      <c r="B468" s="6"/>
      <c r="C468" s="1"/>
      <c r="D468" s="48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21.75" customHeight="1" x14ac:dyDescent="0.6">
      <c r="A469" s="1"/>
      <c r="B469" s="6"/>
      <c r="C469" s="1"/>
      <c r="D469" s="48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21.75" customHeight="1" x14ac:dyDescent="0.6">
      <c r="A470" s="1"/>
      <c r="B470" s="6"/>
      <c r="C470" s="1"/>
      <c r="D470" s="48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21.75" customHeight="1" x14ac:dyDescent="0.6">
      <c r="A471" s="1"/>
      <c r="B471" s="6"/>
      <c r="C471" s="1"/>
      <c r="D471" s="48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21.75" customHeight="1" x14ac:dyDescent="0.6">
      <c r="A472" s="1"/>
      <c r="B472" s="6"/>
      <c r="C472" s="1"/>
      <c r="D472" s="48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21.75" customHeight="1" x14ac:dyDescent="0.6">
      <c r="A473" s="1"/>
      <c r="B473" s="6"/>
      <c r="C473" s="1"/>
      <c r="D473" s="48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21.75" customHeight="1" x14ac:dyDescent="0.6">
      <c r="A474" s="1"/>
      <c r="B474" s="6"/>
      <c r="C474" s="1"/>
      <c r="D474" s="48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21.75" customHeight="1" x14ac:dyDescent="0.6">
      <c r="A475" s="1"/>
      <c r="B475" s="6"/>
      <c r="C475" s="1"/>
      <c r="D475" s="48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21.75" customHeight="1" x14ac:dyDescent="0.6">
      <c r="A476" s="1"/>
      <c r="B476" s="6"/>
      <c r="C476" s="1"/>
      <c r="D476" s="48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21.75" customHeight="1" x14ac:dyDescent="0.6">
      <c r="A477" s="1"/>
      <c r="B477" s="6"/>
      <c r="C477" s="1"/>
      <c r="D477" s="48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21.75" customHeight="1" x14ac:dyDescent="0.6">
      <c r="A478" s="1"/>
      <c r="B478" s="6"/>
      <c r="C478" s="1"/>
      <c r="D478" s="48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21.75" customHeight="1" x14ac:dyDescent="0.6">
      <c r="A479" s="1"/>
      <c r="B479" s="6"/>
      <c r="C479" s="1"/>
      <c r="D479" s="48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21.75" customHeight="1" x14ac:dyDescent="0.6">
      <c r="A480" s="1"/>
      <c r="B480" s="6"/>
      <c r="C480" s="1"/>
      <c r="D480" s="48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21.75" customHeight="1" x14ac:dyDescent="0.6">
      <c r="A481" s="1"/>
      <c r="B481" s="6"/>
      <c r="C481" s="1"/>
      <c r="D481" s="48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21.75" customHeight="1" x14ac:dyDescent="0.6">
      <c r="A482" s="1"/>
      <c r="B482" s="6"/>
      <c r="C482" s="1"/>
      <c r="D482" s="48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21.75" customHeight="1" x14ac:dyDescent="0.6">
      <c r="A483" s="1"/>
      <c r="B483" s="6"/>
      <c r="C483" s="1"/>
      <c r="D483" s="48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21.75" customHeight="1" x14ac:dyDescent="0.6">
      <c r="A484" s="1"/>
      <c r="B484" s="6"/>
      <c r="C484" s="1"/>
      <c r="D484" s="48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21.75" customHeight="1" x14ac:dyDescent="0.6">
      <c r="A485" s="1"/>
      <c r="B485" s="6"/>
      <c r="C485" s="1"/>
      <c r="D485" s="48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21.75" customHeight="1" x14ac:dyDescent="0.6">
      <c r="A486" s="1"/>
      <c r="B486" s="6"/>
      <c r="C486" s="1"/>
      <c r="D486" s="48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21.75" customHeight="1" x14ac:dyDescent="0.6">
      <c r="A487" s="1"/>
      <c r="B487" s="6"/>
      <c r="C487" s="1"/>
      <c r="D487" s="48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21.75" customHeight="1" x14ac:dyDescent="0.6">
      <c r="A488" s="1"/>
      <c r="B488" s="6"/>
      <c r="C488" s="1"/>
      <c r="D488" s="48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21.75" customHeight="1" x14ac:dyDescent="0.6">
      <c r="A489" s="1"/>
      <c r="B489" s="6"/>
      <c r="C489" s="1"/>
      <c r="D489" s="48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21.75" customHeight="1" x14ac:dyDescent="0.6">
      <c r="A490" s="1"/>
      <c r="B490" s="6"/>
      <c r="C490" s="1"/>
      <c r="D490" s="48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21.75" customHeight="1" x14ac:dyDescent="0.6">
      <c r="A491" s="1"/>
      <c r="B491" s="6"/>
      <c r="C491" s="1"/>
      <c r="D491" s="48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21.75" customHeight="1" x14ac:dyDescent="0.6">
      <c r="A492" s="1"/>
      <c r="B492" s="6"/>
      <c r="C492" s="1"/>
      <c r="D492" s="48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21.75" customHeight="1" x14ac:dyDescent="0.6">
      <c r="A493" s="1"/>
      <c r="B493" s="6"/>
      <c r="C493" s="1"/>
      <c r="D493" s="48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21.75" customHeight="1" x14ac:dyDescent="0.6">
      <c r="A494" s="1"/>
      <c r="B494" s="6"/>
      <c r="C494" s="1"/>
      <c r="D494" s="48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21.75" customHeight="1" x14ac:dyDescent="0.6">
      <c r="A495" s="1"/>
      <c r="B495" s="6"/>
      <c r="C495" s="1"/>
      <c r="D495" s="48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21.75" customHeight="1" x14ac:dyDescent="0.6">
      <c r="A496" s="1"/>
      <c r="B496" s="6"/>
      <c r="C496" s="1"/>
      <c r="D496" s="48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31" ht="21.75" customHeight="1" x14ac:dyDescent="0.6">
      <c r="A497" s="1"/>
      <c r="B497" s="6"/>
      <c r="C497" s="1"/>
      <c r="D497" s="48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31" ht="21.75" customHeight="1" x14ac:dyDescent="0.6">
      <c r="A498" s="1"/>
      <c r="B498" s="6"/>
      <c r="C498" s="1"/>
      <c r="D498" s="48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31" ht="21.75" customHeight="1" x14ac:dyDescent="0.6">
      <c r="A499" s="1"/>
      <c r="B499" s="6"/>
      <c r="C499" s="1"/>
      <c r="D499" s="48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31" ht="21.75" customHeight="1" x14ac:dyDescent="0.6">
      <c r="A500" s="1"/>
      <c r="B500" s="6"/>
      <c r="C500" s="1"/>
      <c r="D500" s="48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31" ht="21.75" customHeight="1" x14ac:dyDescent="0.6">
      <c r="A501" s="1"/>
      <c r="B501" s="6"/>
      <c r="C501" s="1"/>
      <c r="D501" s="48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31" ht="21.75" customHeight="1" x14ac:dyDescent="0.6">
      <c r="A502" s="1"/>
      <c r="B502" s="6"/>
      <c r="C502" s="1"/>
      <c r="D502" s="48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AE502">
        <f>25/3</f>
        <v>8.3333333333333339</v>
      </c>
    </row>
    <row r="503" spans="1:31" ht="21.75" customHeight="1" x14ac:dyDescent="0.6">
      <c r="A503" s="1"/>
      <c r="B503" s="6"/>
      <c r="C503" s="1"/>
      <c r="D503" s="48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31" ht="21.75" customHeight="1" x14ac:dyDescent="0.6">
      <c r="A504" s="1"/>
      <c r="B504" s="6"/>
      <c r="C504" s="1"/>
      <c r="D504" s="48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31" ht="21.75" customHeight="1" x14ac:dyDescent="0.6">
      <c r="A505" s="1"/>
      <c r="B505" s="6"/>
      <c r="C505" s="1"/>
      <c r="D505" s="48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31" ht="21.75" customHeight="1" x14ac:dyDescent="0.6">
      <c r="A506" s="1"/>
      <c r="B506" s="6"/>
      <c r="C506" s="1"/>
      <c r="D506" s="48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31" ht="21.75" customHeight="1" x14ac:dyDescent="0.6">
      <c r="A507" s="1"/>
      <c r="B507" s="6"/>
      <c r="C507" s="1"/>
      <c r="D507" s="48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31" ht="21.75" customHeight="1" x14ac:dyDescent="0.6">
      <c r="A508" s="1"/>
      <c r="B508" s="6"/>
      <c r="C508" s="1"/>
      <c r="D508" s="48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31" ht="21.75" customHeight="1" x14ac:dyDescent="0.6">
      <c r="A509" s="1"/>
      <c r="B509" s="6"/>
      <c r="C509" s="1"/>
      <c r="D509" s="48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31" ht="21.75" customHeight="1" x14ac:dyDescent="0.6">
      <c r="A510" s="1"/>
      <c r="B510" s="6"/>
      <c r="C510" s="1"/>
      <c r="D510" s="48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31" ht="21.75" customHeight="1" x14ac:dyDescent="0.6">
      <c r="A511" s="1"/>
      <c r="B511" s="6"/>
      <c r="C511" s="1"/>
      <c r="D511" s="48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31" ht="21.75" customHeight="1" x14ac:dyDescent="0.6">
      <c r="A512" s="1"/>
      <c r="B512" s="6"/>
      <c r="C512" s="1"/>
      <c r="D512" s="48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21.75" customHeight="1" x14ac:dyDescent="0.6">
      <c r="A513" s="1"/>
      <c r="B513" s="6"/>
      <c r="C513" s="1"/>
      <c r="D513" s="48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21.75" customHeight="1" x14ac:dyDescent="0.6">
      <c r="A514" s="1"/>
      <c r="B514" s="6"/>
      <c r="C514" s="1"/>
      <c r="D514" s="48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21.75" customHeight="1" x14ac:dyDescent="0.6">
      <c r="A515" s="1"/>
      <c r="B515" s="6"/>
      <c r="C515" s="1"/>
      <c r="D515" s="48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21.75" customHeight="1" x14ac:dyDescent="0.6">
      <c r="A516" s="1"/>
      <c r="B516" s="6"/>
      <c r="C516" s="1"/>
      <c r="D516" s="48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21.75" customHeight="1" x14ac:dyDescent="0.6">
      <c r="A517" s="1"/>
      <c r="B517" s="6"/>
      <c r="C517" s="1"/>
      <c r="D517" s="48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21.75" customHeight="1" x14ac:dyDescent="0.6">
      <c r="A518" s="1"/>
      <c r="B518" s="6"/>
      <c r="C518" s="1"/>
      <c r="D518" s="48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21.75" customHeight="1" x14ac:dyDescent="0.6">
      <c r="A519" s="1"/>
      <c r="B519" s="6"/>
      <c r="C519" s="1"/>
      <c r="D519" s="48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21.75" customHeight="1" x14ac:dyDescent="0.6">
      <c r="A520" s="1"/>
      <c r="B520" s="6"/>
      <c r="C520" s="1"/>
      <c r="D520" s="48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21.75" customHeight="1" x14ac:dyDescent="0.6">
      <c r="A521" s="1"/>
      <c r="B521" s="6"/>
      <c r="C521" s="1"/>
      <c r="D521" s="48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21.75" customHeight="1" x14ac:dyDescent="0.6">
      <c r="A522" s="1"/>
      <c r="B522" s="6"/>
      <c r="C522" s="1"/>
      <c r="D522" s="48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21.75" customHeight="1" x14ac:dyDescent="0.6">
      <c r="A523" s="1"/>
      <c r="B523" s="6"/>
      <c r="C523" s="1"/>
      <c r="D523" s="48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21.75" customHeight="1" x14ac:dyDescent="0.6">
      <c r="A524" s="1"/>
      <c r="B524" s="6"/>
      <c r="C524" s="1"/>
      <c r="D524" s="48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21.75" customHeight="1" x14ac:dyDescent="0.6">
      <c r="A525" s="1"/>
      <c r="B525" s="6"/>
      <c r="C525" s="1"/>
      <c r="D525" s="48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21.75" customHeight="1" x14ac:dyDescent="0.6">
      <c r="A526" s="1"/>
      <c r="B526" s="6"/>
      <c r="C526" s="1"/>
      <c r="D526" s="48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21.75" customHeight="1" x14ac:dyDescent="0.6">
      <c r="A527" s="1"/>
      <c r="B527" s="6"/>
      <c r="C527" s="1"/>
      <c r="D527" s="48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21.75" customHeight="1" x14ac:dyDescent="0.6">
      <c r="A528" s="1"/>
      <c r="B528" s="6"/>
      <c r="C528" s="1"/>
      <c r="D528" s="48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21.75" customHeight="1" x14ac:dyDescent="0.6">
      <c r="A529" s="1"/>
      <c r="B529" s="6"/>
      <c r="C529" s="1"/>
      <c r="D529" s="48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21.75" customHeight="1" x14ac:dyDescent="0.6">
      <c r="A530" s="1"/>
      <c r="B530" s="6"/>
      <c r="C530" s="1"/>
      <c r="D530" s="48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21.75" customHeight="1" x14ac:dyDescent="0.6">
      <c r="A531" s="1"/>
      <c r="B531" s="6"/>
      <c r="C531" s="1"/>
      <c r="D531" s="48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21.75" customHeight="1" x14ac:dyDescent="0.6">
      <c r="A532" s="1"/>
      <c r="B532" s="6"/>
      <c r="C532" s="1"/>
      <c r="D532" s="48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21.75" customHeight="1" x14ac:dyDescent="0.6">
      <c r="A533" s="1"/>
      <c r="B533" s="6"/>
      <c r="C533" s="1"/>
      <c r="D533" s="48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21.75" customHeight="1" x14ac:dyDescent="0.6">
      <c r="A534" s="1"/>
      <c r="B534" s="6"/>
      <c r="C534" s="1"/>
      <c r="D534" s="48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21.75" customHeight="1" x14ac:dyDescent="0.6">
      <c r="A535" s="1"/>
      <c r="B535" s="6"/>
      <c r="C535" s="1"/>
      <c r="D535" s="48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21.75" customHeight="1" x14ac:dyDescent="0.6">
      <c r="A536" s="1"/>
      <c r="B536" s="6"/>
      <c r="C536" s="1"/>
      <c r="D536" s="48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21.75" customHeight="1" x14ac:dyDescent="0.6">
      <c r="A537" s="1"/>
      <c r="B537" s="6"/>
      <c r="C537" s="1"/>
      <c r="D537" s="48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21.75" customHeight="1" x14ac:dyDescent="0.6">
      <c r="A538" s="1"/>
      <c r="B538" s="6"/>
      <c r="C538" s="1"/>
      <c r="D538" s="48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21.75" customHeight="1" x14ac:dyDescent="0.6">
      <c r="A539" s="1"/>
      <c r="B539" s="6"/>
      <c r="C539" s="1"/>
      <c r="D539" s="48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21.75" customHeight="1" x14ac:dyDescent="0.6">
      <c r="A540" s="1"/>
      <c r="B540" s="6"/>
      <c r="C540" s="1"/>
      <c r="D540" s="48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21.75" customHeight="1" x14ac:dyDescent="0.6">
      <c r="A541" s="1"/>
      <c r="B541" s="6"/>
      <c r="C541" s="1"/>
      <c r="D541" s="48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21.75" customHeight="1" x14ac:dyDescent="0.6">
      <c r="A542" s="1"/>
      <c r="B542" s="6"/>
      <c r="C542" s="1"/>
      <c r="D542" s="48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21.75" customHeight="1" x14ac:dyDescent="0.6">
      <c r="A543" s="1"/>
      <c r="B543" s="6"/>
      <c r="C543" s="1"/>
      <c r="D543" s="48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21.75" customHeight="1" x14ac:dyDescent="0.6">
      <c r="A544" s="1"/>
      <c r="B544" s="6"/>
      <c r="C544" s="1"/>
      <c r="D544" s="48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21.75" customHeight="1" x14ac:dyDescent="0.6">
      <c r="A545" s="1"/>
      <c r="B545" s="6"/>
      <c r="C545" s="1"/>
      <c r="D545" s="48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21.75" customHeight="1" x14ac:dyDescent="0.6">
      <c r="A546" s="1"/>
      <c r="B546" s="6"/>
      <c r="C546" s="1"/>
      <c r="D546" s="48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21.75" customHeight="1" x14ac:dyDescent="0.6">
      <c r="A547" s="1"/>
      <c r="B547" s="6"/>
      <c r="C547" s="1"/>
      <c r="D547" s="48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21.75" customHeight="1" x14ac:dyDescent="0.6">
      <c r="A548" s="1"/>
      <c r="B548" s="6"/>
      <c r="C548" s="1"/>
      <c r="D548" s="48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21.75" customHeight="1" x14ac:dyDescent="0.6">
      <c r="A549" s="1"/>
      <c r="B549" s="6"/>
      <c r="C549" s="1"/>
      <c r="D549" s="48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21.75" customHeight="1" x14ac:dyDescent="0.6">
      <c r="A550" s="1"/>
      <c r="B550" s="6"/>
      <c r="C550" s="1"/>
      <c r="D550" s="48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21.75" customHeight="1" x14ac:dyDescent="0.6">
      <c r="A551" s="1"/>
      <c r="B551" s="6"/>
      <c r="C551" s="1"/>
      <c r="D551" s="48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21.75" customHeight="1" x14ac:dyDescent="0.6">
      <c r="A552" s="1"/>
      <c r="B552" s="6"/>
      <c r="C552" s="1"/>
      <c r="D552" s="48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21.75" customHeight="1" x14ac:dyDescent="0.6">
      <c r="A553" s="1"/>
      <c r="B553" s="6"/>
      <c r="C553" s="1"/>
      <c r="D553" s="48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21.75" customHeight="1" x14ac:dyDescent="0.6">
      <c r="A554" s="1"/>
      <c r="B554" s="6"/>
      <c r="C554" s="1"/>
      <c r="D554" s="48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21.75" customHeight="1" x14ac:dyDescent="0.6">
      <c r="A555" s="1"/>
      <c r="B555" s="6"/>
      <c r="C555" s="1"/>
      <c r="D555" s="48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21.75" customHeight="1" x14ac:dyDescent="0.6">
      <c r="A556" s="1"/>
      <c r="B556" s="6"/>
      <c r="C556" s="1"/>
      <c r="D556" s="48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21.75" customHeight="1" x14ac:dyDescent="0.6">
      <c r="A557" s="1"/>
      <c r="B557" s="6"/>
      <c r="C557" s="1"/>
      <c r="D557" s="48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21.75" customHeight="1" x14ac:dyDescent="0.6">
      <c r="A558" s="1"/>
      <c r="B558" s="6"/>
      <c r="C558" s="1"/>
      <c r="D558" s="48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21.75" customHeight="1" x14ac:dyDescent="0.6">
      <c r="A559" s="1"/>
      <c r="B559" s="6"/>
      <c r="C559" s="1"/>
      <c r="D559" s="48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21.75" customHeight="1" x14ac:dyDescent="0.6">
      <c r="A560" s="1"/>
      <c r="B560" s="6"/>
      <c r="C560" s="1"/>
      <c r="D560" s="48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21.75" customHeight="1" x14ac:dyDescent="0.6">
      <c r="A561" s="1"/>
      <c r="B561" s="6"/>
      <c r="C561" s="1"/>
      <c r="D561" s="48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21.75" customHeight="1" x14ac:dyDescent="0.6">
      <c r="A562" s="1"/>
      <c r="B562" s="6"/>
      <c r="C562" s="1"/>
      <c r="D562" s="48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21.75" customHeight="1" x14ac:dyDescent="0.6">
      <c r="A563" s="1"/>
      <c r="B563" s="6"/>
      <c r="C563" s="1"/>
      <c r="D563" s="48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21.75" customHeight="1" x14ac:dyDescent="0.6">
      <c r="A564" s="1"/>
      <c r="B564" s="6"/>
      <c r="C564" s="1"/>
      <c r="D564" s="48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21.75" customHeight="1" x14ac:dyDescent="0.6">
      <c r="A565" s="1"/>
      <c r="B565" s="6"/>
      <c r="C565" s="1"/>
      <c r="D565" s="48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21.75" customHeight="1" x14ac:dyDescent="0.6">
      <c r="A566" s="1"/>
      <c r="B566" s="6"/>
      <c r="C566" s="1"/>
      <c r="D566" s="48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21.75" customHeight="1" x14ac:dyDescent="0.6">
      <c r="A567" s="1"/>
      <c r="B567" s="6"/>
      <c r="C567" s="1"/>
      <c r="D567" s="48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21.75" customHeight="1" x14ac:dyDescent="0.6">
      <c r="A568" s="1"/>
      <c r="B568" s="6"/>
      <c r="C568" s="1"/>
      <c r="D568" s="48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21.75" customHeight="1" x14ac:dyDescent="0.6">
      <c r="A569" s="1"/>
      <c r="B569" s="6"/>
      <c r="C569" s="1"/>
      <c r="D569" s="48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21.75" customHeight="1" x14ac:dyDescent="0.6">
      <c r="A570" s="1"/>
      <c r="B570" s="6"/>
      <c r="C570" s="1"/>
      <c r="D570" s="48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21.75" customHeight="1" x14ac:dyDescent="0.6">
      <c r="A571" s="1"/>
      <c r="B571" s="6"/>
      <c r="C571" s="1"/>
      <c r="D571" s="48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21.75" customHeight="1" x14ac:dyDescent="0.6">
      <c r="A572" s="1"/>
      <c r="B572" s="6"/>
      <c r="C572" s="1"/>
      <c r="D572" s="48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21.75" customHeight="1" x14ac:dyDescent="0.6">
      <c r="A573" s="1"/>
      <c r="B573" s="6"/>
      <c r="C573" s="1"/>
      <c r="D573" s="48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21.75" customHeight="1" x14ac:dyDescent="0.6">
      <c r="A574" s="1"/>
      <c r="B574" s="6"/>
      <c r="C574" s="1"/>
      <c r="D574" s="48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21.75" customHeight="1" x14ac:dyDescent="0.6">
      <c r="A575" s="1"/>
      <c r="B575" s="6"/>
      <c r="C575" s="1"/>
      <c r="D575" s="48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21.75" customHeight="1" x14ac:dyDescent="0.6">
      <c r="A576" s="1"/>
      <c r="B576" s="6"/>
      <c r="C576" s="1"/>
      <c r="D576" s="48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21.75" customHeight="1" x14ac:dyDescent="0.6">
      <c r="A577" s="1"/>
      <c r="B577" s="6"/>
      <c r="C577" s="1"/>
      <c r="D577" s="48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21.75" customHeight="1" x14ac:dyDescent="0.6">
      <c r="A578" s="1"/>
      <c r="B578" s="6"/>
      <c r="C578" s="1"/>
      <c r="D578" s="48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21.75" customHeight="1" x14ac:dyDescent="0.6">
      <c r="A579" s="1"/>
      <c r="B579" s="6"/>
      <c r="C579" s="1"/>
      <c r="D579" s="48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21.75" customHeight="1" x14ac:dyDescent="0.6">
      <c r="A580" s="1"/>
      <c r="B580" s="6"/>
      <c r="C580" s="1"/>
      <c r="D580" s="48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21.75" customHeight="1" x14ac:dyDescent="0.6">
      <c r="A581" s="1"/>
      <c r="B581" s="6"/>
      <c r="C581" s="1"/>
      <c r="D581" s="48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21.75" customHeight="1" x14ac:dyDescent="0.6">
      <c r="A582" s="1"/>
      <c r="B582" s="6"/>
      <c r="C582" s="1"/>
      <c r="D582" s="48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21.75" customHeight="1" x14ac:dyDescent="0.6">
      <c r="A583" s="1"/>
      <c r="B583" s="6"/>
      <c r="C583" s="1"/>
      <c r="D583" s="48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21.75" customHeight="1" x14ac:dyDescent="0.6">
      <c r="A584" s="1"/>
      <c r="B584" s="6"/>
      <c r="C584" s="1"/>
      <c r="D584" s="48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21.75" customHeight="1" x14ac:dyDescent="0.6">
      <c r="A585" s="1"/>
      <c r="B585" s="6"/>
      <c r="C585" s="1"/>
      <c r="D585" s="48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21.75" customHeight="1" x14ac:dyDescent="0.6">
      <c r="A586" s="1"/>
      <c r="B586" s="6"/>
      <c r="C586" s="1"/>
      <c r="D586" s="48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21.75" customHeight="1" x14ac:dyDescent="0.6">
      <c r="A587" s="1"/>
      <c r="B587" s="6"/>
      <c r="C587" s="1"/>
      <c r="D587" s="48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21.75" customHeight="1" x14ac:dyDescent="0.6">
      <c r="A588" s="1"/>
      <c r="B588" s="6"/>
      <c r="C588" s="1"/>
      <c r="D588" s="48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21.75" customHeight="1" x14ac:dyDescent="0.6">
      <c r="A589" s="1"/>
      <c r="B589" s="6"/>
      <c r="C589" s="1"/>
      <c r="D589" s="48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21.75" customHeight="1" x14ac:dyDescent="0.6">
      <c r="A590" s="1"/>
      <c r="B590" s="6"/>
      <c r="C590" s="1"/>
      <c r="D590" s="48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21.75" customHeight="1" x14ac:dyDescent="0.6">
      <c r="A591" s="1"/>
      <c r="B591" s="6"/>
      <c r="C591" s="1"/>
      <c r="D591" s="48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21.75" customHeight="1" x14ac:dyDescent="0.6">
      <c r="A592" s="1"/>
      <c r="B592" s="6"/>
      <c r="C592" s="1"/>
      <c r="D592" s="48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21.75" customHeight="1" x14ac:dyDescent="0.6">
      <c r="A593" s="1"/>
      <c r="B593" s="6"/>
      <c r="C593" s="1"/>
      <c r="D593" s="48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21.75" customHeight="1" x14ac:dyDescent="0.6">
      <c r="A594" s="1"/>
      <c r="B594" s="6"/>
      <c r="C594" s="1"/>
      <c r="D594" s="48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21.75" customHeight="1" x14ac:dyDescent="0.6">
      <c r="A595" s="1"/>
      <c r="B595" s="6"/>
      <c r="C595" s="1"/>
      <c r="D595" s="48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21.75" customHeight="1" x14ac:dyDescent="0.6">
      <c r="A596" s="1"/>
      <c r="B596" s="6"/>
      <c r="C596" s="1"/>
      <c r="D596" s="48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21.75" customHeight="1" x14ac:dyDescent="0.6">
      <c r="A597" s="1"/>
      <c r="B597" s="6"/>
      <c r="C597" s="1"/>
      <c r="D597" s="48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21.75" customHeight="1" x14ac:dyDescent="0.6">
      <c r="A598" s="1"/>
      <c r="B598" s="6"/>
      <c r="C598" s="1"/>
      <c r="D598" s="48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21.75" customHeight="1" x14ac:dyDescent="0.6">
      <c r="A599" s="1"/>
      <c r="B599" s="6"/>
      <c r="C599" s="1"/>
      <c r="D599" s="48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21.75" customHeight="1" x14ac:dyDescent="0.6">
      <c r="A600" s="1"/>
      <c r="B600" s="6"/>
      <c r="C600" s="1"/>
      <c r="D600" s="48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21.75" customHeight="1" x14ac:dyDescent="0.6">
      <c r="A601" s="1"/>
      <c r="B601" s="6"/>
      <c r="C601" s="1"/>
      <c r="D601" s="48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21.75" customHeight="1" x14ac:dyDescent="0.6">
      <c r="A602" s="1"/>
      <c r="B602" s="6"/>
      <c r="C602" s="1"/>
      <c r="D602" s="48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21.75" customHeight="1" x14ac:dyDescent="0.6">
      <c r="A603" s="1"/>
      <c r="B603" s="6"/>
      <c r="C603" s="1"/>
      <c r="D603" s="48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21.75" customHeight="1" x14ac:dyDescent="0.6">
      <c r="A604" s="1"/>
      <c r="B604" s="6"/>
      <c r="C604" s="1"/>
      <c r="D604" s="48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21.75" customHeight="1" x14ac:dyDescent="0.6">
      <c r="A605" s="1"/>
      <c r="B605" s="6"/>
      <c r="C605" s="1"/>
      <c r="D605" s="48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21.75" customHeight="1" x14ac:dyDescent="0.6">
      <c r="A606" s="1"/>
      <c r="B606" s="6"/>
      <c r="C606" s="1"/>
      <c r="D606" s="48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21.75" customHeight="1" x14ac:dyDescent="0.6">
      <c r="A607" s="1"/>
      <c r="B607" s="6"/>
      <c r="C607" s="1"/>
      <c r="D607" s="48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21.75" customHeight="1" x14ac:dyDescent="0.6">
      <c r="A608" s="1"/>
      <c r="B608" s="6"/>
      <c r="C608" s="1"/>
      <c r="D608" s="48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21.75" customHeight="1" x14ac:dyDescent="0.6">
      <c r="A609" s="1"/>
      <c r="B609" s="6"/>
      <c r="C609" s="1"/>
      <c r="D609" s="48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21.75" customHeight="1" x14ac:dyDescent="0.6">
      <c r="A610" s="1"/>
      <c r="B610" s="6"/>
      <c r="C610" s="1"/>
      <c r="D610" s="48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21.75" customHeight="1" x14ac:dyDescent="0.6">
      <c r="A611" s="1"/>
      <c r="B611" s="6"/>
      <c r="C611" s="1"/>
      <c r="D611" s="48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21.75" customHeight="1" x14ac:dyDescent="0.6">
      <c r="A612" s="1"/>
      <c r="B612" s="6"/>
      <c r="C612" s="1"/>
      <c r="D612" s="48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21.75" customHeight="1" x14ac:dyDescent="0.6">
      <c r="A613" s="1"/>
      <c r="B613" s="6"/>
      <c r="C613" s="1"/>
      <c r="D613" s="48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21.75" customHeight="1" x14ac:dyDescent="0.6">
      <c r="A614" s="1"/>
      <c r="B614" s="6"/>
      <c r="C614" s="1"/>
      <c r="D614" s="48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21.75" customHeight="1" x14ac:dyDescent="0.6">
      <c r="A615" s="1"/>
      <c r="B615" s="6"/>
      <c r="C615" s="1"/>
      <c r="D615" s="48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21.75" customHeight="1" x14ac:dyDescent="0.6">
      <c r="A616" s="1"/>
      <c r="B616" s="6"/>
      <c r="C616" s="1"/>
      <c r="D616" s="48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21.75" customHeight="1" x14ac:dyDescent="0.6">
      <c r="A617" s="1"/>
      <c r="B617" s="6"/>
      <c r="C617" s="1"/>
      <c r="D617" s="48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21.75" customHeight="1" x14ac:dyDescent="0.6">
      <c r="A618" s="1"/>
      <c r="B618" s="6"/>
      <c r="C618" s="1"/>
      <c r="D618" s="48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21.75" customHeight="1" x14ac:dyDescent="0.6">
      <c r="A619" s="1"/>
      <c r="B619" s="6"/>
      <c r="C619" s="1"/>
      <c r="D619" s="48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21.75" customHeight="1" x14ac:dyDescent="0.6">
      <c r="A620" s="1"/>
      <c r="B620" s="6"/>
      <c r="C620" s="1"/>
      <c r="D620" s="48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21.75" customHeight="1" x14ac:dyDescent="0.6">
      <c r="A621" s="1"/>
      <c r="B621" s="6"/>
      <c r="C621" s="1"/>
      <c r="D621" s="48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21.75" customHeight="1" x14ac:dyDescent="0.6">
      <c r="A622" s="1"/>
      <c r="B622" s="6"/>
      <c r="C622" s="1"/>
      <c r="D622" s="48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21.75" customHeight="1" x14ac:dyDescent="0.6">
      <c r="A623" s="1"/>
      <c r="B623" s="6"/>
      <c r="C623" s="1"/>
      <c r="D623" s="48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21.75" customHeight="1" x14ac:dyDescent="0.6">
      <c r="A624" s="1"/>
      <c r="B624" s="6"/>
      <c r="C624" s="1"/>
      <c r="D624" s="48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21.75" customHeight="1" x14ac:dyDescent="0.6">
      <c r="A625" s="1"/>
      <c r="B625" s="6"/>
      <c r="C625" s="1"/>
      <c r="D625" s="48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21.75" customHeight="1" x14ac:dyDescent="0.6">
      <c r="A626" s="1"/>
      <c r="B626" s="6"/>
      <c r="C626" s="1"/>
      <c r="D626" s="48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21.75" customHeight="1" x14ac:dyDescent="0.6">
      <c r="A627" s="1"/>
      <c r="B627" s="6"/>
      <c r="C627" s="1"/>
      <c r="D627" s="48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21.75" customHeight="1" x14ac:dyDescent="0.6">
      <c r="A628" s="1"/>
      <c r="B628" s="6"/>
      <c r="C628" s="1"/>
      <c r="D628" s="48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21.75" customHeight="1" x14ac:dyDescent="0.6">
      <c r="A629" s="1"/>
      <c r="B629" s="6"/>
      <c r="C629" s="1"/>
      <c r="D629" s="48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21.75" customHeight="1" x14ac:dyDescent="0.6">
      <c r="A630" s="1"/>
      <c r="B630" s="6"/>
      <c r="C630" s="1"/>
      <c r="D630" s="48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21.75" customHeight="1" x14ac:dyDescent="0.6">
      <c r="A631" s="1"/>
      <c r="B631" s="6"/>
      <c r="C631" s="1"/>
      <c r="D631" s="48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21.75" customHeight="1" x14ac:dyDescent="0.6">
      <c r="A632" s="1"/>
      <c r="B632" s="6"/>
      <c r="C632" s="1"/>
      <c r="D632" s="48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21.75" customHeight="1" x14ac:dyDescent="0.6">
      <c r="A633" s="1"/>
      <c r="B633" s="6"/>
      <c r="C633" s="1"/>
      <c r="D633" s="48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21.75" customHeight="1" x14ac:dyDescent="0.6">
      <c r="A634" s="1"/>
      <c r="B634" s="6"/>
      <c r="C634" s="1"/>
      <c r="D634" s="48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21.75" customHeight="1" x14ac:dyDescent="0.6">
      <c r="A635" s="1"/>
      <c r="B635" s="6"/>
      <c r="C635" s="1"/>
      <c r="D635" s="48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21.75" customHeight="1" x14ac:dyDescent="0.6">
      <c r="A636" s="1"/>
      <c r="B636" s="6"/>
      <c r="C636" s="1"/>
      <c r="D636" s="48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21.75" customHeight="1" x14ac:dyDescent="0.6">
      <c r="A637" s="1"/>
      <c r="B637" s="6"/>
      <c r="C637" s="1"/>
      <c r="D637" s="48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21.75" customHeight="1" x14ac:dyDescent="0.6">
      <c r="A638" s="1"/>
      <c r="B638" s="6"/>
      <c r="C638" s="1"/>
      <c r="D638" s="48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21.75" customHeight="1" x14ac:dyDescent="0.6">
      <c r="A639" s="1"/>
      <c r="B639" s="6"/>
      <c r="C639" s="1"/>
      <c r="D639" s="48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21.75" customHeight="1" x14ac:dyDescent="0.6">
      <c r="A640" s="1"/>
      <c r="B640" s="6"/>
      <c r="C640" s="1"/>
      <c r="D640" s="48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21.75" customHeight="1" x14ac:dyDescent="0.6">
      <c r="A641" s="1"/>
      <c r="B641" s="6"/>
      <c r="C641" s="1"/>
      <c r="D641" s="48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21.75" customHeight="1" x14ac:dyDescent="0.6">
      <c r="A642" s="1"/>
      <c r="B642" s="6"/>
      <c r="C642" s="1"/>
      <c r="D642" s="48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21.75" customHeight="1" x14ac:dyDescent="0.6">
      <c r="A643" s="1"/>
      <c r="B643" s="6"/>
      <c r="C643" s="1"/>
      <c r="D643" s="48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21.75" customHeight="1" x14ac:dyDescent="0.6">
      <c r="A644" s="1"/>
      <c r="B644" s="6"/>
      <c r="C644" s="1"/>
      <c r="D644" s="48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21.75" customHeight="1" x14ac:dyDescent="0.6">
      <c r="A645" s="1"/>
      <c r="B645" s="6"/>
      <c r="C645" s="1"/>
      <c r="D645" s="48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21.75" customHeight="1" x14ac:dyDescent="0.6">
      <c r="A646" s="1"/>
      <c r="B646" s="6"/>
      <c r="C646" s="1"/>
      <c r="D646" s="48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21.75" customHeight="1" x14ac:dyDescent="0.6">
      <c r="A647" s="1"/>
      <c r="B647" s="6"/>
      <c r="C647" s="1"/>
      <c r="D647" s="48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21.75" customHeight="1" x14ac:dyDescent="0.6">
      <c r="A648" s="1"/>
      <c r="B648" s="6"/>
      <c r="C648" s="1"/>
      <c r="D648" s="48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21.75" customHeight="1" x14ac:dyDescent="0.6">
      <c r="A649" s="1"/>
      <c r="B649" s="6"/>
      <c r="C649" s="1"/>
      <c r="D649" s="48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21.75" customHeight="1" x14ac:dyDescent="0.6">
      <c r="A650" s="1"/>
      <c r="B650" s="6"/>
      <c r="C650" s="1"/>
      <c r="D650" s="48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21.75" customHeight="1" x14ac:dyDescent="0.6">
      <c r="A651" s="1"/>
      <c r="B651" s="6"/>
      <c r="C651" s="1"/>
      <c r="D651" s="48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21.75" customHeight="1" x14ac:dyDescent="0.6">
      <c r="A652" s="1"/>
      <c r="B652" s="6"/>
      <c r="C652" s="1"/>
      <c r="D652" s="48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21.75" customHeight="1" x14ac:dyDescent="0.6">
      <c r="A653" s="1"/>
      <c r="B653" s="6"/>
      <c r="C653" s="1"/>
      <c r="D653" s="48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21.75" customHeight="1" x14ac:dyDescent="0.6">
      <c r="A654" s="1"/>
      <c r="B654" s="6"/>
      <c r="C654" s="1"/>
      <c r="D654" s="48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21.75" customHeight="1" x14ac:dyDescent="0.6">
      <c r="A655" s="1"/>
      <c r="B655" s="6"/>
      <c r="C655" s="1"/>
      <c r="D655" s="48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21.75" customHeight="1" x14ac:dyDescent="0.6">
      <c r="A656" s="1"/>
      <c r="B656" s="6"/>
      <c r="C656" s="1"/>
      <c r="D656" s="48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21.75" customHeight="1" x14ac:dyDescent="0.6">
      <c r="A657" s="1"/>
      <c r="B657" s="6"/>
      <c r="C657" s="1"/>
      <c r="D657" s="48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21.75" customHeight="1" x14ac:dyDescent="0.6">
      <c r="A658" s="1"/>
      <c r="B658" s="6"/>
      <c r="C658" s="1"/>
      <c r="D658" s="48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21.75" customHeight="1" x14ac:dyDescent="0.6">
      <c r="A659" s="1"/>
      <c r="B659" s="6"/>
      <c r="C659" s="1"/>
      <c r="D659" s="48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21.75" customHeight="1" x14ac:dyDescent="0.6">
      <c r="A660" s="1"/>
      <c r="B660" s="6"/>
      <c r="C660" s="1"/>
      <c r="D660" s="48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21.75" customHeight="1" x14ac:dyDescent="0.6">
      <c r="A661" s="1"/>
      <c r="B661" s="6"/>
      <c r="C661" s="1"/>
      <c r="D661" s="48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21.75" customHeight="1" x14ac:dyDescent="0.6">
      <c r="A662" s="1"/>
      <c r="B662" s="6"/>
      <c r="C662" s="1"/>
      <c r="D662" s="48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21.75" customHeight="1" x14ac:dyDescent="0.6">
      <c r="A663" s="1"/>
      <c r="B663" s="6"/>
      <c r="C663" s="1"/>
      <c r="D663" s="48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21.75" customHeight="1" x14ac:dyDescent="0.6">
      <c r="A664" s="1"/>
      <c r="B664" s="6"/>
      <c r="C664" s="1"/>
      <c r="D664" s="48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21.75" customHeight="1" x14ac:dyDescent="0.6">
      <c r="A665" s="1"/>
      <c r="B665" s="6"/>
      <c r="C665" s="1"/>
      <c r="D665" s="48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21.75" customHeight="1" x14ac:dyDescent="0.6">
      <c r="A666" s="1"/>
      <c r="B666" s="6"/>
      <c r="C666" s="1"/>
      <c r="D666" s="48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21.75" customHeight="1" x14ac:dyDescent="0.6">
      <c r="A667" s="1"/>
      <c r="B667" s="6"/>
      <c r="C667" s="1"/>
      <c r="D667" s="48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21.75" customHeight="1" x14ac:dyDescent="0.6">
      <c r="A668" s="1"/>
      <c r="B668" s="6"/>
      <c r="C668" s="1"/>
      <c r="D668" s="48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21.75" customHeight="1" x14ac:dyDescent="0.6">
      <c r="A669" s="1"/>
      <c r="B669" s="6"/>
      <c r="C669" s="1"/>
      <c r="D669" s="48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21.75" customHeight="1" x14ac:dyDescent="0.6">
      <c r="A670" s="1"/>
      <c r="B670" s="6"/>
      <c r="C670" s="1"/>
      <c r="D670" s="48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21.75" customHeight="1" x14ac:dyDescent="0.6">
      <c r="A671" s="1"/>
      <c r="B671" s="6"/>
      <c r="C671" s="1"/>
      <c r="D671" s="48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21.75" customHeight="1" x14ac:dyDescent="0.6">
      <c r="A672" s="1"/>
      <c r="B672" s="6"/>
      <c r="C672" s="1"/>
      <c r="D672" s="48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21.75" customHeight="1" x14ac:dyDescent="0.6">
      <c r="A673" s="1"/>
      <c r="B673" s="6"/>
      <c r="C673" s="1"/>
      <c r="D673" s="48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21.75" customHeight="1" x14ac:dyDescent="0.6">
      <c r="A674" s="1"/>
      <c r="B674" s="6"/>
      <c r="C674" s="1"/>
      <c r="D674" s="48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21.75" customHeight="1" x14ac:dyDescent="0.6">
      <c r="A675" s="1"/>
      <c r="B675" s="6"/>
      <c r="C675" s="1"/>
      <c r="D675" s="48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21.75" customHeight="1" x14ac:dyDescent="0.6">
      <c r="A676" s="1"/>
      <c r="B676" s="6"/>
      <c r="C676" s="1"/>
      <c r="D676" s="48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21.75" customHeight="1" x14ac:dyDescent="0.6">
      <c r="A677" s="1"/>
      <c r="B677" s="6"/>
      <c r="C677" s="1"/>
      <c r="D677" s="48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21.75" customHeight="1" x14ac:dyDescent="0.6">
      <c r="A678" s="1"/>
      <c r="B678" s="6"/>
      <c r="C678" s="1"/>
      <c r="D678" s="48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21.75" customHeight="1" x14ac:dyDescent="0.6">
      <c r="A679" s="1"/>
      <c r="B679" s="6"/>
      <c r="C679" s="1"/>
      <c r="D679" s="48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21.75" customHeight="1" x14ac:dyDescent="0.6">
      <c r="A680" s="1"/>
      <c r="B680" s="6"/>
      <c r="C680" s="1"/>
      <c r="D680" s="48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21.75" customHeight="1" x14ac:dyDescent="0.6">
      <c r="A681" s="1"/>
      <c r="B681" s="6"/>
      <c r="C681" s="1"/>
      <c r="D681" s="48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21.75" customHeight="1" x14ac:dyDescent="0.6">
      <c r="A682" s="1"/>
      <c r="B682" s="6"/>
      <c r="C682" s="1"/>
      <c r="D682" s="48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21.75" customHeight="1" x14ac:dyDescent="0.6">
      <c r="A683" s="1"/>
      <c r="B683" s="6"/>
      <c r="C683" s="1"/>
      <c r="D683" s="48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21.75" customHeight="1" x14ac:dyDescent="0.6">
      <c r="A684" s="1"/>
      <c r="B684" s="6"/>
      <c r="C684" s="1"/>
      <c r="D684" s="48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21.75" customHeight="1" x14ac:dyDescent="0.6">
      <c r="A685" s="1"/>
      <c r="B685" s="6"/>
      <c r="C685" s="1"/>
      <c r="D685" s="48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21.75" customHeight="1" x14ac:dyDescent="0.6">
      <c r="A686" s="1"/>
      <c r="B686" s="6"/>
      <c r="C686" s="1"/>
      <c r="D686" s="48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21.75" customHeight="1" x14ac:dyDescent="0.6">
      <c r="A687" s="1"/>
      <c r="B687" s="6"/>
      <c r="C687" s="1"/>
      <c r="D687" s="48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21.75" customHeight="1" x14ac:dyDescent="0.6">
      <c r="A688" s="1"/>
      <c r="B688" s="6"/>
      <c r="C688" s="1"/>
      <c r="D688" s="48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21.75" customHeight="1" x14ac:dyDescent="0.6">
      <c r="A689" s="1"/>
      <c r="B689" s="6"/>
      <c r="C689" s="1"/>
      <c r="D689" s="48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21.75" customHeight="1" x14ac:dyDescent="0.6">
      <c r="A690" s="1"/>
      <c r="B690" s="6"/>
      <c r="C690" s="1"/>
      <c r="D690" s="48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21.75" customHeight="1" x14ac:dyDescent="0.6">
      <c r="A691" s="1"/>
      <c r="B691" s="6"/>
      <c r="C691" s="1"/>
      <c r="D691" s="48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21.75" customHeight="1" x14ac:dyDescent="0.6">
      <c r="A692" s="1"/>
      <c r="B692" s="6"/>
      <c r="C692" s="1"/>
      <c r="D692" s="48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21.75" customHeight="1" x14ac:dyDescent="0.6">
      <c r="A693" s="1"/>
      <c r="B693" s="6"/>
      <c r="C693" s="1"/>
      <c r="D693" s="48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21.75" customHeight="1" x14ac:dyDescent="0.6">
      <c r="A694" s="1"/>
      <c r="B694" s="6"/>
      <c r="C694" s="1"/>
      <c r="D694" s="48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21.75" customHeight="1" x14ac:dyDescent="0.6">
      <c r="A695" s="1"/>
      <c r="B695" s="6"/>
      <c r="C695" s="1"/>
      <c r="D695" s="48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21.75" customHeight="1" x14ac:dyDescent="0.6">
      <c r="A696" s="1"/>
      <c r="B696" s="6"/>
      <c r="C696" s="1"/>
      <c r="D696" s="48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21.75" customHeight="1" x14ac:dyDescent="0.6">
      <c r="A697" s="1"/>
      <c r="B697" s="6"/>
      <c r="C697" s="1"/>
      <c r="D697" s="48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21.75" customHeight="1" x14ac:dyDescent="0.6">
      <c r="A698" s="1"/>
      <c r="B698" s="6"/>
      <c r="C698" s="1"/>
      <c r="D698" s="48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21.75" customHeight="1" x14ac:dyDescent="0.6">
      <c r="A699" s="1"/>
      <c r="B699" s="6"/>
      <c r="C699" s="1"/>
      <c r="D699" s="48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21.75" customHeight="1" x14ac:dyDescent="0.6">
      <c r="A700" s="1"/>
      <c r="B700" s="6"/>
      <c r="C700" s="1"/>
      <c r="D700" s="48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21.75" customHeight="1" x14ac:dyDescent="0.6">
      <c r="A701" s="1"/>
      <c r="B701" s="6"/>
      <c r="C701" s="1"/>
      <c r="D701" s="48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21.75" customHeight="1" x14ac:dyDescent="0.6">
      <c r="A702" s="1"/>
      <c r="B702" s="6"/>
      <c r="C702" s="1"/>
      <c r="D702" s="48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21.75" customHeight="1" x14ac:dyDescent="0.6">
      <c r="A703" s="1"/>
      <c r="B703" s="6"/>
      <c r="C703" s="1"/>
      <c r="D703" s="48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21.75" customHeight="1" x14ac:dyDescent="0.6">
      <c r="A704" s="1"/>
      <c r="B704" s="6"/>
      <c r="C704" s="1"/>
      <c r="D704" s="48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21.75" customHeight="1" x14ac:dyDescent="0.6">
      <c r="A705" s="1"/>
      <c r="B705" s="6"/>
      <c r="C705" s="1"/>
      <c r="D705" s="48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21.75" customHeight="1" x14ac:dyDescent="0.6">
      <c r="A706" s="1"/>
      <c r="B706" s="6"/>
      <c r="C706" s="1"/>
      <c r="D706" s="48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21.75" customHeight="1" x14ac:dyDescent="0.6">
      <c r="A707" s="1"/>
      <c r="B707" s="6"/>
      <c r="C707" s="1"/>
      <c r="D707" s="48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21.75" customHeight="1" x14ac:dyDescent="0.6">
      <c r="A708" s="1"/>
      <c r="B708" s="6"/>
      <c r="C708" s="1"/>
      <c r="D708" s="48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21.75" customHeight="1" x14ac:dyDescent="0.6">
      <c r="A709" s="1"/>
      <c r="B709" s="6"/>
      <c r="C709" s="1"/>
      <c r="D709" s="48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21.75" customHeight="1" x14ac:dyDescent="0.6">
      <c r="A710" s="1"/>
      <c r="B710" s="6"/>
      <c r="C710" s="1"/>
      <c r="D710" s="48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21.75" customHeight="1" x14ac:dyDescent="0.6">
      <c r="A711" s="1"/>
      <c r="B711" s="6"/>
      <c r="C711" s="1"/>
      <c r="D711" s="48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21.75" customHeight="1" x14ac:dyDescent="0.6">
      <c r="A712" s="1"/>
      <c r="B712" s="6"/>
      <c r="C712" s="1"/>
      <c r="D712" s="48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21.75" customHeight="1" x14ac:dyDescent="0.6">
      <c r="A713" s="1"/>
      <c r="B713" s="6"/>
      <c r="C713" s="1"/>
      <c r="D713" s="48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21.75" customHeight="1" x14ac:dyDescent="0.6">
      <c r="A714" s="1"/>
      <c r="B714" s="6"/>
      <c r="C714" s="1"/>
      <c r="D714" s="48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21.75" customHeight="1" x14ac:dyDescent="0.6">
      <c r="A715" s="1"/>
      <c r="B715" s="6"/>
      <c r="C715" s="1"/>
      <c r="D715" s="48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21.75" customHeight="1" x14ac:dyDescent="0.6">
      <c r="A716" s="1"/>
      <c r="B716" s="6"/>
      <c r="C716" s="1"/>
      <c r="D716" s="48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21.75" customHeight="1" x14ac:dyDescent="0.6">
      <c r="A717" s="1"/>
      <c r="B717" s="6"/>
      <c r="C717" s="1"/>
      <c r="D717" s="48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21.75" customHeight="1" x14ac:dyDescent="0.6">
      <c r="A718" s="1"/>
      <c r="B718" s="6"/>
      <c r="C718" s="1"/>
      <c r="D718" s="48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21.75" customHeight="1" x14ac:dyDescent="0.6">
      <c r="A719" s="1"/>
      <c r="B719" s="6"/>
      <c r="C719" s="1"/>
      <c r="D719" s="48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21.75" customHeight="1" x14ac:dyDescent="0.6">
      <c r="A720" s="1"/>
      <c r="B720" s="6"/>
      <c r="C720" s="1"/>
      <c r="D720" s="48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21.75" customHeight="1" x14ac:dyDescent="0.6">
      <c r="A721" s="1"/>
      <c r="B721" s="6"/>
      <c r="C721" s="1"/>
      <c r="D721" s="48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21.75" customHeight="1" x14ac:dyDescent="0.6">
      <c r="A722" s="1"/>
      <c r="B722" s="6"/>
      <c r="C722" s="1"/>
      <c r="D722" s="48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21.75" customHeight="1" x14ac:dyDescent="0.6">
      <c r="A723" s="1"/>
      <c r="B723" s="6"/>
      <c r="C723" s="1"/>
      <c r="D723" s="48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21.75" customHeight="1" x14ac:dyDescent="0.6">
      <c r="A724" s="1"/>
      <c r="B724" s="6"/>
      <c r="C724" s="1"/>
      <c r="D724" s="48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21.75" customHeight="1" x14ac:dyDescent="0.6">
      <c r="A725" s="1"/>
      <c r="B725" s="6"/>
      <c r="C725" s="1"/>
      <c r="D725" s="48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21.75" customHeight="1" x14ac:dyDescent="0.6">
      <c r="A726" s="1"/>
      <c r="B726" s="6"/>
      <c r="C726" s="1"/>
      <c r="D726" s="48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21.75" customHeight="1" x14ac:dyDescent="0.6">
      <c r="A727" s="1"/>
      <c r="B727" s="6"/>
      <c r="C727" s="1"/>
      <c r="D727" s="48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21.75" customHeight="1" x14ac:dyDescent="0.6">
      <c r="A728" s="1"/>
      <c r="B728" s="6"/>
      <c r="C728" s="1"/>
      <c r="D728" s="48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21.75" customHeight="1" x14ac:dyDescent="0.6">
      <c r="A729" s="1"/>
      <c r="B729" s="6"/>
      <c r="C729" s="1"/>
      <c r="D729" s="48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21.75" customHeight="1" x14ac:dyDescent="0.6">
      <c r="A730" s="1"/>
      <c r="B730" s="6"/>
      <c r="C730" s="1"/>
      <c r="D730" s="48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21.75" customHeight="1" x14ac:dyDescent="0.6">
      <c r="A731" s="1"/>
      <c r="B731" s="6"/>
      <c r="C731" s="1"/>
      <c r="D731" s="48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21.75" customHeight="1" x14ac:dyDescent="0.6">
      <c r="A732" s="1"/>
      <c r="B732" s="6"/>
      <c r="C732" s="1"/>
      <c r="D732" s="48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21.75" customHeight="1" x14ac:dyDescent="0.6">
      <c r="A733" s="1"/>
      <c r="B733" s="6"/>
      <c r="C733" s="1"/>
      <c r="D733" s="48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21.75" customHeight="1" x14ac:dyDescent="0.6">
      <c r="A734" s="1"/>
      <c r="B734" s="6"/>
      <c r="C734" s="1"/>
      <c r="D734" s="48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21.75" customHeight="1" x14ac:dyDescent="0.6">
      <c r="A735" s="1"/>
      <c r="B735" s="6"/>
      <c r="C735" s="1"/>
      <c r="D735" s="48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21.75" customHeight="1" x14ac:dyDescent="0.6">
      <c r="A736" s="1"/>
      <c r="B736" s="6"/>
      <c r="C736" s="1"/>
      <c r="D736" s="48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21.75" customHeight="1" x14ac:dyDescent="0.6">
      <c r="A737" s="1"/>
      <c r="B737" s="6"/>
      <c r="C737" s="1"/>
      <c r="D737" s="48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21.75" customHeight="1" x14ac:dyDescent="0.6">
      <c r="A738" s="1"/>
      <c r="B738" s="6"/>
      <c r="C738" s="1"/>
      <c r="D738" s="48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21.75" customHeight="1" x14ac:dyDescent="0.6">
      <c r="A739" s="1"/>
      <c r="B739" s="6"/>
      <c r="C739" s="1"/>
      <c r="D739" s="48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21.75" customHeight="1" x14ac:dyDescent="0.6">
      <c r="A740" s="1"/>
      <c r="B740" s="6"/>
      <c r="C740" s="1"/>
      <c r="D740" s="48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21.75" customHeight="1" x14ac:dyDescent="0.6">
      <c r="A741" s="1"/>
      <c r="B741" s="6"/>
      <c r="C741" s="1"/>
      <c r="D741" s="48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21.75" customHeight="1" x14ac:dyDescent="0.6">
      <c r="A742" s="1"/>
      <c r="B742" s="6"/>
      <c r="C742" s="1"/>
      <c r="D742" s="48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21.75" customHeight="1" x14ac:dyDescent="0.6">
      <c r="A743" s="1"/>
      <c r="B743" s="6"/>
      <c r="C743" s="1"/>
      <c r="D743" s="48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21.75" customHeight="1" x14ac:dyDescent="0.6">
      <c r="A744" s="1"/>
      <c r="B744" s="6"/>
      <c r="C744" s="1"/>
      <c r="D744" s="48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21.75" customHeight="1" x14ac:dyDescent="0.6">
      <c r="A745" s="1"/>
      <c r="B745" s="6"/>
      <c r="C745" s="1"/>
      <c r="D745" s="48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21.75" customHeight="1" x14ac:dyDescent="0.6">
      <c r="A746" s="1"/>
      <c r="B746" s="6"/>
      <c r="C746" s="1"/>
      <c r="D746" s="48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21.75" customHeight="1" x14ac:dyDescent="0.6">
      <c r="A747" s="1"/>
      <c r="B747" s="6"/>
      <c r="C747" s="1"/>
      <c r="D747" s="48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21.75" customHeight="1" x14ac:dyDescent="0.6">
      <c r="A748" s="1"/>
      <c r="B748" s="6"/>
      <c r="C748" s="1"/>
      <c r="D748" s="48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21.75" customHeight="1" x14ac:dyDescent="0.6">
      <c r="A749" s="1"/>
      <c r="B749" s="6"/>
      <c r="C749" s="1"/>
      <c r="D749" s="48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21.75" customHeight="1" x14ac:dyDescent="0.6">
      <c r="A750" s="1"/>
      <c r="B750" s="6"/>
      <c r="C750" s="1"/>
      <c r="D750" s="48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21.75" customHeight="1" x14ac:dyDescent="0.6">
      <c r="A751" s="1"/>
      <c r="B751" s="6"/>
      <c r="C751" s="1"/>
      <c r="D751" s="48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21.75" customHeight="1" x14ac:dyDescent="0.6">
      <c r="A752" s="1"/>
      <c r="B752" s="6"/>
      <c r="C752" s="1"/>
      <c r="D752" s="48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21.75" customHeight="1" x14ac:dyDescent="0.6">
      <c r="A753" s="1"/>
      <c r="B753" s="6"/>
      <c r="C753" s="1"/>
      <c r="D753" s="48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21.75" customHeight="1" x14ac:dyDescent="0.6">
      <c r="A754" s="1"/>
      <c r="B754" s="6"/>
      <c r="C754" s="1"/>
      <c r="D754" s="48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21.75" customHeight="1" x14ac:dyDescent="0.6">
      <c r="A755" s="1"/>
      <c r="B755" s="6"/>
      <c r="C755" s="1"/>
      <c r="D755" s="48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21.75" customHeight="1" x14ac:dyDescent="0.6">
      <c r="A756" s="1"/>
      <c r="B756" s="6"/>
      <c r="C756" s="1"/>
      <c r="D756" s="48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21.75" customHeight="1" x14ac:dyDescent="0.6">
      <c r="A757" s="1"/>
      <c r="B757" s="6"/>
      <c r="C757" s="1"/>
      <c r="D757" s="48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21.75" customHeight="1" x14ac:dyDescent="0.6">
      <c r="A758" s="1"/>
      <c r="B758" s="6"/>
      <c r="C758" s="1"/>
      <c r="D758" s="48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21.75" customHeight="1" x14ac:dyDescent="0.6">
      <c r="A759" s="1"/>
      <c r="B759" s="6"/>
      <c r="C759" s="1"/>
      <c r="D759" s="48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21.75" customHeight="1" x14ac:dyDescent="0.6">
      <c r="A760" s="1"/>
      <c r="B760" s="6"/>
      <c r="C760" s="1"/>
      <c r="D760" s="48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21.75" customHeight="1" x14ac:dyDescent="0.6">
      <c r="A761" s="1"/>
      <c r="B761" s="6"/>
      <c r="C761" s="1"/>
      <c r="D761" s="48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21.75" customHeight="1" x14ac:dyDescent="0.6">
      <c r="A762" s="1"/>
      <c r="B762" s="6"/>
      <c r="C762" s="1"/>
      <c r="D762" s="48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21.75" customHeight="1" x14ac:dyDescent="0.6">
      <c r="A763" s="1"/>
      <c r="B763" s="6"/>
      <c r="C763" s="1"/>
      <c r="D763" s="48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21.75" customHeight="1" x14ac:dyDescent="0.6">
      <c r="A764" s="1"/>
      <c r="B764" s="6"/>
      <c r="C764" s="1"/>
      <c r="D764" s="48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21.75" customHeight="1" x14ac:dyDescent="0.6">
      <c r="A765" s="1"/>
      <c r="B765" s="6"/>
      <c r="C765" s="1"/>
      <c r="D765" s="48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21.75" customHeight="1" x14ac:dyDescent="0.6">
      <c r="A766" s="1"/>
      <c r="B766" s="6"/>
      <c r="C766" s="1"/>
      <c r="D766" s="48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21.75" customHeight="1" x14ac:dyDescent="0.6">
      <c r="A767" s="1"/>
      <c r="B767" s="6"/>
      <c r="C767" s="1"/>
      <c r="D767" s="48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21.75" customHeight="1" x14ac:dyDescent="0.6">
      <c r="A768" s="1"/>
      <c r="B768" s="6"/>
      <c r="C768" s="1"/>
      <c r="D768" s="48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21.75" customHeight="1" x14ac:dyDescent="0.6">
      <c r="A769" s="1"/>
      <c r="B769" s="6"/>
      <c r="C769" s="1"/>
      <c r="D769" s="48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21.75" customHeight="1" x14ac:dyDescent="0.6">
      <c r="A770" s="1"/>
      <c r="B770" s="6"/>
      <c r="C770" s="1"/>
      <c r="D770" s="48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21.75" customHeight="1" x14ac:dyDescent="0.6">
      <c r="A771" s="1"/>
      <c r="B771" s="6"/>
      <c r="C771" s="1"/>
      <c r="D771" s="48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21.75" customHeight="1" x14ac:dyDescent="0.6">
      <c r="A772" s="1"/>
      <c r="B772" s="6"/>
      <c r="C772" s="1"/>
      <c r="D772" s="48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21.75" customHeight="1" x14ac:dyDescent="0.6">
      <c r="A773" s="1"/>
      <c r="B773" s="6"/>
      <c r="C773" s="1"/>
      <c r="D773" s="48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21.75" customHeight="1" x14ac:dyDescent="0.6">
      <c r="A774" s="1"/>
      <c r="B774" s="6"/>
      <c r="C774" s="1"/>
      <c r="D774" s="48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21.75" customHeight="1" x14ac:dyDescent="0.6">
      <c r="A775" s="1"/>
      <c r="B775" s="6"/>
      <c r="C775" s="1"/>
      <c r="D775" s="48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21.75" customHeight="1" x14ac:dyDescent="0.6">
      <c r="A776" s="1"/>
      <c r="B776" s="6"/>
      <c r="C776" s="1"/>
      <c r="D776" s="48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21.75" customHeight="1" x14ac:dyDescent="0.6">
      <c r="A777" s="1"/>
      <c r="B777" s="6"/>
      <c r="C777" s="1"/>
      <c r="D777" s="48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21.75" customHeight="1" x14ac:dyDescent="0.6">
      <c r="A778" s="1"/>
      <c r="B778" s="6"/>
      <c r="C778" s="1"/>
      <c r="D778" s="48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21.75" customHeight="1" x14ac:dyDescent="0.6">
      <c r="A779" s="1"/>
      <c r="B779" s="6"/>
      <c r="C779" s="1"/>
      <c r="D779" s="48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21.75" customHeight="1" x14ac:dyDescent="0.6">
      <c r="A780" s="1"/>
      <c r="B780" s="6"/>
      <c r="C780" s="1"/>
      <c r="D780" s="48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21.75" customHeight="1" x14ac:dyDescent="0.6">
      <c r="A781" s="1"/>
      <c r="B781" s="6"/>
      <c r="C781" s="1"/>
      <c r="D781" s="48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21.75" customHeight="1" x14ac:dyDescent="0.6">
      <c r="A782" s="1"/>
      <c r="B782" s="6"/>
      <c r="C782" s="1"/>
      <c r="D782" s="48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21.75" customHeight="1" x14ac:dyDescent="0.6">
      <c r="A783" s="1"/>
      <c r="B783" s="6"/>
      <c r="C783" s="1"/>
      <c r="D783" s="48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21.75" customHeight="1" x14ac:dyDescent="0.6">
      <c r="A784" s="1"/>
      <c r="B784" s="6"/>
      <c r="C784" s="1"/>
      <c r="D784" s="48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21.75" customHeight="1" x14ac:dyDescent="0.6">
      <c r="A785" s="1"/>
      <c r="B785" s="6"/>
      <c r="C785" s="1"/>
      <c r="D785" s="48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21.75" customHeight="1" x14ac:dyDescent="0.6">
      <c r="A786" s="1"/>
      <c r="B786" s="6"/>
      <c r="C786" s="1"/>
      <c r="D786" s="48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21.75" customHeight="1" x14ac:dyDescent="0.6">
      <c r="A787" s="1"/>
      <c r="B787" s="6"/>
      <c r="C787" s="1"/>
      <c r="D787" s="48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21.75" customHeight="1" x14ac:dyDescent="0.6">
      <c r="A788" s="1"/>
      <c r="B788" s="6"/>
      <c r="C788" s="1"/>
      <c r="D788" s="48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21.75" customHeight="1" x14ac:dyDescent="0.6">
      <c r="A789" s="1"/>
      <c r="B789" s="6"/>
      <c r="C789" s="1"/>
      <c r="D789" s="48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21.75" customHeight="1" x14ac:dyDescent="0.6">
      <c r="A790" s="1"/>
      <c r="B790" s="6"/>
      <c r="C790" s="1"/>
      <c r="D790" s="48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21.75" customHeight="1" x14ac:dyDescent="0.6">
      <c r="A791" s="1"/>
      <c r="B791" s="6"/>
      <c r="C791" s="1"/>
      <c r="D791" s="48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21.75" customHeight="1" x14ac:dyDescent="0.6">
      <c r="A792" s="1"/>
      <c r="B792" s="6"/>
      <c r="C792" s="1"/>
      <c r="D792" s="48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21.75" customHeight="1" x14ac:dyDescent="0.6">
      <c r="A793" s="1"/>
      <c r="B793" s="6"/>
      <c r="C793" s="1"/>
      <c r="D793" s="48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21.75" customHeight="1" x14ac:dyDescent="0.6">
      <c r="A794" s="1"/>
      <c r="B794" s="6"/>
      <c r="C794" s="1"/>
      <c r="D794" s="48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21.75" customHeight="1" x14ac:dyDescent="0.6">
      <c r="A795" s="1"/>
      <c r="B795" s="6"/>
      <c r="C795" s="1"/>
      <c r="D795" s="48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21.75" customHeight="1" x14ac:dyDescent="0.6">
      <c r="A796" s="1"/>
      <c r="B796" s="6"/>
      <c r="C796" s="1"/>
      <c r="D796" s="48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21.75" customHeight="1" x14ac:dyDescent="0.6">
      <c r="A797" s="1"/>
      <c r="B797" s="6"/>
      <c r="C797" s="1"/>
      <c r="D797" s="48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21.75" customHeight="1" x14ac:dyDescent="0.6">
      <c r="A798" s="1"/>
      <c r="B798" s="6"/>
      <c r="C798" s="1"/>
      <c r="D798" s="48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21.75" customHeight="1" x14ac:dyDescent="0.6">
      <c r="A799" s="1"/>
      <c r="B799" s="6"/>
      <c r="C799" s="1"/>
      <c r="D799" s="48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21.75" customHeight="1" x14ac:dyDescent="0.6">
      <c r="A800" s="1"/>
      <c r="B800" s="6"/>
      <c r="C800" s="1"/>
      <c r="D800" s="48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21.75" customHeight="1" x14ac:dyDescent="0.6">
      <c r="A801" s="1"/>
      <c r="B801" s="6"/>
      <c r="C801" s="1"/>
      <c r="D801" s="48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21.75" customHeight="1" x14ac:dyDescent="0.6">
      <c r="A802" s="1"/>
      <c r="B802" s="6"/>
      <c r="C802" s="1"/>
      <c r="D802" s="48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21.75" customHeight="1" x14ac:dyDescent="0.6">
      <c r="A803" s="1"/>
      <c r="B803" s="6"/>
      <c r="C803" s="1"/>
      <c r="D803" s="48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21.75" customHeight="1" x14ac:dyDescent="0.6">
      <c r="A804" s="1"/>
      <c r="B804" s="6"/>
      <c r="C804" s="1"/>
      <c r="D804" s="48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21.75" customHeight="1" x14ac:dyDescent="0.6">
      <c r="A805" s="1"/>
      <c r="B805" s="6"/>
      <c r="C805" s="1"/>
      <c r="D805" s="48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21.75" customHeight="1" x14ac:dyDescent="0.6">
      <c r="A806" s="1"/>
      <c r="B806" s="6"/>
      <c r="C806" s="1"/>
      <c r="D806" s="48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21.75" customHeight="1" x14ac:dyDescent="0.6">
      <c r="A807" s="1"/>
      <c r="B807" s="6"/>
      <c r="C807" s="1"/>
      <c r="D807" s="48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21.75" customHeight="1" x14ac:dyDescent="0.6">
      <c r="A808" s="1"/>
      <c r="B808" s="6"/>
      <c r="C808" s="1"/>
      <c r="D808" s="48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21.75" customHeight="1" x14ac:dyDescent="0.6">
      <c r="A809" s="1"/>
      <c r="B809" s="6"/>
      <c r="C809" s="1"/>
      <c r="D809" s="48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21.75" customHeight="1" x14ac:dyDescent="0.6">
      <c r="A810" s="1"/>
      <c r="B810" s="6"/>
      <c r="C810" s="1"/>
      <c r="D810" s="48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21.75" customHeight="1" x14ac:dyDescent="0.6">
      <c r="A811" s="1"/>
      <c r="B811" s="6"/>
      <c r="C811" s="1"/>
      <c r="D811" s="48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21.75" customHeight="1" x14ac:dyDescent="0.6">
      <c r="A812" s="1"/>
      <c r="B812" s="6"/>
      <c r="C812" s="1"/>
      <c r="D812" s="48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21.75" customHeight="1" x14ac:dyDescent="0.6">
      <c r="A813" s="1"/>
      <c r="B813" s="6"/>
      <c r="C813" s="1"/>
      <c r="D813" s="48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21.75" customHeight="1" x14ac:dyDescent="0.6">
      <c r="A814" s="1"/>
      <c r="B814" s="6"/>
      <c r="C814" s="1"/>
      <c r="D814" s="48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21.75" customHeight="1" x14ac:dyDescent="0.6">
      <c r="A815" s="1"/>
      <c r="B815" s="6"/>
      <c r="C815" s="1"/>
      <c r="D815" s="48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21.75" customHeight="1" x14ac:dyDescent="0.6">
      <c r="A816" s="1"/>
      <c r="B816" s="6"/>
      <c r="C816" s="1"/>
      <c r="D816" s="48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21.75" customHeight="1" x14ac:dyDescent="0.6">
      <c r="A817" s="1"/>
      <c r="B817" s="6"/>
      <c r="C817" s="1"/>
      <c r="D817" s="48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21.75" customHeight="1" x14ac:dyDescent="0.6">
      <c r="A818" s="1"/>
      <c r="B818" s="6"/>
      <c r="C818" s="1"/>
      <c r="D818" s="48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21.75" customHeight="1" x14ac:dyDescent="0.6">
      <c r="A819" s="1"/>
      <c r="B819" s="6"/>
      <c r="C819" s="1"/>
      <c r="D819" s="48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21.75" customHeight="1" x14ac:dyDescent="0.6">
      <c r="A820" s="1"/>
      <c r="B820" s="6"/>
      <c r="C820" s="1"/>
      <c r="D820" s="48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21.75" customHeight="1" x14ac:dyDescent="0.6">
      <c r="A821" s="1"/>
      <c r="B821" s="6"/>
      <c r="C821" s="1"/>
      <c r="D821" s="48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21.75" customHeight="1" x14ac:dyDescent="0.6">
      <c r="A822" s="1"/>
      <c r="B822" s="6"/>
      <c r="C822" s="1"/>
      <c r="D822" s="48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21.75" customHeight="1" x14ac:dyDescent="0.6">
      <c r="A823" s="1"/>
      <c r="B823" s="6"/>
      <c r="C823" s="1"/>
      <c r="D823" s="48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21.75" customHeight="1" x14ac:dyDescent="0.6">
      <c r="A824" s="1"/>
      <c r="B824" s="6"/>
      <c r="C824" s="1"/>
      <c r="D824" s="48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21.75" customHeight="1" x14ac:dyDescent="0.6">
      <c r="A825" s="1"/>
      <c r="B825" s="6"/>
      <c r="C825" s="1"/>
      <c r="D825" s="48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21.75" customHeight="1" x14ac:dyDescent="0.6">
      <c r="A826" s="1"/>
      <c r="B826" s="6"/>
      <c r="C826" s="1"/>
      <c r="D826" s="48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21.75" customHeight="1" x14ac:dyDescent="0.6">
      <c r="A827" s="1"/>
      <c r="B827" s="6"/>
      <c r="C827" s="1"/>
      <c r="D827" s="48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21.75" customHeight="1" x14ac:dyDescent="0.6">
      <c r="A828" s="1"/>
      <c r="B828" s="6"/>
      <c r="C828" s="1"/>
      <c r="D828" s="48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21.75" customHeight="1" x14ac:dyDescent="0.6">
      <c r="A829" s="1"/>
      <c r="B829" s="6"/>
      <c r="C829" s="1"/>
      <c r="D829" s="48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21.75" customHeight="1" x14ac:dyDescent="0.6">
      <c r="A830" s="1"/>
      <c r="B830" s="6"/>
      <c r="C830" s="1"/>
      <c r="D830" s="48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21.75" customHeight="1" x14ac:dyDescent="0.6">
      <c r="A831" s="1"/>
      <c r="B831" s="6"/>
      <c r="C831" s="1"/>
      <c r="D831" s="48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21.75" customHeight="1" x14ac:dyDescent="0.6">
      <c r="A832" s="1"/>
      <c r="B832" s="6"/>
      <c r="C832" s="1"/>
      <c r="D832" s="48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21.75" customHeight="1" x14ac:dyDescent="0.6">
      <c r="A833" s="1"/>
      <c r="B833" s="6"/>
      <c r="C833" s="1"/>
      <c r="D833" s="48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21.75" customHeight="1" x14ac:dyDescent="0.6">
      <c r="A834" s="1"/>
      <c r="B834" s="6"/>
      <c r="C834" s="1"/>
      <c r="D834" s="48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21.75" customHeight="1" x14ac:dyDescent="0.6">
      <c r="A835" s="1"/>
      <c r="B835" s="6"/>
      <c r="C835" s="1"/>
      <c r="D835" s="48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21.75" customHeight="1" x14ac:dyDescent="0.6">
      <c r="A836" s="1"/>
      <c r="B836" s="6"/>
      <c r="C836" s="1"/>
      <c r="D836" s="48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21.75" customHeight="1" x14ac:dyDescent="0.6">
      <c r="A837" s="1"/>
      <c r="B837" s="6"/>
      <c r="C837" s="1"/>
      <c r="D837" s="48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21.75" customHeight="1" x14ac:dyDescent="0.6">
      <c r="A838" s="1"/>
      <c r="B838" s="6"/>
      <c r="C838" s="1"/>
      <c r="D838" s="48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21.75" customHeight="1" x14ac:dyDescent="0.6">
      <c r="A839" s="1"/>
      <c r="B839" s="6"/>
      <c r="C839" s="1"/>
      <c r="D839" s="48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21.75" customHeight="1" x14ac:dyDescent="0.6">
      <c r="A840" s="1"/>
      <c r="B840" s="6"/>
      <c r="C840" s="1"/>
      <c r="D840" s="48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21.75" customHeight="1" x14ac:dyDescent="0.6">
      <c r="A841" s="1"/>
      <c r="B841" s="6"/>
      <c r="C841" s="1"/>
      <c r="D841" s="48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21.75" customHeight="1" x14ac:dyDescent="0.6">
      <c r="A842" s="1"/>
      <c r="B842" s="6"/>
      <c r="C842" s="1"/>
      <c r="D842" s="48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21.75" customHeight="1" x14ac:dyDescent="0.6">
      <c r="A843" s="1"/>
      <c r="B843" s="6"/>
      <c r="C843" s="1"/>
      <c r="D843" s="48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21.75" customHeight="1" x14ac:dyDescent="0.6">
      <c r="A844" s="1"/>
      <c r="B844" s="6"/>
      <c r="C844" s="1"/>
      <c r="D844" s="48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21.75" customHeight="1" x14ac:dyDescent="0.6">
      <c r="A845" s="1"/>
      <c r="B845" s="6"/>
      <c r="C845" s="1"/>
      <c r="D845" s="48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21.75" customHeight="1" x14ac:dyDescent="0.6">
      <c r="A846" s="1"/>
      <c r="B846" s="6"/>
      <c r="C846" s="1"/>
      <c r="D846" s="48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21.75" customHeight="1" x14ac:dyDescent="0.6">
      <c r="A847" s="1"/>
      <c r="B847" s="6"/>
      <c r="C847" s="1"/>
      <c r="D847" s="48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21.75" customHeight="1" x14ac:dyDescent="0.6">
      <c r="A848" s="1"/>
      <c r="B848" s="6"/>
      <c r="C848" s="1"/>
      <c r="D848" s="48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21.75" customHeight="1" x14ac:dyDescent="0.6">
      <c r="A849" s="1"/>
      <c r="B849" s="6"/>
      <c r="C849" s="1"/>
      <c r="D849" s="48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21.75" customHeight="1" x14ac:dyDescent="0.6">
      <c r="A850" s="1"/>
      <c r="B850" s="6"/>
      <c r="C850" s="1"/>
      <c r="D850" s="48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21.75" customHeight="1" x14ac:dyDescent="0.6">
      <c r="A851" s="1"/>
      <c r="B851" s="6"/>
      <c r="C851" s="1"/>
      <c r="D851" s="48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21.75" customHeight="1" x14ac:dyDescent="0.6">
      <c r="A852" s="1"/>
      <c r="B852" s="6"/>
      <c r="C852" s="1"/>
      <c r="D852" s="48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21.75" customHeight="1" x14ac:dyDescent="0.6">
      <c r="A853" s="1"/>
      <c r="B853" s="6"/>
      <c r="C853" s="1"/>
      <c r="D853" s="48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21.75" customHeight="1" x14ac:dyDescent="0.6">
      <c r="A854" s="1"/>
      <c r="B854" s="6"/>
      <c r="C854" s="1"/>
      <c r="D854" s="48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21.75" customHeight="1" x14ac:dyDescent="0.6">
      <c r="A855" s="1"/>
      <c r="B855" s="6"/>
      <c r="C855" s="1"/>
      <c r="D855" s="48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21.75" customHeight="1" x14ac:dyDescent="0.6">
      <c r="A856" s="1"/>
      <c r="B856" s="6"/>
      <c r="C856" s="1"/>
      <c r="D856" s="48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21.75" customHeight="1" x14ac:dyDescent="0.6">
      <c r="A857" s="1"/>
      <c r="B857" s="6"/>
      <c r="C857" s="1"/>
      <c r="D857" s="48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21.75" customHeight="1" x14ac:dyDescent="0.6">
      <c r="A858" s="1"/>
      <c r="B858" s="6"/>
      <c r="C858" s="1"/>
      <c r="D858" s="48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21.75" customHeight="1" x14ac:dyDescent="0.6">
      <c r="A859" s="1"/>
      <c r="B859" s="6"/>
      <c r="C859" s="1"/>
      <c r="D859" s="48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21.75" customHeight="1" x14ac:dyDescent="0.6">
      <c r="A860" s="1"/>
      <c r="B860" s="6"/>
      <c r="C860" s="1"/>
      <c r="D860" s="48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21.75" customHeight="1" x14ac:dyDescent="0.6">
      <c r="A861" s="1"/>
      <c r="B861" s="6"/>
      <c r="C861" s="1"/>
      <c r="D861" s="48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21.75" customHeight="1" x14ac:dyDescent="0.6">
      <c r="A862" s="1"/>
      <c r="B862" s="6"/>
      <c r="C862" s="1"/>
      <c r="D862" s="48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21.75" customHeight="1" x14ac:dyDescent="0.6">
      <c r="A863" s="1"/>
      <c r="B863" s="6"/>
      <c r="C863" s="1"/>
      <c r="D863" s="48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21.75" customHeight="1" x14ac:dyDescent="0.6">
      <c r="A864" s="1"/>
      <c r="B864" s="6"/>
      <c r="C864" s="1"/>
      <c r="D864" s="48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21.75" customHeight="1" x14ac:dyDescent="0.6">
      <c r="A865" s="1"/>
      <c r="B865" s="6"/>
      <c r="C865" s="1"/>
      <c r="D865" s="48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21.75" customHeight="1" x14ac:dyDescent="0.6">
      <c r="A866" s="1"/>
      <c r="B866" s="6"/>
      <c r="C866" s="1"/>
      <c r="D866" s="48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21.75" customHeight="1" x14ac:dyDescent="0.6">
      <c r="A867" s="1"/>
      <c r="B867" s="6"/>
      <c r="C867" s="1"/>
      <c r="D867" s="48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21.75" customHeight="1" x14ac:dyDescent="0.6">
      <c r="A868" s="1"/>
      <c r="B868" s="6"/>
      <c r="C868" s="1"/>
      <c r="D868" s="48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21.75" customHeight="1" x14ac:dyDescent="0.6">
      <c r="A869" s="1"/>
      <c r="B869" s="6"/>
      <c r="C869" s="1"/>
      <c r="D869" s="48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21.75" customHeight="1" x14ac:dyDescent="0.6">
      <c r="A870" s="1"/>
      <c r="B870" s="6"/>
      <c r="C870" s="1"/>
      <c r="D870" s="48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21.75" customHeight="1" x14ac:dyDescent="0.6">
      <c r="A871" s="1"/>
      <c r="B871" s="6"/>
      <c r="C871" s="1"/>
      <c r="D871" s="48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21.75" customHeight="1" x14ac:dyDescent="0.6">
      <c r="A872" s="1"/>
      <c r="B872" s="6"/>
      <c r="C872" s="1"/>
      <c r="D872" s="48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21.75" customHeight="1" x14ac:dyDescent="0.6">
      <c r="A873" s="1"/>
      <c r="B873" s="6"/>
      <c r="C873" s="1"/>
      <c r="D873" s="48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21.75" customHeight="1" x14ac:dyDescent="0.6">
      <c r="A874" s="1"/>
      <c r="B874" s="6"/>
      <c r="C874" s="1"/>
      <c r="D874" s="48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21.75" customHeight="1" x14ac:dyDescent="0.6">
      <c r="A875" s="1"/>
      <c r="B875" s="6"/>
      <c r="C875" s="1"/>
      <c r="D875" s="48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21.75" customHeight="1" x14ac:dyDescent="0.6">
      <c r="A876" s="1"/>
      <c r="B876" s="6"/>
      <c r="C876" s="1"/>
      <c r="D876" s="48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21.75" customHeight="1" x14ac:dyDescent="0.6">
      <c r="A877" s="1"/>
      <c r="B877" s="6"/>
      <c r="C877" s="1"/>
      <c r="D877" s="48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21.75" customHeight="1" x14ac:dyDescent="0.6">
      <c r="A878" s="1"/>
      <c r="B878" s="6"/>
      <c r="C878" s="1"/>
      <c r="D878" s="48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21.75" customHeight="1" x14ac:dyDescent="0.6">
      <c r="A879" s="1"/>
      <c r="B879" s="6"/>
      <c r="C879" s="1"/>
      <c r="D879" s="48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21.75" customHeight="1" x14ac:dyDescent="0.6">
      <c r="A880" s="1"/>
      <c r="B880" s="6"/>
      <c r="C880" s="1"/>
      <c r="D880" s="48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21.75" customHeight="1" x14ac:dyDescent="0.6">
      <c r="A881" s="1"/>
      <c r="B881" s="6"/>
      <c r="C881" s="1"/>
      <c r="D881" s="48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21.75" customHeight="1" x14ac:dyDescent="0.6">
      <c r="A882" s="1"/>
      <c r="B882" s="6"/>
      <c r="C882" s="1"/>
      <c r="D882" s="48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21.75" customHeight="1" x14ac:dyDescent="0.6">
      <c r="A883" s="1"/>
      <c r="B883" s="6"/>
      <c r="C883" s="1"/>
      <c r="D883" s="48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21.75" customHeight="1" x14ac:dyDescent="0.6">
      <c r="A884" s="1"/>
      <c r="B884" s="6"/>
      <c r="C884" s="1"/>
      <c r="D884" s="48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21.75" customHeight="1" x14ac:dyDescent="0.6">
      <c r="A885" s="1"/>
      <c r="B885" s="6"/>
      <c r="C885" s="1"/>
      <c r="D885" s="48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21.75" customHeight="1" x14ac:dyDescent="0.6">
      <c r="A886" s="1"/>
      <c r="B886" s="6"/>
      <c r="C886" s="1"/>
      <c r="D886" s="48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21.75" customHeight="1" x14ac:dyDescent="0.6">
      <c r="A887" s="1"/>
      <c r="B887" s="6"/>
      <c r="C887" s="1"/>
      <c r="D887" s="48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21.75" customHeight="1" x14ac:dyDescent="0.6">
      <c r="A888" s="1"/>
      <c r="B888" s="6"/>
      <c r="C888" s="1"/>
      <c r="D888" s="48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21.75" customHeight="1" x14ac:dyDescent="0.6">
      <c r="A889" s="1"/>
      <c r="B889" s="6"/>
      <c r="C889" s="1"/>
      <c r="D889" s="48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21.75" customHeight="1" x14ac:dyDescent="0.6">
      <c r="A890" s="1"/>
      <c r="B890" s="6"/>
      <c r="C890" s="1"/>
      <c r="D890" s="48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21.75" customHeight="1" x14ac:dyDescent="0.6">
      <c r="A891" s="1"/>
      <c r="B891" s="6"/>
      <c r="C891" s="1"/>
      <c r="D891" s="48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21.75" customHeight="1" x14ac:dyDescent="0.6">
      <c r="A892" s="1"/>
      <c r="B892" s="6"/>
      <c r="C892" s="1"/>
      <c r="D892" s="48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21.75" customHeight="1" x14ac:dyDescent="0.6">
      <c r="A893" s="1"/>
      <c r="B893" s="6"/>
      <c r="C893" s="1"/>
      <c r="D893" s="48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21.75" customHeight="1" x14ac:dyDescent="0.6">
      <c r="A894" s="1"/>
      <c r="B894" s="6"/>
      <c r="C894" s="1"/>
      <c r="D894" s="48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21.75" customHeight="1" x14ac:dyDescent="0.6">
      <c r="A895" s="1"/>
      <c r="B895" s="6"/>
      <c r="C895" s="1"/>
      <c r="D895" s="48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21.75" customHeight="1" x14ac:dyDescent="0.6">
      <c r="A896" s="1"/>
      <c r="B896" s="6"/>
      <c r="C896" s="1"/>
      <c r="D896" s="48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21.75" customHeight="1" x14ac:dyDescent="0.6">
      <c r="A897" s="1"/>
      <c r="B897" s="6"/>
      <c r="C897" s="1"/>
      <c r="D897" s="48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21.75" customHeight="1" x14ac:dyDescent="0.6">
      <c r="A898" s="1"/>
      <c r="B898" s="6"/>
      <c r="C898" s="1"/>
      <c r="D898" s="48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21.75" customHeight="1" x14ac:dyDescent="0.6">
      <c r="A899" s="1"/>
      <c r="B899" s="6"/>
      <c r="C899" s="1"/>
      <c r="D899" s="48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21.75" customHeight="1" x14ac:dyDescent="0.6">
      <c r="A900" s="1"/>
      <c r="B900" s="6"/>
      <c r="C900" s="1"/>
      <c r="D900" s="48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21.75" customHeight="1" x14ac:dyDescent="0.6">
      <c r="A901" s="1"/>
      <c r="B901" s="6"/>
      <c r="C901" s="1"/>
      <c r="D901" s="48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21.75" customHeight="1" x14ac:dyDescent="0.6">
      <c r="A902" s="1"/>
      <c r="B902" s="6"/>
      <c r="C902" s="1"/>
      <c r="D902" s="48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21.75" customHeight="1" x14ac:dyDescent="0.6">
      <c r="A903" s="1"/>
      <c r="B903" s="6"/>
      <c r="C903" s="1"/>
      <c r="D903" s="48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21.75" customHeight="1" x14ac:dyDescent="0.6">
      <c r="A904" s="1"/>
      <c r="B904" s="6"/>
      <c r="C904" s="1"/>
      <c r="D904" s="48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21.75" customHeight="1" x14ac:dyDescent="0.6">
      <c r="A905" s="1"/>
      <c r="B905" s="6"/>
      <c r="C905" s="1"/>
      <c r="D905" s="48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21.75" customHeight="1" x14ac:dyDescent="0.6">
      <c r="A906" s="1"/>
      <c r="B906" s="6"/>
      <c r="C906" s="1"/>
      <c r="D906" s="48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21.75" customHeight="1" x14ac:dyDescent="0.6">
      <c r="A907" s="1"/>
      <c r="B907" s="6"/>
      <c r="C907" s="1"/>
      <c r="D907" s="48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21.75" customHeight="1" x14ac:dyDescent="0.6">
      <c r="A908" s="1"/>
      <c r="B908" s="6"/>
      <c r="C908" s="1"/>
      <c r="D908" s="48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21.75" customHeight="1" x14ac:dyDescent="0.6">
      <c r="A909" s="1"/>
      <c r="B909" s="6"/>
      <c r="C909" s="1"/>
      <c r="D909" s="48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21.75" customHeight="1" x14ac:dyDescent="0.6">
      <c r="A910" s="1"/>
      <c r="B910" s="6"/>
      <c r="C910" s="1"/>
      <c r="D910" s="48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21.75" customHeight="1" x14ac:dyDescent="0.6">
      <c r="A911" s="1"/>
      <c r="B911" s="6"/>
      <c r="C911" s="1"/>
      <c r="D911" s="48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21.75" customHeight="1" x14ac:dyDescent="0.6">
      <c r="A912" s="1"/>
      <c r="B912" s="6"/>
      <c r="C912" s="1"/>
      <c r="D912" s="48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21.75" customHeight="1" x14ac:dyDescent="0.6">
      <c r="A913" s="1"/>
      <c r="B913" s="6"/>
      <c r="C913" s="1"/>
      <c r="D913" s="48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21.75" customHeight="1" x14ac:dyDescent="0.6">
      <c r="A914" s="1"/>
      <c r="B914" s="6"/>
      <c r="C914" s="1"/>
      <c r="D914" s="48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21.75" customHeight="1" x14ac:dyDescent="0.6">
      <c r="A915" s="1"/>
      <c r="B915" s="6"/>
      <c r="C915" s="1"/>
      <c r="D915" s="48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21.75" customHeight="1" x14ac:dyDescent="0.6">
      <c r="A916" s="1"/>
      <c r="B916" s="6"/>
      <c r="C916" s="1"/>
      <c r="D916" s="48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21.75" customHeight="1" x14ac:dyDescent="0.6">
      <c r="A917" s="1"/>
      <c r="B917" s="6"/>
      <c r="C917" s="1"/>
      <c r="D917" s="48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21.75" customHeight="1" x14ac:dyDescent="0.6">
      <c r="A918" s="1"/>
      <c r="B918" s="6"/>
      <c r="C918" s="1"/>
      <c r="D918" s="48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21.75" customHeight="1" x14ac:dyDescent="0.6">
      <c r="A919" s="1"/>
      <c r="B919" s="6"/>
      <c r="C919" s="1"/>
      <c r="D919" s="48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21.75" customHeight="1" x14ac:dyDescent="0.6">
      <c r="A920" s="1"/>
      <c r="B920" s="6"/>
      <c r="C920" s="1"/>
      <c r="D920" s="48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21.75" customHeight="1" x14ac:dyDescent="0.6">
      <c r="A921" s="1"/>
      <c r="B921" s="6"/>
      <c r="C921" s="1"/>
      <c r="D921" s="48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21.75" customHeight="1" x14ac:dyDescent="0.6">
      <c r="A922" s="1"/>
      <c r="B922" s="6"/>
      <c r="C922" s="1"/>
      <c r="D922" s="48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21.75" customHeight="1" x14ac:dyDescent="0.6">
      <c r="A923" s="1"/>
      <c r="B923" s="6"/>
      <c r="C923" s="1"/>
      <c r="D923" s="48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21.75" customHeight="1" x14ac:dyDescent="0.6">
      <c r="A924" s="1"/>
      <c r="B924" s="6"/>
      <c r="C924" s="1"/>
      <c r="D924" s="48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21.75" customHeight="1" x14ac:dyDescent="0.6">
      <c r="A925" s="1"/>
      <c r="B925" s="6"/>
      <c r="C925" s="1"/>
      <c r="D925" s="48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21.75" customHeight="1" x14ac:dyDescent="0.6">
      <c r="A926" s="1"/>
      <c r="B926" s="6"/>
      <c r="C926" s="1"/>
      <c r="D926" s="48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21.75" customHeight="1" x14ac:dyDescent="0.6">
      <c r="A927" s="1"/>
      <c r="B927" s="6"/>
      <c r="C927" s="1"/>
      <c r="D927" s="48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21.75" customHeight="1" x14ac:dyDescent="0.6">
      <c r="A928" s="1"/>
      <c r="B928" s="6"/>
      <c r="C928" s="1"/>
      <c r="D928" s="48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21.75" customHeight="1" x14ac:dyDescent="0.6">
      <c r="A929" s="1"/>
      <c r="B929" s="6"/>
      <c r="C929" s="1"/>
      <c r="D929" s="48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21.75" customHeight="1" x14ac:dyDescent="0.6">
      <c r="A930" s="1"/>
      <c r="B930" s="6"/>
      <c r="C930" s="1"/>
      <c r="D930" s="48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21.75" customHeight="1" x14ac:dyDescent="0.6">
      <c r="A931" s="1"/>
      <c r="B931" s="6"/>
      <c r="C931" s="1"/>
      <c r="D931" s="48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21.75" customHeight="1" x14ac:dyDescent="0.6">
      <c r="A932" s="1"/>
      <c r="B932" s="6"/>
      <c r="C932" s="1"/>
      <c r="D932" s="48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21.75" customHeight="1" x14ac:dyDescent="0.6">
      <c r="A933" s="1"/>
      <c r="B933" s="6"/>
      <c r="C933" s="1"/>
      <c r="D933" s="48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21.75" customHeight="1" x14ac:dyDescent="0.6">
      <c r="A934" s="1"/>
      <c r="B934" s="6"/>
      <c r="C934" s="1"/>
      <c r="D934" s="48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21.75" customHeight="1" x14ac:dyDescent="0.6">
      <c r="A935" s="1"/>
      <c r="B935" s="6"/>
      <c r="C935" s="1"/>
      <c r="D935" s="48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21.75" customHeight="1" x14ac:dyDescent="0.6">
      <c r="A936" s="1"/>
      <c r="B936" s="6"/>
      <c r="C936" s="1"/>
      <c r="D936" s="48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21.75" customHeight="1" x14ac:dyDescent="0.6">
      <c r="A937" s="1"/>
      <c r="B937" s="6"/>
      <c r="C937" s="1"/>
      <c r="D937" s="48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21.75" customHeight="1" x14ac:dyDescent="0.6">
      <c r="A938" s="1"/>
      <c r="B938" s="6"/>
      <c r="C938" s="1"/>
      <c r="D938" s="48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21.75" customHeight="1" x14ac:dyDescent="0.6">
      <c r="A939" s="1"/>
      <c r="B939" s="6"/>
      <c r="C939" s="1"/>
      <c r="D939" s="48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21.75" customHeight="1" x14ac:dyDescent="0.6">
      <c r="A940" s="1"/>
      <c r="B940" s="6"/>
      <c r="C940" s="1"/>
      <c r="D940" s="48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21.75" customHeight="1" x14ac:dyDescent="0.6">
      <c r="A941" s="1"/>
      <c r="B941" s="6"/>
      <c r="C941" s="1"/>
      <c r="D941" s="48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21.75" customHeight="1" x14ac:dyDescent="0.6">
      <c r="A942" s="1"/>
      <c r="B942" s="6"/>
      <c r="C942" s="1"/>
      <c r="D942" s="48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21.75" customHeight="1" x14ac:dyDescent="0.6">
      <c r="A943" s="1"/>
      <c r="B943" s="6"/>
      <c r="C943" s="1"/>
      <c r="D943" s="48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21.75" customHeight="1" x14ac:dyDescent="0.6">
      <c r="A944" s="1"/>
      <c r="B944" s="6"/>
      <c r="C944" s="1"/>
      <c r="D944" s="48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21.75" customHeight="1" x14ac:dyDescent="0.6">
      <c r="A945" s="1"/>
      <c r="B945" s="6"/>
      <c r="C945" s="1"/>
      <c r="D945" s="48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21.75" customHeight="1" x14ac:dyDescent="0.6">
      <c r="A946" s="1"/>
      <c r="B946" s="6"/>
      <c r="C946" s="1"/>
      <c r="D946" s="48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21.75" customHeight="1" x14ac:dyDescent="0.6">
      <c r="A947" s="1"/>
      <c r="B947" s="6"/>
      <c r="C947" s="1"/>
      <c r="D947" s="48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21.75" customHeight="1" x14ac:dyDescent="0.6">
      <c r="A948" s="1"/>
      <c r="B948" s="6"/>
      <c r="C948" s="1"/>
      <c r="D948" s="48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21.75" customHeight="1" x14ac:dyDescent="0.6">
      <c r="A949" s="1"/>
      <c r="B949" s="6"/>
      <c r="C949" s="1"/>
      <c r="D949" s="48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21.75" customHeight="1" x14ac:dyDescent="0.6">
      <c r="A950" s="1"/>
      <c r="B950" s="6"/>
      <c r="C950" s="1"/>
      <c r="D950" s="48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</sheetData>
  <mergeCells count="3">
    <mergeCell ref="A1:A2"/>
    <mergeCell ref="B1:C1"/>
    <mergeCell ref="E1:E2"/>
  </mergeCells>
  <pageMargins left="0.511811024" right="0.511811024" top="0.78740157499999996" bottom="0.78740157499999996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B7F2-49FB-420E-996E-055F168B20BB}">
  <dimension ref="B1:AM29"/>
  <sheetViews>
    <sheetView showGridLines="0" topLeftCell="K1" zoomScale="70" zoomScaleNormal="70" workbookViewId="0">
      <selection activeCell="W31" sqref="W31"/>
    </sheetView>
  </sheetViews>
  <sheetFormatPr defaultRowHeight="15" x14ac:dyDescent="0.25"/>
  <cols>
    <col min="2" max="2" width="57.140625" customWidth="1"/>
    <col min="3" max="3" width="22.140625" hidden="1" customWidth="1"/>
    <col min="4" max="4" width="21" hidden="1" customWidth="1"/>
    <col min="5" max="5" width="19.7109375" customWidth="1"/>
    <col min="6" max="6" width="22.85546875" customWidth="1"/>
    <col min="7" max="7" width="18.85546875" hidden="1" customWidth="1"/>
    <col min="8" max="8" width="17.5703125" hidden="1" customWidth="1"/>
    <col min="9" max="9" width="18.85546875" customWidth="1"/>
    <col min="10" max="10" width="17.5703125" customWidth="1"/>
    <col min="11" max="11" width="18.85546875" customWidth="1"/>
    <col min="12" max="20" width="17.5703125" customWidth="1"/>
    <col min="21" max="21" width="18.85546875" customWidth="1"/>
    <col min="22" max="22" width="20.28515625" bestFit="1" customWidth="1"/>
    <col min="23" max="23" width="18.85546875" customWidth="1"/>
    <col min="24" max="24" width="20.28515625" bestFit="1" customWidth="1"/>
    <col min="25" max="25" width="19" customWidth="1"/>
    <col min="26" max="26" width="21.28515625" bestFit="1" customWidth="1"/>
    <col min="27" max="30" width="21.28515625" customWidth="1"/>
    <col min="31" max="31" width="17" bestFit="1" customWidth="1"/>
    <col min="32" max="32" width="21.28515625" bestFit="1" customWidth="1"/>
    <col min="33" max="33" width="13.42578125" customWidth="1"/>
    <col min="34" max="35" width="17" style="43" customWidth="1"/>
    <col min="36" max="37" width="14.28515625" customWidth="1"/>
    <col min="38" max="38" width="17.28515625" customWidth="1"/>
  </cols>
  <sheetData>
    <row r="1" spans="2:39" ht="13.9" customHeight="1" thickBot="1" x14ac:dyDescent="0.3"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43"/>
    </row>
    <row r="2" spans="2:39" ht="13.9" customHeight="1" thickBot="1" x14ac:dyDescent="0.3">
      <c r="C2" s="41" t="s">
        <v>48</v>
      </c>
      <c r="D2" s="26">
        <v>10520.39</v>
      </c>
      <c r="E2" s="41" t="s">
        <v>48</v>
      </c>
      <c r="F2" s="26">
        <v>12518.96</v>
      </c>
      <c r="G2" s="41" t="s">
        <v>48</v>
      </c>
      <c r="H2" s="26">
        <v>13434.29</v>
      </c>
      <c r="I2" s="41" t="s">
        <v>48</v>
      </c>
      <c r="J2" s="26">
        <v>61763.96</v>
      </c>
      <c r="K2" s="41" t="s">
        <v>48</v>
      </c>
      <c r="L2" s="26">
        <v>6003.01</v>
      </c>
      <c r="M2" s="41" t="s">
        <v>48</v>
      </c>
      <c r="N2" s="26"/>
      <c r="O2" s="154"/>
      <c r="P2" s="154"/>
      <c r="Q2" s="154"/>
      <c r="R2" s="154"/>
      <c r="S2" s="154"/>
      <c r="T2" s="154"/>
      <c r="AA2" s="78" t="s">
        <v>48</v>
      </c>
      <c r="AB2" s="79"/>
      <c r="AC2" s="78" t="s">
        <v>48</v>
      </c>
      <c r="AD2" s="79"/>
      <c r="AE2" s="78" t="s">
        <v>48</v>
      </c>
      <c r="AF2" s="79"/>
      <c r="AG2" s="78" t="s">
        <v>48</v>
      </c>
      <c r="AH2" s="79"/>
      <c r="AI2" s="78" t="s">
        <v>48</v>
      </c>
      <c r="AJ2" s="79"/>
      <c r="AK2" s="77"/>
      <c r="AL2" s="77"/>
      <c r="AM2" s="43"/>
    </row>
    <row r="3" spans="2:39" ht="13.9" customHeight="1" x14ac:dyDescent="0.25">
      <c r="C3" s="41" t="s">
        <v>24</v>
      </c>
      <c r="D3" s="57">
        <v>45047</v>
      </c>
      <c r="E3" s="41" t="s">
        <v>24</v>
      </c>
      <c r="F3" s="57">
        <v>45383</v>
      </c>
      <c r="G3" s="41" t="s">
        <v>24</v>
      </c>
      <c r="H3" s="57">
        <v>45323</v>
      </c>
      <c r="I3" s="41" t="s">
        <v>24</v>
      </c>
      <c r="J3" s="57">
        <v>45231</v>
      </c>
      <c r="K3" s="41" t="s">
        <v>24</v>
      </c>
      <c r="L3" s="57">
        <v>44682</v>
      </c>
      <c r="M3" s="41" t="s">
        <v>24</v>
      </c>
      <c r="N3" s="57">
        <v>45017</v>
      </c>
      <c r="O3" s="41" t="s">
        <v>24</v>
      </c>
      <c r="P3" s="57">
        <v>44986</v>
      </c>
      <c r="Q3" s="41" t="s">
        <v>24</v>
      </c>
      <c r="R3" s="57">
        <v>44958</v>
      </c>
      <c r="S3" s="41" t="s">
        <v>24</v>
      </c>
      <c r="T3" s="57">
        <v>45078</v>
      </c>
      <c r="AA3" s="78" t="s">
        <v>24</v>
      </c>
      <c r="AB3" s="80">
        <v>44866</v>
      </c>
      <c r="AC3" s="78" t="s">
        <v>24</v>
      </c>
      <c r="AD3" s="80">
        <v>44256</v>
      </c>
      <c r="AE3" s="78" t="s">
        <v>24</v>
      </c>
      <c r="AF3" s="80">
        <v>44958</v>
      </c>
      <c r="AG3" s="78" t="s">
        <v>24</v>
      </c>
      <c r="AH3" s="81">
        <v>45047</v>
      </c>
      <c r="AI3" s="78" t="s">
        <v>24</v>
      </c>
      <c r="AJ3" s="81">
        <v>45261</v>
      </c>
      <c r="AK3" s="78" t="s">
        <v>24</v>
      </c>
      <c r="AL3" s="80">
        <v>44774</v>
      </c>
      <c r="AM3" s="43"/>
    </row>
    <row r="4" spans="2:39" ht="13.9" customHeight="1" thickBot="1" x14ac:dyDescent="0.3">
      <c r="C4" s="42" t="s">
        <v>27</v>
      </c>
      <c r="D4" s="37">
        <v>2688.94</v>
      </c>
      <c r="E4" s="42" t="s">
        <v>27</v>
      </c>
      <c r="F4" s="37">
        <v>2757.56</v>
      </c>
      <c r="G4" s="42" t="s">
        <v>27</v>
      </c>
      <c r="H4" s="37">
        <v>2753.62</v>
      </c>
      <c r="I4" s="42" t="s">
        <v>27</v>
      </c>
      <c r="J4" s="37">
        <v>2754.98</v>
      </c>
      <c r="K4" s="42" t="s">
        <v>27</v>
      </c>
      <c r="L4" s="37">
        <v>2470.83</v>
      </c>
      <c r="M4" s="42" t="s">
        <v>27</v>
      </c>
      <c r="N4" s="37">
        <v>2680.84</v>
      </c>
      <c r="O4" s="42" t="s">
        <v>27</v>
      </c>
      <c r="P4" s="37">
        <v>2671.09</v>
      </c>
      <c r="Q4" s="42" t="s">
        <v>27</v>
      </c>
      <c r="R4" s="37">
        <v>2662.47</v>
      </c>
      <c r="S4" s="42" t="s">
        <v>27</v>
      </c>
      <c r="T4" s="37">
        <v>2725.79</v>
      </c>
      <c r="U4">
        <f>170/J2</f>
        <v>2.7524141910589932E-3</v>
      </c>
      <c r="AA4" s="82" t="s">
        <v>27</v>
      </c>
      <c r="AB4" s="83">
        <v>2633.22</v>
      </c>
      <c r="AC4" s="82" t="s">
        <v>27</v>
      </c>
      <c r="AD4" s="83">
        <v>2140.56</v>
      </c>
      <c r="AE4" s="82" t="s">
        <v>27</v>
      </c>
      <c r="AF4" s="83">
        <v>2662.47</v>
      </c>
      <c r="AG4" s="82" t="s">
        <v>27</v>
      </c>
      <c r="AH4" s="83">
        <v>2688.94</v>
      </c>
      <c r="AI4" s="82" t="s">
        <v>27</v>
      </c>
      <c r="AJ4" s="83">
        <v>2752.67</v>
      </c>
      <c r="AK4" s="82" t="s">
        <v>27</v>
      </c>
      <c r="AL4" s="83">
        <v>2572.5500000000002</v>
      </c>
    </row>
    <row r="5" spans="2:39" ht="13.9" customHeight="1" thickBot="1" x14ac:dyDescent="0.3">
      <c r="F5" s="123">
        <v>254976.79000000004</v>
      </c>
      <c r="G5">
        <f>F5/F2</f>
        <v>20.367250154964953</v>
      </c>
      <c r="V5" s="43"/>
      <c r="W5" s="43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</row>
    <row r="6" spans="2:39" ht="19.149999999999999" customHeight="1" thickBot="1" x14ac:dyDescent="0.3">
      <c r="C6" s="219" t="s">
        <v>38</v>
      </c>
      <c r="D6" s="220"/>
      <c r="E6" s="219" t="s">
        <v>43</v>
      </c>
      <c r="F6" s="220"/>
      <c r="G6" s="219" t="s">
        <v>44</v>
      </c>
      <c r="H6" s="224"/>
      <c r="I6" s="219" t="s">
        <v>74</v>
      </c>
      <c r="J6" s="224"/>
      <c r="K6" s="219" t="s">
        <v>54</v>
      </c>
      <c r="L6" s="224"/>
      <c r="M6" s="219" t="s">
        <v>41</v>
      </c>
      <c r="N6" s="220"/>
      <c r="O6" s="224" t="s">
        <v>77</v>
      </c>
      <c r="P6" s="220"/>
      <c r="Q6" s="219" t="s">
        <v>78</v>
      </c>
      <c r="R6" s="220"/>
      <c r="S6" s="224" t="s">
        <v>79</v>
      </c>
      <c r="T6" s="220"/>
      <c r="V6" s="76" t="s">
        <v>30</v>
      </c>
      <c r="W6" s="76"/>
      <c r="AA6" s="221" t="s">
        <v>36</v>
      </c>
      <c r="AB6" s="222"/>
      <c r="AC6" s="221" t="s">
        <v>37</v>
      </c>
      <c r="AD6" s="223"/>
      <c r="AE6" s="84" t="s">
        <v>40</v>
      </c>
      <c r="AF6" s="86"/>
      <c r="AG6" s="84" t="s">
        <v>41</v>
      </c>
      <c r="AH6" s="86"/>
      <c r="AI6" s="85" t="s">
        <v>42</v>
      </c>
      <c r="AJ6" s="86"/>
      <c r="AK6" s="84" t="s">
        <v>35</v>
      </c>
      <c r="AL6" s="86"/>
    </row>
    <row r="7" spans="2:39" ht="19.149999999999999" customHeight="1" thickBot="1" x14ac:dyDescent="0.3">
      <c r="B7" s="19"/>
      <c r="C7" s="40" t="s">
        <v>28</v>
      </c>
      <c r="D7" s="40" t="s">
        <v>29</v>
      </c>
      <c r="E7" s="40" t="s">
        <v>28</v>
      </c>
      <c r="F7" s="40" t="s">
        <v>29</v>
      </c>
      <c r="G7" s="40" t="s">
        <v>28</v>
      </c>
      <c r="H7" s="40" t="s">
        <v>29</v>
      </c>
      <c r="I7" s="40" t="s">
        <v>28</v>
      </c>
      <c r="J7" s="40" t="s">
        <v>29</v>
      </c>
      <c r="K7" s="40"/>
      <c r="L7" s="40"/>
      <c r="M7" s="148" t="s">
        <v>28</v>
      </c>
      <c r="N7" s="149" t="s">
        <v>29</v>
      </c>
      <c r="O7" s="40" t="s">
        <v>28</v>
      </c>
      <c r="P7" s="40" t="s">
        <v>29</v>
      </c>
      <c r="Q7" s="148" t="s">
        <v>28</v>
      </c>
      <c r="R7" s="149" t="s">
        <v>29</v>
      </c>
      <c r="S7" s="40" t="s">
        <v>28</v>
      </c>
      <c r="T7" s="40" t="s">
        <v>29</v>
      </c>
      <c r="V7" s="44" t="s">
        <v>31</v>
      </c>
      <c r="W7" s="44" t="s">
        <v>32</v>
      </c>
      <c r="AA7" s="87" t="s">
        <v>28</v>
      </c>
      <c r="AB7" s="87" t="s">
        <v>29</v>
      </c>
      <c r="AC7" s="88" t="s">
        <v>28</v>
      </c>
      <c r="AD7" s="89" t="s">
        <v>29</v>
      </c>
      <c r="AE7" s="87" t="s">
        <v>28</v>
      </c>
      <c r="AF7" s="87" t="s">
        <v>29</v>
      </c>
      <c r="AG7" s="88" t="s">
        <v>28</v>
      </c>
      <c r="AH7" s="89" t="s">
        <v>29</v>
      </c>
      <c r="AI7" s="87" t="s">
        <v>28</v>
      </c>
      <c r="AJ7" s="87" t="s">
        <v>29</v>
      </c>
      <c r="AK7" s="87" t="s">
        <v>28</v>
      </c>
      <c r="AL7" s="87" t="s">
        <v>29</v>
      </c>
    </row>
    <row r="8" spans="2:39" ht="19.149999999999999" customHeight="1" x14ac:dyDescent="0.25">
      <c r="B8" s="30" t="s">
        <v>23</v>
      </c>
      <c r="C8" s="35">
        <v>283.33076286145285</v>
      </c>
      <c r="D8" s="54">
        <f>(ORÇAMENTO_EXECUTIVO!$B$21/CÁLCULO_MÉDIAS!D$4)*C8</f>
        <v>336.20805901784269</v>
      </c>
      <c r="E8" s="36">
        <v>336.40234020361441</v>
      </c>
      <c r="F8" s="54">
        <f>(ORÇAMENTO_EXECUTIVO!$B$21/CÁLCULO_MÉDIAS!F$4)*E8</f>
        <v>389.25082139699111</v>
      </c>
      <c r="G8" s="36">
        <v>387.84287163668489</v>
      </c>
      <c r="H8" s="54">
        <f>(ORÇAMENTO_EXECUTIVO!$B$21/CÁLCULO_MÉDIAS!H$4)*G8</f>
        <v>449.41473388927483</v>
      </c>
      <c r="I8" s="36">
        <v>505.35308352799916</v>
      </c>
      <c r="J8" s="54">
        <f>(ORÇAMENTO_EXECUTIVO!$B$21/CÁLCULO_MÉDIAS!J$4)*I8</f>
        <v>585.29116666133109</v>
      </c>
      <c r="K8" s="36">
        <v>368.15436610631417</v>
      </c>
      <c r="L8" s="54">
        <f>(ORÇAMENTO_EXECUTIVO!$B$21/CÁLCULO_MÉDIAS!L$4)*K8</f>
        <v>475.42562893482926</v>
      </c>
      <c r="M8" s="150">
        <f>306.853550565509+12.39</f>
        <v>319.243550565509</v>
      </c>
      <c r="N8" s="54">
        <f>(ORÇAMENTO_EXECUTIVO!$B$21/CÁLCULO_MÉDIAS!N$4)*M8</f>
        <v>379.96775034612625</v>
      </c>
      <c r="O8" s="155">
        <v>458.34013904214225</v>
      </c>
      <c r="P8" s="54">
        <f>(ORÇAMENTO_EXECUTIVO!$B$21/CÁLCULO_MÉDIAS!P$4)*O8</f>
        <v>547.51354894499855</v>
      </c>
      <c r="Q8" s="20">
        <v>192.53760160553878</v>
      </c>
      <c r="R8" s="54">
        <f>(ORÇAMENTO_EXECUTIVO!$B$21/CÁLCULO_MÉDIAS!R$4)*Q8</f>
        <v>230.74183110979843</v>
      </c>
      <c r="S8" s="155">
        <v>322.07783363582331</v>
      </c>
      <c r="T8" s="54">
        <f>(ORÇAMENTO_EXECUTIVO!$B$21/CÁLCULO_MÉDIAS!T$4)*S8</f>
        <v>377.01961238032862</v>
      </c>
      <c r="V8" s="45">
        <v>330</v>
      </c>
      <c r="W8" s="45">
        <v>480</v>
      </c>
      <c r="AA8" s="90">
        <v>330.18696215430151</v>
      </c>
      <c r="AB8" s="91" t="e">
        <f>(ORÇAMENTO_EXECUTIVO!#REF!/CÁLCULO_MÉDIAS!AB$4)*AA8</f>
        <v>#REF!</v>
      </c>
      <c r="AC8" s="90">
        <f>53.76+152.58</f>
        <v>206.34</v>
      </c>
      <c r="AD8" s="92" t="e">
        <f>(ORÇAMENTO_EXECUTIVO!#REF!/CÁLCULO_MÉDIAS!AD$4)*AC8</f>
        <v>#REF!</v>
      </c>
      <c r="AE8" s="90">
        <v>425.96973518284994</v>
      </c>
      <c r="AF8" s="92" t="e">
        <f>(ORÇAMENTO_EXECUTIVO!#REF!/CÁLCULO_MÉDIAS!AF$4)*AE8</f>
        <v>#REF!</v>
      </c>
      <c r="AG8" s="93">
        <f>306.853550565509+12.39</f>
        <v>319.243550565509</v>
      </c>
      <c r="AH8" s="92" t="e">
        <f>(ORÇAMENTO_EXECUTIVO!#REF!/CÁLCULO_MÉDIAS!AH$4)*AG8</f>
        <v>#REF!</v>
      </c>
      <c r="AI8" s="94">
        <v>393.04915498123785</v>
      </c>
      <c r="AJ8" s="92" t="e">
        <f>(ORÇAMENTO_EXECUTIVO!#REF!/CÁLCULO_MÉDIAS!AJ$4)*AI8</f>
        <v>#REF!</v>
      </c>
      <c r="AK8" s="90">
        <v>307.8011910864052</v>
      </c>
      <c r="AL8" s="91" t="e">
        <f>(ORÇAMENTO_EXECUTIVO!#REF!/CÁLCULO_MÉDIAS!AL$4)*AK8</f>
        <v>#REF!</v>
      </c>
    </row>
    <row r="9" spans="2:39" ht="19.149999999999999" customHeight="1" x14ac:dyDescent="0.25">
      <c r="B9" s="31" t="s">
        <v>3</v>
      </c>
      <c r="C9" s="36"/>
      <c r="D9" s="54">
        <f>(ORÇAMENTO_EXECUTIVO!$B$21/CÁLCULO_MÉDIAS!D$4)*C9</f>
        <v>0</v>
      </c>
      <c r="E9" s="36">
        <v>0</v>
      </c>
      <c r="F9" s="54">
        <f>(ORÇAMENTO_EXECUTIVO!$B$21/CÁLCULO_MÉDIAS!F$4)*E9</f>
        <v>0</v>
      </c>
      <c r="G9" s="36">
        <v>6.8428238485249304</v>
      </c>
      <c r="H9" s="54">
        <f>(ORÇAMENTO_EXECUTIVO!$B$21/CÁLCULO_MÉDIAS!H$4)*G9</f>
        <v>7.9291540049672404</v>
      </c>
      <c r="I9" s="36">
        <v>40.091956592485325</v>
      </c>
      <c r="J9" s="54">
        <f>(ORÇAMENTO_EXECUTIVO!$B$21/CÁLCULO_MÉDIAS!J$4)*I9</f>
        <v>46.433807990114047</v>
      </c>
      <c r="K9" s="36">
        <v>4.3941694743870787</v>
      </c>
      <c r="L9" s="54">
        <f>(ORÇAMENTO_EXECUTIVO!$B$21/CÁLCULO_MÉDIAS!L$4)*K9</f>
        <v>5.6745239995426884</v>
      </c>
      <c r="M9" s="150">
        <v>26.515284956661631</v>
      </c>
      <c r="N9" s="54">
        <f>(ORÇAMENTO_EXECUTIVO!$B$21/CÁLCULO_MÉDIAS!N$4)*M9</f>
        <v>31.558830732593972</v>
      </c>
      <c r="O9" s="156">
        <v>51.378113235620269</v>
      </c>
      <c r="P9" s="54">
        <f>(ORÇAMENTO_EXECUTIVO!$B$21/CÁLCULO_MÉDIAS!P$4)*O9</f>
        <v>61.374099101423042</v>
      </c>
      <c r="Q9" s="20">
        <v>131.35298076496832</v>
      </c>
      <c r="R9" s="54">
        <f>(ORÇAMENTO_EXECUTIVO!$B$21/CÁLCULO_MÉDIAS!R$4)*Q9</f>
        <v>157.4166658912356</v>
      </c>
      <c r="S9" s="156">
        <v>16.687144210891017</v>
      </c>
      <c r="T9" s="54">
        <f>(ORÇAMENTO_EXECUTIVO!$B$21/CÁLCULO_MÉDIAS!T$4)*S9</f>
        <v>19.533727518915516</v>
      </c>
      <c r="V9" s="45">
        <v>25</v>
      </c>
      <c r="W9" s="45">
        <v>38</v>
      </c>
      <c r="AA9" s="90">
        <v>0</v>
      </c>
      <c r="AB9" s="91" t="e">
        <f>(ORÇAMENTO_EXECUTIVO!#REF!/CÁLCULO_MÉDIAS!AB$4)*AA9</f>
        <v>#REF!</v>
      </c>
      <c r="AC9" s="90">
        <v>0</v>
      </c>
      <c r="AD9" s="92" t="e">
        <f>(ORÇAMENTO_EXECUTIVO!#REF!/CÁLCULO_MÉDIAS!AD$4)*AC9</f>
        <v>#REF!</v>
      </c>
      <c r="AE9" s="90">
        <v>19.587790125287146</v>
      </c>
      <c r="AF9" s="92" t="e">
        <f>(ORÇAMENTO_EXECUTIVO!#REF!/CÁLCULO_MÉDIAS!AF$4)*AE9</f>
        <v>#REF!</v>
      </c>
      <c r="AG9" s="93">
        <v>26.515284956661631</v>
      </c>
      <c r="AH9" s="92" t="e">
        <f>(ORÇAMENTO_EXECUTIVO!#REF!/CÁLCULO_MÉDIAS!AH$4)*AG9</f>
        <v>#REF!</v>
      </c>
      <c r="AI9" s="95">
        <v>17.922886030292219</v>
      </c>
      <c r="AJ9" s="92" t="e">
        <f>(ORÇAMENTO_EXECUTIVO!#REF!/CÁLCULO_MÉDIAS!AJ$4)*AI9</f>
        <v>#REF!</v>
      </c>
      <c r="AK9" s="90">
        <v>0</v>
      </c>
      <c r="AL9" s="91" t="e">
        <f>(ORÇAMENTO_EXECUTIVO!#REF!/CÁLCULO_MÉDIAS!AL$4)*AK9</f>
        <v>#REF!</v>
      </c>
    </row>
    <row r="10" spans="2:39" ht="19.149999999999999" customHeight="1" x14ac:dyDescent="0.25">
      <c r="B10" s="32" t="s">
        <v>4</v>
      </c>
      <c r="C10" s="20">
        <v>171.55069706541298</v>
      </c>
      <c r="D10" s="54">
        <f>(ORÇAMENTO_EXECUTIVO!$B$21/CÁLCULO_MÉDIAS!D$4)*C10</f>
        <v>203.56676522176312</v>
      </c>
      <c r="E10" s="36">
        <v>162.9</v>
      </c>
      <c r="F10" s="54">
        <f>(ORÇAMENTO_EXECUTIVO!$B$21/CÁLCULO_MÉDIAS!F$4)*E10</f>
        <v>188.49143191807252</v>
      </c>
      <c r="G10" s="36">
        <v>169.29129875862435</v>
      </c>
      <c r="H10" s="54">
        <f>(ORÇAMENTO_EXECUTIVO!$B$21/CÁLCULO_MÉDIAS!H$4)*G10</f>
        <v>196.16708091169289</v>
      </c>
      <c r="I10" s="36">
        <v>220.23824666035014</v>
      </c>
      <c r="J10" s="54">
        <f>(ORÇAMENTO_EXECUTIVO!$B$21/CÁLCULO_MÉDIAS!J$4)*I10</f>
        <v>255.07611318283449</v>
      </c>
      <c r="K10" s="36">
        <v>71.913534127368166</v>
      </c>
      <c r="L10" s="54">
        <f>(ORÇAMENTO_EXECUTIVO!$B$21/CÁLCULO_MÉDIAS!L$4)*K10</f>
        <v>92.867395687919668</v>
      </c>
      <c r="M10" s="151">
        <f>268.371509227372+41.56</f>
        <v>309.93150922737198</v>
      </c>
      <c r="N10" s="54">
        <f>(ORÇAMENTO_EXECUTIVO!$B$21/CÁLCULO_MÉDIAS!N$4)*M10</f>
        <v>368.88443983878994</v>
      </c>
      <c r="O10" s="157">
        <v>454.92410250085385</v>
      </c>
      <c r="P10" s="54">
        <f>(ORÇAMENTO_EXECUTIVO!$B$21/CÁLCULO_MÉDIAS!P$4)*O10</f>
        <v>543.43289763229586</v>
      </c>
      <c r="Q10" s="20">
        <v>99.325700576150922</v>
      </c>
      <c r="R10" s="54">
        <f>(ORÇAMENTO_EXECUTIVO!$B$21/CÁLCULO_MÉDIAS!R$4)*Q10</f>
        <v>119.03437996573298</v>
      </c>
      <c r="S10" s="156">
        <v>196.37957721756567</v>
      </c>
      <c r="T10" s="54">
        <f>(ORÇAMENTO_EXECUTIVO!$B$21/CÁLCULO_MÉDIAS!T$4)*S10</f>
        <v>229.87906757251733</v>
      </c>
      <c r="V10" s="45">
        <v>310</v>
      </c>
      <c r="W10" s="45">
        <v>450</v>
      </c>
      <c r="X10" t="s">
        <v>75</v>
      </c>
      <c r="AA10" s="90">
        <v>138.77425406952631</v>
      </c>
      <c r="AB10" s="91" t="e">
        <f>(ORÇAMENTO_EXECUTIVO!#REF!/CÁLCULO_MÉDIAS!AB$4)*AA10</f>
        <v>#REF!</v>
      </c>
      <c r="AC10" s="90">
        <v>203.75</v>
      </c>
      <c r="AD10" s="92" t="e">
        <f>(ORÇAMENTO_EXECUTIVO!#REF!/CÁLCULO_MÉDIAS!AD$4)*AC10</f>
        <v>#REF!</v>
      </c>
      <c r="AE10" s="96">
        <v>195.59039548493175</v>
      </c>
      <c r="AF10" s="92" t="e">
        <f>(ORÇAMENTO_EXECUTIVO!#REF!/CÁLCULO_MÉDIAS!AF$4)*AE10</f>
        <v>#REF!</v>
      </c>
      <c r="AG10" s="96">
        <f>268.371509227372+41.56</f>
        <v>309.93150922737198</v>
      </c>
      <c r="AH10" s="92" t="e">
        <f>(ORÇAMENTO_EXECUTIVO!#REF!/CÁLCULO_MÉDIAS!AH$4)*AG10</f>
        <v>#REF!</v>
      </c>
      <c r="AI10" s="95">
        <v>227.462505499282</v>
      </c>
      <c r="AJ10" s="92" t="e">
        <f>(ORÇAMENTO_EXECUTIVO!#REF!/CÁLCULO_MÉDIAS!AJ$4)*AI10</f>
        <v>#REF!</v>
      </c>
      <c r="AK10" s="97">
        <v>145.26</v>
      </c>
      <c r="AL10" s="91" t="e">
        <f>(ORÇAMENTO_EXECUTIVO!#REF!/CÁLCULO_MÉDIAS!AL$4)*AK10</f>
        <v>#REF!</v>
      </c>
    </row>
    <row r="11" spans="2:39" ht="19.149999999999999" customHeight="1" x14ac:dyDescent="0.25">
      <c r="B11" s="31" t="s">
        <v>5</v>
      </c>
      <c r="C11" s="20">
        <v>648.94587877445611</v>
      </c>
      <c r="D11" s="54">
        <f>(ORÇAMENTO_EXECUTIVO!$B$21/CÁLCULO_MÉDIAS!D$4)*C11</f>
        <v>770.05698960079849</v>
      </c>
      <c r="E11" s="36">
        <v>655</v>
      </c>
      <c r="F11" s="54">
        <f>(ORÇAMENTO_EXECUTIVO!$B$21/CÁLCULO_MÉDIAS!F$4)*E11</f>
        <v>757.89986437285143</v>
      </c>
      <c r="G11" s="36">
        <v>638.86</v>
      </c>
      <c r="H11" s="54">
        <f>(ORÇAMENTO_EXECUTIVO!$B$21/CÁLCULO_MÉDIAS!H$4)*G11</f>
        <v>740.28200049389534</v>
      </c>
      <c r="I11" s="36">
        <v>766.93482814735376</v>
      </c>
      <c r="J11" s="54">
        <f>(ORÇAMENTO_EXECUTIVO!$B$21/CÁLCULO_MÉDIAS!J$4)*I11</f>
        <v>888.25060131388682</v>
      </c>
      <c r="K11" s="36">
        <v>330.42045927028636</v>
      </c>
      <c r="L11" s="54">
        <f>(ORÇAMENTO_EXECUTIVO!$B$21/CÁLCULO_MÉDIAS!L$4)*K11</f>
        <v>426.69697584449426</v>
      </c>
      <c r="M11" s="151">
        <f>424.075395917568+352.64</f>
        <v>776.715395917568</v>
      </c>
      <c r="N11" s="54">
        <f>(ORÇAMENTO_EXECUTIVO!$B$21/CÁLCULO_MÉDIAS!N$4)*M11</f>
        <v>924.4565822025553</v>
      </c>
      <c r="O11" s="156">
        <v>753.32946685177319</v>
      </c>
      <c r="P11" s="54">
        <f>(ORÇAMENTO_EXECUTIVO!$B$21/CÁLCULO_MÉDIAS!P$4)*O11</f>
        <v>899.89519744622316</v>
      </c>
      <c r="Q11" s="20">
        <v>670.83520323794403</v>
      </c>
      <c r="R11" s="54">
        <f>(ORÇAMENTO_EXECUTIVO!$B$21/CÁLCULO_MÉDIAS!R$4)*Q11</f>
        <v>803.94552480799211</v>
      </c>
      <c r="S11" s="156">
        <v>705.38370500221413</v>
      </c>
      <c r="T11" s="54">
        <f>(ORÇAMENTO_EXECUTIVO!$B$21/CÁLCULO_MÉDIAS!T$4)*S11</f>
        <v>825.71187230487851</v>
      </c>
      <c r="V11" s="45">
        <v>680</v>
      </c>
      <c r="W11" s="45">
        <v>740</v>
      </c>
      <c r="AA11" s="90">
        <v>440.21002903329872</v>
      </c>
      <c r="AB11" s="91" t="e">
        <f>(ORÇAMENTO_EXECUTIVO!#REF!/CÁLCULO_MÉDIAS!AB$4)*AA11</f>
        <v>#REF!</v>
      </c>
      <c r="AC11" s="90">
        <v>516.11</v>
      </c>
      <c r="AD11" s="92" t="e">
        <f>(ORÇAMENTO_EXECUTIVO!#REF!/CÁLCULO_MÉDIAS!AD$4)*AC11</f>
        <v>#REF!</v>
      </c>
      <c r="AE11" s="96">
        <v>730.88828937483026</v>
      </c>
      <c r="AF11" s="92" t="e">
        <f>(ORÇAMENTO_EXECUTIVO!#REF!/CÁLCULO_MÉDIAS!AF$4)*AE11</f>
        <v>#REF!</v>
      </c>
      <c r="AG11" s="96">
        <f>424.075395917568+352.64</f>
        <v>776.715395917568</v>
      </c>
      <c r="AH11" s="92" t="e">
        <f>(ORÇAMENTO_EXECUTIVO!#REF!/CÁLCULO_MÉDIAS!AH$4)*AG11</f>
        <v>#REF!</v>
      </c>
      <c r="AI11" s="95">
        <v>753.33240754557448</v>
      </c>
      <c r="AJ11" s="92" t="e">
        <f>(ORÇAMENTO_EXECUTIVO!#REF!/CÁLCULO_MÉDIAS!AJ$4)*AI11</f>
        <v>#REF!</v>
      </c>
      <c r="AK11" s="97">
        <v>684.09</v>
      </c>
      <c r="AL11" s="91" t="e">
        <f>(ORÇAMENTO_EXECUTIVO!#REF!/CÁLCULO_MÉDIAS!AL$4)*AK11</f>
        <v>#REF!</v>
      </c>
    </row>
    <row r="12" spans="2:39" ht="19.149999999999999" customHeight="1" x14ac:dyDescent="0.25">
      <c r="B12" s="33" t="s">
        <v>6</v>
      </c>
      <c r="C12" s="20">
        <v>146.27237045394705</v>
      </c>
      <c r="D12" s="54">
        <f>(ORÇAMENTO_EXECUTIVO!$B$21/CÁLCULO_MÉDIAS!D$4)*C12</f>
        <v>173.57080911933349</v>
      </c>
      <c r="E12" s="36">
        <v>122.73</v>
      </c>
      <c r="F12" s="54">
        <f>(ORÇAMENTO_EXECUTIVO!$B$21/CÁLCULO_MÉDIAS!F$4)*E12</f>
        <v>142.01076389996956</v>
      </c>
      <c r="G12" s="36">
        <v>117.55</v>
      </c>
      <c r="H12" s="54">
        <f>(ORÇAMENTO_EXECUTIVO!$B$21/CÁLCULO_MÉDIAS!H$4)*G12</f>
        <v>136.21160998975893</v>
      </c>
      <c r="I12" s="36">
        <v>108.78678054645464</v>
      </c>
      <c r="J12" s="54">
        <f>(ORÇAMENTO_EXECUTIVO!$B$21/CÁLCULO_MÉDIAS!J$4)*I12</f>
        <v>125.99496031340011</v>
      </c>
      <c r="K12" s="36">
        <v>106.29100750668891</v>
      </c>
      <c r="L12" s="54">
        <f>(ORÇAMENTO_EXECUTIVO!$B$21/CÁLCULO_MÉDIAS!L$4)*K12</f>
        <v>137.26163193020881</v>
      </c>
      <c r="M12" s="151">
        <f>45.9182137373762+52.78</f>
        <v>98.698213737376193</v>
      </c>
      <c r="N12" s="54">
        <f>(ORÇAMENTO_EXECUTIVO!$B$21/CÁLCULO_MÉDIAS!N$4)*M12</f>
        <v>117.47187428075074</v>
      </c>
      <c r="O12" s="156">
        <v>144.44742172972562</v>
      </c>
      <c r="P12" s="54">
        <f>(ORÇAMENTO_EXECUTIVO!$B$21/CÁLCULO_MÉDIAS!P$4)*O12</f>
        <v>172.55071893217996</v>
      </c>
      <c r="Q12" s="20">
        <v>151.38701853650412</v>
      </c>
      <c r="R12" s="54">
        <f>(ORÇAMENTO_EXECUTIVO!$B$21/CÁLCULO_MÉDIAS!R$4)*Q12</f>
        <v>181.42595301945985</v>
      </c>
      <c r="S12" s="156">
        <v>126.2817379373008</v>
      </c>
      <c r="T12" s="54">
        <f>(ORÇAMENTO_EXECUTIVO!$B$21/CÁLCULO_MÉDIAS!T$4)*S12</f>
        <v>147.82355975999664</v>
      </c>
      <c r="V12" s="45">
        <v>115</v>
      </c>
      <c r="W12" s="45">
        <v>150</v>
      </c>
      <c r="AA12" s="90">
        <v>119.63618870107992</v>
      </c>
      <c r="AB12" s="91" t="e">
        <f>(ORÇAMENTO_EXECUTIVO!#REF!/CÁLCULO_MÉDIAS!AB$4)*AA12</f>
        <v>#REF!</v>
      </c>
      <c r="AC12" s="90">
        <v>87.63</v>
      </c>
      <c r="AD12" s="92" t="e">
        <f>(ORÇAMENTO_EXECUTIVO!#REF!/CÁLCULO_MÉDIAS!AD$4)*AC12</f>
        <v>#REF!</v>
      </c>
      <c r="AE12" s="96">
        <v>119.11837394906888</v>
      </c>
      <c r="AF12" s="92" t="e">
        <f>(ORÇAMENTO_EXECUTIVO!#REF!/CÁLCULO_MÉDIAS!AF$4)*AE12</f>
        <v>#REF!</v>
      </c>
      <c r="AG12" s="96">
        <f>45.9182137373762+52.78</f>
        <v>98.698213737376193</v>
      </c>
      <c r="AH12" s="92" t="e">
        <f>(ORÇAMENTO_EXECUTIVO!#REF!/CÁLCULO_MÉDIAS!AH$4)*AG12</f>
        <v>#REF!</v>
      </c>
      <c r="AI12" s="95">
        <v>120.12284291214054</v>
      </c>
      <c r="AJ12" s="92" t="e">
        <f>(ORÇAMENTO_EXECUTIVO!#REF!/CÁLCULO_MÉDIAS!AJ$4)*AI12</f>
        <v>#REF!</v>
      </c>
      <c r="AK12" s="97">
        <v>102.26703338940926</v>
      </c>
      <c r="AL12" s="91" t="e">
        <f>(ORÇAMENTO_EXECUTIVO!#REF!/CÁLCULO_MÉDIAS!AL$4)*AK12</f>
        <v>#REF!</v>
      </c>
    </row>
    <row r="13" spans="2:39" ht="19.149999999999999" customHeight="1" x14ac:dyDescent="0.25">
      <c r="B13" s="31" t="s">
        <v>7</v>
      </c>
      <c r="C13" s="20">
        <v>273.47992517387667</v>
      </c>
      <c r="D13" s="54">
        <f>(ORÇAMENTO_EXECUTIVO!$B$21/CÁLCULO_MÉDIAS!D$4)*C13</f>
        <v>324.51878466869857</v>
      </c>
      <c r="E13" s="36">
        <v>346.19</v>
      </c>
      <c r="F13" s="54">
        <f>(ORÇAMENTO_EXECUTIVO!$B$21/CÁLCULO_MÉDIAS!F$4)*E13</f>
        <v>400.57611304921744</v>
      </c>
      <c r="G13" s="36">
        <v>333.15</v>
      </c>
      <c r="H13" s="54">
        <f>(ORÇAMENTO_EXECUTIVO!$B$21/CÁLCULO_MÉDIAS!H$4)*G13</f>
        <v>386.03911414792162</v>
      </c>
      <c r="I13" s="36">
        <v>308.48586114135225</v>
      </c>
      <c r="J13" s="54">
        <f>(ORÇAMENTO_EXECUTIVO!$B$21/CÁLCULO_MÉDIAS!J$4)*I13</f>
        <v>357.28296799032751</v>
      </c>
      <c r="K13" s="36">
        <v>696.27623244988558</v>
      </c>
      <c r="L13" s="54">
        <f>(ORÇAMENTO_EXECUTIVO!$B$21/CÁLCULO_MÉDIAS!L$4)*K13</f>
        <v>899.15425756289244</v>
      </c>
      <c r="M13" s="151">
        <f>133.232025739994+119</f>
        <v>252.23202573999399</v>
      </c>
      <c r="N13" s="54">
        <f>(ORÇAMENTO_EXECUTIVO!$B$21/CÁLCULO_MÉDIAS!N$4)*M13</f>
        <v>300.20977781978803</v>
      </c>
      <c r="O13" s="156">
        <v>356.29492239383706</v>
      </c>
      <c r="P13" s="54">
        <f>(ORÇAMENTO_EXECUTIVO!$B$21/CÁLCULO_MÉDIAS!P$4)*O13</f>
        <v>425.61469270095103</v>
      </c>
      <c r="Q13" s="20">
        <v>301.6524254355387</v>
      </c>
      <c r="R13" s="54">
        <f>(ORÇAMENTO_EXECUTIVO!$B$21/CÁLCULO_MÉDIAS!R$4)*Q13</f>
        <v>361.50773886915306</v>
      </c>
      <c r="S13" s="156">
        <v>253.86927611185166</v>
      </c>
      <c r="T13" s="54">
        <f>(ORÇAMENTO_EXECUTIVO!$B$21/CÁLCULO_MÉDIAS!T$4)*S13</f>
        <v>297.17567022382974</v>
      </c>
      <c r="V13" s="45">
        <v>330</v>
      </c>
      <c r="W13" s="45">
        <v>350</v>
      </c>
      <c r="AA13" s="90">
        <v>241.53844940678877</v>
      </c>
      <c r="AB13" s="91" t="e">
        <f>(ORÇAMENTO_EXECUTIVO!#REF!/CÁLCULO_MÉDIAS!AB$4)*AA13</f>
        <v>#REF!</v>
      </c>
      <c r="AC13" s="90">
        <f>115.12+96.69+17.4</f>
        <v>229.21</v>
      </c>
      <c r="AD13" s="92" t="e">
        <f>(ORÇAMENTO_EXECUTIVO!#REF!/CÁLCULO_MÉDIAS!AD$4)*AC13</f>
        <v>#REF!</v>
      </c>
      <c r="AE13" s="97">
        <v>311.09536882330696</v>
      </c>
      <c r="AF13" s="92" t="e">
        <f>(ORÇAMENTO_EXECUTIVO!#REF!/CÁLCULO_MÉDIAS!AF$4)*AE13</f>
        <v>#REF!</v>
      </c>
      <c r="AG13" s="96">
        <f>133.232025739994+119</f>
        <v>252.23202573999399</v>
      </c>
      <c r="AH13" s="92" t="e">
        <f>(ORÇAMENTO_EXECUTIVO!#REF!/CÁLCULO_MÉDIAS!AH$4)*AG13</f>
        <v>#REF!</v>
      </c>
      <c r="AI13" s="95">
        <v>343.65137637821664</v>
      </c>
      <c r="AJ13" s="92" t="e">
        <f>(ORÇAMENTO_EXECUTIVO!#REF!/CÁLCULO_MÉDIAS!AJ$4)*AI13</f>
        <v>#REF!</v>
      </c>
      <c r="AK13" s="97">
        <v>395.64890080797699</v>
      </c>
      <c r="AL13" s="91" t="e">
        <f>(ORÇAMENTO_EXECUTIVO!#REF!/CÁLCULO_MÉDIAS!AL$4)*AK13</f>
        <v>#REF!</v>
      </c>
    </row>
    <row r="14" spans="2:39" ht="18.75" customHeight="1" x14ac:dyDescent="0.25">
      <c r="B14" s="33" t="s">
        <v>22</v>
      </c>
      <c r="C14" s="20">
        <v>153.1432565712868</v>
      </c>
      <c r="D14" s="54">
        <f>(ORÇAMENTO_EXECUTIVO!$B$21/CÁLCULO_MÉDIAS!D$4)*C14</f>
        <v>181.7239911526344</v>
      </c>
      <c r="E14" s="36">
        <v>163.30000000000001</v>
      </c>
      <c r="F14" s="54">
        <f>(ORÇAMENTO_EXECUTIVO!$B$21/CÁLCULO_MÉDIAS!F$4)*E14</f>
        <v>188.95427152990328</v>
      </c>
      <c r="G14" s="36">
        <v>118.21</v>
      </c>
      <c r="H14" s="54">
        <f>(ORÇAMENTO_EXECUTIVO!$B$21/CÁLCULO_MÉDIAS!H$4)*G14</f>
        <v>136.97638806371248</v>
      </c>
      <c r="I14" s="36">
        <v>154.01106701707604</v>
      </c>
      <c r="J14" s="54">
        <f>(ORÇAMENTO_EXECUTIVO!$B$21/CÁLCULO_MÉDIAS!J$4)*I14</f>
        <v>178.37294365333895</v>
      </c>
      <c r="K14" s="36">
        <v>169.51892844026079</v>
      </c>
      <c r="L14" s="54">
        <f>(ORÇAMENTO_EXECUTIVO!$B$21/CÁLCULO_MÉDIAS!L$4)*K14</f>
        <v>218.91263717023469</v>
      </c>
      <c r="M14" s="151">
        <v>247.28447097827882</v>
      </c>
      <c r="N14" s="54">
        <f>(ORÇAMENTO_EXECUTIVO!$B$21/CÁLCULO_MÉDIAS!N$4)*M14</f>
        <v>294.32113496641449</v>
      </c>
      <c r="O14" s="158">
        <v>271.10198853933434</v>
      </c>
      <c r="P14" s="54">
        <f>(ORÇAMENTO_EXECUTIVO!$B$21/CÁLCULO_MÉDIAS!P$4)*O14</f>
        <v>323.8468535210913</v>
      </c>
      <c r="Q14" s="20">
        <v>121.62815025865672</v>
      </c>
      <c r="R14" s="54">
        <f>(ORÇAMENTO_EXECUTIVO!$B$21/CÁLCULO_MÉDIAS!R$4)*Q14</f>
        <v>145.76218811885735</v>
      </c>
      <c r="S14" s="158">
        <v>186.3726708074534</v>
      </c>
      <c r="T14" s="54">
        <f>(ORÇAMENTO_EXECUTIVO!$B$21/CÁLCULO_MÉDIAS!T$4)*S14</f>
        <v>218.16512894694679</v>
      </c>
      <c r="V14" s="45">
        <v>180</v>
      </c>
      <c r="W14" s="45">
        <v>250</v>
      </c>
      <c r="AA14" s="90">
        <v>125.58391647422079</v>
      </c>
      <c r="AB14" s="91" t="e">
        <f>(ORÇAMENTO_EXECUTIVO!#REF!/CÁLCULO_MÉDIAS!AB$4)*AA14</f>
        <v>#REF!</v>
      </c>
      <c r="AC14" s="90">
        <f>126.98+36.9</f>
        <v>163.88</v>
      </c>
      <c r="AD14" s="92" t="e">
        <f>(ORÇAMENTO_EXECUTIVO!#REF!/CÁLCULO_MÉDIAS!AD$4)*AC14</f>
        <v>#REF!</v>
      </c>
      <c r="AE14" s="97">
        <v>234.95756961924101</v>
      </c>
      <c r="AF14" s="92" t="e">
        <f>(ORÇAMENTO_EXECUTIVO!#REF!/CÁLCULO_MÉDIAS!AF$4)*AE14</f>
        <v>#REF!</v>
      </c>
      <c r="AG14" s="96">
        <v>247.28447097827882</v>
      </c>
      <c r="AH14" s="92" t="e">
        <f>(ORÇAMENTO_EXECUTIVO!#REF!/CÁLCULO_MÉDIAS!AH$4)*AG14</f>
        <v>#REF!</v>
      </c>
      <c r="AI14" s="98">
        <v>183.52384796344097</v>
      </c>
      <c r="AJ14" s="92" t="e">
        <f>(ORÇAMENTO_EXECUTIVO!#REF!/CÁLCULO_MÉDIAS!AJ$4)*AI14</f>
        <v>#REF!</v>
      </c>
      <c r="AK14" s="97">
        <v>151.23889129945096</v>
      </c>
      <c r="AL14" s="91" t="e">
        <f>(ORÇAMENTO_EXECUTIVO!#REF!/CÁLCULO_MÉDIAS!AL$4)*AK14</f>
        <v>#REF!</v>
      </c>
    </row>
    <row r="15" spans="2:39" ht="18.75" customHeight="1" x14ac:dyDescent="0.25">
      <c r="B15" s="33" t="s">
        <v>8</v>
      </c>
      <c r="C15" s="20">
        <v>69.707841962132591</v>
      </c>
      <c r="D15" s="54">
        <f>(ORÇAMENTO_EXECUTIVO!$B$21/CÁLCULO_MÉDIAS!D$4)*C15</f>
        <v>82.717238353222385</v>
      </c>
      <c r="E15" s="36">
        <v>43.36</v>
      </c>
      <c r="F15" s="54">
        <f>(ORÇAMENTO_EXECUTIVO!$B$21/CÁLCULO_MÉDIAS!F$4)*E15</f>
        <v>50.171813922453182</v>
      </c>
      <c r="G15" s="36">
        <v>59.85</v>
      </c>
      <c r="H15" s="54">
        <f>(ORÇAMENTO_EXECUTIVO!$B$21/CÁLCULO_MÉDIAS!H$4)*G15</f>
        <v>69.351466251697758</v>
      </c>
      <c r="I15" s="36">
        <v>90.758973056455588</v>
      </c>
      <c r="J15" s="54">
        <f>(ORÇAMENTO_EXECUTIVO!$B$21/CÁLCULO_MÉDIAS!J$4)*I15</f>
        <v>105.1154667036954</v>
      </c>
      <c r="K15" s="36">
        <v>47.92021903411014</v>
      </c>
      <c r="L15" s="54">
        <f>(ORÇAMENTO_EXECUTIVO!$B$21/CÁLCULO_MÉDIAS!L$4)*K15</f>
        <v>61.883009874199203</v>
      </c>
      <c r="M15" s="151">
        <f>21.1585217854063+29.7</f>
        <v>50.858521785406296</v>
      </c>
      <c r="N15" s="54">
        <f>(ORÇAMENTO_EXECUTIVO!$B$21/CÁLCULO_MÉDIAS!N$4)*M15</f>
        <v>60.53246204817178</v>
      </c>
      <c r="O15" s="158">
        <v>83.531526317786799</v>
      </c>
      <c r="P15" s="54">
        <f>(ORÇAMENTO_EXECUTIVO!$B$21/CÁLCULO_MÉDIAS!P$4)*O15</f>
        <v>99.783192714960762</v>
      </c>
      <c r="Q15" s="20">
        <v>61.191657834322697</v>
      </c>
      <c r="R15" s="54">
        <f>(ORÇAMENTO_EXECUTIVO!$B$21/CÁLCULO_MÉDIAS!R$4)*Q15</f>
        <v>73.33359852618878</v>
      </c>
      <c r="S15" s="158">
        <v>40.104339565928683</v>
      </c>
      <c r="T15" s="54">
        <f>(ORÇAMENTO_EXECUTIVO!$B$21/CÁLCULO_MÉDIAS!T$4)*S15</f>
        <v>46.945554704059468</v>
      </c>
      <c r="V15" s="45">
        <v>40</v>
      </c>
      <c r="W15" s="45">
        <v>75</v>
      </c>
      <c r="AA15" s="90">
        <v>28.961629961135319</v>
      </c>
      <c r="AB15" s="91" t="e">
        <f>(ORÇAMENTO_EXECUTIVO!#REF!/CÁLCULO_MÉDIAS!AB$4)*AA15</f>
        <v>#REF!</v>
      </c>
      <c r="AC15" s="90">
        <v>46.01</v>
      </c>
      <c r="AD15" s="92" t="e">
        <f>(ORÇAMENTO_EXECUTIVO!#REF!/CÁLCULO_MÉDIAS!AD$4)*AC15</f>
        <v>#REF!</v>
      </c>
      <c r="AE15" s="97">
        <v>40.385539920806394</v>
      </c>
      <c r="AF15" s="92" t="e">
        <f>(ORÇAMENTO_EXECUTIVO!#REF!/CÁLCULO_MÉDIAS!AF$4)*AE15</f>
        <v>#REF!</v>
      </c>
      <c r="AG15" s="96">
        <f>21.1585217854063+29.7</f>
        <v>50.858521785406296</v>
      </c>
      <c r="AH15" s="92" t="e">
        <f>(ORÇAMENTO_EXECUTIVO!#REF!/CÁLCULO_MÉDIAS!AH$4)*AG15</f>
        <v>#REF!</v>
      </c>
      <c r="AI15" s="95">
        <v>53.975619931386198</v>
      </c>
      <c r="AJ15" s="92" t="e">
        <f>(ORÇAMENTO_EXECUTIVO!#REF!/CÁLCULO_MÉDIAS!AJ$4)*AI15</f>
        <v>#REF!</v>
      </c>
      <c r="AK15" s="97">
        <v>26.84</v>
      </c>
      <c r="AL15" s="91" t="e">
        <f>(ORÇAMENTO_EXECUTIVO!#REF!/CÁLCULO_MÉDIAS!AL$4)*AK15</f>
        <v>#REF!</v>
      </c>
    </row>
    <row r="16" spans="2:39" ht="19.149999999999999" customHeight="1" x14ac:dyDescent="0.25">
      <c r="B16" s="31" t="s">
        <v>18</v>
      </c>
      <c r="C16" s="20">
        <v>152.31227151274811</v>
      </c>
      <c r="D16" s="54">
        <f>(ORÇAMENTO_EXECUTIVO!$B$21/CÁLCULO_MÉDIAS!D$4)*C16</f>
        <v>180.73792147639264</v>
      </c>
      <c r="E16" s="36">
        <v>146.21</v>
      </c>
      <c r="F16" s="54">
        <f>(ORÇAMENTO_EXECUTIVO!$B$21/CÁLCULO_MÉDIAS!F$4)*E16</f>
        <v>169.17944911443453</v>
      </c>
      <c r="G16" s="36">
        <v>165.42</v>
      </c>
      <c r="H16" s="54">
        <f>(ORÇAMENTO_EXECUTIVO!$B$21/CÁLCULO_MÉDIAS!H$4)*G16</f>
        <v>191.68119544454208</v>
      </c>
      <c r="I16" s="36">
        <v>91.153068001144902</v>
      </c>
      <c r="J16" s="54">
        <f>(ORÇAMENTO_EXECUTIVO!$B$21/CÁLCULO_MÉDIAS!J$4)*I16</f>
        <v>105.57190062578063</v>
      </c>
      <c r="K16" s="36">
        <v>163.06867647953769</v>
      </c>
      <c r="L16" s="54">
        <f>(ORÇAMENTO_EXECUTIVO!$B$21/CÁLCULO_MÉDIAS!L$4)*K16</f>
        <v>210.58293806154794</v>
      </c>
      <c r="M16" s="151">
        <f>61.5070901205645+125.46</f>
        <v>186.96709012056448</v>
      </c>
      <c r="N16" s="54">
        <f>(ORÇAMENTO_EXECUTIVO!$B$21/CÁLCULO_MÉDIAS!N$4)*M16</f>
        <v>222.53061806896102</v>
      </c>
      <c r="O16" s="158">
        <v>170.06207228062189</v>
      </c>
      <c r="P16" s="54">
        <f>(ORÇAMENTO_EXECUTIVO!$B$21/CÁLCULO_MÉDIAS!P$4)*O16</f>
        <v>203.14888617412362</v>
      </c>
      <c r="Q16" s="20">
        <v>161.73710209114981</v>
      </c>
      <c r="R16" s="54">
        <f>(ORÇAMENTO_EXECUTIVO!$B$21/CÁLCULO_MÉDIAS!R$4)*Q16</f>
        <v>193.82974953309449</v>
      </c>
      <c r="S16" s="158">
        <v>114.61672406711837</v>
      </c>
      <c r="T16" s="54">
        <f>(ORÇAMENTO_EXECUTIVO!$B$21/CÁLCULO_MÉDIAS!T$4)*S16</f>
        <v>134.16866473632939</v>
      </c>
      <c r="V16" s="45">
        <v>140</v>
      </c>
      <c r="W16" s="45">
        <v>170</v>
      </c>
      <c r="AA16" s="90">
        <v>234.72587240710115</v>
      </c>
      <c r="AB16" s="91" t="e">
        <f>(ORÇAMENTO_EXECUTIVO!#REF!/CÁLCULO_MÉDIAS!AB$4)*AA16</f>
        <v>#REF!</v>
      </c>
      <c r="AC16" s="90">
        <v>107.18</v>
      </c>
      <c r="AD16" s="92" t="e">
        <f>(ORÇAMENTO_EXECUTIVO!#REF!/CÁLCULO_MÉDIAS!AD$4)*AC16</f>
        <v>#REF!</v>
      </c>
      <c r="AE16" s="97">
        <v>171.46501171912092</v>
      </c>
      <c r="AF16" s="92" t="e">
        <f>(ORÇAMENTO_EXECUTIVO!#REF!/CÁLCULO_MÉDIAS!AF$4)*AE16</f>
        <v>#REF!</v>
      </c>
      <c r="AG16" s="96">
        <f>61.5070901205645+125.46</f>
        <v>186.96709012056448</v>
      </c>
      <c r="AH16" s="92" t="e">
        <f>(ORÇAMENTO_EXECUTIVO!#REF!/CÁLCULO_MÉDIAS!AH$4)*AG16</f>
        <v>#REF!</v>
      </c>
      <c r="AI16" s="95">
        <v>181.93321537315026</v>
      </c>
      <c r="AJ16" s="92" t="e">
        <f>(ORÇAMENTO_EXECUTIVO!#REF!/CÁLCULO_MÉDIAS!AJ$4)*AI16</f>
        <v>#REF!</v>
      </c>
      <c r="AK16" s="97">
        <v>143.04</v>
      </c>
      <c r="AL16" s="91" t="e">
        <f>(ORÇAMENTO_EXECUTIVO!#REF!/CÁLCULO_MÉDIAS!AL$4)*AK16</f>
        <v>#REF!</v>
      </c>
    </row>
    <row r="17" spans="2:38" ht="19.149999999999999" customHeight="1" x14ac:dyDescent="0.25">
      <c r="B17" s="33" t="s">
        <v>19</v>
      </c>
      <c r="C17" s="20">
        <v>54.818639993384274</v>
      </c>
      <c r="D17" s="54">
        <f>(ORÇAMENTO_EXECUTIVO!$B$21/CÁLCULO_MÉDIAS!D$4)*C17</f>
        <v>65.049302673801094</v>
      </c>
      <c r="E17" s="36">
        <v>60.1</v>
      </c>
      <c r="F17" s="54">
        <f>(ORÇAMENTO_EXECUTIVO!$B$21/CÁLCULO_MÉDIAS!F$4)*E17</f>
        <v>69.54165167757003</v>
      </c>
      <c r="G17" s="36">
        <v>56.68</v>
      </c>
      <c r="H17" s="54">
        <f>(ORÇAMENTO_EXECUTIVO!$B$21/CÁLCULO_MÉDIAS!H$4)*G17</f>
        <v>65.67821398740567</v>
      </c>
      <c r="I17" s="36">
        <v>79.853995501583711</v>
      </c>
      <c r="J17" s="54">
        <f>(ORÇAMENTO_EXECUTIVO!$B$21/CÁLCULO_MÉDIAS!J$4)*I17</f>
        <v>92.48551104784363</v>
      </c>
      <c r="K17" s="36">
        <v>60.572927319300504</v>
      </c>
      <c r="L17" s="54">
        <f>(ORÇAMENTO_EXECUTIVO!$B$21/CÁLCULO_MÉDIAS!L$4)*K17</f>
        <v>78.222410810377283</v>
      </c>
      <c r="M17" s="151">
        <f>54.2873850783883+15.35</f>
        <v>69.637385078388292</v>
      </c>
      <c r="N17" s="54">
        <f>(ORÇAMENTO_EXECUTIVO!$B$21/CÁLCULO_MÉDIAS!N$4)*M17</f>
        <v>82.883304929264327</v>
      </c>
      <c r="O17" s="158">
        <v>97.026708663807824</v>
      </c>
      <c r="P17" s="54">
        <f>(ORÇAMENTO_EXECUTIVO!$B$21/CÁLCULO_MÉDIAS!P$4)*O17</f>
        <v>115.90396100588825</v>
      </c>
      <c r="Q17" s="20">
        <v>38.140863460693716</v>
      </c>
      <c r="R17" s="54">
        <f>(ORÇAMENTO_EXECUTIVO!$B$21/CÁLCULO_MÉDIAS!R$4)*Q17</f>
        <v>45.708955557988517</v>
      </c>
      <c r="S17" s="158">
        <v>33.709914713865821</v>
      </c>
      <c r="T17" s="54">
        <f>(ORÇAMENTO_EXECUTIVO!$B$21/CÁLCULO_MÉDIAS!T$4)*S17</f>
        <v>39.460334277975065</v>
      </c>
      <c r="V17" s="45">
        <v>50</v>
      </c>
      <c r="W17" s="45">
        <v>65</v>
      </c>
      <c r="AA17" s="90">
        <v>55.038679317743082</v>
      </c>
      <c r="AB17" s="91" t="e">
        <f>(ORÇAMENTO_EXECUTIVO!#REF!/CÁLCULO_MÉDIAS!AB$4)*AA17</f>
        <v>#REF!</v>
      </c>
      <c r="AC17" s="90">
        <v>37.840000000000003</v>
      </c>
      <c r="AD17" s="92" t="e">
        <f>(ORÇAMENTO_EXECUTIVO!#REF!/CÁLCULO_MÉDIAS!AD$4)*AC17</f>
        <v>#REF!</v>
      </c>
      <c r="AE17" s="97">
        <v>82.252956433522513</v>
      </c>
      <c r="AF17" s="92" t="e">
        <f>(ORÇAMENTO_EXECUTIVO!#REF!/CÁLCULO_MÉDIAS!AF$4)*AE17</f>
        <v>#REF!</v>
      </c>
      <c r="AG17" s="96">
        <f>54.2873850783883+15.35</f>
        <v>69.637385078388292</v>
      </c>
      <c r="AH17" s="92" t="e">
        <f>(ORÇAMENTO_EXECUTIVO!#REF!/CÁLCULO_MÉDIAS!AH$4)*AG17</f>
        <v>#REF!</v>
      </c>
      <c r="AI17" s="95">
        <v>55.010608568330511</v>
      </c>
      <c r="AJ17" s="92" t="e">
        <f>(ORÇAMENTO_EXECUTIVO!#REF!/CÁLCULO_MÉDIAS!AJ$4)*AI17</f>
        <v>#REF!</v>
      </c>
      <c r="AK17" s="97">
        <v>70.155611705948473</v>
      </c>
      <c r="AL17" s="91" t="e">
        <f>(ORÇAMENTO_EXECUTIVO!#REF!/CÁLCULO_MÉDIAS!AL$4)*AK17</f>
        <v>#REF!</v>
      </c>
    </row>
    <row r="18" spans="2:38" ht="19.149999999999999" customHeight="1" x14ac:dyDescent="0.25">
      <c r="B18" s="31" t="s">
        <v>9</v>
      </c>
      <c r="C18" s="20">
        <v>210.03146991698981</v>
      </c>
      <c r="D18" s="54">
        <f>(ORÇAMENTO_EXECUTIVO!$B$21/CÁLCULO_MÉDIAS!D$4)*C18</f>
        <v>249.22910636423035</v>
      </c>
      <c r="E18" s="36">
        <v>153.35</v>
      </c>
      <c r="F18" s="54">
        <f>(ORÇAMENTO_EXECUTIVO!$B$21/CÁLCULO_MÉDIAS!F$4)*E18</f>
        <v>177.44113618561337</v>
      </c>
      <c r="G18" s="36">
        <v>139.61000000000001</v>
      </c>
      <c r="H18" s="54">
        <f>(ORÇAMENTO_EXECUTIVO!$B$21/CÁLCULO_MÉDIAS!H$4)*G18</f>
        <v>161.77373773432791</v>
      </c>
      <c r="I18" s="36">
        <v>220.71127288956191</v>
      </c>
      <c r="J18" s="54">
        <f>(ORÇAMENTO_EXECUTIVO!$B$21/CÁLCULO_MÉDIAS!J$4)*I18</f>
        <v>255.623963948133</v>
      </c>
      <c r="K18" s="36">
        <v>203.44093743603102</v>
      </c>
      <c r="L18" s="54">
        <f>(ORÇAMENTO_EXECUTIVO!$B$21/CÁLCULO_MÉDIAS!L$4)*K18</f>
        <v>262.71869774236382</v>
      </c>
      <c r="M18" s="151">
        <f>128.113840140444+57.38</f>
        <v>185.49384014044401</v>
      </c>
      <c r="N18" s="54">
        <f>(ORÇAMENTO_EXECUTIVO!$B$21/CÁLCULO_MÉDIAS!N$4)*M18</f>
        <v>220.77713713049809</v>
      </c>
      <c r="O18" s="158">
        <v>197.5980361276612</v>
      </c>
      <c r="P18" s="54">
        <f>(ORÇAMENTO_EXECUTIVO!$B$21/CÁLCULO_MÉDIAS!P$4)*O18</f>
        <v>236.04217219751393</v>
      </c>
      <c r="Q18" s="20">
        <v>233.49803908530504</v>
      </c>
      <c r="R18" s="54">
        <f>(ORÇAMENTO_EXECUTIVO!$B$21/CÁLCULO_MÉDIAS!R$4)*Q18</f>
        <v>279.82983401586449</v>
      </c>
      <c r="S18" s="158">
        <v>151.57428291500983</v>
      </c>
      <c r="T18" s="54">
        <f>(ORÇAMENTO_EXECUTIVO!$B$21/CÁLCULO_MÉDIAS!T$4)*S18</f>
        <v>177.43064384883866</v>
      </c>
      <c r="V18" s="45">
        <v>140</v>
      </c>
      <c r="W18" s="45">
        <v>210</v>
      </c>
      <c r="AA18" s="90">
        <v>165.18748649465164</v>
      </c>
      <c r="AB18" s="91" t="e">
        <f>(ORÇAMENTO_EXECUTIVO!#REF!/CÁLCULO_MÉDIAS!AB$4)*AA18</f>
        <v>#REF!</v>
      </c>
      <c r="AC18" s="90">
        <v>111.36</v>
      </c>
      <c r="AD18" s="92" t="e">
        <f>(ORÇAMENTO_EXECUTIVO!#REF!/CÁLCULO_MÉDIAS!AD$4)*AC18</f>
        <v>#REF!</v>
      </c>
      <c r="AE18" s="97">
        <v>171.08275181950387</v>
      </c>
      <c r="AF18" s="92" t="e">
        <f>(ORÇAMENTO_EXECUTIVO!#REF!/CÁLCULO_MÉDIAS!AF$4)*AE18</f>
        <v>#REF!</v>
      </c>
      <c r="AG18" s="96">
        <f>128.113840140444+57.38</f>
        <v>185.49384014044401</v>
      </c>
      <c r="AH18" s="92" t="e">
        <f>(ORÇAMENTO_EXECUTIVO!#REF!/CÁLCULO_MÉDIAS!AH$4)*AG18</f>
        <v>#REF!</v>
      </c>
      <c r="AI18" s="95">
        <v>148.70478618145466</v>
      </c>
      <c r="AJ18" s="92" t="e">
        <f>(ORÇAMENTO_EXECUTIVO!#REF!/CÁLCULO_MÉDIAS!AJ$4)*AI18</f>
        <v>#REF!</v>
      </c>
      <c r="AK18" s="97">
        <v>167.78667972935523</v>
      </c>
      <c r="AL18" s="91" t="e">
        <f>(ORÇAMENTO_EXECUTIVO!#REF!/CÁLCULO_MÉDIAS!AL$4)*AK18</f>
        <v>#REF!</v>
      </c>
    </row>
    <row r="19" spans="2:38" ht="18.75" customHeight="1" x14ac:dyDescent="0.25">
      <c r="B19" s="33" t="s">
        <v>10</v>
      </c>
      <c r="C19" s="20">
        <v>125.3808845584622</v>
      </c>
      <c r="D19" s="54">
        <f>(ORÇAMENTO_EXECUTIVO!$B$21/CÁLCULO_MÉDIAS!D$4)*C19</f>
        <v>148.7803986041356</v>
      </c>
      <c r="E19" s="36">
        <v>149.59</v>
      </c>
      <c r="F19" s="54">
        <f>(ORÇAMENTO_EXECUTIVO!$B$21/CÁLCULO_MÉDIAS!F$4)*E19</f>
        <v>173.09044383440434</v>
      </c>
      <c r="G19" s="36">
        <v>136.5</v>
      </c>
      <c r="H19" s="54">
        <f>(ORÇAMENTO_EXECUTIVO!$B$21/CÁLCULO_MÉDIAS!H$4)*G19</f>
        <v>158.17001074948612</v>
      </c>
      <c r="I19" s="36">
        <v>88.059982025116199</v>
      </c>
      <c r="J19" s="54">
        <f>(ORÇAMENTO_EXECUTIVO!$B$21/CÁLCULO_MÉDIAS!J$4)*I19</f>
        <v>101.98954215503561</v>
      </c>
      <c r="K19" s="36">
        <v>91.389270699144674</v>
      </c>
      <c r="L19" s="54">
        <f>(ORÇAMENTO_EXECUTIVO!$B$21/CÁLCULO_MÉDIAS!L$4)*K19</f>
        <v>118.01789004857068</v>
      </c>
      <c r="M19" s="151">
        <f>35.9030401086365+97.72</f>
        <v>133.6230401086365</v>
      </c>
      <c r="N19" s="54">
        <f>(ORÇAMENTO_EXECUTIVO!$B$21/CÁLCULO_MÉDIAS!N$4)*M19</f>
        <v>159.03984858754498</v>
      </c>
      <c r="O19" s="158">
        <v>107.1345173491202</v>
      </c>
      <c r="P19" s="54">
        <f>(ORÇAMENTO_EXECUTIVO!$B$21/CÁLCULO_MÉDIAS!P$4)*O19</f>
        <v>127.97831743672143</v>
      </c>
      <c r="Q19" s="20">
        <v>60.245256527538778</v>
      </c>
      <c r="R19" s="54">
        <f>(ORÇAMENTO_EXECUTIVO!$B$21/CÁLCULO_MÉDIAS!R$4)*Q19</f>
        <v>72.199407756847933</v>
      </c>
      <c r="S19" s="158">
        <v>128.87170826956566</v>
      </c>
      <c r="T19" s="54">
        <f>(ORÇAMENTO_EXECUTIVO!$B$21/CÁLCULO_MÉDIAS!T$4)*S19</f>
        <v>150.85534123879023</v>
      </c>
      <c r="V19" s="45">
        <v>105</v>
      </c>
      <c r="W19" s="45">
        <v>130</v>
      </c>
      <c r="X19" s="124"/>
      <c r="AA19" s="90">
        <v>110.39978903493726</v>
      </c>
      <c r="AB19" s="91" t="e">
        <f>(ORÇAMENTO_EXECUTIVO!#REF!/CÁLCULO_MÉDIAS!AB$4)*AA19</f>
        <v>#REF!</v>
      </c>
      <c r="AC19" s="90">
        <v>83.06</v>
      </c>
      <c r="AD19" s="92" t="e">
        <f>(ORÇAMENTO_EXECUTIVO!#REF!/CÁLCULO_MÉDIAS!AD$4)*AC19</f>
        <v>#REF!</v>
      </c>
      <c r="AE19" s="97">
        <v>131.71984554415201</v>
      </c>
      <c r="AF19" s="92" t="e">
        <f>(ORÇAMENTO_EXECUTIVO!#REF!/CÁLCULO_MÉDIAS!AF$4)*AE19</f>
        <v>#REF!</v>
      </c>
      <c r="AG19" s="96">
        <f>35.9030401086365+97.72</f>
        <v>133.6230401086365</v>
      </c>
      <c r="AH19" s="92" t="e">
        <f>(ORÇAMENTO_EXECUTIVO!#REF!/CÁLCULO_MÉDIAS!AH$4)*AG19</f>
        <v>#REF!</v>
      </c>
      <c r="AI19" s="95">
        <v>173.39863257808926</v>
      </c>
      <c r="AJ19" s="92" t="e">
        <f>(ORÇAMENTO_EXECUTIVO!#REF!/CÁLCULO_MÉDIAS!AJ$4)*AI19</f>
        <v>#REF!</v>
      </c>
      <c r="AK19" s="97">
        <v>81.300167528398092</v>
      </c>
      <c r="AL19" s="91" t="e">
        <f>(ORÇAMENTO_EXECUTIVO!#REF!/CÁLCULO_MÉDIAS!AL$4)*AK19</f>
        <v>#REF!</v>
      </c>
    </row>
    <row r="20" spans="2:38" ht="19.149999999999999" customHeight="1" x14ac:dyDescent="0.25">
      <c r="B20" s="31" t="s">
        <v>11</v>
      </c>
      <c r="C20" s="20">
        <v>243.33429413738463</v>
      </c>
      <c r="D20" s="54">
        <f>(ORÇAMENTO_EXECUTIVO!$B$21/CÁLCULO_MÉDIAS!D$4)*C20</f>
        <v>288.74715155590781</v>
      </c>
      <c r="E20" s="36">
        <v>288.61</v>
      </c>
      <c r="F20" s="54">
        <f>(ORÇAMENTO_EXECUTIVO!$B$21/CÁLCULO_MÉDIAS!F$4)*E20</f>
        <v>333.95035092618116</v>
      </c>
      <c r="G20" s="36">
        <v>223.84</v>
      </c>
      <c r="H20" s="54">
        <f>(ORÇAMENTO_EXECUTIVO!$B$21/CÁLCULO_MÉDIAS!H$4)*G20</f>
        <v>259.37564253600715</v>
      </c>
      <c r="I20" s="36">
        <v>291.41429908153532</v>
      </c>
      <c r="J20" s="54">
        <f>(ORÇAMENTO_EXECUTIVO!$B$21/CÁLCULO_MÉDIAS!J$4)*I20</f>
        <v>337.51098123412527</v>
      </c>
      <c r="K20" s="36">
        <v>219.75658564174975</v>
      </c>
      <c r="L20" s="54">
        <f>(ORÇAMENTO_EXECUTIVO!$B$21/CÁLCULO_MÉDIAS!L$4)*K20</f>
        <v>283.78833054808541</v>
      </c>
      <c r="M20" s="151">
        <f>250.558807445514+9.23</f>
        <v>259.78880744551401</v>
      </c>
      <c r="N20" s="54">
        <f>(ORÇAMENTO_EXECUTIVO!$B$21/CÁLCULO_MÉDIAS!N$4)*M20</f>
        <v>309.20395589924152</v>
      </c>
      <c r="O20" s="158">
        <v>531.67128382224587</v>
      </c>
      <c r="P20" s="54">
        <f>(ORÇAMENTO_EXECUTIVO!$B$21/CÁLCULO_MÉDIAS!P$4)*O20</f>
        <v>635.11180165457074</v>
      </c>
      <c r="Q20" s="20">
        <v>393.73192727790519</v>
      </c>
      <c r="R20" s="54">
        <f>(ORÇAMENTO_EXECUTIVO!$B$21/CÁLCULO_MÉDIAS!R$4)*Q20</f>
        <v>471.85809477685069</v>
      </c>
      <c r="S20" s="158">
        <v>360.50074226700042</v>
      </c>
      <c r="T20" s="54">
        <f>(ORÇAMENTO_EXECUTIVO!$B$21/CÁLCULO_MÉDIAS!T$4)*S20</f>
        <v>421.99690856715921</v>
      </c>
      <c r="V20" s="45">
        <v>350</v>
      </c>
      <c r="W20" s="58">
        <v>480</v>
      </c>
      <c r="X20" s="124" t="s">
        <v>55</v>
      </c>
      <c r="AA20" s="90">
        <v>147.28733031905907</v>
      </c>
      <c r="AB20" s="91" t="e">
        <f>(ORÇAMENTO_EXECUTIVO!#REF!/CÁLCULO_MÉDIAS!AB$4)*AA20</f>
        <v>#REF!</v>
      </c>
      <c r="AC20" s="90">
        <v>186.71</v>
      </c>
      <c r="AD20" s="92" t="e">
        <f>(ORÇAMENTO_EXECUTIVO!#REF!/CÁLCULO_MÉDIAS!AD$4)*AC20</f>
        <v>#REF!</v>
      </c>
      <c r="AE20" s="97">
        <v>323.47431538511512</v>
      </c>
      <c r="AF20" s="92" t="e">
        <f>(ORÇAMENTO_EXECUTIVO!#REF!/CÁLCULO_MÉDIAS!AF$4)*AE20</f>
        <v>#REF!</v>
      </c>
      <c r="AG20" s="96">
        <f>250.558807445514+9.23</f>
        <v>259.78880744551401</v>
      </c>
      <c r="AH20" s="92" t="e">
        <f>(ORÇAMENTO_EXECUTIVO!#REF!/CÁLCULO_MÉDIAS!AH$4)*AG20</f>
        <v>#REF!</v>
      </c>
      <c r="AI20" s="99">
        <v>208.12265790695531</v>
      </c>
      <c r="AJ20" s="92" t="e">
        <f>(ORÇAMENTO_EXECUTIVO!#REF!/CÁLCULO_MÉDIAS!AJ$4)*AI20</f>
        <v>#REF!</v>
      </c>
      <c r="AK20" s="97">
        <v>186.45529550301794</v>
      </c>
      <c r="AL20" s="91" t="e">
        <f>(ORÇAMENTO_EXECUTIVO!#REF!/CÁLCULO_MÉDIAS!AL$4)*AK20</f>
        <v>#REF!</v>
      </c>
    </row>
    <row r="21" spans="2:38" ht="19.149999999999999" customHeight="1" x14ac:dyDescent="0.25">
      <c r="B21" s="33" t="s">
        <v>21</v>
      </c>
      <c r="C21" s="20">
        <v>0</v>
      </c>
      <c r="D21" s="54">
        <f>(ORÇAMENTO_EXECUTIVO!$B$21/CÁLCULO_MÉDIAS!D$4)*C21</f>
        <v>0</v>
      </c>
      <c r="E21" s="36">
        <v>2.4700000000000002</v>
      </c>
      <c r="F21" s="54">
        <f>(ORÇAMENTO_EXECUTIVO!$B$21/CÁLCULO_MÉDIAS!F$4)*E21</f>
        <v>2.8580346030548749</v>
      </c>
      <c r="G21" s="36"/>
      <c r="H21" s="54">
        <f>(ORÇAMENTO_EXECUTIVO!$B$21/CÁLCULO_MÉDIAS!H$4)*G21</f>
        <v>0</v>
      </c>
      <c r="I21" s="36"/>
      <c r="J21" s="54">
        <f>(ORÇAMENTO_EXECUTIVO!$B$21/CÁLCULO_MÉDIAS!J$4)*I21</f>
        <v>0</v>
      </c>
      <c r="K21" s="36"/>
      <c r="L21" s="54">
        <f>(ORÇAMENTO_EXECUTIVO!$B$21/CÁLCULO_MÉDIAS!L$4)*K21</f>
        <v>0</v>
      </c>
      <c r="M21" s="36">
        <v>0</v>
      </c>
      <c r="N21" s="54">
        <f>(ORÇAMENTO_EXECUTIVO!$B$21/CÁLCULO_MÉDIAS!N$4)*M21</f>
        <v>0</v>
      </c>
      <c r="O21" s="158"/>
      <c r="P21" s="54">
        <f>(ORÇAMENTO_EXECUTIVO!$B$21/CÁLCULO_MÉDIAS!P$4)*O21</f>
        <v>0</v>
      </c>
      <c r="Q21" s="20">
        <v>18.057175826109617</v>
      </c>
      <c r="R21" s="54">
        <f>(ORÇAMENTO_EXECUTIVO!$B$21/CÁLCULO_MÉDIAS!R$4)*Q21</f>
        <v>21.640166804011233</v>
      </c>
      <c r="S21" s="158">
        <v>5.2010820807338689</v>
      </c>
      <c r="T21" s="54">
        <f>(ORÇAMENTO_EXECUTIVO!$B$21/CÁLCULO_MÉDIAS!T$4)*S21</f>
        <v>6.0883107909058314</v>
      </c>
      <c r="V21" s="45">
        <v>5</v>
      </c>
      <c r="W21" s="45">
        <v>12</v>
      </c>
      <c r="AA21" s="90">
        <v>0</v>
      </c>
      <c r="AB21" s="91" t="e">
        <f>(ORÇAMENTO_EXECUTIVO!#REF!/CÁLCULO_MÉDIAS!AB$4)*AA21</f>
        <v>#REF!</v>
      </c>
      <c r="AC21" s="90">
        <v>12.08</v>
      </c>
      <c r="AD21" s="92" t="e">
        <f>(ORÇAMENTO_EXECUTIVO!#REF!/CÁLCULO_MÉDIAS!AD$4)*AC21</f>
        <v>#REF!</v>
      </c>
      <c r="AE21" s="97">
        <v>5.0049675079668363</v>
      </c>
      <c r="AF21" s="92" t="e">
        <f>(ORÇAMENTO_EXECUTIVO!#REF!/CÁLCULO_MÉDIAS!AF$4)*AE21</f>
        <v>#REF!</v>
      </c>
      <c r="AG21" s="97">
        <f>2.57125170509111+1.44</f>
        <v>4.0112517050911105</v>
      </c>
      <c r="AH21" s="92" t="e">
        <f>(ORÇAMENTO_EXECUTIVO!#REF!/CÁLCULO_MÉDIAS!AH$4)*AG21</f>
        <v>#REF!</v>
      </c>
      <c r="AI21" s="99">
        <v>13.493415250930482</v>
      </c>
      <c r="AJ21" s="92" t="e">
        <f>(ORÇAMENTO_EXECUTIVO!#REF!/CÁLCULO_MÉDIAS!AJ$4)*AI21</f>
        <v>#REF!</v>
      </c>
      <c r="AK21" s="97">
        <v>8.67</v>
      </c>
      <c r="AL21" s="91" t="e">
        <f>(ORÇAMENTO_EXECUTIVO!#REF!/CÁLCULO_MÉDIAS!AL$4)*AK21</f>
        <v>#REF!</v>
      </c>
    </row>
    <row r="22" spans="2:38" ht="18.75" customHeight="1" x14ac:dyDescent="0.25">
      <c r="B22" s="31" t="s">
        <v>12</v>
      </c>
      <c r="C22" s="20">
        <v>102.99303370882639</v>
      </c>
      <c r="D22" s="54">
        <f>(ORÇAMENTO_EXECUTIVO!$B$21/CÁLCULO_MÉDIAS!D$4)*C22</f>
        <v>122.2143603676958</v>
      </c>
      <c r="E22" s="36">
        <v>114.53</v>
      </c>
      <c r="F22" s="54">
        <f>(ORÇAMENTO_EXECUTIVO!$B$21/CÁLCULO_MÉDIAS!F$4)*E22</f>
        <v>132.5225518574392</v>
      </c>
      <c r="G22" s="36">
        <v>162.49</v>
      </c>
      <c r="H22" s="54">
        <f>(ORÇAMENTO_EXECUTIVO!$B$21/CÁLCULO_MÉDIAS!H$4)*G22</f>
        <v>188.28604429805131</v>
      </c>
      <c r="I22" s="36">
        <v>203.74922685980627</v>
      </c>
      <c r="J22" s="54">
        <f>(ORÇAMENTO_EXECUTIVO!$B$21/CÁLCULO_MÉDIAS!J$4)*I22</f>
        <v>235.97881675636992</v>
      </c>
      <c r="K22" s="36">
        <v>85.199371342994709</v>
      </c>
      <c r="L22" s="54">
        <f>(ORÇAMENTO_EXECUTIVO!$B$21/CÁLCULO_MÉDIAS!L$4)*K22</f>
        <v>110.02440398574052</v>
      </c>
      <c r="M22" s="20">
        <f>150.750039454126+64.44</f>
        <v>215.19003945412601</v>
      </c>
      <c r="N22" s="54">
        <f>(ORÇAMENTO_EXECUTIVO!$B$21/CÁLCULO_MÉDIAS!N$4)*M22</f>
        <v>256.12193274833322</v>
      </c>
      <c r="O22" s="158">
        <v>136.3357706222408</v>
      </c>
      <c r="P22" s="54">
        <f>(ORÇAMENTO_EXECUTIVO!$B$21/CÁLCULO_MÉDIAS!P$4)*O22</f>
        <v>162.86088706420497</v>
      </c>
      <c r="Q22" s="20">
        <v>152.18185211902374</v>
      </c>
      <c r="R22" s="54">
        <f>(ORÇAMENTO_EXECUTIVO!$B$21/CÁLCULO_MÉDIAS!R$4)*Q22</f>
        <v>182.3785012735608</v>
      </c>
      <c r="S22" s="158">
        <v>223.21245815426761</v>
      </c>
      <c r="T22" s="54">
        <f>(ORÇAMENTO_EXECUTIVO!$B$21/CÁLCULO_MÉDIAS!T$4)*S22</f>
        <v>261.28924645878533</v>
      </c>
      <c r="V22" s="45">
        <v>190</v>
      </c>
      <c r="W22" s="45">
        <v>215</v>
      </c>
      <c r="AA22" s="90">
        <v>26.873961688334965</v>
      </c>
      <c r="AB22" s="91" t="e">
        <f>(ORÇAMENTO_EXECUTIVO!#REF!/CÁLCULO_MÉDIAS!AB$4)*AA22</f>
        <v>#REF!</v>
      </c>
      <c r="AC22" s="90">
        <v>126.33</v>
      </c>
      <c r="AD22" s="92" t="e">
        <f>(ORÇAMENTO_EXECUTIVO!#REF!/CÁLCULO_MÉDIAS!AD$4)*AC22</f>
        <v>#REF!</v>
      </c>
      <c r="AE22" s="97">
        <v>165.68145313767593</v>
      </c>
      <c r="AF22" s="92" t="e">
        <f>(ORÇAMENTO_EXECUTIVO!#REF!/CÁLCULO_MÉDIAS!AF$4)*AE22</f>
        <v>#REF!</v>
      </c>
      <c r="AG22" s="97">
        <f>150.750039454126+64.44</f>
        <v>215.19003945412601</v>
      </c>
      <c r="AH22" s="92" t="e">
        <f>(ORÇAMENTO_EXECUTIVO!#REF!/CÁLCULO_MÉDIAS!AH$4)*AG22</f>
        <v>#REF!</v>
      </c>
      <c r="AI22" s="95">
        <v>131.44433827627864</v>
      </c>
      <c r="AJ22" s="92" t="e">
        <f>(ORÇAMENTO_EXECUTIVO!#REF!/CÁLCULO_MÉDIAS!AJ$4)*AI22</f>
        <v>#REF!</v>
      </c>
      <c r="AK22" s="97">
        <v>84.89</v>
      </c>
      <c r="AL22" s="91" t="e">
        <f>(ORÇAMENTO_EXECUTIVO!#REF!/CÁLCULO_MÉDIAS!AL$4)*AK22</f>
        <v>#REF!</v>
      </c>
    </row>
    <row r="23" spans="2:38" ht="19.149999999999999" customHeight="1" thickBot="1" x14ac:dyDescent="0.3">
      <c r="B23" s="34" t="s">
        <v>13</v>
      </c>
      <c r="C23" s="20">
        <v>116.34736354830952</v>
      </c>
      <c r="D23" s="54">
        <f>(ORÇAMENTO_EXECUTIVO!$B$21/CÁLCULO_MÉDIAS!D$4)*C23</f>
        <v>138.06097465508324</v>
      </c>
      <c r="E23" s="22">
        <v>157.19999999999999</v>
      </c>
      <c r="F23" s="54">
        <f>(ORÇAMENTO_EXECUTIVO!$B$21/CÁLCULO_MÉDIAS!F$4)*E23</f>
        <v>181.89596744948432</v>
      </c>
      <c r="G23" s="22">
        <v>165.48</v>
      </c>
      <c r="H23" s="54">
        <f>(ORÇAMENTO_EXECUTIVO!$B$21/CÁLCULO_MÉDIAS!H$4)*G23</f>
        <v>191.7507207239924</v>
      </c>
      <c r="I23" s="22">
        <v>130.36455189401718</v>
      </c>
      <c r="J23" s="54">
        <f>(ORÇAMENTO_EXECUTIVO!$B$21/CÁLCULO_MÉDIAS!J$4)*I23</f>
        <v>150.98596042326014</v>
      </c>
      <c r="K23" s="22">
        <v>197.00759605936071</v>
      </c>
      <c r="L23" s="54">
        <f>(ORÇAMENTO_EXECUTIVO!$B$21/CÁLCULO_MÉDIAS!L$4)*K23</f>
        <v>254.41083655222189</v>
      </c>
      <c r="M23" s="20">
        <f>154.053109535665+12.4</f>
        <v>166.45310953566499</v>
      </c>
      <c r="N23" s="54">
        <f>(ORÇAMENTO_EXECUTIVO!$B$21/CÁLCULO_MÉDIAS!N$4)*M23</f>
        <v>198.11461643108643</v>
      </c>
      <c r="O23" s="158">
        <v>211.70892945239271</v>
      </c>
      <c r="P23" s="54">
        <f>(ORÇAMENTO_EXECUTIVO!$B$21/CÁLCULO_MÉDIAS!P$4)*O23</f>
        <v>252.89844251927528</v>
      </c>
      <c r="Q23" s="159">
        <v>152.50969542853997</v>
      </c>
      <c r="R23" s="54">
        <f>(ORÇAMENTO_EXECUTIVO!$B$21/CÁLCULO_MÉDIAS!R$4)*Q23</f>
        <v>182.77139681668621</v>
      </c>
      <c r="S23" s="160">
        <v>182.35745146583392</v>
      </c>
      <c r="T23" s="54">
        <f>(ORÇAMENTO_EXECUTIVO!$B$21/CÁLCULO_MÉDIAS!T$4)*S23</f>
        <v>213.46497177465574</v>
      </c>
      <c r="V23" s="46">
        <v>180</v>
      </c>
      <c r="W23" s="46">
        <v>210</v>
      </c>
      <c r="AA23" s="97">
        <v>125.1290430276559</v>
      </c>
      <c r="AB23" s="91" t="e">
        <f>(ORÇAMENTO_EXECUTIVO!#REF!/CÁLCULO_MÉDIAS!AB$4)*AA23</f>
        <v>#REF!</v>
      </c>
      <c r="AC23" s="90">
        <v>74.23</v>
      </c>
      <c r="AD23" s="92" t="e">
        <f>(ORÇAMENTO_EXECUTIVO!#REF!/CÁLCULO_MÉDIAS!AD$4)*AC23</f>
        <v>#REF!</v>
      </c>
      <c r="AE23" s="97">
        <v>142.84171607243701</v>
      </c>
      <c r="AF23" s="92" t="e">
        <f>(ORÇAMENTO_EXECUTIVO!#REF!/CÁLCULO_MÉDIAS!AF$4)*AE23</f>
        <v>#REF!</v>
      </c>
      <c r="AG23" s="97">
        <f>154.053109535665+12.4</f>
        <v>166.45310953566499</v>
      </c>
      <c r="AH23" s="92" t="e">
        <f>(ORÇAMENTO_EXECUTIVO!#REF!/CÁLCULO_MÉDIAS!AH$4)*AG23</f>
        <v>#REF!</v>
      </c>
      <c r="AI23" s="100">
        <v>120.65759582482893</v>
      </c>
      <c r="AJ23" s="92" t="e">
        <f>(ORÇAMENTO_EXECUTIVO!#REF!/CÁLCULO_MÉDIAS!AJ$4)*AI23</f>
        <v>#REF!</v>
      </c>
      <c r="AK23" s="97">
        <v>166.87011551562409</v>
      </c>
      <c r="AL23" s="91" t="e">
        <f>(ORÇAMENTO_EXECUTIVO!#REF!/CÁLCULO_MÉDIAS!AL$4)*AK23</f>
        <v>#REF!</v>
      </c>
    </row>
    <row r="24" spans="2:38" ht="19.149999999999999" customHeight="1" thickBot="1" x14ac:dyDescent="0.3">
      <c r="B24" s="38" t="s">
        <v>14</v>
      </c>
      <c r="C24" s="39">
        <f>SUM(C8:C23)</f>
        <v>2751.6486902386696</v>
      </c>
      <c r="D24" s="55">
        <f t="shared" ref="D24" si="0">SUM(D8:D23)</f>
        <v>3265.1818528315398</v>
      </c>
      <c r="E24" s="39">
        <f>SUM(E8:E23)</f>
        <v>2901.9423402036145</v>
      </c>
      <c r="F24" s="55">
        <f t="shared" ref="F24:S24" si="1">SUM(F8:F23)</f>
        <v>3357.8346657376401</v>
      </c>
      <c r="G24" s="39">
        <f>SUM(G8:G23)</f>
        <v>2881.6169942438341</v>
      </c>
      <c r="H24" s="55">
        <f t="shared" si="1"/>
        <v>3339.0871132267334</v>
      </c>
      <c r="I24" s="39">
        <f t="shared" si="1"/>
        <v>3299.9671929422921</v>
      </c>
      <c r="J24" s="55">
        <f t="shared" si="1"/>
        <v>3821.9647039994761</v>
      </c>
      <c r="K24" s="39">
        <f t="shared" si="1"/>
        <v>2815.3242813874203</v>
      </c>
      <c r="L24" s="55">
        <f t="shared" si="1"/>
        <v>3635.641568753229</v>
      </c>
      <c r="M24" s="39">
        <f t="shared" si="1"/>
        <v>3298.6322847915044</v>
      </c>
      <c r="N24" s="55">
        <f t="shared" si="1"/>
        <v>3926.0742660301194</v>
      </c>
      <c r="O24" s="39">
        <f t="shared" si="1"/>
        <v>4024.8849989291639</v>
      </c>
      <c r="P24" s="55">
        <f t="shared" si="1"/>
        <v>4807.9556690464215</v>
      </c>
      <c r="Q24" s="39">
        <f t="shared" si="1"/>
        <v>2940.0126500658903</v>
      </c>
      <c r="R24" s="55">
        <f t="shared" si="1"/>
        <v>3523.3839868433224</v>
      </c>
      <c r="S24" s="39">
        <f t="shared" si="1"/>
        <v>3047.2006484224244</v>
      </c>
      <c r="T24" s="55">
        <f>SUM(T8:T23)</f>
        <v>3567.0086151049118</v>
      </c>
      <c r="V24" s="47">
        <f>SUM(V8:V23)</f>
        <v>3170</v>
      </c>
      <c r="W24" s="47">
        <f>SUM(W8:W23)</f>
        <v>4025</v>
      </c>
      <c r="AA24" s="101">
        <f>SUM(AA8:AA23)</f>
        <v>2289.5335920898342</v>
      </c>
      <c r="AB24" s="101" t="e">
        <f>SUM(AB8:AB23)</f>
        <v>#REF!</v>
      </c>
      <c r="AC24" s="101">
        <f>SUM(AC8:AC23)</f>
        <v>2191.7199999999998</v>
      </c>
      <c r="AD24" s="101" t="e">
        <f>SUM(AD8:AD23)</f>
        <v>#REF!</v>
      </c>
      <c r="AE24" s="101">
        <f t="shared" ref="AE24:AH24" si="2">SUM(AE8:AE23)</f>
        <v>3271.1160800998159</v>
      </c>
      <c r="AF24" s="101" t="e">
        <f t="shared" si="2"/>
        <v>#REF!</v>
      </c>
      <c r="AG24" s="101">
        <f t="shared" si="2"/>
        <v>3302.6435364965955</v>
      </c>
      <c r="AH24" s="102" t="e">
        <f t="shared" si="2"/>
        <v>#REF!</v>
      </c>
      <c r="AI24" s="101">
        <f>SUM(AI8:AI23)</f>
        <v>3125.805891201589</v>
      </c>
      <c r="AJ24" s="101" t="e">
        <f>SUM(AJ8:AJ23)</f>
        <v>#REF!</v>
      </c>
      <c r="AK24" s="101">
        <f>SUM(AK8:AK23)</f>
        <v>2722.313886565586</v>
      </c>
      <c r="AL24" s="101" t="e">
        <f t="shared" ref="AL24" si="3">SUM(AL8:AL23)</f>
        <v>#REF!</v>
      </c>
    </row>
    <row r="25" spans="2:38" x14ac:dyDescent="0.25"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</row>
    <row r="26" spans="2:38" x14ac:dyDescent="0.25">
      <c r="B26" s="21"/>
      <c r="C26" s="23"/>
      <c r="E26" s="23"/>
      <c r="G26" s="21"/>
      <c r="H26" s="23"/>
      <c r="I26" s="21"/>
      <c r="J26" s="23"/>
      <c r="K26" s="21"/>
      <c r="L26" s="23"/>
      <c r="M26" s="23"/>
      <c r="N26" s="23"/>
      <c r="O26" s="23"/>
      <c r="P26" s="23"/>
      <c r="Q26" s="23"/>
      <c r="R26" s="23"/>
      <c r="S26" s="23"/>
      <c r="T26" s="23"/>
      <c r="U26" s="21"/>
      <c r="V26" s="23"/>
      <c r="X26" s="43"/>
      <c r="Y26" s="43"/>
      <c r="AA26" s="103"/>
      <c r="AB26" s="104"/>
      <c r="AC26" s="105">
        <f>AC24/AD4</f>
        <v>1.0239002877751615</v>
      </c>
      <c r="AD26" s="77"/>
      <c r="AE26" s="77"/>
      <c r="AF26" s="77"/>
      <c r="AG26" s="77"/>
      <c r="AH26" s="77"/>
      <c r="AI26" s="103"/>
      <c r="AJ26" s="104"/>
      <c r="AK26" s="77"/>
      <c r="AL26" s="77"/>
    </row>
    <row r="27" spans="2:38" x14ac:dyDescent="0.25">
      <c r="C27" s="23"/>
      <c r="E27" s="23"/>
      <c r="H27" s="23"/>
      <c r="J27" s="23"/>
      <c r="L27" s="23"/>
      <c r="M27" s="23"/>
      <c r="N27" s="23"/>
      <c r="O27" s="23"/>
      <c r="P27" s="23"/>
      <c r="Q27" s="23"/>
      <c r="R27" s="23"/>
      <c r="S27" s="23"/>
      <c r="T27" s="23"/>
      <c r="V27" s="23"/>
      <c r="X27" s="43"/>
      <c r="Y27" s="43"/>
      <c r="AA27" s="77"/>
      <c r="AB27" s="104"/>
      <c r="AC27" s="77"/>
      <c r="AD27" s="77"/>
      <c r="AE27" s="77"/>
      <c r="AF27" s="77"/>
      <c r="AG27" s="77"/>
      <c r="AH27" s="77"/>
      <c r="AI27" s="77"/>
      <c r="AJ27" s="104"/>
      <c r="AK27" s="77"/>
      <c r="AL27" s="77"/>
    </row>
    <row r="28" spans="2:38" x14ac:dyDescent="0.25">
      <c r="X28" s="43"/>
      <c r="Y28" s="43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</row>
    <row r="29" spans="2:38" x14ac:dyDescent="0.25">
      <c r="X29" s="43"/>
      <c r="Y29" s="43"/>
    </row>
  </sheetData>
  <mergeCells count="11">
    <mergeCell ref="C6:D6"/>
    <mergeCell ref="AA6:AB6"/>
    <mergeCell ref="AC6:AD6"/>
    <mergeCell ref="G6:H6"/>
    <mergeCell ref="E6:F6"/>
    <mergeCell ref="I6:J6"/>
    <mergeCell ref="K6:L6"/>
    <mergeCell ref="M6:N6"/>
    <mergeCell ref="O6:P6"/>
    <mergeCell ref="Q6:R6"/>
    <mergeCell ref="S6:T6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FBFC7-FE91-4C93-A945-C09205EA3136}">
  <dimension ref="A1:S993"/>
  <sheetViews>
    <sheetView showGridLines="0" zoomScale="70" zoomScaleNormal="70" workbookViewId="0">
      <selection activeCell="F11" sqref="F11"/>
    </sheetView>
  </sheetViews>
  <sheetFormatPr defaultColWidth="14.42578125" defaultRowHeight="15" customHeight="1" x14ac:dyDescent="0.25"/>
  <cols>
    <col min="1" max="1" width="59.140625" bestFit="1" customWidth="1"/>
    <col min="2" max="2" width="21.7109375" customWidth="1"/>
    <col min="3" max="3" width="18.42578125" style="24" bestFit="1" customWidth="1"/>
    <col min="4" max="4" width="21.7109375" style="24" customWidth="1"/>
    <col min="5" max="6" width="17.7109375" customWidth="1"/>
    <col min="7" max="7" width="29.7109375" customWidth="1"/>
    <col min="8" max="8" width="9.28515625" customWidth="1"/>
    <col min="9" max="10" width="19.28515625" customWidth="1"/>
    <col min="11" max="18" width="9.140625" customWidth="1"/>
  </cols>
  <sheetData>
    <row r="1" spans="1:19" ht="22.5" customHeight="1" thickBot="1" x14ac:dyDescent="0.3">
      <c r="A1" s="7"/>
      <c r="B1" s="7"/>
      <c r="C1" s="13"/>
      <c r="D1" s="13"/>
      <c r="E1" s="7"/>
      <c r="F1" s="12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9" ht="22.5" customHeight="1" x14ac:dyDescent="0.25">
      <c r="A2" s="49" t="s">
        <v>39</v>
      </c>
      <c r="B2" s="106" t="s">
        <v>45</v>
      </c>
      <c r="C2" s="50" t="s">
        <v>62</v>
      </c>
      <c r="D2" s="107" t="s">
        <v>46</v>
      </c>
      <c r="E2" s="13"/>
      <c r="F2" s="7"/>
      <c r="G2" s="68" t="s">
        <v>39</v>
      </c>
      <c r="H2" s="125" t="s">
        <v>45</v>
      </c>
      <c r="I2" s="69" t="s">
        <v>62</v>
      </c>
      <c r="J2" s="129" t="s">
        <v>46</v>
      </c>
      <c r="K2" s="13"/>
      <c r="L2" s="7"/>
      <c r="M2" s="7"/>
      <c r="N2" s="7"/>
      <c r="O2" s="7"/>
      <c r="P2" s="7"/>
      <c r="Q2" s="7"/>
      <c r="R2" s="7"/>
      <c r="S2" s="7"/>
    </row>
    <row r="3" spans="1:19" ht="19.149999999999999" customHeight="1" x14ac:dyDescent="0.25">
      <c r="A3" s="144" t="s">
        <v>47</v>
      </c>
      <c r="B3" s="145">
        <f>SUMPRODUCT(B4:B21,C4:C21)</f>
        <v>18462.8</v>
      </c>
      <c r="C3" s="146"/>
      <c r="D3" s="147" t="e">
        <f>ORÇAMENTO_EXECUTIVO!#REF!/AREAS_PRIVATIVAS!B3</f>
        <v>#REF!</v>
      </c>
      <c r="E3" s="13"/>
      <c r="F3" s="7"/>
      <c r="G3" s="70" t="s">
        <v>47</v>
      </c>
      <c r="H3" s="126">
        <f>SUM(H4:H9)*13+SUM(K4:K9)</f>
        <v>9052.02</v>
      </c>
      <c r="I3" s="131"/>
      <c r="J3" s="130" t="e">
        <f>ORÇAMENTO_EXECUTIVO!#REF!/AREAS_PRIVATIVAS!H3</f>
        <v>#REF!</v>
      </c>
      <c r="K3" s="13"/>
      <c r="L3" s="7"/>
      <c r="M3" s="7"/>
      <c r="N3" s="7"/>
      <c r="O3" s="7"/>
      <c r="P3" s="7"/>
      <c r="Q3" s="7"/>
      <c r="R3" s="7"/>
      <c r="S3" s="7"/>
    </row>
    <row r="4" spans="1:19" ht="19.5" customHeight="1" x14ac:dyDescent="0.25">
      <c r="A4" s="138">
        <v>601</v>
      </c>
      <c r="B4" s="132">
        <v>227.35</v>
      </c>
      <c r="C4" s="132">
        <v>1</v>
      </c>
      <c r="D4" s="139" t="e">
        <f>B4*$D$3</f>
        <v>#REF!</v>
      </c>
      <c r="E4" s="13">
        <v>98.78</v>
      </c>
      <c r="F4" s="14"/>
      <c r="G4" s="29" t="s">
        <v>56</v>
      </c>
      <c r="H4" s="127">
        <v>72.290000000000006</v>
      </c>
      <c r="I4" s="132">
        <v>6</v>
      </c>
      <c r="J4" s="71" t="e">
        <f>H4*$D$3</f>
        <v>#REF!</v>
      </c>
      <c r="K4" s="13">
        <v>86.29</v>
      </c>
      <c r="L4" s="14"/>
      <c r="M4" s="7"/>
      <c r="N4" s="7"/>
      <c r="O4" s="7"/>
      <c r="P4" s="7"/>
      <c r="Q4" s="7"/>
      <c r="R4" s="7"/>
      <c r="S4" s="7"/>
    </row>
    <row r="5" spans="1:19" ht="19.5" customHeight="1" x14ac:dyDescent="0.45">
      <c r="A5" s="137">
        <v>602</v>
      </c>
      <c r="B5" s="131">
        <v>235.9</v>
      </c>
      <c r="C5" s="131">
        <v>1</v>
      </c>
      <c r="D5" s="140" t="e">
        <f>B5*$D$3</f>
        <v>#REF!</v>
      </c>
      <c r="E5" s="13">
        <v>78.650000000000006</v>
      </c>
      <c r="F5" s="15"/>
      <c r="G5" s="70" t="s">
        <v>57</v>
      </c>
      <c r="H5" s="126">
        <v>87.86</v>
      </c>
      <c r="I5" s="131">
        <f>6+6</f>
        <v>12</v>
      </c>
      <c r="J5" s="72" t="e">
        <f>H5*$D$3</f>
        <v>#REF!</v>
      </c>
      <c r="K5" s="13">
        <v>99.74</v>
      </c>
      <c r="L5" s="15"/>
      <c r="M5" s="7"/>
      <c r="N5" s="7"/>
      <c r="O5" s="7"/>
      <c r="P5" s="7"/>
      <c r="Q5" s="7"/>
      <c r="R5" s="7"/>
      <c r="S5" s="7"/>
    </row>
    <row r="6" spans="1:19" ht="19.5" customHeight="1" x14ac:dyDescent="0.25">
      <c r="A6" s="138">
        <v>603</v>
      </c>
      <c r="B6" s="132">
        <v>145.05000000000001</v>
      </c>
      <c r="C6" s="132">
        <v>1</v>
      </c>
      <c r="D6" s="139" t="e">
        <f t="shared" ref="D6:D20" si="0">B6*$D$3</f>
        <v>#REF!</v>
      </c>
      <c r="E6" s="13">
        <v>87.5</v>
      </c>
      <c r="F6" s="16"/>
      <c r="G6" s="29" t="s">
        <v>58</v>
      </c>
      <c r="H6" s="127">
        <v>96.26</v>
      </c>
      <c r="I6" s="132">
        <v>5</v>
      </c>
      <c r="J6" s="71" t="e">
        <f t="shared" ref="J6:J9" si="1">H6*$D$3</f>
        <v>#REF!</v>
      </c>
      <c r="K6" s="13">
        <v>116.13</v>
      </c>
      <c r="L6" s="16"/>
      <c r="M6" s="7"/>
      <c r="N6" s="7"/>
      <c r="O6" s="7"/>
      <c r="P6" s="7"/>
      <c r="Q6" s="7"/>
      <c r="R6" s="7"/>
      <c r="S6" s="7"/>
    </row>
    <row r="7" spans="1:19" ht="19.5" customHeight="1" x14ac:dyDescent="0.45">
      <c r="A7" s="137">
        <v>604</v>
      </c>
      <c r="B7" s="131">
        <v>144.5</v>
      </c>
      <c r="C7" s="131">
        <v>1</v>
      </c>
      <c r="D7" s="140" t="e">
        <f t="shared" si="0"/>
        <v>#REF!</v>
      </c>
      <c r="E7" s="13">
        <v>92.95</v>
      </c>
      <c r="F7" s="75">
        <f>B3/ORÇAMENTO_EXECUTIVO!G2</f>
        <v>0.4367023142422129</v>
      </c>
      <c r="G7" s="70" t="s">
        <v>59</v>
      </c>
      <c r="H7" s="126">
        <v>113.26</v>
      </c>
      <c r="I7" s="131">
        <v>4</v>
      </c>
      <c r="J7" s="72" t="e">
        <f t="shared" si="1"/>
        <v>#REF!</v>
      </c>
      <c r="K7" s="13">
        <v>102.55</v>
      </c>
      <c r="L7" s="75" t="e">
        <f>H3/ORÇAMENTO_EXECUTIVO!L2</f>
        <v>#DIV/0!</v>
      </c>
      <c r="M7" s="7"/>
      <c r="N7" s="7"/>
      <c r="O7" s="7"/>
      <c r="P7" s="7"/>
      <c r="Q7" s="7"/>
      <c r="R7" s="7"/>
      <c r="S7" s="7"/>
    </row>
    <row r="8" spans="1:19" ht="19.5" customHeight="1" x14ac:dyDescent="0.25">
      <c r="A8" s="138">
        <v>605</v>
      </c>
      <c r="B8" s="132">
        <v>108.25</v>
      </c>
      <c r="C8" s="132">
        <v>1</v>
      </c>
      <c r="D8" s="139" t="e">
        <f t="shared" si="0"/>
        <v>#REF!</v>
      </c>
      <c r="E8" s="13">
        <v>115.03</v>
      </c>
      <c r="F8" s="16"/>
      <c r="G8" s="29" t="s">
        <v>60</v>
      </c>
      <c r="H8" s="127">
        <v>46.51</v>
      </c>
      <c r="I8" s="132">
        <v>6</v>
      </c>
      <c r="J8" s="71" t="e">
        <f t="shared" si="1"/>
        <v>#REF!</v>
      </c>
      <c r="K8" s="13">
        <v>123.34</v>
      </c>
      <c r="L8" s="16"/>
      <c r="M8" s="7"/>
      <c r="N8" s="7"/>
      <c r="O8" s="7"/>
      <c r="P8" s="7"/>
      <c r="Q8" s="7"/>
      <c r="R8" s="7"/>
      <c r="S8" s="7"/>
    </row>
    <row r="9" spans="1:19" ht="19.5" customHeight="1" thickBot="1" x14ac:dyDescent="0.5">
      <c r="A9" s="137">
        <v>606</v>
      </c>
      <c r="B9" s="131">
        <v>185.85</v>
      </c>
      <c r="C9" s="131">
        <v>1</v>
      </c>
      <c r="D9" s="140" t="e">
        <f t="shared" si="0"/>
        <v>#REF!</v>
      </c>
      <c r="E9" s="13">
        <v>113.21</v>
      </c>
      <c r="F9" s="15"/>
      <c r="G9" s="73" t="s">
        <v>61</v>
      </c>
      <c r="H9" s="128">
        <v>239.51</v>
      </c>
      <c r="I9" s="134">
        <v>1</v>
      </c>
      <c r="J9" s="74" t="e">
        <f t="shared" si="1"/>
        <v>#REF!</v>
      </c>
      <c r="K9" s="13"/>
      <c r="L9" s="15"/>
      <c r="M9" s="7"/>
      <c r="N9" s="7"/>
      <c r="O9" s="7"/>
      <c r="P9" s="7"/>
      <c r="Q9" s="7"/>
      <c r="R9" s="7"/>
      <c r="S9" s="7"/>
    </row>
    <row r="10" spans="1:19" ht="19.5" customHeight="1" x14ac:dyDescent="0.45">
      <c r="A10" s="138">
        <v>607</v>
      </c>
      <c r="B10" s="132">
        <v>201.9</v>
      </c>
      <c r="C10" s="132">
        <v>1</v>
      </c>
      <c r="D10" s="139" t="e">
        <f t="shared" si="0"/>
        <v>#REF!</v>
      </c>
      <c r="E10" s="13"/>
      <c r="F10" s="15"/>
      <c r="G10" s="7"/>
      <c r="H10" s="7"/>
      <c r="I10" s="7"/>
      <c r="J10" s="13"/>
      <c r="K10" s="13"/>
      <c r="L10" s="15"/>
      <c r="M10" s="7"/>
      <c r="N10" s="7"/>
      <c r="O10" s="7"/>
      <c r="P10" s="7"/>
      <c r="Q10" s="7"/>
      <c r="R10" s="7"/>
      <c r="S10" s="7"/>
    </row>
    <row r="11" spans="1:19" ht="19.5" customHeight="1" x14ac:dyDescent="0.45">
      <c r="A11" s="137">
        <v>608</v>
      </c>
      <c r="B11" s="131">
        <v>127.4</v>
      </c>
      <c r="C11" s="131">
        <v>1</v>
      </c>
      <c r="D11" s="140" t="e">
        <f t="shared" si="0"/>
        <v>#REF!</v>
      </c>
      <c r="E11" s="13"/>
      <c r="F11" s="15"/>
      <c r="G11" s="7"/>
      <c r="H11" s="7"/>
      <c r="I11" s="7"/>
      <c r="J11" s="13"/>
      <c r="K11" s="13"/>
      <c r="L11" s="15"/>
      <c r="M11" s="7"/>
      <c r="N11" s="7"/>
      <c r="O11" s="7"/>
      <c r="P11" s="7"/>
      <c r="Q11" s="7"/>
      <c r="R11" s="7"/>
      <c r="S11" s="7"/>
    </row>
    <row r="12" spans="1:19" ht="19.5" customHeight="1" x14ac:dyDescent="0.45">
      <c r="A12" s="138" t="s">
        <v>63</v>
      </c>
      <c r="B12" s="132">
        <v>164.7</v>
      </c>
      <c r="C12" s="132">
        <v>2</v>
      </c>
      <c r="D12" s="139" t="e">
        <f t="shared" si="0"/>
        <v>#REF!</v>
      </c>
      <c r="E12" s="13"/>
      <c r="F12" s="15"/>
      <c r="G12" s="7"/>
      <c r="H12" s="7"/>
      <c r="I12" s="7"/>
      <c r="J12" s="13"/>
      <c r="K12" s="13"/>
      <c r="L12" s="15"/>
      <c r="M12" s="7"/>
      <c r="N12" s="7"/>
      <c r="O12" s="7"/>
      <c r="P12" s="7"/>
      <c r="Q12" s="7"/>
      <c r="R12" s="7"/>
      <c r="S12" s="7"/>
    </row>
    <row r="13" spans="1:19" ht="19.5" customHeight="1" x14ac:dyDescent="0.45">
      <c r="A13" s="137" t="s">
        <v>64</v>
      </c>
      <c r="B13" s="131">
        <v>155.9</v>
      </c>
      <c r="C13" s="131">
        <v>13</v>
      </c>
      <c r="D13" s="140" t="e">
        <f t="shared" si="0"/>
        <v>#REF!</v>
      </c>
      <c r="E13" s="13"/>
      <c r="F13" s="15"/>
      <c r="G13" s="7"/>
      <c r="H13" s="7"/>
      <c r="I13" s="7"/>
      <c r="J13" s="13"/>
      <c r="K13" s="13"/>
      <c r="L13" s="15"/>
      <c r="M13" s="7"/>
      <c r="N13" s="7"/>
      <c r="O13" s="7"/>
      <c r="P13" s="7"/>
      <c r="Q13" s="7"/>
      <c r="R13" s="7"/>
      <c r="S13" s="7"/>
    </row>
    <row r="14" spans="1:19" ht="19.5" customHeight="1" x14ac:dyDescent="0.45">
      <c r="A14" s="138" t="s">
        <v>67</v>
      </c>
      <c r="B14" s="132">
        <v>175.7</v>
      </c>
      <c r="C14" s="132">
        <v>13</v>
      </c>
      <c r="D14" s="139" t="e">
        <f t="shared" si="0"/>
        <v>#REF!</v>
      </c>
      <c r="E14" s="13"/>
      <c r="F14" s="15"/>
      <c r="G14" s="7"/>
      <c r="H14" s="7"/>
      <c r="I14" s="7"/>
      <c r="J14" s="7"/>
      <c r="K14" s="13"/>
      <c r="L14" s="15"/>
      <c r="M14" s="7"/>
      <c r="N14" s="7"/>
      <c r="O14" s="7"/>
      <c r="P14" s="7"/>
      <c r="Q14" s="7"/>
      <c r="R14" s="7"/>
      <c r="S14" s="7"/>
    </row>
    <row r="15" spans="1:19" ht="19.5" customHeight="1" x14ac:dyDescent="0.45">
      <c r="A15" s="137" t="s">
        <v>65</v>
      </c>
      <c r="B15" s="131">
        <v>114.7</v>
      </c>
      <c r="C15" s="131">
        <v>52</v>
      </c>
      <c r="D15" s="140" t="e">
        <f t="shared" si="0"/>
        <v>#REF!</v>
      </c>
      <c r="E15" s="13"/>
      <c r="F15" s="15"/>
      <c r="G15" s="7"/>
      <c r="H15" s="7"/>
      <c r="I15" s="7"/>
      <c r="J15" s="7"/>
      <c r="K15" s="13"/>
      <c r="L15" s="15"/>
      <c r="M15" s="7"/>
      <c r="N15" s="7"/>
      <c r="O15" s="7"/>
      <c r="P15" s="7"/>
      <c r="Q15" s="7"/>
      <c r="R15" s="7"/>
      <c r="S15" s="7"/>
    </row>
    <row r="16" spans="1:19" ht="19.5" customHeight="1" x14ac:dyDescent="0.45">
      <c r="A16" s="138" t="s">
        <v>66</v>
      </c>
      <c r="B16" s="132">
        <v>91.5</v>
      </c>
      <c r="C16" s="132">
        <v>13</v>
      </c>
      <c r="D16" s="139" t="e">
        <f t="shared" si="0"/>
        <v>#REF!</v>
      </c>
      <c r="E16" s="13"/>
      <c r="F16" s="15"/>
      <c r="G16" s="7"/>
      <c r="H16" s="7"/>
      <c r="I16" s="7"/>
      <c r="J16" s="7"/>
      <c r="K16" s="13"/>
      <c r="L16" s="15"/>
      <c r="M16" s="7"/>
      <c r="N16" s="7"/>
      <c r="O16" s="7"/>
      <c r="P16" s="7"/>
      <c r="Q16" s="7"/>
      <c r="R16" s="7"/>
      <c r="S16" s="7"/>
    </row>
    <row r="17" spans="1:19" ht="19.5" customHeight="1" x14ac:dyDescent="0.45">
      <c r="A17" s="137" t="s">
        <v>68</v>
      </c>
      <c r="B17" s="131">
        <v>137.1</v>
      </c>
      <c r="C17" s="131">
        <v>13</v>
      </c>
      <c r="D17" s="140" t="e">
        <f t="shared" si="0"/>
        <v>#REF!</v>
      </c>
      <c r="E17" s="13"/>
      <c r="F17" s="15"/>
      <c r="G17" s="7"/>
      <c r="H17" s="7"/>
      <c r="I17" s="7"/>
      <c r="J17" s="7"/>
      <c r="K17" s="13"/>
      <c r="L17" s="15"/>
      <c r="M17" s="7"/>
      <c r="N17" s="7"/>
      <c r="O17" s="7"/>
      <c r="P17" s="7"/>
      <c r="Q17" s="7"/>
      <c r="R17" s="7"/>
      <c r="S17" s="7"/>
    </row>
    <row r="18" spans="1:19" ht="19.5" customHeight="1" x14ac:dyDescent="0.45">
      <c r="A18" s="138" t="s">
        <v>69</v>
      </c>
      <c r="B18" s="132">
        <v>136.5</v>
      </c>
      <c r="C18" s="132">
        <v>13</v>
      </c>
      <c r="D18" s="139" t="e">
        <f t="shared" si="0"/>
        <v>#REF!</v>
      </c>
      <c r="E18" s="13"/>
      <c r="F18" s="15"/>
      <c r="G18" s="7"/>
      <c r="H18" s="7"/>
      <c r="I18" s="7"/>
      <c r="J18" s="7"/>
      <c r="K18" s="13"/>
      <c r="L18" s="15"/>
      <c r="M18" s="7"/>
      <c r="N18" s="7"/>
      <c r="O18" s="7"/>
      <c r="P18" s="7"/>
      <c r="Q18" s="7"/>
      <c r="R18" s="7"/>
      <c r="S18" s="7"/>
    </row>
    <row r="19" spans="1:19" ht="19.5" customHeight="1" x14ac:dyDescent="0.45">
      <c r="A19" s="137" t="s">
        <v>70</v>
      </c>
      <c r="B19" s="131">
        <v>90.75</v>
      </c>
      <c r="C19" s="131">
        <v>13</v>
      </c>
      <c r="D19" s="140" t="e">
        <f t="shared" si="0"/>
        <v>#REF!</v>
      </c>
      <c r="E19" s="13"/>
      <c r="F19" s="15"/>
      <c r="G19" s="7"/>
      <c r="H19" s="7"/>
      <c r="I19" s="7"/>
      <c r="J19" s="7"/>
      <c r="K19" s="13"/>
      <c r="L19" s="15"/>
      <c r="M19" s="7"/>
      <c r="N19" s="7"/>
      <c r="O19" s="7"/>
      <c r="P19" s="7"/>
      <c r="Q19" s="7"/>
      <c r="R19" s="7"/>
      <c r="S19" s="7"/>
    </row>
    <row r="20" spans="1:19" ht="19.5" customHeight="1" x14ac:dyDescent="0.25">
      <c r="A20" s="138">
        <v>2001</v>
      </c>
      <c r="B20" s="132">
        <v>280.89999999999998</v>
      </c>
      <c r="C20" s="132">
        <v>1</v>
      </c>
      <c r="D20" s="139" t="e">
        <f t="shared" si="0"/>
        <v>#REF!</v>
      </c>
      <c r="E20" s="13">
        <v>45.73</v>
      </c>
      <c r="F20" s="7"/>
      <c r="G20" s="7"/>
      <c r="H20" s="7"/>
      <c r="I20" s="135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ht="19.5" customHeight="1" x14ac:dyDescent="0.25">
      <c r="A21" s="141">
        <v>2002</v>
      </c>
      <c r="B21" s="133">
        <v>275.05</v>
      </c>
      <c r="C21" s="133">
        <v>1</v>
      </c>
      <c r="D21" s="142" t="e">
        <f>B21*D3</f>
        <v>#REF!</v>
      </c>
      <c r="E21" s="13">
        <v>122.55</v>
      </c>
      <c r="F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 ht="19.5" customHeight="1" x14ac:dyDescent="0.25">
      <c r="A22" s="7"/>
      <c r="B22" s="7"/>
      <c r="C22" s="7"/>
      <c r="D22" s="13"/>
      <c r="E22" s="13"/>
      <c r="F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19" ht="19.5" customHeight="1" thickBot="1" x14ac:dyDescent="0.3">
      <c r="A23" s="7"/>
      <c r="B23" s="7"/>
      <c r="C23" s="13"/>
      <c r="D23" s="13"/>
      <c r="E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19" ht="19.5" customHeight="1" x14ac:dyDescent="0.25">
      <c r="A24" s="68" t="s">
        <v>49</v>
      </c>
      <c r="B24" s="69">
        <v>640.39</v>
      </c>
      <c r="C24" s="143"/>
      <c r="D24" s="13"/>
      <c r="E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9" ht="19.5" customHeight="1" x14ac:dyDescent="0.25">
      <c r="A25" s="7"/>
      <c r="B25" s="7"/>
      <c r="C25" s="13"/>
      <c r="D25" s="13"/>
      <c r="E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9" ht="19.5" customHeight="1" x14ac:dyDescent="0.25">
      <c r="A26" s="7"/>
      <c r="B26" s="7"/>
      <c r="C26" s="13"/>
      <c r="D26" s="13"/>
      <c r="E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19" ht="19.5" customHeight="1" x14ac:dyDescent="0.25">
      <c r="A27" s="7"/>
      <c r="B27" s="7"/>
      <c r="C27" s="13"/>
      <c r="D27" s="13"/>
      <c r="E27" s="7"/>
      <c r="F27" s="136"/>
      <c r="G27" s="135"/>
      <c r="H27" s="135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9" ht="19.5" customHeight="1" x14ac:dyDescent="0.25">
      <c r="A28" s="7"/>
      <c r="B28" s="7"/>
      <c r="C28" s="13"/>
      <c r="D28" s="13"/>
      <c r="E28" s="7"/>
      <c r="F28" s="136"/>
      <c r="G28" s="135"/>
      <c r="H28" s="135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1:19" ht="19.5" customHeight="1" x14ac:dyDescent="0.25">
      <c r="A29" s="7"/>
      <c r="B29" s="7"/>
      <c r="C29" s="13"/>
      <c r="D29" s="13"/>
      <c r="E29" s="7"/>
      <c r="F29" s="136"/>
      <c r="G29" s="135"/>
      <c r="H29" s="135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spans="1:19" ht="19.5" customHeight="1" x14ac:dyDescent="0.25">
      <c r="A30" s="7"/>
      <c r="B30" s="7"/>
      <c r="C30" s="13"/>
      <c r="D30" s="13"/>
      <c r="E30" s="7"/>
      <c r="F30" s="136"/>
      <c r="G30" s="135"/>
      <c r="H30" s="135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19" ht="19.5" customHeight="1" x14ac:dyDescent="0.25">
      <c r="A31" s="7"/>
      <c r="B31" s="7"/>
      <c r="C31" s="13"/>
      <c r="D31" s="13"/>
      <c r="E31" s="7"/>
      <c r="F31" s="136"/>
      <c r="G31" s="135"/>
      <c r="H31" s="135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9" ht="19.5" customHeight="1" x14ac:dyDescent="0.25">
      <c r="A32" s="7"/>
      <c r="B32" s="7"/>
      <c r="C32" s="13"/>
      <c r="D32" s="13"/>
      <c r="E32" s="7"/>
      <c r="F32" s="136"/>
      <c r="G32" s="135"/>
      <c r="H32" s="135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 ht="19.5" customHeight="1" x14ac:dyDescent="0.25">
      <c r="A33" s="7"/>
      <c r="B33" s="7"/>
      <c r="C33" s="13"/>
      <c r="D33" s="13"/>
      <c r="E33" s="7"/>
      <c r="F33" s="136"/>
      <c r="G33" s="135"/>
      <c r="H33" s="135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ht="19.5" customHeight="1" x14ac:dyDescent="0.25">
      <c r="A34" s="7"/>
      <c r="B34" s="7"/>
      <c r="C34" s="13"/>
      <c r="D34" s="13"/>
      <c r="E34" s="7"/>
      <c r="F34" s="136"/>
      <c r="G34" s="135"/>
      <c r="H34" s="135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 ht="19.5" customHeight="1" x14ac:dyDescent="0.25">
      <c r="A35" s="7"/>
      <c r="B35" s="7"/>
      <c r="C35" s="13"/>
      <c r="D35" s="13"/>
      <c r="E35" s="7"/>
      <c r="F35" s="136"/>
      <c r="G35" s="135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ht="19.5" customHeight="1" x14ac:dyDescent="0.25">
      <c r="A36" s="7"/>
      <c r="B36" s="7"/>
      <c r="C36" s="13"/>
      <c r="D36" s="13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 ht="19.5" customHeight="1" x14ac:dyDescent="0.25">
      <c r="A37" s="7"/>
      <c r="B37" s="7"/>
      <c r="C37" s="13"/>
      <c r="D37" s="13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ht="19.5" customHeight="1" x14ac:dyDescent="0.25">
      <c r="A38" s="7"/>
      <c r="B38" s="7"/>
      <c r="C38" s="13"/>
      <c r="D38" s="13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ht="19.5" customHeight="1" x14ac:dyDescent="0.25">
      <c r="A39" s="7"/>
      <c r="B39" s="7"/>
      <c r="C39" s="13"/>
      <c r="D39" s="13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ht="19.5" customHeight="1" x14ac:dyDescent="0.25">
      <c r="A40" s="7"/>
      <c r="B40" s="7"/>
      <c r="C40" s="13"/>
      <c r="D40" s="13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ht="19.5" customHeight="1" x14ac:dyDescent="0.25">
      <c r="A41" s="7"/>
      <c r="B41" s="7"/>
      <c r="C41" s="13"/>
      <c r="D41" s="13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ht="19.5" customHeight="1" x14ac:dyDescent="0.25">
      <c r="A42" s="7"/>
      <c r="B42" s="7"/>
      <c r="C42" s="13"/>
      <c r="D42" s="13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 ht="19.5" customHeight="1" x14ac:dyDescent="0.25">
      <c r="A43" s="7"/>
      <c r="B43" s="7"/>
      <c r="C43" s="13"/>
      <c r="D43" s="13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 ht="19.5" customHeight="1" x14ac:dyDescent="0.25">
      <c r="A44" s="7"/>
      <c r="B44" s="7"/>
      <c r="C44" s="13"/>
      <c r="D44" s="13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 ht="19.5" customHeight="1" x14ac:dyDescent="0.25">
      <c r="A45" s="7"/>
      <c r="B45" s="7"/>
      <c r="C45" s="13"/>
      <c r="D45" s="13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 ht="19.5" customHeight="1" x14ac:dyDescent="0.25">
      <c r="A46" s="7"/>
      <c r="B46" s="7"/>
      <c r="C46" s="13"/>
      <c r="D46" s="13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1:18" ht="19.5" customHeight="1" x14ac:dyDescent="0.25">
      <c r="A47" s="7"/>
      <c r="B47" s="7"/>
      <c r="C47" s="13"/>
      <c r="D47" s="13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 ht="19.5" customHeight="1" x14ac:dyDescent="0.25">
      <c r="A48" s="7"/>
      <c r="B48" s="7"/>
      <c r="C48" s="13"/>
      <c r="D48" s="13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 ht="19.5" customHeight="1" x14ac:dyDescent="0.25">
      <c r="A49" s="7"/>
      <c r="B49" s="7"/>
      <c r="C49" s="13"/>
      <c r="D49" s="13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 ht="19.5" customHeight="1" x14ac:dyDescent="0.25">
      <c r="A50" s="7"/>
      <c r="B50" s="7"/>
      <c r="C50" s="13"/>
      <c r="D50" s="13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ht="19.5" customHeight="1" x14ac:dyDescent="0.25">
      <c r="A51" s="7"/>
      <c r="B51" s="7"/>
      <c r="C51" s="13"/>
      <c r="D51" s="13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 ht="19.5" customHeight="1" x14ac:dyDescent="0.25">
      <c r="A52" s="7"/>
      <c r="B52" s="7"/>
      <c r="C52" s="13"/>
      <c r="D52" s="13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 ht="19.5" customHeight="1" x14ac:dyDescent="0.25">
      <c r="A53" s="7"/>
      <c r="B53" s="7"/>
      <c r="C53" s="13"/>
      <c r="D53" s="13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 ht="19.5" customHeight="1" x14ac:dyDescent="0.25">
      <c r="A54" s="7"/>
      <c r="B54" s="7"/>
      <c r="C54" s="13"/>
      <c r="D54" s="13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 ht="19.5" customHeight="1" x14ac:dyDescent="0.25">
      <c r="A55" s="7"/>
      <c r="B55" s="7"/>
      <c r="C55" s="13"/>
      <c r="D55" s="13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 ht="19.5" customHeight="1" x14ac:dyDescent="0.25">
      <c r="A56" s="7"/>
      <c r="B56" s="7"/>
      <c r="C56" s="13"/>
      <c r="D56" s="13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 ht="19.5" customHeight="1" x14ac:dyDescent="0.25">
      <c r="A57" s="7"/>
      <c r="B57" s="7"/>
      <c r="C57" s="13"/>
      <c r="D57" s="13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1:18" ht="19.5" customHeight="1" x14ac:dyDescent="0.25">
      <c r="A58" s="7"/>
      <c r="B58" s="7"/>
      <c r="C58" s="13"/>
      <c r="D58" s="13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 ht="19.5" customHeight="1" x14ac:dyDescent="0.25">
      <c r="A59" s="7"/>
      <c r="B59" s="7"/>
      <c r="C59" s="13"/>
      <c r="D59" s="13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 ht="19.5" customHeight="1" x14ac:dyDescent="0.25">
      <c r="A60" s="7"/>
      <c r="B60" s="7"/>
      <c r="C60" s="13"/>
      <c r="D60" s="13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8" ht="19.5" customHeight="1" x14ac:dyDescent="0.25">
      <c r="A61" s="7"/>
      <c r="B61" s="7"/>
      <c r="C61" s="13"/>
      <c r="D61" s="13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 ht="19.5" customHeight="1" x14ac:dyDescent="0.25">
      <c r="A62" s="7"/>
      <c r="B62" s="7"/>
      <c r="C62" s="13"/>
      <c r="D62" s="13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1:18" ht="19.5" customHeight="1" x14ac:dyDescent="0.25">
      <c r="A63" s="7"/>
      <c r="B63" s="7"/>
      <c r="C63" s="13"/>
      <c r="D63" s="13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1:18" ht="19.5" customHeight="1" x14ac:dyDescent="0.25">
      <c r="A64" s="7"/>
      <c r="B64" s="7"/>
      <c r="C64" s="13"/>
      <c r="D64" s="13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1:18" ht="19.5" customHeight="1" x14ac:dyDescent="0.25">
      <c r="A65" s="7"/>
      <c r="B65" s="7"/>
      <c r="C65" s="13"/>
      <c r="D65" s="13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 ht="19.5" customHeight="1" x14ac:dyDescent="0.25">
      <c r="A66" s="7"/>
      <c r="B66" s="7"/>
      <c r="C66" s="13"/>
      <c r="D66" s="13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 ht="19.5" customHeight="1" x14ac:dyDescent="0.25">
      <c r="A67" s="7"/>
      <c r="B67" s="7"/>
      <c r="C67" s="13"/>
      <c r="D67" s="13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 ht="19.5" customHeight="1" x14ac:dyDescent="0.25">
      <c r="A68" s="7"/>
      <c r="B68" s="7"/>
      <c r="C68" s="13"/>
      <c r="D68" s="13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 ht="19.5" customHeight="1" x14ac:dyDescent="0.25">
      <c r="A69" s="7"/>
      <c r="B69" s="7"/>
      <c r="C69" s="13"/>
      <c r="D69" s="13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 ht="19.5" customHeight="1" x14ac:dyDescent="0.25">
      <c r="A70" s="7"/>
      <c r="B70" s="7"/>
      <c r="C70" s="13"/>
      <c r="D70" s="13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 ht="19.5" customHeight="1" x14ac:dyDescent="0.25">
      <c r="A71" s="7"/>
      <c r="B71" s="7"/>
      <c r="C71" s="13"/>
      <c r="D71" s="13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 ht="19.5" customHeight="1" x14ac:dyDescent="0.25">
      <c r="A72" s="7"/>
      <c r="B72" s="7"/>
      <c r="C72" s="13"/>
      <c r="D72" s="13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 ht="19.5" customHeight="1" x14ac:dyDescent="0.25">
      <c r="A73" s="7"/>
      <c r="B73" s="7"/>
      <c r="C73" s="13"/>
      <c r="D73" s="13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 ht="19.5" customHeight="1" x14ac:dyDescent="0.25">
      <c r="A74" s="7"/>
      <c r="B74" s="7"/>
      <c r="C74" s="13"/>
      <c r="D74" s="13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 ht="19.5" customHeight="1" x14ac:dyDescent="0.25">
      <c r="A75" s="7"/>
      <c r="B75" s="7"/>
      <c r="C75" s="13"/>
      <c r="D75" s="13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spans="1:18" ht="19.5" customHeight="1" x14ac:dyDescent="0.25">
      <c r="A76" s="7"/>
      <c r="B76" s="7"/>
      <c r="C76" s="13"/>
      <c r="D76" s="13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1:18" ht="19.5" customHeight="1" x14ac:dyDescent="0.25">
      <c r="A77" s="7"/>
      <c r="B77" s="7"/>
      <c r="C77" s="13"/>
      <c r="D77" s="13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spans="1:18" ht="19.5" customHeight="1" x14ac:dyDescent="0.25">
      <c r="A78" s="7"/>
      <c r="B78" s="7"/>
      <c r="C78" s="13"/>
      <c r="D78" s="13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spans="1:18" ht="19.5" customHeight="1" x14ac:dyDescent="0.25">
      <c r="A79" s="7"/>
      <c r="B79" s="7"/>
      <c r="C79" s="13"/>
      <c r="D79" s="13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spans="1:18" ht="19.5" customHeight="1" x14ac:dyDescent="0.25">
      <c r="A80" s="7"/>
      <c r="B80" s="7"/>
      <c r="C80" s="13"/>
      <c r="D80" s="13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1:18" ht="19.5" customHeight="1" x14ac:dyDescent="0.25">
      <c r="A81" s="7"/>
      <c r="B81" s="7"/>
      <c r="C81" s="13"/>
      <c r="D81" s="13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1:18" ht="19.5" customHeight="1" x14ac:dyDescent="0.25">
      <c r="A82" s="7"/>
      <c r="B82" s="7"/>
      <c r="C82" s="13"/>
      <c r="D82" s="13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1:18" ht="19.5" customHeight="1" x14ac:dyDescent="0.25">
      <c r="A83" s="7"/>
      <c r="B83" s="7"/>
      <c r="C83" s="13"/>
      <c r="D83" s="13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1:18" ht="19.5" customHeight="1" x14ac:dyDescent="0.25">
      <c r="A84" s="7"/>
      <c r="B84" s="7"/>
      <c r="C84" s="13"/>
      <c r="D84" s="13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1:18" ht="19.5" customHeight="1" x14ac:dyDescent="0.25">
      <c r="A85" s="7"/>
      <c r="B85" s="7"/>
      <c r="C85" s="13"/>
      <c r="D85" s="13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1:18" ht="19.5" customHeight="1" x14ac:dyDescent="0.25">
      <c r="A86" s="7"/>
      <c r="B86" s="7"/>
      <c r="C86" s="13"/>
      <c r="D86" s="13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1:18" ht="19.5" customHeight="1" x14ac:dyDescent="0.25">
      <c r="A87" s="7"/>
      <c r="B87" s="7"/>
      <c r="C87" s="13"/>
      <c r="D87" s="13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1:18" ht="19.5" customHeight="1" x14ac:dyDescent="0.25">
      <c r="A88" s="7"/>
      <c r="B88" s="7"/>
      <c r="C88" s="13"/>
      <c r="D88" s="13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1:18" ht="19.5" customHeight="1" x14ac:dyDescent="0.25">
      <c r="A89" s="7"/>
      <c r="B89" s="7"/>
      <c r="C89" s="13"/>
      <c r="D89" s="13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1:18" ht="19.5" customHeight="1" x14ac:dyDescent="0.25">
      <c r="A90" s="7"/>
      <c r="B90" s="7"/>
      <c r="C90" s="13"/>
      <c r="D90" s="13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1:18" ht="19.5" customHeight="1" x14ac:dyDescent="0.25">
      <c r="A91" s="7"/>
      <c r="B91" s="7"/>
      <c r="C91" s="13"/>
      <c r="D91" s="13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1:18" ht="19.5" customHeight="1" x14ac:dyDescent="0.25">
      <c r="A92" s="7"/>
      <c r="B92" s="7"/>
      <c r="C92" s="13"/>
      <c r="D92" s="13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1:18" ht="19.5" customHeight="1" x14ac:dyDescent="0.25">
      <c r="A93" s="7"/>
      <c r="B93" s="7"/>
      <c r="C93" s="13"/>
      <c r="D93" s="13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1:18" ht="19.5" customHeight="1" x14ac:dyDescent="0.25">
      <c r="A94" s="7"/>
      <c r="B94" s="7"/>
      <c r="C94" s="13"/>
      <c r="D94" s="13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1:18" ht="19.5" customHeight="1" x14ac:dyDescent="0.25">
      <c r="A95" s="7"/>
      <c r="B95" s="7"/>
      <c r="C95" s="13"/>
      <c r="D95" s="13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1:18" ht="19.5" customHeight="1" x14ac:dyDescent="0.25">
      <c r="A96" s="7"/>
      <c r="B96" s="7"/>
      <c r="C96" s="13"/>
      <c r="D96" s="13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1:18" ht="19.5" customHeight="1" x14ac:dyDescent="0.25">
      <c r="A97" s="7"/>
      <c r="B97" s="7"/>
      <c r="C97" s="13"/>
      <c r="D97" s="13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1:18" ht="19.5" customHeight="1" x14ac:dyDescent="0.25">
      <c r="A98" s="7"/>
      <c r="B98" s="7"/>
      <c r="C98" s="13"/>
      <c r="D98" s="13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1:18" ht="19.5" customHeight="1" x14ac:dyDescent="0.25">
      <c r="A99" s="7"/>
      <c r="B99" s="7"/>
      <c r="C99" s="13"/>
      <c r="D99" s="13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1:18" ht="19.5" customHeight="1" x14ac:dyDescent="0.25">
      <c r="A100" s="7"/>
      <c r="B100" s="7"/>
      <c r="C100" s="13"/>
      <c r="D100" s="13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1:18" ht="19.5" customHeight="1" x14ac:dyDescent="0.25">
      <c r="A101" s="7"/>
      <c r="B101" s="7"/>
      <c r="C101" s="13"/>
      <c r="D101" s="13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spans="1:18" ht="19.5" customHeight="1" x14ac:dyDescent="0.25">
      <c r="A102" s="7"/>
      <c r="B102" s="7"/>
      <c r="C102" s="13"/>
      <c r="D102" s="13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1:18" ht="19.5" customHeight="1" x14ac:dyDescent="0.25">
      <c r="A103" s="7"/>
      <c r="B103" s="7"/>
      <c r="C103" s="13"/>
      <c r="D103" s="13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1:18" ht="19.5" customHeight="1" x14ac:dyDescent="0.25">
      <c r="A104" s="7"/>
      <c r="B104" s="7"/>
      <c r="C104" s="13"/>
      <c r="D104" s="13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1:18" ht="19.5" customHeight="1" x14ac:dyDescent="0.25">
      <c r="A105" s="7"/>
      <c r="B105" s="7"/>
      <c r="C105" s="13"/>
      <c r="D105" s="13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spans="1:18" ht="19.5" customHeight="1" x14ac:dyDescent="0.25">
      <c r="A106" s="7"/>
      <c r="B106" s="7"/>
      <c r="C106" s="13"/>
      <c r="D106" s="13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spans="1:18" ht="19.5" customHeight="1" x14ac:dyDescent="0.25">
      <c r="A107" s="7"/>
      <c r="B107" s="7"/>
      <c r="C107" s="13"/>
      <c r="D107" s="13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1:18" ht="19.5" customHeight="1" x14ac:dyDescent="0.25">
      <c r="A108" s="7"/>
      <c r="B108" s="7"/>
      <c r="C108" s="13"/>
      <c r="D108" s="13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spans="1:18" ht="19.5" customHeight="1" x14ac:dyDescent="0.25">
      <c r="A109" s="7"/>
      <c r="B109" s="7"/>
      <c r="C109" s="13"/>
      <c r="D109" s="13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spans="1:18" ht="19.5" customHeight="1" x14ac:dyDescent="0.25">
      <c r="A110" s="7"/>
      <c r="B110" s="7"/>
      <c r="C110" s="13"/>
      <c r="D110" s="13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spans="1:18" ht="19.5" customHeight="1" x14ac:dyDescent="0.25">
      <c r="A111" s="7"/>
      <c r="B111" s="7"/>
      <c r="C111" s="13"/>
      <c r="D111" s="13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spans="1:18" ht="19.5" customHeight="1" x14ac:dyDescent="0.25">
      <c r="A112" s="7"/>
      <c r="B112" s="7"/>
      <c r="C112" s="13"/>
      <c r="D112" s="13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spans="1:18" ht="19.5" customHeight="1" x14ac:dyDescent="0.25">
      <c r="A113" s="7"/>
      <c r="B113" s="7"/>
      <c r="C113" s="13"/>
      <c r="D113" s="13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spans="1:18" ht="19.5" customHeight="1" x14ac:dyDescent="0.25">
      <c r="A114" s="7"/>
      <c r="B114" s="7"/>
      <c r="C114" s="13"/>
      <c r="D114" s="13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spans="1:18" ht="19.5" customHeight="1" x14ac:dyDescent="0.25">
      <c r="A115" s="7"/>
      <c r="B115" s="7"/>
      <c r="C115" s="13"/>
      <c r="D115" s="13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spans="1:18" ht="19.5" customHeight="1" x14ac:dyDescent="0.25">
      <c r="A116" s="7"/>
      <c r="B116" s="7"/>
      <c r="C116" s="13"/>
      <c r="D116" s="13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1:18" ht="19.5" customHeight="1" x14ac:dyDescent="0.25">
      <c r="A117" s="7"/>
      <c r="B117" s="7"/>
      <c r="C117" s="13"/>
      <c r="D117" s="13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1:18" ht="19.5" customHeight="1" x14ac:dyDescent="0.25">
      <c r="A118" s="7"/>
      <c r="B118" s="7"/>
      <c r="C118" s="13"/>
      <c r="D118" s="13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1:18" ht="19.5" customHeight="1" x14ac:dyDescent="0.25">
      <c r="A119" s="7"/>
      <c r="B119" s="7"/>
      <c r="C119" s="13"/>
      <c r="D119" s="13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1:18" ht="19.5" customHeight="1" x14ac:dyDescent="0.25">
      <c r="A120" s="7"/>
      <c r="B120" s="7"/>
      <c r="C120" s="13"/>
      <c r="D120" s="13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1:18" ht="19.5" customHeight="1" x14ac:dyDescent="0.25">
      <c r="A121" s="7"/>
      <c r="B121" s="7"/>
      <c r="C121" s="13"/>
      <c r="D121" s="13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1:18" ht="19.5" customHeight="1" x14ac:dyDescent="0.25">
      <c r="A122" s="7"/>
      <c r="B122" s="7"/>
      <c r="C122" s="13"/>
      <c r="D122" s="13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1:18" ht="19.5" customHeight="1" x14ac:dyDescent="0.25">
      <c r="A123" s="7"/>
      <c r="B123" s="7"/>
      <c r="C123" s="13"/>
      <c r="D123" s="13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1:18" ht="19.5" customHeight="1" x14ac:dyDescent="0.25">
      <c r="A124" s="7"/>
      <c r="B124" s="7"/>
      <c r="C124" s="13"/>
      <c r="D124" s="13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1:18" ht="19.5" customHeight="1" x14ac:dyDescent="0.25">
      <c r="A125" s="7"/>
      <c r="B125" s="7"/>
      <c r="C125" s="13"/>
      <c r="D125" s="13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18" ht="19.5" customHeight="1" x14ac:dyDescent="0.25">
      <c r="A126" s="7"/>
      <c r="B126" s="7"/>
      <c r="C126" s="13"/>
      <c r="D126" s="13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spans="1:18" ht="19.5" customHeight="1" x14ac:dyDescent="0.25">
      <c r="A127" s="7"/>
      <c r="B127" s="7"/>
      <c r="C127" s="13"/>
      <c r="D127" s="13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1:18" ht="19.5" customHeight="1" x14ac:dyDescent="0.25">
      <c r="A128" s="7"/>
      <c r="B128" s="7"/>
      <c r="C128" s="13"/>
      <c r="D128" s="13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1:18" ht="19.5" customHeight="1" x14ac:dyDescent="0.25">
      <c r="A129" s="7"/>
      <c r="B129" s="7"/>
      <c r="C129" s="13"/>
      <c r="D129" s="13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 ht="19.5" customHeight="1" x14ac:dyDescent="0.25">
      <c r="A130" s="7"/>
      <c r="B130" s="7"/>
      <c r="C130" s="13"/>
      <c r="D130" s="13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1:18" ht="19.5" customHeight="1" x14ac:dyDescent="0.25">
      <c r="A131" s="7"/>
      <c r="B131" s="7"/>
      <c r="C131" s="13"/>
      <c r="D131" s="13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 ht="19.5" customHeight="1" x14ac:dyDescent="0.25">
      <c r="A132" s="7"/>
      <c r="B132" s="7"/>
      <c r="C132" s="13"/>
      <c r="D132" s="13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 ht="19.5" customHeight="1" x14ac:dyDescent="0.25">
      <c r="A133" s="7"/>
      <c r="B133" s="7"/>
      <c r="C133" s="13"/>
      <c r="D133" s="13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1:18" ht="19.5" customHeight="1" x14ac:dyDescent="0.25">
      <c r="A134" s="7"/>
      <c r="B134" s="7"/>
      <c r="C134" s="13"/>
      <c r="D134" s="13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 ht="19.5" customHeight="1" x14ac:dyDescent="0.25">
      <c r="A135" s="7"/>
      <c r="B135" s="7"/>
      <c r="C135" s="13"/>
      <c r="D135" s="13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 ht="19.5" customHeight="1" x14ac:dyDescent="0.25">
      <c r="A136" s="7"/>
      <c r="B136" s="7"/>
      <c r="C136" s="13"/>
      <c r="D136" s="13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 ht="19.5" customHeight="1" x14ac:dyDescent="0.25">
      <c r="A137" s="7"/>
      <c r="B137" s="7"/>
      <c r="C137" s="13"/>
      <c r="D137" s="13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 ht="19.5" customHeight="1" x14ac:dyDescent="0.25">
      <c r="A138" s="7"/>
      <c r="B138" s="7"/>
      <c r="C138" s="13"/>
      <c r="D138" s="13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 ht="19.5" customHeight="1" x14ac:dyDescent="0.25">
      <c r="A139" s="7"/>
      <c r="B139" s="7"/>
      <c r="C139" s="13"/>
      <c r="D139" s="13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 ht="19.5" customHeight="1" x14ac:dyDescent="0.25">
      <c r="A140" s="7"/>
      <c r="B140" s="7"/>
      <c r="C140" s="13"/>
      <c r="D140" s="13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1:18" ht="19.5" customHeight="1" x14ac:dyDescent="0.25">
      <c r="A141" s="7"/>
      <c r="B141" s="7"/>
      <c r="C141" s="13"/>
      <c r="D141" s="13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 ht="19.5" customHeight="1" x14ac:dyDescent="0.25">
      <c r="A142" s="7"/>
      <c r="B142" s="7"/>
      <c r="C142" s="13"/>
      <c r="D142" s="13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1:18" ht="19.5" customHeight="1" x14ac:dyDescent="0.25">
      <c r="A143" s="7"/>
      <c r="B143" s="7"/>
      <c r="C143" s="13"/>
      <c r="D143" s="13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spans="1:18" ht="19.5" customHeight="1" x14ac:dyDescent="0.25">
      <c r="A144" s="7"/>
      <c r="B144" s="7"/>
      <c r="C144" s="13"/>
      <c r="D144" s="13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1:18" ht="19.5" customHeight="1" x14ac:dyDescent="0.25">
      <c r="A145" s="7"/>
      <c r="B145" s="7"/>
      <c r="C145" s="13"/>
      <c r="D145" s="13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1:18" ht="19.5" customHeight="1" x14ac:dyDescent="0.25">
      <c r="A146" s="7"/>
      <c r="B146" s="7"/>
      <c r="C146" s="13"/>
      <c r="D146" s="13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spans="1:18" ht="19.5" customHeight="1" x14ac:dyDescent="0.25">
      <c r="A147" s="7"/>
      <c r="B147" s="7"/>
      <c r="C147" s="13"/>
      <c r="D147" s="13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1:18" ht="19.5" customHeight="1" x14ac:dyDescent="0.25">
      <c r="A148" s="7"/>
      <c r="B148" s="7"/>
      <c r="C148" s="13"/>
      <c r="D148" s="13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spans="1:18" ht="19.5" customHeight="1" x14ac:dyDescent="0.25">
      <c r="A149" s="7"/>
      <c r="B149" s="7"/>
      <c r="C149" s="13"/>
      <c r="D149" s="13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1:18" ht="19.5" customHeight="1" x14ac:dyDescent="0.25">
      <c r="A150" s="7"/>
      <c r="B150" s="7"/>
      <c r="C150" s="13"/>
      <c r="D150" s="13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1:18" ht="19.5" customHeight="1" x14ac:dyDescent="0.25">
      <c r="A151" s="7"/>
      <c r="B151" s="7"/>
      <c r="C151" s="13"/>
      <c r="D151" s="13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1:18" ht="19.5" customHeight="1" x14ac:dyDescent="0.25">
      <c r="A152" s="7"/>
      <c r="B152" s="7"/>
      <c r="C152" s="13"/>
      <c r="D152" s="13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1:18" ht="19.5" customHeight="1" x14ac:dyDescent="0.25">
      <c r="A153" s="7"/>
      <c r="B153" s="7"/>
      <c r="C153" s="13"/>
      <c r="D153" s="13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1:18" ht="19.5" customHeight="1" x14ac:dyDescent="0.25">
      <c r="A154" s="7"/>
      <c r="B154" s="7"/>
      <c r="C154" s="13"/>
      <c r="D154" s="13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1:18" ht="19.5" customHeight="1" x14ac:dyDescent="0.25">
      <c r="A155" s="7"/>
      <c r="B155" s="7"/>
      <c r="C155" s="13"/>
      <c r="D155" s="13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1:18" ht="19.5" customHeight="1" x14ac:dyDescent="0.25">
      <c r="A156" s="7"/>
      <c r="B156" s="7"/>
      <c r="C156" s="13"/>
      <c r="D156" s="13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1:18" ht="19.5" customHeight="1" x14ac:dyDescent="0.25">
      <c r="A157" s="7"/>
      <c r="B157" s="7"/>
      <c r="C157" s="13"/>
      <c r="D157" s="13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1:18" ht="19.5" customHeight="1" x14ac:dyDescent="0.25">
      <c r="A158" s="7"/>
      <c r="B158" s="7"/>
      <c r="C158" s="13"/>
      <c r="D158" s="13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spans="1:18" ht="19.5" customHeight="1" x14ac:dyDescent="0.25">
      <c r="A159" s="7"/>
      <c r="B159" s="7"/>
      <c r="C159" s="13"/>
      <c r="D159" s="13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1:18" ht="19.5" customHeight="1" x14ac:dyDescent="0.25">
      <c r="A160" s="7"/>
      <c r="B160" s="7"/>
      <c r="C160" s="13"/>
      <c r="D160" s="13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1:18" ht="19.5" customHeight="1" x14ac:dyDescent="0.25">
      <c r="A161" s="7"/>
      <c r="B161" s="7"/>
      <c r="C161" s="13"/>
      <c r="D161" s="13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spans="1:18" ht="19.5" customHeight="1" x14ac:dyDescent="0.25">
      <c r="A162" s="7"/>
      <c r="B162" s="7"/>
      <c r="C162" s="13"/>
      <c r="D162" s="13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1:18" ht="19.5" customHeight="1" x14ac:dyDescent="0.25">
      <c r="A163" s="7"/>
      <c r="B163" s="7"/>
      <c r="C163" s="13"/>
      <c r="D163" s="13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1:18" ht="19.5" customHeight="1" x14ac:dyDescent="0.25">
      <c r="A164" s="7"/>
      <c r="B164" s="7"/>
      <c r="C164" s="13"/>
      <c r="D164" s="13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1:18" ht="19.5" customHeight="1" x14ac:dyDescent="0.25">
      <c r="A165" s="7"/>
      <c r="B165" s="7"/>
      <c r="C165" s="13"/>
      <c r="D165" s="13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1:18" ht="19.5" customHeight="1" x14ac:dyDescent="0.25">
      <c r="A166" s="7"/>
      <c r="B166" s="7"/>
      <c r="C166" s="13"/>
      <c r="D166" s="13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1:18" ht="19.5" customHeight="1" x14ac:dyDescent="0.25">
      <c r="A167" s="7"/>
      <c r="B167" s="7"/>
      <c r="C167" s="13"/>
      <c r="D167" s="13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1:18" ht="19.5" customHeight="1" x14ac:dyDescent="0.25">
      <c r="A168" s="7"/>
      <c r="B168" s="7"/>
      <c r="C168" s="13"/>
      <c r="D168" s="13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1:18" ht="19.5" customHeight="1" x14ac:dyDescent="0.25">
      <c r="A169" s="7"/>
      <c r="B169" s="7"/>
      <c r="C169" s="13"/>
      <c r="D169" s="13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1:18" ht="19.5" customHeight="1" x14ac:dyDescent="0.25">
      <c r="A170" s="7"/>
      <c r="B170" s="7"/>
      <c r="C170" s="13"/>
      <c r="D170" s="13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1:18" ht="19.5" customHeight="1" x14ac:dyDescent="0.25">
      <c r="A171" s="7"/>
      <c r="B171" s="7"/>
      <c r="C171" s="13"/>
      <c r="D171" s="13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1:18" ht="19.5" customHeight="1" x14ac:dyDescent="0.25">
      <c r="A172" s="7"/>
      <c r="B172" s="7"/>
      <c r="C172" s="13"/>
      <c r="D172" s="13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1:18" ht="19.5" customHeight="1" x14ac:dyDescent="0.25">
      <c r="A173" s="7"/>
      <c r="B173" s="7"/>
      <c r="C173" s="13"/>
      <c r="D173" s="13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1:18" ht="19.5" customHeight="1" x14ac:dyDescent="0.25">
      <c r="A174" s="7"/>
      <c r="B174" s="7"/>
      <c r="C174" s="13"/>
      <c r="D174" s="13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1:18" ht="19.5" customHeight="1" x14ac:dyDescent="0.25">
      <c r="A175" s="7"/>
      <c r="B175" s="7"/>
      <c r="C175" s="13"/>
      <c r="D175" s="13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1:18" ht="19.5" customHeight="1" x14ac:dyDescent="0.25">
      <c r="A176" s="7"/>
      <c r="B176" s="7"/>
      <c r="C176" s="13"/>
      <c r="D176" s="13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1:18" ht="19.5" customHeight="1" x14ac:dyDescent="0.25">
      <c r="A177" s="7"/>
      <c r="B177" s="7"/>
      <c r="C177" s="13"/>
      <c r="D177" s="13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1:18" ht="19.5" customHeight="1" x14ac:dyDescent="0.25">
      <c r="A178" s="7"/>
      <c r="B178" s="7"/>
      <c r="C178" s="13"/>
      <c r="D178" s="13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1:18" ht="19.5" customHeight="1" x14ac:dyDescent="0.25">
      <c r="A179" s="7"/>
      <c r="B179" s="7"/>
      <c r="C179" s="13"/>
      <c r="D179" s="13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1:18" ht="19.5" customHeight="1" x14ac:dyDescent="0.25">
      <c r="A180" s="7"/>
      <c r="B180" s="7"/>
      <c r="C180" s="13"/>
      <c r="D180" s="13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1:18" ht="19.5" customHeight="1" x14ac:dyDescent="0.25">
      <c r="A181" s="7"/>
      <c r="B181" s="7"/>
      <c r="C181" s="13"/>
      <c r="D181" s="13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spans="1:18" ht="19.5" customHeight="1" x14ac:dyDescent="0.25">
      <c r="A182" s="7"/>
      <c r="B182" s="7"/>
      <c r="C182" s="13"/>
      <c r="D182" s="13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1:18" ht="19.5" customHeight="1" x14ac:dyDescent="0.25">
      <c r="A183" s="7"/>
      <c r="B183" s="7"/>
      <c r="C183" s="13"/>
      <c r="D183" s="13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1:18" ht="19.5" customHeight="1" x14ac:dyDescent="0.25">
      <c r="A184" s="7"/>
      <c r="B184" s="7"/>
      <c r="C184" s="13"/>
      <c r="D184" s="13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1:18" ht="19.5" customHeight="1" x14ac:dyDescent="0.25">
      <c r="A185" s="7"/>
      <c r="B185" s="7"/>
      <c r="C185" s="13"/>
      <c r="D185" s="13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1:18" ht="19.5" customHeight="1" x14ac:dyDescent="0.25">
      <c r="A186" s="7"/>
      <c r="B186" s="7"/>
      <c r="C186" s="13"/>
      <c r="D186" s="13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1:18" ht="19.5" customHeight="1" x14ac:dyDescent="0.25">
      <c r="A187" s="7"/>
      <c r="B187" s="7"/>
      <c r="C187" s="13"/>
      <c r="D187" s="13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1:18" ht="19.5" customHeight="1" x14ac:dyDescent="0.25">
      <c r="A188" s="7"/>
      <c r="B188" s="7"/>
      <c r="C188" s="13"/>
      <c r="D188" s="13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1:18" ht="19.5" customHeight="1" x14ac:dyDescent="0.25">
      <c r="A189" s="7"/>
      <c r="B189" s="7"/>
      <c r="C189" s="13"/>
      <c r="D189" s="13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1:18" ht="19.5" customHeight="1" x14ac:dyDescent="0.25">
      <c r="A190" s="7"/>
      <c r="B190" s="7"/>
      <c r="C190" s="13"/>
      <c r="D190" s="13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1:18" ht="19.5" customHeight="1" x14ac:dyDescent="0.25">
      <c r="A191" s="7"/>
      <c r="B191" s="7"/>
      <c r="C191" s="13"/>
      <c r="D191" s="13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1:18" ht="19.5" customHeight="1" x14ac:dyDescent="0.25">
      <c r="A192" s="7"/>
      <c r="B192" s="7"/>
      <c r="C192" s="13"/>
      <c r="D192" s="13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1:18" ht="19.5" customHeight="1" x14ac:dyDescent="0.25">
      <c r="A193" s="7"/>
      <c r="B193" s="7"/>
      <c r="C193" s="13"/>
      <c r="D193" s="13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1:18" ht="19.5" customHeight="1" x14ac:dyDescent="0.25">
      <c r="A194" s="7"/>
      <c r="B194" s="7"/>
      <c r="C194" s="13"/>
      <c r="D194" s="13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1:18" ht="19.5" customHeight="1" x14ac:dyDescent="0.25">
      <c r="A195" s="7"/>
      <c r="B195" s="7"/>
      <c r="C195" s="13"/>
      <c r="D195" s="13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1:18" ht="19.5" customHeight="1" x14ac:dyDescent="0.25">
      <c r="A196" s="7"/>
      <c r="B196" s="7"/>
      <c r="C196" s="13"/>
      <c r="D196" s="13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1:18" ht="19.5" customHeight="1" x14ac:dyDescent="0.25">
      <c r="A197" s="7"/>
      <c r="B197" s="7"/>
      <c r="C197" s="13"/>
      <c r="D197" s="13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1:18" ht="19.5" customHeight="1" x14ac:dyDescent="0.25">
      <c r="A198" s="7"/>
      <c r="B198" s="7"/>
      <c r="C198" s="13"/>
      <c r="D198" s="13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1:18" ht="19.5" customHeight="1" x14ac:dyDescent="0.25">
      <c r="A199" s="7"/>
      <c r="B199" s="7"/>
      <c r="C199" s="13"/>
      <c r="D199" s="13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1:18" ht="19.5" customHeight="1" x14ac:dyDescent="0.25">
      <c r="A200" s="7"/>
      <c r="B200" s="7"/>
      <c r="C200" s="13"/>
      <c r="D200" s="13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1:18" ht="19.5" customHeight="1" x14ac:dyDescent="0.25">
      <c r="A201" s="7"/>
      <c r="B201" s="7"/>
      <c r="C201" s="13"/>
      <c r="D201" s="13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spans="1:18" ht="19.5" customHeight="1" x14ac:dyDescent="0.25">
      <c r="A202" s="7"/>
      <c r="B202" s="7"/>
      <c r="C202" s="13"/>
      <c r="D202" s="13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spans="1:18" ht="19.5" customHeight="1" x14ac:dyDescent="0.25">
      <c r="A203" s="7"/>
      <c r="B203" s="7"/>
      <c r="C203" s="13"/>
      <c r="D203" s="13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spans="1:18" ht="19.5" customHeight="1" x14ac:dyDescent="0.25">
      <c r="A204" s="7"/>
      <c r="B204" s="7"/>
      <c r="C204" s="13"/>
      <c r="D204" s="13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1:18" ht="19.5" customHeight="1" x14ac:dyDescent="0.25">
      <c r="A205" s="7"/>
      <c r="B205" s="7"/>
      <c r="C205" s="13"/>
      <c r="D205" s="13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1:18" ht="19.5" customHeight="1" x14ac:dyDescent="0.25">
      <c r="A206" s="7"/>
      <c r="B206" s="7"/>
      <c r="C206" s="13"/>
      <c r="D206" s="13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1:18" ht="19.5" customHeight="1" x14ac:dyDescent="0.25">
      <c r="A207" s="7"/>
      <c r="B207" s="7"/>
      <c r="C207" s="13"/>
      <c r="D207" s="13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spans="1:18" ht="19.5" customHeight="1" x14ac:dyDescent="0.25">
      <c r="A208" s="7"/>
      <c r="B208" s="7"/>
      <c r="C208" s="13"/>
      <c r="D208" s="13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spans="1:18" ht="19.5" customHeight="1" x14ac:dyDescent="0.25">
      <c r="A209" s="7"/>
      <c r="B209" s="7"/>
      <c r="C209" s="13"/>
      <c r="D209" s="13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spans="1:18" ht="19.5" customHeight="1" x14ac:dyDescent="0.25">
      <c r="A210" s="7"/>
      <c r="B210" s="7"/>
      <c r="C210" s="13"/>
      <c r="D210" s="13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spans="1:18" ht="19.5" customHeight="1" x14ac:dyDescent="0.25">
      <c r="A211" s="7"/>
      <c r="B211" s="7"/>
      <c r="C211" s="13"/>
      <c r="D211" s="13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spans="1:18" ht="19.5" customHeight="1" x14ac:dyDescent="0.25">
      <c r="A212" s="7"/>
      <c r="B212" s="7"/>
      <c r="C212" s="13"/>
      <c r="D212" s="13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spans="1:18" ht="19.5" customHeight="1" x14ac:dyDescent="0.25">
      <c r="A213" s="7"/>
      <c r="B213" s="7"/>
      <c r="C213" s="13"/>
      <c r="D213" s="13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spans="1:18" ht="19.5" customHeight="1" x14ac:dyDescent="0.25">
      <c r="A214" s="7"/>
      <c r="B214" s="7"/>
      <c r="C214" s="13"/>
      <c r="D214" s="13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spans="1:18" ht="19.5" customHeight="1" x14ac:dyDescent="0.25">
      <c r="A215" s="7"/>
      <c r="B215" s="7"/>
      <c r="C215" s="13"/>
      <c r="D215" s="13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spans="1:18" ht="19.5" customHeight="1" x14ac:dyDescent="0.25">
      <c r="A216" s="7"/>
      <c r="B216" s="7"/>
      <c r="C216" s="13"/>
      <c r="D216" s="13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spans="1:18" ht="19.5" customHeight="1" x14ac:dyDescent="0.25">
      <c r="A217" s="7"/>
      <c r="B217" s="7"/>
      <c r="C217" s="13"/>
      <c r="D217" s="13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1:18" ht="19.5" customHeight="1" x14ac:dyDescent="0.25">
      <c r="A218" s="7"/>
      <c r="B218" s="7"/>
      <c r="C218" s="13"/>
      <c r="D218" s="13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spans="1:18" ht="19.5" customHeight="1" x14ac:dyDescent="0.25">
      <c r="A219" s="7"/>
      <c r="B219" s="7"/>
      <c r="C219" s="13"/>
      <c r="D219" s="13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spans="1:18" ht="19.5" customHeight="1" x14ac:dyDescent="0.25">
      <c r="A220" s="7"/>
      <c r="B220" s="7"/>
      <c r="C220" s="13"/>
      <c r="D220" s="13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spans="1:18" ht="19.5" customHeight="1" x14ac:dyDescent="0.25">
      <c r="A221" s="7"/>
      <c r="B221" s="7"/>
      <c r="C221" s="13"/>
      <c r="D221" s="13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spans="1:18" ht="19.5" customHeight="1" x14ac:dyDescent="0.25">
      <c r="A222" s="7"/>
      <c r="B222" s="7"/>
      <c r="C222" s="13"/>
      <c r="D222" s="13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spans="1:18" ht="19.5" customHeight="1" x14ac:dyDescent="0.25">
      <c r="A223" s="7"/>
      <c r="B223" s="7"/>
      <c r="C223" s="13"/>
      <c r="D223" s="13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spans="1:18" ht="19.5" customHeight="1" x14ac:dyDescent="0.25">
      <c r="A224" s="7"/>
      <c r="B224" s="7"/>
      <c r="C224" s="13"/>
      <c r="D224" s="13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spans="1:18" ht="19.5" customHeight="1" x14ac:dyDescent="0.25">
      <c r="A225" s="7"/>
      <c r="B225" s="7"/>
      <c r="C225" s="13"/>
      <c r="D225" s="13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spans="1:18" ht="19.5" customHeight="1" x14ac:dyDescent="0.25">
      <c r="A226" s="7"/>
      <c r="B226" s="7"/>
      <c r="C226" s="13"/>
      <c r="D226" s="13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spans="1:18" ht="19.5" customHeight="1" x14ac:dyDescent="0.25">
      <c r="A227" s="7"/>
      <c r="B227" s="7"/>
      <c r="C227" s="13"/>
      <c r="D227" s="13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spans="1:18" ht="19.5" customHeight="1" x14ac:dyDescent="0.25">
      <c r="A228" s="7"/>
      <c r="B228" s="7"/>
      <c r="C228" s="13"/>
      <c r="D228" s="13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spans="1:18" ht="19.5" customHeight="1" x14ac:dyDescent="0.25">
      <c r="A229" s="7"/>
      <c r="B229" s="7"/>
      <c r="C229" s="13"/>
      <c r="D229" s="13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spans="1:18" ht="19.5" customHeight="1" x14ac:dyDescent="0.25">
      <c r="A230" s="7"/>
      <c r="B230" s="7"/>
      <c r="C230" s="13"/>
      <c r="D230" s="13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spans="1:18" ht="19.5" customHeight="1" x14ac:dyDescent="0.25">
      <c r="A231" s="7"/>
      <c r="B231" s="7"/>
      <c r="C231" s="13"/>
      <c r="D231" s="13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spans="1:18" ht="19.5" customHeight="1" x14ac:dyDescent="0.25">
      <c r="A232" s="7"/>
      <c r="B232" s="7"/>
      <c r="C232" s="13"/>
      <c r="D232" s="13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 spans="1:18" ht="19.5" customHeight="1" x14ac:dyDescent="0.25">
      <c r="A233" s="7"/>
      <c r="B233" s="7"/>
      <c r="C233" s="13"/>
      <c r="D233" s="13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spans="1:18" ht="19.5" customHeight="1" x14ac:dyDescent="0.25">
      <c r="A234" s="7"/>
      <c r="B234" s="7"/>
      <c r="C234" s="13"/>
      <c r="D234" s="13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spans="1:18" ht="19.5" customHeight="1" x14ac:dyDescent="0.25">
      <c r="A235" s="7"/>
      <c r="B235" s="7"/>
      <c r="C235" s="13"/>
      <c r="D235" s="13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 spans="1:18" ht="19.5" customHeight="1" x14ac:dyDescent="0.25">
      <c r="A236" s="7"/>
      <c r="B236" s="7"/>
      <c r="C236" s="13"/>
      <c r="D236" s="13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spans="1:18" ht="19.5" customHeight="1" x14ac:dyDescent="0.25">
      <c r="A237" s="7"/>
      <c r="B237" s="7"/>
      <c r="C237" s="13"/>
      <c r="D237" s="13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spans="1:18" ht="19.5" customHeight="1" x14ac:dyDescent="0.25">
      <c r="A238" s="7"/>
      <c r="B238" s="7"/>
      <c r="C238" s="13"/>
      <c r="D238" s="13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spans="1:18" ht="19.5" customHeight="1" x14ac:dyDescent="0.25">
      <c r="A239" s="7"/>
      <c r="B239" s="7"/>
      <c r="C239" s="13"/>
      <c r="D239" s="13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spans="1:18" ht="19.5" customHeight="1" x14ac:dyDescent="0.25">
      <c r="A240" s="7"/>
      <c r="B240" s="7"/>
      <c r="C240" s="13"/>
      <c r="D240" s="13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spans="1:18" ht="19.5" customHeight="1" x14ac:dyDescent="0.25">
      <c r="A241" s="7"/>
      <c r="B241" s="7"/>
      <c r="C241" s="13"/>
      <c r="D241" s="13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spans="1:18" ht="19.5" customHeight="1" x14ac:dyDescent="0.25">
      <c r="A242" s="7"/>
      <c r="B242" s="7"/>
      <c r="C242" s="13"/>
      <c r="D242" s="13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spans="1:18" ht="19.5" customHeight="1" x14ac:dyDescent="0.25">
      <c r="A243" s="7"/>
      <c r="B243" s="7"/>
      <c r="C243" s="13"/>
      <c r="D243" s="13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spans="1:18" ht="19.5" customHeight="1" x14ac:dyDescent="0.25">
      <c r="A244" s="7"/>
      <c r="B244" s="7"/>
      <c r="C244" s="13"/>
      <c r="D244" s="13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 spans="1:18" ht="19.5" customHeight="1" x14ac:dyDescent="0.25">
      <c r="A245" s="7"/>
      <c r="B245" s="7"/>
      <c r="C245" s="13"/>
      <c r="D245" s="13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spans="1:18" ht="19.5" customHeight="1" x14ac:dyDescent="0.25">
      <c r="A246" s="7"/>
      <c r="B246" s="7"/>
      <c r="C246" s="13"/>
      <c r="D246" s="13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 spans="1:18" ht="19.5" customHeight="1" x14ac:dyDescent="0.25">
      <c r="A247" s="7"/>
      <c r="B247" s="7"/>
      <c r="C247" s="13"/>
      <c r="D247" s="13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 spans="1:18" ht="19.5" customHeight="1" x14ac:dyDescent="0.25">
      <c r="A248" s="7"/>
      <c r="B248" s="7"/>
      <c r="C248" s="13"/>
      <c r="D248" s="13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spans="1:18" ht="19.5" customHeight="1" x14ac:dyDescent="0.25">
      <c r="A249" s="7"/>
      <c r="B249" s="7"/>
      <c r="C249" s="13"/>
      <c r="D249" s="13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spans="1:18" ht="19.5" customHeight="1" x14ac:dyDescent="0.25">
      <c r="A250" s="7"/>
      <c r="B250" s="7"/>
      <c r="C250" s="13"/>
      <c r="D250" s="13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spans="1:18" ht="19.5" customHeight="1" x14ac:dyDescent="0.25">
      <c r="A251" s="7"/>
      <c r="B251" s="7"/>
      <c r="C251" s="13"/>
      <c r="D251" s="13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spans="1:18" ht="19.5" customHeight="1" x14ac:dyDescent="0.25">
      <c r="A252" s="7"/>
      <c r="B252" s="7"/>
      <c r="C252" s="13"/>
      <c r="D252" s="13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 spans="1:18" ht="19.5" customHeight="1" x14ac:dyDescent="0.25">
      <c r="A253" s="7"/>
      <c r="B253" s="7"/>
      <c r="C253" s="13"/>
      <c r="D253" s="13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spans="1:18" ht="19.5" customHeight="1" x14ac:dyDescent="0.25">
      <c r="A254" s="7"/>
      <c r="B254" s="7"/>
      <c r="C254" s="13"/>
      <c r="D254" s="13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spans="1:18" ht="19.5" customHeight="1" x14ac:dyDescent="0.25">
      <c r="A255" s="7"/>
      <c r="B255" s="7"/>
      <c r="C255" s="13"/>
      <c r="D255" s="13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spans="1:18" ht="19.5" customHeight="1" x14ac:dyDescent="0.25">
      <c r="A256" s="7"/>
      <c r="B256" s="7"/>
      <c r="C256" s="13"/>
      <c r="D256" s="13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spans="1:18" ht="19.5" customHeight="1" x14ac:dyDescent="0.25">
      <c r="A257" s="7"/>
      <c r="B257" s="7"/>
      <c r="C257" s="13"/>
      <c r="D257" s="13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spans="1:18" ht="19.5" customHeight="1" x14ac:dyDescent="0.25">
      <c r="A258" s="7"/>
      <c r="B258" s="7"/>
      <c r="C258" s="13"/>
      <c r="D258" s="13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spans="1:18" ht="19.5" customHeight="1" x14ac:dyDescent="0.25">
      <c r="A259" s="7"/>
      <c r="B259" s="7"/>
      <c r="C259" s="13"/>
      <c r="D259" s="13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spans="1:18" ht="19.5" customHeight="1" x14ac:dyDescent="0.25">
      <c r="A260" s="7"/>
      <c r="B260" s="7"/>
      <c r="C260" s="13"/>
      <c r="D260" s="13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spans="1:18" ht="19.5" customHeight="1" x14ac:dyDescent="0.25">
      <c r="A261" s="7"/>
      <c r="B261" s="7"/>
      <c r="C261" s="13"/>
      <c r="D261" s="13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spans="1:18" ht="19.5" customHeight="1" x14ac:dyDescent="0.25">
      <c r="A262" s="7"/>
      <c r="B262" s="7"/>
      <c r="C262" s="13"/>
      <c r="D262" s="13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spans="1:18" ht="19.5" customHeight="1" x14ac:dyDescent="0.25">
      <c r="A263" s="7"/>
      <c r="B263" s="7"/>
      <c r="C263" s="13"/>
      <c r="D263" s="13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spans="1:18" ht="19.5" customHeight="1" x14ac:dyDescent="0.25">
      <c r="A264" s="7"/>
      <c r="B264" s="7"/>
      <c r="C264" s="13"/>
      <c r="D264" s="13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spans="1:18" ht="19.5" customHeight="1" x14ac:dyDescent="0.25">
      <c r="A265" s="7"/>
      <c r="B265" s="7"/>
      <c r="C265" s="13"/>
      <c r="D265" s="13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spans="1:18" ht="19.5" customHeight="1" x14ac:dyDescent="0.25">
      <c r="A266" s="7"/>
      <c r="B266" s="7"/>
      <c r="C266" s="13"/>
      <c r="D266" s="13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spans="1:18" ht="19.5" customHeight="1" x14ac:dyDescent="0.25">
      <c r="A267" s="7"/>
      <c r="B267" s="7"/>
      <c r="C267" s="13"/>
      <c r="D267" s="13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spans="1:18" ht="19.5" customHeight="1" x14ac:dyDescent="0.25">
      <c r="A268" s="7"/>
      <c r="B268" s="7"/>
      <c r="C268" s="13"/>
      <c r="D268" s="13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spans="1:18" ht="19.5" customHeight="1" x14ac:dyDescent="0.25">
      <c r="A269" s="7"/>
      <c r="B269" s="7"/>
      <c r="C269" s="13"/>
      <c r="D269" s="13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spans="1:18" ht="19.5" customHeight="1" x14ac:dyDescent="0.25">
      <c r="A270" s="7"/>
      <c r="B270" s="7"/>
      <c r="C270" s="13"/>
      <c r="D270" s="13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spans="1:18" ht="19.5" customHeight="1" x14ac:dyDescent="0.25">
      <c r="A271" s="7"/>
      <c r="B271" s="7"/>
      <c r="C271" s="13"/>
      <c r="D271" s="13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spans="1:18" ht="19.5" customHeight="1" x14ac:dyDescent="0.25">
      <c r="A272" s="7"/>
      <c r="B272" s="7"/>
      <c r="C272" s="13"/>
      <c r="D272" s="13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 spans="1:18" ht="19.5" customHeight="1" x14ac:dyDescent="0.25">
      <c r="A273" s="7"/>
      <c r="B273" s="7"/>
      <c r="C273" s="13"/>
      <c r="D273" s="13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spans="1:18" ht="19.5" customHeight="1" x14ac:dyDescent="0.25">
      <c r="A274" s="7"/>
      <c r="B274" s="7"/>
      <c r="C274" s="13"/>
      <c r="D274" s="13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spans="1:18" ht="19.5" customHeight="1" x14ac:dyDescent="0.25">
      <c r="A275" s="7"/>
      <c r="B275" s="7"/>
      <c r="C275" s="13"/>
      <c r="D275" s="13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spans="1:18" ht="19.5" customHeight="1" x14ac:dyDescent="0.25">
      <c r="A276" s="7"/>
      <c r="B276" s="7"/>
      <c r="C276" s="13"/>
      <c r="D276" s="13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spans="1:18" ht="19.5" customHeight="1" x14ac:dyDescent="0.25">
      <c r="A277" s="7"/>
      <c r="B277" s="7"/>
      <c r="C277" s="13"/>
      <c r="D277" s="13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spans="1:18" ht="19.5" customHeight="1" x14ac:dyDescent="0.25">
      <c r="A278" s="7"/>
      <c r="B278" s="7"/>
      <c r="C278" s="13"/>
      <c r="D278" s="13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spans="1:18" ht="19.5" customHeight="1" x14ac:dyDescent="0.25">
      <c r="A279" s="7"/>
      <c r="B279" s="7"/>
      <c r="C279" s="13"/>
      <c r="D279" s="13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spans="1:18" ht="19.5" customHeight="1" x14ac:dyDescent="0.25">
      <c r="A280" s="7"/>
      <c r="B280" s="7"/>
      <c r="C280" s="13"/>
      <c r="D280" s="13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spans="1:18" ht="19.5" customHeight="1" x14ac:dyDescent="0.25">
      <c r="A281" s="7"/>
      <c r="B281" s="7"/>
      <c r="C281" s="13"/>
      <c r="D281" s="13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spans="1:18" ht="19.5" customHeight="1" x14ac:dyDescent="0.25">
      <c r="A282" s="7"/>
      <c r="B282" s="7"/>
      <c r="C282" s="13"/>
      <c r="D282" s="13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spans="1:18" ht="19.5" customHeight="1" x14ac:dyDescent="0.25">
      <c r="A283" s="7"/>
      <c r="B283" s="7"/>
      <c r="C283" s="13"/>
      <c r="D283" s="13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spans="1:18" ht="19.5" customHeight="1" x14ac:dyDescent="0.25">
      <c r="A284" s="7"/>
      <c r="B284" s="7"/>
      <c r="C284" s="13"/>
      <c r="D284" s="13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spans="1:18" ht="19.5" customHeight="1" x14ac:dyDescent="0.25">
      <c r="A285" s="7"/>
      <c r="B285" s="7"/>
      <c r="C285" s="13"/>
      <c r="D285" s="13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spans="1:18" ht="19.5" customHeight="1" x14ac:dyDescent="0.25">
      <c r="A286" s="7"/>
      <c r="B286" s="7"/>
      <c r="C286" s="13"/>
      <c r="D286" s="13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spans="1:18" ht="19.5" customHeight="1" x14ac:dyDescent="0.25">
      <c r="A287" s="7"/>
      <c r="B287" s="7"/>
      <c r="C287" s="13"/>
      <c r="D287" s="13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spans="1:18" ht="19.5" customHeight="1" x14ac:dyDescent="0.25">
      <c r="A288" s="7"/>
      <c r="B288" s="7"/>
      <c r="C288" s="13"/>
      <c r="D288" s="13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spans="1:18" ht="19.5" customHeight="1" x14ac:dyDescent="0.25">
      <c r="A289" s="7"/>
      <c r="B289" s="7"/>
      <c r="C289" s="13"/>
      <c r="D289" s="13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spans="1:18" ht="19.5" customHeight="1" x14ac:dyDescent="0.25">
      <c r="A290" s="7"/>
      <c r="B290" s="7"/>
      <c r="C290" s="13"/>
      <c r="D290" s="13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spans="1:18" ht="19.5" customHeight="1" x14ac:dyDescent="0.25">
      <c r="A291" s="7"/>
      <c r="B291" s="7"/>
      <c r="C291" s="13"/>
      <c r="D291" s="13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spans="1:18" ht="19.5" customHeight="1" x14ac:dyDescent="0.25">
      <c r="A292" s="7"/>
      <c r="B292" s="7"/>
      <c r="C292" s="13"/>
      <c r="D292" s="13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spans="1:18" ht="19.5" customHeight="1" x14ac:dyDescent="0.25">
      <c r="A293" s="7"/>
      <c r="B293" s="7"/>
      <c r="C293" s="13"/>
      <c r="D293" s="13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spans="1:18" ht="19.5" customHeight="1" x14ac:dyDescent="0.25">
      <c r="A294" s="7"/>
      <c r="B294" s="7"/>
      <c r="C294" s="13"/>
      <c r="D294" s="13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spans="1:18" ht="19.5" customHeight="1" x14ac:dyDescent="0.25">
      <c r="A295" s="7"/>
      <c r="B295" s="7"/>
      <c r="C295" s="13"/>
      <c r="D295" s="13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spans="1:18" ht="19.5" customHeight="1" x14ac:dyDescent="0.25">
      <c r="A296" s="7"/>
      <c r="B296" s="7"/>
      <c r="C296" s="13"/>
      <c r="D296" s="13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spans="1:18" ht="19.5" customHeight="1" x14ac:dyDescent="0.25">
      <c r="A297" s="7"/>
      <c r="B297" s="7"/>
      <c r="C297" s="13"/>
      <c r="D297" s="13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spans="1:18" ht="19.5" customHeight="1" x14ac:dyDescent="0.25">
      <c r="A298" s="7"/>
      <c r="B298" s="7"/>
      <c r="C298" s="13"/>
      <c r="D298" s="13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spans="1:18" ht="19.5" customHeight="1" x14ac:dyDescent="0.25">
      <c r="A299" s="7"/>
      <c r="B299" s="7"/>
      <c r="C299" s="13"/>
      <c r="D299" s="13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spans="1:18" ht="19.5" customHeight="1" x14ac:dyDescent="0.25">
      <c r="A300" s="7"/>
      <c r="B300" s="7"/>
      <c r="C300" s="13"/>
      <c r="D300" s="13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spans="1:18" ht="19.5" customHeight="1" x14ac:dyDescent="0.25">
      <c r="A301" s="7"/>
      <c r="B301" s="7"/>
      <c r="C301" s="13"/>
      <c r="D301" s="13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spans="1:18" ht="19.5" customHeight="1" x14ac:dyDescent="0.25">
      <c r="A302" s="7"/>
      <c r="B302" s="7"/>
      <c r="C302" s="13"/>
      <c r="D302" s="13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 spans="1:18" ht="19.5" customHeight="1" x14ac:dyDescent="0.25">
      <c r="A303" s="7"/>
      <c r="B303" s="7"/>
      <c r="C303" s="13"/>
      <c r="D303" s="13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spans="1:18" ht="19.5" customHeight="1" x14ac:dyDescent="0.25">
      <c r="A304" s="7"/>
      <c r="B304" s="7"/>
      <c r="C304" s="13"/>
      <c r="D304" s="13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spans="1:18" ht="19.5" customHeight="1" x14ac:dyDescent="0.25">
      <c r="A305" s="7"/>
      <c r="B305" s="7"/>
      <c r="C305" s="13"/>
      <c r="D305" s="13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spans="1:18" ht="19.5" customHeight="1" x14ac:dyDescent="0.25">
      <c r="A306" s="7"/>
      <c r="B306" s="7"/>
      <c r="C306" s="13"/>
      <c r="D306" s="13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spans="1:18" ht="19.5" customHeight="1" x14ac:dyDescent="0.25">
      <c r="A307" s="7"/>
      <c r="B307" s="7"/>
      <c r="C307" s="13"/>
      <c r="D307" s="13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spans="1:18" ht="19.5" customHeight="1" x14ac:dyDescent="0.25">
      <c r="A308" s="7"/>
      <c r="B308" s="7"/>
      <c r="C308" s="13"/>
      <c r="D308" s="13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spans="1:18" ht="19.5" customHeight="1" x14ac:dyDescent="0.25">
      <c r="A309" s="7"/>
      <c r="B309" s="7"/>
      <c r="C309" s="13"/>
      <c r="D309" s="13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spans="1:18" ht="19.5" customHeight="1" x14ac:dyDescent="0.25">
      <c r="A310" s="7"/>
      <c r="B310" s="7"/>
      <c r="C310" s="13"/>
      <c r="D310" s="13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spans="1:18" ht="19.5" customHeight="1" x14ac:dyDescent="0.25">
      <c r="A311" s="7"/>
      <c r="B311" s="7"/>
      <c r="C311" s="13"/>
      <c r="D311" s="13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spans="1:18" ht="19.5" customHeight="1" x14ac:dyDescent="0.25">
      <c r="A312" s="7"/>
      <c r="B312" s="7"/>
      <c r="C312" s="13"/>
      <c r="D312" s="13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spans="1:18" ht="19.5" customHeight="1" x14ac:dyDescent="0.25">
      <c r="A313" s="7"/>
      <c r="B313" s="7"/>
      <c r="C313" s="13"/>
      <c r="D313" s="13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spans="1:18" ht="19.5" customHeight="1" x14ac:dyDescent="0.25">
      <c r="A314" s="7"/>
      <c r="B314" s="7"/>
      <c r="C314" s="13"/>
      <c r="D314" s="13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spans="1:18" ht="19.5" customHeight="1" x14ac:dyDescent="0.25">
      <c r="A315" s="7"/>
      <c r="B315" s="7"/>
      <c r="C315" s="13"/>
      <c r="D315" s="13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 spans="1:18" ht="19.5" customHeight="1" x14ac:dyDescent="0.25">
      <c r="A316" s="7"/>
      <c r="B316" s="7"/>
      <c r="C316" s="13"/>
      <c r="D316" s="13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spans="1:18" ht="19.5" customHeight="1" x14ac:dyDescent="0.25">
      <c r="A317" s="7"/>
      <c r="B317" s="7"/>
      <c r="C317" s="13"/>
      <c r="D317" s="13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spans="1:18" ht="19.5" customHeight="1" x14ac:dyDescent="0.25">
      <c r="A318" s="7"/>
      <c r="B318" s="7"/>
      <c r="C318" s="13"/>
      <c r="D318" s="13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 spans="1:18" ht="19.5" customHeight="1" x14ac:dyDescent="0.25">
      <c r="A319" s="7"/>
      <c r="B319" s="7"/>
      <c r="C319" s="13"/>
      <c r="D319" s="13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 spans="1:18" ht="19.5" customHeight="1" x14ac:dyDescent="0.25">
      <c r="A320" s="7"/>
      <c r="B320" s="7"/>
      <c r="C320" s="13"/>
      <c r="D320" s="13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 spans="1:18" ht="19.5" customHeight="1" x14ac:dyDescent="0.25">
      <c r="A321" s="7"/>
      <c r="B321" s="7"/>
      <c r="C321" s="13"/>
      <c r="D321" s="13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</row>
    <row r="322" spans="1:18" ht="19.5" customHeight="1" x14ac:dyDescent="0.25">
      <c r="A322" s="7"/>
      <c r="B322" s="7"/>
      <c r="C322" s="13"/>
      <c r="D322" s="13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 spans="1:18" ht="19.5" customHeight="1" x14ac:dyDescent="0.25">
      <c r="A323" s="7"/>
      <c r="B323" s="7"/>
      <c r="C323" s="13"/>
      <c r="D323" s="13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 spans="1:18" ht="19.5" customHeight="1" x14ac:dyDescent="0.25">
      <c r="A324" s="7"/>
      <c r="B324" s="7"/>
      <c r="C324" s="13"/>
      <c r="D324" s="13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</row>
    <row r="325" spans="1:18" ht="19.5" customHeight="1" x14ac:dyDescent="0.25">
      <c r="A325" s="7"/>
      <c r="B325" s="7"/>
      <c r="C325" s="13"/>
      <c r="D325" s="13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 spans="1:18" ht="19.5" customHeight="1" x14ac:dyDescent="0.25">
      <c r="A326" s="7"/>
      <c r="B326" s="7"/>
      <c r="C326" s="13"/>
      <c r="D326" s="13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</row>
    <row r="327" spans="1:18" ht="19.5" customHeight="1" x14ac:dyDescent="0.25">
      <c r="A327" s="7"/>
      <c r="B327" s="7"/>
      <c r="C327" s="13"/>
      <c r="D327" s="13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 spans="1:18" ht="19.5" customHeight="1" x14ac:dyDescent="0.25">
      <c r="A328" s="7"/>
      <c r="B328" s="7"/>
      <c r="C328" s="13"/>
      <c r="D328" s="13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 spans="1:18" ht="19.5" customHeight="1" x14ac:dyDescent="0.25">
      <c r="A329" s="7"/>
      <c r="B329" s="7"/>
      <c r="C329" s="13"/>
      <c r="D329" s="13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 spans="1:18" ht="19.5" customHeight="1" x14ac:dyDescent="0.25">
      <c r="A330" s="7"/>
      <c r="B330" s="7"/>
      <c r="C330" s="13"/>
      <c r="D330" s="13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 spans="1:18" ht="19.5" customHeight="1" x14ac:dyDescent="0.25">
      <c r="A331" s="7"/>
      <c r="B331" s="7"/>
      <c r="C331" s="13"/>
      <c r="D331" s="13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 spans="1:18" ht="19.5" customHeight="1" x14ac:dyDescent="0.25">
      <c r="A332" s="7"/>
      <c r="B332" s="7"/>
      <c r="C332" s="13"/>
      <c r="D332" s="13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 spans="1:18" ht="19.5" customHeight="1" x14ac:dyDescent="0.25">
      <c r="A333" s="7"/>
      <c r="B333" s="7"/>
      <c r="C333" s="13"/>
      <c r="D333" s="13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 spans="1:18" ht="19.5" customHeight="1" x14ac:dyDescent="0.25">
      <c r="A334" s="7"/>
      <c r="B334" s="7"/>
      <c r="C334" s="13"/>
      <c r="D334" s="13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 spans="1:18" ht="19.5" customHeight="1" x14ac:dyDescent="0.25">
      <c r="A335" s="7"/>
      <c r="B335" s="7"/>
      <c r="C335" s="13"/>
      <c r="D335" s="13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 spans="1:18" ht="19.5" customHeight="1" x14ac:dyDescent="0.25">
      <c r="A336" s="7"/>
      <c r="B336" s="7"/>
      <c r="C336" s="13"/>
      <c r="D336" s="13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 spans="1:18" ht="19.5" customHeight="1" x14ac:dyDescent="0.25">
      <c r="A337" s="7"/>
      <c r="B337" s="7"/>
      <c r="C337" s="13"/>
      <c r="D337" s="13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 spans="1:18" ht="19.5" customHeight="1" x14ac:dyDescent="0.25">
      <c r="A338" s="7"/>
      <c r="B338" s="7"/>
      <c r="C338" s="13"/>
      <c r="D338" s="13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</row>
    <row r="339" spans="1:18" ht="19.5" customHeight="1" x14ac:dyDescent="0.25">
      <c r="A339" s="7"/>
      <c r="B339" s="7"/>
      <c r="C339" s="13"/>
      <c r="D339" s="13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 spans="1:18" ht="19.5" customHeight="1" x14ac:dyDescent="0.25">
      <c r="A340" s="7"/>
      <c r="B340" s="7"/>
      <c r="C340" s="13"/>
      <c r="D340" s="13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 spans="1:18" ht="19.5" customHeight="1" x14ac:dyDescent="0.25">
      <c r="A341" s="7"/>
      <c r="B341" s="7"/>
      <c r="C341" s="13"/>
      <c r="D341" s="13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 spans="1:18" ht="19.5" customHeight="1" x14ac:dyDescent="0.25">
      <c r="A342" s="7"/>
      <c r="B342" s="7"/>
      <c r="C342" s="13"/>
      <c r="D342" s="13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 spans="1:18" ht="19.5" customHeight="1" x14ac:dyDescent="0.25">
      <c r="A343" s="7"/>
      <c r="B343" s="7"/>
      <c r="C343" s="13"/>
      <c r="D343" s="13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spans="1:18" ht="19.5" customHeight="1" x14ac:dyDescent="0.25">
      <c r="A344" s="7"/>
      <c r="B344" s="7"/>
      <c r="C344" s="13"/>
      <c r="D344" s="13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spans="1:18" ht="19.5" customHeight="1" x14ac:dyDescent="0.25">
      <c r="A345" s="7"/>
      <c r="B345" s="7"/>
      <c r="C345" s="13"/>
      <c r="D345" s="13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6" spans="1:18" ht="19.5" customHeight="1" x14ac:dyDescent="0.25">
      <c r="A346" s="7"/>
      <c r="B346" s="7"/>
      <c r="C346" s="13"/>
      <c r="D346" s="13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 spans="1:18" ht="19.5" customHeight="1" x14ac:dyDescent="0.25">
      <c r="A347" s="7"/>
      <c r="B347" s="7"/>
      <c r="C347" s="13"/>
      <c r="D347" s="13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 spans="1:18" ht="19.5" customHeight="1" x14ac:dyDescent="0.25">
      <c r="A348" s="7"/>
      <c r="B348" s="7"/>
      <c r="C348" s="13"/>
      <c r="D348" s="13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</row>
    <row r="349" spans="1:18" ht="19.5" customHeight="1" x14ac:dyDescent="0.25">
      <c r="A349" s="7"/>
      <c r="B349" s="7"/>
      <c r="C349" s="13"/>
      <c r="D349" s="13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</row>
    <row r="350" spans="1:18" ht="19.5" customHeight="1" x14ac:dyDescent="0.25">
      <c r="A350" s="7"/>
      <c r="B350" s="7"/>
      <c r="C350" s="13"/>
      <c r="D350" s="13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 spans="1:18" ht="19.5" customHeight="1" x14ac:dyDescent="0.25">
      <c r="A351" s="7"/>
      <c r="B351" s="7"/>
      <c r="C351" s="13"/>
      <c r="D351" s="13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 spans="1:18" ht="19.5" customHeight="1" x14ac:dyDescent="0.25">
      <c r="A352" s="7"/>
      <c r="B352" s="7"/>
      <c r="C352" s="13"/>
      <c r="D352" s="13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spans="1:18" ht="19.5" customHeight="1" x14ac:dyDescent="0.25">
      <c r="A353" s="7"/>
      <c r="B353" s="7"/>
      <c r="C353" s="13"/>
      <c r="D353" s="13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 spans="1:18" ht="19.5" customHeight="1" x14ac:dyDescent="0.25">
      <c r="A354" s="7"/>
      <c r="B354" s="7"/>
      <c r="C354" s="13"/>
      <c r="D354" s="13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spans="1:18" ht="19.5" customHeight="1" x14ac:dyDescent="0.25">
      <c r="A355" s="7"/>
      <c r="B355" s="7"/>
      <c r="C355" s="13"/>
      <c r="D355" s="13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 spans="1:18" ht="19.5" customHeight="1" x14ac:dyDescent="0.25">
      <c r="A356" s="7"/>
      <c r="B356" s="7"/>
      <c r="C356" s="13"/>
      <c r="D356" s="13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 spans="1:18" ht="19.5" customHeight="1" x14ac:dyDescent="0.25">
      <c r="A357" s="7"/>
      <c r="B357" s="7"/>
      <c r="C357" s="13"/>
      <c r="D357" s="13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 spans="1:18" ht="19.5" customHeight="1" x14ac:dyDescent="0.25">
      <c r="A358" s="7"/>
      <c r="B358" s="7"/>
      <c r="C358" s="13"/>
      <c r="D358" s="13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spans="1:18" ht="19.5" customHeight="1" x14ac:dyDescent="0.25">
      <c r="A359" s="7"/>
      <c r="B359" s="7"/>
      <c r="C359" s="13"/>
      <c r="D359" s="13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 spans="1:18" ht="19.5" customHeight="1" x14ac:dyDescent="0.25">
      <c r="A360" s="7"/>
      <c r="B360" s="7"/>
      <c r="C360" s="13"/>
      <c r="D360" s="13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spans="1:18" ht="19.5" customHeight="1" x14ac:dyDescent="0.25">
      <c r="A361" s="7"/>
      <c r="B361" s="7"/>
      <c r="C361" s="13"/>
      <c r="D361" s="13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spans="1:18" ht="19.5" customHeight="1" x14ac:dyDescent="0.25">
      <c r="A362" s="7"/>
      <c r="B362" s="7"/>
      <c r="C362" s="13"/>
      <c r="D362" s="13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spans="1:18" ht="19.5" customHeight="1" x14ac:dyDescent="0.25">
      <c r="A363" s="7"/>
      <c r="B363" s="7"/>
      <c r="C363" s="13"/>
      <c r="D363" s="13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spans="1:18" ht="19.5" customHeight="1" x14ac:dyDescent="0.25">
      <c r="A364" s="7"/>
      <c r="B364" s="7"/>
      <c r="C364" s="13"/>
      <c r="D364" s="13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spans="1:18" ht="19.5" customHeight="1" x14ac:dyDescent="0.25">
      <c r="A365" s="7"/>
      <c r="B365" s="7"/>
      <c r="C365" s="13"/>
      <c r="D365" s="13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spans="1:18" ht="19.5" customHeight="1" x14ac:dyDescent="0.25">
      <c r="A366" s="7"/>
      <c r="B366" s="7"/>
      <c r="C366" s="13"/>
      <c r="D366" s="13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spans="1:18" ht="19.5" customHeight="1" x14ac:dyDescent="0.25">
      <c r="A367" s="7"/>
      <c r="B367" s="7"/>
      <c r="C367" s="13"/>
      <c r="D367" s="13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 spans="1:18" ht="19.5" customHeight="1" x14ac:dyDescent="0.25">
      <c r="A368" s="7"/>
      <c r="B368" s="7"/>
      <c r="C368" s="13"/>
      <c r="D368" s="13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spans="1:18" ht="19.5" customHeight="1" x14ac:dyDescent="0.25">
      <c r="A369" s="7"/>
      <c r="B369" s="7"/>
      <c r="C369" s="13"/>
      <c r="D369" s="13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spans="1:18" ht="19.5" customHeight="1" x14ac:dyDescent="0.25">
      <c r="A370" s="7"/>
      <c r="B370" s="7"/>
      <c r="C370" s="13"/>
      <c r="D370" s="13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spans="1:18" ht="19.5" customHeight="1" x14ac:dyDescent="0.25">
      <c r="A371" s="7"/>
      <c r="B371" s="7"/>
      <c r="C371" s="13"/>
      <c r="D371" s="13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spans="1:18" ht="19.5" customHeight="1" x14ac:dyDescent="0.25">
      <c r="A372" s="7"/>
      <c r="B372" s="7"/>
      <c r="C372" s="13"/>
      <c r="D372" s="13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 spans="1:18" ht="19.5" customHeight="1" x14ac:dyDescent="0.25">
      <c r="A373" s="7"/>
      <c r="B373" s="7"/>
      <c r="C373" s="13"/>
      <c r="D373" s="13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spans="1:18" ht="19.5" customHeight="1" x14ac:dyDescent="0.25">
      <c r="A374" s="7"/>
      <c r="B374" s="7"/>
      <c r="C374" s="13"/>
      <c r="D374" s="13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spans="1:18" ht="19.5" customHeight="1" x14ac:dyDescent="0.25">
      <c r="A375" s="7"/>
      <c r="B375" s="7"/>
      <c r="C375" s="13"/>
      <c r="D375" s="13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spans="1:18" ht="19.5" customHeight="1" x14ac:dyDescent="0.25">
      <c r="A376" s="7"/>
      <c r="B376" s="7"/>
      <c r="C376" s="13"/>
      <c r="D376" s="13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spans="1:18" ht="19.5" customHeight="1" x14ac:dyDescent="0.25">
      <c r="A377" s="7"/>
      <c r="B377" s="7"/>
      <c r="C377" s="13"/>
      <c r="D377" s="13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spans="1:18" ht="19.5" customHeight="1" x14ac:dyDescent="0.25">
      <c r="A378" s="7"/>
      <c r="B378" s="7"/>
      <c r="C378" s="13"/>
      <c r="D378" s="13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 spans="1:18" ht="19.5" customHeight="1" x14ac:dyDescent="0.25">
      <c r="A379" s="7"/>
      <c r="B379" s="7"/>
      <c r="C379" s="13"/>
      <c r="D379" s="13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spans="1:18" ht="19.5" customHeight="1" x14ac:dyDescent="0.25">
      <c r="A380" s="7"/>
      <c r="B380" s="7"/>
      <c r="C380" s="13"/>
      <c r="D380" s="13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spans="1:18" ht="19.5" customHeight="1" x14ac:dyDescent="0.25">
      <c r="A381" s="7"/>
      <c r="B381" s="7"/>
      <c r="C381" s="13"/>
      <c r="D381" s="13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 spans="1:18" ht="19.5" customHeight="1" x14ac:dyDescent="0.25">
      <c r="A382" s="7"/>
      <c r="B382" s="7"/>
      <c r="C382" s="13"/>
      <c r="D382" s="13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spans="1:18" ht="19.5" customHeight="1" x14ac:dyDescent="0.25">
      <c r="A383" s="7"/>
      <c r="B383" s="7"/>
      <c r="C383" s="13"/>
      <c r="D383" s="13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spans="1:18" ht="19.5" customHeight="1" x14ac:dyDescent="0.25">
      <c r="A384" s="7"/>
      <c r="B384" s="7"/>
      <c r="C384" s="13"/>
      <c r="D384" s="13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spans="1:18" ht="19.5" customHeight="1" x14ac:dyDescent="0.25">
      <c r="A385" s="7"/>
      <c r="B385" s="7"/>
      <c r="C385" s="13"/>
      <c r="D385" s="13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spans="1:18" ht="19.5" customHeight="1" x14ac:dyDescent="0.25">
      <c r="A386" s="7"/>
      <c r="B386" s="7"/>
      <c r="C386" s="13"/>
      <c r="D386" s="13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spans="1:18" ht="19.5" customHeight="1" x14ac:dyDescent="0.25">
      <c r="A387" s="7"/>
      <c r="B387" s="7"/>
      <c r="C387" s="13"/>
      <c r="D387" s="13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spans="1:18" ht="19.5" customHeight="1" x14ac:dyDescent="0.25">
      <c r="A388" s="7"/>
      <c r="B388" s="7"/>
      <c r="C388" s="13"/>
      <c r="D388" s="13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spans="1:18" ht="19.5" customHeight="1" x14ac:dyDescent="0.25">
      <c r="A389" s="7"/>
      <c r="B389" s="7"/>
      <c r="C389" s="13"/>
      <c r="D389" s="13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spans="1:18" ht="19.5" customHeight="1" x14ac:dyDescent="0.25">
      <c r="A390" s="7"/>
      <c r="B390" s="7"/>
      <c r="C390" s="13"/>
      <c r="D390" s="13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spans="1:18" ht="19.5" customHeight="1" x14ac:dyDescent="0.25">
      <c r="A391" s="7"/>
      <c r="B391" s="7"/>
      <c r="C391" s="13"/>
      <c r="D391" s="13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spans="1:18" ht="19.5" customHeight="1" x14ac:dyDescent="0.25">
      <c r="A392" s="7"/>
      <c r="B392" s="7"/>
      <c r="C392" s="13"/>
      <c r="D392" s="13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spans="1:18" ht="19.5" customHeight="1" x14ac:dyDescent="0.25">
      <c r="A393" s="7"/>
      <c r="B393" s="7"/>
      <c r="C393" s="13"/>
      <c r="D393" s="13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spans="1:18" ht="19.5" customHeight="1" x14ac:dyDescent="0.25">
      <c r="A394" s="7"/>
      <c r="B394" s="7"/>
      <c r="C394" s="13"/>
      <c r="D394" s="13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spans="1:18" ht="19.5" customHeight="1" x14ac:dyDescent="0.25">
      <c r="A395" s="7"/>
      <c r="B395" s="7"/>
      <c r="C395" s="13"/>
      <c r="D395" s="13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spans="1:18" ht="19.5" customHeight="1" x14ac:dyDescent="0.25">
      <c r="A396" s="7"/>
      <c r="B396" s="7"/>
      <c r="C396" s="13"/>
      <c r="D396" s="13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spans="1:18" ht="19.5" customHeight="1" x14ac:dyDescent="0.25">
      <c r="A397" s="7"/>
      <c r="B397" s="7"/>
      <c r="C397" s="13"/>
      <c r="D397" s="13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spans="1:18" ht="19.5" customHeight="1" x14ac:dyDescent="0.25">
      <c r="A398" s="7"/>
      <c r="B398" s="7"/>
      <c r="C398" s="13"/>
      <c r="D398" s="13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spans="1:18" ht="19.5" customHeight="1" x14ac:dyDescent="0.25">
      <c r="A399" s="7"/>
      <c r="B399" s="7"/>
      <c r="C399" s="13"/>
      <c r="D399" s="13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spans="1:18" ht="19.5" customHeight="1" x14ac:dyDescent="0.25">
      <c r="A400" s="7"/>
      <c r="B400" s="7"/>
      <c r="C400" s="13"/>
      <c r="D400" s="13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spans="1:18" ht="19.5" customHeight="1" x14ac:dyDescent="0.25">
      <c r="A401" s="7"/>
      <c r="B401" s="7"/>
      <c r="C401" s="13"/>
      <c r="D401" s="13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spans="1:18" ht="19.5" customHeight="1" x14ac:dyDescent="0.25">
      <c r="A402" s="7"/>
      <c r="B402" s="7"/>
      <c r="C402" s="13"/>
      <c r="D402" s="13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spans="1:18" ht="19.5" customHeight="1" x14ac:dyDescent="0.25">
      <c r="A403" s="7"/>
      <c r="B403" s="7"/>
      <c r="C403" s="13"/>
      <c r="D403" s="13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spans="1:18" ht="19.5" customHeight="1" x14ac:dyDescent="0.25">
      <c r="A404" s="7"/>
      <c r="B404" s="7"/>
      <c r="C404" s="13"/>
      <c r="D404" s="13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spans="1:18" ht="19.5" customHeight="1" x14ac:dyDescent="0.25">
      <c r="A405" s="7"/>
      <c r="B405" s="7"/>
      <c r="C405" s="13"/>
      <c r="D405" s="13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spans="1:18" ht="19.5" customHeight="1" x14ac:dyDescent="0.25">
      <c r="A406" s="7"/>
      <c r="B406" s="7"/>
      <c r="C406" s="13"/>
      <c r="D406" s="13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spans="1:18" ht="19.5" customHeight="1" x14ac:dyDescent="0.25">
      <c r="A407" s="7"/>
      <c r="B407" s="7"/>
      <c r="C407" s="13"/>
      <c r="D407" s="13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 spans="1:18" ht="19.5" customHeight="1" x14ac:dyDescent="0.25">
      <c r="A408" s="7"/>
      <c r="B408" s="7"/>
      <c r="C408" s="13"/>
      <c r="D408" s="13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 spans="1:18" ht="19.5" customHeight="1" x14ac:dyDescent="0.25">
      <c r="A409" s="7"/>
      <c r="B409" s="7"/>
      <c r="C409" s="13"/>
      <c r="D409" s="13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spans="1:18" ht="19.5" customHeight="1" x14ac:dyDescent="0.25">
      <c r="A410" s="7"/>
      <c r="B410" s="7"/>
      <c r="C410" s="13"/>
      <c r="D410" s="13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spans="1:18" ht="19.5" customHeight="1" x14ac:dyDescent="0.25">
      <c r="A411" s="7"/>
      <c r="B411" s="7"/>
      <c r="C411" s="13"/>
      <c r="D411" s="13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spans="1:18" ht="19.5" customHeight="1" x14ac:dyDescent="0.25">
      <c r="A412" s="7"/>
      <c r="B412" s="7"/>
      <c r="C412" s="13"/>
      <c r="D412" s="13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spans="1:18" ht="19.5" customHeight="1" x14ac:dyDescent="0.25">
      <c r="A413" s="7"/>
      <c r="B413" s="7"/>
      <c r="C413" s="13"/>
      <c r="D413" s="13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 spans="1:18" ht="19.5" customHeight="1" x14ac:dyDescent="0.25">
      <c r="A414" s="7"/>
      <c r="B414" s="7"/>
      <c r="C414" s="13"/>
      <c r="D414" s="13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spans="1:18" ht="19.5" customHeight="1" x14ac:dyDescent="0.25">
      <c r="A415" s="7"/>
      <c r="B415" s="7"/>
      <c r="C415" s="13"/>
      <c r="D415" s="13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spans="1:18" ht="19.5" customHeight="1" x14ac:dyDescent="0.25">
      <c r="A416" s="7"/>
      <c r="B416" s="7"/>
      <c r="C416" s="13"/>
      <c r="D416" s="13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spans="1:18" ht="19.5" customHeight="1" x14ac:dyDescent="0.25">
      <c r="A417" s="7"/>
      <c r="B417" s="7"/>
      <c r="C417" s="13"/>
      <c r="D417" s="13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spans="1:18" ht="19.5" customHeight="1" x14ac:dyDescent="0.25">
      <c r="A418" s="7"/>
      <c r="B418" s="7"/>
      <c r="C418" s="13"/>
      <c r="D418" s="13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 spans="1:18" ht="19.5" customHeight="1" x14ac:dyDescent="0.25">
      <c r="A419" s="7"/>
      <c r="B419" s="7"/>
      <c r="C419" s="13"/>
      <c r="D419" s="13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spans="1:18" ht="19.5" customHeight="1" x14ac:dyDescent="0.25">
      <c r="A420" s="7"/>
      <c r="B420" s="7"/>
      <c r="C420" s="13"/>
      <c r="D420" s="13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spans="1:18" ht="19.5" customHeight="1" x14ac:dyDescent="0.25">
      <c r="A421" s="7"/>
      <c r="B421" s="7"/>
      <c r="C421" s="13"/>
      <c r="D421" s="13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spans="1:18" ht="19.5" customHeight="1" x14ac:dyDescent="0.25">
      <c r="A422" s="7"/>
      <c r="B422" s="7"/>
      <c r="C422" s="13"/>
      <c r="D422" s="13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spans="1:18" ht="19.5" customHeight="1" x14ac:dyDescent="0.25">
      <c r="A423" s="7"/>
      <c r="B423" s="7"/>
      <c r="C423" s="13"/>
      <c r="D423" s="13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spans="1:18" ht="19.5" customHeight="1" x14ac:dyDescent="0.25">
      <c r="A424" s="7"/>
      <c r="B424" s="7"/>
      <c r="C424" s="13"/>
      <c r="D424" s="13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spans="1:18" ht="19.5" customHeight="1" x14ac:dyDescent="0.25">
      <c r="A425" s="7"/>
      <c r="B425" s="7"/>
      <c r="C425" s="13"/>
      <c r="D425" s="13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spans="1:18" ht="19.5" customHeight="1" x14ac:dyDescent="0.25">
      <c r="A426" s="7"/>
      <c r="B426" s="7"/>
      <c r="C426" s="13"/>
      <c r="D426" s="13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 spans="1:18" ht="19.5" customHeight="1" x14ac:dyDescent="0.25">
      <c r="A427" s="7"/>
      <c r="B427" s="7"/>
      <c r="C427" s="13"/>
      <c r="D427" s="13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 spans="1:18" ht="19.5" customHeight="1" x14ac:dyDescent="0.25">
      <c r="A428" s="7"/>
      <c r="B428" s="7"/>
      <c r="C428" s="13"/>
      <c r="D428" s="13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spans="1:18" ht="19.5" customHeight="1" x14ac:dyDescent="0.25">
      <c r="A429" s="7"/>
      <c r="B429" s="7"/>
      <c r="C429" s="13"/>
      <c r="D429" s="13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spans="1:18" ht="19.5" customHeight="1" x14ac:dyDescent="0.25">
      <c r="A430" s="7"/>
      <c r="B430" s="7"/>
      <c r="C430" s="13"/>
      <c r="D430" s="13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spans="1:18" ht="19.5" customHeight="1" x14ac:dyDescent="0.25">
      <c r="A431" s="7"/>
      <c r="B431" s="7"/>
      <c r="C431" s="13"/>
      <c r="D431" s="13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spans="1:18" ht="19.5" customHeight="1" x14ac:dyDescent="0.25">
      <c r="A432" s="7"/>
      <c r="B432" s="7"/>
      <c r="C432" s="13"/>
      <c r="D432" s="13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spans="1:18" ht="19.5" customHeight="1" x14ac:dyDescent="0.25">
      <c r="A433" s="7"/>
      <c r="B433" s="7"/>
      <c r="C433" s="13"/>
      <c r="D433" s="13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spans="1:18" ht="19.5" customHeight="1" x14ac:dyDescent="0.25">
      <c r="A434" s="7"/>
      <c r="B434" s="7"/>
      <c r="C434" s="13"/>
      <c r="D434" s="13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spans="1:18" ht="19.5" customHeight="1" x14ac:dyDescent="0.25">
      <c r="A435" s="7"/>
      <c r="B435" s="7"/>
      <c r="C435" s="13"/>
      <c r="D435" s="13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spans="1:18" ht="19.5" customHeight="1" x14ac:dyDescent="0.25">
      <c r="A436" s="7"/>
      <c r="B436" s="7"/>
      <c r="C436" s="13"/>
      <c r="D436" s="13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spans="1:18" ht="19.5" customHeight="1" x14ac:dyDescent="0.25">
      <c r="A437" s="7"/>
      <c r="B437" s="7"/>
      <c r="C437" s="13"/>
      <c r="D437" s="13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spans="1:18" ht="19.5" customHeight="1" x14ac:dyDescent="0.25">
      <c r="A438" s="7"/>
      <c r="B438" s="7"/>
      <c r="C438" s="13"/>
      <c r="D438" s="13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spans="1:18" ht="19.5" customHeight="1" x14ac:dyDescent="0.25">
      <c r="A439" s="7"/>
      <c r="B439" s="7"/>
      <c r="C439" s="13"/>
      <c r="D439" s="13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spans="1:18" ht="19.5" customHeight="1" x14ac:dyDescent="0.25">
      <c r="A440" s="7"/>
      <c r="B440" s="7"/>
      <c r="C440" s="13"/>
      <c r="D440" s="13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spans="1:18" ht="19.5" customHeight="1" x14ac:dyDescent="0.25">
      <c r="A441" s="7"/>
      <c r="B441" s="7"/>
      <c r="C441" s="13"/>
      <c r="D441" s="13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spans="1:18" ht="19.5" customHeight="1" x14ac:dyDescent="0.25">
      <c r="A442" s="7"/>
      <c r="B442" s="7"/>
      <c r="C442" s="13"/>
      <c r="D442" s="13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spans="1:18" ht="19.5" customHeight="1" x14ac:dyDescent="0.25">
      <c r="A443" s="7"/>
      <c r="B443" s="7"/>
      <c r="C443" s="13"/>
      <c r="D443" s="13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spans="1:18" ht="19.5" customHeight="1" x14ac:dyDescent="0.25">
      <c r="A444" s="7"/>
      <c r="B444" s="7"/>
      <c r="C444" s="13"/>
      <c r="D444" s="13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spans="1:18" ht="19.5" customHeight="1" x14ac:dyDescent="0.25">
      <c r="A445" s="7"/>
      <c r="B445" s="7"/>
      <c r="C445" s="13"/>
      <c r="D445" s="13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spans="1:18" ht="19.5" customHeight="1" x14ac:dyDescent="0.25">
      <c r="A446" s="7"/>
      <c r="B446" s="7"/>
      <c r="C446" s="13"/>
      <c r="D446" s="13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spans="1:18" ht="19.5" customHeight="1" x14ac:dyDescent="0.25">
      <c r="A447" s="7"/>
      <c r="B447" s="7"/>
      <c r="C447" s="13"/>
      <c r="D447" s="13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spans="1:18" ht="19.5" customHeight="1" x14ac:dyDescent="0.25">
      <c r="A448" s="7"/>
      <c r="B448" s="7"/>
      <c r="C448" s="13"/>
      <c r="D448" s="13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spans="1:18" ht="19.5" customHeight="1" x14ac:dyDescent="0.25">
      <c r="A449" s="7"/>
      <c r="B449" s="7"/>
      <c r="C449" s="13"/>
      <c r="D449" s="13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spans="1:18" ht="19.5" customHeight="1" x14ac:dyDescent="0.25">
      <c r="A450" s="7"/>
      <c r="B450" s="7"/>
      <c r="C450" s="13"/>
      <c r="D450" s="13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spans="1:18" ht="19.5" customHeight="1" x14ac:dyDescent="0.25">
      <c r="A451" s="7"/>
      <c r="B451" s="7"/>
      <c r="C451" s="13"/>
      <c r="D451" s="13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spans="1:18" ht="19.5" customHeight="1" x14ac:dyDescent="0.25">
      <c r="A452" s="7"/>
      <c r="B452" s="7"/>
      <c r="C452" s="13"/>
      <c r="D452" s="13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spans="1:18" ht="19.5" customHeight="1" x14ac:dyDescent="0.25">
      <c r="A453" s="7"/>
      <c r="B453" s="7"/>
      <c r="C453" s="13"/>
      <c r="D453" s="13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spans="1:18" ht="19.5" customHeight="1" x14ac:dyDescent="0.25">
      <c r="A454" s="7"/>
      <c r="B454" s="7"/>
      <c r="C454" s="13"/>
      <c r="D454" s="13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spans="1:18" ht="19.5" customHeight="1" x14ac:dyDescent="0.25">
      <c r="A455" s="7"/>
      <c r="B455" s="7"/>
      <c r="C455" s="13"/>
      <c r="D455" s="13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spans="1:18" ht="19.5" customHeight="1" x14ac:dyDescent="0.25">
      <c r="A456" s="7"/>
      <c r="B456" s="7"/>
      <c r="C456" s="13"/>
      <c r="D456" s="13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spans="1:18" ht="19.5" customHeight="1" x14ac:dyDescent="0.25">
      <c r="A457" s="7"/>
      <c r="B457" s="7"/>
      <c r="C457" s="13"/>
      <c r="D457" s="13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spans="1:18" ht="19.5" customHeight="1" x14ac:dyDescent="0.25">
      <c r="A458" s="7"/>
      <c r="B458" s="7"/>
      <c r="C458" s="13"/>
      <c r="D458" s="13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 spans="1:18" ht="19.5" customHeight="1" x14ac:dyDescent="0.25">
      <c r="A459" s="7"/>
      <c r="B459" s="7"/>
      <c r="C459" s="13"/>
      <c r="D459" s="13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spans="1:18" ht="19.5" customHeight="1" x14ac:dyDescent="0.25">
      <c r="A460" s="7"/>
      <c r="B460" s="7"/>
      <c r="C460" s="13"/>
      <c r="D460" s="13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spans="1:18" ht="19.5" customHeight="1" x14ac:dyDescent="0.25">
      <c r="A461" s="7"/>
      <c r="B461" s="7"/>
      <c r="C461" s="13"/>
      <c r="D461" s="13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spans="1:18" ht="19.5" customHeight="1" x14ac:dyDescent="0.25">
      <c r="A462" s="7"/>
      <c r="B462" s="7"/>
      <c r="C462" s="13"/>
      <c r="D462" s="13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spans="1:18" ht="19.5" customHeight="1" x14ac:dyDescent="0.25">
      <c r="A463" s="7"/>
      <c r="B463" s="7"/>
      <c r="C463" s="13"/>
      <c r="D463" s="13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spans="1:18" ht="19.5" customHeight="1" x14ac:dyDescent="0.25">
      <c r="A464" s="7"/>
      <c r="B464" s="7"/>
      <c r="C464" s="13"/>
      <c r="D464" s="13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spans="1:18" ht="19.5" customHeight="1" x14ac:dyDescent="0.25">
      <c r="A465" s="7"/>
      <c r="B465" s="7"/>
      <c r="C465" s="13"/>
      <c r="D465" s="13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spans="1:18" ht="19.5" customHeight="1" x14ac:dyDescent="0.25">
      <c r="A466" s="7"/>
      <c r="B466" s="7"/>
      <c r="C466" s="13"/>
      <c r="D466" s="13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spans="1:18" ht="19.5" customHeight="1" x14ac:dyDescent="0.25">
      <c r="A467" s="7"/>
      <c r="B467" s="7"/>
      <c r="C467" s="13"/>
      <c r="D467" s="13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spans="1:18" ht="19.5" customHeight="1" x14ac:dyDescent="0.25">
      <c r="A468" s="7"/>
      <c r="B468" s="7"/>
      <c r="C468" s="13"/>
      <c r="D468" s="13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spans="1:18" ht="19.5" customHeight="1" x14ac:dyDescent="0.25">
      <c r="A469" s="7"/>
      <c r="B469" s="7"/>
      <c r="C469" s="13"/>
      <c r="D469" s="13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spans="1:18" ht="19.5" customHeight="1" x14ac:dyDescent="0.25">
      <c r="A470" s="7"/>
      <c r="B470" s="7"/>
      <c r="C470" s="13"/>
      <c r="D470" s="13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spans="1:18" ht="19.5" customHeight="1" x14ac:dyDescent="0.25">
      <c r="A471" s="7"/>
      <c r="B471" s="7"/>
      <c r="C471" s="13"/>
      <c r="D471" s="13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spans="1:18" ht="19.5" customHeight="1" x14ac:dyDescent="0.25">
      <c r="A472" s="7"/>
      <c r="B472" s="7"/>
      <c r="C472" s="13"/>
      <c r="D472" s="13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spans="1:18" ht="19.5" customHeight="1" x14ac:dyDescent="0.25">
      <c r="A473" s="7"/>
      <c r="B473" s="7"/>
      <c r="C473" s="13"/>
      <c r="D473" s="13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spans="1:18" ht="19.5" customHeight="1" x14ac:dyDescent="0.25">
      <c r="A474" s="7"/>
      <c r="B474" s="7"/>
      <c r="C474" s="13"/>
      <c r="D474" s="13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spans="1:18" ht="19.5" customHeight="1" x14ac:dyDescent="0.25">
      <c r="A475" s="7"/>
      <c r="B475" s="7"/>
      <c r="C475" s="13"/>
      <c r="D475" s="13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 spans="1:18" ht="19.5" customHeight="1" x14ac:dyDescent="0.25">
      <c r="A476" s="7"/>
      <c r="B476" s="7"/>
      <c r="C476" s="13"/>
      <c r="D476" s="13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spans="1:18" ht="19.5" customHeight="1" x14ac:dyDescent="0.25">
      <c r="A477" s="7"/>
      <c r="B477" s="7"/>
      <c r="C477" s="13"/>
      <c r="D477" s="13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 spans="1:18" ht="19.5" customHeight="1" x14ac:dyDescent="0.25">
      <c r="A478" s="7"/>
      <c r="B478" s="7"/>
      <c r="C478" s="13"/>
      <c r="D478" s="13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spans="1:18" ht="19.5" customHeight="1" x14ac:dyDescent="0.25">
      <c r="A479" s="7"/>
      <c r="B479" s="7"/>
      <c r="C479" s="13"/>
      <c r="D479" s="13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spans="1:18" ht="19.5" customHeight="1" x14ac:dyDescent="0.25">
      <c r="A480" s="7"/>
      <c r="B480" s="7"/>
      <c r="C480" s="13"/>
      <c r="D480" s="13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spans="1:18" ht="19.5" customHeight="1" x14ac:dyDescent="0.25">
      <c r="A481" s="7"/>
      <c r="B481" s="7"/>
      <c r="C481" s="13"/>
      <c r="D481" s="13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spans="1:18" ht="19.5" customHeight="1" x14ac:dyDescent="0.25">
      <c r="A482" s="7"/>
      <c r="B482" s="7"/>
      <c r="C482" s="13"/>
      <c r="D482" s="13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spans="1:18" ht="19.5" customHeight="1" x14ac:dyDescent="0.25">
      <c r="A483" s="7"/>
      <c r="B483" s="7"/>
      <c r="C483" s="13"/>
      <c r="D483" s="13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spans="1:18" ht="19.5" customHeight="1" x14ac:dyDescent="0.25">
      <c r="A484" s="7"/>
      <c r="B484" s="7"/>
      <c r="C484" s="13"/>
      <c r="D484" s="13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spans="1:18" ht="19.5" customHeight="1" x14ac:dyDescent="0.25">
      <c r="A485" s="7"/>
      <c r="B485" s="7"/>
      <c r="C485" s="13"/>
      <c r="D485" s="13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spans="1:18" ht="19.5" customHeight="1" x14ac:dyDescent="0.25">
      <c r="A486" s="7"/>
      <c r="B486" s="7"/>
      <c r="C486" s="13"/>
      <c r="D486" s="13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spans="1:18" ht="19.5" customHeight="1" x14ac:dyDescent="0.25">
      <c r="A487" s="7"/>
      <c r="B487" s="7"/>
      <c r="C487" s="13"/>
      <c r="D487" s="13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spans="1:18" ht="19.5" customHeight="1" x14ac:dyDescent="0.25">
      <c r="A488" s="7"/>
      <c r="B488" s="7"/>
      <c r="C488" s="13"/>
      <c r="D488" s="13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spans="1:18" ht="19.5" customHeight="1" x14ac:dyDescent="0.25">
      <c r="A489" s="7"/>
      <c r="B489" s="7"/>
      <c r="C489" s="13"/>
      <c r="D489" s="13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spans="1:18" ht="19.5" customHeight="1" x14ac:dyDescent="0.25">
      <c r="A490" s="7"/>
      <c r="B490" s="7"/>
      <c r="C490" s="13"/>
      <c r="D490" s="13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spans="1:18" ht="19.5" customHeight="1" x14ac:dyDescent="0.25">
      <c r="A491" s="7"/>
      <c r="B491" s="7"/>
      <c r="C491" s="13"/>
      <c r="D491" s="13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 spans="1:18" ht="19.5" customHeight="1" x14ac:dyDescent="0.25">
      <c r="A492" s="7"/>
      <c r="B492" s="7"/>
      <c r="C492" s="13"/>
      <c r="D492" s="13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spans="1:18" ht="19.5" customHeight="1" x14ac:dyDescent="0.25">
      <c r="A493" s="7"/>
      <c r="B493" s="7"/>
      <c r="C493" s="13"/>
      <c r="D493" s="13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spans="1:18" ht="19.5" customHeight="1" x14ac:dyDescent="0.25">
      <c r="A494" s="7"/>
      <c r="B494" s="7"/>
      <c r="C494" s="13"/>
      <c r="D494" s="13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 spans="1:18" ht="19.5" customHeight="1" x14ac:dyDescent="0.25">
      <c r="A495" s="7"/>
      <c r="B495" s="7"/>
      <c r="C495" s="13"/>
      <c r="D495" s="13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spans="1:18" ht="19.5" customHeight="1" x14ac:dyDescent="0.25">
      <c r="A496" s="7"/>
      <c r="B496" s="7"/>
      <c r="C496" s="13"/>
      <c r="D496" s="13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 spans="1:18" ht="19.5" customHeight="1" x14ac:dyDescent="0.25">
      <c r="A497" s="7"/>
      <c r="B497" s="7"/>
      <c r="C497" s="13"/>
      <c r="D497" s="13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 spans="1:18" ht="19.5" customHeight="1" x14ac:dyDescent="0.25">
      <c r="A498" s="7"/>
      <c r="B498" s="7"/>
      <c r="C498" s="13"/>
      <c r="D498" s="13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 spans="1:18" ht="19.5" customHeight="1" x14ac:dyDescent="0.25">
      <c r="A499" s="7"/>
      <c r="B499" s="7"/>
      <c r="C499" s="13"/>
      <c r="D499" s="13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spans="1:18" ht="19.5" customHeight="1" x14ac:dyDescent="0.25">
      <c r="A500" s="7"/>
      <c r="B500" s="7"/>
      <c r="C500" s="13"/>
      <c r="D500" s="13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spans="1:18" ht="19.5" customHeight="1" x14ac:dyDescent="0.25">
      <c r="A501" s="7"/>
      <c r="B501" s="7"/>
      <c r="C501" s="13"/>
      <c r="D501" s="13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spans="1:18" ht="19.5" customHeight="1" x14ac:dyDescent="0.25">
      <c r="A502" s="7"/>
      <c r="B502" s="7"/>
      <c r="C502" s="13"/>
      <c r="D502" s="13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spans="1:18" ht="19.5" customHeight="1" x14ac:dyDescent="0.25">
      <c r="A503" s="7"/>
      <c r="B503" s="7"/>
      <c r="C503" s="13"/>
      <c r="D503" s="13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spans="1:18" ht="19.5" customHeight="1" x14ac:dyDescent="0.25">
      <c r="A504" s="7"/>
      <c r="B504" s="7"/>
      <c r="C504" s="13"/>
      <c r="D504" s="13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spans="1:18" ht="19.5" customHeight="1" x14ac:dyDescent="0.25">
      <c r="A505" s="7"/>
      <c r="B505" s="7"/>
      <c r="C505" s="13"/>
      <c r="D505" s="13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spans="1:18" ht="19.5" customHeight="1" x14ac:dyDescent="0.25">
      <c r="A506" s="7"/>
      <c r="B506" s="7"/>
      <c r="C506" s="13"/>
      <c r="D506" s="13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 spans="1:18" ht="19.5" customHeight="1" x14ac:dyDescent="0.25">
      <c r="A507" s="7"/>
      <c r="B507" s="7"/>
      <c r="C507" s="13"/>
      <c r="D507" s="13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spans="1:18" ht="19.5" customHeight="1" x14ac:dyDescent="0.25">
      <c r="A508" s="7"/>
      <c r="B508" s="7"/>
      <c r="C508" s="13"/>
      <c r="D508" s="13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spans="1:18" ht="19.5" customHeight="1" x14ac:dyDescent="0.25">
      <c r="A509" s="7"/>
      <c r="B509" s="7"/>
      <c r="C509" s="13"/>
      <c r="D509" s="13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spans="1:18" ht="19.5" customHeight="1" x14ac:dyDescent="0.25">
      <c r="A510" s="7"/>
      <c r="B510" s="7"/>
      <c r="C510" s="13"/>
      <c r="D510" s="13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spans="1:18" ht="19.5" customHeight="1" x14ac:dyDescent="0.25">
      <c r="A511" s="7"/>
      <c r="B511" s="7"/>
      <c r="C511" s="13"/>
      <c r="D511" s="13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 spans="1:18" ht="19.5" customHeight="1" x14ac:dyDescent="0.25">
      <c r="A512" s="7"/>
      <c r="B512" s="7"/>
      <c r="C512" s="13"/>
      <c r="D512" s="13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 spans="1:18" ht="19.5" customHeight="1" x14ac:dyDescent="0.25">
      <c r="A513" s="7"/>
      <c r="B513" s="7"/>
      <c r="C513" s="13"/>
      <c r="D513" s="13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spans="1:18" ht="19.5" customHeight="1" x14ac:dyDescent="0.25">
      <c r="A514" s="7"/>
      <c r="B514" s="7"/>
      <c r="C514" s="13"/>
      <c r="D514" s="13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spans="1:18" ht="19.5" customHeight="1" x14ac:dyDescent="0.25">
      <c r="A515" s="7"/>
      <c r="B515" s="7"/>
      <c r="C515" s="13"/>
      <c r="D515" s="13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spans="1:18" ht="19.5" customHeight="1" x14ac:dyDescent="0.25">
      <c r="A516" s="7"/>
      <c r="B516" s="7"/>
      <c r="C516" s="13"/>
      <c r="D516" s="13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 spans="1:18" ht="19.5" customHeight="1" x14ac:dyDescent="0.25">
      <c r="A517" s="7"/>
      <c r="B517" s="7"/>
      <c r="C517" s="13"/>
      <c r="D517" s="13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 spans="1:18" ht="19.5" customHeight="1" x14ac:dyDescent="0.25">
      <c r="A518" s="7"/>
      <c r="B518" s="7"/>
      <c r="C518" s="13"/>
      <c r="D518" s="13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 spans="1:18" ht="19.5" customHeight="1" x14ac:dyDescent="0.25">
      <c r="A519" s="7"/>
      <c r="B519" s="7"/>
      <c r="C519" s="13"/>
      <c r="D519" s="13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 spans="1:18" ht="19.5" customHeight="1" x14ac:dyDescent="0.25">
      <c r="A520" s="7"/>
      <c r="B520" s="7"/>
      <c r="C520" s="13"/>
      <c r="D520" s="13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spans="1:18" ht="19.5" customHeight="1" x14ac:dyDescent="0.25">
      <c r="A521" s="7"/>
      <c r="B521" s="7"/>
      <c r="C521" s="13"/>
      <c r="D521" s="13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 spans="1:18" ht="19.5" customHeight="1" x14ac:dyDescent="0.25">
      <c r="A522" s="7"/>
      <c r="B522" s="7"/>
      <c r="C522" s="13"/>
      <c r="D522" s="13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 spans="1:18" ht="19.5" customHeight="1" x14ac:dyDescent="0.25">
      <c r="A523" s="7"/>
      <c r="B523" s="7"/>
      <c r="C523" s="13"/>
      <c r="D523" s="13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spans="1:18" ht="19.5" customHeight="1" x14ac:dyDescent="0.25">
      <c r="A524" s="7"/>
      <c r="B524" s="7"/>
      <c r="C524" s="13"/>
      <c r="D524" s="13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spans="1:18" ht="19.5" customHeight="1" x14ac:dyDescent="0.25">
      <c r="A525" s="7"/>
      <c r="B525" s="7"/>
      <c r="C525" s="13"/>
      <c r="D525" s="13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spans="1:18" ht="19.5" customHeight="1" x14ac:dyDescent="0.25">
      <c r="A526" s="7"/>
      <c r="B526" s="7"/>
      <c r="C526" s="13"/>
      <c r="D526" s="13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 spans="1:18" ht="19.5" customHeight="1" x14ac:dyDescent="0.25">
      <c r="A527" s="7"/>
      <c r="B527" s="7"/>
      <c r="C527" s="13"/>
      <c r="D527" s="13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 spans="1:18" ht="19.5" customHeight="1" x14ac:dyDescent="0.25">
      <c r="A528" s="7"/>
      <c r="B528" s="7"/>
      <c r="C528" s="13"/>
      <c r="D528" s="13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 spans="1:18" ht="19.5" customHeight="1" x14ac:dyDescent="0.25">
      <c r="A529" s="7"/>
      <c r="B529" s="7"/>
      <c r="C529" s="13"/>
      <c r="D529" s="13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 spans="1:18" ht="19.5" customHeight="1" x14ac:dyDescent="0.25">
      <c r="A530" s="7"/>
      <c r="B530" s="7"/>
      <c r="C530" s="13"/>
      <c r="D530" s="13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spans="1:18" ht="19.5" customHeight="1" x14ac:dyDescent="0.25">
      <c r="A531" s="7"/>
      <c r="B531" s="7"/>
      <c r="C531" s="13"/>
      <c r="D531" s="13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 spans="1:18" ht="19.5" customHeight="1" x14ac:dyDescent="0.25">
      <c r="A532" s="7"/>
      <c r="B532" s="7"/>
      <c r="C532" s="13"/>
      <c r="D532" s="13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 spans="1:18" ht="19.5" customHeight="1" x14ac:dyDescent="0.25">
      <c r="A533" s="7"/>
      <c r="B533" s="7"/>
      <c r="C533" s="13"/>
      <c r="D533" s="13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spans="1:18" ht="19.5" customHeight="1" x14ac:dyDescent="0.25">
      <c r="A534" s="7"/>
      <c r="B534" s="7"/>
      <c r="C534" s="13"/>
      <c r="D534" s="13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 spans="1:18" ht="19.5" customHeight="1" x14ac:dyDescent="0.25">
      <c r="A535" s="7"/>
      <c r="B535" s="7"/>
      <c r="C535" s="13"/>
      <c r="D535" s="13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spans="1:18" ht="19.5" customHeight="1" x14ac:dyDescent="0.25">
      <c r="A536" s="7"/>
      <c r="B536" s="7"/>
      <c r="C536" s="13"/>
      <c r="D536" s="13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 spans="1:18" ht="19.5" customHeight="1" x14ac:dyDescent="0.25">
      <c r="A537" s="7"/>
      <c r="B537" s="7"/>
      <c r="C537" s="13"/>
      <c r="D537" s="13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spans="1:18" ht="19.5" customHeight="1" x14ac:dyDescent="0.25">
      <c r="A538" s="7"/>
      <c r="B538" s="7"/>
      <c r="C538" s="13"/>
      <c r="D538" s="13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 spans="1:18" ht="19.5" customHeight="1" x14ac:dyDescent="0.25">
      <c r="A539" s="7"/>
      <c r="B539" s="7"/>
      <c r="C539" s="13"/>
      <c r="D539" s="13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 spans="1:18" ht="19.5" customHeight="1" x14ac:dyDescent="0.25">
      <c r="A540" s="7"/>
      <c r="B540" s="7"/>
      <c r="C540" s="13"/>
      <c r="D540" s="13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spans="1:18" ht="19.5" customHeight="1" x14ac:dyDescent="0.25">
      <c r="A541" s="7"/>
      <c r="B541" s="7"/>
      <c r="C541" s="13"/>
      <c r="D541" s="13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spans="1:18" ht="19.5" customHeight="1" x14ac:dyDescent="0.25">
      <c r="A542" s="7"/>
      <c r="B542" s="7"/>
      <c r="C542" s="13"/>
      <c r="D542" s="13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spans="1:18" ht="19.5" customHeight="1" x14ac:dyDescent="0.25">
      <c r="A543" s="7"/>
      <c r="B543" s="7"/>
      <c r="C543" s="13"/>
      <c r="D543" s="13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spans="1:18" ht="19.5" customHeight="1" x14ac:dyDescent="0.25">
      <c r="A544" s="7"/>
      <c r="B544" s="7"/>
      <c r="C544" s="13"/>
      <c r="D544" s="13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spans="1:18" ht="19.5" customHeight="1" x14ac:dyDescent="0.25">
      <c r="A545" s="7"/>
      <c r="B545" s="7"/>
      <c r="C545" s="13"/>
      <c r="D545" s="13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 spans="1:18" ht="19.5" customHeight="1" x14ac:dyDescent="0.25">
      <c r="A546" s="7"/>
      <c r="B546" s="7"/>
      <c r="C546" s="13"/>
      <c r="D546" s="13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 spans="1:18" ht="19.5" customHeight="1" x14ac:dyDescent="0.25">
      <c r="A547" s="7"/>
      <c r="B547" s="7"/>
      <c r="C547" s="13"/>
      <c r="D547" s="13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spans="1:18" ht="19.5" customHeight="1" x14ac:dyDescent="0.25">
      <c r="A548" s="7"/>
      <c r="B548" s="7"/>
      <c r="C548" s="13"/>
      <c r="D548" s="13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 spans="1:18" ht="19.5" customHeight="1" x14ac:dyDescent="0.25">
      <c r="A549" s="7"/>
      <c r="B549" s="7"/>
      <c r="C549" s="13"/>
      <c r="D549" s="13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spans="1:18" ht="19.5" customHeight="1" x14ac:dyDescent="0.25">
      <c r="A550" s="7"/>
      <c r="B550" s="7"/>
      <c r="C550" s="13"/>
      <c r="D550" s="13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 spans="1:18" ht="19.5" customHeight="1" x14ac:dyDescent="0.25">
      <c r="A551" s="7"/>
      <c r="B551" s="7"/>
      <c r="C551" s="13"/>
      <c r="D551" s="13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</row>
    <row r="552" spans="1:18" ht="19.5" customHeight="1" x14ac:dyDescent="0.25">
      <c r="A552" s="7"/>
      <c r="B552" s="7"/>
      <c r="C552" s="13"/>
      <c r="D552" s="13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 spans="1:18" ht="19.5" customHeight="1" x14ac:dyDescent="0.25">
      <c r="A553" s="7"/>
      <c r="B553" s="7"/>
      <c r="C553" s="13"/>
      <c r="D553" s="13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 spans="1:18" ht="19.5" customHeight="1" x14ac:dyDescent="0.25">
      <c r="A554" s="7"/>
      <c r="B554" s="7"/>
      <c r="C554" s="13"/>
      <c r="D554" s="13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 spans="1:18" ht="19.5" customHeight="1" x14ac:dyDescent="0.25">
      <c r="A555" s="7"/>
      <c r="B555" s="7"/>
      <c r="C555" s="13"/>
      <c r="D555" s="13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 spans="1:18" ht="19.5" customHeight="1" x14ac:dyDescent="0.25">
      <c r="A556" s="7"/>
      <c r="B556" s="7"/>
      <c r="C556" s="13"/>
      <c r="D556" s="13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spans="1:18" ht="19.5" customHeight="1" x14ac:dyDescent="0.25">
      <c r="A557" s="7"/>
      <c r="B557" s="7"/>
      <c r="C557" s="13"/>
      <c r="D557" s="13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</row>
    <row r="558" spans="1:18" ht="19.5" customHeight="1" x14ac:dyDescent="0.25">
      <c r="A558" s="7"/>
      <c r="B558" s="7"/>
      <c r="C558" s="13"/>
      <c r="D558" s="13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 spans="1:18" ht="19.5" customHeight="1" x14ac:dyDescent="0.25">
      <c r="A559" s="7"/>
      <c r="B559" s="7"/>
      <c r="C559" s="13"/>
      <c r="D559" s="13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 spans="1:18" ht="19.5" customHeight="1" x14ac:dyDescent="0.25">
      <c r="A560" s="7"/>
      <c r="B560" s="7"/>
      <c r="C560" s="13"/>
      <c r="D560" s="13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 spans="1:18" ht="19.5" customHeight="1" x14ac:dyDescent="0.25">
      <c r="A561" s="7"/>
      <c r="B561" s="7"/>
      <c r="C561" s="13"/>
      <c r="D561" s="13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 spans="1:18" ht="19.5" customHeight="1" x14ac:dyDescent="0.25">
      <c r="A562" s="7"/>
      <c r="B562" s="7"/>
      <c r="C562" s="13"/>
      <c r="D562" s="13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 spans="1:18" ht="19.5" customHeight="1" x14ac:dyDescent="0.25">
      <c r="A563" s="7"/>
      <c r="B563" s="7"/>
      <c r="C563" s="13"/>
      <c r="D563" s="13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 spans="1:18" ht="19.5" customHeight="1" x14ac:dyDescent="0.25">
      <c r="A564" s="7"/>
      <c r="B564" s="7"/>
      <c r="C564" s="13"/>
      <c r="D564" s="13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spans="1:18" ht="19.5" customHeight="1" x14ac:dyDescent="0.25">
      <c r="A565" s="7"/>
      <c r="B565" s="7"/>
      <c r="C565" s="13"/>
      <c r="D565" s="13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 spans="1:18" ht="19.5" customHeight="1" x14ac:dyDescent="0.25">
      <c r="A566" s="7"/>
      <c r="B566" s="7"/>
      <c r="C566" s="13"/>
      <c r="D566" s="13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 spans="1:18" ht="19.5" customHeight="1" x14ac:dyDescent="0.25">
      <c r="A567" s="7"/>
      <c r="B567" s="7"/>
      <c r="C567" s="13"/>
      <c r="D567" s="13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 spans="1:18" ht="19.5" customHeight="1" x14ac:dyDescent="0.25">
      <c r="A568" s="7"/>
      <c r="B568" s="7"/>
      <c r="C568" s="13"/>
      <c r="D568" s="13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 spans="1:18" ht="19.5" customHeight="1" x14ac:dyDescent="0.25">
      <c r="A569" s="7"/>
      <c r="B569" s="7"/>
      <c r="C569" s="13"/>
      <c r="D569" s="13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</row>
    <row r="570" spans="1:18" ht="19.5" customHeight="1" x14ac:dyDescent="0.25">
      <c r="A570" s="7"/>
      <c r="B570" s="7"/>
      <c r="C570" s="13"/>
      <c r="D570" s="13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 spans="1:18" ht="19.5" customHeight="1" x14ac:dyDescent="0.25">
      <c r="A571" s="7"/>
      <c r="B571" s="7"/>
      <c r="C571" s="13"/>
      <c r="D571" s="13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 spans="1:18" ht="19.5" customHeight="1" x14ac:dyDescent="0.25">
      <c r="A572" s="7"/>
      <c r="B572" s="7"/>
      <c r="C572" s="13"/>
      <c r="D572" s="13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</row>
    <row r="573" spans="1:18" ht="19.5" customHeight="1" x14ac:dyDescent="0.25">
      <c r="A573" s="7"/>
      <c r="B573" s="7"/>
      <c r="C573" s="13"/>
      <c r="D573" s="13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 spans="1:18" ht="19.5" customHeight="1" x14ac:dyDescent="0.25">
      <c r="A574" s="7"/>
      <c r="B574" s="7"/>
      <c r="C574" s="13"/>
      <c r="D574" s="13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spans="1:18" ht="19.5" customHeight="1" x14ac:dyDescent="0.25">
      <c r="A575" s="7"/>
      <c r="B575" s="7"/>
      <c r="C575" s="13"/>
      <c r="D575" s="13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 spans="1:18" ht="19.5" customHeight="1" x14ac:dyDescent="0.25">
      <c r="A576" s="7"/>
      <c r="B576" s="7"/>
      <c r="C576" s="13"/>
      <c r="D576" s="13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spans="1:18" ht="19.5" customHeight="1" x14ac:dyDescent="0.25">
      <c r="A577" s="7"/>
      <c r="B577" s="7"/>
      <c r="C577" s="13"/>
      <c r="D577" s="13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 spans="1:18" ht="19.5" customHeight="1" x14ac:dyDescent="0.25">
      <c r="A578" s="7"/>
      <c r="B578" s="7"/>
      <c r="C578" s="13"/>
      <c r="D578" s="13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 spans="1:18" ht="19.5" customHeight="1" x14ac:dyDescent="0.25">
      <c r="A579" s="7"/>
      <c r="B579" s="7"/>
      <c r="C579" s="13"/>
      <c r="D579" s="13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</row>
    <row r="580" spans="1:18" ht="19.5" customHeight="1" x14ac:dyDescent="0.25">
      <c r="A580" s="7"/>
      <c r="B580" s="7"/>
      <c r="C580" s="13"/>
      <c r="D580" s="13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spans="1:18" ht="19.5" customHeight="1" x14ac:dyDescent="0.25">
      <c r="A581" s="7"/>
      <c r="B581" s="7"/>
      <c r="C581" s="13"/>
      <c r="D581" s="13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 spans="1:18" ht="19.5" customHeight="1" x14ac:dyDescent="0.25">
      <c r="A582" s="7"/>
      <c r="B582" s="7"/>
      <c r="C582" s="13"/>
      <c r="D582" s="13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spans="1:18" ht="19.5" customHeight="1" x14ac:dyDescent="0.25">
      <c r="A583" s="7"/>
      <c r="B583" s="7"/>
      <c r="C583" s="13"/>
      <c r="D583" s="13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 spans="1:18" ht="19.5" customHeight="1" x14ac:dyDescent="0.25">
      <c r="A584" s="7"/>
      <c r="B584" s="7"/>
      <c r="C584" s="13"/>
      <c r="D584" s="13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 spans="1:18" ht="19.5" customHeight="1" x14ac:dyDescent="0.25">
      <c r="A585" s="7"/>
      <c r="B585" s="7"/>
      <c r="C585" s="13"/>
      <c r="D585" s="13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 spans="1:18" ht="19.5" customHeight="1" x14ac:dyDescent="0.25">
      <c r="A586" s="7"/>
      <c r="B586" s="7"/>
      <c r="C586" s="13"/>
      <c r="D586" s="13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 spans="1:18" ht="19.5" customHeight="1" x14ac:dyDescent="0.25">
      <c r="A587" s="7"/>
      <c r="B587" s="7"/>
      <c r="C587" s="13"/>
      <c r="D587" s="13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</row>
    <row r="588" spans="1:18" ht="19.5" customHeight="1" x14ac:dyDescent="0.25">
      <c r="A588" s="7"/>
      <c r="B588" s="7"/>
      <c r="C588" s="13"/>
      <c r="D588" s="13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 spans="1:18" ht="19.5" customHeight="1" x14ac:dyDescent="0.25">
      <c r="A589" s="7"/>
      <c r="B589" s="7"/>
      <c r="C589" s="13"/>
      <c r="D589" s="13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 spans="1:18" ht="19.5" customHeight="1" x14ac:dyDescent="0.25">
      <c r="A590" s="7"/>
      <c r="B590" s="7"/>
      <c r="C590" s="13"/>
      <c r="D590" s="13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 spans="1:18" ht="19.5" customHeight="1" x14ac:dyDescent="0.25">
      <c r="A591" s="7"/>
      <c r="B591" s="7"/>
      <c r="C591" s="13"/>
      <c r="D591" s="13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 spans="1:18" ht="19.5" customHeight="1" x14ac:dyDescent="0.25">
      <c r="A592" s="7"/>
      <c r="B592" s="7"/>
      <c r="C592" s="13"/>
      <c r="D592" s="13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</row>
    <row r="593" spans="1:18" ht="19.5" customHeight="1" x14ac:dyDescent="0.25">
      <c r="A593" s="7"/>
      <c r="B593" s="7"/>
      <c r="C593" s="13"/>
      <c r="D593" s="13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spans="1:18" ht="19.5" customHeight="1" x14ac:dyDescent="0.25">
      <c r="A594" s="7"/>
      <c r="B594" s="7"/>
      <c r="C594" s="13"/>
      <c r="D594" s="13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 spans="1:18" ht="19.5" customHeight="1" x14ac:dyDescent="0.25">
      <c r="A595" s="7"/>
      <c r="B595" s="7"/>
      <c r="C595" s="13"/>
      <c r="D595" s="13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 spans="1:18" ht="19.5" customHeight="1" x14ac:dyDescent="0.25">
      <c r="A596" s="7"/>
      <c r="B596" s="7"/>
      <c r="C596" s="13"/>
      <c r="D596" s="13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 spans="1:18" ht="19.5" customHeight="1" x14ac:dyDescent="0.25">
      <c r="A597" s="7"/>
      <c r="B597" s="7"/>
      <c r="C597" s="13"/>
      <c r="D597" s="13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 spans="1:18" ht="19.5" customHeight="1" x14ac:dyDescent="0.25">
      <c r="A598" s="7"/>
      <c r="B598" s="7"/>
      <c r="C598" s="13"/>
      <c r="D598" s="13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 spans="1:18" ht="19.5" customHeight="1" x14ac:dyDescent="0.25">
      <c r="A599" s="7"/>
      <c r="B599" s="7"/>
      <c r="C599" s="13"/>
      <c r="D599" s="13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 spans="1:18" ht="19.5" customHeight="1" x14ac:dyDescent="0.25">
      <c r="A600" s="7"/>
      <c r="B600" s="7"/>
      <c r="C600" s="13"/>
      <c r="D600" s="13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 spans="1:18" ht="19.5" customHeight="1" x14ac:dyDescent="0.25">
      <c r="A601" s="7"/>
      <c r="B601" s="7"/>
      <c r="C601" s="13"/>
      <c r="D601" s="13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 spans="1:18" ht="19.5" customHeight="1" x14ac:dyDescent="0.25">
      <c r="A602" s="7"/>
      <c r="B602" s="7"/>
      <c r="C602" s="13"/>
      <c r="D602" s="13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 spans="1:18" ht="19.5" customHeight="1" x14ac:dyDescent="0.25">
      <c r="A603" s="7"/>
      <c r="B603" s="7"/>
      <c r="C603" s="13"/>
      <c r="D603" s="13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 spans="1:18" ht="19.5" customHeight="1" x14ac:dyDescent="0.25">
      <c r="A604" s="7"/>
      <c r="B604" s="7"/>
      <c r="C604" s="13"/>
      <c r="D604" s="13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 spans="1:18" ht="19.5" customHeight="1" x14ac:dyDescent="0.25">
      <c r="A605" s="7"/>
      <c r="B605" s="7"/>
      <c r="C605" s="13"/>
      <c r="D605" s="13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 spans="1:18" ht="19.5" customHeight="1" x14ac:dyDescent="0.25">
      <c r="A606" s="7"/>
      <c r="B606" s="7"/>
      <c r="C606" s="13"/>
      <c r="D606" s="13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 spans="1:18" ht="19.5" customHeight="1" x14ac:dyDescent="0.25">
      <c r="A607" s="7"/>
      <c r="B607" s="7"/>
      <c r="C607" s="13"/>
      <c r="D607" s="13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</row>
    <row r="608" spans="1:18" ht="19.5" customHeight="1" x14ac:dyDescent="0.25">
      <c r="A608" s="7"/>
      <c r="B608" s="7"/>
      <c r="C608" s="13"/>
      <c r="D608" s="13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 spans="1:18" ht="19.5" customHeight="1" x14ac:dyDescent="0.25">
      <c r="A609" s="7"/>
      <c r="B609" s="7"/>
      <c r="C609" s="13"/>
      <c r="D609" s="13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 spans="1:18" ht="19.5" customHeight="1" x14ac:dyDescent="0.25">
      <c r="A610" s="7"/>
      <c r="B610" s="7"/>
      <c r="C610" s="13"/>
      <c r="D610" s="13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spans="1:18" ht="19.5" customHeight="1" x14ac:dyDescent="0.25">
      <c r="A611" s="7"/>
      <c r="B611" s="7"/>
      <c r="C611" s="13"/>
      <c r="D611" s="13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 spans="1:18" ht="19.5" customHeight="1" x14ac:dyDescent="0.25">
      <c r="A612" s="7"/>
      <c r="B612" s="7"/>
      <c r="C612" s="13"/>
      <c r="D612" s="13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</row>
    <row r="613" spans="1:18" ht="19.5" customHeight="1" x14ac:dyDescent="0.25">
      <c r="A613" s="7"/>
      <c r="B613" s="7"/>
      <c r="C613" s="13"/>
      <c r="D613" s="13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 spans="1:18" ht="19.5" customHeight="1" x14ac:dyDescent="0.25">
      <c r="A614" s="7"/>
      <c r="B614" s="7"/>
      <c r="C614" s="13"/>
      <c r="D614" s="13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 spans="1:18" ht="19.5" customHeight="1" x14ac:dyDescent="0.25">
      <c r="A615" s="7"/>
      <c r="B615" s="7"/>
      <c r="C615" s="13"/>
      <c r="D615" s="13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 spans="1:18" ht="19.5" customHeight="1" x14ac:dyDescent="0.25">
      <c r="A616" s="7"/>
      <c r="B616" s="7"/>
      <c r="C616" s="13"/>
      <c r="D616" s="13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 spans="1:18" ht="19.5" customHeight="1" x14ac:dyDescent="0.25">
      <c r="A617" s="7"/>
      <c r="B617" s="7"/>
      <c r="C617" s="13"/>
      <c r="D617" s="13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 spans="1:18" ht="19.5" customHeight="1" x14ac:dyDescent="0.25">
      <c r="A618" s="7"/>
      <c r="B618" s="7"/>
      <c r="C618" s="13"/>
      <c r="D618" s="13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 spans="1:18" ht="19.5" customHeight="1" x14ac:dyDescent="0.25">
      <c r="A619" s="7"/>
      <c r="B619" s="7"/>
      <c r="C619" s="13"/>
      <c r="D619" s="13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 spans="1:18" ht="19.5" customHeight="1" x14ac:dyDescent="0.25">
      <c r="A620" s="7"/>
      <c r="B620" s="7"/>
      <c r="C620" s="13"/>
      <c r="D620" s="13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 spans="1:18" ht="19.5" customHeight="1" x14ac:dyDescent="0.25">
      <c r="A621" s="7"/>
      <c r="B621" s="7"/>
      <c r="C621" s="13"/>
      <c r="D621" s="13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 spans="1:18" ht="19.5" customHeight="1" x14ac:dyDescent="0.25">
      <c r="A622" s="7"/>
      <c r="B622" s="7"/>
      <c r="C622" s="13"/>
      <c r="D622" s="13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 spans="1:18" ht="19.5" customHeight="1" x14ac:dyDescent="0.25">
      <c r="A623" s="7"/>
      <c r="B623" s="7"/>
      <c r="C623" s="13"/>
      <c r="D623" s="13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 spans="1:18" ht="19.5" customHeight="1" x14ac:dyDescent="0.25">
      <c r="A624" s="7"/>
      <c r="B624" s="7"/>
      <c r="C624" s="13"/>
      <c r="D624" s="13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 spans="1:18" ht="19.5" customHeight="1" x14ac:dyDescent="0.25">
      <c r="A625" s="7"/>
      <c r="B625" s="7"/>
      <c r="C625" s="13"/>
      <c r="D625" s="13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 spans="1:18" ht="19.5" customHeight="1" x14ac:dyDescent="0.25">
      <c r="A626" s="7"/>
      <c r="B626" s="7"/>
      <c r="C626" s="13"/>
      <c r="D626" s="13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 spans="1:18" ht="19.5" customHeight="1" x14ac:dyDescent="0.25">
      <c r="A627" s="7"/>
      <c r="B627" s="7"/>
      <c r="C627" s="13"/>
      <c r="D627" s="13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 spans="1:18" ht="19.5" customHeight="1" x14ac:dyDescent="0.25">
      <c r="A628" s="7"/>
      <c r="B628" s="7"/>
      <c r="C628" s="13"/>
      <c r="D628" s="13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 spans="1:18" ht="19.5" customHeight="1" x14ac:dyDescent="0.25">
      <c r="A629" s="7"/>
      <c r="B629" s="7"/>
      <c r="C629" s="13"/>
      <c r="D629" s="13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 spans="1:18" ht="19.5" customHeight="1" x14ac:dyDescent="0.25">
      <c r="A630" s="7"/>
      <c r="B630" s="7"/>
      <c r="C630" s="13"/>
      <c r="D630" s="13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 spans="1:18" ht="19.5" customHeight="1" x14ac:dyDescent="0.25">
      <c r="A631" s="7"/>
      <c r="B631" s="7"/>
      <c r="C631" s="13"/>
      <c r="D631" s="13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spans="1:18" ht="19.5" customHeight="1" x14ac:dyDescent="0.25">
      <c r="A632" s="7"/>
      <c r="B632" s="7"/>
      <c r="C632" s="13"/>
      <c r="D632" s="13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 spans="1:18" ht="19.5" customHeight="1" x14ac:dyDescent="0.25">
      <c r="A633" s="7"/>
      <c r="B633" s="7"/>
      <c r="C633" s="13"/>
      <c r="D633" s="13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spans="1:18" ht="19.5" customHeight="1" x14ac:dyDescent="0.25">
      <c r="A634" s="7"/>
      <c r="B634" s="7"/>
      <c r="C634" s="13"/>
      <c r="D634" s="13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 spans="1:18" ht="19.5" customHeight="1" x14ac:dyDescent="0.25">
      <c r="A635" s="7"/>
      <c r="B635" s="7"/>
      <c r="C635" s="13"/>
      <c r="D635" s="13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 spans="1:18" ht="19.5" customHeight="1" x14ac:dyDescent="0.25">
      <c r="A636" s="7"/>
      <c r="B636" s="7"/>
      <c r="C636" s="13"/>
      <c r="D636" s="13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 spans="1:18" ht="19.5" customHeight="1" x14ac:dyDescent="0.25">
      <c r="A637" s="7"/>
      <c r="B637" s="7"/>
      <c r="C637" s="13"/>
      <c r="D637" s="13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 spans="1:18" ht="19.5" customHeight="1" x14ac:dyDescent="0.25">
      <c r="A638" s="7"/>
      <c r="B638" s="7"/>
      <c r="C638" s="13"/>
      <c r="D638" s="13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 spans="1:18" ht="19.5" customHeight="1" x14ac:dyDescent="0.25">
      <c r="A639" s="7"/>
      <c r="B639" s="7"/>
      <c r="C639" s="13"/>
      <c r="D639" s="13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 spans="1:18" ht="19.5" customHeight="1" x14ac:dyDescent="0.25">
      <c r="A640" s="7"/>
      <c r="B640" s="7"/>
      <c r="C640" s="13"/>
      <c r="D640" s="13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 spans="1:18" ht="19.5" customHeight="1" x14ac:dyDescent="0.25">
      <c r="A641" s="7"/>
      <c r="B641" s="7"/>
      <c r="C641" s="13"/>
      <c r="D641" s="13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 spans="1:18" ht="19.5" customHeight="1" x14ac:dyDescent="0.25">
      <c r="A642" s="7"/>
      <c r="B642" s="7"/>
      <c r="C642" s="13"/>
      <c r="D642" s="13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 spans="1:18" ht="19.5" customHeight="1" x14ac:dyDescent="0.25">
      <c r="A643" s="7"/>
      <c r="B643" s="7"/>
      <c r="C643" s="13"/>
      <c r="D643" s="13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 spans="1:18" ht="19.5" customHeight="1" x14ac:dyDescent="0.25">
      <c r="A644" s="7"/>
      <c r="B644" s="7"/>
      <c r="C644" s="13"/>
      <c r="D644" s="13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 spans="1:18" ht="19.5" customHeight="1" x14ac:dyDescent="0.25">
      <c r="A645" s="7"/>
      <c r="B645" s="7"/>
      <c r="C645" s="13"/>
      <c r="D645" s="13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 spans="1:18" ht="19.5" customHeight="1" x14ac:dyDescent="0.25">
      <c r="A646" s="7"/>
      <c r="B646" s="7"/>
      <c r="C646" s="13"/>
      <c r="D646" s="13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 spans="1:18" ht="19.5" customHeight="1" x14ac:dyDescent="0.25">
      <c r="A647" s="7"/>
      <c r="B647" s="7"/>
      <c r="C647" s="13"/>
      <c r="D647" s="13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 spans="1:18" ht="19.5" customHeight="1" x14ac:dyDescent="0.25">
      <c r="A648" s="7"/>
      <c r="B648" s="7"/>
      <c r="C648" s="13"/>
      <c r="D648" s="13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 spans="1:18" ht="19.5" customHeight="1" x14ac:dyDescent="0.25">
      <c r="A649" s="7"/>
      <c r="B649" s="7"/>
      <c r="C649" s="13"/>
      <c r="D649" s="13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 spans="1:18" ht="19.5" customHeight="1" x14ac:dyDescent="0.25">
      <c r="A650" s="7"/>
      <c r="B650" s="7"/>
      <c r="C650" s="13"/>
      <c r="D650" s="13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 spans="1:18" ht="19.5" customHeight="1" x14ac:dyDescent="0.25">
      <c r="A651" s="7"/>
      <c r="B651" s="7"/>
      <c r="C651" s="13"/>
      <c r="D651" s="13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spans="1:18" ht="19.5" customHeight="1" x14ac:dyDescent="0.25">
      <c r="A652" s="7"/>
      <c r="B652" s="7"/>
      <c r="C652" s="13"/>
      <c r="D652" s="13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 spans="1:18" ht="19.5" customHeight="1" x14ac:dyDescent="0.25">
      <c r="A653" s="7"/>
      <c r="B653" s="7"/>
      <c r="C653" s="13"/>
      <c r="D653" s="13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 spans="1:18" ht="19.5" customHeight="1" x14ac:dyDescent="0.25">
      <c r="A654" s="7"/>
      <c r="B654" s="7"/>
      <c r="C654" s="13"/>
      <c r="D654" s="13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 spans="1:18" ht="19.5" customHeight="1" x14ac:dyDescent="0.25">
      <c r="A655" s="7"/>
      <c r="B655" s="7"/>
      <c r="C655" s="13"/>
      <c r="D655" s="13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 spans="1:18" ht="19.5" customHeight="1" x14ac:dyDescent="0.25">
      <c r="A656" s="7"/>
      <c r="B656" s="7"/>
      <c r="C656" s="13"/>
      <c r="D656" s="13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 spans="1:18" ht="19.5" customHeight="1" x14ac:dyDescent="0.25">
      <c r="A657" s="7"/>
      <c r="B657" s="7"/>
      <c r="C657" s="13"/>
      <c r="D657" s="13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 spans="1:18" ht="19.5" customHeight="1" x14ac:dyDescent="0.25">
      <c r="A658" s="7"/>
      <c r="B658" s="7"/>
      <c r="C658" s="13"/>
      <c r="D658" s="13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 spans="1:18" ht="19.5" customHeight="1" x14ac:dyDescent="0.25">
      <c r="A659" s="7"/>
      <c r="B659" s="7"/>
      <c r="C659" s="13"/>
      <c r="D659" s="13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 spans="1:18" ht="19.5" customHeight="1" x14ac:dyDescent="0.25">
      <c r="A660" s="7"/>
      <c r="B660" s="7"/>
      <c r="C660" s="13"/>
      <c r="D660" s="13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 spans="1:18" ht="19.5" customHeight="1" x14ac:dyDescent="0.25">
      <c r="A661" s="7"/>
      <c r="B661" s="7"/>
      <c r="C661" s="13"/>
      <c r="D661" s="13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 spans="1:18" ht="19.5" customHeight="1" x14ac:dyDescent="0.25">
      <c r="A662" s="7"/>
      <c r="B662" s="7"/>
      <c r="C662" s="13"/>
      <c r="D662" s="13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 spans="1:18" ht="19.5" customHeight="1" x14ac:dyDescent="0.25">
      <c r="A663" s="7"/>
      <c r="B663" s="7"/>
      <c r="C663" s="13"/>
      <c r="D663" s="13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 spans="1:18" ht="19.5" customHeight="1" x14ac:dyDescent="0.25">
      <c r="A664" s="7"/>
      <c r="B664" s="7"/>
      <c r="C664" s="13"/>
      <c r="D664" s="13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 spans="1:18" ht="19.5" customHeight="1" x14ac:dyDescent="0.25">
      <c r="A665" s="7"/>
      <c r="B665" s="7"/>
      <c r="C665" s="13"/>
      <c r="D665" s="13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 spans="1:18" ht="19.5" customHeight="1" x14ac:dyDescent="0.25">
      <c r="A666" s="7"/>
      <c r="B666" s="7"/>
      <c r="C666" s="13"/>
      <c r="D666" s="13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 spans="1:18" ht="19.5" customHeight="1" x14ac:dyDescent="0.25">
      <c r="A667" s="7"/>
      <c r="B667" s="7"/>
      <c r="C667" s="13"/>
      <c r="D667" s="13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spans="1:18" ht="19.5" customHeight="1" x14ac:dyDescent="0.25">
      <c r="A668" s="7"/>
      <c r="B668" s="7"/>
      <c r="C668" s="13"/>
      <c r="D668" s="13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spans="1:18" ht="19.5" customHeight="1" x14ac:dyDescent="0.25">
      <c r="A669" s="7"/>
      <c r="B669" s="7"/>
      <c r="C669" s="13"/>
      <c r="D669" s="13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 spans="1:18" ht="19.5" customHeight="1" x14ac:dyDescent="0.25">
      <c r="A670" s="7"/>
      <c r="B670" s="7"/>
      <c r="C670" s="13"/>
      <c r="D670" s="13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 spans="1:18" ht="19.5" customHeight="1" x14ac:dyDescent="0.25">
      <c r="A671" s="7"/>
      <c r="B671" s="7"/>
      <c r="C671" s="13"/>
      <c r="D671" s="13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 spans="1:18" ht="19.5" customHeight="1" x14ac:dyDescent="0.25">
      <c r="A672" s="7"/>
      <c r="B672" s="7"/>
      <c r="C672" s="13"/>
      <c r="D672" s="13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 spans="1:18" ht="19.5" customHeight="1" x14ac:dyDescent="0.25">
      <c r="A673" s="7"/>
      <c r="B673" s="7"/>
      <c r="C673" s="13"/>
      <c r="D673" s="13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 spans="1:18" ht="19.5" customHeight="1" x14ac:dyDescent="0.25">
      <c r="A674" s="7"/>
      <c r="B674" s="7"/>
      <c r="C674" s="13"/>
      <c r="D674" s="13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 spans="1:18" ht="19.5" customHeight="1" x14ac:dyDescent="0.25">
      <c r="A675" s="7"/>
      <c r="B675" s="7"/>
      <c r="C675" s="13"/>
      <c r="D675" s="13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 spans="1:18" ht="19.5" customHeight="1" x14ac:dyDescent="0.25">
      <c r="A676" s="7"/>
      <c r="B676" s="7"/>
      <c r="C676" s="13"/>
      <c r="D676" s="13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 spans="1:18" ht="19.5" customHeight="1" x14ac:dyDescent="0.25">
      <c r="A677" s="7"/>
      <c r="B677" s="7"/>
      <c r="C677" s="13"/>
      <c r="D677" s="13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 spans="1:18" ht="19.5" customHeight="1" x14ac:dyDescent="0.25">
      <c r="A678" s="7"/>
      <c r="B678" s="7"/>
      <c r="C678" s="13"/>
      <c r="D678" s="13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 spans="1:18" ht="19.5" customHeight="1" x14ac:dyDescent="0.25">
      <c r="A679" s="7"/>
      <c r="B679" s="7"/>
      <c r="C679" s="13"/>
      <c r="D679" s="13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 spans="1:18" ht="19.5" customHeight="1" x14ac:dyDescent="0.25">
      <c r="A680" s="7"/>
      <c r="B680" s="7"/>
      <c r="C680" s="13"/>
      <c r="D680" s="13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 spans="1:18" ht="19.5" customHeight="1" x14ac:dyDescent="0.25">
      <c r="A681" s="7"/>
      <c r="B681" s="7"/>
      <c r="C681" s="13"/>
      <c r="D681" s="13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 spans="1:18" ht="19.5" customHeight="1" x14ac:dyDescent="0.25">
      <c r="A682" s="7"/>
      <c r="B682" s="7"/>
      <c r="C682" s="13"/>
      <c r="D682" s="13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 spans="1:18" ht="19.5" customHeight="1" x14ac:dyDescent="0.25">
      <c r="A683" s="7"/>
      <c r="B683" s="7"/>
      <c r="C683" s="13"/>
      <c r="D683" s="13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 spans="1:18" ht="19.5" customHeight="1" x14ac:dyDescent="0.25">
      <c r="A684" s="7"/>
      <c r="B684" s="7"/>
      <c r="C684" s="13"/>
      <c r="D684" s="13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 spans="1:18" ht="19.5" customHeight="1" x14ac:dyDescent="0.25">
      <c r="A685" s="7"/>
      <c r="B685" s="7"/>
      <c r="C685" s="13"/>
      <c r="D685" s="13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 spans="1:18" ht="19.5" customHeight="1" x14ac:dyDescent="0.25">
      <c r="A686" s="7"/>
      <c r="B686" s="7"/>
      <c r="C686" s="13"/>
      <c r="D686" s="13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 spans="1:18" ht="19.5" customHeight="1" x14ac:dyDescent="0.25">
      <c r="A687" s="7"/>
      <c r="B687" s="7"/>
      <c r="C687" s="13"/>
      <c r="D687" s="13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 spans="1:18" ht="19.5" customHeight="1" x14ac:dyDescent="0.25">
      <c r="A688" s="7"/>
      <c r="B688" s="7"/>
      <c r="C688" s="13"/>
      <c r="D688" s="13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 spans="1:18" ht="19.5" customHeight="1" x14ac:dyDescent="0.25">
      <c r="A689" s="7"/>
      <c r="B689" s="7"/>
      <c r="C689" s="13"/>
      <c r="D689" s="13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 spans="1:18" ht="19.5" customHeight="1" x14ac:dyDescent="0.25">
      <c r="A690" s="7"/>
      <c r="B690" s="7"/>
      <c r="C690" s="13"/>
      <c r="D690" s="13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 spans="1:18" ht="19.5" customHeight="1" x14ac:dyDescent="0.25">
      <c r="A691" s="7"/>
      <c r="B691" s="7"/>
      <c r="C691" s="13"/>
      <c r="D691" s="13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 spans="1:18" ht="19.5" customHeight="1" x14ac:dyDescent="0.25">
      <c r="A692" s="7"/>
      <c r="B692" s="7"/>
      <c r="C692" s="13"/>
      <c r="D692" s="13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 spans="1:18" ht="19.5" customHeight="1" x14ac:dyDescent="0.25">
      <c r="A693" s="7"/>
      <c r="B693" s="7"/>
      <c r="C693" s="13"/>
      <c r="D693" s="13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 spans="1:18" ht="19.5" customHeight="1" x14ac:dyDescent="0.25">
      <c r="A694" s="7"/>
      <c r="B694" s="7"/>
      <c r="C694" s="13"/>
      <c r="D694" s="13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 spans="1:18" ht="19.5" customHeight="1" x14ac:dyDescent="0.25">
      <c r="A695" s="7"/>
      <c r="B695" s="7"/>
      <c r="C695" s="13"/>
      <c r="D695" s="13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 spans="1:18" ht="19.5" customHeight="1" x14ac:dyDescent="0.25">
      <c r="A696" s="7"/>
      <c r="B696" s="7"/>
      <c r="C696" s="13"/>
      <c r="D696" s="13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 spans="1:18" ht="19.5" customHeight="1" x14ac:dyDescent="0.25">
      <c r="A697" s="7"/>
      <c r="B697" s="7"/>
      <c r="C697" s="13"/>
      <c r="D697" s="13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 spans="1:18" ht="19.5" customHeight="1" x14ac:dyDescent="0.25">
      <c r="A698" s="7"/>
      <c r="B698" s="7"/>
      <c r="C698" s="13"/>
      <c r="D698" s="13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</row>
    <row r="699" spans="1:18" ht="19.5" customHeight="1" x14ac:dyDescent="0.25">
      <c r="A699" s="7"/>
      <c r="B699" s="7"/>
      <c r="C699" s="13"/>
      <c r="D699" s="13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</row>
    <row r="700" spans="1:18" ht="19.5" customHeight="1" x14ac:dyDescent="0.25">
      <c r="A700" s="7"/>
      <c r="B700" s="7"/>
      <c r="C700" s="13"/>
      <c r="D700" s="13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</row>
    <row r="701" spans="1:18" ht="19.5" customHeight="1" x14ac:dyDescent="0.25">
      <c r="A701" s="7"/>
      <c r="B701" s="7"/>
      <c r="C701" s="13"/>
      <c r="D701" s="13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</row>
    <row r="702" spans="1:18" ht="19.5" customHeight="1" x14ac:dyDescent="0.25">
      <c r="A702" s="7"/>
      <c r="B702" s="7"/>
      <c r="C702" s="13"/>
      <c r="D702" s="13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</row>
    <row r="703" spans="1:18" ht="19.5" customHeight="1" x14ac:dyDescent="0.25">
      <c r="A703" s="7"/>
      <c r="B703" s="7"/>
      <c r="C703" s="13"/>
      <c r="D703" s="13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</row>
    <row r="704" spans="1:18" ht="19.5" customHeight="1" x14ac:dyDescent="0.25">
      <c r="A704" s="7"/>
      <c r="B704" s="7"/>
      <c r="C704" s="13"/>
      <c r="D704" s="13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</row>
    <row r="705" spans="1:18" ht="19.5" customHeight="1" x14ac:dyDescent="0.25">
      <c r="A705" s="7"/>
      <c r="B705" s="7"/>
      <c r="C705" s="13"/>
      <c r="D705" s="13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</row>
    <row r="706" spans="1:18" ht="19.5" customHeight="1" x14ac:dyDescent="0.25">
      <c r="A706" s="7"/>
      <c r="B706" s="7"/>
      <c r="C706" s="13"/>
      <c r="D706" s="13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</row>
    <row r="707" spans="1:18" ht="19.5" customHeight="1" x14ac:dyDescent="0.25">
      <c r="A707" s="7"/>
      <c r="B707" s="7"/>
      <c r="C707" s="13"/>
      <c r="D707" s="13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</row>
    <row r="708" spans="1:18" ht="19.5" customHeight="1" x14ac:dyDescent="0.25">
      <c r="A708" s="7"/>
      <c r="B708" s="7"/>
      <c r="C708" s="13"/>
      <c r="D708" s="13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</row>
    <row r="709" spans="1:18" ht="19.5" customHeight="1" x14ac:dyDescent="0.25">
      <c r="A709" s="7"/>
      <c r="B709" s="7"/>
      <c r="C709" s="13"/>
      <c r="D709" s="13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</row>
    <row r="710" spans="1:18" ht="19.5" customHeight="1" x14ac:dyDescent="0.25">
      <c r="A710" s="7"/>
      <c r="B710" s="7"/>
      <c r="C710" s="13"/>
      <c r="D710" s="13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 spans="1:18" ht="19.5" customHeight="1" x14ac:dyDescent="0.25">
      <c r="A711" s="7"/>
      <c r="B711" s="7"/>
      <c r="C711" s="13"/>
      <c r="D711" s="13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</row>
    <row r="712" spans="1:18" ht="19.5" customHeight="1" x14ac:dyDescent="0.25">
      <c r="A712" s="7"/>
      <c r="B712" s="7"/>
      <c r="C712" s="13"/>
      <c r="D712" s="13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</row>
    <row r="713" spans="1:18" ht="19.5" customHeight="1" x14ac:dyDescent="0.25">
      <c r="A713" s="7"/>
      <c r="B713" s="7"/>
      <c r="C713" s="13"/>
      <c r="D713" s="13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 spans="1:18" ht="19.5" customHeight="1" x14ac:dyDescent="0.25">
      <c r="A714" s="7"/>
      <c r="B714" s="7"/>
      <c r="C714" s="13"/>
      <c r="D714" s="13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</row>
    <row r="715" spans="1:18" ht="19.5" customHeight="1" x14ac:dyDescent="0.25">
      <c r="A715" s="7"/>
      <c r="B715" s="7"/>
      <c r="C715" s="13"/>
      <c r="D715" s="13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</row>
    <row r="716" spans="1:18" ht="19.5" customHeight="1" x14ac:dyDescent="0.25">
      <c r="A716" s="7"/>
      <c r="B716" s="7"/>
      <c r="C716" s="13"/>
      <c r="D716" s="13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</row>
    <row r="717" spans="1:18" ht="19.5" customHeight="1" x14ac:dyDescent="0.25">
      <c r="A717" s="7"/>
      <c r="B717" s="7"/>
      <c r="C717" s="13"/>
      <c r="D717" s="13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</row>
    <row r="718" spans="1:18" ht="19.5" customHeight="1" x14ac:dyDescent="0.25">
      <c r="A718" s="7"/>
      <c r="B718" s="7"/>
      <c r="C718" s="13"/>
      <c r="D718" s="13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</row>
    <row r="719" spans="1:18" ht="19.5" customHeight="1" x14ac:dyDescent="0.25">
      <c r="A719" s="7"/>
      <c r="B719" s="7"/>
      <c r="C719" s="13"/>
      <c r="D719" s="13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</row>
    <row r="720" spans="1:18" ht="19.5" customHeight="1" x14ac:dyDescent="0.25">
      <c r="A720" s="7"/>
      <c r="B720" s="7"/>
      <c r="C720" s="13"/>
      <c r="D720" s="13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</row>
    <row r="721" spans="1:18" ht="19.5" customHeight="1" x14ac:dyDescent="0.25">
      <c r="A721" s="7"/>
      <c r="B721" s="7"/>
      <c r="C721" s="13"/>
      <c r="D721" s="13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</row>
    <row r="722" spans="1:18" ht="19.5" customHeight="1" x14ac:dyDescent="0.25">
      <c r="A722" s="7"/>
      <c r="B722" s="7"/>
      <c r="C722" s="13"/>
      <c r="D722" s="13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 spans="1:18" ht="19.5" customHeight="1" x14ac:dyDescent="0.25">
      <c r="A723" s="7"/>
      <c r="B723" s="7"/>
      <c r="C723" s="13"/>
      <c r="D723" s="13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 spans="1:18" ht="19.5" customHeight="1" x14ac:dyDescent="0.25">
      <c r="A724" s="7"/>
      <c r="B724" s="7"/>
      <c r="C724" s="13"/>
      <c r="D724" s="13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 spans="1:18" ht="19.5" customHeight="1" x14ac:dyDescent="0.25">
      <c r="A725" s="7"/>
      <c r="B725" s="7"/>
      <c r="C725" s="13"/>
      <c r="D725" s="13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 spans="1:18" ht="19.5" customHeight="1" x14ac:dyDescent="0.25">
      <c r="A726" s="7"/>
      <c r="B726" s="7"/>
      <c r="C726" s="13"/>
      <c r="D726" s="13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spans="1:18" ht="19.5" customHeight="1" x14ac:dyDescent="0.25">
      <c r="A727" s="7"/>
      <c r="B727" s="7"/>
      <c r="C727" s="13"/>
      <c r="D727" s="13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 spans="1:18" ht="19.5" customHeight="1" x14ac:dyDescent="0.25">
      <c r="A728" s="7"/>
      <c r="B728" s="7"/>
      <c r="C728" s="13"/>
      <c r="D728" s="13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 spans="1:18" ht="19.5" customHeight="1" x14ac:dyDescent="0.25">
      <c r="A729" s="7"/>
      <c r="B729" s="7"/>
      <c r="C729" s="13"/>
      <c r="D729" s="13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 spans="1:18" ht="19.5" customHeight="1" x14ac:dyDescent="0.25">
      <c r="A730" s="7"/>
      <c r="B730" s="7"/>
      <c r="C730" s="13"/>
      <c r="D730" s="13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 spans="1:18" ht="19.5" customHeight="1" x14ac:dyDescent="0.25">
      <c r="A731" s="7"/>
      <c r="B731" s="7"/>
      <c r="C731" s="13"/>
      <c r="D731" s="13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 spans="1:18" ht="19.5" customHeight="1" x14ac:dyDescent="0.25">
      <c r="A732" s="7"/>
      <c r="B732" s="7"/>
      <c r="C732" s="13"/>
      <c r="D732" s="13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 spans="1:18" ht="19.5" customHeight="1" x14ac:dyDescent="0.25">
      <c r="A733" s="7"/>
      <c r="B733" s="7"/>
      <c r="C733" s="13"/>
      <c r="D733" s="13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 spans="1:18" ht="19.5" customHeight="1" x14ac:dyDescent="0.25">
      <c r="A734" s="7"/>
      <c r="B734" s="7"/>
      <c r="C734" s="13"/>
      <c r="D734" s="13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</row>
    <row r="735" spans="1:18" ht="19.5" customHeight="1" x14ac:dyDescent="0.25">
      <c r="A735" s="7"/>
      <c r="B735" s="7"/>
      <c r="C735" s="13"/>
      <c r="D735" s="13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</row>
    <row r="736" spans="1:18" ht="19.5" customHeight="1" x14ac:dyDescent="0.25">
      <c r="A736" s="7"/>
      <c r="B736" s="7"/>
      <c r="C736" s="13"/>
      <c r="D736" s="13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</row>
    <row r="737" spans="1:18" ht="19.5" customHeight="1" x14ac:dyDescent="0.25">
      <c r="A737" s="7"/>
      <c r="B737" s="7"/>
      <c r="C737" s="13"/>
      <c r="D737" s="13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</row>
    <row r="738" spans="1:18" ht="19.5" customHeight="1" x14ac:dyDescent="0.25">
      <c r="A738" s="7"/>
      <c r="B738" s="7"/>
      <c r="C738" s="13"/>
      <c r="D738" s="13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</row>
    <row r="739" spans="1:18" ht="19.5" customHeight="1" x14ac:dyDescent="0.25">
      <c r="A739" s="7"/>
      <c r="B739" s="7"/>
      <c r="C739" s="13"/>
      <c r="D739" s="13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</row>
    <row r="740" spans="1:18" ht="19.5" customHeight="1" x14ac:dyDescent="0.25">
      <c r="A740" s="7"/>
      <c r="B740" s="7"/>
      <c r="C740" s="13"/>
      <c r="D740" s="13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</row>
    <row r="741" spans="1:18" ht="19.5" customHeight="1" x14ac:dyDescent="0.25">
      <c r="A741" s="7"/>
      <c r="B741" s="7"/>
      <c r="C741" s="13"/>
      <c r="D741" s="13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</row>
    <row r="742" spans="1:18" ht="19.5" customHeight="1" x14ac:dyDescent="0.25">
      <c r="A742" s="7"/>
      <c r="B742" s="7"/>
      <c r="C742" s="13"/>
      <c r="D742" s="13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</row>
    <row r="743" spans="1:18" ht="19.5" customHeight="1" x14ac:dyDescent="0.25">
      <c r="A743" s="7"/>
      <c r="B743" s="7"/>
      <c r="C743" s="13"/>
      <c r="D743" s="13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 spans="1:18" ht="19.5" customHeight="1" x14ac:dyDescent="0.25">
      <c r="A744" s="7"/>
      <c r="B744" s="7"/>
      <c r="C744" s="13"/>
      <c r="D744" s="13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</row>
    <row r="745" spans="1:18" ht="19.5" customHeight="1" x14ac:dyDescent="0.25">
      <c r="A745" s="7"/>
      <c r="B745" s="7"/>
      <c r="C745" s="13"/>
      <c r="D745" s="13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</row>
    <row r="746" spans="1:18" ht="19.5" customHeight="1" x14ac:dyDescent="0.25">
      <c r="A746" s="7"/>
      <c r="B746" s="7"/>
      <c r="C746" s="13"/>
      <c r="D746" s="13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</row>
    <row r="747" spans="1:18" ht="19.5" customHeight="1" x14ac:dyDescent="0.25">
      <c r="A747" s="7"/>
      <c r="B747" s="7"/>
      <c r="C747" s="13"/>
      <c r="D747" s="13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</row>
    <row r="748" spans="1:18" ht="19.5" customHeight="1" x14ac:dyDescent="0.25">
      <c r="A748" s="7"/>
      <c r="B748" s="7"/>
      <c r="C748" s="13"/>
      <c r="D748" s="13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</row>
    <row r="749" spans="1:18" ht="19.5" customHeight="1" x14ac:dyDescent="0.25">
      <c r="A749" s="7"/>
      <c r="B749" s="7"/>
      <c r="C749" s="13"/>
      <c r="D749" s="13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</row>
    <row r="750" spans="1:18" ht="19.5" customHeight="1" x14ac:dyDescent="0.25">
      <c r="A750" s="7"/>
      <c r="B750" s="7"/>
      <c r="C750" s="13"/>
      <c r="D750" s="13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</row>
    <row r="751" spans="1:18" ht="19.5" customHeight="1" x14ac:dyDescent="0.25">
      <c r="A751" s="7"/>
      <c r="B751" s="7"/>
      <c r="C751" s="13"/>
      <c r="D751" s="13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 spans="1:18" ht="19.5" customHeight="1" x14ac:dyDescent="0.25">
      <c r="A752" s="7"/>
      <c r="B752" s="7"/>
      <c r="C752" s="13"/>
      <c r="D752" s="13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</row>
    <row r="753" spans="1:18" ht="19.5" customHeight="1" x14ac:dyDescent="0.25">
      <c r="A753" s="7"/>
      <c r="B753" s="7"/>
      <c r="C753" s="13"/>
      <c r="D753" s="13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 spans="1:18" ht="19.5" customHeight="1" x14ac:dyDescent="0.25">
      <c r="A754" s="7"/>
      <c r="B754" s="7"/>
      <c r="C754" s="13"/>
      <c r="D754" s="13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 spans="1:18" ht="19.5" customHeight="1" x14ac:dyDescent="0.25">
      <c r="A755" s="7"/>
      <c r="B755" s="7"/>
      <c r="C755" s="13"/>
      <c r="D755" s="13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</row>
    <row r="756" spans="1:18" ht="19.5" customHeight="1" x14ac:dyDescent="0.25">
      <c r="A756" s="7"/>
      <c r="B756" s="7"/>
      <c r="C756" s="13"/>
      <c r="D756" s="13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 spans="1:18" ht="19.5" customHeight="1" x14ac:dyDescent="0.25">
      <c r="A757" s="7"/>
      <c r="B757" s="7"/>
      <c r="C757" s="13"/>
      <c r="D757" s="13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</row>
    <row r="758" spans="1:18" ht="19.5" customHeight="1" x14ac:dyDescent="0.25">
      <c r="A758" s="7"/>
      <c r="B758" s="7"/>
      <c r="C758" s="13"/>
      <c r="D758" s="13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</row>
    <row r="759" spans="1:18" ht="19.5" customHeight="1" x14ac:dyDescent="0.25">
      <c r="A759" s="7"/>
      <c r="B759" s="7"/>
      <c r="C759" s="13"/>
      <c r="D759" s="13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</row>
    <row r="760" spans="1:18" ht="19.5" customHeight="1" x14ac:dyDescent="0.25">
      <c r="A760" s="7"/>
      <c r="B760" s="7"/>
      <c r="C760" s="13"/>
      <c r="D760" s="13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</row>
    <row r="761" spans="1:18" ht="19.5" customHeight="1" x14ac:dyDescent="0.25">
      <c r="A761" s="7"/>
      <c r="B761" s="7"/>
      <c r="C761" s="13"/>
      <c r="D761" s="13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 spans="1:18" ht="19.5" customHeight="1" x14ac:dyDescent="0.25">
      <c r="A762" s="7"/>
      <c r="B762" s="7"/>
      <c r="C762" s="13"/>
      <c r="D762" s="13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</row>
    <row r="763" spans="1:18" ht="19.5" customHeight="1" x14ac:dyDescent="0.25">
      <c r="A763" s="7"/>
      <c r="B763" s="7"/>
      <c r="C763" s="13"/>
      <c r="D763" s="13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 spans="1:18" ht="19.5" customHeight="1" x14ac:dyDescent="0.25">
      <c r="A764" s="7"/>
      <c r="B764" s="7"/>
      <c r="C764" s="13"/>
      <c r="D764" s="13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 spans="1:18" ht="19.5" customHeight="1" x14ac:dyDescent="0.25">
      <c r="A765" s="7"/>
      <c r="B765" s="7"/>
      <c r="C765" s="13"/>
      <c r="D765" s="13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 spans="1:18" ht="19.5" customHeight="1" x14ac:dyDescent="0.25">
      <c r="A766" s="7"/>
      <c r="B766" s="7"/>
      <c r="C766" s="13"/>
      <c r="D766" s="13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 spans="1:18" ht="19.5" customHeight="1" x14ac:dyDescent="0.25">
      <c r="A767" s="7"/>
      <c r="B767" s="7"/>
      <c r="C767" s="13"/>
      <c r="D767" s="13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</row>
    <row r="768" spans="1:18" ht="19.5" customHeight="1" x14ac:dyDescent="0.25">
      <c r="A768" s="7"/>
      <c r="B768" s="7"/>
      <c r="C768" s="13"/>
      <c r="D768" s="13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</row>
    <row r="769" spans="1:18" ht="19.5" customHeight="1" x14ac:dyDescent="0.25">
      <c r="A769" s="7"/>
      <c r="B769" s="7"/>
      <c r="C769" s="13"/>
      <c r="D769" s="13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</row>
    <row r="770" spans="1:18" ht="19.5" customHeight="1" x14ac:dyDescent="0.25">
      <c r="A770" s="7"/>
      <c r="B770" s="7"/>
      <c r="C770" s="13"/>
      <c r="D770" s="13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 spans="1:18" ht="19.5" customHeight="1" x14ac:dyDescent="0.25">
      <c r="A771" s="7"/>
      <c r="B771" s="7"/>
      <c r="C771" s="13"/>
      <c r="D771" s="13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 spans="1:18" ht="19.5" customHeight="1" x14ac:dyDescent="0.25">
      <c r="A772" s="7"/>
      <c r="B772" s="7"/>
      <c r="C772" s="13"/>
      <c r="D772" s="13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</row>
    <row r="773" spans="1:18" ht="19.5" customHeight="1" x14ac:dyDescent="0.25">
      <c r="A773" s="7"/>
      <c r="B773" s="7"/>
      <c r="C773" s="13"/>
      <c r="D773" s="13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 spans="1:18" ht="19.5" customHeight="1" x14ac:dyDescent="0.25">
      <c r="A774" s="7"/>
      <c r="B774" s="7"/>
      <c r="C774" s="13"/>
      <c r="D774" s="13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 spans="1:18" ht="19.5" customHeight="1" x14ac:dyDescent="0.25">
      <c r="A775" s="7"/>
      <c r="B775" s="7"/>
      <c r="C775" s="13"/>
      <c r="D775" s="13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</row>
    <row r="776" spans="1:18" ht="19.5" customHeight="1" x14ac:dyDescent="0.25">
      <c r="A776" s="7"/>
      <c r="B776" s="7"/>
      <c r="C776" s="13"/>
      <c r="D776" s="13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</row>
    <row r="777" spans="1:18" ht="19.5" customHeight="1" x14ac:dyDescent="0.25">
      <c r="A777" s="7"/>
      <c r="B777" s="7"/>
      <c r="C777" s="13"/>
      <c r="D777" s="13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</row>
    <row r="778" spans="1:18" ht="19.5" customHeight="1" x14ac:dyDescent="0.25">
      <c r="A778" s="7"/>
      <c r="B778" s="7"/>
      <c r="C778" s="13"/>
      <c r="D778" s="13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</row>
    <row r="779" spans="1:18" ht="19.5" customHeight="1" x14ac:dyDescent="0.25">
      <c r="A779" s="7"/>
      <c r="B779" s="7"/>
      <c r="C779" s="13"/>
      <c r="D779" s="13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</row>
    <row r="780" spans="1:18" ht="19.5" customHeight="1" x14ac:dyDescent="0.25">
      <c r="A780" s="7"/>
      <c r="B780" s="7"/>
      <c r="C780" s="13"/>
      <c r="D780" s="13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</row>
    <row r="781" spans="1:18" ht="19.5" customHeight="1" x14ac:dyDescent="0.25">
      <c r="A781" s="7"/>
      <c r="B781" s="7"/>
      <c r="C781" s="13"/>
      <c r="D781" s="13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</row>
    <row r="782" spans="1:18" ht="19.5" customHeight="1" x14ac:dyDescent="0.25">
      <c r="A782" s="7"/>
      <c r="B782" s="7"/>
      <c r="C782" s="13"/>
      <c r="D782" s="13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</row>
    <row r="783" spans="1:18" ht="19.5" customHeight="1" x14ac:dyDescent="0.25">
      <c r="A783" s="7"/>
      <c r="B783" s="7"/>
      <c r="C783" s="13"/>
      <c r="D783" s="13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</row>
    <row r="784" spans="1:18" ht="19.5" customHeight="1" x14ac:dyDescent="0.25">
      <c r="A784" s="7"/>
      <c r="B784" s="7"/>
      <c r="C784" s="13"/>
      <c r="D784" s="13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</row>
    <row r="785" spans="1:18" ht="19.5" customHeight="1" x14ac:dyDescent="0.25">
      <c r="A785" s="7"/>
      <c r="B785" s="7"/>
      <c r="C785" s="13"/>
      <c r="D785" s="13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</row>
    <row r="786" spans="1:18" ht="19.5" customHeight="1" x14ac:dyDescent="0.25">
      <c r="A786" s="7"/>
      <c r="B786" s="7"/>
      <c r="C786" s="13"/>
      <c r="D786" s="13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</row>
    <row r="787" spans="1:18" ht="19.5" customHeight="1" x14ac:dyDescent="0.25">
      <c r="A787" s="7"/>
      <c r="B787" s="7"/>
      <c r="C787" s="13"/>
      <c r="D787" s="13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</row>
    <row r="788" spans="1:18" ht="19.5" customHeight="1" x14ac:dyDescent="0.25">
      <c r="A788" s="7"/>
      <c r="B788" s="7"/>
      <c r="C788" s="13"/>
      <c r="D788" s="13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</row>
    <row r="789" spans="1:18" ht="19.5" customHeight="1" x14ac:dyDescent="0.25">
      <c r="A789" s="7"/>
      <c r="B789" s="7"/>
      <c r="C789" s="13"/>
      <c r="D789" s="13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</row>
    <row r="790" spans="1:18" ht="19.5" customHeight="1" x14ac:dyDescent="0.25">
      <c r="A790" s="7"/>
      <c r="B790" s="7"/>
      <c r="C790" s="13"/>
      <c r="D790" s="13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</row>
    <row r="791" spans="1:18" ht="19.5" customHeight="1" x14ac:dyDescent="0.25">
      <c r="A791" s="7"/>
      <c r="B791" s="7"/>
      <c r="C791" s="13"/>
      <c r="D791" s="13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</row>
    <row r="792" spans="1:18" ht="19.5" customHeight="1" x14ac:dyDescent="0.25">
      <c r="A792" s="7"/>
      <c r="B792" s="7"/>
      <c r="C792" s="13"/>
      <c r="D792" s="13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</row>
    <row r="793" spans="1:18" ht="19.5" customHeight="1" x14ac:dyDescent="0.25">
      <c r="A793" s="7"/>
      <c r="B793" s="7"/>
      <c r="C793" s="13"/>
      <c r="D793" s="13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</row>
    <row r="794" spans="1:18" ht="19.5" customHeight="1" x14ac:dyDescent="0.25">
      <c r="A794" s="7"/>
      <c r="B794" s="7"/>
      <c r="C794" s="13"/>
      <c r="D794" s="13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</row>
    <row r="795" spans="1:18" ht="19.5" customHeight="1" x14ac:dyDescent="0.25">
      <c r="A795" s="7"/>
      <c r="B795" s="7"/>
      <c r="C795" s="13"/>
      <c r="D795" s="13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</row>
    <row r="796" spans="1:18" ht="19.5" customHeight="1" x14ac:dyDescent="0.25">
      <c r="A796" s="7"/>
      <c r="B796" s="7"/>
      <c r="C796" s="13"/>
      <c r="D796" s="13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</row>
    <row r="797" spans="1:18" ht="19.5" customHeight="1" x14ac:dyDescent="0.25">
      <c r="A797" s="7"/>
      <c r="B797" s="7"/>
      <c r="C797" s="13"/>
      <c r="D797" s="13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</row>
    <row r="798" spans="1:18" ht="19.5" customHeight="1" x14ac:dyDescent="0.25">
      <c r="A798" s="7"/>
      <c r="B798" s="7"/>
      <c r="C798" s="13"/>
      <c r="D798" s="13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</row>
    <row r="799" spans="1:18" ht="19.5" customHeight="1" x14ac:dyDescent="0.25">
      <c r="A799" s="7"/>
      <c r="B799" s="7"/>
      <c r="C799" s="13"/>
      <c r="D799" s="13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</row>
    <row r="800" spans="1:18" ht="19.5" customHeight="1" x14ac:dyDescent="0.25">
      <c r="A800" s="7"/>
      <c r="B800" s="7"/>
      <c r="C800" s="13"/>
      <c r="D800" s="13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</row>
    <row r="801" spans="1:18" ht="19.5" customHeight="1" x14ac:dyDescent="0.25">
      <c r="A801" s="7"/>
      <c r="B801" s="7"/>
      <c r="C801" s="13"/>
      <c r="D801" s="13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</row>
    <row r="802" spans="1:18" ht="19.5" customHeight="1" x14ac:dyDescent="0.25">
      <c r="A802" s="7"/>
      <c r="B802" s="7"/>
      <c r="C802" s="13"/>
      <c r="D802" s="13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</row>
    <row r="803" spans="1:18" ht="19.5" customHeight="1" x14ac:dyDescent="0.25">
      <c r="A803" s="7"/>
      <c r="B803" s="7"/>
      <c r="C803" s="13"/>
      <c r="D803" s="13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</row>
    <row r="804" spans="1:18" ht="19.5" customHeight="1" x14ac:dyDescent="0.25">
      <c r="A804" s="7"/>
      <c r="B804" s="7"/>
      <c r="C804" s="13"/>
      <c r="D804" s="13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</row>
    <row r="805" spans="1:18" ht="19.5" customHeight="1" x14ac:dyDescent="0.25">
      <c r="A805" s="7"/>
      <c r="B805" s="7"/>
      <c r="C805" s="13"/>
      <c r="D805" s="13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</row>
    <row r="806" spans="1:18" ht="19.5" customHeight="1" x14ac:dyDescent="0.25">
      <c r="A806" s="7"/>
      <c r="B806" s="7"/>
      <c r="C806" s="13"/>
      <c r="D806" s="13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</row>
    <row r="807" spans="1:18" ht="19.5" customHeight="1" x14ac:dyDescent="0.25">
      <c r="A807" s="7"/>
      <c r="B807" s="7"/>
      <c r="C807" s="13"/>
      <c r="D807" s="13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</row>
    <row r="808" spans="1:18" ht="19.5" customHeight="1" x14ac:dyDescent="0.25">
      <c r="A808" s="7"/>
      <c r="B808" s="7"/>
      <c r="C808" s="13"/>
      <c r="D808" s="13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</row>
    <row r="809" spans="1:18" ht="19.5" customHeight="1" x14ac:dyDescent="0.25">
      <c r="A809" s="7"/>
      <c r="B809" s="7"/>
      <c r="C809" s="13"/>
      <c r="D809" s="13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</row>
    <row r="810" spans="1:18" ht="19.5" customHeight="1" x14ac:dyDescent="0.25">
      <c r="A810" s="7"/>
      <c r="B810" s="7"/>
      <c r="C810" s="13"/>
      <c r="D810" s="13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</row>
    <row r="811" spans="1:18" ht="19.5" customHeight="1" x14ac:dyDescent="0.25">
      <c r="A811" s="7"/>
      <c r="B811" s="7"/>
      <c r="C811" s="13"/>
      <c r="D811" s="13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</row>
    <row r="812" spans="1:18" ht="19.5" customHeight="1" x14ac:dyDescent="0.25">
      <c r="A812" s="7"/>
      <c r="B812" s="7"/>
      <c r="C812" s="13"/>
      <c r="D812" s="13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</row>
    <row r="813" spans="1:18" ht="19.5" customHeight="1" x14ac:dyDescent="0.25">
      <c r="A813" s="7"/>
      <c r="B813" s="7"/>
      <c r="C813" s="13"/>
      <c r="D813" s="13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</row>
    <row r="814" spans="1:18" ht="19.5" customHeight="1" x14ac:dyDescent="0.25">
      <c r="A814" s="7"/>
      <c r="B814" s="7"/>
      <c r="C814" s="13"/>
      <c r="D814" s="13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</row>
    <row r="815" spans="1:18" ht="19.5" customHeight="1" x14ac:dyDescent="0.25">
      <c r="A815" s="7"/>
      <c r="B815" s="7"/>
      <c r="C815" s="13"/>
      <c r="D815" s="13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</row>
    <row r="816" spans="1:18" ht="19.5" customHeight="1" x14ac:dyDescent="0.25">
      <c r="A816" s="7"/>
      <c r="B816" s="7"/>
      <c r="C816" s="13"/>
      <c r="D816" s="13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</row>
    <row r="817" spans="1:18" ht="19.5" customHeight="1" x14ac:dyDescent="0.25">
      <c r="A817" s="7"/>
      <c r="B817" s="7"/>
      <c r="C817" s="13"/>
      <c r="D817" s="13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</row>
    <row r="818" spans="1:18" ht="19.5" customHeight="1" x14ac:dyDescent="0.25">
      <c r="A818" s="7"/>
      <c r="B818" s="7"/>
      <c r="C818" s="13"/>
      <c r="D818" s="13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</row>
    <row r="819" spans="1:18" ht="19.5" customHeight="1" x14ac:dyDescent="0.25">
      <c r="A819" s="7"/>
      <c r="B819" s="7"/>
      <c r="C819" s="13"/>
      <c r="D819" s="13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</row>
    <row r="820" spans="1:18" ht="19.5" customHeight="1" x14ac:dyDescent="0.25">
      <c r="A820" s="7"/>
      <c r="B820" s="7"/>
      <c r="C820" s="13"/>
      <c r="D820" s="13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</row>
    <row r="821" spans="1:18" ht="19.5" customHeight="1" x14ac:dyDescent="0.25">
      <c r="A821" s="7"/>
      <c r="B821" s="7"/>
      <c r="C821" s="13"/>
      <c r="D821" s="13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</row>
    <row r="822" spans="1:18" ht="19.5" customHeight="1" x14ac:dyDescent="0.25">
      <c r="A822" s="7"/>
      <c r="B822" s="7"/>
      <c r="C822" s="13"/>
      <c r="D822" s="13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</row>
    <row r="823" spans="1:18" ht="19.5" customHeight="1" x14ac:dyDescent="0.25">
      <c r="A823" s="7"/>
      <c r="B823" s="7"/>
      <c r="C823" s="13"/>
      <c r="D823" s="13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</row>
    <row r="824" spans="1:18" ht="19.5" customHeight="1" x14ac:dyDescent="0.25">
      <c r="A824" s="7"/>
      <c r="B824" s="7"/>
      <c r="C824" s="13"/>
      <c r="D824" s="13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</row>
    <row r="825" spans="1:18" ht="19.5" customHeight="1" x14ac:dyDescent="0.25">
      <c r="A825" s="7"/>
      <c r="B825" s="7"/>
      <c r="C825" s="13"/>
      <c r="D825" s="13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</row>
    <row r="826" spans="1:18" ht="19.5" customHeight="1" x14ac:dyDescent="0.25">
      <c r="A826" s="7"/>
      <c r="B826" s="7"/>
      <c r="C826" s="13"/>
      <c r="D826" s="13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</row>
    <row r="827" spans="1:18" ht="19.5" customHeight="1" x14ac:dyDescent="0.25">
      <c r="A827" s="7"/>
      <c r="B827" s="7"/>
      <c r="C827" s="13"/>
      <c r="D827" s="13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</row>
    <row r="828" spans="1:18" ht="19.5" customHeight="1" x14ac:dyDescent="0.25">
      <c r="A828" s="7"/>
      <c r="B828" s="7"/>
      <c r="C828" s="13"/>
      <c r="D828" s="13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</row>
    <row r="829" spans="1:18" ht="19.5" customHeight="1" x14ac:dyDescent="0.25">
      <c r="A829" s="7"/>
      <c r="B829" s="7"/>
      <c r="C829" s="13"/>
      <c r="D829" s="13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</row>
    <row r="830" spans="1:18" ht="19.5" customHeight="1" x14ac:dyDescent="0.25">
      <c r="A830" s="7"/>
      <c r="B830" s="7"/>
      <c r="C830" s="13"/>
      <c r="D830" s="13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</row>
    <row r="831" spans="1:18" ht="19.5" customHeight="1" x14ac:dyDescent="0.25">
      <c r="A831" s="7"/>
      <c r="B831" s="7"/>
      <c r="C831" s="13"/>
      <c r="D831" s="13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</row>
    <row r="832" spans="1:18" ht="19.5" customHeight="1" x14ac:dyDescent="0.25">
      <c r="A832" s="7"/>
      <c r="B832" s="7"/>
      <c r="C832" s="13"/>
      <c r="D832" s="13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</row>
    <row r="833" spans="1:18" ht="19.5" customHeight="1" x14ac:dyDescent="0.25">
      <c r="A833" s="7"/>
      <c r="B833" s="7"/>
      <c r="C833" s="13"/>
      <c r="D833" s="13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</row>
    <row r="834" spans="1:18" ht="19.5" customHeight="1" x14ac:dyDescent="0.25">
      <c r="A834" s="7"/>
      <c r="B834" s="7"/>
      <c r="C834" s="13"/>
      <c r="D834" s="13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</row>
    <row r="835" spans="1:18" ht="19.5" customHeight="1" x14ac:dyDescent="0.25">
      <c r="A835" s="7"/>
      <c r="B835" s="7"/>
      <c r="C835" s="13"/>
      <c r="D835" s="13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</row>
    <row r="836" spans="1:18" ht="19.5" customHeight="1" x14ac:dyDescent="0.25">
      <c r="A836" s="7"/>
      <c r="B836" s="7"/>
      <c r="C836" s="13"/>
      <c r="D836" s="13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</row>
    <row r="837" spans="1:18" ht="19.5" customHeight="1" x14ac:dyDescent="0.25">
      <c r="A837" s="7"/>
      <c r="B837" s="7"/>
      <c r="C837" s="13"/>
      <c r="D837" s="13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</row>
    <row r="838" spans="1:18" ht="19.5" customHeight="1" x14ac:dyDescent="0.25">
      <c r="A838" s="7"/>
      <c r="B838" s="7"/>
      <c r="C838" s="13"/>
      <c r="D838" s="13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</row>
    <row r="839" spans="1:18" ht="19.5" customHeight="1" x14ac:dyDescent="0.25">
      <c r="A839" s="7"/>
      <c r="B839" s="7"/>
      <c r="C839" s="13"/>
      <c r="D839" s="13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</row>
    <row r="840" spans="1:18" ht="19.5" customHeight="1" x14ac:dyDescent="0.25">
      <c r="A840" s="7"/>
      <c r="B840" s="7"/>
      <c r="C840" s="13"/>
      <c r="D840" s="13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</row>
    <row r="841" spans="1:18" ht="19.5" customHeight="1" x14ac:dyDescent="0.25">
      <c r="A841" s="7"/>
      <c r="B841" s="7"/>
      <c r="C841" s="13"/>
      <c r="D841" s="13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</row>
    <row r="842" spans="1:18" ht="19.5" customHeight="1" x14ac:dyDescent="0.25">
      <c r="A842" s="7"/>
      <c r="B842" s="7"/>
      <c r="C842" s="13"/>
      <c r="D842" s="13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</row>
    <row r="843" spans="1:18" ht="19.5" customHeight="1" x14ac:dyDescent="0.25">
      <c r="A843" s="7"/>
      <c r="B843" s="7"/>
      <c r="C843" s="13"/>
      <c r="D843" s="13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</row>
    <row r="844" spans="1:18" ht="19.5" customHeight="1" x14ac:dyDescent="0.25">
      <c r="A844" s="7"/>
      <c r="B844" s="7"/>
      <c r="C844" s="13"/>
      <c r="D844" s="13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</row>
    <row r="845" spans="1:18" ht="19.5" customHeight="1" x14ac:dyDescent="0.25">
      <c r="A845" s="7"/>
      <c r="B845" s="7"/>
      <c r="C845" s="13"/>
      <c r="D845" s="13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</row>
    <row r="846" spans="1:18" ht="19.5" customHeight="1" x14ac:dyDescent="0.25">
      <c r="A846" s="7"/>
      <c r="B846" s="7"/>
      <c r="C846" s="13"/>
      <c r="D846" s="13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</row>
    <row r="847" spans="1:18" ht="19.5" customHeight="1" x14ac:dyDescent="0.25">
      <c r="A847" s="7"/>
      <c r="B847" s="7"/>
      <c r="C847" s="13"/>
      <c r="D847" s="13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</row>
    <row r="848" spans="1:18" ht="19.5" customHeight="1" x14ac:dyDescent="0.25">
      <c r="A848" s="7"/>
      <c r="B848" s="7"/>
      <c r="C848" s="13"/>
      <c r="D848" s="13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</row>
    <row r="849" spans="1:18" ht="19.5" customHeight="1" x14ac:dyDescent="0.25">
      <c r="A849" s="7"/>
      <c r="B849" s="7"/>
      <c r="C849" s="13"/>
      <c r="D849" s="13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</row>
    <row r="850" spans="1:18" ht="19.5" customHeight="1" x14ac:dyDescent="0.25">
      <c r="A850" s="7"/>
      <c r="B850" s="7"/>
      <c r="C850" s="13"/>
      <c r="D850" s="13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</row>
    <row r="851" spans="1:18" ht="19.5" customHeight="1" x14ac:dyDescent="0.25">
      <c r="A851" s="7"/>
      <c r="B851" s="7"/>
      <c r="C851" s="13"/>
      <c r="D851" s="13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</row>
    <row r="852" spans="1:18" ht="19.5" customHeight="1" x14ac:dyDescent="0.25">
      <c r="A852" s="7"/>
      <c r="B852" s="7"/>
      <c r="C852" s="13"/>
      <c r="D852" s="13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</row>
    <row r="853" spans="1:18" ht="19.5" customHeight="1" x14ac:dyDescent="0.25">
      <c r="A853" s="7"/>
      <c r="B853" s="7"/>
      <c r="C853" s="13"/>
      <c r="D853" s="13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</row>
    <row r="854" spans="1:18" ht="19.5" customHeight="1" x14ac:dyDescent="0.25">
      <c r="A854" s="7"/>
      <c r="B854" s="7"/>
      <c r="C854" s="13"/>
      <c r="D854" s="13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</row>
    <row r="855" spans="1:18" ht="19.5" customHeight="1" x14ac:dyDescent="0.25">
      <c r="A855" s="7"/>
      <c r="B855" s="7"/>
      <c r="C855" s="13"/>
      <c r="D855" s="13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</row>
    <row r="856" spans="1:18" ht="19.5" customHeight="1" x14ac:dyDescent="0.25">
      <c r="A856" s="7"/>
      <c r="B856" s="7"/>
      <c r="C856" s="13"/>
      <c r="D856" s="13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</row>
    <row r="857" spans="1:18" ht="19.5" customHeight="1" x14ac:dyDescent="0.25">
      <c r="A857" s="7"/>
      <c r="B857" s="7"/>
      <c r="C857" s="13"/>
      <c r="D857" s="13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</row>
    <row r="858" spans="1:18" ht="19.5" customHeight="1" x14ac:dyDescent="0.25">
      <c r="A858" s="7"/>
      <c r="B858" s="7"/>
      <c r="C858" s="13"/>
      <c r="D858" s="13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</row>
    <row r="859" spans="1:18" ht="19.5" customHeight="1" x14ac:dyDescent="0.25">
      <c r="A859" s="7"/>
      <c r="B859" s="7"/>
      <c r="C859" s="13"/>
      <c r="D859" s="13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</row>
    <row r="860" spans="1:18" ht="19.5" customHeight="1" x14ac:dyDescent="0.25">
      <c r="A860" s="7"/>
      <c r="B860" s="7"/>
      <c r="C860" s="13"/>
      <c r="D860" s="13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</row>
    <row r="861" spans="1:18" ht="19.5" customHeight="1" x14ac:dyDescent="0.25">
      <c r="A861" s="7"/>
      <c r="B861" s="7"/>
      <c r="C861" s="13"/>
      <c r="D861" s="13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</row>
    <row r="862" spans="1:18" ht="19.5" customHeight="1" x14ac:dyDescent="0.25">
      <c r="A862" s="7"/>
      <c r="B862" s="7"/>
      <c r="C862" s="13"/>
      <c r="D862" s="13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</row>
    <row r="863" spans="1:18" ht="19.5" customHeight="1" x14ac:dyDescent="0.25">
      <c r="A863" s="7"/>
      <c r="B863" s="7"/>
      <c r="C863" s="13"/>
      <c r="D863" s="13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</row>
    <row r="864" spans="1:18" ht="19.5" customHeight="1" x14ac:dyDescent="0.25">
      <c r="A864" s="7"/>
      <c r="B864" s="7"/>
      <c r="C864" s="13"/>
      <c r="D864" s="13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</row>
    <row r="865" spans="1:18" ht="19.5" customHeight="1" x14ac:dyDescent="0.25">
      <c r="A865" s="7"/>
      <c r="B865" s="7"/>
      <c r="C865" s="13"/>
      <c r="D865" s="13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</row>
    <row r="866" spans="1:18" ht="19.5" customHeight="1" x14ac:dyDescent="0.25">
      <c r="A866" s="7"/>
      <c r="B866" s="7"/>
      <c r="C866" s="13"/>
      <c r="D866" s="13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</row>
    <row r="867" spans="1:18" ht="19.5" customHeight="1" x14ac:dyDescent="0.25">
      <c r="A867" s="7"/>
      <c r="B867" s="7"/>
      <c r="C867" s="13"/>
      <c r="D867" s="13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</row>
    <row r="868" spans="1:18" ht="19.5" customHeight="1" x14ac:dyDescent="0.25">
      <c r="A868" s="7"/>
      <c r="B868" s="7"/>
      <c r="C868" s="13"/>
      <c r="D868" s="13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</row>
    <row r="869" spans="1:18" ht="19.5" customHeight="1" x14ac:dyDescent="0.25">
      <c r="A869" s="7"/>
      <c r="B869" s="7"/>
      <c r="C869" s="13"/>
      <c r="D869" s="13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</row>
    <row r="870" spans="1:18" ht="19.5" customHeight="1" x14ac:dyDescent="0.25">
      <c r="A870" s="7"/>
      <c r="B870" s="7"/>
      <c r="C870" s="13"/>
      <c r="D870" s="13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</row>
    <row r="871" spans="1:18" ht="19.5" customHeight="1" x14ac:dyDescent="0.25">
      <c r="A871" s="7"/>
      <c r="B871" s="7"/>
      <c r="C871" s="13"/>
      <c r="D871" s="13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</row>
    <row r="872" spans="1:18" ht="19.5" customHeight="1" x14ac:dyDescent="0.25">
      <c r="A872" s="7"/>
      <c r="B872" s="7"/>
      <c r="C872" s="13"/>
      <c r="D872" s="13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</row>
    <row r="873" spans="1:18" ht="19.5" customHeight="1" x14ac:dyDescent="0.25">
      <c r="A873" s="7"/>
      <c r="B873" s="7"/>
      <c r="C873" s="13"/>
      <c r="D873" s="13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</row>
    <row r="874" spans="1:18" ht="19.5" customHeight="1" x14ac:dyDescent="0.25">
      <c r="A874" s="7"/>
      <c r="B874" s="7"/>
      <c r="C874" s="13"/>
      <c r="D874" s="13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</row>
    <row r="875" spans="1:18" ht="19.5" customHeight="1" x14ac:dyDescent="0.25">
      <c r="A875" s="7"/>
      <c r="B875" s="7"/>
      <c r="C875" s="13"/>
      <c r="D875" s="13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</row>
    <row r="876" spans="1:18" ht="19.5" customHeight="1" x14ac:dyDescent="0.25">
      <c r="A876" s="7"/>
      <c r="B876" s="7"/>
      <c r="C876" s="13"/>
      <c r="D876" s="13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</row>
    <row r="877" spans="1:18" ht="19.5" customHeight="1" x14ac:dyDescent="0.25">
      <c r="A877" s="7"/>
      <c r="B877" s="7"/>
      <c r="C877" s="13"/>
      <c r="D877" s="13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</row>
    <row r="878" spans="1:18" ht="19.5" customHeight="1" x14ac:dyDescent="0.25">
      <c r="A878" s="7"/>
      <c r="B878" s="7"/>
      <c r="C878" s="13"/>
      <c r="D878" s="13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</row>
    <row r="879" spans="1:18" ht="19.5" customHeight="1" x14ac:dyDescent="0.25">
      <c r="A879" s="7"/>
      <c r="B879" s="7"/>
      <c r="C879" s="13"/>
      <c r="D879" s="13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</row>
    <row r="880" spans="1:18" ht="19.5" customHeight="1" x14ac:dyDescent="0.25">
      <c r="A880" s="7"/>
      <c r="B880" s="7"/>
      <c r="C880" s="13"/>
      <c r="D880" s="13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</row>
    <row r="881" spans="1:18" ht="19.5" customHeight="1" x14ac:dyDescent="0.25">
      <c r="A881" s="7"/>
      <c r="B881" s="7"/>
      <c r="C881" s="13"/>
      <c r="D881" s="13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</row>
    <row r="882" spans="1:18" ht="19.5" customHeight="1" x14ac:dyDescent="0.25">
      <c r="A882" s="7"/>
      <c r="B882" s="7"/>
      <c r="C882" s="13"/>
      <c r="D882" s="13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</row>
    <row r="883" spans="1:18" ht="19.5" customHeight="1" x14ac:dyDescent="0.25">
      <c r="A883" s="7"/>
      <c r="B883" s="7"/>
      <c r="C883" s="13"/>
      <c r="D883" s="13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</row>
    <row r="884" spans="1:18" ht="19.5" customHeight="1" x14ac:dyDescent="0.25">
      <c r="A884" s="7"/>
      <c r="B884" s="7"/>
      <c r="C884" s="13"/>
      <c r="D884" s="13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</row>
    <row r="885" spans="1:18" ht="19.5" customHeight="1" x14ac:dyDescent="0.25">
      <c r="A885" s="7"/>
      <c r="B885" s="7"/>
      <c r="C885" s="13"/>
      <c r="D885" s="13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</row>
    <row r="886" spans="1:18" ht="19.5" customHeight="1" x14ac:dyDescent="0.25">
      <c r="A886" s="7"/>
      <c r="B886" s="7"/>
      <c r="C886" s="13"/>
      <c r="D886" s="13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</row>
    <row r="887" spans="1:18" ht="19.5" customHeight="1" x14ac:dyDescent="0.25">
      <c r="A887" s="7"/>
      <c r="B887" s="7"/>
      <c r="C887" s="13"/>
      <c r="D887" s="13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</row>
    <row r="888" spans="1:18" ht="19.5" customHeight="1" x14ac:dyDescent="0.25">
      <c r="A888" s="7"/>
      <c r="B888" s="7"/>
      <c r="C888" s="13"/>
      <c r="D888" s="13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</row>
    <row r="889" spans="1:18" ht="19.5" customHeight="1" x14ac:dyDescent="0.25">
      <c r="A889" s="7"/>
      <c r="B889" s="7"/>
      <c r="C889" s="13"/>
      <c r="D889" s="13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</row>
    <row r="890" spans="1:18" ht="19.5" customHeight="1" x14ac:dyDescent="0.25">
      <c r="A890" s="7"/>
      <c r="B890" s="7"/>
      <c r="C890" s="13"/>
      <c r="D890" s="13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</row>
    <row r="891" spans="1:18" ht="19.5" customHeight="1" x14ac:dyDescent="0.25">
      <c r="A891" s="7"/>
      <c r="B891" s="7"/>
      <c r="C891" s="13"/>
      <c r="D891" s="13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</row>
    <row r="892" spans="1:18" ht="19.5" customHeight="1" x14ac:dyDescent="0.25">
      <c r="A892" s="7"/>
      <c r="B892" s="7"/>
      <c r="C892" s="13"/>
      <c r="D892" s="13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</row>
    <row r="893" spans="1:18" ht="19.5" customHeight="1" x14ac:dyDescent="0.25">
      <c r="A893" s="7"/>
      <c r="B893" s="7"/>
      <c r="C893" s="13"/>
      <c r="D893" s="13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</row>
    <row r="894" spans="1:18" ht="19.5" customHeight="1" x14ac:dyDescent="0.25">
      <c r="A894" s="7"/>
      <c r="B894" s="7"/>
      <c r="C894" s="13"/>
      <c r="D894" s="13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</row>
    <row r="895" spans="1:18" ht="19.5" customHeight="1" x14ac:dyDescent="0.25">
      <c r="A895" s="7"/>
      <c r="B895" s="7"/>
      <c r="C895" s="13"/>
      <c r="D895" s="13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</row>
    <row r="896" spans="1:18" ht="19.5" customHeight="1" x14ac:dyDescent="0.25">
      <c r="A896" s="7"/>
      <c r="B896" s="7"/>
      <c r="C896" s="13"/>
      <c r="D896" s="13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</row>
    <row r="897" spans="1:18" ht="19.5" customHeight="1" x14ac:dyDescent="0.25">
      <c r="A897" s="7"/>
      <c r="B897" s="7"/>
      <c r="C897" s="13"/>
      <c r="D897" s="13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</row>
    <row r="898" spans="1:18" ht="19.5" customHeight="1" x14ac:dyDescent="0.25">
      <c r="A898" s="7"/>
      <c r="B898" s="7"/>
      <c r="C898" s="13"/>
      <c r="D898" s="13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</row>
    <row r="899" spans="1:18" ht="19.5" customHeight="1" x14ac:dyDescent="0.25">
      <c r="A899" s="7"/>
      <c r="B899" s="7"/>
      <c r="C899" s="13"/>
      <c r="D899" s="13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</row>
    <row r="900" spans="1:18" ht="19.5" customHeight="1" x14ac:dyDescent="0.25">
      <c r="A900" s="7"/>
      <c r="B900" s="7"/>
      <c r="C900" s="13"/>
      <c r="D900" s="13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</row>
    <row r="901" spans="1:18" ht="19.5" customHeight="1" x14ac:dyDescent="0.25">
      <c r="A901" s="7"/>
      <c r="B901" s="7"/>
      <c r="C901" s="13"/>
      <c r="D901" s="13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</row>
    <row r="902" spans="1:18" ht="19.5" customHeight="1" x14ac:dyDescent="0.25">
      <c r="A902" s="7"/>
      <c r="B902" s="7"/>
      <c r="C902" s="13"/>
      <c r="D902" s="13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</row>
    <row r="903" spans="1:18" ht="19.5" customHeight="1" x14ac:dyDescent="0.25">
      <c r="A903" s="7"/>
      <c r="B903" s="7"/>
      <c r="C903" s="13"/>
      <c r="D903" s="13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</row>
    <row r="904" spans="1:18" ht="19.5" customHeight="1" x14ac:dyDescent="0.25">
      <c r="A904" s="7"/>
      <c r="B904" s="7"/>
      <c r="C904" s="13"/>
      <c r="D904" s="13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</row>
    <row r="905" spans="1:18" ht="19.5" customHeight="1" x14ac:dyDescent="0.25">
      <c r="A905" s="7"/>
      <c r="B905" s="7"/>
      <c r="C905" s="13"/>
      <c r="D905" s="13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</row>
    <row r="906" spans="1:18" ht="19.5" customHeight="1" x14ac:dyDescent="0.25">
      <c r="A906" s="7"/>
      <c r="B906" s="7"/>
      <c r="C906" s="13"/>
      <c r="D906" s="13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</row>
    <row r="907" spans="1:18" ht="19.5" customHeight="1" x14ac:dyDescent="0.25">
      <c r="A907" s="7"/>
      <c r="B907" s="7"/>
      <c r="C907" s="13"/>
      <c r="D907" s="13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</row>
    <row r="908" spans="1:18" ht="19.5" customHeight="1" x14ac:dyDescent="0.25">
      <c r="A908" s="7"/>
      <c r="B908" s="7"/>
      <c r="C908" s="13"/>
      <c r="D908" s="13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</row>
    <row r="909" spans="1:18" ht="19.5" customHeight="1" x14ac:dyDescent="0.25">
      <c r="A909" s="7"/>
      <c r="B909" s="7"/>
      <c r="C909" s="13"/>
      <c r="D909" s="13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</row>
    <row r="910" spans="1:18" ht="19.5" customHeight="1" x14ac:dyDescent="0.25">
      <c r="A910" s="7"/>
      <c r="B910" s="7"/>
      <c r="C910" s="13"/>
      <c r="D910" s="13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</row>
    <row r="911" spans="1:18" ht="19.5" customHeight="1" x14ac:dyDescent="0.25">
      <c r="A911" s="7"/>
      <c r="B911" s="7"/>
      <c r="C911" s="13"/>
      <c r="D911" s="13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</row>
    <row r="912" spans="1:18" ht="19.5" customHeight="1" x14ac:dyDescent="0.25">
      <c r="A912" s="7"/>
      <c r="B912" s="7"/>
      <c r="C912" s="13"/>
      <c r="D912" s="13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</row>
    <row r="913" spans="1:18" ht="19.5" customHeight="1" x14ac:dyDescent="0.25">
      <c r="A913" s="7"/>
      <c r="B913" s="7"/>
      <c r="C913" s="13"/>
      <c r="D913" s="13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</row>
    <row r="914" spans="1:18" ht="19.5" customHeight="1" x14ac:dyDescent="0.25">
      <c r="A914" s="7"/>
      <c r="B914" s="7"/>
      <c r="C914" s="13"/>
      <c r="D914" s="13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</row>
    <row r="915" spans="1:18" ht="19.5" customHeight="1" x14ac:dyDescent="0.25">
      <c r="A915" s="7"/>
      <c r="B915" s="7"/>
      <c r="C915" s="13"/>
      <c r="D915" s="13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</row>
    <row r="916" spans="1:18" ht="19.5" customHeight="1" x14ac:dyDescent="0.25">
      <c r="A916" s="7"/>
      <c r="B916" s="7"/>
      <c r="C916" s="13"/>
      <c r="D916" s="13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</row>
    <row r="917" spans="1:18" ht="19.5" customHeight="1" x14ac:dyDescent="0.25">
      <c r="A917" s="7"/>
      <c r="B917" s="7"/>
      <c r="C917" s="13"/>
      <c r="D917" s="13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</row>
    <row r="918" spans="1:18" ht="19.5" customHeight="1" x14ac:dyDescent="0.25">
      <c r="A918" s="7"/>
      <c r="B918" s="7"/>
      <c r="C918" s="13"/>
      <c r="D918" s="13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</row>
    <row r="919" spans="1:18" ht="19.5" customHeight="1" x14ac:dyDescent="0.25">
      <c r="A919" s="7"/>
      <c r="B919" s="7"/>
      <c r="C919" s="13"/>
      <c r="D919" s="13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</row>
    <row r="920" spans="1:18" ht="19.5" customHeight="1" x14ac:dyDescent="0.25">
      <c r="A920" s="7"/>
      <c r="B920" s="7"/>
      <c r="C920" s="13"/>
      <c r="D920" s="13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</row>
    <row r="921" spans="1:18" ht="19.5" customHeight="1" x14ac:dyDescent="0.25">
      <c r="A921" s="7"/>
      <c r="B921" s="7"/>
      <c r="C921" s="13"/>
      <c r="D921" s="13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</row>
    <row r="922" spans="1:18" ht="19.5" customHeight="1" x14ac:dyDescent="0.25">
      <c r="A922" s="7"/>
      <c r="B922" s="7"/>
      <c r="C922" s="13"/>
      <c r="D922" s="13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</row>
    <row r="923" spans="1:18" ht="19.5" customHeight="1" x14ac:dyDescent="0.25">
      <c r="A923" s="7"/>
      <c r="B923" s="7"/>
      <c r="C923" s="13"/>
      <c r="D923" s="13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</row>
    <row r="924" spans="1:18" ht="19.5" customHeight="1" x14ac:dyDescent="0.25">
      <c r="A924" s="7"/>
      <c r="B924" s="7"/>
      <c r="C924" s="13"/>
      <c r="D924" s="13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</row>
    <row r="925" spans="1:18" ht="19.5" customHeight="1" x14ac:dyDescent="0.25">
      <c r="A925" s="7"/>
      <c r="B925" s="7"/>
      <c r="C925" s="13"/>
      <c r="D925" s="13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</row>
    <row r="926" spans="1:18" ht="19.5" customHeight="1" x14ac:dyDescent="0.25">
      <c r="A926" s="7"/>
      <c r="B926" s="7"/>
      <c r="C926" s="13"/>
      <c r="D926" s="13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</row>
    <row r="927" spans="1:18" ht="19.5" customHeight="1" x14ac:dyDescent="0.25">
      <c r="A927" s="7"/>
      <c r="B927" s="7"/>
      <c r="C927" s="13"/>
      <c r="D927" s="13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</row>
    <row r="928" spans="1:18" ht="19.5" customHeight="1" x14ac:dyDescent="0.25">
      <c r="A928" s="7"/>
      <c r="B928" s="7"/>
      <c r="C928" s="13"/>
      <c r="D928" s="13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</row>
    <row r="929" spans="1:18" ht="19.5" customHeight="1" x14ac:dyDescent="0.25">
      <c r="A929" s="7"/>
      <c r="B929" s="7"/>
      <c r="C929" s="13"/>
      <c r="D929" s="13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</row>
    <row r="930" spans="1:18" ht="19.5" customHeight="1" x14ac:dyDescent="0.25">
      <c r="A930" s="7"/>
      <c r="B930" s="7"/>
      <c r="C930" s="13"/>
      <c r="D930" s="13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</row>
    <row r="931" spans="1:18" ht="19.5" customHeight="1" x14ac:dyDescent="0.25">
      <c r="A931" s="7"/>
      <c r="B931" s="7"/>
      <c r="C931" s="13"/>
      <c r="D931" s="13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</row>
    <row r="932" spans="1:18" ht="19.5" customHeight="1" x14ac:dyDescent="0.25">
      <c r="A932" s="7"/>
      <c r="B932" s="7"/>
      <c r="C932" s="13"/>
      <c r="D932" s="13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</row>
    <row r="933" spans="1:18" ht="19.5" customHeight="1" x14ac:dyDescent="0.25">
      <c r="A933" s="7"/>
      <c r="B933" s="7"/>
      <c r="C933" s="13"/>
      <c r="D933" s="13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</row>
    <row r="934" spans="1:18" ht="19.5" customHeight="1" x14ac:dyDescent="0.25">
      <c r="A934" s="7"/>
      <c r="B934" s="7"/>
      <c r="C934" s="13"/>
      <c r="D934" s="13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</row>
    <row r="935" spans="1:18" ht="19.5" customHeight="1" x14ac:dyDescent="0.25">
      <c r="A935" s="7"/>
      <c r="B935" s="7"/>
      <c r="C935" s="13"/>
      <c r="D935" s="13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</row>
    <row r="936" spans="1:18" ht="19.5" customHeight="1" x14ac:dyDescent="0.25">
      <c r="A936" s="7"/>
      <c r="B936" s="7"/>
      <c r="C936" s="13"/>
      <c r="D936" s="13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</row>
    <row r="937" spans="1:18" ht="19.5" customHeight="1" x14ac:dyDescent="0.25">
      <c r="A937" s="7"/>
      <c r="B937" s="7"/>
      <c r="C937" s="13"/>
      <c r="D937" s="13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</row>
    <row r="938" spans="1:18" ht="19.5" customHeight="1" x14ac:dyDescent="0.25">
      <c r="A938" s="7"/>
      <c r="B938" s="7"/>
      <c r="C938" s="13"/>
      <c r="D938" s="13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</row>
    <row r="939" spans="1:18" ht="19.5" customHeight="1" x14ac:dyDescent="0.25">
      <c r="A939" s="7"/>
      <c r="B939" s="7"/>
      <c r="C939" s="13"/>
      <c r="D939" s="13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</row>
    <row r="940" spans="1:18" ht="19.5" customHeight="1" x14ac:dyDescent="0.25">
      <c r="A940" s="7"/>
      <c r="B940" s="7"/>
      <c r="C940" s="13"/>
      <c r="D940" s="13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</row>
    <row r="941" spans="1:18" ht="19.5" customHeight="1" x14ac:dyDescent="0.25">
      <c r="A941" s="7"/>
      <c r="B941" s="7"/>
      <c r="C941" s="13"/>
      <c r="D941" s="13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</row>
    <row r="942" spans="1:18" ht="19.5" customHeight="1" x14ac:dyDescent="0.25">
      <c r="A942" s="7"/>
      <c r="B942" s="7"/>
      <c r="C942" s="13"/>
      <c r="D942" s="13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</row>
    <row r="943" spans="1:18" ht="19.5" customHeight="1" x14ac:dyDescent="0.25">
      <c r="A943" s="7"/>
      <c r="B943" s="7"/>
      <c r="C943" s="13"/>
      <c r="D943" s="13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</row>
    <row r="944" spans="1:18" ht="19.5" customHeight="1" x14ac:dyDescent="0.25">
      <c r="A944" s="7"/>
      <c r="B944" s="7"/>
      <c r="C944" s="13"/>
      <c r="D944" s="13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</row>
    <row r="945" spans="1:18" ht="19.5" customHeight="1" x14ac:dyDescent="0.25">
      <c r="A945" s="7"/>
      <c r="B945" s="7"/>
      <c r="C945" s="13"/>
      <c r="D945" s="13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</row>
    <row r="946" spans="1:18" ht="19.5" customHeight="1" x14ac:dyDescent="0.25">
      <c r="A946" s="7"/>
      <c r="B946" s="7"/>
      <c r="C946" s="13"/>
      <c r="D946" s="13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</row>
    <row r="947" spans="1:18" ht="19.5" customHeight="1" x14ac:dyDescent="0.25">
      <c r="A947" s="7"/>
      <c r="B947" s="7"/>
      <c r="C947" s="13"/>
      <c r="D947" s="13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</row>
    <row r="948" spans="1:18" ht="19.5" customHeight="1" x14ac:dyDescent="0.25">
      <c r="A948" s="7"/>
      <c r="B948" s="7"/>
      <c r="C948" s="13"/>
      <c r="D948" s="13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</row>
    <row r="949" spans="1:18" ht="19.5" customHeight="1" x14ac:dyDescent="0.25">
      <c r="A949" s="7"/>
      <c r="B949" s="7"/>
      <c r="C949" s="13"/>
      <c r="D949" s="13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</row>
    <row r="950" spans="1:18" ht="19.5" customHeight="1" x14ac:dyDescent="0.25">
      <c r="A950" s="7"/>
      <c r="B950" s="7"/>
      <c r="C950" s="13"/>
      <c r="D950" s="13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</row>
    <row r="951" spans="1:18" ht="19.5" customHeight="1" x14ac:dyDescent="0.25">
      <c r="A951" s="7"/>
      <c r="B951" s="7"/>
      <c r="C951" s="13"/>
      <c r="D951" s="13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</row>
    <row r="952" spans="1:18" ht="19.5" customHeight="1" x14ac:dyDescent="0.25">
      <c r="A952" s="7"/>
      <c r="B952" s="7"/>
      <c r="C952" s="13"/>
      <c r="D952" s="13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</row>
    <row r="953" spans="1:18" ht="19.5" customHeight="1" x14ac:dyDescent="0.25">
      <c r="A953" s="7"/>
      <c r="B953" s="7"/>
      <c r="C953" s="13"/>
      <c r="D953" s="13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</row>
    <row r="954" spans="1:18" ht="19.5" customHeight="1" x14ac:dyDescent="0.25">
      <c r="A954" s="7"/>
      <c r="B954" s="7"/>
      <c r="C954" s="13"/>
      <c r="D954" s="13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</row>
    <row r="955" spans="1:18" ht="19.5" customHeight="1" x14ac:dyDescent="0.25">
      <c r="A955" s="7"/>
      <c r="B955" s="7"/>
      <c r="C955" s="13"/>
      <c r="D955" s="13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</row>
    <row r="956" spans="1:18" ht="19.5" customHeight="1" x14ac:dyDescent="0.25">
      <c r="A956" s="7"/>
      <c r="B956" s="7"/>
      <c r="C956" s="13"/>
      <c r="D956" s="13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</row>
    <row r="957" spans="1:18" ht="19.5" customHeight="1" x14ac:dyDescent="0.25">
      <c r="A957" s="7"/>
      <c r="B957" s="7"/>
      <c r="C957" s="13"/>
      <c r="D957" s="13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</row>
    <row r="958" spans="1:18" ht="19.5" customHeight="1" x14ac:dyDescent="0.25">
      <c r="A958" s="7"/>
      <c r="B958" s="7"/>
      <c r="C958" s="13"/>
      <c r="D958" s="13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</row>
    <row r="959" spans="1:18" ht="19.5" customHeight="1" x14ac:dyDescent="0.25">
      <c r="A959" s="7"/>
      <c r="B959" s="7"/>
      <c r="C959" s="13"/>
      <c r="D959" s="13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</row>
    <row r="960" spans="1:18" ht="19.5" customHeight="1" x14ac:dyDescent="0.25">
      <c r="A960" s="7"/>
      <c r="B960" s="7"/>
      <c r="C960" s="13"/>
      <c r="D960" s="13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</row>
    <row r="961" spans="1:18" ht="19.5" customHeight="1" x14ac:dyDescent="0.25">
      <c r="A961" s="7"/>
      <c r="B961" s="7"/>
      <c r="C961" s="13"/>
      <c r="D961" s="13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</row>
    <row r="962" spans="1:18" ht="19.5" customHeight="1" x14ac:dyDescent="0.25">
      <c r="A962" s="7"/>
      <c r="B962" s="7"/>
      <c r="C962" s="13"/>
      <c r="D962" s="13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</row>
    <row r="963" spans="1:18" ht="19.5" customHeight="1" x14ac:dyDescent="0.25">
      <c r="A963" s="7"/>
      <c r="B963" s="7"/>
      <c r="C963" s="13"/>
      <c r="D963" s="13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</row>
    <row r="964" spans="1:18" ht="19.5" customHeight="1" x14ac:dyDescent="0.25">
      <c r="A964" s="7"/>
      <c r="B964" s="7"/>
      <c r="C964" s="13"/>
      <c r="D964" s="13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</row>
    <row r="965" spans="1:18" ht="19.5" customHeight="1" x14ac:dyDescent="0.25">
      <c r="A965" s="7"/>
      <c r="B965" s="7"/>
      <c r="C965" s="13"/>
      <c r="D965" s="13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</row>
    <row r="966" spans="1:18" ht="19.5" customHeight="1" x14ac:dyDescent="0.25">
      <c r="A966" s="7"/>
      <c r="B966" s="7"/>
      <c r="C966" s="13"/>
      <c r="D966" s="13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</row>
    <row r="967" spans="1:18" ht="19.5" customHeight="1" x14ac:dyDescent="0.25">
      <c r="A967" s="7"/>
      <c r="B967" s="7"/>
      <c r="C967" s="13"/>
      <c r="D967" s="13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</row>
    <row r="968" spans="1:18" ht="19.5" customHeight="1" x14ac:dyDescent="0.25">
      <c r="A968" s="7"/>
      <c r="B968" s="7"/>
      <c r="C968" s="13"/>
      <c r="D968" s="13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</row>
    <row r="969" spans="1:18" ht="19.5" customHeight="1" x14ac:dyDescent="0.25">
      <c r="A969" s="7"/>
      <c r="B969" s="7"/>
      <c r="C969" s="13"/>
      <c r="D969" s="13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</row>
    <row r="970" spans="1:18" ht="19.5" customHeight="1" x14ac:dyDescent="0.25">
      <c r="A970" s="7"/>
      <c r="B970" s="7"/>
      <c r="C970" s="13"/>
      <c r="D970" s="13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</row>
    <row r="971" spans="1:18" ht="19.5" customHeight="1" x14ac:dyDescent="0.25">
      <c r="A971" s="7"/>
      <c r="B971" s="7"/>
      <c r="C971" s="13"/>
      <c r="D971" s="13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</row>
    <row r="972" spans="1:18" ht="19.5" customHeight="1" x14ac:dyDescent="0.25">
      <c r="A972" s="7"/>
      <c r="B972" s="7"/>
      <c r="C972" s="13"/>
      <c r="D972" s="13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</row>
    <row r="973" spans="1:18" ht="19.5" customHeight="1" x14ac:dyDescent="0.25">
      <c r="A973" s="7"/>
      <c r="B973" s="7"/>
      <c r="C973" s="13"/>
      <c r="D973" s="13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</row>
    <row r="974" spans="1:18" ht="19.5" customHeight="1" x14ac:dyDescent="0.25">
      <c r="A974" s="7"/>
      <c r="B974" s="7"/>
      <c r="C974" s="13"/>
      <c r="D974" s="13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</row>
    <row r="975" spans="1:18" ht="19.5" customHeight="1" x14ac:dyDescent="0.25">
      <c r="A975" s="7"/>
      <c r="B975" s="7"/>
      <c r="C975" s="13"/>
      <c r="D975" s="13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</row>
    <row r="976" spans="1:18" ht="19.5" customHeight="1" x14ac:dyDescent="0.25">
      <c r="A976" s="7"/>
      <c r="B976" s="7"/>
      <c r="C976" s="13"/>
      <c r="D976" s="13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</row>
    <row r="977" spans="1:18" ht="19.5" customHeight="1" x14ac:dyDescent="0.25">
      <c r="A977" s="7"/>
      <c r="B977" s="7"/>
      <c r="C977" s="13"/>
      <c r="D977" s="13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</row>
    <row r="978" spans="1:18" ht="19.5" customHeight="1" x14ac:dyDescent="0.25">
      <c r="A978" s="7"/>
      <c r="B978" s="7"/>
      <c r="C978" s="13"/>
      <c r="D978" s="13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</row>
    <row r="979" spans="1:18" ht="19.5" customHeight="1" x14ac:dyDescent="0.25">
      <c r="A979" s="7"/>
      <c r="B979" s="7"/>
      <c r="C979" s="13"/>
      <c r="D979" s="13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</row>
    <row r="980" spans="1:18" ht="19.5" customHeight="1" x14ac:dyDescent="0.25">
      <c r="A980" s="7"/>
      <c r="B980" s="7"/>
      <c r="C980" s="13"/>
      <c r="D980" s="13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</row>
    <row r="981" spans="1:18" ht="19.5" customHeight="1" x14ac:dyDescent="0.25">
      <c r="A981" s="7"/>
      <c r="B981" s="7"/>
      <c r="C981" s="13"/>
      <c r="D981" s="13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</row>
    <row r="982" spans="1:18" ht="19.5" customHeight="1" x14ac:dyDescent="0.25">
      <c r="A982" s="7"/>
      <c r="B982" s="7"/>
      <c r="C982" s="13"/>
      <c r="D982" s="13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</row>
    <row r="983" spans="1:18" ht="19.5" customHeight="1" x14ac:dyDescent="0.25">
      <c r="A983" s="7"/>
      <c r="B983" s="7"/>
      <c r="C983" s="13"/>
      <c r="D983" s="13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</row>
    <row r="984" spans="1:18" ht="19.5" customHeight="1" x14ac:dyDescent="0.25">
      <c r="A984" s="7"/>
      <c r="B984" s="7"/>
      <c r="C984" s="13"/>
      <c r="D984" s="13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</row>
    <row r="985" spans="1:18" ht="19.5" customHeight="1" x14ac:dyDescent="0.25">
      <c r="A985" s="7"/>
      <c r="B985" s="7"/>
      <c r="C985" s="13"/>
      <c r="D985" s="13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</row>
    <row r="986" spans="1:18" ht="19.5" customHeight="1" x14ac:dyDescent="0.25">
      <c r="A986" s="7"/>
      <c r="B986" s="7"/>
      <c r="C986" s="13"/>
      <c r="D986" s="13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</row>
    <row r="987" spans="1:18" ht="19.5" customHeight="1" x14ac:dyDescent="0.25">
      <c r="A987" s="7"/>
      <c r="B987" s="7"/>
      <c r="C987" s="13"/>
      <c r="D987" s="13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</row>
    <row r="988" spans="1:18" ht="19.5" customHeight="1" x14ac:dyDescent="0.25">
      <c r="A988" s="7"/>
      <c r="B988" s="7"/>
      <c r="C988" s="13"/>
      <c r="D988" s="13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</row>
    <row r="989" spans="1:18" ht="19.5" customHeight="1" x14ac:dyDescent="0.25">
      <c r="A989" s="7"/>
      <c r="B989" s="7"/>
      <c r="C989" s="13"/>
      <c r="D989" s="13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</row>
    <row r="990" spans="1:18" ht="19.5" customHeight="1" x14ac:dyDescent="0.25">
      <c r="A990" s="7"/>
      <c r="B990" s="7"/>
      <c r="C990" s="13"/>
      <c r="D990" s="13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</row>
    <row r="991" spans="1:18" ht="19.5" customHeight="1" x14ac:dyDescent="0.25">
      <c r="A991" s="7"/>
      <c r="B991" s="7"/>
      <c r="C991" s="13"/>
      <c r="D991" s="13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</row>
    <row r="992" spans="1:18" ht="15" customHeight="1" x14ac:dyDescent="0.25">
      <c r="A992" s="7"/>
      <c r="B992" s="7"/>
      <c r="C992" s="13"/>
      <c r="D992" s="13"/>
      <c r="F992" s="7"/>
      <c r="G992" s="7"/>
      <c r="H992" s="7"/>
    </row>
    <row r="993" spans="1:7" ht="15" customHeight="1" x14ac:dyDescent="0.25">
      <c r="A993" s="7"/>
      <c r="B993" s="7"/>
      <c r="C993" s="13"/>
      <c r="D993" s="13"/>
      <c r="F993" s="7"/>
      <c r="G993" s="7"/>
    </row>
  </sheetData>
  <phoneticPr fontId="28" type="noConversion"/>
  <pageMargins left="0.511811024" right="0.511811024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Relatório</vt:lpstr>
      <vt:lpstr>ORÇAMENTO_EXECUTIVO</vt:lpstr>
      <vt:lpstr>ANÁLISE_CUSTOS</vt:lpstr>
      <vt:lpstr>CÁLCULO_MÉDIAS</vt:lpstr>
      <vt:lpstr>AREAS_PRIVATIVAS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Patricia Bragatto</cp:lastModifiedBy>
  <dcterms:created xsi:type="dcterms:W3CDTF">2021-06-30T18:49:34Z</dcterms:created>
  <dcterms:modified xsi:type="dcterms:W3CDTF">2024-12-16T16:25:35Z</dcterms:modified>
</cp:coreProperties>
</file>