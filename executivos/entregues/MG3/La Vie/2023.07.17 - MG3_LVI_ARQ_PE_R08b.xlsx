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/>
  <mc:AlternateContent xmlns:mc="http://schemas.openxmlformats.org/markup-compatibility/2006">
    <mc:Choice Requires="x15">
      <x15ac:absPath xmlns:x15ac="http://schemas.microsoft.com/office/spreadsheetml/2010/11/ac" url="G:\Drives compartilhados\03 CTN Projetos\2. Projetos em Andamento\MG3 05.2022\03. Custo\03.5 Custo - Determinação do orçamento\03 - Revisão R03\"/>
    </mc:Choice>
  </mc:AlternateContent>
  <xr:revisionPtr revIDLastSave="0" documentId="13_ncr:1_{2BBC7F72-D45E-4B05-83AC-C913C603C9E7}" xr6:coauthVersionLast="47" xr6:coauthVersionMax="47" xr10:uidLastSave="{00000000-0000-0000-0000-000000000000}"/>
  <bookViews>
    <workbookView xWindow="-20520" yWindow="-120" windowWidth="20640" windowHeight="11040" activeTab="2" xr2:uid="{00000000-000D-0000-FFFF-FFFF00000000}"/>
  </bookViews>
  <sheets>
    <sheet name="B02. TABELA DE ALVENARIAS" sheetId="1" r:id="rId1"/>
    <sheet name="B03. TABELA DE ALVENARIAS GERAL" sheetId="2" r:id="rId2"/>
    <sheet name="B04. TABELA REVEST PAREDES" sheetId="3" r:id="rId3"/>
    <sheet name="B05. TABELA REVEST FACHADAS" sheetId="4" r:id="rId4"/>
    <sheet name="B06. TABELA REVEST PISO" sheetId="5" r:id="rId5"/>
    <sheet name="B07. TABELA CONTRAPISOS" sheetId="6" r:id="rId6"/>
    <sheet name="B08. TABELA DE TETOS" sheetId="7" r:id="rId7"/>
    <sheet name="B09. TABELA DE PORTAS GERAL" sheetId="8" r:id="rId8"/>
    <sheet name="B10. TABELA DE JANELAS GERAL" sheetId="9" r:id="rId9"/>
    <sheet name="B11. TABELA DE BRISES" sheetId="10" r:id="rId10"/>
    <sheet name="B12. TABELA DE PAINEL DE VIDRO" sheetId="11" r:id="rId11"/>
    <sheet name="CTN_TABELA DE RODAPÉS" sheetId="12" r:id="rId12"/>
    <sheet name="CTN_TABELA IMPERMEABILIZAÇÃO PA" sheetId="13" r:id="rId13"/>
    <sheet name="CTN_TABELA IMPERMEABILIZAÇÃO PI" sheetId="14" r:id="rId14"/>
  </sheets>
  <definedNames>
    <definedName name="_xlnm._FilterDatabase" localSheetId="0" hidden="1">'B02. TABELA DE ALVENARIAS'!$B$1:$E$158</definedName>
    <definedName name="_xlnm._FilterDatabase" localSheetId="1" hidden="1">'B03. TABELA DE ALVENARIAS GERAL'!$A$1:$C$9</definedName>
    <definedName name="_xlnm._FilterDatabase" localSheetId="2" hidden="1">'B04. TABELA REVEST PAREDES'!$A$1:$F$432</definedName>
    <definedName name="_xlnm._FilterDatabase" localSheetId="3" hidden="1">'B05. TABELA REVEST FACHADAS'!$A$1:$D$584</definedName>
    <definedName name="_xlnm._FilterDatabase" localSheetId="4" hidden="1">'B06. TABELA REVEST PISO'!$A$1:$D$194</definedName>
    <definedName name="_xlnm._FilterDatabase" localSheetId="5" hidden="1">'B07. TABELA CONTRAPISOS'!$A$1:$D$1</definedName>
    <definedName name="_xlnm._FilterDatabase" localSheetId="6" hidden="1">'B08. TABELA DE TETOS'!$B$1:$E$80</definedName>
    <definedName name="_xlnm._FilterDatabase" localSheetId="7" hidden="1">'B09. TABELA DE PORTAS GERAL'!$A$1:$E$30</definedName>
    <definedName name="_xlnm._FilterDatabase" localSheetId="8" hidden="1">'B10. TABELA DE JANELAS GERAL'!$A$1:$F$23</definedName>
    <definedName name="_xlnm._FilterDatabase" localSheetId="9" hidden="1">'B11. TABELA DE BRISES'!$A$1:$D$45</definedName>
    <definedName name="_xlnm._FilterDatabase" localSheetId="10" hidden="1">'B12. TABELA DE PAINEL DE VIDRO'!$A$1:$D$41</definedName>
    <definedName name="_xlnm._FilterDatabase" localSheetId="11" hidden="1">'CTN_TABELA DE RODAPÉS'!$A$1:$D$72</definedName>
    <definedName name="_xlnm._FilterDatabase" localSheetId="12" hidden="1">'CTN_TABELA IMPERMEABILIZAÇÃO PA'!$B$4:$B$101</definedName>
    <definedName name="_xlnm._FilterDatabase" localSheetId="13" hidden="1">'CTN_TABELA IMPERMEABILIZAÇÃO PI'!$B$4:$B$82</definedName>
    <definedName name="_xlnm.Extract" localSheetId="2">'B04. TABELA REVEST PAREDES'!#REF!</definedName>
    <definedName name="_xlnm.Extract" localSheetId="4">'B06. TABELA REVEST PISO'!$F$5</definedName>
    <definedName name="_xlnm.Extract" localSheetId="5">'B07. TABELA CONTRAPISOS'!$J$4</definedName>
    <definedName name="_xlnm.Extract" localSheetId="12">'CTN_TABELA IMPERMEABILIZAÇÃO PA'!$H$4</definedName>
    <definedName name="_xlnm.Extract" localSheetId="13">'CTN_TABELA IMPERMEABILIZAÇÃO PI'!$I$3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8" roundtripDataSignature="AMtx7mieki+fOtLNEBPNt9lUiFVQVnxNIA=="/>
    </ext>
  </extLst>
</workbook>
</file>

<file path=xl/calcChain.xml><?xml version="1.0" encoding="utf-8"?>
<calcChain xmlns="http://schemas.openxmlformats.org/spreadsheetml/2006/main">
  <c r="J13" i="3" l="1"/>
  <c r="J16" i="3"/>
  <c r="K34" i="7"/>
  <c r="J34" i="7"/>
  <c r="K33" i="7"/>
  <c r="J33" i="7"/>
  <c r="I24" i="6"/>
  <c r="I4" i="1"/>
  <c r="I109" i="1"/>
  <c r="I108" i="1"/>
  <c r="I107" i="1"/>
  <c r="I106" i="1"/>
  <c r="I105" i="1"/>
  <c r="I104" i="1"/>
  <c r="I103" i="1"/>
  <c r="I100" i="1"/>
  <c r="I99" i="1"/>
  <c r="I98" i="1"/>
  <c r="I97" i="1"/>
  <c r="I96" i="1"/>
  <c r="I95" i="1"/>
  <c r="I94" i="1"/>
  <c r="I91" i="1"/>
  <c r="I90" i="1"/>
  <c r="I89" i="1"/>
  <c r="I88" i="1"/>
  <c r="I87" i="1"/>
  <c r="I86" i="1"/>
  <c r="I85" i="1"/>
  <c r="I82" i="1"/>
  <c r="I81" i="1"/>
  <c r="I80" i="1"/>
  <c r="I79" i="1"/>
  <c r="I78" i="1"/>
  <c r="I77" i="1"/>
  <c r="I76" i="1"/>
  <c r="I73" i="1"/>
  <c r="I72" i="1"/>
  <c r="I71" i="1"/>
  <c r="I70" i="1"/>
  <c r="I69" i="1"/>
  <c r="I68" i="1"/>
  <c r="I67" i="1"/>
  <c r="I64" i="1"/>
  <c r="I63" i="1"/>
  <c r="I62" i="1"/>
  <c r="I61" i="1"/>
  <c r="I60" i="1"/>
  <c r="I59" i="1"/>
  <c r="I58" i="1"/>
  <c r="I55" i="1"/>
  <c r="I54" i="1"/>
  <c r="I53" i="1"/>
  <c r="I52" i="1"/>
  <c r="I51" i="1"/>
  <c r="I50" i="1"/>
  <c r="I49" i="1"/>
  <c r="I46" i="1"/>
  <c r="I45" i="1"/>
  <c r="I44" i="1"/>
  <c r="I43" i="1"/>
  <c r="I42" i="1"/>
  <c r="I41" i="1"/>
  <c r="I40" i="1"/>
  <c r="I37" i="1"/>
  <c r="I36" i="1"/>
  <c r="I35" i="1"/>
  <c r="I34" i="1"/>
  <c r="I33" i="1"/>
  <c r="I32" i="1"/>
  <c r="I31" i="1"/>
  <c r="I28" i="1"/>
  <c r="I27" i="1"/>
  <c r="I26" i="1"/>
  <c r="I25" i="1"/>
  <c r="I24" i="1"/>
  <c r="I23" i="1"/>
  <c r="I22" i="1"/>
  <c r="I19" i="1"/>
  <c r="I18" i="1"/>
  <c r="I17" i="1"/>
  <c r="I16" i="1"/>
  <c r="I15" i="1"/>
  <c r="I14" i="1"/>
  <c r="I13" i="1"/>
  <c r="I10" i="1"/>
  <c r="I9" i="1"/>
  <c r="I8" i="1"/>
  <c r="I7" i="1"/>
  <c r="I6" i="1"/>
  <c r="I5" i="1"/>
  <c r="F24" i="8" l="1"/>
  <c r="G24" i="8"/>
  <c r="H24" i="8"/>
  <c r="F25" i="8"/>
  <c r="G25" i="8"/>
  <c r="H25" i="8"/>
  <c r="F26" i="8"/>
  <c r="G26" i="8"/>
  <c r="H26" i="8"/>
  <c r="F27" i="8"/>
  <c r="G27" i="8"/>
  <c r="H27" i="8"/>
  <c r="F28" i="8"/>
  <c r="G28" i="8"/>
  <c r="H28" i="8"/>
  <c r="F29" i="8"/>
  <c r="G29" i="8"/>
  <c r="H29" i="8"/>
  <c r="F30" i="8"/>
  <c r="G30" i="8"/>
  <c r="H30" i="8"/>
  <c r="F3" i="8"/>
  <c r="G3" i="8"/>
  <c r="H3" i="8"/>
  <c r="F4" i="8"/>
  <c r="G4" i="8"/>
  <c r="H4" i="8"/>
  <c r="F5" i="8"/>
  <c r="G5" i="8"/>
  <c r="H5" i="8"/>
  <c r="F6" i="8"/>
  <c r="G6" i="8"/>
  <c r="H6" i="8"/>
  <c r="F7" i="8"/>
  <c r="G7" i="8"/>
  <c r="H7" i="8"/>
  <c r="F8" i="8"/>
  <c r="G8" i="8"/>
  <c r="H8" i="8"/>
  <c r="F9" i="8"/>
  <c r="G9" i="8"/>
  <c r="H9" i="8"/>
  <c r="F10" i="8"/>
  <c r="G10" i="8"/>
  <c r="H10" i="8"/>
  <c r="F11" i="8"/>
  <c r="G11" i="8"/>
  <c r="H11" i="8"/>
  <c r="F12" i="8"/>
  <c r="G12" i="8"/>
  <c r="H12" i="8"/>
  <c r="F13" i="8"/>
  <c r="G13" i="8"/>
  <c r="H13" i="8"/>
  <c r="F14" i="8"/>
  <c r="G14" i="8"/>
  <c r="H14" i="8"/>
  <c r="F15" i="8"/>
  <c r="G15" i="8"/>
  <c r="H15" i="8"/>
  <c r="F16" i="8"/>
  <c r="G16" i="8"/>
  <c r="H16" i="8"/>
  <c r="F17" i="8"/>
  <c r="G17" i="8"/>
  <c r="H17" i="8"/>
  <c r="F18" i="8"/>
  <c r="G18" i="8"/>
  <c r="H18" i="8"/>
  <c r="F19" i="8"/>
  <c r="G19" i="8"/>
  <c r="H19" i="8"/>
  <c r="F20" i="8"/>
  <c r="G20" i="8"/>
  <c r="H20" i="8"/>
  <c r="F21" i="8"/>
  <c r="G21" i="8"/>
  <c r="H21" i="8"/>
  <c r="F22" i="8"/>
  <c r="G22" i="8"/>
  <c r="H22" i="8"/>
  <c r="F23" i="8"/>
  <c r="G23" i="8"/>
  <c r="H23" i="8"/>
  <c r="G2" i="8"/>
  <c r="F2" i="8"/>
  <c r="H2" i="8"/>
  <c r="I3" i="9"/>
  <c r="I4" i="9"/>
  <c r="I5" i="9"/>
  <c r="I6" i="9"/>
  <c r="I7" i="9"/>
  <c r="I8" i="9"/>
  <c r="I9" i="9"/>
  <c r="I10" i="9"/>
  <c r="I11" i="9"/>
  <c r="I12" i="9"/>
  <c r="I13" i="9"/>
  <c r="I14" i="9"/>
  <c r="I15" i="9"/>
  <c r="I16" i="9"/>
  <c r="I17" i="9"/>
  <c r="I18" i="9"/>
  <c r="I19" i="9"/>
  <c r="I20" i="9"/>
  <c r="I21" i="9"/>
  <c r="I22" i="9"/>
  <c r="I23" i="9"/>
  <c r="I2" i="9"/>
  <c r="G3" i="9"/>
  <c r="H3" i="9"/>
  <c r="G4" i="9"/>
  <c r="H4" i="9"/>
  <c r="G5" i="9"/>
  <c r="H5" i="9"/>
  <c r="G6" i="9"/>
  <c r="H6" i="9"/>
  <c r="G7" i="9"/>
  <c r="H7" i="9"/>
  <c r="G8" i="9"/>
  <c r="H8" i="9"/>
  <c r="G9" i="9"/>
  <c r="H9" i="9"/>
  <c r="G10" i="9"/>
  <c r="H10" i="9"/>
  <c r="G11" i="9"/>
  <c r="H11" i="9"/>
  <c r="G12" i="9"/>
  <c r="H12" i="9"/>
  <c r="G13" i="9"/>
  <c r="H13" i="9"/>
  <c r="G14" i="9"/>
  <c r="H14" i="9"/>
  <c r="G15" i="9"/>
  <c r="H15" i="9"/>
  <c r="G16" i="9"/>
  <c r="H16" i="9"/>
  <c r="G17" i="9"/>
  <c r="H17" i="9"/>
  <c r="G18" i="9"/>
  <c r="H18" i="9"/>
  <c r="G19" i="9"/>
  <c r="H19" i="9"/>
  <c r="G20" i="9"/>
  <c r="H20" i="9"/>
  <c r="G21" i="9"/>
  <c r="H21" i="9"/>
  <c r="G22" i="9"/>
  <c r="H22" i="9"/>
  <c r="G23" i="9"/>
  <c r="H23" i="9"/>
  <c r="H2" i="9"/>
  <c r="G2" i="9"/>
  <c r="G5" i="12"/>
  <c r="G4" i="12"/>
  <c r="G3" i="12"/>
  <c r="H24" i="5"/>
  <c r="H23" i="5"/>
  <c r="K7" i="5" s="1"/>
  <c r="H22" i="5"/>
  <c r="H21" i="5"/>
  <c r="K9" i="5" s="1"/>
  <c r="H20" i="5"/>
  <c r="K12" i="5" s="1"/>
  <c r="H19" i="5"/>
  <c r="H18" i="5"/>
  <c r="H17" i="5"/>
  <c r="H16" i="5"/>
  <c r="K11" i="5" s="1"/>
  <c r="H15" i="5"/>
  <c r="H14" i="5"/>
  <c r="H13" i="5"/>
  <c r="H12" i="5"/>
  <c r="H11" i="5"/>
  <c r="H10" i="5"/>
  <c r="K10" i="5" s="1"/>
  <c r="H9" i="5"/>
  <c r="H8" i="5"/>
  <c r="H7" i="5"/>
  <c r="H6" i="5"/>
  <c r="L6" i="6"/>
  <c r="L5" i="6"/>
  <c r="L4" i="6"/>
  <c r="L7" i="6" s="1"/>
  <c r="G4" i="4"/>
  <c r="G3" i="4"/>
  <c r="H3" i="5"/>
  <c r="I3" i="5" s="1"/>
  <c r="O6" i="7"/>
  <c r="O5" i="7"/>
  <c r="O4" i="7"/>
  <c r="J17" i="3"/>
  <c r="J37" i="3"/>
  <c r="F16" i="14"/>
  <c r="G16" i="14"/>
  <c r="J4" i="14" s="1"/>
  <c r="F17" i="14"/>
  <c r="F18" i="14"/>
  <c r="F19" i="14"/>
  <c r="F20" i="14"/>
  <c r="F21" i="14"/>
  <c r="F22" i="14"/>
  <c r="F23" i="14"/>
  <c r="F24" i="14"/>
  <c r="G24" i="14"/>
  <c r="F25" i="14"/>
  <c r="G15" i="14"/>
  <c r="F15" i="14"/>
  <c r="G13" i="14"/>
  <c r="G12" i="14"/>
  <c r="J11" i="14" s="1"/>
  <c r="G11" i="14"/>
  <c r="G10" i="14"/>
  <c r="J9" i="14" s="1"/>
  <c r="G9" i="14"/>
  <c r="J8" i="14" s="1"/>
  <c r="G8" i="14"/>
  <c r="J7" i="14" s="1"/>
  <c r="G7" i="14"/>
  <c r="G6" i="14"/>
  <c r="G5" i="14"/>
  <c r="J5" i="14" s="1"/>
  <c r="G4" i="14"/>
  <c r="G3" i="14"/>
  <c r="J3" i="14" s="1"/>
  <c r="I14" i="13"/>
  <c r="G25" i="14" s="1"/>
  <c r="I13" i="13"/>
  <c r="I12" i="13"/>
  <c r="G23" i="14" s="1"/>
  <c r="I11" i="13"/>
  <c r="G22" i="14" s="1"/>
  <c r="I10" i="13"/>
  <c r="G21" i="14" s="1"/>
  <c r="I9" i="13"/>
  <c r="G20" i="14" s="1"/>
  <c r="I8" i="13"/>
  <c r="G19" i="14" s="1"/>
  <c r="I7" i="13"/>
  <c r="G18" i="14" s="1"/>
  <c r="I6" i="13"/>
  <c r="G17" i="14" s="1"/>
  <c r="I5" i="13"/>
  <c r="I4" i="13"/>
  <c r="J6" i="14" l="1"/>
  <c r="J10" i="14"/>
  <c r="J12" i="14"/>
  <c r="O7" i="7"/>
  <c r="K6" i="5"/>
  <c r="G5" i="4"/>
  <c r="K8" i="5"/>
  <c r="H26" i="5"/>
  <c r="H27" i="5" s="1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20" i="3"/>
  <c r="J14" i="3"/>
  <c r="J15" i="3"/>
  <c r="J12" i="3"/>
  <c r="J6" i="3"/>
  <c r="J5" i="3"/>
  <c r="J4" i="3"/>
  <c r="J18" i="3" l="1"/>
  <c r="J39" i="3"/>
  <c r="K13" i="5"/>
  <c r="J7" i="3"/>
</calcChain>
</file>

<file path=xl/sharedStrings.xml><?xml version="1.0" encoding="utf-8"?>
<sst xmlns="http://schemas.openxmlformats.org/spreadsheetml/2006/main" count="7277" uniqueCount="562">
  <si>
    <t>Nível</t>
  </si>
  <si>
    <t>Tipo</t>
  </si>
  <si>
    <t>Descrição</t>
  </si>
  <si>
    <t>Área</t>
  </si>
  <si>
    <t>MOD_00_TER</t>
  </si>
  <si>
    <t/>
  </si>
  <si>
    <t>02_ALV  11,5 cm OSSO</t>
  </si>
  <si>
    <t>BLOCO CERAMICO, 11,5 cm</t>
  </si>
  <si>
    <t>03_ALV 14 cm OSSO</t>
  </si>
  <si>
    <t>BLOCO CERAMICO, 14 cm</t>
  </si>
  <si>
    <t>14_ACF 12,5 cm OSSO</t>
  </si>
  <si>
    <t>ALVENARIA_CORTA_FOGO_12,5cm</t>
  </si>
  <si>
    <t>MOD_01_MEZ</t>
  </si>
  <si>
    <t>08_DRY_7 cm com Lã de Rocha OSSO</t>
  </si>
  <si>
    <t>DRY WALL_7cm com lã de rocha</t>
  </si>
  <si>
    <t>MOD_02_G01</t>
  </si>
  <si>
    <t>MOD_03_G02</t>
  </si>
  <si>
    <t>MOD_04_G03</t>
  </si>
  <si>
    <t>MOD_05_LAZ</t>
  </si>
  <si>
    <t>67_TIJOLO REFRATÁRIO 22,9x11,4x2,5cm</t>
  </si>
  <si>
    <t>TIJOLO REFRATÁRIO 22,9x11,4x2,5cm</t>
  </si>
  <si>
    <t>MOD_06_TIPO 01</t>
  </si>
  <si>
    <t>09_DRY_09 cm com lã de rocha OSSO</t>
  </si>
  <si>
    <t>DRY WALL_9cm com lã de rocha</t>
  </si>
  <si>
    <t>MOD_07_TIPO 02</t>
  </si>
  <si>
    <t>MOD_08_TIPO 03</t>
  </si>
  <si>
    <t>MOD_09_TIPO 04</t>
  </si>
  <si>
    <t>MOD_10_TIPO 05</t>
  </si>
  <si>
    <t>MOD_11_TIPO 06</t>
  </si>
  <si>
    <t>MOD_12_TIPO 07</t>
  </si>
  <si>
    <t>MOD_13_TIPO 08</t>
  </si>
  <si>
    <t>MOD_14_TIPO 09</t>
  </si>
  <si>
    <t>MOD_15_TIPO 10</t>
  </si>
  <si>
    <t>MOD_16_TIPO 11</t>
  </si>
  <si>
    <t>MOD_17_TIPO 12</t>
  </si>
  <si>
    <t>MOD_18_TIPO 13</t>
  </si>
  <si>
    <t>MOD_19_TIPO 14</t>
  </si>
  <si>
    <t>MOD_20_TIPO 15</t>
  </si>
  <si>
    <t>MOD_21_DINF</t>
  </si>
  <si>
    <t>MOD_22_DSUP</t>
  </si>
  <si>
    <t>03_ALV CONC 14 cm OSSO</t>
  </si>
  <si>
    <t>13_ACF 10 cm OSSO</t>
  </si>
  <si>
    <t>ALVENARIA_CORTA_FOGO_10cm</t>
  </si>
  <si>
    <t>MOD_23_TERRAÇO</t>
  </si>
  <si>
    <t>MOD_24_CMQ</t>
  </si>
  <si>
    <t>MOD_26_TRSV</t>
  </si>
  <si>
    <t>Area</t>
  </si>
  <si>
    <t>Comprimento</t>
  </si>
  <si>
    <t>25_PINTURA PAREDE PARA LAVABOS A. COMUM</t>
  </si>
  <si>
    <t>16,05 m</t>
  </si>
  <si>
    <t>25_PINTURA PAREDE SALAS COMERCIAIS</t>
  </si>
  <si>
    <t>56,85 m</t>
  </si>
  <si>
    <t>26_PINTURA PAREDE PARA LAVABOS ESTRUTURA A. COMUM</t>
  </si>
  <si>
    <t>3,18 m</t>
  </si>
  <si>
    <t>26_PINTURA SALAS COMERCIAIS ESTRUTURA</t>
  </si>
  <si>
    <t>147,26 m</t>
  </si>
  <si>
    <t>28_PINTURA PAREDE A. COMUM (2cm)</t>
  </si>
  <si>
    <t>25,33 m</t>
  </si>
  <si>
    <t>29_PINTURA PAREDE ESTRUTURA A. COMUM (2cm)</t>
  </si>
  <si>
    <t>27,29 m</t>
  </si>
  <si>
    <t>30_PINTURA PAREDE CISTERNA (2,5cm)</t>
  </si>
  <si>
    <t>20,36 m</t>
  </si>
  <si>
    <t>30_PINTURA PAREDE CISTERNA ESTRUTURA (2,5cm)</t>
  </si>
  <si>
    <t>11,53 m</t>
  </si>
  <si>
    <t>31_PINTURA PAREDE A. COMUM (1,5cm)</t>
  </si>
  <si>
    <t>50,94 m</t>
  </si>
  <si>
    <t>32_PINTURA PAREDE ESTRUTURA A. COMUM (1,5cm)</t>
  </si>
  <si>
    <t>37,88 m</t>
  </si>
  <si>
    <t>36_PINTURA PAREDE PARA HALL COMUM ESTRUTURA</t>
  </si>
  <si>
    <t>5,50 m</t>
  </si>
  <si>
    <t>43_REVESTIMENTO CERÂMICO PAREDE LIXEIRA</t>
  </si>
  <si>
    <t>7,37 m</t>
  </si>
  <si>
    <t>44_PINTURA PAREDE CIMENTO QUEIMADO BRANCO</t>
  </si>
  <si>
    <t>12,68 m</t>
  </si>
  <si>
    <t>55_TEXTURA PAREDE PARA ESCADARIA</t>
  </si>
  <si>
    <t>4,77 m</t>
  </si>
  <si>
    <t>56_TEXTURA PAREDE PARA ESCADARIA ESTRUTURA</t>
  </si>
  <si>
    <t>6,78 m</t>
  </si>
  <si>
    <t>57_PINTURA PAREDE PARA GARAGEM</t>
  </si>
  <si>
    <t>79,01 m</t>
  </si>
  <si>
    <t>58_PINTURA PAREDE PARA GARAGEM ESTRUTURA</t>
  </si>
  <si>
    <t>83,85 m</t>
  </si>
  <si>
    <t>59_VINILICO MARMO SILVER 90x90</t>
  </si>
  <si>
    <t>11,91 m</t>
  </si>
  <si>
    <t>59_VINILICO MARMO SILVER 90x90 ESTRUTURA</t>
  </si>
  <si>
    <t>3,40 m</t>
  </si>
  <si>
    <t>64_PINTURA BRANCA</t>
  </si>
  <si>
    <t>16,50 m</t>
  </si>
  <si>
    <t>64_PINTURA BRANCA ESTRUTURA</t>
  </si>
  <si>
    <t>10,99 m</t>
  </si>
  <si>
    <t>66_PORCELANATO CINZA MARMORIZADO ITALIAGRIS</t>
  </si>
  <si>
    <t>5,64 m</t>
  </si>
  <si>
    <t>66_PORCELANATO CINZA MARMORIZADO ITALIAGRIS ESTRUTURA</t>
  </si>
  <si>
    <t>1,21 m</t>
  </si>
  <si>
    <t>88_MANHATTAN GREY ANTIDERRAPANTE- Level Acabamentos 84x84 2</t>
  </si>
  <si>
    <t>3,38 m</t>
  </si>
  <si>
    <t>90_PINTURA DE DUTOS E FOSSOS</t>
  </si>
  <si>
    <t>14,84 m</t>
  </si>
  <si>
    <t>91_REVESTIMENTO PAREDE ESTUCAMENTO DE PILAR</t>
  </si>
  <si>
    <t>9,11 m</t>
  </si>
  <si>
    <t>92_REVESTIMENTO PAREDE ESTUCAMENTO DE VIGA</t>
  </si>
  <si>
    <t>10,40 m</t>
  </si>
  <si>
    <t>93_REVESTIMENTO PAREDE ESTUCAMENTO DE PAREDES</t>
  </si>
  <si>
    <t>22,31 m</t>
  </si>
  <si>
    <t>25_DRY PINTURA PAREDE SALAS COMERCIAIS</t>
  </si>
  <si>
    <t>22,08 m</t>
  </si>
  <si>
    <t>59,40 m</t>
  </si>
  <si>
    <t>94,51 m</t>
  </si>
  <si>
    <t>41,20 m</t>
  </si>
  <si>
    <t>27,57 m</t>
  </si>
  <si>
    <t>35_PINTURA PAREDE PARA HALL COMUM</t>
  </si>
  <si>
    <t>17,27 m</t>
  </si>
  <si>
    <t>14,22 m</t>
  </si>
  <si>
    <t>19,19 m</t>
  </si>
  <si>
    <t>44_PINTURA PAREDE CIMENTO QUEIMADO BRANCO ESTRUTURA</t>
  </si>
  <si>
    <t>3,76 m</t>
  </si>
  <si>
    <t>4,78 m</t>
  </si>
  <si>
    <t>7,81 m</t>
  </si>
  <si>
    <t>103,74 m</t>
  </si>
  <si>
    <t>118,21 m</t>
  </si>
  <si>
    <t>5,51 m</t>
  </si>
  <si>
    <t>2,77 m</t>
  </si>
  <si>
    <t>19,13 m</t>
  </si>
  <si>
    <t>11,76 m</t>
  </si>
  <si>
    <t>15,26 m</t>
  </si>
  <si>
    <t>17,92 m</t>
  </si>
  <si>
    <t>13,96 m</t>
  </si>
  <si>
    <t>13,97 m</t>
  </si>
  <si>
    <t>135,75 m</t>
  </si>
  <si>
    <t>269,96 m</t>
  </si>
  <si>
    <t>14,78 m</t>
  </si>
  <si>
    <t>34,26 m</t>
  </si>
  <si>
    <t>13,79 m</t>
  </si>
  <si>
    <t>112,16 m</t>
  </si>
  <si>
    <t>13,91 m</t>
  </si>
  <si>
    <t>6,79 m</t>
  </si>
  <si>
    <t>135,70 m</t>
  </si>
  <si>
    <t>278,25 m</t>
  </si>
  <si>
    <t>99,47 m</t>
  </si>
  <si>
    <t>5,49 m</t>
  </si>
  <si>
    <t>6,65 m</t>
  </si>
  <si>
    <t>4,89 m</t>
  </si>
  <si>
    <t>162,66 m</t>
  </si>
  <si>
    <t>644,17 m</t>
  </si>
  <si>
    <t>34,28 m</t>
  </si>
  <si>
    <t>9,68 m</t>
  </si>
  <si>
    <t>179,80 m</t>
  </si>
  <si>
    <t>44_DRY_PINTURA PAREDE CIMENTO QUEIMADO BRANCO</t>
  </si>
  <si>
    <t>0,86 m</t>
  </si>
  <si>
    <t>75,39 m</t>
  </si>
  <si>
    <t>17,88 m</t>
  </si>
  <si>
    <t>45_PINTURA PAREDE CIMENTO QUEIMADO CINZA</t>
  </si>
  <si>
    <t>55,32 m</t>
  </si>
  <si>
    <t>45_PINTURA PAREDE CIMENTO QUEIMADO CINZA ESTRUTURA</t>
  </si>
  <si>
    <t>9,17 m</t>
  </si>
  <si>
    <t>6,77 m</t>
  </si>
  <si>
    <t>59_DRY_VINILICO MARMO SILVER 90x90</t>
  </si>
  <si>
    <t>0,85 m</t>
  </si>
  <si>
    <t>43,76 m</t>
  </si>
  <si>
    <t>5,88 m</t>
  </si>
  <si>
    <t>61_VINILICO MADEIRADO CARVALHO</t>
  </si>
  <si>
    <t>38,87 m</t>
  </si>
  <si>
    <t>61_VINILICO MADEIRADO CARVALHO ESTRUTURA</t>
  </si>
  <si>
    <t>17,86 m</t>
  </si>
  <si>
    <t>62_TEXTURA PAREDE S/ REBOCO PARA ESCADARIA</t>
  </si>
  <si>
    <t>0,02 m</t>
  </si>
  <si>
    <t>63_REVESTIMENTO PORTOBELLO GOUACHE NUAGE</t>
  </si>
  <si>
    <t>16,17 m</t>
  </si>
  <si>
    <t>63_REVESTIMENTO PORTOBELLO GOUACHE NUAGE ESTRUTURA</t>
  </si>
  <si>
    <t>0,24 m</t>
  </si>
  <si>
    <t>33,82 m</t>
  </si>
  <si>
    <t>5,04 m</t>
  </si>
  <si>
    <t>65_DRY_PINTURA AZUL</t>
  </si>
  <si>
    <t>1,63 m</t>
  </si>
  <si>
    <t>65_PINTURA AZUL</t>
  </si>
  <si>
    <t>65_PINTURA AZUL ESTRUTURA</t>
  </si>
  <si>
    <t>1,76 m</t>
  </si>
  <si>
    <t>66_DRY_PORCELANATO CINZA MARMORIZADO ITALIAGRIS</t>
  </si>
  <si>
    <t>1,13 m</t>
  </si>
  <si>
    <t>19,34 m</t>
  </si>
  <si>
    <t>6,25 m</t>
  </si>
  <si>
    <t>82_PASTILHA AZUL Hijau Leme - Level Acabamentos - 19,5x19,5cm</t>
  </si>
  <si>
    <t>47,40 m</t>
  </si>
  <si>
    <t>87_PINTURA LOUSA ROSA</t>
  </si>
  <si>
    <t>5,33 m</t>
  </si>
  <si>
    <t>31,25 m</t>
  </si>
  <si>
    <t>89_MANHATTAN GREY ANTIDERRAPANTE ESTRUTURA- Level Acabamentos 84x84</t>
  </si>
  <si>
    <t>2,11 m</t>
  </si>
  <si>
    <t>4,11 m</t>
  </si>
  <si>
    <t>14,58 m</t>
  </si>
  <si>
    <t>17,97 m</t>
  </si>
  <si>
    <t>33_DRY_PINTURA PAREDE A. PRIVATIVA</t>
  </si>
  <si>
    <t>145,30 m</t>
  </si>
  <si>
    <t>33_PINTURA PAREDE A. PRIVATIVA</t>
  </si>
  <si>
    <t>74,13 m</t>
  </si>
  <si>
    <t>34_PINTURA PAREDE ESTRUTURA A. PRIVATIVA</t>
  </si>
  <si>
    <t>55,83 m</t>
  </si>
  <si>
    <t>16,06 m</t>
  </si>
  <si>
    <t>2,75 m</t>
  </si>
  <si>
    <t>4,03 m</t>
  </si>
  <si>
    <t>71_DRY_REVESTIMENTO PAREDE BANHEIRO</t>
  </si>
  <si>
    <t>46,62 m</t>
  </si>
  <si>
    <t>71_REVESTIMENTO PAREDE BANHEIRO</t>
  </si>
  <si>
    <t>13,57 m</t>
  </si>
  <si>
    <t>72_REVESTIMENTO PAREDE BANHEIRO ESTRUTURA</t>
  </si>
  <si>
    <t>15,66 m</t>
  </si>
  <si>
    <t>73_DRY_PINTURA PAREDE COZINHA</t>
  </si>
  <si>
    <t>6,28 m</t>
  </si>
  <si>
    <t>73_PINTURA PAREDE COZINHA</t>
  </si>
  <si>
    <t>6,38 m</t>
  </si>
  <si>
    <t>74_PINTURA PAREDE COZINHA ESTRUTURA</t>
  </si>
  <si>
    <t>4,57 m</t>
  </si>
  <si>
    <t>14,71 m</t>
  </si>
  <si>
    <t>4,16 m</t>
  </si>
  <si>
    <t>6,66 m</t>
  </si>
  <si>
    <t>13,75 m</t>
  </si>
  <si>
    <t>2,98 m</t>
  </si>
  <si>
    <t>4,14 m</t>
  </si>
  <si>
    <t>5,11 m</t>
  </si>
  <si>
    <t>6,89 m</t>
  </si>
  <si>
    <t>95,54 m</t>
  </si>
  <si>
    <t>112,55 m</t>
  </si>
  <si>
    <t>118,55 m</t>
  </si>
  <si>
    <t>14,61 m</t>
  </si>
  <si>
    <t>43,39 m</t>
  </si>
  <si>
    <t>16,67 m</t>
  </si>
  <si>
    <t>18,61 m</t>
  </si>
  <si>
    <t>12,64 m</t>
  </si>
  <si>
    <t>4,54 m</t>
  </si>
  <si>
    <t>24,38 m</t>
  </si>
  <si>
    <t>73,84 m</t>
  </si>
  <si>
    <t>47,09 m</t>
  </si>
  <si>
    <t>13,74 m</t>
  </si>
  <si>
    <t>12,59 m</t>
  </si>
  <si>
    <t>4,38 m</t>
  </si>
  <si>
    <t>80_DECK DE MADEIRA</t>
  </si>
  <si>
    <t>17,96 m</t>
  </si>
  <si>
    <t>82_REVESTIMENTO DE PISCINA EXTERNA</t>
  </si>
  <si>
    <t>32,20 m</t>
  </si>
  <si>
    <t>8,13 m</t>
  </si>
  <si>
    <t>15,29 m</t>
  </si>
  <si>
    <t>10,92 m</t>
  </si>
  <si>
    <t>4,09 m</t>
  </si>
  <si>
    <t>1,85 m</t>
  </si>
  <si>
    <t>35_TEXTURA PAREDE PARA HALL COMUM</t>
  </si>
  <si>
    <t>12,23 m</t>
  </si>
  <si>
    <t>36_TEXTURA ESTRUTURA PARA HALL COMUM</t>
  </si>
  <si>
    <t>0,08 m</t>
  </si>
  <si>
    <t>7,20 m</t>
  </si>
  <si>
    <t>2,31 m</t>
  </si>
  <si>
    <t>3,85 m</t>
  </si>
  <si>
    <t>15,35 m</t>
  </si>
  <si>
    <t>108_TEXTURA PROJETADA CINZA MEDIO ESTRUTURA FACHADA</t>
  </si>
  <si>
    <t>109_TEXTURA PROJETADA CINZA CLARO FACHADA</t>
  </si>
  <si>
    <t>110_TEXTURA PROJETADA CINZA CLARO ESTRUTURA FACHADA</t>
  </si>
  <si>
    <t>113_TEXTURA PROJETADA BRANCA FACHADA (DIVISA VIZINHO)</t>
  </si>
  <si>
    <t>114_TEXTURA PROJETADA BRANCA ESTRUTURA FACHADA (DIVISA VIZINHO)</t>
  </si>
  <si>
    <t>105_TEXTURA STO 3mm CINZA ESCURO FACHADA</t>
  </si>
  <si>
    <t>106_TEXTURA STO 3mm CINZA ESCURO FACHADA ESTRUTURA</t>
  </si>
  <si>
    <t>116_TEXTURA STO 3mm CINZA MÉDIO FACHADA ESTRUTURA - EMBASAMENTO</t>
  </si>
  <si>
    <t>FACHADA EM VIDRO</t>
  </si>
  <si>
    <t>107_TEXTURA PROJETADA CINZA MEDIO FACHADA</t>
  </si>
  <si>
    <t>115_TEXTURA STO 3mm CINZA MÉDIO FACHADA - EMBASAMENTO</t>
  </si>
  <si>
    <t>111_TEXTURA PROJETADA BRANCA FACHADA - DETALHE FACHADA</t>
  </si>
  <si>
    <t>1001_BRISE METÁLICO</t>
  </si>
  <si>
    <t>111_TEXTURA PROJETADA BRANCA FACHADA</t>
  </si>
  <si>
    <t>112_TEXTURA PROJETADA BRANCA FACHADA ESTRUTURA</t>
  </si>
  <si>
    <t>103_TEXTURA PAREDE FACHADA</t>
  </si>
  <si>
    <t>104_TEXTURA PAREDE FACHADA ESTRUTURA</t>
  </si>
  <si>
    <t>MOD_25_RSV</t>
  </si>
  <si>
    <t>41_PISO PORCELANATO HALL</t>
  </si>
  <si>
    <t>46_PISO PORCELANATO SALA COMERCIAL</t>
  </si>
  <si>
    <t>48_PISO PORCELANATO ANTECAMARA E ESCADA</t>
  </si>
  <si>
    <t>74_POLIMENTO DE PISO + RESINA ACRILICA</t>
  </si>
  <si>
    <t>75_RESINA A BASE DE SOLVENTE - HIDRONORTH</t>
  </si>
  <si>
    <t>102_PISO PORCELANATO LAVABO</t>
  </si>
  <si>
    <t>141_PISO CIMENTADO</t>
  </si>
  <si>
    <t>145_LADRILHO HIDRÁULICO</t>
  </si>
  <si>
    <t>171_PISO PORCELANATO CINZA MARMORIZADO - Italiagris Level Acabamentos - 80x80cm</t>
  </si>
  <si>
    <t>176_PISO MANHATTAN GREY ANTIDERRAPANTE- Level Acabamentos 84x84</t>
  </si>
  <si>
    <t>202_PISO CONCRETO ESTAMPADO</t>
  </si>
  <si>
    <t>151_PASTILHA AZUL Hijau Leme - Level Acabamentos - 19,5x19,5cm</t>
  </si>
  <si>
    <t>172_VINILICO MADEIRADO - Carvalho - Level Acabamentos</t>
  </si>
  <si>
    <t>173_PISO CARPET COR VERDE</t>
  </si>
  <si>
    <t>175_PISO PORCELANATO-Atlantica Canela externo 19,4x118,22cm-Eliane</t>
  </si>
  <si>
    <t>177_PINTURA EPOXI - QUADRA</t>
  </si>
  <si>
    <t>97 m²</t>
  </si>
  <si>
    <t>178_PISO FUTURA DE PVC</t>
  </si>
  <si>
    <t>29 m²</t>
  </si>
  <si>
    <t>179_PISO FUTURA DE PVC COM GRAMA ARTIFICIAL</t>
  </si>
  <si>
    <t>66_REGULARIZAÇÃO DE PISO</t>
  </si>
  <si>
    <t>101_PISO PORCELANATO A. PRIVATIVA COBERTA</t>
  </si>
  <si>
    <t>102_PISO PORCELANATO BANHEIRO</t>
  </si>
  <si>
    <t>103_PISO PORCELANATO BOX DE BANHEIRO</t>
  </si>
  <si>
    <t>121_PISO VINILICO A. PRIVATIVA COBERTA</t>
  </si>
  <si>
    <t>25_PISO PEDRA NATURAL</t>
  </si>
  <si>
    <t>81_DECK DE MADEIRA</t>
  </si>
  <si>
    <t>105_PISO PORCELANATO TERRAÇO DESCOBERTO</t>
  </si>
  <si>
    <t>151_PISO PISCINA EXTERNA</t>
  </si>
  <si>
    <t>26 m²</t>
  </si>
  <si>
    <t>42_PISO PORCELANATO A. COMUM COBERTA</t>
  </si>
  <si>
    <t>4 m²</t>
  </si>
  <si>
    <t>01_CONTRA PISO 4 cm</t>
  </si>
  <si>
    <t>REVESTIMENTO INTERNO - CONTRA PISO, 4 cm</t>
  </si>
  <si>
    <t>02_CONTRA PISO 5 cm</t>
  </si>
  <si>
    <t>REVESTIMENTO INTERNO - CONTRA PISO, 5 cm</t>
  </si>
  <si>
    <t>03_CONTRA PISO 6 cm</t>
  </si>
  <si>
    <t>REVESTIMENTO INTERNO - CONTRA PISO, 6 cm</t>
  </si>
  <si>
    <t>Total geral</t>
  </si>
  <si>
    <t>dvdv</t>
  </si>
  <si>
    <t>ESTUCAMENTO EM TETO COM PINTURA</t>
  </si>
  <si>
    <t>FORRO DE GESSO ACARTONADO, STANDART ST, ÁREA SECA</t>
  </si>
  <si>
    <t>TEXTURA PROJETADA BRANCA FACHADA - DETALHE FACHADA</t>
  </si>
  <si>
    <t>REVESTIMENTO ARGAMASSADO COM PINTURA EM TETO</t>
  </si>
  <si>
    <t>Código</t>
  </si>
  <si>
    <t>Largura</t>
  </si>
  <si>
    <t>Altura</t>
  </si>
  <si>
    <t>Qtd.</t>
  </si>
  <si>
    <t>P1</t>
  </si>
  <si>
    <t>PORTA DE ABRIR, 1 FOLHA, MDF, 90 x 210 cm</t>
  </si>
  <si>
    <t>34</t>
  </si>
  <si>
    <t>P2</t>
  </si>
  <si>
    <t>PORTA DE ABRIR, 1 FOLHA, MDF, 80 x 210 cm</t>
  </si>
  <si>
    <t>137</t>
  </si>
  <si>
    <t>P3</t>
  </si>
  <si>
    <t>PORTA DE ABRIR, 1 FOLHA, MDF, 70 x 210 cm</t>
  </si>
  <si>
    <t>164</t>
  </si>
  <si>
    <t>P5</t>
  </si>
  <si>
    <t>PORTA DE ABRIR, 1 FOLHA, ALUMÍNIO VENEZIANA, 90 x 210 cm</t>
  </si>
  <si>
    <t>3</t>
  </si>
  <si>
    <t>P6</t>
  </si>
  <si>
    <t>PORTA DE ABRIR, 1 FOLHA, CORTA-FOGO, 60 x 210 cm</t>
  </si>
  <si>
    <t>1</t>
  </si>
  <si>
    <t>P7</t>
  </si>
  <si>
    <t>PORTA DE ABRIR, 1 FOLHA, VIDRO E ALUMÍNIO, 90 x 210 cm</t>
  </si>
  <si>
    <t>4</t>
  </si>
  <si>
    <t>P8</t>
  </si>
  <si>
    <t>PORTA PIVOTANTE, 1 FOLHA, MDF, 120 x 430 cm</t>
  </si>
  <si>
    <t>P9</t>
  </si>
  <si>
    <t>PORTA DE CORRER, 2 FOLHAS, ALUMÍNIO VENEZIANA, 150 x 210 cm</t>
  </si>
  <si>
    <t>P10</t>
  </si>
  <si>
    <t>PORTA DE ABRIR, 1 FOLHA, ALUMÍNIO VENEZIANA, 80 x 210 cm</t>
  </si>
  <si>
    <t>2</t>
  </si>
  <si>
    <t>P11</t>
  </si>
  <si>
    <t>PORTA DE CORRER, 1 FOLHA, MDF, 80 x 210 cm</t>
  </si>
  <si>
    <t>P12</t>
  </si>
  <si>
    <t>PORTA ALÇAPÃO, 1 FOLHA, ALUMÍNIO, 60 x 60 cm À CONFIRMAR</t>
  </si>
  <si>
    <t>P13</t>
  </si>
  <si>
    <t>PORTA DE ABRIR, 1 FOLHA, CORTA-FOGO, 100 x 210 cm</t>
  </si>
  <si>
    <t>P14</t>
  </si>
  <si>
    <t>PORTA DE ABRIR, 1 FOLHA, CORTA-FOGO, 90 x 210 cm</t>
  </si>
  <si>
    <t>P16</t>
  </si>
  <si>
    <t>PORTA DE ABRIR, 1 FOLHA, ALUMÍNIO VENEZIANA, 70 x 210 cm</t>
  </si>
  <si>
    <t>P17</t>
  </si>
  <si>
    <t>PORTAO GUILHOTINA, 1 FOLHA, ALUMÍNIO, 400 x 250 cm</t>
  </si>
  <si>
    <t>P18</t>
  </si>
  <si>
    <t>PORTAO BASCULANTE, 1 FOLHA, ALUMÍNIO, 400 x 200 cm</t>
  </si>
  <si>
    <t>P26</t>
  </si>
  <si>
    <t>PORTA DE CORRER, 2 FOLHA, FECHAMENTO SHAFT, 235 X 250 cm</t>
  </si>
  <si>
    <t>20</t>
  </si>
  <si>
    <t>P27</t>
  </si>
  <si>
    <t>PORTA ALÇAPÃO, 1 FOLHA, ALUMÍNIO, 70 x 70 cm</t>
  </si>
  <si>
    <t>PCF1</t>
  </si>
  <si>
    <t>PORTA DE ABRIR, 1 FOLHA, CORTA-FOGO, 80 x 210 cm</t>
  </si>
  <si>
    <t>49</t>
  </si>
  <si>
    <t>PCF2</t>
  </si>
  <si>
    <t>PORTA DE ABRIR, 2 FOLHAS, CORTA-FOGO, 130 x 90 cm</t>
  </si>
  <si>
    <t>PJ1</t>
  </si>
  <si>
    <t>PORTA DE CORRER, 4 FOLHAS, ALUMÍNIO E VIDRO, 383 x 234 cm</t>
  </si>
  <si>
    <t>PJ2</t>
  </si>
  <si>
    <t>PORTA DE CORRER, 4 FOLHAS, ALUMÍNIO E VIDRO, 380 x 234 cm</t>
  </si>
  <si>
    <t>PJ3</t>
  </si>
  <si>
    <t>PORTA DE CORRER, 2 FOLHAS, VIDRO E ALUMÍNIO, 150 x 234 cm</t>
  </si>
  <si>
    <t>PJ4</t>
  </si>
  <si>
    <t>PORTA DE ABRIR, 2 FOLHAS, VIDRO E ALUMÍNIO, 175 x 226 cm</t>
  </si>
  <si>
    <t>PJ5</t>
  </si>
  <si>
    <t>PORTA DE CORRER, 2 FOLHAS, VIDRO E ALUMÍNIO, 165 x 234 cm</t>
  </si>
  <si>
    <t>PJ6</t>
  </si>
  <si>
    <t>PORTA DE CORRER, 4 FOLHAS, ALUMÍNIO E VIDRO, 250 x 234 cm</t>
  </si>
  <si>
    <t>PJ8</t>
  </si>
  <si>
    <t>PORTA DE CORRER, 4 FOLHAS, ALUMÍNIO E VIDRO, 280 x 234 cm</t>
  </si>
  <si>
    <t>PJ9</t>
  </si>
  <si>
    <t>PORTA DE CORRER, 4 FOLHAS, ALUMÍNIO E VIDRO, 450 x 234 cm</t>
  </si>
  <si>
    <t>PJ10</t>
  </si>
  <si>
    <t>PJ10 - PORTA DE CORRER, 4 FOLHAS, ALUMÍNIO E VIDRO, 390 x 234 cm</t>
  </si>
  <si>
    <t>Marca de tipo</t>
  </si>
  <si>
    <t>Altura do peitoril</t>
  </si>
  <si>
    <t>CHU-01</t>
  </si>
  <si>
    <t>ABERTURA PARA CHURRASQUEIRA - 70 x 60</t>
  </si>
  <si>
    <t>105,00 cm</t>
  </si>
  <si>
    <t>32</t>
  </si>
  <si>
    <t>CHU-02</t>
  </si>
  <si>
    <t>ABERTURA PARA CHURRASQUEIRA - 80 x 60</t>
  </si>
  <si>
    <t>GRE-01</t>
  </si>
  <si>
    <t>GRELHA COM REGULAGEM MECÂNICA, ALUMÍNIO,  1 FOLHA, 50 x 30 cm</t>
  </si>
  <si>
    <t>160,00 cm</t>
  </si>
  <si>
    <t>GRE-02</t>
  </si>
  <si>
    <t>GRELHA COM REGULAGEM MECÂNICA, ALUMÍNIO,  1 FOLHA, 60 x 30 cm</t>
  </si>
  <si>
    <t>22</t>
  </si>
  <si>
    <t>J1</t>
  </si>
  <si>
    <t>JANELA DE CORRER, 2 FOLHAS + PEITORIL FIXO, ALUMÍNIO E VIDRO, 150 x 200 cm</t>
  </si>
  <si>
    <t>52,00 cm</t>
  </si>
  <si>
    <t>128</t>
  </si>
  <si>
    <t>J2</t>
  </si>
  <si>
    <t>JANELA MAXIM-AIR, 1 FOLHA, ALUMÍNIO E VIDRO, 50 x 90 cm</t>
  </si>
  <si>
    <t>162,00 cm</t>
  </si>
  <si>
    <t>160</t>
  </si>
  <si>
    <t>J3</t>
  </si>
  <si>
    <t>JANELA DE CORRER, 2 FOLHAS + PEITORIL FIXO, ALUMÍNIO E VIDRO, 200 x 200 cm</t>
  </si>
  <si>
    <t>J4</t>
  </si>
  <si>
    <t>JANELA MAXIM-AIR, 4 FOLHAS, ALUMÍNIO E VIDRO, 200 x 60 cm</t>
  </si>
  <si>
    <t>192,00 cm</t>
  </si>
  <si>
    <t>J5</t>
  </si>
  <si>
    <t>JANELA FIXA, 2 FOLHAS, ALUMÍNIO E VIDRO, 162 x 135 cm</t>
  </si>
  <si>
    <t>117,00 cm</t>
  </si>
  <si>
    <t>J6</t>
  </si>
  <si>
    <t>JANELA FIXA, 2 FOLHAS, ALUMÍNIO E VIDRO, 53 x 135 cm</t>
  </si>
  <si>
    <t>J7</t>
  </si>
  <si>
    <t>JANELA DE CORRER, 4 FOLHAS, ALUMÍNIO E VIDRO, 375 x 132 cm</t>
  </si>
  <si>
    <t>120,00 cm</t>
  </si>
  <si>
    <t>J8</t>
  </si>
  <si>
    <t>JANELA FIXA, 1 FOLHA, ALUMÍNIO E VIDRO, 150 x 159 cm</t>
  </si>
  <si>
    <t>60,00 cm</t>
  </si>
  <si>
    <t>J9</t>
  </si>
  <si>
    <t>JANELA DE CORRER, 4 FOLHAS + PEITORIL FIXO, ALUMÍNIO E VIDRO, 337 x 200 cm</t>
  </si>
  <si>
    <t>J10</t>
  </si>
  <si>
    <t>J11 - JANELA DE CORRER, 2 FOLHAS + PEITORIL FIXO, ALUMÍNIO E VIDRO, 200 x 200 cm</t>
  </si>
  <si>
    <t>J11</t>
  </si>
  <si>
    <t>JANELA DE CORRER, 2 FOLHAS + PEITORIL FIXO, ALUMÍNIO E VIDRO, 225 x 200 cm</t>
  </si>
  <si>
    <t>J12</t>
  </si>
  <si>
    <t>JANELA DE CORRER, 4 FOLHAS, ALUMÍNIO E VIDRO, 325 x 132 cm</t>
  </si>
  <si>
    <t>J13</t>
  </si>
  <si>
    <t>JANELA FIXA, 2 FOLHAS, ALUMÍNIO E VIDRO, 100 x 135 cm</t>
  </si>
  <si>
    <t>J14</t>
  </si>
  <si>
    <t>JANELA DE CORRER, 2 FOLHAS + BANDEIRA VENEZIANA SUPERIOR, ALUMÍNIO E VIDRO, 120 x 135 cm</t>
  </si>
  <si>
    <t>JAN-01</t>
  </si>
  <si>
    <t>JANELA DE DESENFUMAGEM AUTOMATIZADA COM ABERTURA SUPERIOR, 1 FOLHA, ALUMÍNIO E VIDRO TELADO, 100 x 100 cm</t>
  </si>
  <si>
    <t>18</t>
  </si>
  <si>
    <t>JAN-02</t>
  </si>
  <si>
    <t>JANELA DE DESENFUMAGEM AUTOMATIZADA COM ABERTURA INFERIOR, 1 FOLHA, ALUMÍNIO E VIDRO TELADO, 100 x 100 cm</t>
  </si>
  <si>
    <t>156,50 cm</t>
  </si>
  <si>
    <t>VEN-01</t>
  </si>
  <si>
    <t>JANELA FIXA, 1 FOLHA, ALUMÍNIO VENEZIANA TIPO TAE, 200 x 100 cm</t>
  </si>
  <si>
    <t>4,50 cm</t>
  </si>
  <si>
    <t>VEN-02</t>
  </si>
  <si>
    <t>JANELA FIXA, 1 FOLHA, ALUMÍNIO VENEZIANA TIPO TAE, 50 x 50 cm</t>
  </si>
  <si>
    <t>256,50 cm</t>
  </si>
  <si>
    <t>Restrição da base</t>
  </si>
  <si>
    <t>1002_BRISE METÁLICO INTERNO</t>
  </si>
  <si>
    <t>BRISE METÁLICO INTERNO</t>
  </si>
  <si>
    <t>1 m²</t>
  </si>
  <si>
    <t>BRISE METÁLICO FACHADA</t>
  </si>
  <si>
    <t>57 m²</t>
  </si>
  <si>
    <t>89 m²</t>
  </si>
  <si>
    <t>BRISE HORIZONTAL</t>
  </si>
  <si>
    <t>BRISE METÁLICO CONDENSADORAS</t>
  </si>
  <si>
    <t>93 m²</t>
  </si>
  <si>
    <t>28 m²</t>
  </si>
  <si>
    <t>PAINEL DE VIDRO</t>
  </si>
  <si>
    <t>PAINEL EM VIDRO</t>
  </si>
  <si>
    <t>Local de aplicação</t>
  </si>
  <si>
    <t>01_RODAPE POLIESTIRENO - 10 cm</t>
  </si>
  <si>
    <t>APLICAÇÃO INTERNA</t>
  </si>
  <si>
    <t>21_RODAPE PORCELANATO - 10 cm</t>
  </si>
  <si>
    <t>APLICAÇÃO INTERNA/ EXTERNA</t>
  </si>
  <si>
    <t>52_RODAPE EM PEDRA NATURAL, 10 cm</t>
  </si>
  <si>
    <t>Name - CTN_TABELA IMPERMEABILIZAÇÃO PAREDE</t>
  </si>
  <si>
    <t>VV</t>
  </si>
  <si>
    <t>ARGAMASSA POLIMERICA IMPERMEABILIZANTE EM PAREDE</t>
  </si>
  <si>
    <t>IMPERMEABILIZAÇÃO POLIMÉRICA PARA PAREDE</t>
  </si>
  <si>
    <t>MANTA IMPERMEABILIZANTE A BASE DE ASFALTO EM RESERVATORIOS</t>
  </si>
  <si>
    <t>IMPERMEABILIZAÇÃO EM MANTA ASFÁLTICA PARA RESERVATÓRIOS</t>
  </si>
  <si>
    <t>MANTA IMPERMEABILIZANTE A BASE DE ASFALTO EM TERRAÇOS</t>
  </si>
  <si>
    <t>IMPERMEABILIZAÇÃO EM MANTA ASFÁLTICA PARA TERRAÇOS</t>
  </si>
  <si>
    <t>MANTA LÍQUIDA</t>
  </si>
  <si>
    <t>IMPERMEABILIZAÇÃO EM MANTA LÍQUIDA</t>
  </si>
  <si>
    <t>IMPERMEABILIZAÇÃO POLIMÉRICA PARA PEITORIL</t>
  </si>
  <si>
    <t>MANTA IMPERMEABILIZANTE A BASE DE ASFALTO EM PISCINAS</t>
  </si>
  <si>
    <t>IMPERMEABILIZAÇÃO EM MANTA ASFÁLTICA PARA PISCINAS</t>
  </si>
  <si>
    <t>ARGAMASSA POLIMERICA IMPERMEABILIZANTE EM BOX BANHEIRO</t>
  </si>
  <si>
    <t>IMPERMEABILIZAÇÃO POLIMÉRICA PARA BOX DE BANHEIRO</t>
  </si>
  <si>
    <t>MANTA IMPERMEABILIZANTE A BASE DE ASFALTO EM FLOREIRAS</t>
  </si>
  <si>
    <t>IMPERMEABILIZAÇÃO EM MANTA ASFÁLTICA PARA FLOREIRAS</t>
  </si>
  <si>
    <t>MANTA IMPERMEABILIZANTE A BASE DE ASFALTO EM SACADAS</t>
  </si>
  <si>
    <t>IMPERMEABILIZAÇÃO EM MANTA ASFÁLTICA PARA SACADAS</t>
  </si>
  <si>
    <t>ARGAMASSA POLIMERICA IMPERMEABILIZANTE EM SACADA</t>
  </si>
  <si>
    <t>IMPERMEABILIZAÇÃO POLIMÉRICA PARA SACADA</t>
  </si>
  <si>
    <t>Name - CTN_TABELA IMPERMEABILIZAÇÃO PISOS</t>
  </si>
  <si>
    <t>ARGAMASSA POLIMERICA IMPERMEABILIZANTE EM PISO</t>
  </si>
  <si>
    <t>IMPERMEABILIZAÇÃO POLIMÉRICA PARA PISO</t>
  </si>
  <si>
    <t>IMPERMEABILIZAÇÃO EM MANTA ASFÁLTICA PARA RESERVATORIOS</t>
  </si>
  <si>
    <t>MANTA IMPERMEABILIZANTE A BASE DE ASFALTO EM RESERVATORIOS COM PROTECAO MECANICA</t>
  </si>
  <si>
    <t>MANTA IMPERMEABILIZANTE A BASE DE ASFALTO PARA PISCINA</t>
  </si>
  <si>
    <t>IMPERMEABILIZAÇÃO EM MANTA ASFÁLTICA PARA PISCINA</t>
  </si>
  <si>
    <t>IMPERMEABILIZAÇÃO POLIMÉRICA PARA SACADA/ VARANDA</t>
  </si>
  <si>
    <t>Chapisco</t>
  </si>
  <si>
    <t>Estrutura</t>
  </si>
  <si>
    <t>Pintura</t>
  </si>
  <si>
    <t>Alvenaria</t>
  </si>
  <si>
    <t>Estucamento</t>
  </si>
  <si>
    <t>Reboco</t>
  </si>
  <si>
    <t>Drywall</t>
  </si>
  <si>
    <t>Textura</t>
  </si>
  <si>
    <t>Revestimento</t>
  </si>
  <si>
    <t>Revestimento Drywall</t>
  </si>
  <si>
    <t>Períetro</t>
  </si>
  <si>
    <t>Copriento</t>
  </si>
  <si>
    <t>80x160</t>
  </si>
  <si>
    <t>90x90</t>
  </si>
  <si>
    <t>84x84</t>
  </si>
  <si>
    <t>45x45</t>
  </si>
  <si>
    <t>vinílico</t>
  </si>
  <si>
    <t>30x60</t>
  </si>
  <si>
    <t>19,5x19,5 pedra</t>
  </si>
  <si>
    <t>Fosso</t>
  </si>
  <si>
    <t>Pintura em piso</t>
  </si>
  <si>
    <t>80x80</t>
  </si>
  <si>
    <t>luminositá</t>
  </si>
  <si>
    <t>19,5x19,5</t>
  </si>
  <si>
    <t>19,4x118,22</t>
  </si>
  <si>
    <t>carpet</t>
  </si>
  <si>
    <t>120x120</t>
  </si>
  <si>
    <t>pastilha</t>
  </si>
  <si>
    <t>polimento</t>
  </si>
  <si>
    <t>resina</t>
  </si>
  <si>
    <t>ladrilho</t>
  </si>
  <si>
    <t>cimentado</t>
  </si>
  <si>
    <t>estampado</t>
  </si>
  <si>
    <t>epóxi</t>
  </si>
  <si>
    <t>PVC</t>
  </si>
  <si>
    <t>Granito</t>
  </si>
  <si>
    <t>deck</t>
  </si>
  <si>
    <t>madeirado</t>
  </si>
  <si>
    <t>mão de obra porcelanato</t>
  </si>
  <si>
    <t>Mão de obra pastilha</t>
  </si>
  <si>
    <t>Mão de obra vinílico</t>
  </si>
  <si>
    <t>Mão de obra ladrilho</t>
  </si>
  <si>
    <t>Mão de obra carpet</t>
  </si>
  <si>
    <t>Mão de obra PVC</t>
  </si>
  <si>
    <t>Mão de obra pedra</t>
  </si>
  <si>
    <t>174_PAGINAÇÃO GEOMÉTRICA Porcelanato Place PO 120x120cm ep</t>
  </si>
  <si>
    <t>REVESTIMENTO DE PAREDES</t>
  </si>
  <si>
    <t>REVESTIMENTO BRUTO</t>
  </si>
  <si>
    <t>REVESTIMENTO FINO</t>
  </si>
  <si>
    <t>m2</t>
  </si>
  <si>
    <t>DESCRIÇÃO</t>
  </si>
  <si>
    <t>M2</t>
  </si>
  <si>
    <t>Total</t>
  </si>
  <si>
    <t>ESPECIFICAÇÕES</t>
  </si>
  <si>
    <t>Revestimento (com drywall)</t>
  </si>
  <si>
    <t>REVESTIMENTO DE FACHADA</t>
  </si>
  <si>
    <t>TIPO</t>
  </si>
  <si>
    <t>CONTRAPISOS</t>
  </si>
  <si>
    <t>TETOS</t>
  </si>
  <si>
    <t>MOD_TIPO</t>
  </si>
  <si>
    <t>Tabela de alvenaria</t>
  </si>
  <si>
    <t>Pavimento</t>
  </si>
  <si>
    <t>área</t>
  </si>
  <si>
    <t>Tabela alvenaria geral</t>
  </si>
  <si>
    <t>TABELA CONTRAPISOS</t>
  </si>
  <si>
    <t>TABELA TETOS</t>
  </si>
  <si>
    <t>Perímetro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</si>
</sst>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9" x14ac:knownFonts="1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0"/>
      <color rgb="FF00000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Calibri"/>
      <family val="2"/>
    </font>
    <font>
      <b/>
      <sz val="16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5AF42"/>
        <bgColor rgb="FFE5AF42"/>
      </patternFill>
    </fill>
    <fill>
      <patternFill patternType="solid">
        <fgColor rgb="FFFABE00"/>
        <bgColor rgb="FFFABE00"/>
      </patternFill>
    </fill>
    <fill>
      <patternFill patternType="solid">
        <fgColor rgb="FF92D050"/>
        <bgColor indexed="64"/>
      </patternFill>
    </fill>
    <fill>
      <patternFill patternType="solid">
        <fgColor rgb="FF0000FF"/>
        <bgColor indexed="64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3" fillId="0" borderId="0" applyFont="0" applyFill="0" applyBorder="0" applyAlignment="0" applyProtection="0"/>
  </cellStyleXfs>
  <cellXfs count="92">
    <xf numFmtId="0" fontId="0" fillId="0" borderId="0" xfId="0"/>
    <xf numFmtId="0" fontId="9" fillId="2" borderId="1" xfId="0" applyFont="1" applyFill="1" applyBorder="1" applyAlignment="1">
      <alignment wrapText="1"/>
    </xf>
    <xf numFmtId="0" fontId="10" fillId="0" borderId="0" xfId="0" applyFont="1"/>
    <xf numFmtId="43" fontId="9" fillId="2" borderId="1" xfId="1" applyFont="1" applyFill="1" applyBorder="1" applyAlignment="1">
      <alignment wrapText="1"/>
    </xf>
    <xf numFmtId="43" fontId="10" fillId="0" borderId="0" xfId="1" applyFont="1"/>
    <xf numFmtId="43" fontId="0" fillId="0" borderId="0" xfId="1" applyFont="1"/>
    <xf numFmtId="0" fontId="9" fillId="2" borderId="4" xfId="0" applyFont="1" applyFill="1" applyBorder="1" applyAlignment="1">
      <alignment wrapText="1"/>
    </xf>
    <xf numFmtId="0" fontId="8" fillId="0" borderId="0" xfId="0" applyFont="1"/>
    <xf numFmtId="43" fontId="0" fillId="0" borderId="0" xfId="0" applyNumberFormat="1"/>
    <xf numFmtId="43" fontId="0" fillId="4" borderId="0" xfId="1" applyFont="1" applyFill="1"/>
    <xf numFmtId="0" fontId="6" fillId="0" borderId="0" xfId="0" applyFont="1"/>
    <xf numFmtId="0" fontId="10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0" fillId="4" borderId="0" xfId="0" applyFill="1"/>
    <xf numFmtId="0" fontId="5" fillId="0" borderId="0" xfId="0" applyFont="1"/>
    <xf numFmtId="0" fontId="4" fillId="0" borderId="0" xfId="0" applyFont="1" applyAlignment="1">
      <alignment wrapText="1"/>
    </xf>
    <xf numFmtId="0" fontId="0" fillId="0" borderId="5" xfId="0" applyBorder="1"/>
    <xf numFmtId="0" fontId="14" fillId="5" borderId="5" xfId="0" applyFont="1" applyFill="1" applyBorder="1" applyAlignment="1">
      <alignment horizontal="center"/>
    </xf>
    <xf numFmtId="43" fontId="0" fillId="0" borderId="5" xfId="1" applyFont="1" applyBorder="1"/>
    <xf numFmtId="43" fontId="0" fillId="0" borderId="5" xfId="0" applyNumberFormat="1" applyBorder="1"/>
    <xf numFmtId="43" fontId="0" fillId="0" borderId="5" xfId="1" applyFont="1" applyFill="1" applyBorder="1"/>
    <xf numFmtId="0" fontId="14" fillId="5" borderId="8" xfId="0" applyFont="1" applyFill="1" applyBorder="1" applyAlignment="1">
      <alignment horizontal="center"/>
    </xf>
    <xf numFmtId="0" fontId="0" fillId="0" borderId="9" xfId="0" applyBorder="1"/>
    <xf numFmtId="0" fontId="13" fillId="0" borderId="8" xfId="0" applyFont="1" applyBorder="1"/>
    <xf numFmtId="0" fontId="0" fillId="0" borderId="8" xfId="0" applyBorder="1"/>
    <xf numFmtId="43" fontId="0" fillId="0" borderId="9" xfId="0" applyNumberFormat="1" applyBorder="1"/>
    <xf numFmtId="0" fontId="14" fillId="5" borderId="9" xfId="0" applyFont="1" applyFill="1" applyBorder="1" applyAlignment="1">
      <alignment horizontal="center"/>
    </xf>
    <xf numFmtId="0" fontId="10" fillId="0" borderId="8" xfId="0" applyFont="1" applyBorder="1"/>
    <xf numFmtId="0" fontId="7" fillId="0" borderId="8" xfId="0" applyFont="1" applyBorder="1"/>
    <xf numFmtId="0" fontId="6" fillId="0" borderId="8" xfId="0" applyFont="1" applyBorder="1"/>
    <xf numFmtId="0" fontId="4" fillId="0" borderId="8" xfId="0" applyFont="1" applyBorder="1"/>
    <xf numFmtId="0" fontId="13" fillId="0" borderId="10" xfId="0" applyFont="1" applyBorder="1" applyAlignment="1">
      <alignment horizontal="right"/>
    </xf>
    <xf numFmtId="43" fontId="0" fillId="0" borderId="11" xfId="0" applyNumberFormat="1" applyBorder="1"/>
    <xf numFmtId="0" fontId="0" fillId="0" borderId="12" xfId="0" applyBorder="1"/>
    <xf numFmtId="0" fontId="13" fillId="0" borderId="13" xfId="0" applyFont="1" applyBorder="1"/>
    <xf numFmtId="43" fontId="0" fillId="0" borderId="14" xfId="1" applyFont="1" applyBorder="1"/>
    <xf numFmtId="0" fontId="0" fillId="0" borderId="15" xfId="0" applyBorder="1"/>
    <xf numFmtId="0" fontId="14" fillId="5" borderId="16" xfId="0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0" fillId="5" borderId="18" xfId="0" applyFill="1" applyBorder="1"/>
    <xf numFmtId="0" fontId="14" fillId="5" borderId="8" xfId="0" applyFont="1" applyFill="1" applyBorder="1"/>
    <xf numFmtId="43" fontId="14" fillId="5" borderId="9" xfId="1" applyFont="1" applyFill="1" applyBorder="1"/>
    <xf numFmtId="43" fontId="0" fillId="0" borderId="9" xfId="1" applyFont="1" applyBorder="1"/>
    <xf numFmtId="43" fontId="0" fillId="0" borderId="12" xfId="1" applyFont="1" applyBorder="1"/>
    <xf numFmtId="0" fontId="3" fillId="0" borderId="10" xfId="0" applyFont="1" applyBorder="1" applyAlignment="1">
      <alignment horizontal="right"/>
    </xf>
    <xf numFmtId="43" fontId="14" fillId="5" borderId="9" xfId="1" applyFont="1" applyFill="1" applyBorder="1" applyAlignment="1">
      <alignment horizontal="center"/>
    </xf>
    <xf numFmtId="0" fontId="2" fillId="0" borderId="0" xfId="0" applyFont="1"/>
    <xf numFmtId="0" fontId="14" fillId="5" borderId="5" xfId="0" applyFont="1" applyFill="1" applyBorder="1"/>
    <xf numFmtId="0" fontId="14" fillId="5" borderId="9" xfId="0" applyFont="1" applyFill="1" applyBorder="1"/>
    <xf numFmtId="0" fontId="2" fillId="0" borderId="8" xfId="0" applyFont="1" applyBorder="1"/>
    <xf numFmtId="0" fontId="2" fillId="0" borderId="5" xfId="0" applyFont="1" applyBorder="1"/>
    <xf numFmtId="43" fontId="2" fillId="0" borderId="9" xfId="1" applyFont="1" applyBorder="1"/>
    <xf numFmtId="0" fontId="2" fillId="0" borderId="10" xfId="0" applyFont="1" applyBorder="1"/>
    <xf numFmtId="43" fontId="2" fillId="0" borderId="12" xfId="1" applyFont="1" applyBorder="1"/>
    <xf numFmtId="0" fontId="2" fillId="0" borderId="11" xfId="0" applyFont="1" applyBorder="1"/>
    <xf numFmtId="0" fontId="2" fillId="0" borderId="9" xfId="0" applyFont="1" applyBorder="1"/>
    <xf numFmtId="0" fontId="2" fillId="0" borderId="12" xfId="0" applyFont="1" applyBorder="1"/>
    <xf numFmtId="0" fontId="18" fillId="0" borderId="6" xfId="0" applyFont="1" applyBorder="1" applyAlignment="1">
      <alignment horizontal="center"/>
    </xf>
    <xf numFmtId="0" fontId="18" fillId="0" borderId="22" xfId="0" applyFont="1" applyBorder="1" applyAlignment="1">
      <alignment horizontal="center"/>
    </xf>
    <xf numFmtId="0" fontId="18" fillId="0" borderId="7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5" xfId="0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14" fillId="5" borderId="16" xfId="0" applyFont="1" applyFill="1" applyBorder="1" applyAlignment="1">
      <alignment horizontal="center"/>
    </xf>
    <xf numFmtId="0" fontId="14" fillId="5" borderId="17" xfId="0" applyFont="1" applyFill="1" applyBorder="1" applyAlignment="1">
      <alignment horizontal="center"/>
    </xf>
    <xf numFmtId="0" fontId="14" fillId="5" borderId="18" xfId="0" applyFont="1" applyFill="1" applyBorder="1" applyAlignment="1">
      <alignment horizontal="center"/>
    </xf>
    <xf numFmtId="0" fontId="14" fillId="5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7" fillId="0" borderId="6" xfId="0" applyFont="1" applyBorder="1" applyAlignment="1">
      <alignment horizontal="center" wrapText="1"/>
    </xf>
    <xf numFmtId="0" fontId="17" fillId="0" borderId="7" xfId="0" applyFont="1" applyBorder="1" applyAlignment="1">
      <alignment horizontal="center" wrapText="1"/>
    </xf>
    <xf numFmtId="0" fontId="16" fillId="0" borderId="6" xfId="0" applyFont="1" applyBorder="1" applyAlignment="1">
      <alignment horizontal="center"/>
    </xf>
    <xf numFmtId="0" fontId="16" fillId="0" borderId="7" xfId="0" applyFont="1" applyBorder="1" applyAlignment="1">
      <alignment horizontal="center"/>
    </xf>
    <xf numFmtId="0" fontId="13" fillId="0" borderId="6" xfId="0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9" xfId="0" applyBorder="1" applyAlignment="1">
      <alignment horizontal="center"/>
    </xf>
    <xf numFmtId="0" fontId="13" fillId="0" borderId="23" xfId="0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horizontal="center"/>
    </xf>
    <xf numFmtId="0" fontId="11" fillId="3" borderId="2" xfId="0" applyFont="1" applyFill="1" applyBorder="1"/>
    <xf numFmtId="0" fontId="12" fillId="0" borderId="3" xfId="0" applyFont="1" applyBorder="1"/>
    <xf numFmtId="0" fontId="12" fillId="0" borderId="4" xfId="0" applyFont="1" applyBorder="1"/>
    <xf numFmtId="0" fontId="1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1000"/>
  <sheetViews>
    <sheetView topLeftCell="F1" workbookViewId="0">
      <selection activeCell="E1" sqref="A1:E1048576"/>
    </sheetView>
  </sheetViews>
  <sheetFormatPr defaultColWidth="14.44140625" defaultRowHeight="15" customHeight="1" x14ac:dyDescent="0.3"/>
  <cols>
    <col min="1" max="1" width="0" hidden="1" customWidth="1"/>
    <col min="2" max="2" width="18.5546875" hidden="1" customWidth="1"/>
    <col min="3" max="3" width="37.6640625" hidden="1" customWidth="1"/>
    <col min="4" max="4" width="34.44140625" hidden="1" customWidth="1"/>
    <col min="5" max="5" width="10.33203125" style="5" hidden="1" customWidth="1"/>
    <col min="6" max="6" width="8.6640625" customWidth="1"/>
    <col min="7" max="7" width="17.88671875" bestFit="1" customWidth="1"/>
    <col min="8" max="8" width="34" bestFit="1" customWidth="1"/>
    <col min="9" max="27" width="8.6640625" customWidth="1"/>
  </cols>
  <sheetData>
    <row r="1" spans="2:9" ht="14.4" x14ac:dyDescent="0.3">
      <c r="B1" s="1" t="s">
        <v>0</v>
      </c>
      <c r="C1" s="1" t="s">
        <v>1</v>
      </c>
      <c r="D1" s="1" t="s">
        <v>2</v>
      </c>
      <c r="E1" s="3" t="s">
        <v>3</v>
      </c>
      <c r="G1" s="57" t="s">
        <v>555</v>
      </c>
      <c r="H1" s="58"/>
      <c r="I1" s="59"/>
    </row>
    <row r="2" spans="2:9" ht="14.4" x14ac:dyDescent="0.3">
      <c r="B2" s="2" t="s">
        <v>4</v>
      </c>
      <c r="C2" s="2" t="s">
        <v>5</v>
      </c>
      <c r="D2" s="2" t="s">
        <v>5</v>
      </c>
      <c r="E2" s="4" t="s">
        <v>5</v>
      </c>
      <c r="G2" s="60"/>
      <c r="H2" s="61"/>
      <c r="I2" s="62"/>
    </row>
    <row r="3" spans="2:9" ht="14.4" x14ac:dyDescent="0.3">
      <c r="B3" s="2" t="s">
        <v>4</v>
      </c>
      <c r="C3" s="2" t="s">
        <v>6</v>
      </c>
      <c r="D3" s="2" t="s">
        <v>7</v>
      </c>
      <c r="E3" s="4">
        <v>165.82</v>
      </c>
      <c r="G3" s="40" t="s">
        <v>556</v>
      </c>
      <c r="H3" s="47" t="s">
        <v>2</v>
      </c>
      <c r="I3" s="48" t="s">
        <v>557</v>
      </c>
    </row>
    <row r="4" spans="2:9" ht="14.4" x14ac:dyDescent="0.3">
      <c r="B4" s="2" t="s">
        <v>4</v>
      </c>
      <c r="C4" s="2" t="s">
        <v>8</v>
      </c>
      <c r="D4" s="2" t="s">
        <v>9</v>
      </c>
      <c r="E4" s="4">
        <v>172.94</v>
      </c>
      <c r="G4" s="49" t="s">
        <v>4</v>
      </c>
      <c r="H4" s="50" t="s">
        <v>7</v>
      </c>
      <c r="I4" s="22">
        <f>SUMIFS(E:E,B:B,G4,D:D,H4)</f>
        <v>165.82</v>
      </c>
    </row>
    <row r="5" spans="2:9" ht="14.4" x14ac:dyDescent="0.3">
      <c r="B5" s="2" t="s">
        <v>4</v>
      </c>
      <c r="C5" s="2" t="s">
        <v>10</v>
      </c>
      <c r="D5" s="2" t="s">
        <v>11</v>
      </c>
      <c r="E5" s="4">
        <v>155.28</v>
      </c>
      <c r="G5" s="49" t="s">
        <v>4</v>
      </c>
      <c r="H5" s="50" t="s">
        <v>9</v>
      </c>
      <c r="I5" s="22">
        <f t="shared" ref="I5:I10" si="0">SUMIFS(E:E,B:B,G5,D:D,H5)</f>
        <v>172.94</v>
      </c>
    </row>
    <row r="6" spans="2:9" ht="14.4" x14ac:dyDescent="0.3">
      <c r="B6" s="2" t="s">
        <v>12</v>
      </c>
      <c r="C6" s="2" t="s">
        <v>5</v>
      </c>
      <c r="D6" s="2" t="s">
        <v>5</v>
      </c>
      <c r="E6" s="4" t="s">
        <v>5</v>
      </c>
      <c r="G6" s="49" t="s">
        <v>4</v>
      </c>
      <c r="H6" s="50" t="s">
        <v>11</v>
      </c>
      <c r="I6" s="22">
        <f t="shared" si="0"/>
        <v>155.28</v>
      </c>
    </row>
    <row r="7" spans="2:9" ht="14.4" x14ac:dyDescent="0.3">
      <c r="B7" s="2" t="s">
        <v>12</v>
      </c>
      <c r="C7" s="2" t="s">
        <v>6</v>
      </c>
      <c r="D7" s="2" t="s">
        <v>7</v>
      </c>
      <c r="E7" s="4">
        <v>95.32</v>
      </c>
      <c r="G7" s="49" t="s">
        <v>4</v>
      </c>
      <c r="H7" s="50" t="s">
        <v>14</v>
      </c>
      <c r="I7" s="22">
        <f t="shared" si="0"/>
        <v>0</v>
      </c>
    </row>
    <row r="8" spans="2:9" ht="14.4" x14ac:dyDescent="0.3">
      <c r="B8" s="2" t="s">
        <v>12</v>
      </c>
      <c r="C8" s="2" t="s">
        <v>8</v>
      </c>
      <c r="D8" s="2" t="s">
        <v>9</v>
      </c>
      <c r="E8" s="4">
        <v>216.7</v>
      </c>
      <c r="G8" s="49" t="s">
        <v>4</v>
      </c>
      <c r="H8" s="50" t="s">
        <v>20</v>
      </c>
      <c r="I8" s="22">
        <f t="shared" si="0"/>
        <v>0</v>
      </c>
    </row>
    <row r="9" spans="2:9" ht="14.4" hidden="1" x14ac:dyDescent="0.3">
      <c r="B9" s="2" t="s">
        <v>12</v>
      </c>
      <c r="C9" s="2" t="s">
        <v>13</v>
      </c>
      <c r="D9" s="2" t="s">
        <v>14</v>
      </c>
      <c r="E9" s="4">
        <v>24.72</v>
      </c>
      <c r="G9" s="49" t="s">
        <v>4</v>
      </c>
      <c r="H9" s="50" t="s">
        <v>23</v>
      </c>
      <c r="I9" s="22">
        <f t="shared" si="0"/>
        <v>0</v>
      </c>
    </row>
    <row r="10" spans="2:9" ht="14.4" x14ac:dyDescent="0.3">
      <c r="B10" s="2" t="s">
        <v>12</v>
      </c>
      <c r="C10" s="2" t="s">
        <v>10</v>
      </c>
      <c r="D10" s="2" t="s">
        <v>11</v>
      </c>
      <c r="E10" s="4">
        <v>82.26</v>
      </c>
      <c r="G10" s="49" t="s">
        <v>4</v>
      </c>
      <c r="H10" s="50" t="s">
        <v>42</v>
      </c>
      <c r="I10" s="22">
        <f t="shared" si="0"/>
        <v>0</v>
      </c>
    </row>
    <row r="11" spans="2:9" ht="14.4" x14ac:dyDescent="0.3">
      <c r="B11" s="2" t="s">
        <v>15</v>
      </c>
      <c r="C11" s="2" t="s">
        <v>5</v>
      </c>
      <c r="D11" s="2" t="s">
        <v>5</v>
      </c>
      <c r="E11" s="4" t="s">
        <v>5</v>
      </c>
      <c r="G11" s="24"/>
      <c r="H11" s="16"/>
      <c r="I11" s="22"/>
    </row>
    <row r="12" spans="2:9" ht="14.4" x14ac:dyDescent="0.3">
      <c r="B12" s="2" t="s">
        <v>15</v>
      </c>
      <c r="C12" s="2" t="s">
        <v>6</v>
      </c>
      <c r="D12" s="2" t="s">
        <v>7</v>
      </c>
      <c r="E12" s="4">
        <v>17.600000000000001</v>
      </c>
      <c r="G12" s="40" t="s">
        <v>556</v>
      </c>
      <c r="H12" s="47" t="s">
        <v>2</v>
      </c>
      <c r="I12" s="48" t="s">
        <v>557</v>
      </c>
    </row>
    <row r="13" spans="2:9" ht="14.4" x14ac:dyDescent="0.3">
      <c r="B13" s="2" t="s">
        <v>15</v>
      </c>
      <c r="C13" s="2" t="s">
        <v>8</v>
      </c>
      <c r="D13" s="2" t="s">
        <v>9</v>
      </c>
      <c r="E13" s="4">
        <v>203.66</v>
      </c>
      <c r="G13" s="49" t="s">
        <v>12</v>
      </c>
      <c r="H13" s="50" t="s">
        <v>7</v>
      </c>
      <c r="I13" s="22">
        <f>SUMIFS(E:E,B:B,G13,D:D,H13)</f>
        <v>95.32</v>
      </c>
    </row>
    <row r="14" spans="2:9" ht="14.4" x14ac:dyDescent="0.3">
      <c r="B14" s="2" t="s">
        <v>15</v>
      </c>
      <c r="C14" s="2" t="s">
        <v>10</v>
      </c>
      <c r="D14" s="2" t="s">
        <v>11</v>
      </c>
      <c r="E14" s="4">
        <v>49.56</v>
      </c>
      <c r="G14" s="49" t="s">
        <v>12</v>
      </c>
      <c r="H14" s="50" t="s">
        <v>9</v>
      </c>
      <c r="I14" s="22">
        <f t="shared" ref="I14:I19" si="1">SUMIFS(E:E,B:B,G14,D:D,H14)</f>
        <v>216.7</v>
      </c>
    </row>
    <row r="15" spans="2:9" ht="14.4" x14ac:dyDescent="0.3">
      <c r="B15" s="2" t="s">
        <v>16</v>
      </c>
      <c r="C15" s="2" t="s">
        <v>5</v>
      </c>
      <c r="D15" s="2" t="s">
        <v>5</v>
      </c>
      <c r="E15" s="4" t="s">
        <v>5</v>
      </c>
      <c r="G15" s="49" t="s">
        <v>12</v>
      </c>
      <c r="H15" s="50" t="s">
        <v>11</v>
      </c>
      <c r="I15" s="22">
        <f t="shared" si="1"/>
        <v>82.26</v>
      </c>
    </row>
    <row r="16" spans="2:9" ht="14.4" x14ac:dyDescent="0.3">
      <c r="B16" s="2" t="s">
        <v>16</v>
      </c>
      <c r="C16" s="2" t="s">
        <v>6</v>
      </c>
      <c r="D16" s="2" t="s">
        <v>7</v>
      </c>
      <c r="E16" s="4">
        <v>18.760000000000002</v>
      </c>
      <c r="G16" s="49" t="s">
        <v>12</v>
      </c>
      <c r="H16" s="50" t="s">
        <v>14</v>
      </c>
      <c r="I16" s="22">
        <f t="shared" si="1"/>
        <v>24.72</v>
      </c>
    </row>
    <row r="17" spans="1:9" ht="14.4" x14ac:dyDescent="0.3">
      <c r="B17" s="2" t="s">
        <v>16</v>
      </c>
      <c r="C17" s="2" t="s">
        <v>8</v>
      </c>
      <c r="D17" s="2" t="s">
        <v>9</v>
      </c>
      <c r="E17" s="4">
        <v>206.95</v>
      </c>
      <c r="G17" s="49" t="s">
        <v>12</v>
      </c>
      <c r="H17" s="50" t="s">
        <v>20</v>
      </c>
      <c r="I17" s="22">
        <f t="shared" si="1"/>
        <v>0</v>
      </c>
    </row>
    <row r="18" spans="1:9" ht="14.4" x14ac:dyDescent="0.3">
      <c r="B18" s="2" t="s">
        <v>16</v>
      </c>
      <c r="C18" s="2" t="s">
        <v>10</v>
      </c>
      <c r="D18" s="2" t="s">
        <v>11</v>
      </c>
      <c r="E18" s="4">
        <v>49.57</v>
      </c>
      <c r="G18" s="49" t="s">
        <v>12</v>
      </c>
      <c r="H18" s="50" t="s">
        <v>23</v>
      </c>
      <c r="I18" s="22">
        <f t="shared" si="1"/>
        <v>0</v>
      </c>
    </row>
    <row r="19" spans="1:9" ht="14.4" x14ac:dyDescent="0.3">
      <c r="B19" s="2" t="s">
        <v>17</v>
      </c>
      <c r="C19" s="2" t="s">
        <v>5</v>
      </c>
      <c r="D19" s="2" t="s">
        <v>5</v>
      </c>
      <c r="E19" s="4" t="s">
        <v>5</v>
      </c>
      <c r="G19" s="49" t="s">
        <v>12</v>
      </c>
      <c r="H19" s="50" t="s">
        <v>42</v>
      </c>
      <c r="I19" s="22">
        <f t="shared" si="1"/>
        <v>0</v>
      </c>
    </row>
    <row r="20" spans="1:9" ht="14.4" x14ac:dyDescent="0.3">
      <c r="B20" s="2" t="s">
        <v>17</v>
      </c>
      <c r="C20" s="2" t="s">
        <v>6</v>
      </c>
      <c r="D20" s="2" t="s">
        <v>7</v>
      </c>
      <c r="E20" s="4">
        <v>19.12</v>
      </c>
      <c r="G20" s="24"/>
      <c r="H20" s="16"/>
      <c r="I20" s="22"/>
    </row>
    <row r="21" spans="1:9" ht="15.75" customHeight="1" x14ac:dyDescent="0.3">
      <c r="B21" s="2" t="s">
        <v>17</v>
      </c>
      <c r="C21" s="2" t="s">
        <v>8</v>
      </c>
      <c r="D21" s="2" t="s">
        <v>9</v>
      </c>
      <c r="E21" s="4">
        <v>221.73</v>
      </c>
      <c r="G21" s="40" t="s">
        <v>556</v>
      </c>
      <c r="H21" s="47" t="s">
        <v>2</v>
      </c>
      <c r="I21" s="48" t="s">
        <v>557</v>
      </c>
    </row>
    <row r="22" spans="1:9" ht="15.75" customHeight="1" x14ac:dyDescent="0.3">
      <c r="B22" s="2" t="s">
        <v>17</v>
      </c>
      <c r="C22" s="2" t="s">
        <v>10</v>
      </c>
      <c r="D22" s="2" t="s">
        <v>11</v>
      </c>
      <c r="E22" s="4">
        <v>49.98</v>
      </c>
      <c r="G22" s="49" t="s">
        <v>15</v>
      </c>
      <c r="H22" s="50" t="s">
        <v>7</v>
      </c>
      <c r="I22" s="22">
        <f>SUMIFS(E:E,B:B,G22,D:D,H22)</f>
        <v>17.600000000000001</v>
      </c>
    </row>
    <row r="23" spans="1:9" ht="15.75" customHeight="1" x14ac:dyDescent="0.3">
      <c r="B23" s="2" t="s">
        <v>18</v>
      </c>
      <c r="C23" s="2" t="s">
        <v>5</v>
      </c>
      <c r="D23" s="2" t="s">
        <v>5</v>
      </c>
      <c r="E23" s="4" t="s">
        <v>5</v>
      </c>
      <c r="G23" s="49" t="s">
        <v>15</v>
      </c>
      <c r="H23" s="50" t="s">
        <v>9</v>
      </c>
      <c r="I23" s="22">
        <f t="shared" ref="I23:I28" si="2">SUMIFS(E:E,B:B,G23,D:D,H23)</f>
        <v>203.66</v>
      </c>
    </row>
    <row r="24" spans="1:9" ht="15.75" customHeight="1" x14ac:dyDescent="0.3">
      <c r="B24" s="2" t="s">
        <v>18</v>
      </c>
      <c r="C24" s="2" t="s">
        <v>6</v>
      </c>
      <c r="D24" s="2" t="s">
        <v>7</v>
      </c>
      <c r="E24" s="4">
        <v>412.91</v>
      </c>
      <c r="G24" s="49" t="s">
        <v>15</v>
      </c>
      <c r="H24" s="50" t="s">
        <v>11</v>
      </c>
      <c r="I24" s="22">
        <f t="shared" si="2"/>
        <v>49.56</v>
      </c>
    </row>
    <row r="25" spans="1:9" ht="15.75" customHeight="1" x14ac:dyDescent="0.3">
      <c r="B25" s="2" t="s">
        <v>18</v>
      </c>
      <c r="C25" s="2" t="s">
        <v>8</v>
      </c>
      <c r="D25" s="2" t="s">
        <v>9</v>
      </c>
      <c r="E25" s="4">
        <v>62.94</v>
      </c>
      <c r="G25" s="49" t="s">
        <v>15</v>
      </c>
      <c r="H25" s="50" t="s">
        <v>14</v>
      </c>
      <c r="I25" s="22">
        <f t="shared" si="2"/>
        <v>0</v>
      </c>
    </row>
    <row r="26" spans="1:9" ht="15.75" hidden="1" customHeight="1" x14ac:dyDescent="0.3">
      <c r="B26" s="2" t="s">
        <v>18</v>
      </c>
      <c r="C26" s="2" t="s">
        <v>13</v>
      </c>
      <c r="D26" s="2" t="s">
        <v>14</v>
      </c>
      <c r="E26" s="4">
        <v>10.39</v>
      </c>
      <c r="G26" s="49" t="s">
        <v>15</v>
      </c>
      <c r="H26" s="50" t="s">
        <v>20</v>
      </c>
      <c r="I26" s="22">
        <f t="shared" si="2"/>
        <v>0</v>
      </c>
    </row>
    <row r="27" spans="1:9" ht="15.75" customHeight="1" x14ac:dyDescent="0.3">
      <c r="B27" s="2" t="s">
        <v>18</v>
      </c>
      <c r="C27" s="2" t="s">
        <v>10</v>
      </c>
      <c r="D27" s="2" t="s">
        <v>11</v>
      </c>
      <c r="E27" s="4">
        <v>48.46</v>
      </c>
      <c r="G27" s="49" t="s">
        <v>15</v>
      </c>
      <c r="H27" s="50" t="s">
        <v>23</v>
      </c>
      <c r="I27" s="22">
        <f t="shared" si="2"/>
        <v>0</v>
      </c>
    </row>
    <row r="28" spans="1:9" ht="15.75" hidden="1" customHeight="1" x14ac:dyDescent="0.3">
      <c r="B28" s="2" t="s">
        <v>18</v>
      </c>
      <c r="C28" s="2" t="s">
        <v>19</v>
      </c>
      <c r="D28" s="2" t="s">
        <v>20</v>
      </c>
      <c r="E28" s="4">
        <v>8.56</v>
      </c>
      <c r="G28" s="49" t="s">
        <v>15</v>
      </c>
      <c r="H28" s="50" t="s">
        <v>42</v>
      </c>
      <c r="I28" s="22">
        <f t="shared" si="2"/>
        <v>0</v>
      </c>
    </row>
    <row r="29" spans="1:9" ht="15.75" customHeight="1" x14ac:dyDescent="0.3">
      <c r="A29" s="46" t="s">
        <v>554</v>
      </c>
      <c r="B29" s="2" t="s">
        <v>21</v>
      </c>
      <c r="C29" s="2" t="s">
        <v>5</v>
      </c>
      <c r="D29" s="2" t="s">
        <v>5</v>
      </c>
      <c r="E29" s="4" t="s">
        <v>5</v>
      </c>
      <c r="G29" s="24"/>
      <c r="H29" s="16"/>
      <c r="I29" s="22"/>
    </row>
    <row r="30" spans="1:9" ht="15.75" customHeight="1" x14ac:dyDescent="0.3">
      <c r="A30" s="46" t="s">
        <v>554</v>
      </c>
      <c r="B30" s="2" t="s">
        <v>21</v>
      </c>
      <c r="C30" s="2" t="s">
        <v>6</v>
      </c>
      <c r="D30" s="2" t="s">
        <v>7</v>
      </c>
      <c r="E30" s="4">
        <v>118.41</v>
      </c>
      <c r="G30" s="40" t="s">
        <v>556</v>
      </c>
      <c r="H30" s="47" t="s">
        <v>2</v>
      </c>
      <c r="I30" s="48" t="s">
        <v>557</v>
      </c>
    </row>
    <row r="31" spans="1:9" ht="15.75" customHeight="1" x14ac:dyDescent="0.3">
      <c r="A31" s="46" t="s">
        <v>554</v>
      </c>
      <c r="B31" s="2" t="s">
        <v>21</v>
      </c>
      <c r="C31" s="2" t="s">
        <v>8</v>
      </c>
      <c r="D31" s="2" t="s">
        <v>9</v>
      </c>
      <c r="E31" s="4">
        <v>92.49</v>
      </c>
      <c r="G31" s="49" t="s">
        <v>16</v>
      </c>
      <c r="H31" s="50" t="s">
        <v>7</v>
      </c>
      <c r="I31" s="22">
        <f>SUMIFS(E:E,B:B,G31,D:D,H31)</f>
        <v>18.760000000000002</v>
      </c>
    </row>
    <row r="32" spans="1:9" ht="15.75" hidden="1" customHeight="1" x14ac:dyDescent="0.3">
      <c r="B32" s="2" t="s">
        <v>21</v>
      </c>
      <c r="C32" s="2" t="s">
        <v>13</v>
      </c>
      <c r="D32" s="2" t="s">
        <v>14</v>
      </c>
      <c r="E32" s="4">
        <v>266.45</v>
      </c>
      <c r="G32" s="49" t="s">
        <v>16</v>
      </c>
      <c r="H32" s="50" t="s">
        <v>9</v>
      </c>
      <c r="I32" s="22">
        <f t="shared" ref="I32:I37" si="3">SUMIFS(E:E,B:B,G32,D:D,H32)</f>
        <v>206.95</v>
      </c>
    </row>
    <row r="33" spans="1:9" ht="15.75" hidden="1" customHeight="1" x14ac:dyDescent="0.3">
      <c r="B33" s="2" t="s">
        <v>21</v>
      </c>
      <c r="C33" s="2" t="s">
        <v>22</v>
      </c>
      <c r="D33" s="2" t="s">
        <v>23</v>
      </c>
      <c r="E33" s="4">
        <v>21</v>
      </c>
      <c r="G33" s="49" t="s">
        <v>16</v>
      </c>
      <c r="H33" s="50" t="s">
        <v>11</v>
      </c>
      <c r="I33" s="22">
        <f t="shared" si="3"/>
        <v>49.57</v>
      </c>
    </row>
    <row r="34" spans="1:9" ht="15.75" customHeight="1" x14ac:dyDescent="0.3">
      <c r="A34" s="46" t="s">
        <v>554</v>
      </c>
      <c r="B34" s="2" t="s">
        <v>21</v>
      </c>
      <c r="C34" s="2" t="s">
        <v>10</v>
      </c>
      <c r="D34" s="2" t="s">
        <v>11</v>
      </c>
      <c r="E34" s="4">
        <v>71.53</v>
      </c>
      <c r="G34" s="49" t="s">
        <v>16</v>
      </c>
      <c r="H34" s="50" t="s">
        <v>14</v>
      </c>
      <c r="I34" s="22">
        <f t="shared" si="3"/>
        <v>0</v>
      </c>
    </row>
    <row r="35" spans="1:9" ht="15.75" hidden="1" customHeight="1" x14ac:dyDescent="0.3">
      <c r="B35" s="2" t="s">
        <v>21</v>
      </c>
      <c r="C35" s="2" t="s">
        <v>19</v>
      </c>
      <c r="D35" s="2" t="s">
        <v>20</v>
      </c>
      <c r="E35" s="4">
        <v>6.36</v>
      </c>
      <c r="G35" s="49" t="s">
        <v>16</v>
      </c>
      <c r="H35" s="50" t="s">
        <v>20</v>
      </c>
      <c r="I35" s="22">
        <f t="shared" si="3"/>
        <v>0</v>
      </c>
    </row>
    <row r="36" spans="1:9" ht="15.75" customHeight="1" x14ac:dyDescent="0.3">
      <c r="A36" s="46" t="s">
        <v>554</v>
      </c>
      <c r="B36" s="2" t="s">
        <v>24</v>
      </c>
      <c r="C36" s="2" t="s">
        <v>5</v>
      </c>
      <c r="D36" s="2" t="s">
        <v>5</v>
      </c>
      <c r="E36" s="4" t="s">
        <v>5</v>
      </c>
      <c r="G36" s="49" t="s">
        <v>16</v>
      </c>
      <c r="H36" s="50" t="s">
        <v>23</v>
      </c>
      <c r="I36" s="22">
        <f t="shared" si="3"/>
        <v>0</v>
      </c>
    </row>
    <row r="37" spans="1:9" ht="15.75" customHeight="1" x14ac:dyDescent="0.3">
      <c r="A37" s="46" t="s">
        <v>554</v>
      </c>
      <c r="B37" s="2" t="s">
        <v>24</v>
      </c>
      <c r="C37" s="2" t="s">
        <v>6</v>
      </c>
      <c r="D37" s="2" t="s">
        <v>7</v>
      </c>
      <c r="E37" s="4">
        <v>118.31</v>
      </c>
      <c r="G37" s="49" t="s">
        <v>16</v>
      </c>
      <c r="H37" s="50" t="s">
        <v>42</v>
      </c>
      <c r="I37" s="22">
        <f t="shared" si="3"/>
        <v>0</v>
      </c>
    </row>
    <row r="38" spans="1:9" ht="15.75" customHeight="1" x14ac:dyDescent="0.3">
      <c r="A38" s="46" t="s">
        <v>554</v>
      </c>
      <c r="B38" s="2" t="s">
        <v>24</v>
      </c>
      <c r="C38" s="2" t="s">
        <v>8</v>
      </c>
      <c r="D38" s="2" t="s">
        <v>9</v>
      </c>
      <c r="E38" s="4">
        <v>92.49</v>
      </c>
      <c r="G38" s="24"/>
      <c r="H38" s="16"/>
      <c r="I38" s="22"/>
    </row>
    <row r="39" spans="1:9" ht="15.75" hidden="1" customHeight="1" x14ac:dyDescent="0.3">
      <c r="B39" s="2" t="s">
        <v>24</v>
      </c>
      <c r="C39" s="2" t="s">
        <v>13</v>
      </c>
      <c r="D39" s="2" t="s">
        <v>14</v>
      </c>
      <c r="E39" s="4">
        <v>266.62</v>
      </c>
      <c r="G39" s="40" t="s">
        <v>556</v>
      </c>
      <c r="H39" s="47" t="s">
        <v>2</v>
      </c>
      <c r="I39" s="48" t="s">
        <v>557</v>
      </c>
    </row>
    <row r="40" spans="1:9" ht="15.75" hidden="1" customHeight="1" x14ac:dyDescent="0.3">
      <c r="B40" s="2" t="s">
        <v>24</v>
      </c>
      <c r="C40" s="2" t="s">
        <v>22</v>
      </c>
      <c r="D40" s="2" t="s">
        <v>23</v>
      </c>
      <c r="E40" s="4">
        <v>21</v>
      </c>
      <c r="G40" s="49" t="s">
        <v>17</v>
      </c>
      <c r="H40" s="50" t="s">
        <v>7</v>
      </c>
      <c r="I40" s="22">
        <f>SUMIFS(E:E,B:B,G40,D:D,H40)</f>
        <v>19.12</v>
      </c>
    </row>
    <row r="41" spans="1:9" ht="15.75" customHeight="1" x14ac:dyDescent="0.3">
      <c r="A41" s="46" t="s">
        <v>554</v>
      </c>
      <c r="B41" s="2" t="s">
        <v>24</v>
      </c>
      <c r="C41" s="2" t="s">
        <v>10</v>
      </c>
      <c r="D41" s="2" t="s">
        <v>11</v>
      </c>
      <c r="E41" s="4">
        <v>71.540000000000006</v>
      </c>
      <c r="G41" s="49" t="s">
        <v>17</v>
      </c>
      <c r="H41" s="50" t="s">
        <v>9</v>
      </c>
      <c r="I41" s="22">
        <f t="shared" ref="I41:I46" si="4">SUMIFS(E:E,B:B,G41,D:D,H41)</f>
        <v>221.73</v>
      </c>
    </row>
    <row r="42" spans="1:9" ht="15.75" hidden="1" customHeight="1" x14ac:dyDescent="0.3">
      <c r="B42" s="2" t="s">
        <v>24</v>
      </c>
      <c r="C42" s="2" t="s">
        <v>19</v>
      </c>
      <c r="D42" s="2" t="s">
        <v>20</v>
      </c>
      <c r="E42" s="4">
        <v>6.36</v>
      </c>
      <c r="G42" s="49" t="s">
        <v>17</v>
      </c>
      <c r="H42" s="50" t="s">
        <v>11</v>
      </c>
      <c r="I42" s="22">
        <f t="shared" si="4"/>
        <v>49.98</v>
      </c>
    </row>
    <row r="43" spans="1:9" ht="15.75" customHeight="1" x14ac:dyDescent="0.3">
      <c r="A43" s="46" t="s">
        <v>554</v>
      </c>
      <c r="B43" s="2" t="s">
        <v>25</v>
      </c>
      <c r="C43" s="2" t="s">
        <v>5</v>
      </c>
      <c r="D43" s="2" t="s">
        <v>5</v>
      </c>
      <c r="E43" s="4" t="s">
        <v>5</v>
      </c>
      <c r="G43" s="49" t="s">
        <v>17</v>
      </c>
      <c r="H43" s="50" t="s">
        <v>14</v>
      </c>
      <c r="I43" s="22">
        <f t="shared" si="4"/>
        <v>0</v>
      </c>
    </row>
    <row r="44" spans="1:9" ht="15.75" customHeight="1" x14ac:dyDescent="0.3">
      <c r="A44" s="46" t="s">
        <v>554</v>
      </c>
      <c r="B44" s="2" t="s">
        <v>25</v>
      </c>
      <c r="C44" s="2" t="s">
        <v>6</v>
      </c>
      <c r="D44" s="2" t="s">
        <v>7</v>
      </c>
      <c r="E44" s="4">
        <v>118.31</v>
      </c>
      <c r="G44" s="49" t="s">
        <v>17</v>
      </c>
      <c r="H44" s="50" t="s">
        <v>20</v>
      </c>
      <c r="I44" s="22">
        <f t="shared" si="4"/>
        <v>0</v>
      </c>
    </row>
    <row r="45" spans="1:9" ht="15.75" customHeight="1" x14ac:dyDescent="0.3">
      <c r="A45" s="46" t="s">
        <v>554</v>
      </c>
      <c r="B45" s="2" t="s">
        <v>25</v>
      </c>
      <c r="C45" s="2" t="s">
        <v>8</v>
      </c>
      <c r="D45" s="2" t="s">
        <v>9</v>
      </c>
      <c r="E45" s="4">
        <v>92.49</v>
      </c>
      <c r="G45" s="49" t="s">
        <v>17</v>
      </c>
      <c r="H45" s="50" t="s">
        <v>23</v>
      </c>
      <c r="I45" s="22">
        <f t="shared" si="4"/>
        <v>0</v>
      </c>
    </row>
    <row r="46" spans="1:9" ht="15.75" hidden="1" customHeight="1" x14ac:dyDescent="0.3">
      <c r="B46" s="2" t="s">
        <v>25</v>
      </c>
      <c r="C46" s="2" t="s">
        <v>13</v>
      </c>
      <c r="D46" s="2" t="s">
        <v>14</v>
      </c>
      <c r="E46" s="4">
        <v>266.62</v>
      </c>
      <c r="G46" s="49" t="s">
        <v>17</v>
      </c>
      <c r="H46" s="50" t="s">
        <v>42</v>
      </c>
      <c r="I46" s="22">
        <f t="shared" si="4"/>
        <v>0</v>
      </c>
    </row>
    <row r="47" spans="1:9" ht="15.75" hidden="1" customHeight="1" x14ac:dyDescent="0.3">
      <c r="B47" s="2" t="s">
        <v>25</v>
      </c>
      <c r="C47" s="2" t="s">
        <v>22</v>
      </c>
      <c r="D47" s="2" t="s">
        <v>23</v>
      </c>
      <c r="E47" s="4">
        <v>21</v>
      </c>
      <c r="G47" s="24"/>
      <c r="H47" s="16"/>
      <c r="I47" s="22"/>
    </row>
    <row r="48" spans="1:9" ht="15.75" customHeight="1" x14ac:dyDescent="0.3">
      <c r="A48" s="46" t="s">
        <v>554</v>
      </c>
      <c r="B48" s="2" t="s">
        <v>25</v>
      </c>
      <c r="C48" s="2" t="s">
        <v>10</v>
      </c>
      <c r="D48" s="2" t="s">
        <v>11</v>
      </c>
      <c r="E48" s="4">
        <v>71.540000000000006</v>
      </c>
      <c r="G48" s="40" t="s">
        <v>556</v>
      </c>
      <c r="H48" s="47" t="s">
        <v>2</v>
      </c>
      <c r="I48" s="48" t="s">
        <v>557</v>
      </c>
    </row>
    <row r="49" spans="1:9" ht="15.75" hidden="1" customHeight="1" x14ac:dyDescent="0.3">
      <c r="B49" s="2" t="s">
        <v>25</v>
      </c>
      <c r="C49" s="2" t="s">
        <v>19</v>
      </c>
      <c r="D49" s="2" t="s">
        <v>20</v>
      </c>
      <c r="E49" s="4">
        <v>6.36</v>
      </c>
      <c r="G49" s="49" t="s">
        <v>18</v>
      </c>
      <c r="H49" s="50" t="s">
        <v>7</v>
      </c>
      <c r="I49" s="22">
        <f>SUMIFS(E:E,B:B,G49,D:D,H49)</f>
        <v>412.91</v>
      </c>
    </row>
    <row r="50" spans="1:9" ht="15.75" customHeight="1" x14ac:dyDescent="0.3">
      <c r="A50" s="46" t="s">
        <v>554</v>
      </c>
      <c r="B50" s="2" t="s">
        <v>26</v>
      </c>
      <c r="C50" s="2" t="s">
        <v>5</v>
      </c>
      <c r="D50" s="2" t="s">
        <v>5</v>
      </c>
      <c r="E50" s="4" t="s">
        <v>5</v>
      </c>
      <c r="G50" s="49" t="s">
        <v>18</v>
      </c>
      <c r="H50" s="50" t="s">
        <v>9</v>
      </c>
      <c r="I50" s="22">
        <f t="shared" ref="I50:I55" si="5">SUMIFS(E:E,B:B,G50,D:D,H50)</f>
        <v>62.94</v>
      </c>
    </row>
    <row r="51" spans="1:9" ht="15.75" customHeight="1" x14ac:dyDescent="0.3">
      <c r="A51" s="46" t="s">
        <v>554</v>
      </c>
      <c r="B51" s="2" t="s">
        <v>26</v>
      </c>
      <c r="C51" s="2" t="s">
        <v>6</v>
      </c>
      <c r="D51" s="2" t="s">
        <v>7</v>
      </c>
      <c r="E51" s="4">
        <v>118.31</v>
      </c>
      <c r="G51" s="49" t="s">
        <v>18</v>
      </c>
      <c r="H51" s="50" t="s">
        <v>11</v>
      </c>
      <c r="I51" s="22">
        <f t="shared" si="5"/>
        <v>48.46</v>
      </c>
    </row>
    <row r="52" spans="1:9" ht="15.75" customHeight="1" x14ac:dyDescent="0.3">
      <c r="A52" s="46" t="s">
        <v>554</v>
      </c>
      <c r="B52" s="2" t="s">
        <v>26</v>
      </c>
      <c r="C52" s="2" t="s">
        <v>8</v>
      </c>
      <c r="D52" s="2" t="s">
        <v>9</v>
      </c>
      <c r="E52" s="4">
        <v>92.49</v>
      </c>
      <c r="G52" s="49" t="s">
        <v>18</v>
      </c>
      <c r="H52" s="50" t="s">
        <v>14</v>
      </c>
      <c r="I52" s="22">
        <f t="shared" si="5"/>
        <v>10.39</v>
      </c>
    </row>
    <row r="53" spans="1:9" ht="15.75" hidden="1" customHeight="1" x14ac:dyDescent="0.3">
      <c r="B53" s="2" t="s">
        <v>26</v>
      </c>
      <c r="C53" s="2" t="s">
        <v>13</v>
      </c>
      <c r="D53" s="2" t="s">
        <v>14</v>
      </c>
      <c r="E53" s="4">
        <v>266.62</v>
      </c>
      <c r="G53" s="49" t="s">
        <v>18</v>
      </c>
      <c r="H53" s="50" t="s">
        <v>20</v>
      </c>
      <c r="I53" s="22">
        <f t="shared" si="5"/>
        <v>8.56</v>
      </c>
    </row>
    <row r="54" spans="1:9" ht="15.75" hidden="1" customHeight="1" x14ac:dyDescent="0.3">
      <c r="B54" s="2" t="s">
        <v>26</v>
      </c>
      <c r="C54" s="2" t="s">
        <v>22</v>
      </c>
      <c r="D54" s="2" t="s">
        <v>23</v>
      </c>
      <c r="E54" s="4">
        <v>21</v>
      </c>
      <c r="G54" s="49" t="s">
        <v>18</v>
      </c>
      <c r="H54" s="50" t="s">
        <v>23</v>
      </c>
      <c r="I54" s="22">
        <f t="shared" si="5"/>
        <v>0</v>
      </c>
    </row>
    <row r="55" spans="1:9" ht="15.75" customHeight="1" x14ac:dyDescent="0.3">
      <c r="A55" s="46" t="s">
        <v>554</v>
      </c>
      <c r="B55" s="2" t="s">
        <v>26</v>
      </c>
      <c r="C55" s="2" t="s">
        <v>10</v>
      </c>
      <c r="D55" s="2" t="s">
        <v>11</v>
      </c>
      <c r="E55" s="4">
        <v>71.540000000000006</v>
      </c>
      <c r="G55" s="49" t="s">
        <v>18</v>
      </c>
      <c r="H55" s="50" t="s">
        <v>42</v>
      </c>
      <c r="I55" s="22">
        <f t="shared" si="5"/>
        <v>0</v>
      </c>
    </row>
    <row r="56" spans="1:9" ht="15.75" hidden="1" customHeight="1" x14ac:dyDescent="0.3">
      <c r="B56" s="2" t="s">
        <v>26</v>
      </c>
      <c r="C56" s="2" t="s">
        <v>19</v>
      </c>
      <c r="D56" s="2" t="s">
        <v>20</v>
      </c>
      <c r="E56" s="4">
        <v>6.36</v>
      </c>
      <c r="G56" s="24"/>
      <c r="H56" s="16"/>
      <c r="I56" s="22"/>
    </row>
    <row r="57" spans="1:9" ht="15.75" customHeight="1" x14ac:dyDescent="0.3">
      <c r="A57" s="46" t="s">
        <v>554</v>
      </c>
      <c r="B57" s="2" t="s">
        <v>27</v>
      </c>
      <c r="C57" s="2" t="s">
        <v>5</v>
      </c>
      <c r="D57" s="2" t="s">
        <v>5</v>
      </c>
      <c r="E57" s="4" t="s">
        <v>5</v>
      </c>
      <c r="G57" s="40" t="s">
        <v>556</v>
      </c>
      <c r="H57" s="47" t="s">
        <v>2</v>
      </c>
      <c r="I57" s="48" t="s">
        <v>557</v>
      </c>
    </row>
    <row r="58" spans="1:9" ht="15.75" customHeight="1" x14ac:dyDescent="0.3">
      <c r="A58" s="46" t="s">
        <v>554</v>
      </c>
      <c r="B58" s="2" t="s">
        <v>27</v>
      </c>
      <c r="C58" s="2" t="s">
        <v>6</v>
      </c>
      <c r="D58" s="2" t="s">
        <v>7</v>
      </c>
      <c r="E58" s="4">
        <v>105.93</v>
      </c>
      <c r="G58" s="49" t="s">
        <v>554</v>
      </c>
      <c r="H58" s="50" t="s">
        <v>7</v>
      </c>
      <c r="I58" s="22">
        <f t="shared" ref="I58:I64" si="6">SUMIFS(E:E,A:A,G58,D:D,H58)</f>
        <v>1762.3699999999994</v>
      </c>
    </row>
    <row r="59" spans="1:9" ht="15.75" customHeight="1" x14ac:dyDescent="0.3">
      <c r="A59" s="46" t="s">
        <v>554</v>
      </c>
      <c r="B59" s="2" t="s">
        <v>27</v>
      </c>
      <c r="C59" s="2" t="s">
        <v>8</v>
      </c>
      <c r="D59" s="2" t="s">
        <v>9</v>
      </c>
      <c r="E59" s="4">
        <v>92.49</v>
      </c>
      <c r="G59" s="49" t="s">
        <v>554</v>
      </c>
      <c r="H59" s="50" t="s">
        <v>9</v>
      </c>
      <c r="I59" s="22">
        <f t="shared" si="6"/>
        <v>1387.35</v>
      </c>
    </row>
    <row r="60" spans="1:9" ht="15.75" hidden="1" customHeight="1" x14ac:dyDescent="0.3">
      <c r="B60" s="2" t="s">
        <v>27</v>
      </c>
      <c r="C60" s="2" t="s">
        <v>13</v>
      </c>
      <c r="D60" s="2" t="s">
        <v>14</v>
      </c>
      <c r="E60" s="4">
        <v>263.64</v>
      </c>
      <c r="G60" s="49" t="s">
        <v>554</v>
      </c>
      <c r="H60" s="50" t="s">
        <v>11</v>
      </c>
      <c r="I60" s="22">
        <f t="shared" si="6"/>
        <v>1018.8099999999998</v>
      </c>
    </row>
    <row r="61" spans="1:9" ht="15.75" hidden="1" customHeight="1" x14ac:dyDescent="0.3">
      <c r="B61" s="2" t="s">
        <v>27</v>
      </c>
      <c r="C61" s="2" t="s">
        <v>22</v>
      </c>
      <c r="D61" s="2" t="s">
        <v>23</v>
      </c>
      <c r="E61" s="4">
        <v>21</v>
      </c>
      <c r="G61" s="49" t="s">
        <v>554</v>
      </c>
      <c r="H61" s="50" t="s">
        <v>14</v>
      </c>
      <c r="I61" s="22">
        <f t="shared" si="6"/>
        <v>0</v>
      </c>
    </row>
    <row r="62" spans="1:9" ht="15.75" customHeight="1" x14ac:dyDescent="0.3">
      <c r="A62" s="46" t="s">
        <v>554</v>
      </c>
      <c r="B62" s="2" t="s">
        <v>27</v>
      </c>
      <c r="C62" s="2" t="s">
        <v>10</v>
      </c>
      <c r="D62" s="2" t="s">
        <v>11</v>
      </c>
      <c r="E62" s="4">
        <v>17.260000000000002</v>
      </c>
      <c r="G62" s="49" t="s">
        <v>554</v>
      </c>
      <c r="H62" s="50" t="s">
        <v>20</v>
      </c>
      <c r="I62" s="22">
        <f t="shared" si="6"/>
        <v>0</v>
      </c>
    </row>
    <row r="63" spans="1:9" ht="15.75" hidden="1" customHeight="1" x14ac:dyDescent="0.3">
      <c r="B63" s="2" t="s">
        <v>27</v>
      </c>
      <c r="C63" s="2" t="s">
        <v>19</v>
      </c>
      <c r="D63" s="2" t="s">
        <v>20</v>
      </c>
      <c r="E63" s="4">
        <v>6.36</v>
      </c>
      <c r="G63" s="49" t="s">
        <v>554</v>
      </c>
      <c r="H63" s="50" t="s">
        <v>23</v>
      </c>
      <c r="I63" s="22">
        <f t="shared" si="6"/>
        <v>0</v>
      </c>
    </row>
    <row r="64" spans="1:9" ht="15.75" customHeight="1" x14ac:dyDescent="0.3">
      <c r="A64" s="46" t="s">
        <v>554</v>
      </c>
      <c r="B64" s="2" t="s">
        <v>28</v>
      </c>
      <c r="C64" s="2" t="s">
        <v>5</v>
      </c>
      <c r="D64" s="2" t="s">
        <v>5</v>
      </c>
      <c r="E64" s="4" t="s">
        <v>5</v>
      </c>
      <c r="G64" s="49" t="s">
        <v>554</v>
      </c>
      <c r="H64" s="50" t="s">
        <v>42</v>
      </c>
      <c r="I64" s="22">
        <f t="shared" si="6"/>
        <v>0</v>
      </c>
    </row>
    <row r="65" spans="1:9" ht="15.75" customHeight="1" x14ac:dyDescent="0.3">
      <c r="A65" s="46" t="s">
        <v>554</v>
      </c>
      <c r="B65" s="2" t="s">
        <v>28</v>
      </c>
      <c r="C65" s="2" t="s">
        <v>6</v>
      </c>
      <c r="D65" s="2" t="s">
        <v>7</v>
      </c>
      <c r="E65" s="4">
        <v>118.31</v>
      </c>
      <c r="G65" s="24"/>
      <c r="H65" s="16"/>
      <c r="I65" s="22"/>
    </row>
    <row r="66" spans="1:9" ht="15.75" customHeight="1" x14ac:dyDescent="0.3">
      <c r="A66" s="46" t="s">
        <v>554</v>
      </c>
      <c r="B66" s="2" t="s">
        <v>28</v>
      </c>
      <c r="C66" s="2" t="s">
        <v>8</v>
      </c>
      <c r="D66" s="2" t="s">
        <v>9</v>
      </c>
      <c r="E66" s="4">
        <v>92.49</v>
      </c>
      <c r="G66" s="40" t="s">
        <v>556</v>
      </c>
      <c r="H66" s="47" t="s">
        <v>2</v>
      </c>
      <c r="I66" s="48" t="s">
        <v>557</v>
      </c>
    </row>
    <row r="67" spans="1:9" ht="15.75" hidden="1" customHeight="1" x14ac:dyDescent="0.3">
      <c r="B67" s="2" t="s">
        <v>28</v>
      </c>
      <c r="C67" s="2" t="s">
        <v>13</v>
      </c>
      <c r="D67" s="2" t="s">
        <v>14</v>
      </c>
      <c r="E67" s="4">
        <v>266.62</v>
      </c>
      <c r="G67" s="49" t="s">
        <v>38</v>
      </c>
      <c r="H67" s="50" t="s">
        <v>7</v>
      </c>
      <c r="I67" s="22">
        <f t="shared" ref="I67:I73" si="7">SUMIFS(E:E,B:B,G67,D:D,H67)</f>
        <v>111.46</v>
      </c>
    </row>
    <row r="68" spans="1:9" ht="15.75" hidden="1" customHeight="1" x14ac:dyDescent="0.3">
      <c r="B68" s="2" t="s">
        <v>28</v>
      </c>
      <c r="C68" s="2" t="s">
        <v>22</v>
      </c>
      <c r="D68" s="2" t="s">
        <v>23</v>
      </c>
      <c r="E68" s="4">
        <v>21</v>
      </c>
      <c r="G68" s="49" t="s">
        <v>38</v>
      </c>
      <c r="H68" s="50" t="s">
        <v>9</v>
      </c>
      <c r="I68" s="22">
        <f t="shared" si="7"/>
        <v>134.65</v>
      </c>
    </row>
    <row r="69" spans="1:9" ht="15.75" customHeight="1" x14ac:dyDescent="0.3">
      <c r="A69" s="46" t="s">
        <v>554</v>
      </c>
      <c r="B69" s="2" t="s">
        <v>28</v>
      </c>
      <c r="C69" s="2" t="s">
        <v>10</v>
      </c>
      <c r="D69" s="2" t="s">
        <v>11</v>
      </c>
      <c r="E69" s="4">
        <v>71.540000000000006</v>
      </c>
      <c r="G69" s="49" t="s">
        <v>38</v>
      </c>
      <c r="H69" s="50" t="s">
        <v>11</v>
      </c>
      <c r="I69" s="22">
        <f t="shared" si="7"/>
        <v>70.8</v>
      </c>
    </row>
    <row r="70" spans="1:9" ht="15.75" hidden="1" customHeight="1" x14ac:dyDescent="0.3">
      <c r="B70" s="2" t="s">
        <v>28</v>
      </c>
      <c r="C70" s="2" t="s">
        <v>19</v>
      </c>
      <c r="D70" s="2" t="s">
        <v>20</v>
      </c>
      <c r="E70" s="4">
        <v>6.36</v>
      </c>
      <c r="G70" s="49" t="s">
        <v>38</v>
      </c>
      <c r="H70" s="50" t="s">
        <v>14</v>
      </c>
      <c r="I70" s="22">
        <f t="shared" si="7"/>
        <v>213.91</v>
      </c>
    </row>
    <row r="71" spans="1:9" ht="15.75" customHeight="1" x14ac:dyDescent="0.3">
      <c r="A71" s="46" t="s">
        <v>554</v>
      </c>
      <c r="B71" s="2" t="s">
        <v>29</v>
      </c>
      <c r="C71" s="2" t="s">
        <v>5</v>
      </c>
      <c r="D71" s="2" t="s">
        <v>5</v>
      </c>
      <c r="E71" s="4" t="s">
        <v>5</v>
      </c>
      <c r="G71" s="49" t="s">
        <v>38</v>
      </c>
      <c r="H71" s="50" t="s">
        <v>20</v>
      </c>
      <c r="I71" s="22">
        <f t="shared" si="7"/>
        <v>0</v>
      </c>
    </row>
    <row r="72" spans="1:9" ht="15.75" customHeight="1" x14ac:dyDescent="0.3">
      <c r="A72" s="46" t="s">
        <v>554</v>
      </c>
      <c r="B72" s="2" t="s">
        <v>29</v>
      </c>
      <c r="C72" s="2" t="s">
        <v>6</v>
      </c>
      <c r="D72" s="2" t="s">
        <v>7</v>
      </c>
      <c r="E72" s="4">
        <v>118.31</v>
      </c>
      <c r="G72" s="49" t="s">
        <v>38</v>
      </c>
      <c r="H72" s="50" t="s">
        <v>23</v>
      </c>
      <c r="I72" s="22">
        <f t="shared" si="7"/>
        <v>0</v>
      </c>
    </row>
    <row r="73" spans="1:9" ht="15.75" customHeight="1" x14ac:dyDescent="0.3">
      <c r="A73" s="46" t="s">
        <v>554</v>
      </c>
      <c r="B73" s="2" t="s">
        <v>29</v>
      </c>
      <c r="C73" s="2" t="s">
        <v>8</v>
      </c>
      <c r="D73" s="2" t="s">
        <v>9</v>
      </c>
      <c r="E73" s="4">
        <v>92.49</v>
      </c>
      <c r="G73" s="49" t="s">
        <v>38</v>
      </c>
      <c r="H73" s="50" t="s">
        <v>42</v>
      </c>
      <c r="I73" s="22">
        <f t="shared" si="7"/>
        <v>0</v>
      </c>
    </row>
    <row r="74" spans="1:9" ht="15.75" hidden="1" customHeight="1" x14ac:dyDescent="0.3">
      <c r="B74" s="2" t="s">
        <v>29</v>
      </c>
      <c r="C74" s="2" t="s">
        <v>13</v>
      </c>
      <c r="D74" s="2" t="s">
        <v>14</v>
      </c>
      <c r="E74" s="4">
        <v>266.62</v>
      </c>
      <c r="G74" s="24"/>
      <c r="H74" s="16"/>
      <c r="I74" s="22"/>
    </row>
    <row r="75" spans="1:9" ht="15.75" hidden="1" customHeight="1" x14ac:dyDescent="0.3">
      <c r="B75" s="2" t="s">
        <v>29</v>
      </c>
      <c r="C75" s="2" t="s">
        <v>22</v>
      </c>
      <c r="D75" s="2" t="s">
        <v>23</v>
      </c>
      <c r="E75" s="4">
        <v>21</v>
      </c>
      <c r="G75" s="40" t="s">
        <v>556</v>
      </c>
      <c r="H75" s="47" t="s">
        <v>2</v>
      </c>
      <c r="I75" s="48" t="s">
        <v>557</v>
      </c>
    </row>
    <row r="76" spans="1:9" ht="15.75" customHeight="1" x14ac:dyDescent="0.3">
      <c r="A76" s="46" t="s">
        <v>554</v>
      </c>
      <c r="B76" s="2" t="s">
        <v>29</v>
      </c>
      <c r="C76" s="2" t="s">
        <v>10</v>
      </c>
      <c r="D76" s="2" t="s">
        <v>11</v>
      </c>
      <c r="E76" s="4">
        <v>71.540000000000006</v>
      </c>
      <c r="G76" s="49" t="s">
        <v>39</v>
      </c>
      <c r="H76" s="50" t="s">
        <v>7</v>
      </c>
      <c r="I76" s="22">
        <f t="shared" ref="I76:I82" si="8">SUMIFS(E:E,B:B,G76,D:D,H76)</f>
        <v>105.38</v>
      </c>
    </row>
    <row r="77" spans="1:9" ht="15.75" hidden="1" customHeight="1" x14ac:dyDescent="0.3">
      <c r="B77" s="2" t="s">
        <v>29</v>
      </c>
      <c r="C77" s="2" t="s">
        <v>19</v>
      </c>
      <c r="D77" s="2" t="s">
        <v>20</v>
      </c>
      <c r="E77" s="4">
        <v>6.36</v>
      </c>
      <c r="G77" s="49" t="s">
        <v>39</v>
      </c>
      <c r="H77" s="50" t="s">
        <v>9</v>
      </c>
      <c r="I77" s="22">
        <f t="shared" si="8"/>
        <v>80.859999999999985</v>
      </c>
    </row>
    <row r="78" spans="1:9" ht="15.75" customHeight="1" x14ac:dyDescent="0.3">
      <c r="A78" s="46" t="s">
        <v>554</v>
      </c>
      <c r="B78" s="2" t="s">
        <v>30</v>
      </c>
      <c r="C78" s="2" t="s">
        <v>5</v>
      </c>
      <c r="D78" s="2" t="s">
        <v>5</v>
      </c>
      <c r="E78" s="4" t="s">
        <v>5</v>
      </c>
      <c r="G78" s="49" t="s">
        <v>39</v>
      </c>
      <c r="H78" s="50" t="s">
        <v>11</v>
      </c>
      <c r="I78" s="22">
        <f t="shared" si="8"/>
        <v>62.95</v>
      </c>
    </row>
    <row r="79" spans="1:9" ht="15.75" customHeight="1" x14ac:dyDescent="0.3">
      <c r="A79" s="46" t="s">
        <v>554</v>
      </c>
      <c r="B79" s="2" t="s">
        <v>30</v>
      </c>
      <c r="C79" s="2" t="s">
        <v>6</v>
      </c>
      <c r="D79" s="2" t="s">
        <v>7</v>
      </c>
      <c r="E79" s="4">
        <v>118.31</v>
      </c>
      <c r="G79" s="49" t="s">
        <v>39</v>
      </c>
      <c r="H79" s="50" t="s">
        <v>14</v>
      </c>
      <c r="I79" s="22">
        <f t="shared" si="8"/>
        <v>37.85</v>
      </c>
    </row>
    <row r="80" spans="1:9" ht="15.75" customHeight="1" x14ac:dyDescent="0.3">
      <c r="A80" s="46" t="s">
        <v>554</v>
      </c>
      <c r="B80" s="2" t="s">
        <v>30</v>
      </c>
      <c r="C80" s="2" t="s">
        <v>8</v>
      </c>
      <c r="D80" s="2" t="s">
        <v>9</v>
      </c>
      <c r="E80" s="4">
        <v>92.49</v>
      </c>
      <c r="G80" s="49" t="s">
        <v>39</v>
      </c>
      <c r="H80" s="50" t="s">
        <v>20</v>
      </c>
      <c r="I80" s="22">
        <f t="shared" si="8"/>
        <v>6.21</v>
      </c>
    </row>
    <row r="81" spans="1:9" ht="15.75" hidden="1" customHeight="1" x14ac:dyDescent="0.3">
      <c r="B81" s="2" t="s">
        <v>30</v>
      </c>
      <c r="C81" s="2" t="s">
        <v>13</v>
      </c>
      <c r="D81" s="2" t="s">
        <v>14</v>
      </c>
      <c r="E81" s="4">
        <v>266.62</v>
      </c>
      <c r="G81" s="49" t="s">
        <v>39</v>
      </c>
      <c r="H81" s="50" t="s">
        <v>23</v>
      </c>
      <c r="I81" s="22">
        <f t="shared" si="8"/>
        <v>0</v>
      </c>
    </row>
    <row r="82" spans="1:9" ht="15.75" hidden="1" customHeight="1" x14ac:dyDescent="0.3">
      <c r="B82" s="2" t="s">
        <v>30</v>
      </c>
      <c r="C82" s="2" t="s">
        <v>22</v>
      </c>
      <c r="D82" s="2" t="s">
        <v>23</v>
      </c>
      <c r="E82" s="4">
        <v>21</v>
      </c>
      <c r="G82" s="49" t="s">
        <v>39</v>
      </c>
      <c r="H82" s="50" t="s">
        <v>42</v>
      </c>
      <c r="I82" s="22">
        <f t="shared" si="8"/>
        <v>7.64</v>
      </c>
    </row>
    <row r="83" spans="1:9" ht="15.75" customHeight="1" x14ac:dyDescent="0.3">
      <c r="A83" s="46" t="s">
        <v>554</v>
      </c>
      <c r="B83" s="2" t="s">
        <v>30</v>
      </c>
      <c r="C83" s="2" t="s">
        <v>10</v>
      </c>
      <c r="D83" s="2" t="s">
        <v>11</v>
      </c>
      <c r="E83" s="4">
        <v>71.540000000000006</v>
      </c>
      <c r="G83" s="24"/>
      <c r="H83" s="16"/>
      <c r="I83" s="22"/>
    </row>
    <row r="84" spans="1:9" ht="15.75" hidden="1" customHeight="1" x14ac:dyDescent="0.3">
      <c r="B84" s="2" t="s">
        <v>30</v>
      </c>
      <c r="C84" s="2" t="s">
        <v>19</v>
      </c>
      <c r="D84" s="2" t="s">
        <v>20</v>
      </c>
      <c r="E84" s="4">
        <v>6.36</v>
      </c>
      <c r="G84" s="40" t="s">
        <v>556</v>
      </c>
      <c r="H84" s="47" t="s">
        <v>2</v>
      </c>
      <c r="I84" s="48" t="s">
        <v>557</v>
      </c>
    </row>
    <row r="85" spans="1:9" ht="15.75" customHeight="1" x14ac:dyDescent="0.3">
      <c r="A85" s="46" t="s">
        <v>554</v>
      </c>
      <c r="B85" s="2" t="s">
        <v>31</v>
      </c>
      <c r="C85" s="2" t="s">
        <v>5</v>
      </c>
      <c r="D85" s="2" t="s">
        <v>5</v>
      </c>
      <c r="E85" s="4" t="s">
        <v>5</v>
      </c>
      <c r="G85" s="49" t="s">
        <v>43</v>
      </c>
      <c r="H85" s="50" t="s">
        <v>7</v>
      </c>
      <c r="I85" s="22">
        <f t="shared" ref="I85:I91" si="9">SUMIFS(E:E,B:B,G85,D:D,H85)</f>
        <v>77.67</v>
      </c>
    </row>
    <row r="86" spans="1:9" ht="15.75" customHeight="1" x14ac:dyDescent="0.3">
      <c r="A86" s="46" t="s">
        <v>554</v>
      </c>
      <c r="B86" s="2" t="s">
        <v>31</v>
      </c>
      <c r="C86" s="2" t="s">
        <v>6</v>
      </c>
      <c r="D86" s="2" t="s">
        <v>7</v>
      </c>
      <c r="E86" s="4">
        <v>118.31</v>
      </c>
      <c r="G86" s="49" t="s">
        <v>43</v>
      </c>
      <c r="H86" s="50" t="s">
        <v>9</v>
      </c>
      <c r="I86" s="22">
        <f t="shared" si="9"/>
        <v>18.11</v>
      </c>
    </row>
    <row r="87" spans="1:9" ht="15.75" customHeight="1" x14ac:dyDescent="0.3">
      <c r="A87" s="46" t="s">
        <v>554</v>
      </c>
      <c r="B87" s="2" t="s">
        <v>31</v>
      </c>
      <c r="C87" s="2" t="s">
        <v>8</v>
      </c>
      <c r="D87" s="2" t="s">
        <v>9</v>
      </c>
      <c r="E87" s="4">
        <v>92.49</v>
      </c>
      <c r="G87" s="49" t="s">
        <v>43</v>
      </c>
      <c r="H87" s="50" t="s">
        <v>11</v>
      </c>
      <c r="I87" s="22">
        <f t="shared" si="9"/>
        <v>54.28</v>
      </c>
    </row>
    <row r="88" spans="1:9" ht="15.75" hidden="1" customHeight="1" x14ac:dyDescent="0.3">
      <c r="B88" s="2" t="s">
        <v>31</v>
      </c>
      <c r="C88" s="2" t="s">
        <v>13</v>
      </c>
      <c r="D88" s="2" t="s">
        <v>14</v>
      </c>
      <c r="E88" s="4">
        <v>266.62</v>
      </c>
      <c r="G88" s="49" t="s">
        <v>43</v>
      </c>
      <c r="H88" s="50" t="s">
        <v>14</v>
      </c>
      <c r="I88" s="22">
        <f t="shared" si="9"/>
        <v>2.92</v>
      </c>
    </row>
    <row r="89" spans="1:9" ht="15.75" hidden="1" customHeight="1" x14ac:dyDescent="0.3">
      <c r="B89" s="2" t="s">
        <v>31</v>
      </c>
      <c r="C89" s="2" t="s">
        <v>22</v>
      </c>
      <c r="D89" s="2" t="s">
        <v>23</v>
      </c>
      <c r="E89" s="4">
        <v>21</v>
      </c>
      <c r="G89" s="49" t="s">
        <v>43</v>
      </c>
      <c r="H89" s="50" t="s">
        <v>20</v>
      </c>
      <c r="I89" s="22">
        <f t="shared" si="9"/>
        <v>0</v>
      </c>
    </row>
    <row r="90" spans="1:9" ht="15.75" customHeight="1" x14ac:dyDescent="0.3">
      <c r="A90" s="46" t="s">
        <v>554</v>
      </c>
      <c r="B90" s="2" t="s">
        <v>31</v>
      </c>
      <c r="C90" s="2" t="s">
        <v>10</v>
      </c>
      <c r="D90" s="2" t="s">
        <v>11</v>
      </c>
      <c r="E90" s="4">
        <v>71.540000000000006</v>
      </c>
      <c r="G90" s="49" t="s">
        <v>43</v>
      </c>
      <c r="H90" s="50" t="s">
        <v>23</v>
      </c>
      <c r="I90" s="22">
        <f t="shared" si="9"/>
        <v>0</v>
      </c>
    </row>
    <row r="91" spans="1:9" ht="15.75" hidden="1" customHeight="1" x14ac:dyDescent="0.3">
      <c r="B91" s="2" t="s">
        <v>31</v>
      </c>
      <c r="C91" s="2" t="s">
        <v>19</v>
      </c>
      <c r="D91" s="2" t="s">
        <v>20</v>
      </c>
      <c r="E91" s="4">
        <v>6.36</v>
      </c>
      <c r="G91" s="49" t="s">
        <v>43</v>
      </c>
      <c r="H91" s="50" t="s">
        <v>42</v>
      </c>
      <c r="I91" s="22">
        <f t="shared" si="9"/>
        <v>31.23</v>
      </c>
    </row>
    <row r="92" spans="1:9" ht="15.75" customHeight="1" x14ac:dyDescent="0.3">
      <c r="A92" s="46" t="s">
        <v>554</v>
      </c>
      <c r="B92" s="2" t="s">
        <v>32</v>
      </c>
      <c r="C92" s="2" t="s">
        <v>5</v>
      </c>
      <c r="D92" s="2" t="s">
        <v>5</v>
      </c>
      <c r="E92" s="4" t="s">
        <v>5</v>
      </c>
      <c r="G92" s="24"/>
      <c r="H92" s="16"/>
      <c r="I92" s="22"/>
    </row>
    <row r="93" spans="1:9" ht="15.75" customHeight="1" x14ac:dyDescent="0.3">
      <c r="A93" s="46" t="s">
        <v>554</v>
      </c>
      <c r="B93" s="2" t="s">
        <v>32</v>
      </c>
      <c r="C93" s="2" t="s">
        <v>6</v>
      </c>
      <c r="D93" s="2" t="s">
        <v>7</v>
      </c>
      <c r="E93" s="4">
        <v>118.31</v>
      </c>
      <c r="G93" s="40" t="s">
        <v>556</v>
      </c>
      <c r="H93" s="47" t="s">
        <v>2</v>
      </c>
      <c r="I93" s="48" t="s">
        <v>557</v>
      </c>
    </row>
    <row r="94" spans="1:9" ht="15.75" customHeight="1" x14ac:dyDescent="0.3">
      <c r="A94" s="46" t="s">
        <v>554</v>
      </c>
      <c r="B94" s="2" t="s">
        <v>32</v>
      </c>
      <c r="C94" s="2" t="s">
        <v>8</v>
      </c>
      <c r="D94" s="2" t="s">
        <v>9</v>
      </c>
      <c r="E94" s="4">
        <v>92.49</v>
      </c>
      <c r="G94" s="49" t="s">
        <v>44</v>
      </c>
      <c r="H94" s="50" t="s">
        <v>7</v>
      </c>
      <c r="I94" s="22">
        <f t="shared" ref="I94:I100" si="10">SUMIFS(E:E,B:B,G94,D:D,H94)</f>
        <v>43.18</v>
      </c>
    </row>
    <row r="95" spans="1:9" ht="15.75" hidden="1" customHeight="1" x14ac:dyDescent="0.3">
      <c r="B95" s="2" t="s">
        <v>32</v>
      </c>
      <c r="C95" s="2" t="s">
        <v>13</v>
      </c>
      <c r="D95" s="2" t="s">
        <v>14</v>
      </c>
      <c r="E95" s="4">
        <v>266.62</v>
      </c>
      <c r="G95" s="49" t="s">
        <v>44</v>
      </c>
      <c r="H95" s="50" t="s">
        <v>9</v>
      </c>
      <c r="I95" s="22">
        <f t="shared" si="10"/>
        <v>0</v>
      </c>
    </row>
    <row r="96" spans="1:9" ht="15.75" hidden="1" customHeight="1" x14ac:dyDescent="0.3">
      <c r="B96" s="2" t="s">
        <v>32</v>
      </c>
      <c r="C96" s="2" t="s">
        <v>22</v>
      </c>
      <c r="D96" s="2" t="s">
        <v>23</v>
      </c>
      <c r="E96" s="4">
        <v>21</v>
      </c>
      <c r="G96" s="49" t="s">
        <v>44</v>
      </c>
      <c r="H96" s="50" t="s">
        <v>11</v>
      </c>
      <c r="I96" s="22">
        <f t="shared" si="10"/>
        <v>66.34</v>
      </c>
    </row>
    <row r="97" spans="1:9" ht="15.75" customHeight="1" x14ac:dyDescent="0.3">
      <c r="A97" s="46" t="s">
        <v>554</v>
      </c>
      <c r="B97" s="2" t="s">
        <v>32</v>
      </c>
      <c r="C97" s="2" t="s">
        <v>10</v>
      </c>
      <c r="D97" s="2" t="s">
        <v>11</v>
      </c>
      <c r="E97" s="4">
        <v>71.540000000000006</v>
      </c>
      <c r="G97" s="49" t="s">
        <v>44</v>
      </c>
      <c r="H97" s="50" t="s">
        <v>14</v>
      </c>
      <c r="I97" s="22">
        <f t="shared" si="10"/>
        <v>0</v>
      </c>
    </row>
    <row r="98" spans="1:9" ht="15.75" hidden="1" customHeight="1" x14ac:dyDescent="0.3">
      <c r="B98" s="2" t="s">
        <v>32</v>
      </c>
      <c r="C98" s="2" t="s">
        <v>19</v>
      </c>
      <c r="D98" s="2" t="s">
        <v>20</v>
      </c>
      <c r="E98" s="4">
        <v>6.36</v>
      </c>
      <c r="G98" s="49" t="s">
        <v>44</v>
      </c>
      <c r="H98" s="50" t="s">
        <v>20</v>
      </c>
      <c r="I98" s="22">
        <f t="shared" si="10"/>
        <v>0</v>
      </c>
    </row>
    <row r="99" spans="1:9" ht="15.75" customHeight="1" x14ac:dyDescent="0.3">
      <c r="A99" s="46" t="s">
        <v>554</v>
      </c>
      <c r="B99" s="2" t="s">
        <v>33</v>
      </c>
      <c r="C99" s="2" t="s">
        <v>5</v>
      </c>
      <c r="D99" s="2" t="s">
        <v>5</v>
      </c>
      <c r="E99" s="4" t="s">
        <v>5</v>
      </c>
      <c r="G99" s="49" t="s">
        <v>44</v>
      </c>
      <c r="H99" s="50" t="s">
        <v>23</v>
      </c>
      <c r="I99" s="22">
        <f t="shared" si="10"/>
        <v>0</v>
      </c>
    </row>
    <row r="100" spans="1:9" ht="15.75" customHeight="1" x14ac:dyDescent="0.3">
      <c r="A100" s="46" t="s">
        <v>554</v>
      </c>
      <c r="B100" s="2" t="s">
        <v>33</v>
      </c>
      <c r="C100" s="2" t="s">
        <v>6</v>
      </c>
      <c r="D100" s="2" t="s">
        <v>7</v>
      </c>
      <c r="E100" s="4">
        <v>118.31</v>
      </c>
      <c r="G100" s="49" t="s">
        <v>44</v>
      </c>
      <c r="H100" s="50" t="s">
        <v>42</v>
      </c>
      <c r="I100" s="22">
        <f t="shared" si="10"/>
        <v>30.95</v>
      </c>
    </row>
    <row r="101" spans="1:9" ht="15.75" customHeight="1" x14ac:dyDescent="0.3">
      <c r="A101" s="46" t="s">
        <v>554</v>
      </c>
      <c r="B101" s="2" t="s">
        <v>33</v>
      </c>
      <c r="C101" s="2" t="s">
        <v>8</v>
      </c>
      <c r="D101" s="2" t="s">
        <v>9</v>
      </c>
      <c r="E101" s="4">
        <v>92.49</v>
      </c>
      <c r="G101" s="24"/>
      <c r="H101" s="16"/>
      <c r="I101" s="22"/>
    </row>
    <row r="102" spans="1:9" ht="15.75" hidden="1" customHeight="1" x14ac:dyDescent="0.3">
      <c r="B102" s="2" t="s">
        <v>33</v>
      </c>
      <c r="C102" s="2" t="s">
        <v>13</v>
      </c>
      <c r="D102" s="2" t="s">
        <v>14</v>
      </c>
      <c r="E102" s="4">
        <v>266.62</v>
      </c>
      <c r="G102" s="40" t="s">
        <v>556</v>
      </c>
      <c r="H102" s="47" t="s">
        <v>2</v>
      </c>
      <c r="I102" s="48" t="s">
        <v>557</v>
      </c>
    </row>
    <row r="103" spans="1:9" ht="15.75" hidden="1" customHeight="1" x14ac:dyDescent="0.3">
      <c r="B103" s="2" t="s">
        <v>33</v>
      </c>
      <c r="C103" s="2" t="s">
        <v>22</v>
      </c>
      <c r="D103" s="2" t="s">
        <v>23</v>
      </c>
      <c r="E103" s="4">
        <v>21</v>
      </c>
      <c r="G103" s="49" t="s">
        <v>45</v>
      </c>
      <c r="H103" s="50" t="s">
        <v>7</v>
      </c>
      <c r="I103" s="22">
        <f t="shared" ref="I103:I109" si="11">SUMIFS(E:E,B:B,G103,D:D,H103)</f>
        <v>0</v>
      </c>
    </row>
    <row r="104" spans="1:9" ht="15.75" customHeight="1" x14ac:dyDescent="0.3">
      <c r="A104" s="46" t="s">
        <v>554</v>
      </c>
      <c r="B104" s="2" t="s">
        <v>33</v>
      </c>
      <c r="C104" s="2" t="s">
        <v>10</v>
      </c>
      <c r="D104" s="2" t="s">
        <v>11</v>
      </c>
      <c r="E104" s="4">
        <v>71.540000000000006</v>
      </c>
      <c r="G104" s="49" t="s">
        <v>45</v>
      </c>
      <c r="H104" s="50" t="s">
        <v>9</v>
      </c>
      <c r="I104" s="22">
        <f t="shared" si="11"/>
        <v>29.6</v>
      </c>
    </row>
    <row r="105" spans="1:9" ht="15.75" hidden="1" customHeight="1" x14ac:dyDescent="0.3">
      <c r="B105" s="2" t="s">
        <v>33</v>
      </c>
      <c r="C105" s="2" t="s">
        <v>19</v>
      </c>
      <c r="D105" s="2" t="s">
        <v>20</v>
      </c>
      <c r="E105" s="4">
        <v>6.36</v>
      </c>
      <c r="G105" s="49" t="s">
        <v>45</v>
      </c>
      <c r="H105" s="50" t="s">
        <v>11</v>
      </c>
      <c r="I105" s="22">
        <f t="shared" si="11"/>
        <v>0</v>
      </c>
    </row>
    <row r="106" spans="1:9" ht="15.75" customHeight="1" x14ac:dyDescent="0.3">
      <c r="A106" s="46" t="s">
        <v>554</v>
      </c>
      <c r="B106" s="2" t="s">
        <v>34</v>
      </c>
      <c r="C106" s="2" t="s">
        <v>5</v>
      </c>
      <c r="D106" s="2" t="s">
        <v>5</v>
      </c>
      <c r="E106" s="4" t="s">
        <v>5</v>
      </c>
      <c r="G106" s="49" t="s">
        <v>45</v>
      </c>
      <c r="H106" s="50" t="s">
        <v>14</v>
      </c>
      <c r="I106" s="22">
        <f t="shared" si="11"/>
        <v>0</v>
      </c>
    </row>
    <row r="107" spans="1:9" ht="15.75" customHeight="1" x14ac:dyDescent="0.3">
      <c r="A107" s="46" t="s">
        <v>554</v>
      </c>
      <c r="B107" s="2" t="s">
        <v>34</v>
      </c>
      <c r="C107" s="2" t="s">
        <v>6</v>
      </c>
      <c r="D107" s="2" t="s">
        <v>7</v>
      </c>
      <c r="E107" s="4">
        <v>118.31</v>
      </c>
      <c r="G107" s="49" t="s">
        <v>45</v>
      </c>
      <c r="H107" s="50" t="s">
        <v>20</v>
      </c>
      <c r="I107" s="22">
        <f t="shared" si="11"/>
        <v>0</v>
      </c>
    </row>
    <row r="108" spans="1:9" ht="15.75" customHeight="1" x14ac:dyDescent="0.3">
      <c r="A108" s="46" t="s">
        <v>554</v>
      </c>
      <c r="B108" s="2" t="s">
        <v>34</v>
      </c>
      <c r="C108" s="2" t="s">
        <v>8</v>
      </c>
      <c r="D108" s="2" t="s">
        <v>9</v>
      </c>
      <c r="E108" s="4">
        <v>92.49</v>
      </c>
      <c r="G108" s="49" t="s">
        <v>45</v>
      </c>
      <c r="H108" s="50" t="s">
        <v>23</v>
      </c>
      <c r="I108" s="22">
        <f t="shared" si="11"/>
        <v>0</v>
      </c>
    </row>
    <row r="109" spans="1:9" ht="15.75" hidden="1" customHeight="1" x14ac:dyDescent="0.3">
      <c r="B109" s="2" t="s">
        <v>34</v>
      </c>
      <c r="C109" s="2" t="s">
        <v>13</v>
      </c>
      <c r="D109" s="2" t="s">
        <v>14</v>
      </c>
      <c r="E109" s="4">
        <v>266.62</v>
      </c>
      <c r="G109" s="49" t="s">
        <v>45</v>
      </c>
      <c r="H109" s="50" t="s">
        <v>42</v>
      </c>
      <c r="I109" s="22">
        <f t="shared" si="11"/>
        <v>0</v>
      </c>
    </row>
    <row r="110" spans="1:9" ht="15.75" hidden="1" customHeight="1" x14ac:dyDescent="0.3">
      <c r="B110" s="2" t="s">
        <v>34</v>
      </c>
      <c r="C110" s="2" t="s">
        <v>22</v>
      </c>
      <c r="D110" s="2" t="s">
        <v>23</v>
      </c>
      <c r="E110" s="4">
        <v>21</v>
      </c>
    </row>
    <row r="111" spans="1:9" ht="15.75" customHeight="1" x14ac:dyDescent="0.3">
      <c r="A111" s="46" t="s">
        <v>554</v>
      </c>
      <c r="B111" s="2" t="s">
        <v>34</v>
      </c>
      <c r="C111" s="2" t="s">
        <v>10</v>
      </c>
      <c r="D111" s="2" t="s">
        <v>11</v>
      </c>
      <c r="E111" s="4">
        <v>71.540000000000006</v>
      </c>
    </row>
    <row r="112" spans="1:9" ht="15.75" hidden="1" customHeight="1" x14ac:dyDescent="0.3">
      <c r="B112" s="2" t="s">
        <v>34</v>
      </c>
      <c r="C112" s="2" t="s">
        <v>19</v>
      </c>
      <c r="D112" s="2" t="s">
        <v>20</v>
      </c>
      <c r="E112" s="4">
        <v>6.36</v>
      </c>
    </row>
    <row r="113" spans="1:5" ht="15.75" customHeight="1" x14ac:dyDescent="0.3">
      <c r="A113" s="46" t="s">
        <v>554</v>
      </c>
      <c r="B113" s="2" t="s">
        <v>35</v>
      </c>
      <c r="C113" s="2" t="s">
        <v>5</v>
      </c>
      <c r="D113" s="2" t="s">
        <v>5</v>
      </c>
      <c r="E113" s="4" t="s">
        <v>5</v>
      </c>
    </row>
    <row r="114" spans="1:5" ht="15.75" customHeight="1" x14ac:dyDescent="0.3">
      <c r="A114" s="46" t="s">
        <v>554</v>
      </c>
      <c r="B114" s="2" t="s">
        <v>35</v>
      </c>
      <c r="C114" s="2" t="s">
        <v>6</v>
      </c>
      <c r="D114" s="2" t="s">
        <v>7</v>
      </c>
      <c r="E114" s="4">
        <v>118.31</v>
      </c>
    </row>
    <row r="115" spans="1:5" ht="15.75" customHeight="1" x14ac:dyDescent="0.3">
      <c r="A115" s="46" t="s">
        <v>554</v>
      </c>
      <c r="B115" s="2" t="s">
        <v>35</v>
      </c>
      <c r="C115" s="2" t="s">
        <v>8</v>
      </c>
      <c r="D115" s="2" t="s">
        <v>9</v>
      </c>
      <c r="E115" s="4">
        <v>92.49</v>
      </c>
    </row>
    <row r="116" spans="1:5" ht="15.75" hidden="1" customHeight="1" x14ac:dyDescent="0.3">
      <c r="B116" s="2" t="s">
        <v>35</v>
      </c>
      <c r="C116" s="2" t="s">
        <v>13</v>
      </c>
      <c r="D116" s="2" t="s">
        <v>14</v>
      </c>
      <c r="E116" s="4">
        <v>266.62</v>
      </c>
    </row>
    <row r="117" spans="1:5" ht="15.75" hidden="1" customHeight="1" x14ac:dyDescent="0.3">
      <c r="B117" s="2" t="s">
        <v>35</v>
      </c>
      <c r="C117" s="2" t="s">
        <v>22</v>
      </c>
      <c r="D117" s="2" t="s">
        <v>23</v>
      </c>
      <c r="E117" s="4">
        <v>21</v>
      </c>
    </row>
    <row r="118" spans="1:5" ht="15.75" customHeight="1" x14ac:dyDescent="0.3">
      <c r="A118" s="46" t="s">
        <v>554</v>
      </c>
      <c r="B118" s="2" t="s">
        <v>35</v>
      </c>
      <c r="C118" s="2" t="s">
        <v>10</v>
      </c>
      <c r="D118" s="2" t="s">
        <v>11</v>
      </c>
      <c r="E118" s="4">
        <v>71.540000000000006</v>
      </c>
    </row>
    <row r="119" spans="1:5" ht="15.75" hidden="1" customHeight="1" x14ac:dyDescent="0.3">
      <c r="B119" s="2" t="s">
        <v>35</v>
      </c>
      <c r="C119" s="2" t="s">
        <v>19</v>
      </c>
      <c r="D119" s="2" t="s">
        <v>20</v>
      </c>
      <c r="E119" s="4">
        <v>6.36</v>
      </c>
    </row>
    <row r="120" spans="1:5" ht="15.75" customHeight="1" x14ac:dyDescent="0.3">
      <c r="A120" s="46" t="s">
        <v>554</v>
      </c>
      <c r="B120" s="2" t="s">
        <v>36</v>
      </c>
      <c r="C120" s="2" t="s">
        <v>5</v>
      </c>
      <c r="D120" s="2" t="s">
        <v>5</v>
      </c>
      <c r="E120" s="4" t="s">
        <v>5</v>
      </c>
    </row>
    <row r="121" spans="1:5" ht="15.75" customHeight="1" x14ac:dyDescent="0.3">
      <c r="A121" s="46" t="s">
        <v>554</v>
      </c>
      <c r="B121" s="2" t="s">
        <v>36</v>
      </c>
      <c r="C121" s="2" t="s">
        <v>6</v>
      </c>
      <c r="D121" s="2" t="s">
        <v>7</v>
      </c>
      <c r="E121" s="4">
        <v>118.31</v>
      </c>
    </row>
    <row r="122" spans="1:5" ht="15.75" customHeight="1" x14ac:dyDescent="0.3">
      <c r="A122" s="46" t="s">
        <v>554</v>
      </c>
      <c r="B122" s="2" t="s">
        <v>36</v>
      </c>
      <c r="C122" s="2" t="s">
        <v>8</v>
      </c>
      <c r="D122" s="2" t="s">
        <v>9</v>
      </c>
      <c r="E122" s="4">
        <v>92.49</v>
      </c>
    </row>
    <row r="123" spans="1:5" ht="15.75" hidden="1" customHeight="1" x14ac:dyDescent="0.3">
      <c r="B123" s="2" t="s">
        <v>36</v>
      </c>
      <c r="C123" s="2" t="s">
        <v>13</v>
      </c>
      <c r="D123" s="2" t="s">
        <v>14</v>
      </c>
      <c r="E123" s="4">
        <v>266.62</v>
      </c>
    </row>
    <row r="124" spans="1:5" ht="15.75" hidden="1" customHeight="1" x14ac:dyDescent="0.3">
      <c r="B124" s="2" t="s">
        <v>36</v>
      </c>
      <c r="C124" s="2" t="s">
        <v>22</v>
      </c>
      <c r="D124" s="2" t="s">
        <v>23</v>
      </c>
      <c r="E124" s="4">
        <v>21</v>
      </c>
    </row>
    <row r="125" spans="1:5" ht="15.75" customHeight="1" x14ac:dyDescent="0.3">
      <c r="A125" s="46" t="s">
        <v>554</v>
      </c>
      <c r="B125" s="2" t="s">
        <v>36</v>
      </c>
      <c r="C125" s="2" t="s">
        <v>10</v>
      </c>
      <c r="D125" s="2" t="s">
        <v>11</v>
      </c>
      <c r="E125" s="4">
        <v>71.540000000000006</v>
      </c>
    </row>
    <row r="126" spans="1:5" ht="15.75" hidden="1" customHeight="1" x14ac:dyDescent="0.3">
      <c r="B126" s="2" t="s">
        <v>36</v>
      </c>
      <c r="C126" s="2" t="s">
        <v>19</v>
      </c>
      <c r="D126" s="2" t="s">
        <v>20</v>
      </c>
      <c r="E126" s="4">
        <v>6.36</v>
      </c>
    </row>
    <row r="127" spans="1:5" ht="15.75" customHeight="1" x14ac:dyDescent="0.3">
      <c r="A127" s="46" t="s">
        <v>554</v>
      </c>
      <c r="B127" s="2" t="s">
        <v>37</v>
      </c>
      <c r="C127" s="2" t="s">
        <v>5</v>
      </c>
      <c r="D127" s="2" t="s">
        <v>5</v>
      </c>
      <c r="E127" s="4" t="s">
        <v>5</v>
      </c>
    </row>
    <row r="128" spans="1:5" ht="15.75" customHeight="1" x14ac:dyDescent="0.3">
      <c r="A128" s="46" t="s">
        <v>554</v>
      </c>
      <c r="B128" s="2" t="s">
        <v>37</v>
      </c>
      <c r="C128" s="2" t="s">
        <v>6</v>
      </c>
      <c r="D128" s="2" t="s">
        <v>7</v>
      </c>
      <c r="E128" s="4">
        <v>118.31</v>
      </c>
    </row>
    <row r="129" spans="1:5" ht="15.75" customHeight="1" x14ac:dyDescent="0.3">
      <c r="A129" s="46" t="s">
        <v>554</v>
      </c>
      <c r="B129" s="2" t="s">
        <v>37</v>
      </c>
      <c r="C129" s="2" t="s">
        <v>8</v>
      </c>
      <c r="D129" s="2" t="s">
        <v>9</v>
      </c>
      <c r="E129" s="4">
        <v>92.49</v>
      </c>
    </row>
    <row r="130" spans="1:5" ht="15.75" hidden="1" customHeight="1" x14ac:dyDescent="0.3">
      <c r="B130" s="2" t="s">
        <v>37</v>
      </c>
      <c r="C130" s="2" t="s">
        <v>13</v>
      </c>
      <c r="D130" s="2" t="s">
        <v>14</v>
      </c>
      <c r="E130" s="4">
        <v>266.62</v>
      </c>
    </row>
    <row r="131" spans="1:5" ht="15.75" hidden="1" customHeight="1" x14ac:dyDescent="0.3">
      <c r="B131" s="2" t="s">
        <v>37</v>
      </c>
      <c r="C131" s="2" t="s">
        <v>22</v>
      </c>
      <c r="D131" s="2" t="s">
        <v>23</v>
      </c>
      <c r="E131" s="4">
        <v>21</v>
      </c>
    </row>
    <row r="132" spans="1:5" ht="15.75" customHeight="1" x14ac:dyDescent="0.3">
      <c r="A132" s="46" t="s">
        <v>554</v>
      </c>
      <c r="B132" s="2" t="s">
        <v>37</v>
      </c>
      <c r="C132" s="2" t="s">
        <v>10</v>
      </c>
      <c r="D132" s="2" t="s">
        <v>11</v>
      </c>
      <c r="E132" s="4">
        <v>71.540000000000006</v>
      </c>
    </row>
    <row r="133" spans="1:5" ht="15.75" hidden="1" customHeight="1" x14ac:dyDescent="0.3">
      <c r="B133" s="2" t="s">
        <v>37</v>
      </c>
      <c r="C133" s="2" t="s">
        <v>19</v>
      </c>
      <c r="D133" s="2" t="s">
        <v>20</v>
      </c>
      <c r="E133" s="4">
        <v>6.36</v>
      </c>
    </row>
    <row r="134" spans="1:5" ht="15.75" customHeight="1" x14ac:dyDescent="0.3">
      <c r="B134" s="2" t="s">
        <v>38</v>
      </c>
      <c r="C134" s="2" t="s">
        <v>5</v>
      </c>
      <c r="D134" s="2" t="s">
        <v>5</v>
      </c>
      <c r="E134" s="4" t="s">
        <v>5</v>
      </c>
    </row>
    <row r="135" spans="1:5" ht="15.75" customHeight="1" x14ac:dyDescent="0.3">
      <c r="B135" s="2" t="s">
        <v>38</v>
      </c>
      <c r="C135" s="2" t="s">
        <v>6</v>
      </c>
      <c r="D135" s="2" t="s">
        <v>7</v>
      </c>
      <c r="E135" s="4">
        <v>111.46</v>
      </c>
    </row>
    <row r="136" spans="1:5" ht="15.75" customHeight="1" x14ac:dyDescent="0.3">
      <c r="B136" s="2" t="s">
        <v>38</v>
      </c>
      <c r="C136" s="2" t="s">
        <v>8</v>
      </c>
      <c r="D136" s="2" t="s">
        <v>9</v>
      </c>
      <c r="E136" s="4">
        <v>134.65</v>
      </c>
    </row>
    <row r="137" spans="1:5" ht="15.75" hidden="1" customHeight="1" x14ac:dyDescent="0.3">
      <c r="B137" s="2" t="s">
        <v>38</v>
      </c>
      <c r="C137" s="2" t="s">
        <v>13</v>
      </c>
      <c r="D137" s="2" t="s">
        <v>14</v>
      </c>
      <c r="E137" s="4">
        <v>213.91</v>
      </c>
    </row>
    <row r="138" spans="1:5" ht="15.75" customHeight="1" x14ac:dyDescent="0.3">
      <c r="B138" s="2" t="s">
        <v>38</v>
      </c>
      <c r="C138" s="2" t="s">
        <v>10</v>
      </c>
      <c r="D138" s="2" t="s">
        <v>11</v>
      </c>
      <c r="E138" s="4">
        <v>70.8</v>
      </c>
    </row>
    <row r="139" spans="1:5" ht="15.75" customHeight="1" x14ac:dyDescent="0.3">
      <c r="B139" s="2" t="s">
        <v>39</v>
      </c>
      <c r="C139" s="2" t="s">
        <v>5</v>
      </c>
      <c r="D139" s="2" t="s">
        <v>5</v>
      </c>
      <c r="E139" s="4" t="s">
        <v>5</v>
      </c>
    </row>
    <row r="140" spans="1:5" ht="15.75" customHeight="1" x14ac:dyDescent="0.3">
      <c r="B140" s="2" t="s">
        <v>39</v>
      </c>
      <c r="C140" s="2" t="s">
        <v>6</v>
      </c>
      <c r="D140" s="2" t="s">
        <v>7</v>
      </c>
      <c r="E140" s="4">
        <v>105.38</v>
      </c>
    </row>
    <row r="141" spans="1:5" ht="15.75" customHeight="1" x14ac:dyDescent="0.3">
      <c r="B141" s="2" t="s">
        <v>39</v>
      </c>
      <c r="C141" s="2" t="s">
        <v>8</v>
      </c>
      <c r="D141" s="2" t="s">
        <v>9</v>
      </c>
      <c r="E141" s="4">
        <v>70.319999999999993</v>
      </c>
    </row>
    <row r="142" spans="1:5" ht="15.75" customHeight="1" x14ac:dyDescent="0.3">
      <c r="B142" s="2" t="s">
        <v>39</v>
      </c>
      <c r="C142" s="2" t="s">
        <v>40</v>
      </c>
      <c r="D142" s="2" t="s">
        <v>9</v>
      </c>
      <c r="E142" s="4">
        <v>10.54</v>
      </c>
    </row>
    <row r="143" spans="1:5" ht="15.75" hidden="1" customHeight="1" x14ac:dyDescent="0.3">
      <c r="B143" s="2" t="s">
        <v>39</v>
      </c>
      <c r="C143" s="2" t="s">
        <v>13</v>
      </c>
      <c r="D143" s="2" t="s">
        <v>14</v>
      </c>
      <c r="E143" s="4">
        <v>37.85</v>
      </c>
    </row>
    <row r="144" spans="1:5" ht="15.75" customHeight="1" x14ac:dyDescent="0.3">
      <c r="B144" s="2" t="s">
        <v>39</v>
      </c>
      <c r="C144" s="2" t="s">
        <v>41</v>
      </c>
      <c r="D144" s="2" t="s">
        <v>42</v>
      </c>
      <c r="E144" s="4">
        <v>7.64</v>
      </c>
    </row>
    <row r="145" spans="2:5" ht="15.75" customHeight="1" x14ac:dyDescent="0.3">
      <c r="B145" s="2" t="s">
        <v>39</v>
      </c>
      <c r="C145" s="2" t="s">
        <v>10</v>
      </c>
      <c r="D145" s="2" t="s">
        <v>11</v>
      </c>
      <c r="E145" s="4">
        <v>62.95</v>
      </c>
    </row>
    <row r="146" spans="2:5" ht="15.75" hidden="1" customHeight="1" x14ac:dyDescent="0.3">
      <c r="B146" s="2" t="s">
        <v>39</v>
      </c>
      <c r="C146" s="2" t="s">
        <v>19</v>
      </c>
      <c r="D146" s="2" t="s">
        <v>20</v>
      </c>
      <c r="E146" s="4">
        <v>6.21</v>
      </c>
    </row>
    <row r="147" spans="2:5" ht="15.75" customHeight="1" x14ac:dyDescent="0.3">
      <c r="B147" s="2" t="s">
        <v>43</v>
      </c>
      <c r="C147" s="2" t="s">
        <v>5</v>
      </c>
      <c r="D147" s="2" t="s">
        <v>5</v>
      </c>
      <c r="E147" s="4" t="s">
        <v>5</v>
      </c>
    </row>
    <row r="148" spans="2:5" ht="15.75" customHeight="1" x14ac:dyDescent="0.3">
      <c r="B148" s="2" t="s">
        <v>43</v>
      </c>
      <c r="C148" s="2" t="s">
        <v>6</v>
      </c>
      <c r="D148" s="2" t="s">
        <v>7</v>
      </c>
      <c r="E148" s="4">
        <v>77.67</v>
      </c>
    </row>
    <row r="149" spans="2:5" ht="15.75" customHeight="1" x14ac:dyDescent="0.3">
      <c r="B149" s="2" t="s">
        <v>43</v>
      </c>
      <c r="C149" s="2" t="s">
        <v>8</v>
      </c>
      <c r="D149" s="2" t="s">
        <v>9</v>
      </c>
      <c r="E149" s="4">
        <v>18.11</v>
      </c>
    </row>
    <row r="150" spans="2:5" ht="15.75" hidden="1" customHeight="1" x14ac:dyDescent="0.3">
      <c r="B150" s="2" t="s">
        <v>43</v>
      </c>
      <c r="C150" s="2" t="s">
        <v>13</v>
      </c>
      <c r="D150" s="2" t="s">
        <v>14</v>
      </c>
      <c r="E150" s="4">
        <v>2.92</v>
      </c>
    </row>
    <row r="151" spans="2:5" ht="15.75" customHeight="1" x14ac:dyDescent="0.3">
      <c r="B151" s="2" t="s">
        <v>43</v>
      </c>
      <c r="C151" s="2" t="s">
        <v>41</v>
      </c>
      <c r="D151" s="2" t="s">
        <v>42</v>
      </c>
      <c r="E151" s="4">
        <v>31.23</v>
      </c>
    </row>
    <row r="152" spans="2:5" ht="15.75" customHeight="1" x14ac:dyDescent="0.3">
      <c r="B152" s="2" t="s">
        <v>43</v>
      </c>
      <c r="C152" s="2" t="s">
        <v>10</v>
      </c>
      <c r="D152" s="2" t="s">
        <v>11</v>
      </c>
      <c r="E152" s="4">
        <v>54.28</v>
      </c>
    </row>
    <row r="153" spans="2:5" ht="15.75" customHeight="1" x14ac:dyDescent="0.3">
      <c r="B153" s="2" t="s">
        <v>44</v>
      </c>
      <c r="C153" s="2" t="s">
        <v>5</v>
      </c>
      <c r="D153" s="2" t="s">
        <v>5</v>
      </c>
      <c r="E153" s="4" t="s">
        <v>5</v>
      </c>
    </row>
    <row r="154" spans="2:5" ht="15.75" customHeight="1" x14ac:dyDescent="0.3">
      <c r="B154" s="2" t="s">
        <v>44</v>
      </c>
      <c r="C154" s="2" t="s">
        <v>6</v>
      </c>
      <c r="D154" s="2" t="s">
        <v>7</v>
      </c>
      <c r="E154" s="4">
        <v>43.18</v>
      </c>
    </row>
    <row r="155" spans="2:5" ht="15.75" customHeight="1" x14ac:dyDescent="0.3">
      <c r="B155" s="2" t="s">
        <v>44</v>
      </c>
      <c r="C155" s="2" t="s">
        <v>41</v>
      </c>
      <c r="D155" s="2" t="s">
        <v>42</v>
      </c>
      <c r="E155" s="4">
        <v>30.95</v>
      </c>
    </row>
    <row r="156" spans="2:5" ht="15.75" customHeight="1" x14ac:dyDescent="0.3">
      <c r="B156" s="2" t="s">
        <v>44</v>
      </c>
      <c r="C156" s="2" t="s">
        <v>10</v>
      </c>
      <c r="D156" s="2" t="s">
        <v>11</v>
      </c>
      <c r="E156" s="4">
        <v>66.34</v>
      </c>
    </row>
    <row r="157" spans="2:5" ht="15.75" customHeight="1" x14ac:dyDescent="0.3">
      <c r="B157" s="2" t="s">
        <v>45</v>
      </c>
      <c r="C157" s="2" t="s">
        <v>5</v>
      </c>
      <c r="D157" s="2" t="s">
        <v>5</v>
      </c>
      <c r="E157" s="4" t="s">
        <v>5</v>
      </c>
    </row>
    <row r="158" spans="2:5" ht="15.75" customHeight="1" x14ac:dyDescent="0.3">
      <c r="B158" s="2" t="s">
        <v>45</v>
      </c>
      <c r="C158" s="2" t="s">
        <v>8</v>
      </c>
      <c r="D158" s="2" t="s">
        <v>9</v>
      </c>
      <c r="E158" s="4">
        <v>29.6</v>
      </c>
    </row>
    <row r="159" spans="2:5" ht="15.75" customHeight="1" x14ac:dyDescent="0.3"/>
    <row r="160" spans="2:5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E158" xr:uid="{00000000-0009-0000-0000-000000000000}">
    <filterColumn colId="2">
      <filters blank="1">
        <filter val="ALVENARIA_CORTA_FOGO_10cm"/>
        <filter val="ALVENARIA_CORTA_FOGO_12,5cm"/>
        <filter val="BLOCO CERAMICO, 11,5 cm"/>
        <filter val="BLOCO CERAMICO, 14 cm"/>
      </filters>
    </filterColumn>
  </autoFilter>
  <mergeCells count="1">
    <mergeCell ref="G1:I2"/>
  </mergeCells>
  <pageMargins left="0.511811024" right="0.511811024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E1" workbookViewId="0">
      <selection activeCell="D1" sqref="A1:D1048576"/>
    </sheetView>
  </sheetViews>
  <sheetFormatPr defaultColWidth="14.44140625" defaultRowHeight="15" customHeight="1" x14ac:dyDescent="0.3"/>
  <cols>
    <col min="1" max="1" width="37.6640625" hidden="1" customWidth="1"/>
    <col min="2" max="2" width="34.44140625" hidden="1" customWidth="1"/>
    <col min="3" max="3" width="11.44140625" style="5" hidden="1" customWidth="1"/>
    <col min="4" max="4" width="8.6640625" hidden="1" customWidth="1"/>
    <col min="5" max="5" width="8.6640625" customWidth="1"/>
    <col min="6" max="6" width="34" bestFit="1" customWidth="1"/>
    <col min="7" max="7" width="9.5546875" bestFit="1" customWidth="1"/>
    <col min="8" max="26" width="8.6640625" customWidth="1"/>
  </cols>
  <sheetData>
    <row r="1" spans="1:7" ht="14.4" x14ac:dyDescent="0.3">
      <c r="A1" s="1" t="s">
        <v>1</v>
      </c>
      <c r="B1" s="1" t="s">
        <v>2</v>
      </c>
      <c r="C1" s="3" t="s">
        <v>46</v>
      </c>
      <c r="F1" s="57" t="s">
        <v>558</v>
      </c>
      <c r="G1" s="59"/>
    </row>
    <row r="2" spans="1:7" ht="14.4" x14ac:dyDescent="0.3">
      <c r="A2" s="2" t="s">
        <v>6</v>
      </c>
      <c r="B2" s="2" t="s">
        <v>7</v>
      </c>
      <c r="C2" s="4">
        <v>2829.66</v>
      </c>
      <c r="F2" s="60"/>
      <c r="G2" s="62"/>
    </row>
    <row r="3" spans="1:7" ht="14.4" x14ac:dyDescent="0.3">
      <c r="A3" s="2" t="s">
        <v>8</v>
      </c>
      <c r="B3" s="2" t="s">
        <v>9</v>
      </c>
      <c r="C3" s="4">
        <v>2725.02</v>
      </c>
      <c r="F3" s="40" t="s">
        <v>2</v>
      </c>
      <c r="G3" s="48" t="s">
        <v>557</v>
      </c>
    </row>
    <row r="4" spans="1:7" ht="14.4" x14ac:dyDescent="0.3">
      <c r="A4" s="2" t="s">
        <v>40</v>
      </c>
      <c r="B4" s="2" t="s">
        <v>9</v>
      </c>
      <c r="C4" s="4">
        <v>10.54</v>
      </c>
      <c r="F4" s="49" t="s">
        <v>7</v>
      </c>
      <c r="G4" s="51">
        <v>2829.66</v>
      </c>
    </row>
    <row r="5" spans="1:7" ht="14.4" x14ac:dyDescent="0.3">
      <c r="A5" s="2" t="s">
        <v>13</v>
      </c>
      <c r="B5" s="2" t="s">
        <v>14</v>
      </c>
      <c r="C5" s="4">
        <v>4285.8999999999996</v>
      </c>
      <c r="F5" s="49" t="s">
        <v>9</v>
      </c>
      <c r="G5" s="51">
        <v>2725.02</v>
      </c>
    </row>
    <row r="6" spans="1:7" ht="14.4" x14ac:dyDescent="0.3">
      <c r="A6" s="2" t="s">
        <v>22</v>
      </c>
      <c r="B6" s="2" t="s">
        <v>23</v>
      </c>
      <c r="C6" s="4">
        <v>315.01</v>
      </c>
      <c r="F6" s="49" t="s">
        <v>9</v>
      </c>
      <c r="G6" s="51">
        <v>10.54</v>
      </c>
    </row>
    <row r="7" spans="1:7" ht="14.4" x14ac:dyDescent="0.3">
      <c r="A7" s="2" t="s">
        <v>41</v>
      </c>
      <c r="B7" s="2" t="s">
        <v>42</v>
      </c>
      <c r="C7" s="4">
        <v>69.81</v>
      </c>
      <c r="F7" s="49" t="s">
        <v>14</v>
      </c>
      <c r="G7" s="51">
        <v>4285.8999999999996</v>
      </c>
    </row>
    <row r="8" spans="1:7" ht="14.4" x14ac:dyDescent="0.3">
      <c r="A8" s="2" t="s">
        <v>10</v>
      </c>
      <c r="B8" s="2" t="s">
        <v>11</v>
      </c>
      <c r="C8" s="4">
        <v>1708.24</v>
      </c>
      <c r="F8" s="49" t="s">
        <v>23</v>
      </c>
      <c r="G8" s="51">
        <v>315.01</v>
      </c>
    </row>
    <row r="9" spans="1:7" ht="14.4" x14ac:dyDescent="0.3">
      <c r="A9" s="2" t="s">
        <v>19</v>
      </c>
      <c r="B9" s="2" t="s">
        <v>20</v>
      </c>
      <c r="C9" s="4">
        <v>110.17</v>
      </c>
      <c r="F9" s="49" t="s">
        <v>42</v>
      </c>
      <c r="G9" s="51">
        <v>69.81</v>
      </c>
    </row>
    <row r="10" spans="1:7" ht="15" customHeight="1" x14ac:dyDescent="0.3">
      <c r="F10" s="49" t="s">
        <v>11</v>
      </c>
      <c r="G10" s="51">
        <v>1708.24</v>
      </c>
    </row>
    <row r="11" spans="1:7" ht="15" customHeight="1" thickBot="1" x14ac:dyDescent="0.35">
      <c r="F11" s="52" t="s">
        <v>20</v>
      </c>
      <c r="G11" s="53">
        <v>110.17</v>
      </c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C9" xr:uid="{00000000-0009-0000-0000-000001000000}"/>
  <mergeCells count="1">
    <mergeCell ref="F1:G2"/>
  </mergeCells>
  <pageMargins left="0.511811024" right="0.511811024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000"/>
  <sheetViews>
    <sheetView tabSelected="1" topLeftCell="E3" zoomScaleNormal="100" workbookViewId="0">
      <selection activeCell="J16" activeCellId="1" sqref="J12:J13 J16"/>
    </sheetView>
  </sheetViews>
  <sheetFormatPr defaultColWidth="14.44140625" defaultRowHeight="15" customHeight="1" x14ac:dyDescent="0.3"/>
  <cols>
    <col min="1" max="3" width="18.5546875" customWidth="1"/>
    <col min="4" max="4" width="73.109375" customWidth="1"/>
    <col min="5" max="5" width="13.88671875" style="5" customWidth="1"/>
    <col min="6" max="6" width="10.33203125" style="5" customWidth="1"/>
    <col min="7" max="8" width="8.6640625" customWidth="1"/>
    <col min="9" max="9" width="69.33203125" bestFit="1" customWidth="1"/>
    <col min="10" max="10" width="15.33203125" customWidth="1"/>
    <col min="11" max="11" width="15.5546875" bestFit="1" customWidth="1"/>
    <col min="12" max="28" width="8.6640625" customWidth="1"/>
  </cols>
  <sheetData>
    <row r="1" spans="1:11" ht="26.4" thickBot="1" x14ac:dyDescent="0.55000000000000004">
      <c r="A1" s="1" t="s">
        <v>0</v>
      </c>
      <c r="B1" s="6" t="s">
        <v>495</v>
      </c>
      <c r="C1" s="6"/>
      <c r="D1" s="1" t="s">
        <v>1</v>
      </c>
      <c r="E1" s="3" t="s">
        <v>47</v>
      </c>
      <c r="F1" s="3" t="s">
        <v>3</v>
      </c>
      <c r="I1" s="63" t="s">
        <v>541</v>
      </c>
      <c r="J1" s="64"/>
      <c r="K1" s="65"/>
    </row>
    <row r="2" spans="1:11" thickBot="1" x14ac:dyDescent="0.35">
      <c r="A2" s="2" t="s">
        <v>4</v>
      </c>
      <c r="B2" s="2"/>
      <c r="C2" s="2"/>
      <c r="D2" s="2" t="s">
        <v>5</v>
      </c>
      <c r="E2" s="4" t="s">
        <v>5</v>
      </c>
      <c r="F2" s="4" t="s">
        <v>5</v>
      </c>
      <c r="I2" s="66" t="s">
        <v>542</v>
      </c>
      <c r="J2" s="67"/>
      <c r="K2" s="68"/>
    </row>
    <row r="3" spans="1:11" thickBot="1" x14ac:dyDescent="0.35">
      <c r="A3" s="2" t="s">
        <v>4</v>
      </c>
      <c r="B3" s="7" t="s">
        <v>498</v>
      </c>
      <c r="C3" s="7" t="s">
        <v>497</v>
      </c>
      <c r="D3" s="2" t="s">
        <v>48</v>
      </c>
      <c r="E3" s="4" t="s">
        <v>49</v>
      </c>
      <c r="F3" s="4">
        <v>39.200000000000003</v>
      </c>
      <c r="I3" s="37" t="s">
        <v>2</v>
      </c>
      <c r="J3" s="38" t="s">
        <v>544</v>
      </c>
      <c r="K3" s="39"/>
    </row>
    <row r="4" spans="1:11" ht="14.4" x14ac:dyDescent="0.3">
      <c r="A4" s="2" t="s">
        <v>4</v>
      </c>
      <c r="B4" s="7" t="s">
        <v>498</v>
      </c>
      <c r="C4" s="7" t="s">
        <v>497</v>
      </c>
      <c r="D4" s="2" t="s">
        <v>50</v>
      </c>
      <c r="E4" s="4" t="s">
        <v>51</v>
      </c>
      <c r="F4" s="4">
        <v>156.5</v>
      </c>
      <c r="I4" s="34" t="s">
        <v>498</v>
      </c>
      <c r="J4" s="35">
        <f>SUMIF(B:B,I4,F:F)</f>
        <v>7421.5400000000154</v>
      </c>
      <c r="K4" s="36"/>
    </row>
    <row r="5" spans="1:11" ht="14.4" x14ac:dyDescent="0.3">
      <c r="A5" s="2" t="s">
        <v>4</v>
      </c>
      <c r="B5" s="7" t="s">
        <v>496</v>
      </c>
      <c r="C5" s="7" t="s">
        <v>497</v>
      </c>
      <c r="D5" s="2" t="s">
        <v>52</v>
      </c>
      <c r="E5" s="4" t="s">
        <v>53</v>
      </c>
      <c r="F5" s="4">
        <v>0.95</v>
      </c>
      <c r="I5" s="23" t="s">
        <v>496</v>
      </c>
      <c r="J5" s="18">
        <f>SUMIF(B:B,I5,F:F)</f>
        <v>2979.7399999999943</v>
      </c>
      <c r="K5" s="22"/>
    </row>
    <row r="6" spans="1:11" ht="14.4" x14ac:dyDescent="0.3">
      <c r="A6" s="2" t="s">
        <v>4</v>
      </c>
      <c r="B6" s="2" t="s">
        <v>496</v>
      </c>
      <c r="C6" s="7" t="s">
        <v>497</v>
      </c>
      <c r="D6" s="2" t="s">
        <v>54</v>
      </c>
      <c r="E6" s="4" t="s">
        <v>55</v>
      </c>
      <c r="F6" s="4">
        <v>114.47</v>
      </c>
      <c r="I6" s="23" t="s">
        <v>499</v>
      </c>
      <c r="J6" s="18">
        <f>SUMIF(B:B,I6,F:F)</f>
        <v>2006.8300000000013</v>
      </c>
      <c r="K6" s="22"/>
    </row>
    <row r="7" spans="1:11" ht="14.4" x14ac:dyDescent="0.3">
      <c r="A7" s="2" t="s">
        <v>4</v>
      </c>
      <c r="B7" s="7" t="s">
        <v>498</v>
      </c>
      <c r="C7" s="7" t="s">
        <v>497</v>
      </c>
      <c r="D7" s="2" t="s">
        <v>56</v>
      </c>
      <c r="E7" s="4" t="s">
        <v>57</v>
      </c>
      <c r="F7" s="4">
        <v>45.15</v>
      </c>
      <c r="I7" s="23" t="s">
        <v>500</v>
      </c>
      <c r="J7" s="19">
        <f>J5+J4</f>
        <v>10401.28000000001</v>
      </c>
      <c r="K7" s="22"/>
    </row>
    <row r="8" spans="1:11" ht="14.4" x14ac:dyDescent="0.3">
      <c r="A8" s="2" t="s">
        <v>4</v>
      </c>
      <c r="B8" s="2" t="s">
        <v>496</v>
      </c>
      <c r="C8" s="7" t="s">
        <v>497</v>
      </c>
      <c r="D8" s="2" t="s">
        <v>58</v>
      </c>
      <c r="E8" s="4" t="s">
        <v>59</v>
      </c>
      <c r="F8" s="4">
        <v>44.75</v>
      </c>
      <c r="I8" s="24"/>
      <c r="J8" s="16"/>
      <c r="K8" s="22"/>
    </row>
    <row r="9" spans="1:11" ht="14.4" x14ac:dyDescent="0.3">
      <c r="A9" s="2" t="s">
        <v>4</v>
      </c>
      <c r="B9" s="7" t="s">
        <v>496</v>
      </c>
      <c r="C9" s="7" t="s">
        <v>497</v>
      </c>
      <c r="D9" s="2" t="s">
        <v>60</v>
      </c>
      <c r="E9" s="4" t="s">
        <v>61</v>
      </c>
      <c r="F9" s="4">
        <v>31.3</v>
      </c>
      <c r="I9" s="24"/>
      <c r="J9" s="16"/>
      <c r="K9" s="22"/>
    </row>
    <row r="10" spans="1:11" thickBot="1" x14ac:dyDescent="0.35">
      <c r="A10" s="2" t="s">
        <v>4</v>
      </c>
      <c r="B10" s="2" t="s">
        <v>496</v>
      </c>
      <c r="C10" s="7" t="s">
        <v>497</v>
      </c>
      <c r="D10" s="2" t="s">
        <v>62</v>
      </c>
      <c r="E10" s="4" t="s">
        <v>63</v>
      </c>
      <c r="F10" s="4">
        <v>9.11</v>
      </c>
      <c r="I10" s="69" t="s">
        <v>543</v>
      </c>
      <c r="J10" s="70"/>
      <c r="K10" s="71"/>
    </row>
    <row r="11" spans="1:11" thickBot="1" x14ac:dyDescent="0.35">
      <c r="A11" s="2" t="s">
        <v>4</v>
      </c>
      <c r="B11" s="7" t="s">
        <v>498</v>
      </c>
      <c r="C11" s="7" t="s">
        <v>497</v>
      </c>
      <c r="D11" s="2" t="s">
        <v>64</v>
      </c>
      <c r="E11" s="4" t="s">
        <v>65</v>
      </c>
      <c r="F11" s="4">
        <v>136.33000000000001</v>
      </c>
      <c r="I11" s="37" t="s">
        <v>2</v>
      </c>
      <c r="J11" s="38" t="s">
        <v>544</v>
      </c>
      <c r="K11" s="39"/>
    </row>
    <row r="12" spans="1:11" ht="14.4" x14ac:dyDescent="0.3">
      <c r="A12" s="2" t="s">
        <v>4</v>
      </c>
      <c r="B12" s="2" t="s">
        <v>496</v>
      </c>
      <c r="C12" s="7" t="s">
        <v>497</v>
      </c>
      <c r="D12" s="2" t="s">
        <v>66</v>
      </c>
      <c r="E12" s="4" t="s">
        <v>67</v>
      </c>
      <c r="F12" s="4">
        <v>20.239999999999998</v>
      </c>
      <c r="I12" s="34" t="s">
        <v>501</v>
      </c>
      <c r="J12" s="35">
        <f>SUMIF(C:C,I12,F:F)</f>
        <v>6349.9899999999971</v>
      </c>
      <c r="K12" s="36"/>
    </row>
    <row r="13" spans="1:11" ht="14.4" x14ac:dyDescent="0.3">
      <c r="A13" s="2" t="s">
        <v>4</v>
      </c>
      <c r="B13" s="2" t="s">
        <v>496</v>
      </c>
      <c r="C13" s="7" t="s">
        <v>497</v>
      </c>
      <c r="D13" s="2" t="s">
        <v>68</v>
      </c>
      <c r="E13" s="4" t="s">
        <v>69</v>
      </c>
      <c r="F13" s="4">
        <v>2.76</v>
      </c>
      <c r="I13" s="23" t="s">
        <v>497</v>
      </c>
      <c r="J13" s="18">
        <f>SUMIF(C:C,I13,F:F)</f>
        <v>5714.6800000000021</v>
      </c>
      <c r="K13" s="22"/>
    </row>
    <row r="14" spans="1:11" ht="14.4" x14ac:dyDescent="0.3">
      <c r="A14" s="2" t="s">
        <v>4</v>
      </c>
      <c r="B14" s="7" t="s">
        <v>498</v>
      </c>
      <c r="C14" s="7" t="s">
        <v>503</v>
      </c>
      <c r="D14" s="2" t="s">
        <v>70</v>
      </c>
      <c r="E14" s="4" t="s">
        <v>71</v>
      </c>
      <c r="F14" s="4">
        <v>18.32</v>
      </c>
      <c r="I14" s="23" t="s">
        <v>503</v>
      </c>
      <c r="J14" s="18">
        <f t="shared" ref="J13:J17" si="0">SUMIF(C:C,I14,F:F)</f>
        <v>1153.2499999999995</v>
      </c>
      <c r="K14" s="22"/>
    </row>
    <row r="15" spans="1:11" ht="14.4" x14ac:dyDescent="0.3">
      <c r="A15" s="2" t="s">
        <v>4</v>
      </c>
      <c r="B15" s="7" t="s">
        <v>498</v>
      </c>
      <c r="C15" s="7" t="s">
        <v>497</v>
      </c>
      <c r="D15" s="2" t="s">
        <v>72</v>
      </c>
      <c r="E15" s="4" t="s">
        <v>73</v>
      </c>
      <c r="F15" s="4">
        <v>33.119999999999997</v>
      </c>
      <c r="I15" s="23" t="s">
        <v>504</v>
      </c>
      <c r="J15" s="18">
        <f t="shared" si="0"/>
        <v>2005.7399999999998</v>
      </c>
      <c r="K15" s="22"/>
    </row>
    <row r="16" spans="1:11" ht="14.4" x14ac:dyDescent="0.3">
      <c r="A16" s="2" t="s">
        <v>4</v>
      </c>
      <c r="B16" s="7" t="s">
        <v>498</v>
      </c>
      <c r="C16" s="7" t="s">
        <v>502</v>
      </c>
      <c r="D16" s="2" t="s">
        <v>74</v>
      </c>
      <c r="E16" s="4" t="s">
        <v>75</v>
      </c>
      <c r="F16" s="4">
        <v>6.36</v>
      </c>
      <c r="I16" s="23" t="s">
        <v>502</v>
      </c>
      <c r="J16" s="18">
        <f>SUMIF(C:C,I16,F:F)</f>
        <v>2480.9199999999978</v>
      </c>
      <c r="K16" s="22"/>
    </row>
    <row r="17" spans="1:11" ht="14.4" x14ac:dyDescent="0.3">
      <c r="A17" s="2" t="s">
        <v>4</v>
      </c>
      <c r="B17" s="2" t="s">
        <v>496</v>
      </c>
      <c r="C17" s="2" t="s">
        <v>502</v>
      </c>
      <c r="D17" s="2" t="s">
        <v>76</v>
      </c>
      <c r="E17" s="4" t="s">
        <v>77</v>
      </c>
      <c r="F17" s="4">
        <v>7.35</v>
      </c>
      <c r="I17" s="23" t="s">
        <v>514</v>
      </c>
      <c r="J17" s="18">
        <f t="shared" si="0"/>
        <v>1084.6299999999999</v>
      </c>
      <c r="K17" s="22"/>
    </row>
    <row r="18" spans="1:11" ht="14.4" x14ac:dyDescent="0.3">
      <c r="A18" s="2" t="s">
        <v>4</v>
      </c>
      <c r="B18" s="7" t="s">
        <v>498</v>
      </c>
      <c r="C18" s="91" t="s">
        <v>502</v>
      </c>
      <c r="D18" s="2" t="s">
        <v>78</v>
      </c>
      <c r="E18" s="4" t="s">
        <v>79</v>
      </c>
      <c r="F18" s="4">
        <v>158.16999999999999</v>
      </c>
      <c r="I18" s="23" t="s">
        <v>549</v>
      </c>
      <c r="J18" s="25">
        <f>J15+J14</f>
        <v>3158.9899999999993</v>
      </c>
      <c r="K18" s="22"/>
    </row>
    <row r="19" spans="1:11" ht="14.4" x14ac:dyDescent="0.3">
      <c r="A19" s="2" t="s">
        <v>4</v>
      </c>
      <c r="B19" s="2" t="s">
        <v>496</v>
      </c>
      <c r="C19" s="91" t="s">
        <v>502</v>
      </c>
      <c r="D19" s="2" t="s">
        <v>80</v>
      </c>
      <c r="E19" s="4" t="s">
        <v>81</v>
      </c>
      <c r="F19" s="4">
        <v>66.849999999999994</v>
      </c>
      <c r="I19" s="21" t="s">
        <v>545</v>
      </c>
      <c r="J19" s="17" t="s">
        <v>546</v>
      </c>
      <c r="K19" s="26" t="s">
        <v>548</v>
      </c>
    </row>
    <row r="20" spans="1:11" ht="14.4" x14ac:dyDescent="0.3">
      <c r="A20" s="2" t="s">
        <v>4</v>
      </c>
      <c r="B20" s="7" t="s">
        <v>498</v>
      </c>
      <c r="C20" s="7" t="s">
        <v>503</v>
      </c>
      <c r="D20" s="2" t="s">
        <v>82</v>
      </c>
      <c r="E20" s="4" t="s">
        <v>83</v>
      </c>
      <c r="F20" s="4">
        <v>20.59</v>
      </c>
      <c r="I20" s="27" t="s">
        <v>70</v>
      </c>
      <c r="J20" s="20">
        <f t="shared" ref="J20:J37" si="1">SUMIF(D:D,I20,F:F)</f>
        <v>18.32</v>
      </c>
      <c r="K20" s="22" t="s">
        <v>510</v>
      </c>
    </row>
    <row r="21" spans="1:11" ht="15.75" customHeight="1" x14ac:dyDescent="0.3">
      <c r="A21" s="2" t="s">
        <v>4</v>
      </c>
      <c r="B21" s="2" t="s">
        <v>496</v>
      </c>
      <c r="C21" s="2" t="s">
        <v>503</v>
      </c>
      <c r="D21" s="2" t="s">
        <v>84</v>
      </c>
      <c r="E21" s="4" t="s">
        <v>85</v>
      </c>
      <c r="F21" s="4">
        <v>2.65</v>
      </c>
      <c r="I21" s="27" t="s">
        <v>82</v>
      </c>
      <c r="J21" s="20">
        <f t="shared" si="1"/>
        <v>98.449999999999989</v>
      </c>
      <c r="K21" s="22" t="s">
        <v>508</v>
      </c>
    </row>
    <row r="22" spans="1:11" ht="15.75" customHeight="1" x14ac:dyDescent="0.3">
      <c r="A22" s="2" t="s">
        <v>4</v>
      </c>
      <c r="B22" s="7" t="s">
        <v>498</v>
      </c>
      <c r="C22" s="7" t="s">
        <v>497</v>
      </c>
      <c r="D22" s="2" t="s">
        <v>86</v>
      </c>
      <c r="E22" s="4" t="s">
        <v>87</v>
      </c>
      <c r="F22" s="4">
        <v>38.380000000000003</v>
      </c>
      <c r="I22" s="27" t="s">
        <v>84</v>
      </c>
      <c r="J22" s="20">
        <f t="shared" si="1"/>
        <v>9.61</v>
      </c>
      <c r="K22" s="22" t="s">
        <v>508</v>
      </c>
    </row>
    <row r="23" spans="1:11" ht="15.75" customHeight="1" x14ac:dyDescent="0.3">
      <c r="A23" s="2" t="s">
        <v>4</v>
      </c>
      <c r="B23" s="2" t="s">
        <v>496</v>
      </c>
      <c r="C23" s="7" t="s">
        <v>497</v>
      </c>
      <c r="D23" s="2" t="s">
        <v>88</v>
      </c>
      <c r="E23" s="4" t="s">
        <v>89</v>
      </c>
      <c r="F23" s="4">
        <v>3.92</v>
      </c>
      <c r="I23" s="28" t="s">
        <v>90</v>
      </c>
      <c r="J23" s="20">
        <f t="shared" si="1"/>
        <v>63.78</v>
      </c>
      <c r="K23" s="22" t="s">
        <v>507</v>
      </c>
    </row>
    <row r="24" spans="1:11" ht="15.75" customHeight="1" x14ac:dyDescent="0.3">
      <c r="A24" s="2" t="s">
        <v>4</v>
      </c>
      <c r="B24" s="7" t="s">
        <v>498</v>
      </c>
      <c r="C24" s="7" t="s">
        <v>503</v>
      </c>
      <c r="D24" s="2" t="s">
        <v>90</v>
      </c>
      <c r="E24" s="4" t="s">
        <v>91</v>
      </c>
      <c r="F24" s="4">
        <v>14.43</v>
      </c>
      <c r="I24" s="27" t="s">
        <v>92</v>
      </c>
      <c r="J24" s="20">
        <f t="shared" si="1"/>
        <v>8.89</v>
      </c>
      <c r="K24" s="22" t="s">
        <v>507</v>
      </c>
    </row>
    <row r="25" spans="1:11" ht="15.75" customHeight="1" x14ac:dyDescent="0.3">
      <c r="A25" s="2" t="s">
        <v>4</v>
      </c>
      <c r="B25" s="2" t="s">
        <v>496</v>
      </c>
      <c r="C25" s="2" t="s">
        <v>503</v>
      </c>
      <c r="D25" s="2" t="s">
        <v>92</v>
      </c>
      <c r="E25" s="4" t="s">
        <v>93</v>
      </c>
      <c r="F25" s="4">
        <v>3.57</v>
      </c>
      <c r="I25" s="29" t="s">
        <v>94</v>
      </c>
      <c r="J25" s="20">
        <f t="shared" si="1"/>
        <v>69.14</v>
      </c>
      <c r="K25" s="22" t="s">
        <v>509</v>
      </c>
    </row>
    <row r="26" spans="1:11" ht="15.75" customHeight="1" x14ac:dyDescent="0.3">
      <c r="A26" s="2" t="s">
        <v>4</v>
      </c>
      <c r="B26" s="7" t="s">
        <v>498</v>
      </c>
      <c r="C26" s="7" t="s">
        <v>503</v>
      </c>
      <c r="D26" s="2" t="s">
        <v>94</v>
      </c>
      <c r="E26" s="4" t="s">
        <v>95</v>
      </c>
      <c r="F26" s="4">
        <v>9.9700000000000006</v>
      </c>
      <c r="I26" s="27" t="s">
        <v>160</v>
      </c>
      <c r="J26" s="20">
        <f t="shared" si="1"/>
        <v>85.02</v>
      </c>
      <c r="K26" s="22" t="s">
        <v>511</v>
      </c>
    </row>
    <row r="27" spans="1:11" ht="15.75" customHeight="1" x14ac:dyDescent="0.3">
      <c r="A27" s="2" t="s">
        <v>4</v>
      </c>
      <c r="B27" s="7" t="s">
        <v>498</v>
      </c>
      <c r="C27" s="10" t="s">
        <v>514</v>
      </c>
      <c r="D27" s="2" t="s">
        <v>96</v>
      </c>
      <c r="E27" s="4" t="s">
        <v>97</v>
      </c>
      <c r="F27" s="4">
        <v>65.03</v>
      </c>
      <c r="I27" s="27" t="s">
        <v>162</v>
      </c>
      <c r="J27" s="20">
        <f t="shared" si="1"/>
        <v>22.04</v>
      </c>
      <c r="K27" s="22" t="s">
        <v>511</v>
      </c>
    </row>
    <row r="28" spans="1:11" ht="15.75" customHeight="1" x14ac:dyDescent="0.3">
      <c r="A28" s="2" t="s">
        <v>4</v>
      </c>
      <c r="B28" s="7" t="s">
        <v>499</v>
      </c>
      <c r="C28" s="7"/>
      <c r="D28" s="2" t="s">
        <v>98</v>
      </c>
      <c r="E28" s="4" t="s">
        <v>99</v>
      </c>
      <c r="F28" s="4">
        <v>25.18</v>
      </c>
      <c r="I28" s="28" t="s">
        <v>166</v>
      </c>
      <c r="J28" s="20">
        <f t="shared" si="1"/>
        <v>32.69</v>
      </c>
      <c r="K28" s="22">
        <v>15.5</v>
      </c>
    </row>
    <row r="29" spans="1:11" ht="15.75" customHeight="1" x14ac:dyDescent="0.3">
      <c r="A29" s="2" t="s">
        <v>4</v>
      </c>
      <c r="B29" s="7" t="s">
        <v>499</v>
      </c>
      <c r="C29" s="7"/>
      <c r="D29" s="2" t="s">
        <v>100</v>
      </c>
      <c r="E29" s="4" t="s">
        <v>101</v>
      </c>
      <c r="F29" s="4">
        <v>4.49</v>
      </c>
      <c r="I29" s="27" t="s">
        <v>168</v>
      </c>
      <c r="J29" s="20">
        <f t="shared" si="1"/>
        <v>0.66</v>
      </c>
      <c r="K29" s="22">
        <v>15.5</v>
      </c>
    </row>
    <row r="30" spans="1:11" ht="15.75" customHeight="1" x14ac:dyDescent="0.3">
      <c r="A30" s="2" t="s">
        <v>4</v>
      </c>
      <c r="B30" s="7" t="s">
        <v>499</v>
      </c>
      <c r="C30" s="7"/>
      <c r="D30" s="2" t="s">
        <v>102</v>
      </c>
      <c r="E30" s="4" t="s">
        <v>103</v>
      </c>
      <c r="F30" s="4">
        <v>36.520000000000003</v>
      </c>
      <c r="I30" s="27" t="s">
        <v>177</v>
      </c>
      <c r="J30" s="20">
        <f t="shared" si="1"/>
        <v>3.3</v>
      </c>
      <c r="K30" s="22" t="s">
        <v>507</v>
      </c>
    </row>
    <row r="31" spans="1:11" ht="15.75" customHeight="1" x14ac:dyDescent="0.3">
      <c r="A31" s="2" t="s">
        <v>12</v>
      </c>
      <c r="B31" s="2"/>
      <c r="C31" s="2"/>
      <c r="D31" s="2" t="s">
        <v>5</v>
      </c>
      <c r="E31" s="4" t="s">
        <v>5</v>
      </c>
      <c r="F31" s="4" t="s">
        <v>5</v>
      </c>
      <c r="I31" s="30" t="s">
        <v>181</v>
      </c>
      <c r="J31" s="20">
        <f t="shared" si="1"/>
        <v>44.63</v>
      </c>
      <c r="K31" s="22" t="s">
        <v>513</v>
      </c>
    </row>
    <row r="32" spans="1:11" ht="15.75" customHeight="1" x14ac:dyDescent="0.3">
      <c r="A32" s="2" t="s">
        <v>12</v>
      </c>
      <c r="B32" s="7"/>
      <c r="C32" s="7" t="s">
        <v>501</v>
      </c>
      <c r="D32" s="2" t="s">
        <v>104</v>
      </c>
      <c r="E32" s="4" t="s">
        <v>105</v>
      </c>
      <c r="F32" s="4">
        <v>44.74</v>
      </c>
      <c r="I32" s="27" t="s">
        <v>186</v>
      </c>
      <c r="J32" s="20">
        <f t="shared" si="1"/>
        <v>5.93</v>
      </c>
      <c r="K32" s="22" t="s">
        <v>509</v>
      </c>
    </row>
    <row r="33" spans="1:14" ht="15.75" customHeight="1" x14ac:dyDescent="0.3">
      <c r="A33" s="2" t="s">
        <v>12</v>
      </c>
      <c r="B33" s="7" t="s">
        <v>498</v>
      </c>
      <c r="C33" s="7" t="s">
        <v>497</v>
      </c>
      <c r="D33" s="2" t="s">
        <v>50</v>
      </c>
      <c r="E33" s="4" t="s">
        <v>106</v>
      </c>
      <c r="F33" s="4">
        <v>116.97</v>
      </c>
      <c r="I33" s="27" t="s">
        <v>200</v>
      </c>
      <c r="J33" s="20">
        <f t="shared" si="1"/>
        <v>2000.4999999999995</v>
      </c>
      <c r="K33" s="22" t="s">
        <v>512</v>
      </c>
    </row>
    <row r="34" spans="1:14" ht="15.75" customHeight="1" x14ac:dyDescent="0.3">
      <c r="A34" s="2" t="s">
        <v>12</v>
      </c>
      <c r="B34" s="2" t="s">
        <v>496</v>
      </c>
      <c r="C34" s="7" t="s">
        <v>497</v>
      </c>
      <c r="D34" s="2" t="s">
        <v>54</v>
      </c>
      <c r="E34" s="4" t="s">
        <v>107</v>
      </c>
      <c r="F34" s="4">
        <v>75.53</v>
      </c>
      <c r="I34" s="27" t="s">
        <v>202</v>
      </c>
      <c r="J34" s="20">
        <f t="shared" si="1"/>
        <v>466.09999999999997</v>
      </c>
      <c r="K34" s="22" t="s">
        <v>512</v>
      </c>
    </row>
    <row r="35" spans="1:14" ht="15.75" customHeight="1" x14ac:dyDescent="0.3">
      <c r="A35" s="2" t="s">
        <v>12</v>
      </c>
      <c r="B35" s="7" t="s">
        <v>498</v>
      </c>
      <c r="C35" s="7" t="s">
        <v>497</v>
      </c>
      <c r="D35" s="2" t="s">
        <v>56</v>
      </c>
      <c r="E35" s="4" t="s">
        <v>108</v>
      </c>
      <c r="F35" s="4">
        <v>88.56</v>
      </c>
      <c r="I35" s="27" t="s">
        <v>204</v>
      </c>
      <c r="J35" s="20">
        <f t="shared" si="1"/>
        <v>195.79</v>
      </c>
      <c r="K35" s="22" t="s">
        <v>512</v>
      </c>
    </row>
    <row r="36" spans="1:14" ht="15.75" customHeight="1" x14ac:dyDescent="0.3">
      <c r="A36" s="2" t="s">
        <v>12</v>
      </c>
      <c r="B36" s="2" t="s">
        <v>496</v>
      </c>
      <c r="C36" s="7" t="s">
        <v>497</v>
      </c>
      <c r="D36" s="2" t="s">
        <v>58</v>
      </c>
      <c r="E36" s="4" t="s">
        <v>109</v>
      </c>
      <c r="F36" s="4">
        <v>21.61</v>
      </c>
      <c r="I36" s="28" t="s">
        <v>237</v>
      </c>
      <c r="J36" s="20">
        <f t="shared" si="1"/>
        <v>32.200000000000003</v>
      </c>
      <c r="K36" s="22"/>
    </row>
    <row r="37" spans="1:14" ht="15.75" customHeight="1" x14ac:dyDescent="0.3">
      <c r="A37" s="2" t="s">
        <v>12</v>
      </c>
      <c r="B37" s="7" t="s">
        <v>498</v>
      </c>
      <c r="C37" s="7" t="s">
        <v>497</v>
      </c>
      <c r="D37" s="2" t="s">
        <v>110</v>
      </c>
      <c r="E37" s="4" t="s">
        <v>111</v>
      </c>
      <c r="F37" s="4">
        <v>26.53</v>
      </c>
      <c r="I37" s="29" t="s">
        <v>156</v>
      </c>
      <c r="J37" s="20">
        <f t="shared" si="1"/>
        <v>1.94</v>
      </c>
      <c r="K37" s="22"/>
    </row>
    <row r="38" spans="1:14" ht="15.75" customHeight="1" x14ac:dyDescent="0.3">
      <c r="A38" s="2" t="s">
        <v>12</v>
      </c>
      <c r="B38" s="2" t="s">
        <v>496</v>
      </c>
      <c r="C38" s="7" t="s">
        <v>497</v>
      </c>
      <c r="D38" s="2" t="s">
        <v>68</v>
      </c>
      <c r="E38" s="4" t="s">
        <v>112</v>
      </c>
      <c r="F38" s="4">
        <v>5.42</v>
      </c>
      <c r="I38" s="24"/>
      <c r="J38" s="16"/>
      <c r="K38" s="22"/>
    </row>
    <row r="39" spans="1:14" ht="15.75" customHeight="1" thickBot="1" x14ac:dyDescent="0.35">
      <c r="A39" s="2" t="s">
        <v>12</v>
      </c>
      <c r="B39" s="7" t="s">
        <v>498</v>
      </c>
      <c r="C39" s="7" t="s">
        <v>497</v>
      </c>
      <c r="D39" s="2" t="s">
        <v>72</v>
      </c>
      <c r="E39" s="4" t="s">
        <v>113</v>
      </c>
      <c r="F39" s="4">
        <v>17.899999999999999</v>
      </c>
      <c r="I39" s="31" t="s">
        <v>547</v>
      </c>
      <c r="J39" s="32">
        <f>SUM(J20:J38)</f>
        <v>3158.9899999999993</v>
      </c>
      <c r="K39" s="33"/>
    </row>
    <row r="40" spans="1:14" ht="15.75" customHeight="1" x14ac:dyDescent="0.3">
      <c r="A40" s="2" t="s">
        <v>12</v>
      </c>
      <c r="B40" s="2" t="s">
        <v>496</v>
      </c>
      <c r="C40" s="7" t="s">
        <v>497</v>
      </c>
      <c r="D40" s="2" t="s">
        <v>114</v>
      </c>
      <c r="E40" s="4" t="s">
        <v>115</v>
      </c>
      <c r="F40" s="4">
        <v>1</v>
      </c>
    </row>
    <row r="41" spans="1:14" ht="15.75" customHeight="1" x14ac:dyDescent="0.3">
      <c r="A41" s="2" t="s">
        <v>12</v>
      </c>
      <c r="B41" s="7" t="s">
        <v>498</v>
      </c>
      <c r="C41" s="7" t="s">
        <v>502</v>
      </c>
      <c r="D41" s="2" t="s">
        <v>74</v>
      </c>
      <c r="E41" s="4" t="s">
        <v>116</v>
      </c>
      <c r="F41" s="4">
        <v>5.46</v>
      </c>
    </row>
    <row r="42" spans="1:14" ht="15.75" customHeight="1" x14ac:dyDescent="0.3">
      <c r="A42" s="2" t="s">
        <v>12</v>
      </c>
      <c r="B42" s="2" t="s">
        <v>496</v>
      </c>
      <c r="C42" s="2" t="s">
        <v>502</v>
      </c>
      <c r="D42" s="2" t="s">
        <v>76</v>
      </c>
      <c r="E42" s="4" t="s">
        <v>117</v>
      </c>
      <c r="F42" s="4">
        <v>7.4</v>
      </c>
    </row>
    <row r="43" spans="1:14" ht="15.75" customHeight="1" x14ac:dyDescent="0.3">
      <c r="A43" s="2" t="s">
        <v>12</v>
      </c>
      <c r="B43" s="7" t="s">
        <v>498</v>
      </c>
      <c r="C43" s="91" t="s">
        <v>502</v>
      </c>
      <c r="D43" s="2" t="s">
        <v>78</v>
      </c>
      <c r="E43" s="4" t="s">
        <v>118</v>
      </c>
      <c r="F43" s="4">
        <v>199.1</v>
      </c>
    </row>
    <row r="44" spans="1:14" ht="15.75" customHeight="1" x14ac:dyDescent="0.3">
      <c r="A44" s="2" t="s">
        <v>12</v>
      </c>
      <c r="B44" s="2" t="s">
        <v>496</v>
      </c>
      <c r="C44" s="91" t="s">
        <v>502</v>
      </c>
      <c r="D44" s="2" t="s">
        <v>80</v>
      </c>
      <c r="E44" s="4" t="s">
        <v>119</v>
      </c>
      <c r="F44" s="4">
        <v>100.22</v>
      </c>
    </row>
    <row r="45" spans="1:14" ht="15.75" customHeight="1" x14ac:dyDescent="0.3">
      <c r="A45" s="2" t="s">
        <v>12</v>
      </c>
      <c r="B45" s="7" t="s">
        <v>498</v>
      </c>
      <c r="C45" s="7" t="s">
        <v>503</v>
      </c>
      <c r="D45" s="2" t="s">
        <v>82</v>
      </c>
      <c r="E45" s="4" t="s">
        <v>120</v>
      </c>
      <c r="F45" s="4">
        <v>4.59</v>
      </c>
    </row>
    <row r="46" spans="1:14" ht="15.75" customHeight="1" x14ac:dyDescent="0.3">
      <c r="A46" s="2" t="s">
        <v>12</v>
      </c>
      <c r="B46" s="2" t="s">
        <v>496</v>
      </c>
      <c r="C46" s="2" t="s">
        <v>503</v>
      </c>
      <c r="D46" s="2" t="s">
        <v>84</v>
      </c>
      <c r="E46" s="4" t="s">
        <v>121</v>
      </c>
      <c r="F46" s="4">
        <v>1.26</v>
      </c>
    </row>
    <row r="47" spans="1:14" ht="15.75" customHeight="1" x14ac:dyDescent="0.3">
      <c r="A47" s="2" t="s">
        <v>12</v>
      </c>
      <c r="B47" s="7" t="s">
        <v>498</v>
      </c>
      <c r="C47" s="7" t="s">
        <v>514</v>
      </c>
      <c r="D47" s="2" t="s">
        <v>96</v>
      </c>
      <c r="E47" s="4" t="s">
        <v>122</v>
      </c>
      <c r="F47" s="4">
        <v>51.45</v>
      </c>
      <c r="L47" s="2"/>
      <c r="M47" s="4"/>
      <c r="N47" s="4"/>
    </row>
    <row r="48" spans="1:14" ht="15.75" customHeight="1" x14ac:dyDescent="0.3">
      <c r="A48" s="2" t="s">
        <v>12</v>
      </c>
      <c r="B48" s="7" t="s">
        <v>499</v>
      </c>
      <c r="C48" s="7"/>
      <c r="D48" s="2" t="s">
        <v>98</v>
      </c>
      <c r="E48" s="4" t="s">
        <v>123</v>
      </c>
      <c r="F48" s="4">
        <v>31.7</v>
      </c>
      <c r="I48" s="2"/>
      <c r="J48" s="2"/>
      <c r="L48" s="2"/>
      <c r="M48" s="4"/>
      <c r="N48" s="4"/>
    </row>
    <row r="49" spans="1:14" ht="15.75" customHeight="1" x14ac:dyDescent="0.3">
      <c r="A49" s="2" t="s">
        <v>12</v>
      </c>
      <c r="B49" s="7" t="s">
        <v>499</v>
      </c>
      <c r="C49" s="7"/>
      <c r="D49" s="2" t="s">
        <v>100</v>
      </c>
      <c r="E49" s="4" t="s">
        <v>124</v>
      </c>
      <c r="F49" s="4">
        <v>6.71</v>
      </c>
      <c r="I49" s="2"/>
      <c r="J49" s="7"/>
      <c r="L49" s="2"/>
      <c r="M49" s="4"/>
      <c r="N49" s="4"/>
    </row>
    <row r="50" spans="1:14" ht="15.75" customHeight="1" x14ac:dyDescent="0.3">
      <c r="A50" s="2" t="s">
        <v>12</v>
      </c>
      <c r="B50" s="7" t="s">
        <v>499</v>
      </c>
      <c r="C50" s="7"/>
      <c r="D50" s="2" t="s">
        <v>102</v>
      </c>
      <c r="E50" s="4" t="s">
        <v>125</v>
      </c>
      <c r="F50" s="4">
        <v>42.74</v>
      </c>
      <c r="I50" s="2"/>
      <c r="J50" s="7"/>
      <c r="L50" s="2"/>
      <c r="M50" s="4"/>
      <c r="N50" s="4"/>
    </row>
    <row r="51" spans="1:14" ht="15.75" customHeight="1" x14ac:dyDescent="0.3">
      <c r="A51" s="2" t="s">
        <v>15</v>
      </c>
      <c r="B51" s="2"/>
      <c r="C51" s="2"/>
      <c r="D51" s="2" t="s">
        <v>5</v>
      </c>
      <c r="E51" s="4" t="s">
        <v>5</v>
      </c>
      <c r="F51" s="4" t="s">
        <v>5</v>
      </c>
      <c r="I51" s="2"/>
      <c r="J51" s="7"/>
      <c r="L51" s="2"/>
      <c r="M51" s="4"/>
      <c r="N51" s="4"/>
    </row>
    <row r="52" spans="1:14" ht="15.75" customHeight="1" x14ac:dyDescent="0.3">
      <c r="A52" s="2" t="s">
        <v>15</v>
      </c>
      <c r="B52" s="7" t="s">
        <v>498</v>
      </c>
      <c r="C52" s="7" t="s">
        <v>497</v>
      </c>
      <c r="D52" s="2" t="s">
        <v>110</v>
      </c>
      <c r="E52" s="4" t="s">
        <v>126</v>
      </c>
      <c r="F52" s="4">
        <v>31.62</v>
      </c>
      <c r="I52" s="2"/>
      <c r="J52" s="2"/>
      <c r="L52" s="2"/>
      <c r="M52" s="4"/>
      <c r="N52" s="4"/>
    </row>
    <row r="53" spans="1:14" ht="15.75" customHeight="1" x14ac:dyDescent="0.3">
      <c r="A53" s="2" t="s">
        <v>15</v>
      </c>
      <c r="B53" s="2" t="s">
        <v>496</v>
      </c>
      <c r="C53" s="7" t="s">
        <v>497</v>
      </c>
      <c r="D53" s="2" t="s">
        <v>68</v>
      </c>
      <c r="E53" s="4" t="s">
        <v>127</v>
      </c>
      <c r="F53" s="4">
        <v>6.16</v>
      </c>
      <c r="I53" s="2"/>
      <c r="J53" s="7"/>
      <c r="L53" s="2"/>
      <c r="M53" s="4"/>
      <c r="N53" s="4"/>
    </row>
    <row r="54" spans="1:14" ht="15.75" customHeight="1" x14ac:dyDescent="0.3">
      <c r="A54" s="2" t="s">
        <v>15</v>
      </c>
      <c r="B54" s="7" t="s">
        <v>498</v>
      </c>
      <c r="C54" s="7" t="s">
        <v>502</v>
      </c>
      <c r="D54" s="2" t="s">
        <v>74</v>
      </c>
      <c r="E54" s="4" t="s">
        <v>75</v>
      </c>
      <c r="F54" s="4">
        <v>7.2</v>
      </c>
      <c r="I54" s="2"/>
      <c r="J54" s="2"/>
      <c r="L54" s="2"/>
      <c r="M54" s="4"/>
      <c r="N54" s="4"/>
    </row>
    <row r="55" spans="1:14" ht="15.75" customHeight="1" x14ac:dyDescent="0.3">
      <c r="A55" s="2" t="s">
        <v>15</v>
      </c>
      <c r="B55" s="2" t="s">
        <v>496</v>
      </c>
      <c r="C55" s="2" t="s">
        <v>502</v>
      </c>
      <c r="D55" s="2" t="s">
        <v>76</v>
      </c>
      <c r="E55" s="4" t="s">
        <v>77</v>
      </c>
      <c r="F55" s="4">
        <v>7.06</v>
      </c>
      <c r="I55" s="2"/>
      <c r="J55" s="7"/>
      <c r="L55" s="2"/>
      <c r="M55" s="4"/>
      <c r="N55" s="4"/>
    </row>
    <row r="56" spans="1:14" ht="15.75" customHeight="1" x14ac:dyDescent="0.3">
      <c r="A56" s="2" t="s">
        <v>15</v>
      </c>
      <c r="B56" s="7" t="s">
        <v>498</v>
      </c>
      <c r="C56" s="91" t="s">
        <v>502</v>
      </c>
      <c r="D56" s="2" t="s">
        <v>78</v>
      </c>
      <c r="E56" s="4" t="s">
        <v>128</v>
      </c>
      <c r="F56" s="4">
        <v>247.92</v>
      </c>
      <c r="I56" s="2"/>
      <c r="J56" s="2"/>
      <c r="L56" s="2"/>
      <c r="M56" s="4"/>
      <c r="N56" s="4"/>
    </row>
    <row r="57" spans="1:14" ht="15.75" customHeight="1" x14ac:dyDescent="0.3">
      <c r="A57" s="2" t="s">
        <v>15</v>
      </c>
      <c r="B57" s="2" t="s">
        <v>496</v>
      </c>
      <c r="C57" s="91" t="s">
        <v>502</v>
      </c>
      <c r="D57" s="2" t="s">
        <v>80</v>
      </c>
      <c r="E57" s="4" t="s">
        <v>129</v>
      </c>
      <c r="F57" s="4">
        <v>164.06</v>
      </c>
      <c r="I57" s="2"/>
      <c r="J57" s="7"/>
      <c r="L57" s="2"/>
      <c r="M57" s="4"/>
      <c r="N57" s="4"/>
    </row>
    <row r="58" spans="1:14" ht="15.75" customHeight="1" x14ac:dyDescent="0.3">
      <c r="A58" s="2" t="s">
        <v>15</v>
      </c>
      <c r="B58" s="7" t="s">
        <v>498</v>
      </c>
      <c r="C58" s="7" t="s">
        <v>514</v>
      </c>
      <c r="D58" s="2" t="s">
        <v>96</v>
      </c>
      <c r="E58" s="4" t="s">
        <v>130</v>
      </c>
      <c r="F58" s="4">
        <v>42.38</v>
      </c>
      <c r="I58" s="2"/>
      <c r="J58" s="2"/>
      <c r="L58" s="2"/>
      <c r="M58" s="4"/>
      <c r="N58" s="4"/>
    </row>
    <row r="59" spans="1:14" ht="15.75" customHeight="1" x14ac:dyDescent="0.3">
      <c r="A59" s="2" t="s">
        <v>15</v>
      </c>
      <c r="B59" s="7" t="s">
        <v>499</v>
      </c>
      <c r="C59" s="7"/>
      <c r="D59" s="2" t="s">
        <v>98</v>
      </c>
      <c r="E59" s="4" t="s">
        <v>131</v>
      </c>
      <c r="F59" s="4">
        <v>90.97</v>
      </c>
      <c r="I59" s="2"/>
      <c r="J59" s="2"/>
      <c r="L59" s="2"/>
      <c r="M59" s="4"/>
      <c r="N59" s="4"/>
    </row>
    <row r="60" spans="1:14" ht="15.75" customHeight="1" x14ac:dyDescent="0.3">
      <c r="A60" s="2" t="s">
        <v>15</v>
      </c>
      <c r="B60" s="7" t="s">
        <v>499</v>
      </c>
      <c r="C60" s="7"/>
      <c r="D60" s="2" t="s">
        <v>100</v>
      </c>
      <c r="E60" s="4" t="s">
        <v>132</v>
      </c>
      <c r="F60" s="4">
        <v>6.71</v>
      </c>
      <c r="I60" s="2"/>
      <c r="J60" s="7"/>
      <c r="L60" s="2"/>
      <c r="M60" s="4"/>
      <c r="N60" s="4"/>
    </row>
    <row r="61" spans="1:14" ht="15.75" customHeight="1" x14ac:dyDescent="0.3">
      <c r="A61" s="2" t="s">
        <v>15</v>
      </c>
      <c r="B61" s="7" t="s">
        <v>499</v>
      </c>
      <c r="C61" s="7"/>
      <c r="D61" s="2" t="s">
        <v>102</v>
      </c>
      <c r="E61" s="4" t="s">
        <v>133</v>
      </c>
      <c r="F61" s="4">
        <v>81.31</v>
      </c>
      <c r="I61" s="2"/>
      <c r="J61" s="7"/>
      <c r="L61" s="2"/>
      <c r="M61" s="4"/>
      <c r="N61" s="4"/>
    </row>
    <row r="62" spans="1:14" ht="15.75" customHeight="1" x14ac:dyDescent="0.3">
      <c r="A62" s="2" t="s">
        <v>16</v>
      </c>
      <c r="B62" s="2"/>
      <c r="C62" s="2"/>
      <c r="D62" s="2" t="s">
        <v>5</v>
      </c>
      <c r="E62" s="4" t="s">
        <v>5</v>
      </c>
      <c r="F62" s="4" t="s">
        <v>5</v>
      </c>
      <c r="I62" s="2"/>
      <c r="J62" s="7"/>
      <c r="L62" s="2"/>
      <c r="M62" s="4"/>
      <c r="N62" s="4"/>
    </row>
    <row r="63" spans="1:14" ht="15.75" customHeight="1" x14ac:dyDescent="0.3">
      <c r="A63" s="2" t="s">
        <v>16</v>
      </c>
      <c r="B63" s="7" t="s">
        <v>498</v>
      </c>
      <c r="C63" s="7" t="s">
        <v>497</v>
      </c>
      <c r="D63" s="2" t="s">
        <v>110</v>
      </c>
      <c r="E63" s="4" t="s">
        <v>126</v>
      </c>
      <c r="F63" s="4">
        <v>31.67</v>
      </c>
      <c r="I63" s="2"/>
      <c r="J63" s="2"/>
      <c r="L63" s="2"/>
      <c r="M63" s="4"/>
      <c r="N63" s="4"/>
    </row>
    <row r="64" spans="1:14" ht="15.75" customHeight="1" x14ac:dyDescent="0.3">
      <c r="A64" s="2" t="s">
        <v>16</v>
      </c>
      <c r="B64" s="2" t="s">
        <v>496</v>
      </c>
      <c r="C64" s="7" t="s">
        <v>497</v>
      </c>
      <c r="D64" s="2" t="s">
        <v>68</v>
      </c>
      <c r="E64" s="4" t="s">
        <v>134</v>
      </c>
      <c r="F64" s="4">
        <v>6.11</v>
      </c>
      <c r="I64" s="2"/>
      <c r="J64" s="7"/>
      <c r="L64" s="2"/>
      <c r="M64" s="4"/>
      <c r="N64" s="4"/>
    </row>
    <row r="65" spans="1:14" ht="15.75" customHeight="1" x14ac:dyDescent="0.3">
      <c r="A65" s="2" t="s">
        <v>16</v>
      </c>
      <c r="B65" s="7" t="s">
        <v>498</v>
      </c>
      <c r="C65" s="7" t="s">
        <v>502</v>
      </c>
      <c r="D65" s="2" t="s">
        <v>74</v>
      </c>
      <c r="E65" s="4" t="s">
        <v>75</v>
      </c>
      <c r="F65" s="4">
        <v>7.15</v>
      </c>
      <c r="I65" s="2"/>
      <c r="J65" s="2"/>
      <c r="L65" s="2"/>
      <c r="M65" s="4"/>
      <c r="N65" s="4"/>
    </row>
    <row r="66" spans="1:14" ht="15.75" customHeight="1" x14ac:dyDescent="0.3">
      <c r="A66" s="2" t="s">
        <v>16</v>
      </c>
      <c r="B66" s="2" t="s">
        <v>496</v>
      </c>
      <c r="C66" s="2" t="s">
        <v>502</v>
      </c>
      <c r="D66" s="2" t="s">
        <v>76</v>
      </c>
      <c r="E66" s="4" t="s">
        <v>135</v>
      </c>
      <c r="F66" s="4">
        <v>7.06</v>
      </c>
      <c r="I66" s="2"/>
      <c r="J66" s="7"/>
      <c r="L66" s="2"/>
      <c r="M66" s="4"/>
      <c r="N66" s="4"/>
    </row>
    <row r="67" spans="1:14" ht="15.75" customHeight="1" x14ac:dyDescent="0.3">
      <c r="A67" s="2" t="s">
        <v>16</v>
      </c>
      <c r="B67" s="7" t="s">
        <v>498</v>
      </c>
      <c r="C67" s="91" t="s">
        <v>502</v>
      </c>
      <c r="D67" s="2" t="s">
        <v>78</v>
      </c>
      <c r="E67" s="4" t="s">
        <v>136</v>
      </c>
      <c r="F67" s="4">
        <v>247.22</v>
      </c>
      <c r="I67" s="2"/>
      <c r="J67" s="2"/>
      <c r="L67" s="2"/>
      <c r="M67" s="4"/>
      <c r="N67" s="4"/>
    </row>
    <row r="68" spans="1:14" ht="15.75" customHeight="1" x14ac:dyDescent="0.3">
      <c r="A68" s="2" t="s">
        <v>16</v>
      </c>
      <c r="B68" s="2" t="s">
        <v>496</v>
      </c>
      <c r="C68" s="91" t="s">
        <v>502</v>
      </c>
      <c r="D68" s="2" t="s">
        <v>80</v>
      </c>
      <c r="E68" s="4" t="s">
        <v>137</v>
      </c>
      <c r="F68" s="4">
        <v>175.68</v>
      </c>
      <c r="I68" s="2"/>
      <c r="J68" s="7"/>
      <c r="L68" s="2"/>
      <c r="M68" s="4"/>
      <c r="N68" s="4"/>
    </row>
    <row r="69" spans="1:14" ht="15.75" customHeight="1" x14ac:dyDescent="0.3">
      <c r="A69" s="2" t="s">
        <v>16</v>
      </c>
      <c r="B69" s="7" t="s">
        <v>498</v>
      </c>
      <c r="C69" s="7" t="s">
        <v>514</v>
      </c>
      <c r="D69" s="2" t="s">
        <v>96</v>
      </c>
      <c r="E69" s="4" t="s">
        <v>130</v>
      </c>
      <c r="F69" s="4">
        <v>42.38</v>
      </c>
      <c r="I69" s="2"/>
      <c r="J69" s="2"/>
      <c r="L69" s="2"/>
      <c r="M69" s="4"/>
      <c r="N69" s="4"/>
    </row>
    <row r="70" spans="1:14" ht="15.75" customHeight="1" x14ac:dyDescent="0.3">
      <c r="A70" s="2" t="s">
        <v>16</v>
      </c>
      <c r="B70" s="7" t="s">
        <v>499</v>
      </c>
      <c r="C70" s="7"/>
      <c r="D70" s="2" t="s">
        <v>98</v>
      </c>
      <c r="E70" s="4" t="s">
        <v>131</v>
      </c>
      <c r="F70" s="4">
        <v>90.96</v>
      </c>
      <c r="I70" s="2"/>
      <c r="J70" s="7"/>
      <c r="L70" s="2"/>
      <c r="M70" s="4"/>
      <c r="N70" s="4"/>
    </row>
    <row r="71" spans="1:14" ht="15.75" customHeight="1" x14ac:dyDescent="0.3">
      <c r="A71" s="2" t="s">
        <v>16</v>
      </c>
      <c r="B71" s="7" t="s">
        <v>499</v>
      </c>
      <c r="C71" s="7"/>
      <c r="D71" s="2" t="s">
        <v>100</v>
      </c>
      <c r="E71" s="4" t="s">
        <v>132</v>
      </c>
      <c r="F71" s="4">
        <v>6.71</v>
      </c>
      <c r="I71" s="2"/>
      <c r="J71" s="2"/>
      <c r="L71" s="2"/>
      <c r="M71" s="4"/>
      <c r="N71" s="4"/>
    </row>
    <row r="72" spans="1:14" ht="15.75" customHeight="1" x14ac:dyDescent="0.3">
      <c r="A72" s="2" t="s">
        <v>16</v>
      </c>
      <c r="B72" s="7" t="s">
        <v>499</v>
      </c>
      <c r="C72" s="7"/>
      <c r="D72" s="2" t="s">
        <v>102</v>
      </c>
      <c r="E72" s="4" t="s">
        <v>138</v>
      </c>
      <c r="F72" s="4">
        <v>82.8</v>
      </c>
      <c r="I72" s="2"/>
      <c r="J72" s="7"/>
      <c r="L72" s="2"/>
      <c r="M72" s="4"/>
      <c r="N72" s="4"/>
    </row>
    <row r="73" spans="1:14" ht="15.75" customHeight="1" x14ac:dyDescent="0.3">
      <c r="A73" s="2" t="s">
        <v>17</v>
      </c>
      <c r="B73" s="2"/>
      <c r="C73" s="2"/>
      <c r="D73" s="2" t="s">
        <v>5</v>
      </c>
      <c r="E73" s="4" t="s">
        <v>5</v>
      </c>
      <c r="F73" s="4" t="s">
        <v>5</v>
      </c>
      <c r="I73" s="2"/>
      <c r="J73" s="7"/>
      <c r="L73" s="2"/>
      <c r="M73" s="4"/>
      <c r="N73" s="4"/>
    </row>
    <row r="74" spans="1:14" ht="15.75" customHeight="1" x14ac:dyDescent="0.3">
      <c r="A74" s="2" t="s">
        <v>17</v>
      </c>
      <c r="B74" s="7" t="s">
        <v>498</v>
      </c>
      <c r="C74" s="7" t="s">
        <v>497</v>
      </c>
      <c r="D74" s="2" t="s">
        <v>110</v>
      </c>
      <c r="E74" s="4" t="s">
        <v>126</v>
      </c>
      <c r="F74" s="4">
        <v>35.590000000000003</v>
      </c>
      <c r="I74" s="2"/>
      <c r="J74" s="7"/>
      <c r="L74" s="2"/>
      <c r="M74" s="4"/>
      <c r="N74" s="4"/>
    </row>
    <row r="75" spans="1:14" ht="15.75" customHeight="1" x14ac:dyDescent="0.3">
      <c r="A75" s="2" t="s">
        <v>17</v>
      </c>
      <c r="B75" s="2" t="s">
        <v>496</v>
      </c>
      <c r="C75" s="7" t="s">
        <v>497</v>
      </c>
      <c r="D75" s="2" t="s">
        <v>68</v>
      </c>
      <c r="E75" s="4" t="s">
        <v>139</v>
      </c>
      <c r="F75" s="4">
        <v>3.37</v>
      </c>
      <c r="I75" s="2"/>
      <c r="J75" s="7"/>
      <c r="L75" s="2"/>
      <c r="M75" s="4"/>
      <c r="N75" s="4"/>
    </row>
    <row r="76" spans="1:14" ht="15.75" customHeight="1" x14ac:dyDescent="0.3">
      <c r="A76" s="2" t="s">
        <v>17</v>
      </c>
      <c r="B76" s="7" t="s">
        <v>498</v>
      </c>
      <c r="C76" s="7" t="s">
        <v>502</v>
      </c>
      <c r="D76" s="2" t="s">
        <v>74</v>
      </c>
      <c r="E76" s="4" t="s">
        <v>140</v>
      </c>
      <c r="F76" s="4">
        <v>12.2</v>
      </c>
      <c r="I76" s="2"/>
      <c r="J76" s="7"/>
      <c r="L76" s="2"/>
      <c r="M76" s="4"/>
      <c r="N76" s="4"/>
    </row>
    <row r="77" spans="1:14" ht="15.75" customHeight="1" x14ac:dyDescent="0.3">
      <c r="A77" s="2" t="s">
        <v>17</v>
      </c>
      <c r="B77" s="2" t="s">
        <v>496</v>
      </c>
      <c r="C77" s="2" t="s">
        <v>502</v>
      </c>
      <c r="D77" s="2" t="s">
        <v>76</v>
      </c>
      <c r="E77" s="4" t="s">
        <v>141</v>
      </c>
      <c r="F77" s="4">
        <v>3.59</v>
      </c>
      <c r="I77" s="2"/>
      <c r="J77" s="2"/>
      <c r="L77" s="2"/>
      <c r="M77" s="4"/>
      <c r="N77" s="4"/>
    </row>
    <row r="78" spans="1:14" ht="15.75" customHeight="1" x14ac:dyDescent="0.3">
      <c r="A78" s="2" t="s">
        <v>17</v>
      </c>
      <c r="B78" s="7" t="s">
        <v>498</v>
      </c>
      <c r="C78" s="91" t="s">
        <v>502</v>
      </c>
      <c r="D78" s="2" t="s">
        <v>78</v>
      </c>
      <c r="E78" s="4" t="s">
        <v>142</v>
      </c>
      <c r="F78" s="4">
        <v>279</v>
      </c>
      <c r="I78" s="2"/>
      <c r="J78" s="7"/>
      <c r="L78" s="2"/>
      <c r="M78" s="4"/>
      <c r="N78" s="4"/>
    </row>
    <row r="79" spans="1:14" ht="15.75" customHeight="1" x14ac:dyDescent="0.3">
      <c r="A79" s="2" t="s">
        <v>17</v>
      </c>
      <c r="B79" s="2" t="s">
        <v>496</v>
      </c>
      <c r="C79" s="91" t="s">
        <v>502</v>
      </c>
      <c r="D79" s="2" t="s">
        <v>80</v>
      </c>
      <c r="E79" s="4" t="s">
        <v>143</v>
      </c>
      <c r="F79" s="4">
        <v>443.28</v>
      </c>
      <c r="I79" s="2"/>
      <c r="J79" s="7"/>
      <c r="L79" s="2"/>
      <c r="M79" s="4"/>
      <c r="N79" s="4"/>
    </row>
    <row r="80" spans="1:14" ht="15.75" customHeight="1" x14ac:dyDescent="0.3">
      <c r="A80" s="2" t="s">
        <v>17</v>
      </c>
      <c r="B80" s="7" t="s">
        <v>498</v>
      </c>
      <c r="C80" s="7" t="s">
        <v>514</v>
      </c>
      <c r="D80" s="2" t="s">
        <v>96</v>
      </c>
      <c r="E80" s="4" t="s">
        <v>130</v>
      </c>
      <c r="F80" s="4">
        <v>44.15</v>
      </c>
      <c r="I80" s="2"/>
      <c r="J80" s="2"/>
      <c r="L80" s="2"/>
      <c r="M80" s="4"/>
      <c r="N80" s="4"/>
    </row>
    <row r="81" spans="1:14" ht="15.75" customHeight="1" x14ac:dyDescent="0.3">
      <c r="A81" s="2" t="s">
        <v>17</v>
      </c>
      <c r="B81" s="7" t="s">
        <v>499</v>
      </c>
      <c r="C81" s="7"/>
      <c r="D81" s="2" t="s">
        <v>98</v>
      </c>
      <c r="E81" s="4" t="s">
        <v>144</v>
      </c>
      <c r="F81" s="4">
        <v>90.08</v>
      </c>
      <c r="I81" s="2"/>
      <c r="J81" s="7"/>
      <c r="L81" s="2"/>
      <c r="M81" s="4"/>
      <c r="N81" s="4"/>
    </row>
    <row r="82" spans="1:14" ht="15.75" customHeight="1" x14ac:dyDescent="0.3">
      <c r="A82" s="2" t="s">
        <v>17</v>
      </c>
      <c r="B82" s="7" t="s">
        <v>499</v>
      </c>
      <c r="C82" s="7"/>
      <c r="D82" s="2" t="s">
        <v>100</v>
      </c>
      <c r="E82" s="4" t="s">
        <v>145</v>
      </c>
      <c r="F82" s="4">
        <v>7.04</v>
      </c>
      <c r="I82" s="2"/>
      <c r="J82" s="2"/>
      <c r="L82" s="2"/>
      <c r="M82" s="4"/>
      <c r="N82" s="4"/>
    </row>
    <row r="83" spans="1:14" ht="15.75" customHeight="1" x14ac:dyDescent="0.3">
      <c r="A83" s="2" t="s">
        <v>17</v>
      </c>
      <c r="B83" s="7" t="s">
        <v>499</v>
      </c>
      <c r="C83" s="7"/>
      <c r="D83" s="2" t="s">
        <v>102</v>
      </c>
      <c r="E83" s="4" t="s">
        <v>146</v>
      </c>
      <c r="F83" s="4">
        <v>105.79</v>
      </c>
      <c r="I83" s="2"/>
      <c r="J83" s="7"/>
      <c r="L83" s="2"/>
      <c r="M83" s="4"/>
      <c r="N83" s="4"/>
    </row>
    <row r="84" spans="1:14" ht="15.75" customHeight="1" x14ac:dyDescent="0.3">
      <c r="A84" s="2" t="s">
        <v>18</v>
      </c>
      <c r="B84" s="2"/>
      <c r="C84" s="2"/>
      <c r="D84" s="2" t="s">
        <v>5</v>
      </c>
      <c r="E84" s="4" t="s">
        <v>5</v>
      </c>
      <c r="F84" s="4" t="s">
        <v>5</v>
      </c>
      <c r="I84" s="2"/>
      <c r="J84" s="2"/>
      <c r="L84" s="2"/>
      <c r="M84" s="4"/>
      <c r="N84" s="4"/>
    </row>
    <row r="85" spans="1:14" ht="15.75" customHeight="1" x14ac:dyDescent="0.3">
      <c r="A85" s="2" t="s">
        <v>18</v>
      </c>
      <c r="B85" s="7" t="s">
        <v>498</v>
      </c>
      <c r="C85" s="7" t="s">
        <v>497</v>
      </c>
      <c r="D85" s="2" t="s">
        <v>56</v>
      </c>
      <c r="E85" s="4" t="s">
        <v>77</v>
      </c>
      <c r="F85" s="4">
        <v>18.29</v>
      </c>
      <c r="I85" s="2"/>
      <c r="J85" s="7"/>
      <c r="L85" s="2"/>
      <c r="M85" s="4"/>
      <c r="N85" s="4"/>
    </row>
    <row r="86" spans="1:14" ht="15.75" customHeight="1" x14ac:dyDescent="0.3">
      <c r="A86" s="2" t="s">
        <v>18</v>
      </c>
      <c r="B86" s="7"/>
      <c r="C86" s="7" t="s">
        <v>501</v>
      </c>
      <c r="D86" s="2" t="s">
        <v>147</v>
      </c>
      <c r="E86" s="4" t="s">
        <v>148</v>
      </c>
      <c r="F86" s="4">
        <v>0.53</v>
      </c>
      <c r="I86" s="2"/>
      <c r="J86" s="2"/>
      <c r="L86" s="2"/>
      <c r="M86" s="4"/>
      <c r="N86" s="4"/>
    </row>
    <row r="87" spans="1:14" ht="15.75" customHeight="1" x14ac:dyDescent="0.3">
      <c r="A87" s="2" t="s">
        <v>18</v>
      </c>
      <c r="B87" s="7" t="s">
        <v>498</v>
      </c>
      <c r="C87" s="7" t="s">
        <v>497</v>
      </c>
      <c r="D87" s="2" t="s">
        <v>72</v>
      </c>
      <c r="E87" s="4" t="s">
        <v>149</v>
      </c>
      <c r="F87" s="4">
        <v>107.73</v>
      </c>
      <c r="I87" s="2"/>
      <c r="J87" s="7"/>
      <c r="L87" s="2"/>
      <c r="M87" s="4"/>
      <c r="N87" s="4"/>
    </row>
    <row r="88" spans="1:14" ht="15.75" customHeight="1" x14ac:dyDescent="0.3">
      <c r="A88" s="2" t="s">
        <v>18</v>
      </c>
      <c r="B88" s="2" t="s">
        <v>496</v>
      </c>
      <c r="C88" s="7" t="s">
        <v>497</v>
      </c>
      <c r="D88" s="2" t="s">
        <v>114</v>
      </c>
      <c r="E88" s="4" t="s">
        <v>150</v>
      </c>
      <c r="F88" s="4">
        <v>16.41</v>
      </c>
      <c r="I88" s="2"/>
      <c r="J88" s="2"/>
      <c r="L88" s="2"/>
      <c r="M88" s="4"/>
      <c r="N88" s="4"/>
    </row>
    <row r="89" spans="1:14" ht="15.75" customHeight="1" x14ac:dyDescent="0.3">
      <c r="A89" s="2" t="s">
        <v>18</v>
      </c>
      <c r="B89" s="7" t="s">
        <v>498</v>
      </c>
      <c r="C89" s="7" t="s">
        <v>497</v>
      </c>
      <c r="D89" s="2" t="s">
        <v>151</v>
      </c>
      <c r="E89" s="4" t="s">
        <v>152</v>
      </c>
      <c r="F89" s="4">
        <v>101.56</v>
      </c>
      <c r="I89" s="2"/>
      <c r="J89" s="7"/>
      <c r="L89" s="2"/>
      <c r="M89" s="4"/>
      <c r="N89" s="4"/>
    </row>
    <row r="90" spans="1:14" ht="15.75" customHeight="1" x14ac:dyDescent="0.3">
      <c r="A90" s="2" t="s">
        <v>18</v>
      </c>
      <c r="B90" s="2" t="s">
        <v>496</v>
      </c>
      <c r="C90" s="7" t="s">
        <v>497</v>
      </c>
      <c r="D90" s="2" t="s">
        <v>153</v>
      </c>
      <c r="E90" s="4" t="s">
        <v>154</v>
      </c>
      <c r="F90" s="4">
        <v>6.43</v>
      </c>
      <c r="I90" s="2"/>
      <c r="J90" s="2"/>
      <c r="L90" s="2"/>
      <c r="M90" s="4"/>
      <c r="N90" s="4"/>
    </row>
    <row r="91" spans="1:14" ht="15.75" customHeight="1" x14ac:dyDescent="0.3">
      <c r="A91" s="2" t="s">
        <v>18</v>
      </c>
      <c r="B91" s="7" t="s">
        <v>498</v>
      </c>
      <c r="C91" s="7" t="s">
        <v>502</v>
      </c>
      <c r="D91" s="2" t="s">
        <v>74</v>
      </c>
      <c r="E91" s="4" t="s">
        <v>75</v>
      </c>
      <c r="F91" s="4">
        <v>6.17</v>
      </c>
      <c r="I91" s="2"/>
      <c r="J91" s="7"/>
      <c r="L91" s="2"/>
      <c r="M91" s="4"/>
      <c r="N91" s="4"/>
    </row>
    <row r="92" spans="1:14" ht="15.75" customHeight="1" x14ac:dyDescent="0.3">
      <c r="A92" s="2" t="s">
        <v>18</v>
      </c>
      <c r="B92" s="2" t="s">
        <v>496</v>
      </c>
      <c r="C92" s="2" t="s">
        <v>502</v>
      </c>
      <c r="D92" s="2" t="s">
        <v>76</v>
      </c>
      <c r="E92" s="4" t="s">
        <v>155</v>
      </c>
      <c r="F92" s="4">
        <v>8.74</v>
      </c>
      <c r="I92" s="2"/>
      <c r="J92" s="2"/>
      <c r="L92" s="2"/>
      <c r="M92" s="4"/>
      <c r="N92" s="4"/>
    </row>
    <row r="93" spans="1:14" ht="15.75" customHeight="1" x14ac:dyDescent="0.3">
      <c r="A93" s="2" t="s">
        <v>18</v>
      </c>
      <c r="B93" s="7"/>
      <c r="C93" s="7" t="s">
        <v>504</v>
      </c>
      <c r="D93" s="2" t="s">
        <v>156</v>
      </c>
      <c r="E93" s="4" t="s">
        <v>157</v>
      </c>
      <c r="F93" s="4">
        <v>1.94</v>
      </c>
      <c r="I93" s="2"/>
      <c r="J93" s="7"/>
      <c r="L93" s="2"/>
      <c r="M93" s="4"/>
      <c r="N93" s="4"/>
    </row>
    <row r="94" spans="1:14" ht="15.75" customHeight="1" x14ac:dyDescent="0.3">
      <c r="A94" s="2" t="s">
        <v>18</v>
      </c>
      <c r="B94" s="7" t="s">
        <v>498</v>
      </c>
      <c r="C94" s="7" t="s">
        <v>503</v>
      </c>
      <c r="D94" s="2" t="s">
        <v>82</v>
      </c>
      <c r="E94" s="4" t="s">
        <v>158</v>
      </c>
      <c r="F94" s="4">
        <v>73.27</v>
      </c>
      <c r="I94" s="2"/>
      <c r="J94" s="7"/>
      <c r="L94" s="2"/>
      <c r="M94" s="4"/>
      <c r="N94" s="4"/>
    </row>
    <row r="95" spans="1:14" ht="15.75" customHeight="1" x14ac:dyDescent="0.3">
      <c r="A95" s="2" t="s">
        <v>18</v>
      </c>
      <c r="B95" s="2" t="s">
        <v>496</v>
      </c>
      <c r="C95" s="2" t="s">
        <v>503</v>
      </c>
      <c r="D95" s="2" t="s">
        <v>84</v>
      </c>
      <c r="E95" s="4" t="s">
        <v>159</v>
      </c>
      <c r="F95" s="4">
        <v>5.7</v>
      </c>
      <c r="I95" s="2"/>
      <c r="J95" s="7"/>
      <c r="L95" s="2"/>
      <c r="M95" s="4"/>
      <c r="N95" s="4"/>
    </row>
    <row r="96" spans="1:14" ht="15.75" customHeight="1" x14ac:dyDescent="0.3">
      <c r="A96" s="2" t="s">
        <v>18</v>
      </c>
      <c r="B96" s="7" t="s">
        <v>498</v>
      </c>
      <c r="C96" s="7" t="s">
        <v>503</v>
      </c>
      <c r="D96" s="2" t="s">
        <v>160</v>
      </c>
      <c r="E96" s="4" t="s">
        <v>161</v>
      </c>
      <c r="F96" s="4">
        <v>85.02</v>
      </c>
      <c r="I96" s="2"/>
      <c r="J96" s="7"/>
      <c r="L96" s="2"/>
      <c r="M96" s="4"/>
      <c r="N96" s="4"/>
    </row>
    <row r="97" spans="1:14" ht="15.75" customHeight="1" x14ac:dyDescent="0.3">
      <c r="A97" s="2" t="s">
        <v>18</v>
      </c>
      <c r="B97" s="2" t="s">
        <v>496</v>
      </c>
      <c r="C97" s="2" t="s">
        <v>503</v>
      </c>
      <c r="D97" s="2" t="s">
        <v>162</v>
      </c>
      <c r="E97" s="4" t="s">
        <v>163</v>
      </c>
      <c r="F97" s="4">
        <v>22.04</v>
      </c>
      <c r="I97" s="2"/>
      <c r="J97" s="2"/>
      <c r="L97" s="2"/>
      <c r="M97" s="4"/>
      <c r="N97" s="4"/>
    </row>
    <row r="98" spans="1:14" ht="15.75" customHeight="1" x14ac:dyDescent="0.3">
      <c r="A98" s="2" t="s">
        <v>18</v>
      </c>
      <c r="B98" s="7" t="s">
        <v>498</v>
      </c>
      <c r="C98" s="7" t="s">
        <v>502</v>
      </c>
      <c r="D98" s="2" t="s">
        <v>164</v>
      </c>
      <c r="E98" s="4" t="s">
        <v>165</v>
      </c>
      <c r="F98" s="4">
        <v>0.11</v>
      </c>
      <c r="I98" s="2"/>
      <c r="J98" s="7"/>
      <c r="L98" s="2"/>
      <c r="M98" s="4"/>
      <c r="N98" s="4"/>
    </row>
    <row r="99" spans="1:14" ht="15.75" customHeight="1" x14ac:dyDescent="0.3">
      <c r="A99" s="2" t="s">
        <v>18</v>
      </c>
      <c r="B99" s="7" t="s">
        <v>498</v>
      </c>
      <c r="C99" s="7" t="s">
        <v>503</v>
      </c>
      <c r="D99" s="2" t="s">
        <v>166</v>
      </c>
      <c r="E99" s="4" t="s">
        <v>167</v>
      </c>
      <c r="F99" s="4">
        <v>32.69</v>
      </c>
      <c r="I99" s="2"/>
      <c r="J99" s="2"/>
      <c r="L99" s="2"/>
      <c r="M99" s="4"/>
      <c r="N99" s="4"/>
    </row>
    <row r="100" spans="1:14" ht="15.75" customHeight="1" x14ac:dyDescent="0.3">
      <c r="A100" s="2" t="s">
        <v>18</v>
      </c>
      <c r="B100" s="2" t="s">
        <v>496</v>
      </c>
      <c r="C100" s="2" t="s">
        <v>503</v>
      </c>
      <c r="D100" s="2" t="s">
        <v>168</v>
      </c>
      <c r="E100" s="4" t="s">
        <v>169</v>
      </c>
      <c r="F100" s="4">
        <v>0.66</v>
      </c>
      <c r="I100" s="2"/>
      <c r="J100" s="7"/>
      <c r="L100" s="2"/>
      <c r="M100" s="4"/>
      <c r="N100" s="4"/>
    </row>
    <row r="101" spans="1:14" ht="15.75" customHeight="1" x14ac:dyDescent="0.3">
      <c r="A101" s="2" t="s">
        <v>18</v>
      </c>
      <c r="B101" s="7" t="s">
        <v>498</v>
      </c>
      <c r="C101" s="7" t="s">
        <v>497</v>
      </c>
      <c r="D101" s="2" t="s">
        <v>86</v>
      </c>
      <c r="E101" s="4" t="s">
        <v>170</v>
      </c>
      <c r="F101" s="4">
        <v>64.239999999999995</v>
      </c>
      <c r="I101" s="2"/>
      <c r="J101" s="2"/>
      <c r="L101" s="2"/>
      <c r="M101" s="4"/>
      <c r="N101" s="4"/>
    </row>
    <row r="102" spans="1:14" ht="15.75" customHeight="1" x14ac:dyDescent="0.3">
      <c r="A102" s="2" t="s">
        <v>18</v>
      </c>
      <c r="B102" s="2" t="s">
        <v>496</v>
      </c>
      <c r="C102" s="7" t="s">
        <v>497</v>
      </c>
      <c r="D102" s="2" t="s">
        <v>88</v>
      </c>
      <c r="E102" s="4" t="s">
        <v>171</v>
      </c>
      <c r="F102" s="4">
        <v>8.4700000000000006</v>
      </c>
      <c r="I102" s="2"/>
      <c r="J102" s="7"/>
      <c r="L102" s="2"/>
      <c r="M102" s="4"/>
      <c r="N102" s="4"/>
    </row>
    <row r="103" spans="1:14" ht="15.75" customHeight="1" x14ac:dyDescent="0.3">
      <c r="A103" s="2" t="s">
        <v>18</v>
      </c>
      <c r="B103" s="7"/>
      <c r="C103" s="7" t="s">
        <v>501</v>
      </c>
      <c r="D103" s="2" t="s">
        <v>172</v>
      </c>
      <c r="E103" s="4" t="s">
        <v>173</v>
      </c>
      <c r="F103" s="4">
        <v>4.88</v>
      </c>
      <c r="I103" s="2"/>
      <c r="J103" s="2"/>
      <c r="L103" s="2"/>
      <c r="M103" s="4"/>
      <c r="N103" s="4"/>
    </row>
    <row r="104" spans="1:14" ht="15.75" customHeight="1" x14ac:dyDescent="0.3">
      <c r="A104" s="2" t="s">
        <v>18</v>
      </c>
      <c r="B104" s="7" t="s">
        <v>498</v>
      </c>
      <c r="C104" s="7" t="s">
        <v>497</v>
      </c>
      <c r="D104" s="2" t="s">
        <v>174</v>
      </c>
      <c r="E104" s="4" t="s">
        <v>139</v>
      </c>
      <c r="F104" s="4">
        <v>13.69</v>
      </c>
      <c r="I104" s="2"/>
      <c r="J104" s="7"/>
      <c r="L104" s="2"/>
      <c r="M104" s="4"/>
      <c r="N104" s="4"/>
    </row>
    <row r="105" spans="1:14" ht="15.75" customHeight="1" x14ac:dyDescent="0.3">
      <c r="A105" s="2" t="s">
        <v>18</v>
      </c>
      <c r="B105" s="2" t="s">
        <v>496</v>
      </c>
      <c r="C105" s="7" t="s">
        <v>497</v>
      </c>
      <c r="D105" s="2" t="s">
        <v>175</v>
      </c>
      <c r="E105" s="4" t="s">
        <v>176</v>
      </c>
      <c r="F105" s="4">
        <v>4.1900000000000004</v>
      </c>
      <c r="I105" s="2"/>
      <c r="J105" s="7"/>
      <c r="L105" s="2"/>
      <c r="M105" s="4"/>
      <c r="N105" s="4"/>
    </row>
    <row r="106" spans="1:14" ht="15.75" customHeight="1" x14ac:dyDescent="0.3">
      <c r="A106" s="2" t="s">
        <v>18</v>
      </c>
      <c r="B106" s="7"/>
      <c r="C106" s="7" t="s">
        <v>504</v>
      </c>
      <c r="D106" s="2" t="s">
        <v>177</v>
      </c>
      <c r="E106" s="4" t="s">
        <v>178</v>
      </c>
      <c r="F106" s="4">
        <v>3.3</v>
      </c>
      <c r="I106" s="2"/>
      <c r="J106" s="7"/>
      <c r="L106" s="2"/>
      <c r="M106" s="4"/>
      <c r="N106" s="4"/>
    </row>
    <row r="107" spans="1:14" ht="15.75" customHeight="1" x14ac:dyDescent="0.3">
      <c r="A107" s="2" t="s">
        <v>18</v>
      </c>
      <c r="B107" s="7" t="s">
        <v>498</v>
      </c>
      <c r="C107" s="7" t="s">
        <v>503</v>
      </c>
      <c r="D107" s="2" t="s">
        <v>90</v>
      </c>
      <c r="E107" s="4" t="s">
        <v>179</v>
      </c>
      <c r="F107" s="4">
        <v>49.35</v>
      </c>
      <c r="I107" s="2"/>
      <c r="J107" s="7"/>
      <c r="L107" s="2"/>
      <c r="M107" s="4"/>
      <c r="N107" s="4"/>
    </row>
    <row r="108" spans="1:14" ht="15.75" customHeight="1" x14ac:dyDescent="0.3">
      <c r="A108" s="2" t="s">
        <v>18</v>
      </c>
      <c r="B108" s="2" t="s">
        <v>496</v>
      </c>
      <c r="C108" s="2" t="s">
        <v>503</v>
      </c>
      <c r="D108" s="2" t="s">
        <v>92</v>
      </c>
      <c r="E108" s="4" t="s">
        <v>180</v>
      </c>
      <c r="F108" s="4">
        <v>5.32</v>
      </c>
      <c r="I108" s="2"/>
      <c r="J108" s="2"/>
      <c r="L108" s="2"/>
      <c r="M108" s="4"/>
      <c r="N108" s="4"/>
    </row>
    <row r="109" spans="1:14" ht="15.75" customHeight="1" x14ac:dyDescent="0.3">
      <c r="A109" s="2" t="s">
        <v>18</v>
      </c>
      <c r="B109" s="7" t="s">
        <v>498</v>
      </c>
      <c r="C109" s="7" t="s">
        <v>503</v>
      </c>
      <c r="D109" s="2" t="s">
        <v>181</v>
      </c>
      <c r="E109" s="4" t="s">
        <v>182</v>
      </c>
      <c r="F109" s="4">
        <v>44.63</v>
      </c>
      <c r="I109" s="2"/>
      <c r="J109" s="7"/>
      <c r="L109" s="2"/>
      <c r="M109" s="4"/>
      <c r="N109" s="4"/>
    </row>
    <row r="110" spans="1:14" ht="15.75" customHeight="1" x14ac:dyDescent="0.3">
      <c r="A110" s="2" t="s">
        <v>18</v>
      </c>
      <c r="B110" s="7" t="s">
        <v>498</v>
      </c>
      <c r="C110" s="7" t="s">
        <v>497</v>
      </c>
      <c r="D110" s="2" t="s">
        <v>183</v>
      </c>
      <c r="E110" s="4" t="s">
        <v>184</v>
      </c>
      <c r="F110" s="4">
        <v>3.82</v>
      </c>
      <c r="I110" s="2"/>
      <c r="J110" s="2"/>
      <c r="L110" s="2"/>
      <c r="M110" s="4"/>
      <c r="N110" s="4"/>
    </row>
    <row r="111" spans="1:14" ht="15.75" customHeight="1" x14ac:dyDescent="0.3">
      <c r="A111" s="2" t="s">
        <v>18</v>
      </c>
      <c r="B111" s="7" t="s">
        <v>498</v>
      </c>
      <c r="C111" s="7" t="s">
        <v>503</v>
      </c>
      <c r="D111" s="2" t="s">
        <v>94</v>
      </c>
      <c r="E111" s="4" t="s">
        <v>185</v>
      </c>
      <c r="F111" s="4">
        <v>59.17</v>
      </c>
      <c r="I111" s="2"/>
      <c r="J111" s="7"/>
      <c r="L111" s="2"/>
      <c r="M111" s="4"/>
      <c r="N111" s="4"/>
    </row>
    <row r="112" spans="1:14" ht="15.75" customHeight="1" x14ac:dyDescent="0.3">
      <c r="A112" s="2" t="s">
        <v>18</v>
      </c>
      <c r="B112" s="2" t="s">
        <v>496</v>
      </c>
      <c r="C112" s="2" t="s">
        <v>503</v>
      </c>
      <c r="D112" s="2" t="s">
        <v>186</v>
      </c>
      <c r="E112" s="4" t="s">
        <v>187</v>
      </c>
      <c r="F112" s="4">
        <v>5.93</v>
      </c>
      <c r="I112" s="2"/>
      <c r="J112" s="2"/>
      <c r="L112" s="2"/>
      <c r="M112" s="4"/>
      <c r="N112" s="4"/>
    </row>
    <row r="113" spans="1:14" ht="15.75" customHeight="1" x14ac:dyDescent="0.3">
      <c r="A113" s="2" t="s">
        <v>18</v>
      </c>
      <c r="B113" s="7" t="s">
        <v>498</v>
      </c>
      <c r="C113" s="7" t="s">
        <v>514</v>
      </c>
      <c r="D113" s="2" t="s">
        <v>96</v>
      </c>
      <c r="E113" s="4" t="s">
        <v>130</v>
      </c>
      <c r="F113" s="4">
        <v>44.14</v>
      </c>
      <c r="I113" s="2"/>
      <c r="J113" s="7"/>
      <c r="L113" s="2"/>
      <c r="M113" s="4"/>
      <c r="N113" s="4"/>
    </row>
    <row r="114" spans="1:14" ht="15.75" customHeight="1" x14ac:dyDescent="0.3">
      <c r="A114" s="2" t="s">
        <v>18</v>
      </c>
      <c r="B114" s="7" t="s">
        <v>499</v>
      </c>
      <c r="C114" s="7"/>
      <c r="D114" s="2" t="s">
        <v>98</v>
      </c>
      <c r="E114" s="4" t="s">
        <v>188</v>
      </c>
      <c r="F114" s="4">
        <v>13.33</v>
      </c>
      <c r="I114" s="2"/>
      <c r="J114" s="2"/>
      <c r="L114" s="2"/>
      <c r="M114" s="4"/>
      <c r="N114" s="4"/>
    </row>
    <row r="115" spans="1:14" ht="15.75" customHeight="1" x14ac:dyDescent="0.3">
      <c r="A115" s="2" t="s">
        <v>18</v>
      </c>
      <c r="B115" s="7" t="s">
        <v>499</v>
      </c>
      <c r="C115" s="7"/>
      <c r="D115" s="2" t="s">
        <v>100</v>
      </c>
      <c r="E115" s="4" t="s">
        <v>189</v>
      </c>
      <c r="F115" s="4">
        <v>8.48</v>
      </c>
      <c r="I115" s="2"/>
      <c r="J115" s="7"/>
      <c r="L115" s="2"/>
      <c r="M115" s="4"/>
      <c r="N115" s="4"/>
    </row>
    <row r="116" spans="1:14" ht="15.75" customHeight="1" x14ac:dyDescent="0.3">
      <c r="A116" s="2" t="s">
        <v>18</v>
      </c>
      <c r="B116" s="7" t="s">
        <v>499</v>
      </c>
      <c r="C116" s="7"/>
      <c r="D116" s="2" t="s">
        <v>102</v>
      </c>
      <c r="E116" s="4" t="s">
        <v>190</v>
      </c>
      <c r="F116" s="4">
        <v>46.71</v>
      </c>
      <c r="I116" s="2"/>
      <c r="J116" s="7"/>
      <c r="L116" s="2"/>
      <c r="M116" s="4"/>
      <c r="N116" s="4"/>
    </row>
    <row r="117" spans="1:14" ht="15.75" customHeight="1" x14ac:dyDescent="0.3">
      <c r="A117" s="2" t="s">
        <v>21</v>
      </c>
      <c r="B117" s="2"/>
      <c r="C117" s="2"/>
      <c r="D117" s="2" t="s">
        <v>5</v>
      </c>
      <c r="E117" s="4" t="s">
        <v>5</v>
      </c>
      <c r="F117" s="4" t="s">
        <v>5</v>
      </c>
      <c r="I117" s="2"/>
      <c r="J117" s="7"/>
      <c r="L117" s="2"/>
      <c r="M117" s="4"/>
      <c r="N117" s="4"/>
    </row>
    <row r="118" spans="1:14" ht="15.75" customHeight="1" x14ac:dyDescent="0.3">
      <c r="A118" s="2" t="s">
        <v>21</v>
      </c>
      <c r="B118" s="7"/>
      <c r="C118" s="7" t="s">
        <v>501</v>
      </c>
      <c r="D118" s="2" t="s">
        <v>191</v>
      </c>
      <c r="E118" s="4" t="s">
        <v>192</v>
      </c>
      <c r="F118" s="4">
        <v>381.49</v>
      </c>
      <c r="I118" s="2"/>
      <c r="J118" s="7"/>
      <c r="L118" s="2"/>
      <c r="M118" s="4"/>
      <c r="N118" s="4"/>
    </row>
    <row r="119" spans="1:14" ht="15.75" customHeight="1" x14ac:dyDescent="0.3">
      <c r="A119" s="2" t="s">
        <v>21</v>
      </c>
      <c r="B119" s="7" t="s">
        <v>498</v>
      </c>
      <c r="C119" s="7" t="s">
        <v>497</v>
      </c>
      <c r="D119" s="2" t="s">
        <v>193</v>
      </c>
      <c r="E119" s="4" t="s">
        <v>194</v>
      </c>
      <c r="F119" s="4">
        <v>124.47</v>
      </c>
      <c r="I119" s="2"/>
      <c r="J119" s="2"/>
      <c r="L119" s="2"/>
      <c r="M119" s="4"/>
      <c r="N119" s="4"/>
    </row>
    <row r="120" spans="1:14" ht="15.75" customHeight="1" x14ac:dyDescent="0.3">
      <c r="A120" s="2" t="s">
        <v>21</v>
      </c>
      <c r="B120" s="2" t="s">
        <v>496</v>
      </c>
      <c r="C120" s="7" t="s">
        <v>497</v>
      </c>
      <c r="D120" s="2" t="s">
        <v>195</v>
      </c>
      <c r="E120" s="4" t="s">
        <v>196</v>
      </c>
      <c r="F120" s="4">
        <v>55.04</v>
      </c>
      <c r="I120" s="2"/>
      <c r="J120" s="7"/>
      <c r="L120" s="2"/>
      <c r="M120" s="4"/>
      <c r="N120" s="4"/>
    </row>
    <row r="121" spans="1:14" ht="15.75" customHeight="1" x14ac:dyDescent="0.3">
      <c r="A121" s="2" t="s">
        <v>21</v>
      </c>
      <c r="B121" s="7" t="s">
        <v>498</v>
      </c>
      <c r="C121" s="7" t="s">
        <v>497</v>
      </c>
      <c r="D121" s="2" t="s">
        <v>72</v>
      </c>
      <c r="E121" s="4" t="s">
        <v>197</v>
      </c>
      <c r="F121" s="4">
        <v>32.54</v>
      </c>
      <c r="I121" s="2"/>
      <c r="J121" s="2"/>
      <c r="L121" s="2"/>
      <c r="M121" s="4"/>
      <c r="N121" s="4"/>
    </row>
    <row r="122" spans="1:14" ht="15.75" customHeight="1" x14ac:dyDescent="0.3">
      <c r="A122" s="2" t="s">
        <v>21</v>
      </c>
      <c r="B122" s="2" t="s">
        <v>496</v>
      </c>
      <c r="C122" s="7" t="s">
        <v>497</v>
      </c>
      <c r="D122" s="2" t="s">
        <v>114</v>
      </c>
      <c r="E122" s="4" t="s">
        <v>198</v>
      </c>
      <c r="F122" s="4">
        <v>1.44</v>
      </c>
      <c r="I122" s="2"/>
      <c r="J122" s="7"/>
      <c r="L122" s="2"/>
      <c r="M122" s="4"/>
      <c r="N122" s="4"/>
    </row>
    <row r="123" spans="1:14" ht="15.75" customHeight="1" x14ac:dyDescent="0.3">
      <c r="A123" s="2" t="s">
        <v>21</v>
      </c>
      <c r="B123" s="7" t="s">
        <v>498</v>
      </c>
      <c r="C123" s="7" t="s">
        <v>502</v>
      </c>
      <c r="D123" s="2" t="s">
        <v>74</v>
      </c>
      <c r="E123" s="4" t="s">
        <v>75</v>
      </c>
      <c r="F123" s="4">
        <v>6.17</v>
      </c>
      <c r="I123" s="2"/>
      <c r="J123" s="2"/>
      <c r="L123" s="2"/>
      <c r="M123" s="4"/>
      <c r="N123" s="4"/>
    </row>
    <row r="124" spans="1:14" ht="15.75" customHeight="1" x14ac:dyDescent="0.3">
      <c r="A124" s="2" t="s">
        <v>21</v>
      </c>
      <c r="B124" s="2" t="s">
        <v>496</v>
      </c>
      <c r="C124" s="2" t="s">
        <v>502</v>
      </c>
      <c r="D124" s="2" t="s">
        <v>76</v>
      </c>
      <c r="E124" s="4" t="s">
        <v>135</v>
      </c>
      <c r="F124" s="4">
        <v>8.74</v>
      </c>
      <c r="I124" s="2"/>
      <c r="J124" s="7"/>
      <c r="L124" s="2"/>
      <c r="M124" s="4"/>
      <c r="N124" s="4"/>
    </row>
    <row r="125" spans="1:14" ht="15.75" customHeight="1" x14ac:dyDescent="0.3">
      <c r="A125" s="2" t="s">
        <v>21</v>
      </c>
      <c r="B125" s="7" t="s">
        <v>498</v>
      </c>
      <c r="C125" s="7" t="s">
        <v>502</v>
      </c>
      <c r="D125" s="2" t="s">
        <v>164</v>
      </c>
      <c r="E125" s="4" t="s">
        <v>199</v>
      </c>
      <c r="F125" s="4">
        <v>1.26</v>
      </c>
      <c r="I125" s="2"/>
      <c r="J125" s="2"/>
      <c r="L125" s="2"/>
      <c r="M125" s="4"/>
      <c r="N125" s="4"/>
    </row>
    <row r="126" spans="1:14" ht="15.75" customHeight="1" x14ac:dyDescent="0.3">
      <c r="A126" s="2" t="s">
        <v>21</v>
      </c>
      <c r="B126" s="7"/>
      <c r="C126" s="7" t="s">
        <v>504</v>
      </c>
      <c r="D126" s="2" t="s">
        <v>200</v>
      </c>
      <c r="E126" s="4" t="s">
        <v>201</v>
      </c>
      <c r="F126" s="4">
        <v>125.68</v>
      </c>
      <c r="I126" s="2"/>
      <c r="J126" s="7"/>
      <c r="L126" s="2"/>
      <c r="M126" s="4"/>
      <c r="N126" s="4"/>
    </row>
    <row r="127" spans="1:14" ht="15.75" customHeight="1" x14ac:dyDescent="0.3">
      <c r="A127" s="2" t="s">
        <v>21</v>
      </c>
      <c r="B127" s="7" t="s">
        <v>498</v>
      </c>
      <c r="C127" s="7" t="s">
        <v>503</v>
      </c>
      <c r="D127" s="2" t="s">
        <v>202</v>
      </c>
      <c r="E127" s="4" t="s">
        <v>203</v>
      </c>
      <c r="F127" s="4">
        <v>28.93</v>
      </c>
      <c r="I127" s="2"/>
      <c r="J127" s="7"/>
      <c r="L127" s="2"/>
      <c r="M127" s="4"/>
      <c r="N127" s="4"/>
    </row>
    <row r="128" spans="1:14" ht="15.75" customHeight="1" x14ac:dyDescent="0.3">
      <c r="A128" s="2" t="s">
        <v>21</v>
      </c>
      <c r="B128" s="2" t="s">
        <v>496</v>
      </c>
      <c r="C128" s="2" t="s">
        <v>503</v>
      </c>
      <c r="D128" s="2" t="s">
        <v>204</v>
      </c>
      <c r="E128" s="4" t="s">
        <v>205</v>
      </c>
      <c r="F128" s="4">
        <v>12.22</v>
      </c>
      <c r="I128" s="2"/>
      <c r="J128" s="7"/>
      <c r="L128" s="2"/>
      <c r="M128" s="4"/>
      <c r="N128" s="4"/>
    </row>
    <row r="129" spans="1:14" ht="15.75" customHeight="1" x14ac:dyDescent="0.3">
      <c r="A129" s="2" t="s">
        <v>21</v>
      </c>
      <c r="B129" s="7"/>
      <c r="C129" s="7" t="s">
        <v>501</v>
      </c>
      <c r="D129" s="2" t="s">
        <v>206</v>
      </c>
      <c r="E129" s="4" t="s">
        <v>207</v>
      </c>
      <c r="F129" s="4">
        <v>18.7</v>
      </c>
      <c r="I129" s="2"/>
      <c r="J129" s="7"/>
      <c r="L129" s="2"/>
      <c r="M129" s="4"/>
      <c r="N129" s="4"/>
    </row>
    <row r="130" spans="1:14" ht="15.75" customHeight="1" x14ac:dyDescent="0.3">
      <c r="A130" s="2" t="s">
        <v>21</v>
      </c>
      <c r="B130" s="7" t="s">
        <v>498</v>
      </c>
      <c r="C130" s="7" t="s">
        <v>497</v>
      </c>
      <c r="D130" s="2" t="s">
        <v>208</v>
      </c>
      <c r="E130" s="4" t="s">
        <v>209</v>
      </c>
      <c r="F130" s="4">
        <v>19.14</v>
      </c>
      <c r="I130" s="2"/>
      <c r="J130" s="2"/>
      <c r="L130" s="2"/>
      <c r="M130" s="4"/>
      <c r="N130" s="4"/>
    </row>
    <row r="131" spans="1:14" ht="15.75" customHeight="1" x14ac:dyDescent="0.3">
      <c r="A131" s="2" t="s">
        <v>21</v>
      </c>
      <c r="B131" s="2" t="s">
        <v>496</v>
      </c>
      <c r="C131" s="7" t="s">
        <v>497</v>
      </c>
      <c r="D131" s="2" t="s">
        <v>210</v>
      </c>
      <c r="E131" s="4" t="s">
        <v>211</v>
      </c>
      <c r="F131" s="4">
        <v>13.6</v>
      </c>
      <c r="I131" s="2"/>
      <c r="J131" s="7"/>
      <c r="L131" s="2"/>
      <c r="M131" s="4"/>
      <c r="N131" s="4"/>
    </row>
    <row r="132" spans="1:14" ht="15.75" customHeight="1" x14ac:dyDescent="0.3">
      <c r="A132" s="2" t="s">
        <v>21</v>
      </c>
      <c r="B132" s="7" t="s">
        <v>498</v>
      </c>
      <c r="C132" s="7" t="s">
        <v>514</v>
      </c>
      <c r="D132" s="2" t="s">
        <v>96</v>
      </c>
      <c r="E132" s="4" t="s">
        <v>212</v>
      </c>
      <c r="F132" s="4">
        <v>44.14</v>
      </c>
      <c r="I132" s="2"/>
      <c r="J132" s="7"/>
      <c r="L132" s="2"/>
      <c r="M132" s="4"/>
      <c r="N132" s="4"/>
    </row>
    <row r="133" spans="1:14" ht="15.75" customHeight="1" x14ac:dyDescent="0.3">
      <c r="A133" s="2" t="s">
        <v>21</v>
      </c>
      <c r="B133" s="7" t="s">
        <v>499</v>
      </c>
      <c r="C133" s="7"/>
      <c r="D133" s="2" t="s">
        <v>98</v>
      </c>
      <c r="E133" s="4" t="s">
        <v>213</v>
      </c>
      <c r="F133" s="4">
        <v>13.64</v>
      </c>
      <c r="I133" s="2"/>
      <c r="J133" s="7"/>
      <c r="L133" s="2"/>
      <c r="M133" s="4"/>
      <c r="N133" s="4"/>
    </row>
    <row r="134" spans="1:14" ht="15.75" customHeight="1" x14ac:dyDescent="0.3">
      <c r="A134" s="2" t="s">
        <v>21</v>
      </c>
      <c r="B134" s="7" t="s">
        <v>499</v>
      </c>
      <c r="C134" s="7"/>
      <c r="D134" s="2" t="s">
        <v>100</v>
      </c>
      <c r="E134" s="4" t="s">
        <v>214</v>
      </c>
      <c r="F134" s="4">
        <v>3.14</v>
      </c>
      <c r="I134" s="2"/>
      <c r="J134" s="2"/>
      <c r="L134" s="2"/>
      <c r="M134" s="4"/>
      <c r="N134" s="4"/>
    </row>
    <row r="135" spans="1:14" ht="15.75" customHeight="1" x14ac:dyDescent="0.3">
      <c r="A135" s="2" t="s">
        <v>21</v>
      </c>
      <c r="B135" s="7" t="s">
        <v>499</v>
      </c>
      <c r="C135" s="7"/>
      <c r="D135" s="2" t="s">
        <v>102</v>
      </c>
      <c r="E135" s="4" t="s">
        <v>125</v>
      </c>
      <c r="F135" s="4">
        <v>51.82</v>
      </c>
      <c r="I135" s="2"/>
      <c r="J135" s="7"/>
      <c r="L135" s="2"/>
      <c r="M135" s="4"/>
      <c r="N135" s="4"/>
    </row>
    <row r="136" spans="1:14" ht="15.75" customHeight="1" x14ac:dyDescent="0.3">
      <c r="A136" s="2" t="s">
        <v>24</v>
      </c>
      <c r="B136" s="2"/>
      <c r="C136" s="2"/>
      <c r="D136" s="2" t="s">
        <v>5</v>
      </c>
      <c r="E136" s="4" t="s">
        <v>5</v>
      </c>
      <c r="F136" s="4" t="s">
        <v>5</v>
      </c>
      <c r="I136" s="2"/>
      <c r="J136" s="2"/>
      <c r="L136" s="2"/>
      <c r="M136" s="4"/>
      <c r="N136" s="4"/>
    </row>
    <row r="137" spans="1:14" ht="15.75" customHeight="1" x14ac:dyDescent="0.3">
      <c r="A137" s="2" t="s">
        <v>24</v>
      </c>
      <c r="B137" s="7"/>
      <c r="C137" s="7" t="s">
        <v>501</v>
      </c>
      <c r="D137" s="2" t="s">
        <v>191</v>
      </c>
      <c r="E137" s="4" t="s">
        <v>192</v>
      </c>
      <c r="F137" s="4">
        <v>381.45</v>
      </c>
      <c r="I137" s="2"/>
      <c r="J137" s="7"/>
      <c r="L137" s="2"/>
      <c r="M137" s="4"/>
      <c r="N137" s="4"/>
    </row>
    <row r="138" spans="1:14" ht="15.75" customHeight="1" x14ac:dyDescent="0.3">
      <c r="A138" s="2" t="s">
        <v>24</v>
      </c>
      <c r="B138" s="7" t="s">
        <v>498</v>
      </c>
      <c r="C138" s="7" t="s">
        <v>497</v>
      </c>
      <c r="D138" s="2" t="s">
        <v>193</v>
      </c>
      <c r="E138" s="4" t="s">
        <v>194</v>
      </c>
      <c r="F138" s="4">
        <v>124.5</v>
      </c>
      <c r="I138" s="2"/>
      <c r="J138" s="2"/>
      <c r="L138" s="2"/>
      <c r="M138" s="4"/>
      <c r="N138" s="4"/>
    </row>
    <row r="139" spans="1:14" ht="15.75" customHeight="1" x14ac:dyDescent="0.3">
      <c r="A139" s="2" t="s">
        <v>24</v>
      </c>
      <c r="B139" s="2" t="s">
        <v>496</v>
      </c>
      <c r="C139" s="7" t="s">
        <v>497</v>
      </c>
      <c r="D139" s="2" t="s">
        <v>195</v>
      </c>
      <c r="E139" s="4" t="s">
        <v>196</v>
      </c>
      <c r="F139" s="4">
        <v>55.04</v>
      </c>
      <c r="I139" s="2"/>
      <c r="J139" s="7"/>
      <c r="L139" s="2"/>
      <c r="M139" s="4"/>
      <c r="N139" s="4"/>
    </row>
    <row r="140" spans="1:14" ht="15.75" customHeight="1" x14ac:dyDescent="0.3">
      <c r="A140" s="2" t="s">
        <v>24</v>
      </c>
      <c r="B140" s="7" t="s">
        <v>498</v>
      </c>
      <c r="C140" s="7" t="s">
        <v>497</v>
      </c>
      <c r="D140" s="2" t="s">
        <v>72</v>
      </c>
      <c r="E140" s="4" t="s">
        <v>215</v>
      </c>
      <c r="F140" s="4">
        <v>25.77</v>
      </c>
      <c r="I140" s="2"/>
      <c r="J140" s="7"/>
      <c r="L140" s="2"/>
      <c r="M140" s="4"/>
      <c r="N140" s="4"/>
    </row>
    <row r="141" spans="1:14" ht="15.75" customHeight="1" x14ac:dyDescent="0.3">
      <c r="A141" s="2" t="s">
        <v>24</v>
      </c>
      <c r="B141" s="2" t="s">
        <v>496</v>
      </c>
      <c r="C141" s="7" t="s">
        <v>497</v>
      </c>
      <c r="D141" s="2" t="s">
        <v>114</v>
      </c>
      <c r="E141" s="4" t="s">
        <v>216</v>
      </c>
      <c r="F141" s="4">
        <v>1.47</v>
      </c>
      <c r="I141" s="2"/>
      <c r="J141" s="2"/>
      <c r="L141" s="2"/>
      <c r="M141" s="4"/>
      <c r="N141" s="4"/>
    </row>
    <row r="142" spans="1:14" ht="15.75" customHeight="1" x14ac:dyDescent="0.3">
      <c r="A142" s="2" t="s">
        <v>24</v>
      </c>
      <c r="B142" s="7" t="s">
        <v>498</v>
      </c>
      <c r="C142" s="7" t="s">
        <v>502</v>
      </c>
      <c r="D142" s="2" t="s">
        <v>74</v>
      </c>
      <c r="E142" s="4" t="s">
        <v>75</v>
      </c>
      <c r="F142" s="4">
        <v>6.17</v>
      </c>
      <c r="I142" s="2"/>
      <c r="J142" s="7"/>
      <c r="L142" s="2"/>
      <c r="M142" s="4"/>
      <c r="N142" s="4"/>
    </row>
    <row r="143" spans="1:14" ht="15.75" customHeight="1" x14ac:dyDescent="0.3">
      <c r="A143" s="2" t="s">
        <v>24</v>
      </c>
      <c r="B143" s="2" t="s">
        <v>496</v>
      </c>
      <c r="C143" s="2" t="s">
        <v>502</v>
      </c>
      <c r="D143" s="2" t="s">
        <v>76</v>
      </c>
      <c r="E143" s="4" t="s">
        <v>135</v>
      </c>
      <c r="F143" s="4">
        <v>8.74</v>
      </c>
      <c r="I143" s="2"/>
      <c r="J143" s="2"/>
      <c r="L143" s="2"/>
      <c r="M143" s="4"/>
      <c r="N143" s="4"/>
    </row>
    <row r="144" spans="1:14" ht="15.75" customHeight="1" x14ac:dyDescent="0.3">
      <c r="A144" s="2" t="s">
        <v>24</v>
      </c>
      <c r="B144" s="7"/>
      <c r="C144" s="7" t="s">
        <v>504</v>
      </c>
      <c r="D144" s="2" t="s">
        <v>200</v>
      </c>
      <c r="E144" s="4" t="s">
        <v>201</v>
      </c>
      <c r="F144" s="4">
        <v>125.8</v>
      </c>
      <c r="I144" s="2"/>
      <c r="J144" s="7"/>
      <c r="L144" s="2"/>
      <c r="M144" s="4"/>
      <c r="N144" s="4"/>
    </row>
    <row r="145" spans="1:14" ht="15.75" customHeight="1" x14ac:dyDescent="0.3">
      <c r="A145" s="2" t="s">
        <v>24</v>
      </c>
      <c r="B145" s="7" t="s">
        <v>498</v>
      </c>
      <c r="C145" s="7" t="s">
        <v>503</v>
      </c>
      <c r="D145" s="2" t="s">
        <v>202</v>
      </c>
      <c r="E145" s="4" t="s">
        <v>203</v>
      </c>
      <c r="F145" s="4">
        <v>28.81</v>
      </c>
      <c r="I145" s="2"/>
      <c r="J145" s="7"/>
      <c r="L145" s="2"/>
      <c r="M145" s="4"/>
      <c r="N145" s="4"/>
    </row>
    <row r="146" spans="1:14" ht="15.75" customHeight="1" x14ac:dyDescent="0.3">
      <c r="A146" s="2" t="s">
        <v>24</v>
      </c>
      <c r="B146" s="2" t="s">
        <v>496</v>
      </c>
      <c r="C146" s="2" t="s">
        <v>503</v>
      </c>
      <c r="D146" s="2" t="s">
        <v>204</v>
      </c>
      <c r="E146" s="4" t="s">
        <v>205</v>
      </c>
      <c r="F146" s="4">
        <v>12.23</v>
      </c>
      <c r="I146" s="2"/>
      <c r="J146" s="2"/>
      <c r="L146" s="2"/>
      <c r="M146" s="4"/>
      <c r="N146" s="4"/>
    </row>
    <row r="147" spans="1:14" ht="15.75" customHeight="1" x14ac:dyDescent="0.3">
      <c r="A147" s="2" t="s">
        <v>24</v>
      </c>
      <c r="B147" s="7"/>
      <c r="C147" s="7" t="s">
        <v>501</v>
      </c>
      <c r="D147" s="2" t="s">
        <v>206</v>
      </c>
      <c r="E147" s="4" t="s">
        <v>207</v>
      </c>
      <c r="F147" s="4">
        <v>18.7</v>
      </c>
      <c r="I147" s="2"/>
      <c r="J147" s="7"/>
      <c r="L147" s="2"/>
      <c r="M147" s="4"/>
      <c r="N147" s="4"/>
    </row>
    <row r="148" spans="1:14" ht="15.75" customHeight="1" x14ac:dyDescent="0.3">
      <c r="A148" s="2" t="s">
        <v>24</v>
      </c>
      <c r="B148" s="7" t="s">
        <v>498</v>
      </c>
      <c r="C148" s="7" t="s">
        <v>497</v>
      </c>
      <c r="D148" s="2" t="s">
        <v>208</v>
      </c>
      <c r="E148" s="4" t="s">
        <v>209</v>
      </c>
      <c r="F148" s="4">
        <v>19.14</v>
      </c>
      <c r="I148" s="2"/>
      <c r="J148" s="2"/>
      <c r="L148" s="2"/>
      <c r="M148" s="4"/>
      <c r="N148" s="4"/>
    </row>
    <row r="149" spans="1:14" ht="15.75" customHeight="1" x14ac:dyDescent="0.3">
      <c r="A149" s="2" t="s">
        <v>24</v>
      </c>
      <c r="B149" s="2" t="s">
        <v>496</v>
      </c>
      <c r="C149" s="7" t="s">
        <v>497</v>
      </c>
      <c r="D149" s="2" t="s">
        <v>210</v>
      </c>
      <c r="E149" s="4" t="s">
        <v>211</v>
      </c>
      <c r="F149" s="4">
        <v>13.6</v>
      </c>
      <c r="I149" s="2"/>
      <c r="J149" s="7"/>
      <c r="L149" s="2"/>
      <c r="M149" s="4"/>
      <c r="N149" s="4"/>
    </row>
    <row r="150" spans="1:14" ht="15.75" customHeight="1" x14ac:dyDescent="0.3">
      <c r="A150" s="2" t="s">
        <v>24</v>
      </c>
      <c r="B150" s="7" t="s">
        <v>498</v>
      </c>
      <c r="C150" s="7" t="s">
        <v>514</v>
      </c>
      <c r="D150" s="2" t="s">
        <v>96</v>
      </c>
      <c r="E150" s="4" t="s">
        <v>212</v>
      </c>
      <c r="F150" s="4">
        <v>44.14</v>
      </c>
      <c r="I150" s="2"/>
      <c r="J150" s="7"/>
      <c r="L150" s="2"/>
      <c r="M150" s="4"/>
      <c r="N150" s="4"/>
    </row>
    <row r="151" spans="1:14" ht="15.75" customHeight="1" x14ac:dyDescent="0.3">
      <c r="A151" s="2" t="s">
        <v>24</v>
      </c>
      <c r="B151" s="7" t="s">
        <v>499</v>
      </c>
      <c r="C151" s="7"/>
      <c r="D151" s="2" t="s">
        <v>98</v>
      </c>
      <c r="E151" s="4" t="s">
        <v>217</v>
      </c>
      <c r="F151" s="4">
        <v>13.63</v>
      </c>
      <c r="I151" s="2"/>
      <c r="J151" s="2"/>
      <c r="L151" s="2"/>
      <c r="M151" s="4"/>
      <c r="N151" s="4"/>
    </row>
    <row r="152" spans="1:14" ht="15.75" customHeight="1" x14ac:dyDescent="0.3">
      <c r="A152" s="2" t="s">
        <v>24</v>
      </c>
      <c r="B152" s="7" t="s">
        <v>499</v>
      </c>
      <c r="C152" s="7"/>
      <c r="D152" s="2" t="s">
        <v>100</v>
      </c>
      <c r="E152" s="4" t="s">
        <v>218</v>
      </c>
      <c r="F152" s="4">
        <v>2.25</v>
      </c>
      <c r="I152" s="2"/>
      <c r="J152" s="7"/>
      <c r="L152" s="2"/>
      <c r="M152" s="4"/>
      <c r="N152" s="4"/>
    </row>
    <row r="153" spans="1:14" ht="15.75" customHeight="1" x14ac:dyDescent="0.3">
      <c r="A153" s="2" t="s">
        <v>24</v>
      </c>
      <c r="B153" s="7" t="s">
        <v>499</v>
      </c>
      <c r="C153" s="7"/>
      <c r="D153" s="2" t="s">
        <v>102</v>
      </c>
      <c r="E153" s="4" t="s">
        <v>125</v>
      </c>
      <c r="F153" s="4">
        <v>53.27</v>
      </c>
      <c r="I153" s="2"/>
      <c r="J153" s="7"/>
      <c r="L153" s="2"/>
      <c r="M153" s="4"/>
      <c r="N153" s="4"/>
    </row>
    <row r="154" spans="1:14" ht="15.75" customHeight="1" x14ac:dyDescent="0.3">
      <c r="A154" s="2" t="s">
        <v>25</v>
      </c>
      <c r="B154" s="2"/>
      <c r="C154" s="2"/>
      <c r="D154" s="2" t="s">
        <v>5</v>
      </c>
      <c r="E154" s="4" t="s">
        <v>5</v>
      </c>
      <c r="F154" s="4" t="s">
        <v>5</v>
      </c>
      <c r="I154" s="2"/>
      <c r="J154" s="2"/>
      <c r="L154" s="2"/>
      <c r="M154" s="4"/>
      <c r="N154" s="4"/>
    </row>
    <row r="155" spans="1:14" ht="15.75" customHeight="1" x14ac:dyDescent="0.3">
      <c r="A155" s="2" t="s">
        <v>25</v>
      </c>
      <c r="B155" s="7"/>
      <c r="C155" s="7" t="s">
        <v>501</v>
      </c>
      <c r="D155" s="2" t="s">
        <v>191</v>
      </c>
      <c r="E155" s="4" t="s">
        <v>192</v>
      </c>
      <c r="F155" s="4">
        <v>381.45</v>
      </c>
      <c r="I155" s="2"/>
      <c r="J155" s="7"/>
      <c r="L155" s="2"/>
      <c r="M155" s="4"/>
      <c r="N155" s="4"/>
    </row>
    <row r="156" spans="1:14" ht="15.75" customHeight="1" x14ac:dyDescent="0.3">
      <c r="A156" s="2" t="s">
        <v>25</v>
      </c>
      <c r="B156" s="7" t="s">
        <v>498</v>
      </c>
      <c r="C156" s="7" t="s">
        <v>497</v>
      </c>
      <c r="D156" s="2" t="s">
        <v>193</v>
      </c>
      <c r="E156" s="4" t="s">
        <v>194</v>
      </c>
      <c r="F156" s="4">
        <v>124.5</v>
      </c>
      <c r="I156" s="2"/>
      <c r="J156" s="7"/>
      <c r="L156" s="2"/>
      <c r="M156" s="4"/>
      <c r="N156" s="4"/>
    </row>
    <row r="157" spans="1:14" ht="15.75" customHeight="1" x14ac:dyDescent="0.3">
      <c r="A157" s="2" t="s">
        <v>25</v>
      </c>
      <c r="B157" s="2" t="s">
        <v>496</v>
      </c>
      <c r="C157" s="7" t="s">
        <v>497</v>
      </c>
      <c r="D157" s="2" t="s">
        <v>195</v>
      </c>
      <c r="E157" s="4" t="s">
        <v>196</v>
      </c>
      <c r="F157" s="4">
        <v>55.04</v>
      </c>
      <c r="I157" s="2"/>
      <c r="J157" s="7"/>
      <c r="L157" s="2"/>
      <c r="M157" s="4"/>
      <c r="N157" s="4"/>
    </row>
    <row r="158" spans="1:14" ht="15.75" customHeight="1" x14ac:dyDescent="0.3">
      <c r="A158" s="2" t="s">
        <v>25</v>
      </c>
      <c r="B158" s="7" t="s">
        <v>498</v>
      </c>
      <c r="C158" s="7" t="s">
        <v>497</v>
      </c>
      <c r="D158" s="2" t="s">
        <v>72</v>
      </c>
      <c r="E158" s="4" t="s">
        <v>215</v>
      </c>
      <c r="F158" s="4">
        <v>25.77</v>
      </c>
      <c r="I158" s="2"/>
      <c r="J158" s="2"/>
      <c r="L158" s="2"/>
      <c r="M158" s="4"/>
      <c r="N158" s="4"/>
    </row>
    <row r="159" spans="1:14" ht="15.75" customHeight="1" x14ac:dyDescent="0.3">
      <c r="A159" s="2" t="s">
        <v>25</v>
      </c>
      <c r="B159" s="2" t="s">
        <v>496</v>
      </c>
      <c r="C159" s="7" t="s">
        <v>497</v>
      </c>
      <c r="D159" s="2" t="s">
        <v>114</v>
      </c>
      <c r="E159" s="4" t="s">
        <v>216</v>
      </c>
      <c r="F159" s="4">
        <v>1.47</v>
      </c>
      <c r="I159" s="2"/>
      <c r="J159" s="7"/>
      <c r="L159" s="2"/>
      <c r="M159" s="4"/>
      <c r="N159" s="4"/>
    </row>
    <row r="160" spans="1:14" ht="15.75" customHeight="1" x14ac:dyDescent="0.3">
      <c r="A160" s="2" t="s">
        <v>25</v>
      </c>
      <c r="B160" s="7" t="s">
        <v>498</v>
      </c>
      <c r="C160" s="7" t="s">
        <v>502</v>
      </c>
      <c r="D160" s="2" t="s">
        <v>74</v>
      </c>
      <c r="E160" s="4" t="s">
        <v>75</v>
      </c>
      <c r="F160" s="4">
        <v>6.17</v>
      </c>
      <c r="I160" s="2"/>
      <c r="J160" s="7"/>
      <c r="L160" s="2"/>
      <c r="M160" s="4"/>
      <c r="N160" s="4"/>
    </row>
    <row r="161" spans="1:14" ht="15.75" customHeight="1" x14ac:dyDescent="0.3">
      <c r="A161" s="2" t="s">
        <v>25</v>
      </c>
      <c r="B161" s="2" t="s">
        <v>496</v>
      </c>
      <c r="C161" s="2" t="s">
        <v>502</v>
      </c>
      <c r="D161" s="2" t="s">
        <v>76</v>
      </c>
      <c r="E161" s="4" t="s">
        <v>135</v>
      </c>
      <c r="F161" s="4">
        <v>8.74</v>
      </c>
      <c r="I161" s="2"/>
      <c r="J161" s="7"/>
      <c r="L161" s="2"/>
      <c r="M161" s="4"/>
      <c r="N161" s="4"/>
    </row>
    <row r="162" spans="1:14" ht="15.75" customHeight="1" x14ac:dyDescent="0.3">
      <c r="A162" s="2" t="s">
        <v>25</v>
      </c>
      <c r="B162" s="7"/>
      <c r="C162" s="7" t="s">
        <v>504</v>
      </c>
      <c r="D162" s="2" t="s">
        <v>200</v>
      </c>
      <c r="E162" s="4" t="s">
        <v>201</v>
      </c>
      <c r="F162" s="4">
        <v>125.8</v>
      </c>
      <c r="I162" s="2"/>
      <c r="J162" s="7"/>
      <c r="L162" s="2"/>
      <c r="M162" s="4"/>
      <c r="N162" s="4"/>
    </row>
    <row r="163" spans="1:14" ht="15.75" customHeight="1" x14ac:dyDescent="0.3">
      <c r="A163" s="2" t="s">
        <v>25</v>
      </c>
      <c r="B163" s="7" t="s">
        <v>498</v>
      </c>
      <c r="C163" s="7" t="s">
        <v>503</v>
      </c>
      <c r="D163" s="2" t="s">
        <v>202</v>
      </c>
      <c r="E163" s="4" t="s">
        <v>203</v>
      </c>
      <c r="F163" s="4">
        <v>28.81</v>
      </c>
      <c r="I163" s="2"/>
      <c r="J163" s="2"/>
      <c r="L163" s="2"/>
      <c r="M163" s="4"/>
      <c r="N163" s="4"/>
    </row>
    <row r="164" spans="1:14" ht="15.75" customHeight="1" x14ac:dyDescent="0.3">
      <c r="A164" s="2" t="s">
        <v>25</v>
      </c>
      <c r="B164" s="2" t="s">
        <v>496</v>
      </c>
      <c r="C164" s="2" t="s">
        <v>503</v>
      </c>
      <c r="D164" s="2" t="s">
        <v>204</v>
      </c>
      <c r="E164" s="4" t="s">
        <v>205</v>
      </c>
      <c r="F164" s="4">
        <v>12.23</v>
      </c>
      <c r="I164" s="2"/>
      <c r="J164" s="7"/>
      <c r="L164" s="2"/>
      <c r="M164" s="4"/>
      <c r="N164" s="4"/>
    </row>
    <row r="165" spans="1:14" ht="15.75" customHeight="1" x14ac:dyDescent="0.3">
      <c r="A165" s="2" t="s">
        <v>25</v>
      </c>
      <c r="B165" s="7"/>
      <c r="C165" s="7" t="s">
        <v>501</v>
      </c>
      <c r="D165" s="2" t="s">
        <v>206</v>
      </c>
      <c r="E165" s="4" t="s">
        <v>207</v>
      </c>
      <c r="F165" s="4">
        <v>18.7</v>
      </c>
      <c r="I165" s="2"/>
      <c r="J165" s="7"/>
      <c r="L165" s="2"/>
      <c r="M165" s="4"/>
      <c r="N165" s="4"/>
    </row>
    <row r="166" spans="1:14" ht="15.75" customHeight="1" x14ac:dyDescent="0.3">
      <c r="A166" s="2" t="s">
        <v>25</v>
      </c>
      <c r="B166" s="7" t="s">
        <v>498</v>
      </c>
      <c r="C166" s="7" t="s">
        <v>497</v>
      </c>
      <c r="D166" s="2" t="s">
        <v>208</v>
      </c>
      <c r="E166" s="4" t="s">
        <v>209</v>
      </c>
      <c r="F166" s="4">
        <v>19.14</v>
      </c>
      <c r="I166" s="2"/>
      <c r="J166" s="2"/>
      <c r="L166" s="2"/>
      <c r="M166" s="4"/>
      <c r="N166" s="4"/>
    </row>
    <row r="167" spans="1:14" ht="15.75" customHeight="1" x14ac:dyDescent="0.3">
      <c r="A167" s="2" t="s">
        <v>25</v>
      </c>
      <c r="B167" s="2" t="s">
        <v>496</v>
      </c>
      <c r="C167" s="7" t="s">
        <v>497</v>
      </c>
      <c r="D167" s="2" t="s">
        <v>210</v>
      </c>
      <c r="E167" s="4" t="s">
        <v>211</v>
      </c>
      <c r="F167" s="4">
        <v>13.6</v>
      </c>
      <c r="I167" s="2"/>
      <c r="J167" s="7"/>
      <c r="L167" s="2"/>
      <c r="M167" s="4"/>
      <c r="N167" s="4"/>
    </row>
    <row r="168" spans="1:14" ht="15.75" customHeight="1" x14ac:dyDescent="0.3">
      <c r="A168" s="2" t="s">
        <v>25</v>
      </c>
      <c r="B168" s="7" t="s">
        <v>498</v>
      </c>
      <c r="C168" s="7" t="s">
        <v>514</v>
      </c>
      <c r="D168" s="2" t="s">
        <v>96</v>
      </c>
      <c r="E168" s="4" t="s">
        <v>212</v>
      </c>
      <c r="F168" s="4">
        <v>44.14</v>
      </c>
      <c r="I168" s="2"/>
      <c r="J168" s="2"/>
      <c r="L168" s="2"/>
      <c r="M168" s="4"/>
      <c r="N168" s="4"/>
    </row>
    <row r="169" spans="1:14" ht="15.75" customHeight="1" x14ac:dyDescent="0.3">
      <c r="A169" s="2" t="s">
        <v>25</v>
      </c>
      <c r="B169" s="7" t="s">
        <v>499</v>
      </c>
      <c r="C169" s="7"/>
      <c r="D169" s="2" t="s">
        <v>98</v>
      </c>
      <c r="E169" s="4" t="s">
        <v>217</v>
      </c>
      <c r="F169" s="4">
        <v>13.63</v>
      </c>
      <c r="I169" s="2"/>
      <c r="J169" s="7"/>
      <c r="L169" s="2"/>
      <c r="M169" s="4"/>
      <c r="N169" s="4"/>
    </row>
    <row r="170" spans="1:14" ht="15.75" customHeight="1" x14ac:dyDescent="0.3">
      <c r="A170" s="2" t="s">
        <v>25</v>
      </c>
      <c r="B170" s="7" t="s">
        <v>499</v>
      </c>
      <c r="C170" s="7"/>
      <c r="D170" s="2" t="s">
        <v>100</v>
      </c>
      <c r="E170" s="4" t="s">
        <v>218</v>
      </c>
      <c r="F170" s="4">
        <v>2.25</v>
      </c>
      <c r="I170" s="2"/>
      <c r="J170" s="2"/>
      <c r="L170" s="2"/>
      <c r="M170" s="4"/>
      <c r="N170" s="4"/>
    </row>
    <row r="171" spans="1:14" ht="15.75" customHeight="1" x14ac:dyDescent="0.3">
      <c r="A171" s="2" t="s">
        <v>25</v>
      </c>
      <c r="B171" s="7" t="s">
        <v>499</v>
      </c>
      <c r="C171" s="7"/>
      <c r="D171" s="2" t="s">
        <v>102</v>
      </c>
      <c r="E171" s="4" t="s">
        <v>125</v>
      </c>
      <c r="F171" s="4">
        <v>53.27</v>
      </c>
      <c r="I171" s="2"/>
      <c r="J171" s="7"/>
      <c r="L171" s="2"/>
      <c r="M171" s="4"/>
      <c r="N171" s="4"/>
    </row>
    <row r="172" spans="1:14" ht="15.75" customHeight="1" x14ac:dyDescent="0.3">
      <c r="A172" s="2" t="s">
        <v>26</v>
      </c>
      <c r="B172" s="2"/>
      <c r="C172" s="2"/>
      <c r="D172" s="2" t="s">
        <v>5</v>
      </c>
      <c r="E172" s="4" t="s">
        <v>5</v>
      </c>
      <c r="F172" s="4" t="s">
        <v>5</v>
      </c>
      <c r="I172" s="2"/>
      <c r="J172" s="7"/>
      <c r="L172" s="2"/>
      <c r="M172" s="4"/>
      <c r="N172" s="4"/>
    </row>
    <row r="173" spans="1:14" ht="15.75" customHeight="1" x14ac:dyDescent="0.3">
      <c r="A173" s="2" t="s">
        <v>26</v>
      </c>
      <c r="B173" s="7"/>
      <c r="C173" s="7" t="s">
        <v>501</v>
      </c>
      <c r="D173" s="2" t="s">
        <v>191</v>
      </c>
      <c r="E173" s="4" t="s">
        <v>192</v>
      </c>
      <c r="F173" s="4">
        <v>381.45</v>
      </c>
      <c r="I173" s="2"/>
      <c r="J173" s="7"/>
      <c r="L173" s="2"/>
      <c r="M173" s="4"/>
      <c r="N173" s="4"/>
    </row>
    <row r="174" spans="1:14" ht="15.75" customHeight="1" x14ac:dyDescent="0.3">
      <c r="A174" s="2" t="s">
        <v>26</v>
      </c>
      <c r="B174" s="7" t="s">
        <v>498</v>
      </c>
      <c r="C174" s="7" t="s">
        <v>497</v>
      </c>
      <c r="D174" s="2" t="s">
        <v>193</v>
      </c>
      <c r="E174" s="4" t="s">
        <v>194</v>
      </c>
      <c r="F174" s="4">
        <v>124.5</v>
      </c>
      <c r="I174" s="2"/>
      <c r="J174" s="2"/>
      <c r="L174" s="2"/>
      <c r="M174" s="4"/>
      <c r="N174" s="4"/>
    </row>
    <row r="175" spans="1:14" ht="15.75" customHeight="1" x14ac:dyDescent="0.3">
      <c r="A175" s="2" t="s">
        <v>26</v>
      </c>
      <c r="B175" s="2" t="s">
        <v>496</v>
      </c>
      <c r="C175" s="7" t="s">
        <v>497</v>
      </c>
      <c r="D175" s="2" t="s">
        <v>195</v>
      </c>
      <c r="E175" s="4" t="s">
        <v>196</v>
      </c>
      <c r="F175" s="4">
        <v>55.04</v>
      </c>
      <c r="I175" s="2"/>
      <c r="J175" s="7"/>
      <c r="L175" s="2"/>
      <c r="M175" s="4"/>
      <c r="N175" s="4"/>
    </row>
    <row r="176" spans="1:14" ht="15.75" customHeight="1" x14ac:dyDescent="0.3">
      <c r="A176" s="2" t="s">
        <v>26</v>
      </c>
      <c r="B176" s="7" t="s">
        <v>498</v>
      </c>
      <c r="C176" s="7" t="s">
        <v>497</v>
      </c>
      <c r="D176" s="2" t="s">
        <v>72</v>
      </c>
      <c r="E176" s="4" t="s">
        <v>215</v>
      </c>
      <c r="F176" s="4">
        <v>25.77</v>
      </c>
      <c r="I176" s="2"/>
      <c r="J176" s="7"/>
      <c r="L176" s="2"/>
      <c r="M176" s="4"/>
      <c r="N176" s="4"/>
    </row>
    <row r="177" spans="1:14" ht="15.75" customHeight="1" x14ac:dyDescent="0.3">
      <c r="A177" s="2" t="s">
        <v>26</v>
      </c>
      <c r="B177" s="2" t="s">
        <v>496</v>
      </c>
      <c r="C177" s="7" t="s">
        <v>497</v>
      </c>
      <c r="D177" s="2" t="s">
        <v>114</v>
      </c>
      <c r="E177" s="4" t="s">
        <v>216</v>
      </c>
      <c r="F177" s="4">
        <v>1.47</v>
      </c>
      <c r="I177" s="2"/>
      <c r="J177" s="2"/>
      <c r="L177" s="2"/>
      <c r="M177" s="4"/>
      <c r="N177" s="4"/>
    </row>
    <row r="178" spans="1:14" ht="15.75" customHeight="1" x14ac:dyDescent="0.3">
      <c r="A178" s="2" t="s">
        <v>26</v>
      </c>
      <c r="B178" s="7" t="s">
        <v>498</v>
      </c>
      <c r="C178" s="7" t="s">
        <v>502</v>
      </c>
      <c r="D178" s="2" t="s">
        <v>74</v>
      </c>
      <c r="E178" s="4" t="s">
        <v>75</v>
      </c>
      <c r="F178" s="4">
        <v>6.17</v>
      </c>
      <c r="I178" s="2"/>
      <c r="J178" s="7"/>
      <c r="L178" s="2"/>
      <c r="M178" s="4"/>
      <c r="N178" s="4"/>
    </row>
    <row r="179" spans="1:14" ht="15.75" customHeight="1" x14ac:dyDescent="0.3">
      <c r="A179" s="2" t="s">
        <v>26</v>
      </c>
      <c r="B179" s="2" t="s">
        <v>496</v>
      </c>
      <c r="C179" s="2" t="s">
        <v>502</v>
      </c>
      <c r="D179" s="2" t="s">
        <v>76</v>
      </c>
      <c r="E179" s="4" t="s">
        <v>135</v>
      </c>
      <c r="F179" s="4">
        <v>8.74</v>
      </c>
      <c r="I179" s="2"/>
      <c r="J179" s="7"/>
      <c r="L179" s="2"/>
      <c r="M179" s="4"/>
      <c r="N179" s="4"/>
    </row>
    <row r="180" spans="1:14" ht="15.75" customHeight="1" x14ac:dyDescent="0.3">
      <c r="A180" s="2" t="s">
        <v>26</v>
      </c>
      <c r="B180" s="7"/>
      <c r="C180" s="7" t="s">
        <v>504</v>
      </c>
      <c r="D180" s="2" t="s">
        <v>200</v>
      </c>
      <c r="E180" s="4" t="s">
        <v>201</v>
      </c>
      <c r="F180" s="4">
        <v>125.8</v>
      </c>
      <c r="I180" s="2"/>
      <c r="J180" s="7"/>
      <c r="L180" s="2"/>
      <c r="M180" s="4"/>
      <c r="N180" s="4"/>
    </row>
    <row r="181" spans="1:14" ht="15.75" customHeight="1" x14ac:dyDescent="0.3">
      <c r="A181" s="2" t="s">
        <v>26</v>
      </c>
      <c r="B181" s="7" t="s">
        <v>498</v>
      </c>
      <c r="C181" s="7" t="s">
        <v>503</v>
      </c>
      <c r="D181" s="2" t="s">
        <v>202</v>
      </c>
      <c r="E181" s="4" t="s">
        <v>203</v>
      </c>
      <c r="F181" s="4">
        <v>28.81</v>
      </c>
      <c r="I181" s="2"/>
      <c r="J181" s="7"/>
      <c r="L181" s="2"/>
      <c r="M181" s="4"/>
      <c r="N181" s="4"/>
    </row>
    <row r="182" spans="1:14" ht="15.75" customHeight="1" x14ac:dyDescent="0.3">
      <c r="A182" s="2" t="s">
        <v>26</v>
      </c>
      <c r="B182" s="2" t="s">
        <v>496</v>
      </c>
      <c r="C182" s="2" t="s">
        <v>503</v>
      </c>
      <c r="D182" s="2" t="s">
        <v>204</v>
      </c>
      <c r="E182" s="4" t="s">
        <v>205</v>
      </c>
      <c r="F182" s="4">
        <v>12.23</v>
      </c>
      <c r="I182" s="2"/>
      <c r="J182" s="2"/>
      <c r="L182" s="2"/>
      <c r="M182" s="4"/>
      <c r="N182" s="4"/>
    </row>
    <row r="183" spans="1:14" ht="15.75" customHeight="1" x14ac:dyDescent="0.3">
      <c r="A183" s="2" t="s">
        <v>26</v>
      </c>
      <c r="B183" s="7"/>
      <c r="C183" s="7" t="s">
        <v>501</v>
      </c>
      <c r="D183" s="2" t="s">
        <v>206</v>
      </c>
      <c r="E183" s="4" t="s">
        <v>207</v>
      </c>
      <c r="F183" s="4">
        <v>18.7</v>
      </c>
      <c r="I183" s="2"/>
      <c r="J183" s="7"/>
      <c r="L183" s="2"/>
      <c r="M183" s="4"/>
      <c r="N183" s="4"/>
    </row>
    <row r="184" spans="1:14" ht="15.75" customHeight="1" x14ac:dyDescent="0.3">
      <c r="A184" s="2" t="s">
        <v>26</v>
      </c>
      <c r="B184" s="7" t="s">
        <v>498</v>
      </c>
      <c r="C184" s="7" t="s">
        <v>497</v>
      </c>
      <c r="D184" s="2" t="s">
        <v>208</v>
      </c>
      <c r="E184" s="4" t="s">
        <v>209</v>
      </c>
      <c r="F184" s="4">
        <v>19.14</v>
      </c>
      <c r="I184" s="2"/>
      <c r="J184" s="7"/>
      <c r="L184" s="2"/>
      <c r="M184" s="4"/>
      <c r="N184" s="4"/>
    </row>
    <row r="185" spans="1:14" ht="15.75" customHeight="1" x14ac:dyDescent="0.3">
      <c r="A185" s="2" t="s">
        <v>26</v>
      </c>
      <c r="B185" s="2" t="s">
        <v>496</v>
      </c>
      <c r="C185" s="7" t="s">
        <v>497</v>
      </c>
      <c r="D185" s="2" t="s">
        <v>210</v>
      </c>
      <c r="E185" s="4" t="s">
        <v>211</v>
      </c>
      <c r="F185" s="4">
        <v>13.6</v>
      </c>
      <c r="I185" s="2"/>
      <c r="J185" s="2"/>
      <c r="L185" s="2"/>
      <c r="M185" s="4"/>
      <c r="N185" s="4"/>
    </row>
    <row r="186" spans="1:14" ht="15.75" customHeight="1" x14ac:dyDescent="0.3">
      <c r="A186" s="2" t="s">
        <v>26</v>
      </c>
      <c r="B186" s="7" t="s">
        <v>498</v>
      </c>
      <c r="C186" s="7" t="s">
        <v>514</v>
      </c>
      <c r="D186" s="2" t="s">
        <v>96</v>
      </c>
      <c r="E186" s="4" t="s">
        <v>212</v>
      </c>
      <c r="F186" s="4">
        <v>44.14</v>
      </c>
      <c r="I186" s="2"/>
      <c r="J186" s="7"/>
      <c r="L186" s="2"/>
      <c r="M186" s="4"/>
      <c r="N186" s="4"/>
    </row>
    <row r="187" spans="1:14" ht="15.75" customHeight="1" x14ac:dyDescent="0.3">
      <c r="A187" s="2" t="s">
        <v>26</v>
      </c>
      <c r="B187" s="7" t="s">
        <v>499</v>
      </c>
      <c r="C187" s="7"/>
      <c r="D187" s="2" t="s">
        <v>98</v>
      </c>
      <c r="E187" s="4" t="s">
        <v>217</v>
      </c>
      <c r="F187" s="4">
        <v>13.63</v>
      </c>
      <c r="I187" s="2"/>
      <c r="J187" s="2"/>
      <c r="L187" s="2"/>
      <c r="M187" s="4"/>
      <c r="N187" s="4"/>
    </row>
    <row r="188" spans="1:14" ht="15.75" customHeight="1" x14ac:dyDescent="0.3">
      <c r="A188" s="2" t="s">
        <v>26</v>
      </c>
      <c r="B188" s="7" t="s">
        <v>499</v>
      </c>
      <c r="C188" s="7"/>
      <c r="D188" s="2" t="s">
        <v>100</v>
      </c>
      <c r="E188" s="4" t="s">
        <v>218</v>
      </c>
      <c r="F188" s="4">
        <v>2.25</v>
      </c>
      <c r="I188" s="2"/>
      <c r="J188" s="7"/>
      <c r="L188" s="2"/>
      <c r="M188" s="4"/>
      <c r="N188" s="4"/>
    </row>
    <row r="189" spans="1:14" ht="15.75" customHeight="1" x14ac:dyDescent="0.3">
      <c r="A189" s="2" t="s">
        <v>26</v>
      </c>
      <c r="B189" s="7" t="s">
        <v>499</v>
      </c>
      <c r="C189" s="7"/>
      <c r="D189" s="2" t="s">
        <v>102</v>
      </c>
      <c r="E189" s="4" t="s">
        <v>125</v>
      </c>
      <c r="F189" s="4">
        <v>53.27</v>
      </c>
      <c r="I189" s="2"/>
      <c r="J189" s="2"/>
      <c r="L189" s="2"/>
      <c r="M189" s="4"/>
      <c r="N189" s="4"/>
    </row>
    <row r="190" spans="1:14" ht="15.75" customHeight="1" x14ac:dyDescent="0.3">
      <c r="A190" s="2" t="s">
        <v>27</v>
      </c>
      <c r="B190" s="2"/>
      <c r="C190" s="2"/>
      <c r="D190" s="2" t="s">
        <v>5</v>
      </c>
      <c r="E190" s="4" t="s">
        <v>5</v>
      </c>
      <c r="F190" s="4" t="s">
        <v>5</v>
      </c>
      <c r="I190" s="2"/>
      <c r="J190" s="7"/>
      <c r="L190" s="2"/>
      <c r="M190" s="4"/>
      <c r="N190" s="4"/>
    </row>
    <row r="191" spans="1:14" ht="15.75" customHeight="1" x14ac:dyDescent="0.3">
      <c r="A191" s="2" t="s">
        <v>27</v>
      </c>
      <c r="B191" s="7"/>
      <c r="C191" s="7" t="s">
        <v>501</v>
      </c>
      <c r="D191" s="2" t="s">
        <v>191</v>
      </c>
      <c r="E191" s="4" t="s">
        <v>192</v>
      </c>
      <c r="F191" s="4">
        <v>381.45</v>
      </c>
      <c r="I191" s="2"/>
      <c r="J191" s="7"/>
      <c r="L191" s="2"/>
      <c r="M191" s="4"/>
      <c r="N191" s="4"/>
    </row>
    <row r="192" spans="1:14" ht="15.75" customHeight="1" x14ac:dyDescent="0.3">
      <c r="A192" s="2" t="s">
        <v>27</v>
      </c>
      <c r="B192" s="7" t="s">
        <v>498</v>
      </c>
      <c r="C192" s="7" t="s">
        <v>497</v>
      </c>
      <c r="D192" s="2" t="s">
        <v>193</v>
      </c>
      <c r="E192" s="4" t="s">
        <v>194</v>
      </c>
      <c r="F192" s="4">
        <v>124.5</v>
      </c>
      <c r="I192" s="2"/>
      <c r="J192" s="2"/>
      <c r="L192" s="2"/>
      <c r="M192" s="4"/>
      <c r="N192" s="4"/>
    </row>
    <row r="193" spans="1:14" ht="15.75" customHeight="1" x14ac:dyDescent="0.3">
      <c r="A193" s="2" t="s">
        <v>27</v>
      </c>
      <c r="B193" s="2" t="s">
        <v>496</v>
      </c>
      <c r="C193" s="7" t="s">
        <v>497</v>
      </c>
      <c r="D193" s="2" t="s">
        <v>195</v>
      </c>
      <c r="E193" s="4" t="s">
        <v>196</v>
      </c>
      <c r="F193" s="4">
        <v>55.04</v>
      </c>
      <c r="I193" s="2"/>
      <c r="J193" s="7"/>
      <c r="L193" s="2"/>
      <c r="M193" s="4"/>
      <c r="N193" s="4"/>
    </row>
    <row r="194" spans="1:14" ht="15.75" customHeight="1" x14ac:dyDescent="0.3">
      <c r="A194" s="2" t="s">
        <v>27</v>
      </c>
      <c r="B194" s="7" t="s">
        <v>498</v>
      </c>
      <c r="C194" s="7" t="s">
        <v>497</v>
      </c>
      <c r="D194" s="2" t="s">
        <v>72</v>
      </c>
      <c r="E194" s="4" t="s">
        <v>219</v>
      </c>
      <c r="F194" s="4">
        <v>16.16</v>
      </c>
      <c r="I194" s="2"/>
      <c r="J194" s="7"/>
      <c r="L194" s="2"/>
      <c r="M194" s="4"/>
      <c r="N194" s="4"/>
    </row>
    <row r="195" spans="1:14" ht="15.75" customHeight="1" x14ac:dyDescent="0.3">
      <c r="A195" s="2" t="s">
        <v>27</v>
      </c>
      <c r="B195" s="7"/>
      <c r="C195" s="7" t="s">
        <v>504</v>
      </c>
      <c r="D195" s="2" t="s">
        <v>200</v>
      </c>
      <c r="E195" s="4" t="s">
        <v>201</v>
      </c>
      <c r="F195" s="4">
        <v>125.8</v>
      </c>
      <c r="I195" s="2"/>
      <c r="J195" s="2"/>
      <c r="L195" s="2"/>
      <c r="M195" s="4"/>
      <c r="N195" s="4"/>
    </row>
    <row r="196" spans="1:14" ht="15.75" customHeight="1" x14ac:dyDescent="0.3">
      <c r="A196" s="2" t="s">
        <v>27</v>
      </c>
      <c r="B196" s="7" t="s">
        <v>498</v>
      </c>
      <c r="C196" s="7" t="s">
        <v>503</v>
      </c>
      <c r="D196" s="2" t="s">
        <v>202</v>
      </c>
      <c r="E196" s="4" t="s">
        <v>203</v>
      </c>
      <c r="F196" s="4">
        <v>28.81</v>
      </c>
      <c r="I196" s="2"/>
      <c r="J196" s="7"/>
      <c r="L196" s="2"/>
      <c r="M196" s="4"/>
      <c r="N196" s="4"/>
    </row>
    <row r="197" spans="1:14" ht="15.75" customHeight="1" x14ac:dyDescent="0.3">
      <c r="A197" s="2" t="s">
        <v>27</v>
      </c>
      <c r="B197" s="2" t="s">
        <v>496</v>
      </c>
      <c r="C197" s="2" t="s">
        <v>503</v>
      </c>
      <c r="D197" s="2" t="s">
        <v>204</v>
      </c>
      <c r="E197" s="4" t="s">
        <v>205</v>
      </c>
      <c r="F197" s="4">
        <v>12.23</v>
      </c>
      <c r="I197" s="2"/>
      <c r="J197" s="7"/>
      <c r="L197" s="2"/>
      <c r="M197" s="4"/>
      <c r="N197" s="4"/>
    </row>
    <row r="198" spans="1:14" ht="15.75" customHeight="1" x14ac:dyDescent="0.3">
      <c r="A198" s="2" t="s">
        <v>27</v>
      </c>
      <c r="B198" s="7"/>
      <c r="C198" s="7" t="s">
        <v>501</v>
      </c>
      <c r="D198" s="2" t="s">
        <v>206</v>
      </c>
      <c r="E198" s="4" t="s">
        <v>207</v>
      </c>
      <c r="F198" s="4">
        <v>18.7</v>
      </c>
      <c r="I198" s="2"/>
      <c r="J198" s="7"/>
      <c r="L198" s="2"/>
      <c r="M198" s="4"/>
      <c r="N198" s="4"/>
    </row>
    <row r="199" spans="1:14" ht="15.75" customHeight="1" x14ac:dyDescent="0.3">
      <c r="A199" s="2" t="s">
        <v>27</v>
      </c>
      <c r="B199" s="7" t="s">
        <v>498</v>
      </c>
      <c r="C199" s="7" t="s">
        <v>497</v>
      </c>
      <c r="D199" s="2" t="s">
        <v>208</v>
      </c>
      <c r="E199" s="4" t="s">
        <v>209</v>
      </c>
      <c r="F199" s="4">
        <v>19.14</v>
      </c>
      <c r="I199" s="2"/>
      <c r="J199" s="7"/>
      <c r="L199" s="2"/>
      <c r="M199" s="4"/>
      <c r="N199" s="4"/>
    </row>
    <row r="200" spans="1:14" ht="15.75" customHeight="1" x14ac:dyDescent="0.3">
      <c r="A200" s="2" t="s">
        <v>27</v>
      </c>
      <c r="B200" s="2" t="s">
        <v>496</v>
      </c>
      <c r="C200" s="7" t="s">
        <v>497</v>
      </c>
      <c r="D200" s="2" t="s">
        <v>210</v>
      </c>
      <c r="E200" s="4" t="s">
        <v>211</v>
      </c>
      <c r="F200" s="4">
        <v>13.6</v>
      </c>
      <c r="I200" s="2"/>
      <c r="J200" s="2"/>
      <c r="L200" s="2"/>
      <c r="M200" s="4"/>
      <c r="N200" s="4"/>
    </row>
    <row r="201" spans="1:14" ht="15.75" customHeight="1" x14ac:dyDescent="0.3">
      <c r="A201" s="2" t="s">
        <v>28</v>
      </c>
      <c r="B201" s="2"/>
      <c r="C201" s="2"/>
      <c r="D201" s="2" t="s">
        <v>5</v>
      </c>
      <c r="E201" s="4" t="s">
        <v>5</v>
      </c>
      <c r="F201" s="4" t="s">
        <v>5</v>
      </c>
      <c r="I201" s="2"/>
      <c r="J201" s="7"/>
      <c r="L201" s="2"/>
      <c r="M201" s="4"/>
      <c r="N201" s="4"/>
    </row>
    <row r="202" spans="1:14" ht="15.75" customHeight="1" x14ac:dyDescent="0.3">
      <c r="A202" s="2" t="s">
        <v>28</v>
      </c>
      <c r="B202" s="7"/>
      <c r="C202" s="7" t="s">
        <v>501</v>
      </c>
      <c r="D202" s="2" t="s">
        <v>191</v>
      </c>
      <c r="E202" s="4" t="s">
        <v>192</v>
      </c>
      <c r="F202" s="4">
        <v>381.45</v>
      </c>
      <c r="I202" s="2"/>
      <c r="J202" s="7"/>
      <c r="L202" s="2"/>
      <c r="M202" s="4"/>
      <c r="N202" s="4"/>
    </row>
    <row r="203" spans="1:14" ht="15.75" customHeight="1" x14ac:dyDescent="0.3">
      <c r="A203" s="2" t="s">
        <v>28</v>
      </c>
      <c r="B203" s="7" t="s">
        <v>498</v>
      </c>
      <c r="C203" s="7" t="s">
        <v>497</v>
      </c>
      <c r="D203" s="2" t="s">
        <v>193</v>
      </c>
      <c r="E203" s="4" t="s">
        <v>194</v>
      </c>
      <c r="F203" s="4">
        <v>124.5</v>
      </c>
      <c r="I203" s="2"/>
      <c r="J203" s="2"/>
      <c r="L203" s="2"/>
      <c r="M203" s="4"/>
      <c r="N203" s="4"/>
    </row>
    <row r="204" spans="1:14" ht="15.75" customHeight="1" x14ac:dyDescent="0.3">
      <c r="A204" s="2" t="s">
        <v>28</v>
      </c>
      <c r="B204" s="2" t="s">
        <v>496</v>
      </c>
      <c r="C204" s="7" t="s">
        <v>497</v>
      </c>
      <c r="D204" s="2" t="s">
        <v>195</v>
      </c>
      <c r="E204" s="4" t="s">
        <v>196</v>
      </c>
      <c r="F204" s="4">
        <v>55.04</v>
      </c>
      <c r="I204" s="2"/>
      <c r="J204" s="7"/>
      <c r="L204" s="2"/>
      <c r="M204" s="4"/>
      <c r="N204" s="4"/>
    </row>
    <row r="205" spans="1:14" ht="15.75" customHeight="1" x14ac:dyDescent="0.3">
      <c r="A205" s="2" t="s">
        <v>28</v>
      </c>
      <c r="B205" s="7" t="s">
        <v>498</v>
      </c>
      <c r="C205" s="7" t="s">
        <v>497</v>
      </c>
      <c r="D205" s="2" t="s">
        <v>72</v>
      </c>
      <c r="E205" s="4" t="s">
        <v>215</v>
      </c>
      <c r="F205" s="4">
        <v>25.77</v>
      </c>
      <c r="I205" s="2"/>
      <c r="J205" s="2"/>
      <c r="L205" s="2"/>
      <c r="M205" s="4"/>
      <c r="N205" s="4"/>
    </row>
    <row r="206" spans="1:14" ht="15.75" customHeight="1" x14ac:dyDescent="0.3">
      <c r="A206" s="2" t="s">
        <v>28</v>
      </c>
      <c r="B206" s="2" t="s">
        <v>496</v>
      </c>
      <c r="C206" s="7" t="s">
        <v>497</v>
      </c>
      <c r="D206" s="2" t="s">
        <v>114</v>
      </c>
      <c r="E206" s="4" t="s">
        <v>216</v>
      </c>
      <c r="F206" s="4">
        <v>1.47</v>
      </c>
      <c r="I206" s="2"/>
      <c r="J206" s="7"/>
      <c r="L206" s="2"/>
      <c r="M206" s="4"/>
      <c r="N206" s="4"/>
    </row>
    <row r="207" spans="1:14" ht="15.75" customHeight="1" x14ac:dyDescent="0.3">
      <c r="A207" s="2" t="s">
        <v>28</v>
      </c>
      <c r="B207" s="7" t="s">
        <v>498</v>
      </c>
      <c r="C207" s="7" t="s">
        <v>502</v>
      </c>
      <c r="D207" s="2" t="s">
        <v>74</v>
      </c>
      <c r="E207" s="4" t="s">
        <v>75</v>
      </c>
      <c r="F207" s="4">
        <v>6.17</v>
      </c>
      <c r="I207" s="2"/>
      <c r="J207" s="2"/>
      <c r="L207" s="2"/>
      <c r="M207" s="4"/>
      <c r="N207" s="4"/>
    </row>
    <row r="208" spans="1:14" ht="15.75" customHeight="1" x14ac:dyDescent="0.3">
      <c r="A208" s="2" t="s">
        <v>28</v>
      </c>
      <c r="B208" s="2" t="s">
        <v>496</v>
      </c>
      <c r="C208" s="2" t="s">
        <v>502</v>
      </c>
      <c r="D208" s="2" t="s">
        <v>76</v>
      </c>
      <c r="E208" s="4" t="s">
        <v>135</v>
      </c>
      <c r="F208" s="4">
        <v>8.74</v>
      </c>
      <c r="I208" s="2"/>
      <c r="J208" s="7"/>
      <c r="L208" s="2"/>
      <c r="M208" s="4"/>
      <c r="N208" s="4"/>
    </row>
    <row r="209" spans="1:14" ht="15.75" customHeight="1" x14ac:dyDescent="0.3">
      <c r="A209" s="2" t="s">
        <v>28</v>
      </c>
      <c r="B209" s="7"/>
      <c r="C209" s="7" t="s">
        <v>504</v>
      </c>
      <c r="D209" s="2" t="s">
        <v>200</v>
      </c>
      <c r="E209" s="4" t="s">
        <v>201</v>
      </c>
      <c r="F209" s="4">
        <v>125.8</v>
      </c>
      <c r="I209" s="2"/>
      <c r="J209" s="7"/>
      <c r="L209" s="2"/>
      <c r="M209" s="4"/>
      <c r="N209" s="4"/>
    </row>
    <row r="210" spans="1:14" ht="15.75" customHeight="1" x14ac:dyDescent="0.3">
      <c r="A210" s="2" t="s">
        <v>28</v>
      </c>
      <c r="B210" s="7" t="s">
        <v>498</v>
      </c>
      <c r="C210" s="7" t="s">
        <v>503</v>
      </c>
      <c r="D210" s="2" t="s">
        <v>202</v>
      </c>
      <c r="E210" s="4" t="s">
        <v>203</v>
      </c>
      <c r="F210" s="4">
        <v>28.81</v>
      </c>
      <c r="I210" s="2"/>
      <c r="J210" s="2"/>
      <c r="L210" s="2"/>
      <c r="M210" s="4"/>
      <c r="N210" s="4"/>
    </row>
    <row r="211" spans="1:14" ht="15.75" customHeight="1" x14ac:dyDescent="0.3">
      <c r="A211" s="2" t="s">
        <v>28</v>
      </c>
      <c r="B211" s="2" t="s">
        <v>496</v>
      </c>
      <c r="C211" s="2" t="s">
        <v>503</v>
      </c>
      <c r="D211" s="2" t="s">
        <v>204</v>
      </c>
      <c r="E211" s="4" t="s">
        <v>205</v>
      </c>
      <c r="F211" s="4">
        <v>12.23</v>
      </c>
      <c r="I211" s="2"/>
      <c r="J211" s="7"/>
      <c r="L211" s="2"/>
      <c r="M211" s="4"/>
      <c r="N211" s="4"/>
    </row>
    <row r="212" spans="1:14" ht="15.75" customHeight="1" x14ac:dyDescent="0.3">
      <c r="A212" s="2" t="s">
        <v>28</v>
      </c>
      <c r="B212" s="7"/>
      <c r="C212" s="7" t="s">
        <v>501</v>
      </c>
      <c r="D212" s="2" t="s">
        <v>206</v>
      </c>
      <c r="E212" s="4" t="s">
        <v>207</v>
      </c>
      <c r="F212" s="4">
        <v>18.7</v>
      </c>
      <c r="I212" s="2"/>
      <c r="J212" s="7"/>
      <c r="L212" s="2"/>
      <c r="M212" s="4"/>
      <c r="N212" s="4"/>
    </row>
    <row r="213" spans="1:14" ht="15.75" customHeight="1" x14ac:dyDescent="0.3">
      <c r="A213" s="2" t="s">
        <v>28</v>
      </c>
      <c r="B213" s="7" t="s">
        <v>498</v>
      </c>
      <c r="C213" s="7" t="s">
        <v>497</v>
      </c>
      <c r="D213" s="2" t="s">
        <v>208</v>
      </c>
      <c r="E213" s="4" t="s">
        <v>209</v>
      </c>
      <c r="F213" s="4">
        <v>19.14</v>
      </c>
      <c r="I213" s="2"/>
      <c r="J213" s="2"/>
      <c r="L213" s="2"/>
      <c r="M213" s="4"/>
      <c r="N213" s="4"/>
    </row>
    <row r="214" spans="1:14" ht="15.75" customHeight="1" x14ac:dyDescent="0.3">
      <c r="A214" s="2" t="s">
        <v>28</v>
      </c>
      <c r="B214" s="2" t="s">
        <v>496</v>
      </c>
      <c r="C214" s="7" t="s">
        <v>497</v>
      </c>
      <c r="D214" s="2" t="s">
        <v>210</v>
      </c>
      <c r="E214" s="4" t="s">
        <v>211</v>
      </c>
      <c r="F214" s="4">
        <v>13.6</v>
      </c>
      <c r="I214" s="2"/>
      <c r="J214" s="7"/>
      <c r="L214" s="2"/>
      <c r="M214" s="4"/>
      <c r="N214" s="4"/>
    </row>
    <row r="215" spans="1:14" ht="15.75" customHeight="1" x14ac:dyDescent="0.3">
      <c r="A215" s="2" t="s">
        <v>28</v>
      </c>
      <c r="B215" s="7" t="s">
        <v>498</v>
      </c>
      <c r="C215" s="7" t="s">
        <v>514</v>
      </c>
      <c r="D215" s="2" t="s">
        <v>96</v>
      </c>
      <c r="E215" s="4" t="s">
        <v>212</v>
      </c>
      <c r="F215" s="4">
        <v>44.14</v>
      </c>
      <c r="I215" s="2"/>
      <c r="J215" s="7"/>
      <c r="L215" s="2"/>
      <c r="M215" s="4"/>
      <c r="N215" s="4"/>
    </row>
    <row r="216" spans="1:14" ht="15.75" customHeight="1" x14ac:dyDescent="0.3">
      <c r="A216" s="2" t="s">
        <v>28</v>
      </c>
      <c r="B216" s="7" t="s">
        <v>499</v>
      </c>
      <c r="C216" s="7"/>
      <c r="D216" s="2" t="s">
        <v>98</v>
      </c>
      <c r="E216" s="4" t="s">
        <v>217</v>
      </c>
      <c r="F216" s="4">
        <v>13.63</v>
      </c>
      <c r="I216" s="2"/>
      <c r="J216" s="7"/>
      <c r="L216" s="2"/>
      <c r="M216" s="4"/>
      <c r="N216" s="4"/>
    </row>
    <row r="217" spans="1:14" ht="15.75" customHeight="1" x14ac:dyDescent="0.3">
      <c r="A217" s="2" t="s">
        <v>28</v>
      </c>
      <c r="B217" s="7" t="s">
        <v>499</v>
      </c>
      <c r="C217" s="7"/>
      <c r="D217" s="2" t="s">
        <v>100</v>
      </c>
      <c r="E217" s="4" t="s">
        <v>218</v>
      </c>
      <c r="F217" s="4">
        <v>2.25</v>
      </c>
      <c r="I217" s="2"/>
      <c r="J217" s="7"/>
      <c r="L217" s="2"/>
      <c r="M217" s="4"/>
      <c r="N217" s="4"/>
    </row>
    <row r="218" spans="1:14" ht="15.75" customHeight="1" x14ac:dyDescent="0.3">
      <c r="A218" s="2" t="s">
        <v>28</v>
      </c>
      <c r="B218" s="7" t="s">
        <v>499</v>
      </c>
      <c r="C218" s="7"/>
      <c r="D218" s="2" t="s">
        <v>102</v>
      </c>
      <c r="E218" s="4" t="s">
        <v>125</v>
      </c>
      <c r="F218" s="4">
        <v>53.27</v>
      </c>
      <c r="I218" s="2"/>
      <c r="J218" s="2"/>
      <c r="L218" s="2"/>
      <c r="M218" s="4"/>
      <c r="N218" s="4"/>
    </row>
    <row r="219" spans="1:14" ht="15.75" customHeight="1" x14ac:dyDescent="0.3">
      <c r="A219" s="2" t="s">
        <v>29</v>
      </c>
      <c r="B219" s="2"/>
      <c r="C219" s="2"/>
      <c r="D219" s="2" t="s">
        <v>5</v>
      </c>
      <c r="E219" s="4" t="s">
        <v>5</v>
      </c>
      <c r="F219" s="4" t="s">
        <v>5</v>
      </c>
      <c r="I219" s="2"/>
      <c r="J219" s="7"/>
      <c r="L219" s="2"/>
      <c r="M219" s="4"/>
      <c r="N219" s="4"/>
    </row>
    <row r="220" spans="1:14" ht="15.75" customHeight="1" x14ac:dyDescent="0.3">
      <c r="A220" s="2" t="s">
        <v>29</v>
      </c>
      <c r="B220" s="7"/>
      <c r="C220" s="7" t="s">
        <v>501</v>
      </c>
      <c r="D220" s="2" t="s">
        <v>191</v>
      </c>
      <c r="E220" s="4" t="s">
        <v>192</v>
      </c>
      <c r="F220" s="4">
        <v>381.45</v>
      </c>
      <c r="I220" s="2"/>
      <c r="J220" s="7"/>
      <c r="L220" s="2"/>
      <c r="M220" s="4"/>
      <c r="N220" s="4"/>
    </row>
    <row r="221" spans="1:14" ht="15.75" customHeight="1" x14ac:dyDescent="0.3">
      <c r="A221" s="2" t="s">
        <v>29</v>
      </c>
      <c r="B221" s="7" t="s">
        <v>498</v>
      </c>
      <c r="C221" s="7" t="s">
        <v>497</v>
      </c>
      <c r="D221" s="2" t="s">
        <v>193</v>
      </c>
      <c r="E221" s="4" t="s">
        <v>194</v>
      </c>
      <c r="F221" s="4">
        <v>124.5</v>
      </c>
      <c r="I221" s="2"/>
      <c r="J221" s="2"/>
      <c r="L221" s="2"/>
      <c r="M221" s="4"/>
      <c r="N221" s="4"/>
    </row>
    <row r="222" spans="1:14" ht="15.75" customHeight="1" x14ac:dyDescent="0.3">
      <c r="A222" s="2" t="s">
        <v>29</v>
      </c>
      <c r="B222" s="2" t="s">
        <v>496</v>
      </c>
      <c r="C222" s="7" t="s">
        <v>497</v>
      </c>
      <c r="D222" s="2" t="s">
        <v>195</v>
      </c>
      <c r="E222" s="4" t="s">
        <v>196</v>
      </c>
      <c r="F222" s="4">
        <v>55.04</v>
      </c>
      <c r="I222" s="2"/>
      <c r="J222" s="7"/>
      <c r="L222" s="2"/>
      <c r="M222" s="4"/>
      <c r="N222" s="4"/>
    </row>
    <row r="223" spans="1:14" ht="15.75" customHeight="1" x14ac:dyDescent="0.3">
      <c r="A223" s="2" t="s">
        <v>29</v>
      </c>
      <c r="B223" s="7" t="s">
        <v>498</v>
      </c>
      <c r="C223" s="7" t="s">
        <v>497</v>
      </c>
      <c r="D223" s="2" t="s">
        <v>72</v>
      </c>
      <c r="E223" s="4" t="s">
        <v>215</v>
      </c>
      <c r="F223" s="4">
        <v>25.77</v>
      </c>
      <c r="I223" s="2"/>
      <c r="J223" s="2"/>
      <c r="L223" s="2"/>
      <c r="M223" s="4"/>
      <c r="N223" s="4"/>
    </row>
    <row r="224" spans="1:14" ht="15.75" customHeight="1" x14ac:dyDescent="0.3">
      <c r="A224" s="2" t="s">
        <v>29</v>
      </c>
      <c r="B224" s="2" t="s">
        <v>496</v>
      </c>
      <c r="C224" s="7" t="s">
        <v>497</v>
      </c>
      <c r="D224" s="2" t="s">
        <v>114</v>
      </c>
      <c r="E224" s="4" t="s">
        <v>216</v>
      </c>
      <c r="F224" s="4">
        <v>1.47</v>
      </c>
      <c r="I224" s="2"/>
      <c r="J224" s="7"/>
      <c r="L224" s="2"/>
      <c r="M224" s="4"/>
      <c r="N224" s="4"/>
    </row>
    <row r="225" spans="1:14" ht="15.75" customHeight="1" x14ac:dyDescent="0.3">
      <c r="A225" s="2" t="s">
        <v>29</v>
      </c>
      <c r="B225" s="7" t="s">
        <v>498</v>
      </c>
      <c r="C225" s="7" t="s">
        <v>502</v>
      </c>
      <c r="D225" s="2" t="s">
        <v>74</v>
      </c>
      <c r="E225" s="4" t="s">
        <v>75</v>
      </c>
      <c r="F225" s="4">
        <v>6.17</v>
      </c>
      <c r="I225" s="2"/>
      <c r="J225" s="2"/>
      <c r="L225" s="2"/>
      <c r="M225" s="4"/>
      <c r="N225" s="4"/>
    </row>
    <row r="226" spans="1:14" ht="15.75" customHeight="1" x14ac:dyDescent="0.3">
      <c r="A226" s="2" t="s">
        <v>29</v>
      </c>
      <c r="B226" s="2" t="s">
        <v>496</v>
      </c>
      <c r="C226" s="2" t="s">
        <v>502</v>
      </c>
      <c r="D226" s="2" t="s">
        <v>76</v>
      </c>
      <c r="E226" s="4" t="s">
        <v>135</v>
      </c>
      <c r="F226" s="4">
        <v>8.74</v>
      </c>
      <c r="I226" s="2"/>
      <c r="J226" s="7"/>
      <c r="L226" s="2"/>
      <c r="M226" s="4"/>
      <c r="N226" s="4"/>
    </row>
    <row r="227" spans="1:14" ht="15.75" customHeight="1" x14ac:dyDescent="0.3">
      <c r="A227" s="2" t="s">
        <v>29</v>
      </c>
      <c r="B227" s="7"/>
      <c r="C227" s="7" t="s">
        <v>504</v>
      </c>
      <c r="D227" s="2" t="s">
        <v>200</v>
      </c>
      <c r="E227" s="4" t="s">
        <v>201</v>
      </c>
      <c r="F227" s="4">
        <v>125.8</v>
      </c>
      <c r="I227" s="2"/>
      <c r="J227" s="7"/>
      <c r="L227" s="2"/>
      <c r="M227" s="4"/>
      <c r="N227" s="4"/>
    </row>
    <row r="228" spans="1:14" ht="15.75" customHeight="1" x14ac:dyDescent="0.3">
      <c r="A228" s="2" t="s">
        <v>29</v>
      </c>
      <c r="B228" s="7" t="s">
        <v>498</v>
      </c>
      <c r="C228" s="7" t="s">
        <v>503</v>
      </c>
      <c r="D228" s="2" t="s">
        <v>202</v>
      </c>
      <c r="E228" s="4" t="s">
        <v>203</v>
      </c>
      <c r="F228" s="4">
        <v>28.81</v>
      </c>
      <c r="I228" s="2"/>
      <c r="J228" s="2"/>
      <c r="L228" s="2"/>
      <c r="M228" s="4"/>
      <c r="N228" s="4"/>
    </row>
    <row r="229" spans="1:14" ht="15.75" customHeight="1" x14ac:dyDescent="0.3">
      <c r="A229" s="2" t="s">
        <v>29</v>
      </c>
      <c r="B229" s="2" t="s">
        <v>496</v>
      </c>
      <c r="C229" s="2" t="s">
        <v>503</v>
      </c>
      <c r="D229" s="2" t="s">
        <v>204</v>
      </c>
      <c r="E229" s="4" t="s">
        <v>205</v>
      </c>
      <c r="F229" s="4">
        <v>12.23</v>
      </c>
      <c r="I229" s="2"/>
      <c r="J229" s="7"/>
      <c r="L229" s="2"/>
      <c r="M229" s="4"/>
      <c r="N229" s="4"/>
    </row>
    <row r="230" spans="1:14" ht="15.75" customHeight="1" x14ac:dyDescent="0.3">
      <c r="A230" s="2" t="s">
        <v>29</v>
      </c>
      <c r="B230" s="7"/>
      <c r="C230" s="7" t="s">
        <v>501</v>
      </c>
      <c r="D230" s="2" t="s">
        <v>206</v>
      </c>
      <c r="E230" s="4" t="s">
        <v>207</v>
      </c>
      <c r="F230" s="4">
        <v>18.7</v>
      </c>
      <c r="I230" s="2"/>
      <c r="J230" s="7"/>
      <c r="L230" s="2"/>
      <c r="M230" s="4"/>
      <c r="N230" s="4"/>
    </row>
    <row r="231" spans="1:14" ht="15.75" customHeight="1" x14ac:dyDescent="0.3">
      <c r="A231" s="2" t="s">
        <v>29</v>
      </c>
      <c r="B231" s="7" t="s">
        <v>498</v>
      </c>
      <c r="C231" s="7" t="s">
        <v>497</v>
      </c>
      <c r="D231" s="2" t="s">
        <v>208</v>
      </c>
      <c r="E231" s="4" t="s">
        <v>209</v>
      </c>
      <c r="F231" s="4">
        <v>19.14</v>
      </c>
      <c r="I231" s="2"/>
      <c r="J231" s="2"/>
      <c r="L231" s="2"/>
      <c r="M231" s="4"/>
      <c r="N231" s="4"/>
    </row>
    <row r="232" spans="1:14" ht="15.75" customHeight="1" x14ac:dyDescent="0.3">
      <c r="A232" s="2" t="s">
        <v>29</v>
      </c>
      <c r="B232" s="2" t="s">
        <v>496</v>
      </c>
      <c r="C232" s="7" t="s">
        <v>497</v>
      </c>
      <c r="D232" s="2" t="s">
        <v>210</v>
      </c>
      <c r="E232" s="4" t="s">
        <v>211</v>
      </c>
      <c r="F232" s="4">
        <v>13.6</v>
      </c>
      <c r="I232" s="2"/>
      <c r="J232" s="7"/>
      <c r="L232" s="2"/>
      <c r="M232" s="4"/>
      <c r="N232" s="4"/>
    </row>
    <row r="233" spans="1:14" ht="15.75" customHeight="1" x14ac:dyDescent="0.3">
      <c r="A233" s="2" t="s">
        <v>29</v>
      </c>
      <c r="B233" s="7" t="s">
        <v>498</v>
      </c>
      <c r="C233" s="7" t="s">
        <v>514</v>
      </c>
      <c r="D233" s="2" t="s">
        <v>96</v>
      </c>
      <c r="E233" s="4" t="s">
        <v>212</v>
      </c>
      <c r="F233" s="4">
        <v>44.14</v>
      </c>
      <c r="I233" s="2"/>
      <c r="J233" s="7"/>
      <c r="L233" s="2"/>
      <c r="M233" s="4"/>
      <c r="N233" s="4"/>
    </row>
    <row r="234" spans="1:14" ht="15.75" customHeight="1" x14ac:dyDescent="0.3">
      <c r="A234" s="2" t="s">
        <v>29</v>
      </c>
      <c r="B234" s="7" t="s">
        <v>499</v>
      </c>
      <c r="C234" s="7"/>
      <c r="D234" s="2" t="s">
        <v>98</v>
      </c>
      <c r="E234" s="4" t="s">
        <v>217</v>
      </c>
      <c r="F234" s="4">
        <v>13.63</v>
      </c>
      <c r="I234" s="2"/>
      <c r="J234" s="7"/>
      <c r="L234" s="2"/>
      <c r="M234" s="4"/>
      <c r="N234" s="4"/>
    </row>
    <row r="235" spans="1:14" ht="15.75" customHeight="1" x14ac:dyDescent="0.3">
      <c r="A235" s="2" t="s">
        <v>29</v>
      </c>
      <c r="B235" s="7" t="s">
        <v>499</v>
      </c>
      <c r="C235" s="7"/>
      <c r="D235" s="2" t="s">
        <v>100</v>
      </c>
      <c r="E235" s="4" t="s">
        <v>218</v>
      </c>
      <c r="F235" s="4">
        <v>2.25</v>
      </c>
      <c r="I235" s="2"/>
      <c r="J235" s="7"/>
      <c r="L235" s="2"/>
      <c r="M235" s="4"/>
      <c r="N235" s="4"/>
    </row>
    <row r="236" spans="1:14" ht="15.75" customHeight="1" x14ac:dyDescent="0.3">
      <c r="A236" s="2" t="s">
        <v>29</v>
      </c>
      <c r="B236" s="7" t="s">
        <v>499</v>
      </c>
      <c r="C236" s="7"/>
      <c r="D236" s="2" t="s">
        <v>102</v>
      </c>
      <c r="E236" s="4" t="s">
        <v>125</v>
      </c>
      <c r="F236" s="4">
        <v>53.27</v>
      </c>
      <c r="I236" s="2"/>
      <c r="J236" s="2"/>
      <c r="L236" s="2"/>
      <c r="M236" s="4"/>
      <c r="N236" s="4"/>
    </row>
    <row r="237" spans="1:14" ht="15.75" customHeight="1" x14ac:dyDescent="0.3">
      <c r="A237" s="2" t="s">
        <v>30</v>
      </c>
      <c r="B237" s="2"/>
      <c r="C237" s="2"/>
      <c r="D237" s="2" t="s">
        <v>5</v>
      </c>
      <c r="E237" s="4" t="s">
        <v>5</v>
      </c>
      <c r="F237" s="4" t="s">
        <v>5</v>
      </c>
      <c r="I237" s="2"/>
      <c r="J237" s="7"/>
      <c r="L237" s="2"/>
      <c r="M237" s="4"/>
      <c r="N237" s="4"/>
    </row>
    <row r="238" spans="1:14" ht="15.75" customHeight="1" x14ac:dyDescent="0.3">
      <c r="A238" s="2" t="s">
        <v>30</v>
      </c>
      <c r="B238" s="7"/>
      <c r="C238" s="7" t="s">
        <v>501</v>
      </c>
      <c r="D238" s="2" t="s">
        <v>191</v>
      </c>
      <c r="E238" s="4" t="s">
        <v>192</v>
      </c>
      <c r="F238" s="4">
        <v>381.45</v>
      </c>
      <c r="I238" s="2"/>
      <c r="J238" s="7"/>
      <c r="L238" s="2"/>
      <c r="M238" s="4"/>
      <c r="N238" s="4"/>
    </row>
    <row r="239" spans="1:14" ht="15.75" customHeight="1" x14ac:dyDescent="0.3">
      <c r="A239" s="2" t="s">
        <v>30</v>
      </c>
      <c r="B239" s="7" t="s">
        <v>498</v>
      </c>
      <c r="C239" s="7" t="s">
        <v>497</v>
      </c>
      <c r="D239" s="2" t="s">
        <v>193</v>
      </c>
      <c r="E239" s="4" t="s">
        <v>194</v>
      </c>
      <c r="F239" s="4">
        <v>124.5</v>
      </c>
      <c r="I239" s="2"/>
      <c r="J239" s="2"/>
      <c r="L239" s="2"/>
      <c r="M239" s="4"/>
      <c r="N239" s="4"/>
    </row>
    <row r="240" spans="1:14" ht="15.75" customHeight="1" x14ac:dyDescent="0.3">
      <c r="A240" s="2" t="s">
        <v>30</v>
      </c>
      <c r="B240" s="2" t="s">
        <v>496</v>
      </c>
      <c r="C240" s="7" t="s">
        <v>497</v>
      </c>
      <c r="D240" s="2" t="s">
        <v>195</v>
      </c>
      <c r="E240" s="4" t="s">
        <v>196</v>
      </c>
      <c r="F240" s="4">
        <v>55.04</v>
      </c>
      <c r="I240" s="2"/>
      <c r="J240" s="7"/>
      <c r="L240" s="2"/>
      <c r="M240" s="4"/>
      <c r="N240" s="4"/>
    </row>
    <row r="241" spans="1:14" ht="15.75" customHeight="1" x14ac:dyDescent="0.3">
      <c r="A241" s="2" t="s">
        <v>30</v>
      </c>
      <c r="B241" s="7" t="s">
        <v>498</v>
      </c>
      <c r="C241" s="7" t="s">
        <v>497</v>
      </c>
      <c r="D241" s="2" t="s">
        <v>72</v>
      </c>
      <c r="E241" s="4" t="s">
        <v>215</v>
      </c>
      <c r="F241" s="4">
        <v>25.77</v>
      </c>
      <c r="I241" s="2"/>
      <c r="J241" s="7"/>
      <c r="L241" s="2"/>
      <c r="M241" s="4"/>
      <c r="N241" s="4"/>
    </row>
    <row r="242" spans="1:14" ht="15.75" customHeight="1" x14ac:dyDescent="0.3">
      <c r="A242" s="2" t="s">
        <v>30</v>
      </c>
      <c r="B242" s="2" t="s">
        <v>496</v>
      </c>
      <c r="C242" s="7" t="s">
        <v>497</v>
      </c>
      <c r="D242" s="2" t="s">
        <v>114</v>
      </c>
      <c r="E242" s="4" t="s">
        <v>216</v>
      </c>
      <c r="F242" s="4">
        <v>1.47</v>
      </c>
      <c r="I242" s="2"/>
      <c r="J242" s="7"/>
      <c r="L242" s="2"/>
      <c r="M242" s="4"/>
      <c r="N242" s="4"/>
    </row>
    <row r="243" spans="1:14" ht="15.75" customHeight="1" x14ac:dyDescent="0.3">
      <c r="A243" s="2" t="s">
        <v>30</v>
      </c>
      <c r="B243" s="7" t="s">
        <v>498</v>
      </c>
      <c r="C243" s="7" t="s">
        <v>502</v>
      </c>
      <c r="D243" s="2" t="s">
        <v>74</v>
      </c>
      <c r="E243" s="4" t="s">
        <v>75</v>
      </c>
      <c r="F243" s="4">
        <v>6.17</v>
      </c>
      <c r="I243" s="2"/>
      <c r="J243" s="2"/>
      <c r="L243" s="2"/>
      <c r="M243" s="4"/>
      <c r="N243" s="4"/>
    </row>
    <row r="244" spans="1:14" ht="15.75" customHeight="1" x14ac:dyDescent="0.3">
      <c r="A244" s="2" t="s">
        <v>30</v>
      </c>
      <c r="B244" s="2" t="s">
        <v>496</v>
      </c>
      <c r="C244" s="2" t="s">
        <v>502</v>
      </c>
      <c r="D244" s="2" t="s">
        <v>76</v>
      </c>
      <c r="E244" s="4" t="s">
        <v>135</v>
      </c>
      <c r="F244" s="4">
        <v>8.74</v>
      </c>
      <c r="I244" s="2"/>
      <c r="J244" s="7"/>
      <c r="L244" s="2"/>
      <c r="M244" s="4"/>
      <c r="N244" s="4"/>
    </row>
    <row r="245" spans="1:14" ht="15.75" customHeight="1" x14ac:dyDescent="0.3">
      <c r="A245" s="2" t="s">
        <v>30</v>
      </c>
      <c r="B245" s="7"/>
      <c r="C245" s="7" t="s">
        <v>504</v>
      </c>
      <c r="D245" s="2" t="s">
        <v>200</v>
      </c>
      <c r="E245" s="4" t="s">
        <v>201</v>
      </c>
      <c r="F245" s="4">
        <v>125.8</v>
      </c>
      <c r="I245" s="2"/>
      <c r="J245" s="7"/>
      <c r="L245" s="2"/>
      <c r="M245" s="4"/>
      <c r="N245" s="4"/>
    </row>
    <row r="246" spans="1:14" ht="15.75" customHeight="1" x14ac:dyDescent="0.3">
      <c r="A246" s="2" t="s">
        <v>30</v>
      </c>
      <c r="B246" s="7" t="s">
        <v>498</v>
      </c>
      <c r="C246" s="7" t="s">
        <v>503</v>
      </c>
      <c r="D246" s="2" t="s">
        <v>202</v>
      </c>
      <c r="E246" s="4" t="s">
        <v>203</v>
      </c>
      <c r="F246" s="4">
        <v>28.81</v>
      </c>
      <c r="I246" s="2"/>
      <c r="J246" s="2"/>
      <c r="L246" s="2"/>
      <c r="M246" s="4"/>
      <c r="N246" s="4"/>
    </row>
    <row r="247" spans="1:14" ht="15.75" customHeight="1" x14ac:dyDescent="0.3">
      <c r="A247" s="2" t="s">
        <v>30</v>
      </c>
      <c r="B247" s="2" t="s">
        <v>496</v>
      </c>
      <c r="C247" s="2" t="s">
        <v>503</v>
      </c>
      <c r="D247" s="2" t="s">
        <v>204</v>
      </c>
      <c r="E247" s="4" t="s">
        <v>205</v>
      </c>
      <c r="F247" s="4">
        <v>12.23</v>
      </c>
      <c r="I247" s="2"/>
      <c r="J247" s="2"/>
      <c r="L247" s="2"/>
      <c r="M247" s="4"/>
      <c r="N247" s="4"/>
    </row>
    <row r="248" spans="1:14" ht="15.75" customHeight="1" x14ac:dyDescent="0.3">
      <c r="A248" s="2" t="s">
        <v>30</v>
      </c>
      <c r="B248" s="7"/>
      <c r="C248" s="7" t="s">
        <v>501</v>
      </c>
      <c r="D248" s="2" t="s">
        <v>206</v>
      </c>
      <c r="E248" s="4" t="s">
        <v>207</v>
      </c>
      <c r="F248" s="4">
        <v>18.7</v>
      </c>
      <c r="I248" s="2"/>
      <c r="J248" s="7"/>
      <c r="L248" s="2"/>
      <c r="M248" s="4"/>
      <c r="N248" s="4"/>
    </row>
    <row r="249" spans="1:14" ht="15.75" customHeight="1" x14ac:dyDescent="0.3">
      <c r="A249" s="2" t="s">
        <v>30</v>
      </c>
      <c r="B249" s="7" t="s">
        <v>498</v>
      </c>
      <c r="C249" s="7" t="s">
        <v>497</v>
      </c>
      <c r="D249" s="2" t="s">
        <v>208</v>
      </c>
      <c r="E249" s="4" t="s">
        <v>209</v>
      </c>
      <c r="F249" s="4">
        <v>19.14</v>
      </c>
      <c r="I249" s="2"/>
      <c r="J249" s="7"/>
      <c r="L249" s="2"/>
      <c r="M249" s="4"/>
      <c r="N249" s="4"/>
    </row>
    <row r="250" spans="1:14" ht="15.75" customHeight="1" x14ac:dyDescent="0.3">
      <c r="A250" s="2" t="s">
        <v>30</v>
      </c>
      <c r="B250" s="2" t="s">
        <v>496</v>
      </c>
      <c r="C250" s="7" t="s">
        <v>497</v>
      </c>
      <c r="D250" s="2" t="s">
        <v>210</v>
      </c>
      <c r="E250" s="4" t="s">
        <v>211</v>
      </c>
      <c r="F250" s="4">
        <v>13.6</v>
      </c>
      <c r="I250" s="2"/>
      <c r="J250" s="2"/>
      <c r="L250" s="2"/>
      <c r="M250" s="4"/>
      <c r="N250" s="4"/>
    </row>
    <row r="251" spans="1:14" ht="15.75" customHeight="1" x14ac:dyDescent="0.3">
      <c r="A251" s="2" t="s">
        <v>30</v>
      </c>
      <c r="B251" s="7" t="s">
        <v>498</v>
      </c>
      <c r="C251" s="7" t="s">
        <v>514</v>
      </c>
      <c r="D251" s="2" t="s">
        <v>96</v>
      </c>
      <c r="E251" s="4" t="s">
        <v>212</v>
      </c>
      <c r="F251" s="4">
        <v>44.14</v>
      </c>
      <c r="I251" s="2"/>
      <c r="J251" s="7"/>
      <c r="L251" s="2"/>
      <c r="M251" s="4"/>
      <c r="N251" s="4"/>
    </row>
    <row r="252" spans="1:14" ht="15.75" customHeight="1" x14ac:dyDescent="0.3">
      <c r="A252" s="2" t="s">
        <v>30</v>
      </c>
      <c r="B252" s="7" t="s">
        <v>499</v>
      </c>
      <c r="C252" s="7"/>
      <c r="D252" s="2" t="s">
        <v>98</v>
      </c>
      <c r="E252" s="4" t="s">
        <v>217</v>
      </c>
      <c r="F252" s="4">
        <v>13.63</v>
      </c>
      <c r="I252" s="2"/>
      <c r="J252" s="2"/>
      <c r="L252" s="2"/>
      <c r="M252" s="4"/>
      <c r="N252" s="4"/>
    </row>
    <row r="253" spans="1:14" ht="15.75" customHeight="1" x14ac:dyDescent="0.3">
      <c r="A253" s="2" t="s">
        <v>30</v>
      </c>
      <c r="B253" s="7" t="s">
        <v>499</v>
      </c>
      <c r="C253" s="7"/>
      <c r="D253" s="2" t="s">
        <v>100</v>
      </c>
      <c r="E253" s="4" t="s">
        <v>218</v>
      </c>
      <c r="F253" s="4">
        <v>2.25</v>
      </c>
      <c r="I253" s="2"/>
      <c r="J253" s="7"/>
      <c r="L253" s="2"/>
      <c r="M253" s="4"/>
      <c r="N253" s="4"/>
    </row>
    <row r="254" spans="1:14" ht="15.75" customHeight="1" x14ac:dyDescent="0.3">
      <c r="A254" s="2" t="s">
        <v>30</v>
      </c>
      <c r="B254" s="7" t="s">
        <v>499</v>
      </c>
      <c r="C254" s="7"/>
      <c r="D254" s="2" t="s">
        <v>102</v>
      </c>
      <c r="E254" s="4" t="s">
        <v>125</v>
      </c>
      <c r="F254" s="4">
        <v>53.27</v>
      </c>
      <c r="I254" s="2"/>
      <c r="J254" s="2"/>
      <c r="L254" s="2"/>
      <c r="M254" s="4"/>
      <c r="N254" s="4"/>
    </row>
    <row r="255" spans="1:14" ht="15.75" customHeight="1" x14ac:dyDescent="0.3">
      <c r="A255" s="2" t="s">
        <v>31</v>
      </c>
      <c r="B255" s="2"/>
      <c r="C255" s="2"/>
      <c r="D255" s="2" t="s">
        <v>5</v>
      </c>
      <c r="E255" s="4" t="s">
        <v>5</v>
      </c>
      <c r="F255" s="4" t="s">
        <v>5</v>
      </c>
      <c r="I255" s="2"/>
      <c r="J255" s="7"/>
      <c r="L255" s="2"/>
      <c r="M255" s="4"/>
      <c r="N255" s="4"/>
    </row>
    <row r="256" spans="1:14" ht="15.75" customHeight="1" x14ac:dyDescent="0.3">
      <c r="A256" s="2" t="s">
        <v>31</v>
      </c>
      <c r="B256" s="7"/>
      <c r="C256" s="7" t="s">
        <v>501</v>
      </c>
      <c r="D256" s="2" t="s">
        <v>191</v>
      </c>
      <c r="E256" s="4" t="s">
        <v>192</v>
      </c>
      <c r="F256" s="4">
        <v>381.45</v>
      </c>
      <c r="I256" s="2"/>
      <c r="J256" s="7"/>
      <c r="L256" s="2"/>
      <c r="M256" s="4"/>
      <c r="N256" s="4"/>
    </row>
    <row r="257" spans="1:14" ht="15.75" customHeight="1" x14ac:dyDescent="0.3">
      <c r="A257" s="2" t="s">
        <v>31</v>
      </c>
      <c r="B257" s="7" t="s">
        <v>498</v>
      </c>
      <c r="C257" s="7" t="s">
        <v>497</v>
      </c>
      <c r="D257" s="2" t="s">
        <v>193</v>
      </c>
      <c r="E257" s="4" t="s">
        <v>194</v>
      </c>
      <c r="F257" s="4">
        <v>124.5</v>
      </c>
      <c r="I257" s="2"/>
      <c r="J257" s="2"/>
      <c r="L257" s="2"/>
      <c r="M257" s="4"/>
      <c r="N257" s="4"/>
    </row>
    <row r="258" spans="1:14" ht="15.75" customHeight="1" x14ac:dyDescent="0.3">
      <c r="A258" s="2" t="s">
        <v>31</v>
      </c>
      <c r="B258" s="2" t="s">
        <v>496</v>
      </c>
      <c r="C258" s="7" t="s">
        <v>497</v>
      </c>
      <c r="D258" s="2" t="s">
        <v>195</v>
      </c>
      <c r="E258" s="4" t="s">
        <v>196</v>
      </c>
      <c r="F258" s="4">
        <v>55.04</v>
      </c>
      <c r="I258" s="2"/>
      <c r="J258" s="7"/>
      <c r="L258" s="2"/>
      <c r="M258" s="4"/>
      <c r="N258" s="4"/>
    </row>
    <row r="259" spans="1:14" ht="15.75" customHeight="1" x14ac:dyDescent="0.3">
      <c r="A259" s="2" t="s">
        <v>31</v>
      </c>
      <c r="B259" s="7" t="s">
        <v>498</v>
      </c>
      <c r="C259" s="7" t="s">
        <v>497</v>
      </c>
      <c r="D259" s="2" t="s">
        <v>72</v>
      </c>
      <c r="E259" s="4" t="s">
        <v>215</v>
      </c>
      <c r="F259" s="4">
        <v>25.77</v>
      </c>
      <c r="I259" s="2"/>
      <c r="J259" s="7"/>
      <c r="L259" s="2"/>
      <c r="M259" s="4"/>
      <c r="N259" s="4"/>
    </row>
    <row r="260" spans="1:14" ht="15.75" customHeight="1" x14ac:dyDescent="0.3">
      <c r="A260" s="2" t="s">
        <v>31</v>
      </c>
      <c r="B260" s="2" t="s">
        <v>496</v>
      </c>
      <c r="C260" s="7" t="s">
        <v>497</v>
      </c>
      <c r="D260" s="2" t="s">
        <v>114</v>
      </c>
      <c r="E260" s="4" t="s">
        <v>216</v>
      </c>
      <c r="F260" s="4">
        <v>1.47</v>
      </c>
      <c r="I260" s="2"/>
      <c r="J260" s="2"/>
      <c r="L260" s="2"/>
      <c r="M260" s="4"/>
      <c r="N260" s="4"/>
    </row>
    <row r="261" spans="1:14" ht="15.75" customHeight="1" x14ac:dyDescent="0.3">
      <c r="A261" s="2" t="s">
        <v>31</v>
      </c>
      <c r="B261" s="7" t="s">
        <v>498</v>
      </c>
      <c r="C261" s="7" t="s">
        <v>502</v>
      </c>
      <c r="D261" s="2" t="s">
        <v>74</v>
      </c>
      <c r="E261" s="4" t="s">
        <v>75</v>
      </c>
      <c r="F261" s="4">
        <v>6.17</v>
      </c>
      <c r="I261" s="2"/>
      <c r="J261" s="7"/>
      <c r="L261" s="2"/>
      <c r="M261" s="4"/>
      <c r="N261" s="4"/>
    </row>
    <row r="262" spans="1:14" ht="15.75" customHeight="1" x14ac:dyDescent="0.3">
      <c r="A262" s="2" t="s">
        <v>31</v>
      </c>
      <c r="B262" s="2" t="s">
        <v>496</v>
      </c>
      <c r="C262" s="2" t="s">
        <v>502</v>
      </c>
      <c r="D262" s="2" t="s">
        <v>76</v>
      </c>
      <c r="E262" s="4" t="s">
        <v>135</v>
      </c>
      <c r="F262" s="4">
        <v>8.74</v>
      </c>
      <c r="I262" s="2"/>
      <c r="J262" s="7"/>
      <c r="L262" s="2"/>
      <c r="M262" s="4"/>
      <c r="N262" s="4"/>
    </row>
    <row r="263" spans="1:14" ht="15.75" customHeight="1" x14ac:dyDescent="0.3">
      <c r="A263" s="2" t="s">
        <v>31</v>
      </c>
      <c r="B263" s="7"/>
      <c r="C263" s="7" t="s">
        <v>504</v>
      </c>
      <c r="D263" s="2" t="s">
        <v>200</v>
      </c>
      <c r="E263" s="4" t="s">
        <v>201</v>
      </c>
      <c r="F263" s="4">
        <v>125.8</v>
      </c>
      <c r="I263" s="2"/>
      <c r="J263" s="7"/>
      <c r="L263" s="2"/>
      <c r="M263" s="4"/>
      <c r="N263" s="4"/>
    </row>
    <row r="264" spans="1:14" ht="15.75" customHeight="1" x14ac:dyDescent="0.3">
      <c r="A264" s="2" t="s">
        <v>31</v>
      </c>
      <c r="B264" s="7" t="s">
        <v>498</v>
      </c>
      <c r="C264" s="7" t="s">
        <v>503</v>
      </c>
      <c r="D264" s="2" t="s">
        <v>202</v>
      </c>
      <c r="E264" s="4" t="s">
        <v>203</v>
      </c>
      <c r="F264" s="4">
        <v>28.81</v>
      </c>
      <c r="I264" s="2"/>
      <c r="J264" s="7"/>
      <c r="L264" s="2"/>
      <c r="M264" s="4"/>
      <c r="N264" s="4"/>
    </row>
    <row r="265" spans="1:14" ht="15.75" customHeight="1" x14ac:dyDescent="0.3">
      <c r="A265" s="2" t="s">
        <v>31</v>
      </c>
      <c r="B265" s="2" t="s">
        <v>496</v>
      </c>
      <c r="C265" s="2" t="s">
        <v>503</v>
      </c>
      <c r="D265" s="2" t="s">
        <v>204</v>
      </c>
      <c r="E265" s="4" t="s">
        <v>205</v>
      </c>
      <c r="F265" s="4">
        <v>12.23</v>
      </c>
      <c r="I265" s="2"/>
      <c r="J265" s="2"/>
      <c r="L265" s="2"/>
      <c r="M265" s="4"/>
      <c r="N265" s="4"/>
    </row>
    <row r="266" spans="1:14" ht="15.75" customHeight="1" x14ac:dyDescent="0.3">
      <c r="A266" s="2" t="s">
        <v>31</v>
      </c>
      <c r="B266" s="7"/>
      <c r="C266" s="7" t="s">
        <v>501</v>
      </c>
      <c r="D266" s="2" t="s">
        <v>206</v>
      </c>
      <c r="E266" s="4" t="s">
        <v>207</v>
      </c>
      <c r="F266" s="4">
        <v>18.7</v>
      </c>
      <c r="I266" s="2"/>
      <c r="J266" s="7"/>
      <c r="L266" s="2"/>
      <c r="M266" s="4"/>
      <c r="N266" s="4"/>
    </row>
    <row r="267" spans="1:14" ht="15.75" customHeight="1" x14ac:dyDescent="0.3">
      <c r="A267" s="2" t="s">
        <v>31</v>
      </c>
      <c r="B267" s="7" t="s">
        <v>498</v>
      </c>
      <c r="C267" s="7" t="s">
        <v>497</v>
      </c>
      <c r="D267" s="2" t="s">
        <v>208</v>
      </c>
      <c r="E267" s="4" t="s">
        <v>209</v>
      </c>
      <c r="F267" s="4">
        <v>19.14</v>
      </c>
      <c r="I267" s="2"/>
      <c r="J267" s="7"/>
      <c r="L267" s="2"/>
      <c r="M267" s="4"/>
      <c r="N267" s="4"/>
    </row>
    <row r="268" spans="1:14" ht="15.75" customHeight="1" x14ac:dyDescent="0.3">
      <c r="A268" s="2" t="s">
        <v>31</v>
      </c>
      <c r="B268" s="2" t="s">
        <v>496</v>
      </c>
      <c r="C268" s="7" t="s">
        <v>497</v>
      </c>
      <c r="D268" s="2" t="s">
        <v>210</v>
      </c>
      <c r="E268" s="4" t="s">
        <v>211</v>
      </c>
      <c r="F268" s="4">
        <v>13.6</v>
      </c>
      <c r="I268" s="2"/>
      <c r="J268" s="2"/>
      <c r="L268" s="2"/>
      <c r="M268" s="4"/>
      <c r="N268" s="4"/>
    </row>
    <row r="269" spans="1:14" ht="15.75" customHeight="1" x14ac:dyDescent="0.3">
      <c r="A269" s="2" t="s">
        <v>31</v>
      </c>
      <c r="B269" s="7" t="s">
        <v>498</v>
      </c>
      <c r="C269" s="7" t="s">
        <v>514</v>
      </c>
      <c r="D269" s="2" t="s">
        <v>96</v>
      </c>
      <c r="E269" s="4" t="s">
        <v>212</v>
      </c>
      <c r="F269" s="4">
        <v>44.14</v>
      </c>
      <c r="I269" s="2"/>
      <c r="J269" s="7"/>
      <c r="L269" s="2"/>
      <c r="M269" s="4"/>
      <c r="N269" s="4"/>
    </row>
    <row r="270" spans="1:14" ht="15.75" customHeight="1" x14ac:dyDescent="0.3">
      <c r="A270" s="2" t="s">
        <v>31</v>
      </c>
      <c r="B270" s="7" t="s">
        <v>499</v>
      </c>
      <c r="C270" s="7"/>
      <c r="D270" s="2" t="s">
        <v>98</v>
      </c>
      <c r="E270" s="4" t="s">
        <v>217</v>
      </c>
      <c r="F270" s="4">
        <v>13.63</v>
      </c>
      <c r="I270" s="2"/>
      <c r="J270" s="2"/>
      <c r="L270" s="2"/>
      <c r="M270" s="4"/>
      <c r="N270" s="4"/>
    </row>
    <row r="271" spans="1:14" ht="15.75" customHeight="1" x14ac:dyDescent="0.3">
      <c r="A271" s="2" t="s">
        <v>31</v>
      </c>
      <c r="B271" s="7" t="s">
        <v>499</v>
      </c>
      <c r="C271" s="7"/>
      <c r="D271" s="2" t="s">
        <v>100</v>
      </c>
      <c r="E271" s="4" t="s">
        <v>218</v>
      </c>
      <c r="F271" s="4">
        <v>2.25</v>
      </c>
      <c r="I271" s="2"/>
      <c r="J271" s="7"/>
      <c r="L271" s="2"/>
      <c r="M271" s="4"/>
      <c r="N271" s="4"/>
    </row>
    <row r="272" spans="1:14" ht="15.75" customHeight="1" x14ac:dyDescent="0.3">
      <c r="A272" s="2" t="s">
        <v>31</v>
      </c>
      <c r="B272" s="7" t="s">
        <v>499</v>
      </c>
      <c r="C272" s="7"/>
      <c r="D272" s="2" t="s">
        <v>102</v>
      </c>
      <c r="E272" s="4" t="s">
        <v>125</v>
      </c>
      <c r="F272" s="4">
        <v>53.27</v>
      </c>
      <c r="I272" s="2"/>
      <c r="J272" s="2"/>
      <c r="L272" s="2"/>
      <c r="M272" s="4"/>
      <c r="N272" s="4"/>
    </row>
    <row r="273" spans="1:14" ht="15.75" customHeight="1" x14ac:dyDescent="0.3">
      <c r="A273" s="2" t="s">
        <v>32</v>
      </c>
      <c r="B273" s="2"/>
      <c r="C273" s="2"/>
      <c r="D273" s="2" t="s">
        <v>5</v>
      </c>
      <c r="E273" s="4" t="s">
        <v>5</v>
      </c>
      <c r="F273" s="4" t="s">
        <v>5</v>
      </c>
      <c r="I273" s="2"/>
      <c r="J273" s="7"/>
      <c r="L273" s="2"/>
      <c r="M273" s="4"/>
      <c r="N273" s="4"/>
    </row>
    <row r="274" spans="1:14" ht="15.75" customHeight="1" x14ac:dyDescent="0.3">
      <c r="A274" s="2" t="s">
        <v>32</v>
      </c>
      <c r="B274" s="7"/>
      <c r="C274" s="7" t="s">
        <v>501</v>
      </c>
      <c r="D274" s="2" t="s">
        <v>191</v>
      </c>
      <c r="E274" s="4" t="s">
        <v>192</v>
      </c>
      <c r="F274" s="4">
        <v>381.45</v>
      </c>
      <c r="I274" s="2"/>
      <c r="J274" s="7"/>
      <c r="L274" s="2"/>
      <c r="M274" s="4"/>
      <c r="N274" s="4"/>
    </row>
    <row r="275" spans="1:14" ht="15.75" customHeight="1" x14ac:dyDescent="0.3">
      <c r="A275" s="2" t="s">
        <v>32</v>
      </c>
      <c r="B275" s="7" t="s">
        <v>498</v>
      </c>
      <c r="C275" s="7" t="s">
        <v>497</v>
      </c>
      <c r="D275" s="2" t="s">
        <v>193</v>
      </c>
      <c r="E275" s="4" t="s">
        <v>194</v>
      </c>
      <c r="F275" s="4">
        <v>124.5</v>
      </c>
      <c r="I275" s="2"/>
      <c r="J275" s="2"/>
      <c r="L275" s="2"/>
      <c r="M275" s="4"/>
      <c r="N275" s="4"/>
    </row>
    <row r="276" spans="1:14" ht="15.75" customHeight="1" x14ac:dyDescent="0.3">
      <c r="A276" s="2" t="s">
        <v>32</v>
      </c>
      <c r="B276" s="2" t="s">
        <v>496</v>
      </c>
      <c r="C276" s="7" t="s">
        <v>497</v>
      </c>
      <c r="D276" s="2" t="s">
        <v>195</v>
      </c>
      <c r="E276" s="4" t="s">
        <v>196</v>
      </c>
      <c r="F276" s="4">
        <v>55.04</v>
      </c>
      <c r="I276" s="2"/>
      <c r="J276" s="7"/>
      <c r="L276" s="2"/>
      <c r="M276" s="4"/>
      <c r="N276" s="4"/>
    </row>
    <row r="277" spans="1:14" ht="15.75" customHeight="1" x14ac:dyDescent="0.3">
      <c r="A277" s="2" t="s">
        <v>32</v>
      </c>
      <c r="B277" s="7" t="s">
        <v>498</v>
      </c>
      <c r="C277" s="7" t="s">
        <v>497</v>
      </c>
      <c r="D277" s="2" t="s">
        <v>72</v>
      </c>
      <c r="E277" s="4" t="s">
        <v>215</v>
      </c>
      <c r="F277" s="4">
        <v>25.77</v>
      </c>
      <c r="I277" s="2"/>
      <c r="J277" s="7"/>
      <c r="L277" s="2"/>
      <c r="M277" s="4"/>
      <c r="N277" s="4"/>
    </row>
    <row r="278" spans="1:14" ht="15.75" customHeight="1" x14ac:dyDescent="0.3">
      <c r="A278" s="2" t="s">
        <v>32</v>
      </c>
      <c r="B278" s="2" t="s">
        <v>496</v>
      </c>
      <c r="C278" s="7" t="s">
        <v>497</v>
      </c>
      <c r="D278" s="2" t="s">
        <v>114</v>
      </c>
      <c r="E278" s="4" t="s">
        <v>216</v>
      </c>
      <c r="F278" s="4">
        <v>1.47</v>
      </c>
      <c r="I278" s="2"/>
      <c r="J278" s="2"/>
      <c r="L278" s="2"/>
      <c r="M278" s="4"/>
      <c r="N278" s="4"/>
    </row>
    <row r="279" spans="1:14" ht="15.75" customHeight="1" x14ac:dyDescent="0.3">
      <c r="A279" s="2" t="s">
        <v>32</v>
      </c>
      <c r="B279" s="7" t="s">
        <v>498</v>
      </c>
      <c r="C279" s="7" t="s">
        <v>502</v>
      </c>
      <c r="D279" s="2" t="s">
        <v>74</v>
      </c>
      <c r="E279" s="4" t="s">
        <v>75</v>
      </c>
      <c r="F279" s="4">
        <v>6.17</v>
      </c>
      <c r="I279" s="2"/>
      <c r="J279" s="7"/>
      <c r="L279" s="2"/>
      <c r="M279" s="4"/>
      <c r="N279" s="4"/>
    </row>
    <row r="280" spans="1:14" ht="15.75" customHeight="1" x14ac:dyDescent="0.3">
      <c r="A280" s="2" t="s">
        <v>32</v>
      </c>
      <c r="B280" s="2" t="s">
        <v>496</v>
      </c>
      <c r="C280" s="2" t="s">
        <v>502</v>
      </c>
      <c r="D280" s="2" t="s">
        <v>76</v>
      </c>
      <c r="E280" s="4" t="s">
        <v>135</v>
      </c>
      <c r="F280" s="4">
        <v>8.74</v>
      </c>
      <c r="I280" s="2"/>
      <c r="J280" s="7"/>
      <c r="L280" s="2"/>
      <c r="M280" s="4"/>
      <c r="N280" s="4"/>
    </row>
    <row r="281" spans="1:14" ht="15.75" customHeight="1" x14ac:dyDescent="0.3">
      <c r="A281" s="2" t="s">
        <v>32</v>
      </c>
      <c r="B281" s="7"/>
      <c r="C281" s="7" t="s">
        <v>504</v>
      </c>
      <c r="D281" s="2" t="s">
        <v>200</v>
      </c>
      <c r="E281" s="4" t="s">
        <v>201</v>
      </c>
      <c r="F281" s="4">
        <v>125.8</v>
      </c>
      <c r="I281" s="2"/>
      <c r="J281" s="7"/>
      <c r="L281" s="2"/>
      <c r="M281" s="4"/>
      <c r="N281" s="4"/>
    </row>
    <row r="282" spans="1:14" ht="15.75" customHeight="1" x14ac:dyDescent="0.3">
      <c r="A282" s="2" t="s">
        <v>32</v>
      </c>
      <c r="B282" s="7" t="s">
        <v>498</v>
      </c>
      <c r="C282" s="7" t="s">
        <v>503</v>
      </c>
      <c r="D282" s="2" t="s">
        <v>202</v>
      </c>
      <c r="E282" s="4" t="s">
        <v>203</v>
      </c>
      <c r="F282" s="4">
        <v>28.81</v>
      </c>
      <c r="I282" s="2"/>
      <c r="J282" s="7"/>
      <c r="L282" s="2"/>
      <c r="M282" s="4"/>
      <c r="N282" s="4"/>
    </row>
    <row r="283" spans="1:14" ht="15.75" customHeight="1" x14ac:dyDescent="0.3">
      <c r="A283" s="2" t="s">
        <v>32</v>
      </c>
      <c r="B283" s="2" t="s">
        <v>496</v>
      </c>
      <c r="C283" s="2" t="s">
        <v>503</v>
      </c>
      <c r="D283" s="2" t="s">
        <v>204</v>
      </c>
      <c r="E283" s="4" t="s">
        <v>205</v>
      </c>
      <c r="F283" s="4">
        <v>12.23</v>
      </c>
      <c r="I283" s="2"/>
      <c r="J283" s="2"/>
      <c r="L283" s="2"/>
      <c r="M283" s="4"/>
      <c r="N283" s="4"/>
    </row>
    <row r="284" spans="1:14" ht="15.75" customHeight="1" x14ac:dyDescent="0.3">
      <c r="A284" s="2" t="s">
        <v>32</v>
      </c>
      <c r="B284" s="7"/>
      <c r="C284" s="7" t="s">
        <v>501</v>
      </c>
      <c r="D284" s="2" t="s">
        <v>206</v>
      </c>
      <c r="E284" s="4" t="s">
        <v>207</v>
      </c>
      <c r="F284" s="4">
        <v>18.7</v>
      </c>
      <c r="I284" s="2"/>
      <c r="J284" s="7"/>
      <c r="L284" s="2"/>
      <c r="M284" s="4"/>
      <c r="N284" s="4"/>
    </row>
    <row r="285" spans="1:14" ht="15.75" customHeight="1" x14ac:dyDescent="0.3">
      <c r="A285" s="2" t="s">
        <v>32</v>
      </c>
      <c r="B285" s="7" t="s">
        <v>498</v>
      </c>
      <c r="C285" s="7" t="s">
        <v>497</v>
      </c>
      <c r="D285" s="2" t="s">
        <v>208</v>
      </c>
      <c r="E285" s="4" t="s">
        <v>209</v>
      </c>
      <c r="F285" s="4">
        <v>19.14</v>
      </c>
      <c r="I285" s="2"/>
      <c r="J285" s="7"/>
      <c r="L285" s="2"/>
      <c r="M285" s="4"/>
      <c r="N285" s="4"/>
    </row>
    <row r="286" spans="1:14" ht="15.75" customHeight="1" x14ac:dyDescent="0.3">
      <c r="A286" s="2" t="s">
        <v>32</v>
      </c>
      <c r="B286" s="2" t="s">
        <v>496</v>
      </c>
      <c r="C286" s="7" t="s">
        <v>497</v>
      </c>
      <c r="D286" s="2" t="s">
        <v>210</v>
      </c>
      <c r="E286" s="4" t="s">
        <v>211</v>
      </c>
      <c r="F286" s="4">
        <v>13.6</v>
      </c>
      <c r="I286" s="2"/>
      <c r="J286" s="2"/>
      <c r="L286" s="2"/>
      <c r="M286" s="4"/>
      <c r="N286" s="4"/>
    </row>
    <row r="287" spans="1:14" ht="15.75" customHeight="1" x14ac:dyDescent="0.3">
      <c r="A287" s="2" t="s">
        <v>32</v>
      </c>
      <c r="B287" s="7" t="s">
        <v>498</v>
      </c>
      <c r="C287" s="7" t="s">
        <v>514</v>
      </c>
      <c r="D287" s="2" t="s">
        <v>96</v>
      </c>
      <c r="E287" s="4" t="s">
        <v>212</v>
      </c>
      <c r="F287" s="4">
        <v>44.14</v>
      </c>
      <c r="I287" s="2"/>
      <c r="J287" s="7"/>
      <c r="L287" s="2"/>
      <c r="M287" s="4"/>
      <c r="N287" s="4"/>
    </row>
    <row r="288" spans="1:14" ht="15.75" customHeight="1" x14ac:dyDescent="0.3">
      <c r="A288" s="2" t="s">
        <v>32</v>
      </c>
      <c r="B288" s="7" t="s">
        <v>499</v>
      </c>
      <c r="C288" s="7"/>
      <c r="D288" s="2" t="s">
        <v>98</v>
      </c>
      <c r="E288" s="4" t="s">
        <v>217</v>
      </c>
      <c r="F288" s="4">
        <v>13.63</v>
      </c>
      <c r="I288" s="2"/>
      <c r="J288" s="2"/>
      <c r="L288" s="2"/>
      <c r="M288" s="4"/>
      <c r="N288" s="4"/>
    </row>
    <row r="289" spans="1:14" ht="15.75" customHeight="1" x14ac:dyDescent="0.3">
      <c r="A289" s="2" t="s">
        <v>32</v>
      </c>
      <c r="B289" s="7" t="s">
        <v>499</v>
      </c>
      <c r="C289" s="7"/>
      <c r="D289" s="2" t="s">
        <v>100</v>
      </c>
      <c r="E289" s="4" t="s">
        <v>218</v>
      </c>
      <c r="F289" s="4">
        <v>2.25</v>
      </c>
      <c r="I289" s="2"/>
      <c r="J289" s="7"/>
      <c r="L289" s="2"/>
      <c r="M289" s="4"/>
      <c r="N289" s="4"/>
    </row>
    <row r="290" spans="1:14" ht="15.75" customHeight="1" x14ac:dyDescent="0.3">
      <c r="A290" s="2" t="s">
        <v>32</v>
      </c>
      <c r="B290" s="7" t="s">
        <v>499</v>
      </c>
      <c r="C290" s="7"/>
      <c r="D290" s="2" t="s">
        <v>102</v>
      </c>
      <c r="E290" s="4" t="s">
        <v>125</v>
      </c>
      <c r="F290" s="4">
        <v>53.27</v>
      </c>
      <c r="I290" s="2"/>
      <c r="J290" s="2"/>
      <c r="L290" s="2"/>
      <c r="M290" s="4"/>
      <c r="N290" s="4"/>
    </row>
    <row r="291" spans="1:14" ht="15.75" customHeight="1" x14ac:dyDescent="0.3">
      <c r="A291" s="2" t="s">
        <v>33</v>
      </c>
      <c r="B291" s="2"/>
      <c r="C291" s="2"/>
      <c r="D291" s="2" t="s">
        <v>5</v>
      </c>
      <c r="E291" s="4" t="s">
        <v>5</v>
      </c>
      <c r="F291" s="4" t="s">
        <v>5</v>
      </c>
      <c r="I291" s="2"/>
      <c r="J291" s="7"/>
      <c r="L291" s="2"/>
      <c r="M291" s="4"/>
      <c r="N291" s="4"/>
    </row>
    <row r="292" spans="1:14" ht="15.75" customHeight="1" x14ac:dyDescent="0.3">
      <c r="A292" s="2" t="s">
        <v>33</v>
      </c>
      <c r="B292" s="7"/>
      <c r="C292" s="7" t="s">
        <v>501</v>
      </c>
      <c r="D292" s="2" t="s">
        <v>191</v>
      </c>
      <c r="E292" s="4" t="s">
        <v>192</v>
      </c>
      <c r="F292" s="4">
        <v>381.45</v>
      </c>
      <c r="I292" s="2"/>
      <c r="J292" s="7"/>
      <c r="L292" s="2"/>
      <c r="M292" s="4"/>
      <c r="N292" s="4"/>
    </row>
    <row r="293" spans="1:14" ht="15.75" customHeight="1" x14ac:dyDescent="0.3">
      <c r="A293" s="2" t="s">
        <v>33</v>
      </c>
      <c r="B293" s="7" t="s">
        <v>498</v>
      </c>
      <c r="C293" s="7" t="s">
        <v>497</v>
      </c>
      <c r="D293" s="2" t="s">
        <v>193</v>
      </c>
      <c r="E293" s="4" t="s">
        <v>194</v>
      </c>
      <c r="F293" s="4">
        <v>124.5</v>
      </c>
      <c r="I293" s="2"/>
      <c r="J293" s="2"/>
      <c r="L293" s="2"/>
      <c r="M293" s="4"/>
      <c r="N293" s="4"/>
    </row>
    <row r="294" spans="1:14" ht="15.75" customHeight="1" x14ac:dyDescent="0.3">
      <c r="A294" s="2" t="s">
        <v>33</v>
      </c>
      <c r="B294" s="2" t="s">
        <v>496</v>
      </c>
      <c r="C294" s="7" t="s">
        <v>497</v>
      </c>
      <c r="D294" s="2" t="s">
        <v>195</v>
      </c>
      <c r="E294" s="4" t="s">
        <v>196</v>
      </c>
      <c r="F294" s="4">
        <v>55.04</v>
      </c>
      <c r="I294" s="2"/>
      <c r="J294" s="7"/>
      <c r="L294" s="2"/>
      <c r="M294" s="4"/>
      <c r="N294" s="4"/>
    </row>
    <row r="295" spans="1:14" ht="15.75" customHeight="1" x14ac:dyDescent="0.3">
      <c r="A295" s="2" t="s">
        <v>33</v>
      </c>
      <c r="B295" s="7" t="s">
        <v>498</v>
      </c>
      <c r="C295" s="7" t="s">
        <v>497</v>
      </c>
      <c r="D295" s="2" t="s">
        <v>72</v>
      </c>
      <c r="E295" s="4" t="s">
        <v>215</v>
      </c>
      <c r="F295" s="4">
        <v>25.77</v>
      </c>
      <c r="I295" s="2"/>
      <c r="J295" s="7"/>
      <c r="L295" s="2"/>
      <c r="M295" s="4"/>
      <c r="N295" s="4"/>
    </row>
    <row r="296" spans="1:14" ht="15.75" customHeight="1" x14ac:dyDescent="0.3">
      <c r="A296" s="2" t="s">
        <v>33</v>
      </c>
      <c r="B296" s="2" t="s">
        <v>496</v>
      </c>
      <c r="C296" s="7" t="s">
        <v>497</v>
      </c>
      <c r="D296" s="2" t="s">
        <v>114</v>
      </c>
      <c r="E296" s="4" t="s">
        <v>216</v>
      </c>
      <c r="F296" s="4">
        <v>1.47</v>
      </c>
      <c r="I296" s="2"/>
      <c r="J296" s="2"/>
      <c r="L296" s="2"/>
      <c r="M296" s="4"/>
      <c r="N296" s="4"/>
    </row>
    <row r="297" spans="1:14" ht="15.75" customHeight="1" x14ac:dyDescent="0.3">
      <c r="A297" s="2" t="s">
        <v>33</v>
      </c>
      <c r="B297" s="7" t="s">
        <v>498</v>
      </c>
      <c r="C297" s="7" t="s">
        <v>502</v>
      </c>
      <c r="D297" s="2" t="s">
        <v>74</v>
      </c>
      <c r="E297" s="4" t="s">
        <v>75</v>
      </c>
      <c r="F297" s="4">
        <v>6.17</v>
      </c>
      <c r="I297" s="2"/>
      <c r="J297" s="7"/>
      <c r="L297" s="2"/>
      <c r="M297" s="4"/>
      <c r="N297" s="4"/>
    </row>
    <row r="298" spans="1:14" ht="15.75" customHeight="1" x14ac:dyDescent="0.3">
      <c r="A298" s="2" t="s">
        <v>33</v>
      </c>
      <c r="B298" s="2" t="s">
        <v>496</v>
      </c>
      <c r="C298" s="2" t="s">
        <v>502</v>
      </c>
      <c r="D298" s="2" t="s">
        <v>76</v>
      </c>
      <c r="E298" s="4" t="s">
        <v>135</v>
      </c>
      <c r="F298" s="4">
        <v>8.74</v>
      </c>
      <c r="I298" s="2"/>
      <c r="J298" s="7"/>
      <c r="L298" s="2"/>
      <c r="M298" s="4"/>
      <c r="N298" s="4"/>
    </row>
    <row r="299" spans="1:14" ht="15.75" customHeight="1" x14ac:dyDescent="0.3">
      <c r="A299" s="2" t="s">
        <v>33</v>
      </c>
      <c r="B299" s="7"/>
      <c r="C299" s="7" t="s">
        <v>504</v>
      </c>
      <c r="D299" s="2" t="s">
        <v>200</v>
      </c>
      <c r="E299" s="4" t="s">
        <v>201</v>
      </c>
      <c r="F299" s="4">
        <v>125.8</v>
      </c>
      <c r="I299" s="2"/>
      <c r="J299" s="7"/>
      <c r="L299" s="2"/>
      <c r="M299" s="4"/>
      <c r="N299" s="4"/>
    </row>
    <row r="300" spans="1:14" ht="15.75" customHeight="1" x14ac:dyDescent="0.3">
      <c r="A300" s="2" t="s">
        <v>33</v>
      </c>
      <c r="B300" s="7" t="s">
        <v>498</v>
      </c>
      <c r="C300" s="7" t="s">
        <v>503</v>
      </c>
      <c r="D300" s="2" t="s">
        <v>202</v>
      </c>
      <c r="E300" s="4" t="s">
        <v>203</v>
      </c>
      <c r="F300" s="4">
        <v>28.81</v>
      </c>
      <c r="I300" s="2"/>
      <c r="J300" s="7"/>
      <c r="L300" s="2"/>
      <c r="M300" s="4"/>
      <c r="N300" s="4"/>
    </row>
    <row r="301" spans="1:14" ht="15.75" customHeight="1" x14ac:dyDescent="0.3">
      <c r="A301" s="2" t="s">
        <v>33</v>
      </c>
      <c r="B301" s="2" t="s">
        <v>496</v>
      </c>
      <c r="C301" s="2" t="s">
        <v>503</v>
      </c>
      <c r="D301" s="2" t="s">
        <v>204</v>
      </c>
      <c r="E301" s="4" t="s">
        <v>205</v>
      </c>
      <c r="F301" s="4">
        <v>12.23</v>
      </c>
      <c r="I301" s="2"/>
      <c r="J301" s="2"/>
      <c r="L301" s="2"/>
      <c r="M301" s="4"/>
      <c r="N301" s="4"/>
    </row>
    <row r="302" spans="1:14" ht="15.75" customHeight="1" x14ac:dyDescent="0.3">
      <c r="A302" s="2" t="s">
        <v>33</v>
      </c>
      <c r="B302" s="7"/>
      <c r="C302" s="7" t="s">
        <v>501</v>
      </c>
      <c r="D302" s="2" t="s">
        <v>206</v>
      </c>
      <c r="E302" s="4" t="s">
        <v>207</v>
      </c>
      <c r="F302" s="4">
        <v>18.7</v>
      </c>
      <c r="I302" s="2"/>
      <c r="J302" s="7"/>
      <c r="L302" s="2"/>
      <c r="M302" s="4"/>
      <c r="N302" s="4"/>
    </row>
    <row r="303" spans="1:14" ht="15.75" customHeight="1" x14ac:dyDescent="0.3">
      <c r="A303" s="2" t="s">
        <v>33</v>
      </c>
      <c r="B303" s="7" t="s">
        <v>498</v>
      </c>
      <c r="C303" s="7" t="s">
        <v>497</v>
      </c>
      <c r="D303" s="2" t="s">
        <v>208</v>
      </c>
      <c r="E303" s="4" t="s">
        <v>209</v>
      </c>
      <c r="F303" s="4">
        <v>19.14</v>
      </c>
      <c r="I303" s="2"/>
      <c r="J303" s="7"/>
      <c r="L303" s="2"/>
      <c r="M303" s="4"/>
      <c r="N303" s="4"/>
    </row>
    <row r="304" spans="1:14" ht="15.75" customHeight="1" x14ac:dyDescent="0.3">
      <c r="A304" s="2" t="s">
        <v>33</v>
      </c>
      <c r="B304" s="2" t="s">
        <v>496</v>
      </c>
      <c r="C304" s="7" t="s">
        <v>497</v>
      </c>
      <c r="D304" s="2" t="s">
        <v>210</v>
      </c>
      <c r="E304" s="4" t="s">
        <v>211</v>
      </c>
      <c r="F304" s="4">
        <v>13.6</v>
      </c>
      <c r="I304" s="2"/>
      <c r="J304" s="2"/>
      <c r="L304" s="2"/>
      <c r="M304" s="4"/>
      <c r="N304" s="4"/>
    </row>
    <row r="305" spans="1:14" ht="15.75" customHeight="1" x14ac:dyDescent="0.3">
      <c r="A305" s="2" t="s">
        <v>33</v>
      </c>
      <c r="B305" s="7" t="s">
        <v>498</v>
      </c>
      <c r="C305" s="7" t="s">
        <v>514</v>
      </c>
      <c r="D305" s="2" t="s">
        <v>96</v>
      </c>
      <c r="E305" s="4" t="s">
        <v>212</v>
      </c>
      <c r="F305" s="4">
        <v>44.14</v>
      </c>
      <c r="I305" s="2"/>
      <c r="J305" s="7"/>
      <c r="L305" s="2"/>
      <c r="M305" s="4"/>
      <c r="N305" s="4"/>
    </row>
    <row r="306" spans="1:14" ht="15.75" customHeight="1" x14ac:dyDescent="0.3">
      <c r="A306" s="2" t="s">
        <v>33</v>
      </c>
      <c r="B306" s="7" t="s">
        <v>499</v>
      </c>
      <c r="C306" s="7"/>
      <c r="D306" s="2" t="s">
        <v>98</v>
      </c>
      <c r="E306" s="4" t="s">
        <v>217</v>
      </c>
      <c r="F306" s="4">
        <v>13.63</v>
      </c>
      <c r="I306" s="2"/>
      <c r="J306" s="2"/>
      <c r="L306" s="2"/>
      <c r="M306" s="4"/>
      <c r="N306" s="4"/>
    </row>
    <row r="307" spans="1:14" ht="15.75" customHeight="1" x14ac:dyDescent="0.3">
      <c r="A307" s="2" t="s">
        <v>33</v>
      </c>
      <c r="B307" s="7" t="s">
        <v>499</v>
      </c>
      <c r="C307" s="7"/>
      <c r="D307" s="2" t="s">
        <v>100</v>
      </c>
      <c r="E307" s="4" t="s">
        <v>218</v>
      </c>
      <c r="F307" s="4">
        <v>2.25</v>
      </c>
      <c r="I307" s="2"/>
      <c r="J307" s="7"/>
      <c r="L307" s="2"/>
      <c r="M307" s="4"/>
      <c r="N307" s="4"/>
    </row>
    <row r="308" spans="1:14" ht="15.75" customHeight="1" x14ac:dyDescent="0.3">
      <c r="A308" s="2" t="s">
        <v>33</v>
      </c>
      <c r="B308" s="7" t="s">
        <v>499</v>
      </c>
      <c r="C308" s="7"/>
      <c r="D308" s="2" t="s">
        <v>102</v>
      </c>
      <c r="E308" s="4" t="s">
        <v>125</v>
      </c>
      <c r="F308" s="4">
        <v>53.27</v>
      </c>
      <c r="I308" s="2"/>
      <c r="J308" s="2"/>
      <c r="L308" s="2"/>
      <c r="M308" s="4"/>
      <c r="N308" s="4"/>
    </row>
    <row r="309" spans="1:14" ht="15.75" customHeight="1" x14ac:dyDescent="0.3">
      <c r="A309" s="2" t="s">
        <v>34</v>
      </c>
      <c r="B309" s="2"/>
      <c r="C309" s="2"/>
      <c r="D309" s="2" t="s">
        <v>5</v>
      </c>
      <c r="E309" s="4" t="s">
        <v>5</v>
      </c>
      <c r="F309" s="4" t="s">
        <v>5</v>
      </c>
      <c r="I309" s="2"/>
      <c r="J309" s="7"/>
      <c r="L309" s="2"/>
      <c r="M309" s="4"/>
      <c r="N309" s="4"/>
    </row>
    <row r="310" spans="1:14" ht="15.75" customHeight="1" x14ac:dyDescent="0.3">
      <c r="A310" s="2" t="s">
        <v>34</v>
      </c>
      <c r="B310" s="7"/>
      <c r="C310" s="7" t="s">
        <v>501</v>
      </c>
      <c r="D310" s="2" t="s">
        <v>191</v>
      </c>
      <c r="E310" s="4" t="s">
        <v>192</v>
      </c>
      <c r="F310" s="4">
        <v>381.45</v>
      </c>
      <c r="I310" s="2"/>
      <c r="J310" s="7"/>
      <c r="L310" s="2"/>
      <c r="M310" s="4"/>
      <c r="N310" s="4"/>
    </row>
    <row r="311" spans="1:14" ht="15.75" customHeight="1" x14ac:dyDescent="0.3">
      <c r="A311" s="2" t="s">
        <v>34</v>
      </c>
      <c r="B311" s="7" t="s">
        <v>498</v>
      </c>
      <c r="C311" s="7" t="s">
        <v>497</v>
      </c>
      <c r="D311" s="2" t="s">
        <v>193</v>
      </c>
      <c r="E311" s="4" t="s">
        <v>194</v>
      </c>
      <c r="F311" s="4">
        <v>124.5</v>
      </c>
      <c r="I311" s="2"/>
      <c r="J311" s="2"/>
      <c r="L311" s="2"/>
      <c r="M311" s="4"/>
      <c r="N311" s="4"/>
    </row>
    <row r="312" spans="1:14" ht="15.75" customHeight="1" x14ac:dyDescent="0.3">
      <c r="A312" s="2" t="s">
        <v>34</v>
      </c>
      <c r="B312" s="2" t="s">
        <v>496</v>
      </c>
      <c r="C312" s="7" t="s">
        <v>497</v>
      </c>
      <c r="D312" s="2" t="s">
        <v>195</v>
      </c>
      <c r="E312" s="4" t="s">
        <v>196</v>
      </c>
      <c r="F312" s="4">
        <v>55.04</v>
      </c>
      <c r="I312" s="2"/>
      <c r="J312" s="7"/>
      <c r="L312" s="2"/>
      <c r="M312" s="4"/>
      <c r="N312" s="4"/>
    </row>
    <row r="313" spans="1:14" ht="15.75" customHeight="1" x14ac:dyDescent="0.3">
      <c r="A313" s="2" t="s">
        <v>34</v>
      </c>
      <c r="B313" s="7" t="s">
        <v>498</v>
      </c>
      <c r="C313" s="7" t="s">
        <v>497</v>
      </c>
      <c r="D313" s="2" t="s">
        <v>72</v>
      </c>
      <c r="E313" s="4" t="s">
        <v>215</v>
      </c>
      <c r="F313" s="4">
        <v>25.77</v>
      </c>
      <c r="I313" s="2"/>
      <c r="J313" s="7"/>
      <c r="L313" s="2"/>
      <c r="M313" s="4"/>
      <c r="N313" s="4"/>
    </row>
    <row r="314" spans="1:14" ht="15.75" customHeight="1" x14ac:dyDescent="0.3">
      <c r="A314" s="2" t="s">
        <v>34</v>
      </c>
      <c r="B314" s="2" t="s">
        <v>496</v>
      </c>
      <c r="C314" s="7" t="s">
        <v>497</v>
      </c>
      <c r="D314" s="2" t="s">
        <v>114</v>
      </c>
      <c r="E314" s="4" t="s">
        <v>216</v>
      </c>
      <c r="F314" s="4">
        <v>1.47</v>
      </c>
      <c r="I314" s="2"/>
      <c r="J314" s="2"/>
      <c r="L314" s="2"/>
      <c r="M314" s="4"/>
      <c r="N314" s="4"/>
    </row>
    <row r="315" spans="1:14" ht="15.75" customHeight="1" x14ac:dyDescent="0.3">
      <c r="A315" s="2" t="s">
        <v>34</v>
      </c>
      <c r="B315" s="7" t="s">
        <v>498</v>
      </c>
      <c r="C315" s="7" t="s">
        <v>502</v>
      </c>
      <c r="D315" s="2" t="s">
        <v>74</v>
      </c>
      <c r="E315" s="4" t="s">
        <v>75</v>
      </c>
      <c r="F315" s="4">
        <v>6.17</v>
      </c>
      <c r="I315" s="2"/>
      <c r="J315" s="7"/>
      <c r="L315" s="2"/>
      <c r="M315" s="4"/>
      <c r="N315" s="4"/>
    </row>
    <row r="316" spans="1:14" ht="15.75" customHeight="1" x14ac:dyDescent="0.3">
      <c r="A316" s="2" t="s">
        <v>34</v>
      </c>
      <c r="B316" s="2" t="s">
        <v>496</v>
      </c>
      <c r="C316" s="2" t="s">
        <v>502</v>
      </c>
      <c r="D316" s="2" t="s">
        <v>76</v>
      </c>
      <c r="E316" s="4" t="s">
        <v>135</v>
      </c>
      <c r="F316" s="4">
        <v>8.74</v>
      </c>
      <c r="I316" s="2"/>
      <c r="J316" s="7"/>
      <c r="L316" s="2"/>
      <c r="M316" s="4"/>
      <c r="N316" s="4"/>
    </row>
    <row r="317" spans="1:14" ht="15.75" customHeight="1" x14ac:dyDescent="0.3">
      <c r="A317" s="2" t="s">
        <v>34</v>
      </c>
      <c r="B317" s="7"/>
      <c r="C317" s="7" t="s">
        <v>504</v>
      </c>
      <c r="D317" s="2" t="s">
        <v>200</v>
      </c>
      <c r="E317" s="4" t="s">
        <v>201</v>
      </c>
      <c r="F317" s="4">
        <v>125.8</v>
      </c>
      <c r="I317" s="2"/>
      <c r="J317" s="7"/>
      <c r="L317" s="2"/>
      <c r="M317" s="4"/>
      <c r="N317" s="4"/>
    </row>
    <row r="318" spans="1:14" ht="15.75" customHeight="1" x14ac:dyDescent="0.3">
      <c r="A318" s="2" t="s">
        <v>34</v>
      </c>
      <c r="B318" s="7" t="s">
        <v>498</v>
      </c>
      <c r="C318" s="7" t="s">
        <v>503</v>
      </c>
      <c r="D318" s="2" t="s">
        <v>202</v>
      </c>
      <c r="E318" s="4" t="s">
        <v>203</v>
      </c>
      <c r="F318" s="4">
        <v>28.81</v>
      </c>
      <c r="I318" s="2"/>
      <c r="J318" s="7"/>
      <c r="L318" s="2"/>
      <c r="M318" s="4"/>
      <c r="N318" s="4"/>
    </row>
    <row r="319" spans="1:14" ht="15.75" customHeight="1" x14ac:dyDescent="0.3">
      <c r="A319" s="2" t="s">
        <v>34</v>
      </c>
      <c r="B319" s="2" t="s">
        <v>496</v>
      </c>
      <c r="C319" s="2" t="s">
        <v>503</v>
      </c>
      <c r="D319" s="2" t="s">
        <v>204</v>
      </c>
      <c r="E319" s="4" t="s">
        <v>205</v>
      </c>
      <c r="F319" s="4">
        <v>12.23</v>
      </c>
      <c r="I319" s="2"/>
      <c r="J319" s="2"/>
      <c r="L319" s="2"/>
      <c r="M319" s="4"/>
      <c r="N319" s="4"/>
    </row>
    <row r="320" spans="1:14" ht="15.75" customHeight="1" x14ac:dyDescent="0.3">
      <c r="A320" s="2" t="s">
        <v>34</v>
      </c>
      <c r="B320" s="7"/>
      <c r="C320" s="7" t="s">
        <v>501</v>
      </c>
      <c r="D320" s="2" t="s">
        <v>206</v>
      </c>
      <c r="E320" s="4" t="s">
        <v>207</v>
      </c>
      <c r="F320" s="4">
        <v>18.7</v>
      </c>
      <c r="I320" s="2"/>
      <c r="J320" s="7"/>
      <c r="L320" s="2"/>
      <c r="M320" s="4"/>
      <c r="N320" s="4"/>
    </row>
    <row r="321" spans="1:14" ht="15.75" customHeight="1" x14ac:dyDescent="0.3">
      <c r="A321" s="2" t="s">
        <v>34</v>
      </c>
      <c r="B321" s="7" t="s">
        <v>498</v>
      </c>
      <c r="C321" s="7" t="s">
        <v>497</v>
      </c>
      <c r="D321" s="2" t="s">
        <v>208</v>
      </c>
      <c r="E321" s="4" t="s">
        <v>209</v>
      </c>
      <c r="F321" s="4">
        <v>19.14</v>
      </c>
      <c r="I321" s="2"/>
      <c r="J321" s="7"/>
      <c r="L321" s="2"/>
      <c r="M321" s="4"/>
      <c r="N321" s="4"/>
    </row>
    <row r="322" spans="1:14" ht="15.75" customHeight="1" x14ac:dyDescent="0.3">
      <c r="A322" s="2" t="s">
        <v>34</v>
      </c>
      <c r="B322" s="2" t="s">
        <v>496</v>
      </c>
      <c r="C322" s="7" t="s">
        <v>497</v>
      </c>
      <c r="D322" s="2" t="s">
        <v>210</v>
      </c>
      <c r="E322" s="4" t="s">
        <v>211</v>
      </c>
      <c r="F322" s="4">
        <v>13.6</v>
      </c>
      <c r="I322" s="2"/>
      <c r="J322" s="2"/>
      <c r="L322" s="2"/>
      <c r="M322" s="4"/>
      <c r="N322" s="4"/>
    </row>
    <row r="323" spans="1:14" ht="15.75" customHeight="1" x14ac:dyDescent="0.3">
      <c r="A323" s="2" t="s">
        <v>34</v>
      </c>
      <c r="B323" s="7" t="s">
        <v>498</v>
      </c>
      <c r="C323" s="7" t="s">
        <v>514</v>
      </c>
      <c r="D323" s="2" t="s">
        <v>96</v>
      </c>
      <c r="E323" s="4" t="s">
        <v>212</v>
      </c>
      <c r="F323" s="4">
        <v>44.14</v>
      </c>
      <c r="I323" s="2"/>
      <c r="J323" s="7"/>
      <c r="L323" s="2"/>
      <c r="M323" s="4"/>
      <c r="N323" s="4"/>
    </row>
    <row r="324" spans="1:14" ht="15.75" customHeight="1" x14ac:dyDescent="0.3">
      <c r="A324" s="2" t="s">
        <v>34</v>
      </c>
      <c r="B324" s="7" t="s">
        <v>499</v>
      </c>
      <c r="C324" s="7"/>
      <c r="D324" s="2" t="s">
        <v>98</v>
      </c>
      <c r="E324" s="4" t="s">
        <v>217</v>
      </c>
      <c r="F324" s="4">
        <v>13.63</v>
      </c>
      <c r="I324" s="2"/>
      <c r="J324" s="2"/>
      <c r="L324" s="2"/>
      <c r="M324" s="4"/>
      <c r="N324" s="4"/>
    </row>
    <row r="325" spans="1:14" ht="15.75" customHeight="1" x14ac:dyDescent="0.3">
      <c r="A325" s="2" t="s">
        <v>34</v>
      </c>
      <c r="B325" s="7" t="s">
        <v>499</v>
      </c>
      <c r="C325" s="7"/>
      <c r="D325" s="2" t="s">
        <v>100</v>
      </c>
      <c r="E325" s="4" t="s">
        <v>218</v>
      </c>
      <c r="F325" s="4">
        <v>2.25</v>
      </c>
      <c r="I325" s="2"/>
      <c r="J325" s="7"/>
      <c r="L325" s="2"/>
      <c r="M325" s="4"/>
      <c r="N325" s="4"/>
    </row>
    <row r="326" spans="1:14" ht="15.75" customHeight="1" x14ac:dyDescent="0.3">
      <c r="A326" s="2" t="s">
        <v>34</v>
      </c>
      <c r="B326" s="7" t="s">
        <v>499</v>
      </c>
      <c r="C326" s="7"/>
      <c r="D326" s="2" t="s">
        <v>102</v>
      </c>
      <c r="E326" s="4" t="s">
        <v>125</v>
      </c>
      <c r="F326" s="4">
        <v>53.27</v>
      </c>
      <c r="I326" s="2"/>
      <c r="J326" s="2"/>
      <c r="L326" s="2"/>
      <c r="M326" s="4"/>
      <c r="N326" s="4"/>
    </row>
    <row r="327" spans="1:14" ht="15.75" customHeight="1" x14ac:dyDescent="0.3">
      <c r="A327" s="2" t="s">
        <v>35</v>
      </c>
      <c r="B327" s="2"/>
      <c r="C327" s="2"/>
      <c r="D327" s="2" t="s">
        <v>5</v>
      </c>
      <c r="E327" s="4" t="s">
        <v>5</v>
      </c>
      <c r="F327" s="4" t="s">
        <v>5</v>
      </c>
      <c r="I327" s="2"/>
      <c r="J327" s="7"/>
      <c r="L327" s="2"/>
      <c r="M327" s="4"/>
      <c r="N327" s="4"/>
    </row>
    <row r="328" spans="1:14" ht="15.75" customHeight="1" x14ac:dyDescent="0.3">
      <c r="A328" s="2" t="s">
        <v>35</v>
      </c>
      <c r="B328" s="7"/>
      <c r="C328" s="7" t="s">
        <v>501</v>
      </c>
      <c r="D328" s="2" t="s">
        <v>191</v>
      </c>
      <c r="E328" s="4" t="s">
        <v>192</v>
      </c>
      <c r="F328" s="4">
        <v>381.45</v>
      </c>
      <c r="I328" s="2"/>
      <c r="J328" s="7"/>
      <c r="L328" s="2"/>
      <c r="M328" s="4"/>
      <c r="N328" s="4"/>
    </row>
    <row r="329" spans="1:14" ht="15.75" customHeight="1" x14ac:dyDescent="0.3">
      <c r="A329" s="2" t="s">
        <v>35</v>
      </c>
      <c r="B329" s="7" t="s">
        <v>498</v>
      </c>
      <c r="C329" s="7" t="s">
        <v>497</v>
      </c>
      <c r="D329" s="2" t="s">
        <v>193</v>
      </c>
      <c r="E329" s="4" t="s">
        <v>194</v>
      </c>
      <c r="F329" s="4">
        <v>124.5</v>
      </c>
      <c r="I329" s="2"/>
      <c r="J329" s="2"/>
      <c r="L329" s="2"/>
      <c r="M329" s="4"/>
      <c r="N329" s="4"/>
    </row>
    <row r="330" spans="1:14" ht="15.75" customHeight="1" x14ac:dyDescent="0.3">
      <c r="A330" s="2" t="s">
        <v>35</v>
      </c>
      <c r="B330" s="2" t="s">
        <v>496</v>
      </c>
      <c r="C330" s="7" t="s">
        <v>497</v>
      </c>
      <c r="D330" s="2" t="s">
        <v>195</v>
      </c>
      <c r="E330" s="4" t="s">
        <v>196</v>
      </c>
      <c r="F330" s="4">
        <v>55.04</v>
      </c>
      <c r="I330" s="2"/>
      <c r="J330" s="7"/>
      <c r="L330" s="2"/>
      <c r="M330" s="4"/>
      <c r="N330" s="4"/>
    </row>
    <row r="331" spans="1:14" ht="15.75" customHeight="1" x14ac:dyDescent="0.3">
      <c r="A331" s="2" t="s">
        <v>35</v>
      </c>
      <c r="B331" s="7" t="s">
        <v>498</v>
      </c>
      <c r="C331" s="7" t="s">
        <v>497</v>
      </c>
      <c r="D331" s="2" t="s">
        <v>72</v>
      </c>
      <c r="E331" s="4" t="s">
        <v>215</v>
      </c>
      <c r="F331" s="4">
        <v>25.77</v>
      </c>
      <c r="I331" s="2"/>
      <c r="J331" s="7"/>
      <c r="L331" s="2"/>
      <c r="M331" s="4"/>
      <c r="N331" s="4"/>
    </row>
    <row r="332" spans="1:14" ht="15.75" customHeight="1" x14ac:dyDescent="0.3">
      <c r="A332" s="2" t="s">
        <v>35</v>
      </c>
      <c r="B332" s="2" t="s">
        <v>496</v>
      </c>
      <c r="C332" s="7" t="s">
        <v>497</v>
      </c>
      <c r="D332" s="2" t="s">
        <v>114</v>
      </c>
      <c r="E332" s="4" t="s">
        <v>216</v>
      </c>
      <c r="F332" s="4">
        <v>1.47</v>
      </c>
      <c r="I332" s="2"/>
      <c r="J332" s="2"/>
      <c r="L332" s="2"/>
      <c r="M332" s="4"/>
      <c r="N332" s="4"/>
    </row>
    <row r="333" spans="1:14" ht="15.75" customHeight="1" x14ac:dyDescent="0.3">
      <c r="A333" s="2" t="s">
        <v>35</v>
      </c>
      <c r="B333" s="7" t="s">
        <v>498</v>
      </c>
      <c r="C333" s="7" t="s">
        <v>502</v>
      </c>
      <c r="D333" s="2" t="s">
        <v>74</v>
      </c>
      <c r="E333" s="4" t="s">
        <v>75</v>
      </c>
      <c r="F333" s="4">
        <v>6.17</v>
      </c>
      <c r="I333" s="2"/>
      <c r="J333" s="7"/>
      <c r="L333" s="2"/>
      <c r="M333" s="4"/>
      <c r="N333" s="4"/>
    </row>
    <row r="334" spans="1:14" ht="15.75" customHeight="1" x14ac:dyDescent="0.3">
      <c r="A334" s="2" t="s">
        <v>35</v>
      </c>
      <c r="B334" s="2" t="s">
        <v>496</v>
      </c>
      <c r="C334" s="2" t="s">
        <v>502</v>
      </c>
      <c r="D334" s="2" t="s">
        <v>76</v>
      </c>
      <c r="E334" s="4" t="s">
        <v>135</v>
      </c>
      <c r="F334" s="4">
        <v>8.74</v>
      </c>
      <c r="I334" s="2"/>
      <c r="J334" s="7"/>
      <c r="L334" s="2"/>
      <c r="M334" s="4"/>
      <c r="N334" s="4"/>
    </row>
    <row r="335" spans="1:14" ht="15.75" customHeight="1" x14ac:dyDescent="0.3">
      <c r="A335" s="2" t="s">
        <v>35</v>
      </c>
      <c r="B335" s="7"/>
      <c r="C335" s="7" t="s">
        <v>504</v>
      </c>
      <c r="D335" s="2" t="s">
        <v>200</v>
      </c>
      <c r="E335" s="4" t="s">
        <v>201</v>
      </c>
      <c r="F335" s="4">
        <v>125.8</v>
      </c>
      <c r="I335" s="2"/>
      <c r="J335" s="7"/>
      <c r="L335" s="2"/>
      <c r="M335" s="4"/>
      <c r="N335" s="4"/>
    </row>
    <row r="336" spans="1:14" ht="15.75" customHeight="1" x14ac:dyDescent="0.3">
      <c r="A336" s="2" t="s">
        <v>35</v>
      </c>
      <c r="B336" s="7" t="s">
        <v>498</v>
      </c>
      <c r="C336" s="7" t="s">
        <v>503</v>
      </c>
      <c r="D336" s="2" t="s">
        <v>202</v>
      </c>
      <c r="E336" s="4" t="s">
        <v>203</v>
      </c>
      <c r="F336" s="4">
        <v>28.81</v>
      </c>
      <c r="I336" s="2"/>
      <c r="J336" s="7"/>
      <c r="L336" s="2"/>
      <c r="M336" s="4"/>
      <c r="N336" s="4"/>
    </row>
    <row r="337" spans="1:14" ht="15.75" customHeight="1" x14ac:dyDescent="0.3">
      <c r="A337" s="2" t="s">
        <v>35</v>
      </c>
      <c r="B337" s="2" t="s">
        <v>496</v>
      </c>
      <c r="C337" s="2" t="s">
        <v>503</v>
      </c>
      <c r="D337" s="2" t="s">
        <v>204</v>
      </c>
      <c r="E337" s="4" t="s">
        <v>205</v>
      </c>
      <c r="F337" s="4">
        <v>12.23</v>
      </c>
      <c r="I337" s="2"/>
      <c r="J337" s="2"/>
      <c r="L337" s="2"/>
      <c r="M337" s="4"/>
      <c r="N337" s="4"/>
    </row>
    <row r="338" spans="1:14" ht="15.75" customHeight="1" x14ac:dyDescent="0.3">
      <c r="A338" s="2" t="s">
        <v>35</v>
      </c>
      <c r="B338" s="7"/>
      <c r="C338" s="7" t="s">
        <v>501</v>
      </c>
      <c r="D338" s="2" t="s">
        <v>206</v>
      </c>
      <c r="E338" s="4" t="s">
        <v>207</v>
      </c>
      <c r="F338" s="4">
        <v>18.7</v>
      </c>
      <c r="I338" s="2"/>
      <c r="J338" s="7"/>
      <c r="L338" s="2"/>
      <c r="M338" s="4"/>
      <c r="N338" s="4"/>
    </row>
    <row r="339" spans="1:14" ht="15.75" customHeight="1" x14ac:dyDescent="0.3">
      <c r="A339" s="2" t="s">
        <v>35</v>
      </c>
      <c r="B339" s="7" t="s">
        <v>498</v>
      </c>
      <c r="C339" s="7" t="s">
        <v>497</v>
      </c>
      <c r="D339" s="2" t="s">
        <v>208</v>
      </c>
      <c r="E339" s="4" t="s">
        <v>209</v>
      </c>
      <c r="F339" s="4">
        <v>19.14</v>
      </c>
      <c r="I339" s="2"/>
      <c r="J339" s="7"/>
      <c r="L339" s="2"/>
      <c r="M339" s="4"/>
      <c r="N339" s="4"/>
    </row>
    <row r="340" spans="1:14" ht="15.75" customHeight="1" x14ac:dyDescent="0.3">
      <c r="A340" s="2" t="s">
        <v>35</v>
      </c>
      <c r="B340" s="2" t="s">
        <v>496</v>
      </c>
      <c r="C340" s="7" t="s">
        <v>497</v>
      </c>
      <c r="D340" s="2" t="s">
        <v>210</v>
      </c>
      <c r="E340" s="4" t="s">
        <v>211</v>
      </c>
      <c r="F340" s="4">
        <v>13.6</v>
      </c>
      <c r="I340" s="2"/>
      <c r="J340" s="2"/>
      <c r="L340" s="2"/>
      <c r="M340" s="4"/>
      <c r="N340" s="4"/>
    </row>
    <row r="341" spans="1:14" ht="15.75" customHeight="1" x14ac:dyDescent="0.3">
      <c r="A341" s="2" t="s">
        <v>35</v>
      </c>
      <c r="B341" s="7" t="s">
        <v>498</v>
      </c>
      <c r="C341" s="7" t="s">
        <v>514</v>
      </c>
      <c r="D341" s="2" t="s">
        <v>96</v>
      </c>
      <c r="E341" s="4" t="s">
        <v>212</v>
      </c>
      <c r="F341" s="4">
        <v>44.14</v>
      </c>
      <c r="I341" s="2"/>
      <c r="J341" s="7"/>
      <c r="L341" s="2"/>
      <c r="M341" s="4"/>
      <c r="N341" s="4"/>
    </row>
    <row r="342" spans="1:14" ht="15.75" customHeight="1" x14ac:dyDescent="0.3">
      <c r="A342" s="2" t="s">
        <v>35</v>
      </c>
      <c r="B342" s="7" t="s">
        <v>499</v>
      </c>
      <c r="C342" s="7"/>
      <c r="D342" s="2" t="s">
        <v>98</v>
      </c>
      <c r="E342" s="4" t="s">
        <v>217</v>
      </c>
      <c r="F342" s="4">
        <v>13.63</v>
      </c>
      <c r="I342" s="2"/>
      <c r="J342" s="2"/>
      <c r="L342" s="2"/>
      <c r="M342" s="4"/>
      <c r="N342" s="4"/>
    </row>
    <row r="343" spans="1:14" ht="15.75" customHeight="1" x14ac:dyDescent="0.3">
      <c r="A343" s="2" t="s">
        <v>35</v>
      </c>
      <c r="B343" s="7" t="s">
        <v>499</v>
      </c>
      <c r="C343" s="7"/>
      <c r="D343" s="2" t="s">
        <v>100</v>
      </c>
      <c r="E343" s="4" t="s">
        <v>218</v>
      </c>
      <c r="F343" s="4">
        <v>2.25</v>
      </c>
      <c r="I343" s="2"/>
      <c r="J343" s="7"/>
      <c r="L343" s="2"/>
      <c r="M343" s="4"/>
      <c r="N343" s="4"/>
    </row>
    <row r="344" spans="1:14" ht="15.75" customHeight="1" x14ac:dyDescent="0.3">
      <c r="A344" s="2" t="s">
        <v>35</v>
      </c>
      <c r="B344" s="7" t="s">
        <v>499</v>
      </c>
      <c r="C344" s="7"/>
      <c r="D344" s="2" t="s">
        <v>102</v>
      </c>
      <c r="E344" s="4" t="s">
        <v>125</v>
      </c>
      <c r="F344" s="4">
        <v>53.27</v>
      </c>
      <c r="I344" s="2"/>
      <c r="J344" s="2"/>
      <c r="L344" s="2"/>
      <c r="M344" s="4"/>
      <c r="N344" s="4"/>
    </row>
    <row r="345" spans="1:14" ht="15.75" customHeight="1" x14ac:dyDescent="0.3">
      <c r="A345" s="2" t="s">
        <v>36</v>
      </c>
      <c r="B345" s="2"/>
      <c r="C345" s="2"/>
      <c r="D345" s="2" t="s">
        <v>5</v>
      </c>
      <c r="E345" s="4" t="s">
        <v>5</v>
      </c>
      <c r="F345" s="4" t="s">
        <v>5</v>
      </c>
      <c r="I345" s="2"/>
      <c r="J345" s="7"/>
      <c r="L345" s="2"/>
      <c r="M345" s="4"/>
      <c r="N345" s="4"/>
    </row>
    <row r="346" spans="1:14" ht="15.75" customHeight="1" x14ac:dyDescent="0.3">
      <c r="A346" s="2" t="s">
        <v>36</v>
      </c>
      <c r="B346" s="7"/>
      <c r="C346" s="7" t="s">
        <v>501</v>
      </c>
      <c r="D346" s="2" t="s">
        <v>191</v>
      </c>
      <c r="E346" s="4" t="s">
        <v>192</v>
      </c>
      <c r="F346" s="4">
        <v>381.45</v>
      </c>
      <c r="I346" s="2"/>
      <c r="J346" s="7"/>
      <c r="L346" s="2"/>
      <c r="M346" s="4"/>
      <c r="N346" s="4"/>
    </row>
    <row r="347" spans="1:14" ht="15.75" customHeight="1" x14ac:dyDescent="0.3">
      <c r="A347" s="2" t="s">
        <v>36</v>
      </c>
      <c r="B347" s="7" t="s">
        <v>498</v>
      </c>
      <c r="C347" s="7" t="s">
        <v>497</v>
      </c>
      <c r="D347" s="2" t="s">
        <v>193</v>
      </c>
      <c r="E347" s="4" t="s">
        <v>194</v>
      </c>
      <c r="F347" s="4">
        <v>124.5</v>
      </c>
      <c r="I347" s="2"/>
      <c r="J347" s="2"/>
      <c r="L347" s="2"/>
      <c r="M347" s="4"/>
      <c r="N347" s="4"/>
    </row>
    <row r="348" spans="1:14" ht="15.75" customHeight="1" x14ac:dyDescent="0.3">
      <c r="A348" s="2" t="s">
        <v>36</v>
      </c>
      <c r="B348" s="2" t="s">
        <v>496</v>
      </c>
      <c r="C348" s="7" t="s">
        <v>497</v>
      </c>
      <c r="D348" s="2" t="s">
        <v>195</v>
      </c>
      <c r="E348" s="4" t="s">
        <v>196</v>
      </c>
      <c r="F348" s="4">
        <v>55.04</v>
      </c>
      <c r="I348" s="2"/>
      <c r="J348" s="7"/>
      <c r="L348" s="2"/>
      <c r="M348" s="4"/>
      <c r="N348" s="4"/>
    </row>
    <row r="349" spans="1:14" ht="15.75" customHeight="1" x14ac:dyDescent="0.3">
      <c r="A349" s="2" t="s">
        <v>36</v>
      </c>
      <c r="B349" s="7" t="s">
        <v>498</v>
      </c>
      <c r="C349" s="7" t="s">
        <v>497</v>
      </c>
      <c r="D349" s="2" t="s">
        <v>72</v>
      </c>
      <c r="E349" s="4" t="s">
        <v>215</v>
      </c>
      <c r="F349" s="4">
        <v>25.77</v>
      </c>
      <c r="I349" s="2"/>
      <c r="J349" s="7"/>
      <c r="L349" s="2"/>
      <c r="M349" s="4"/>
      <c r="N349" s="4"/>
    </row>
    <row r="350" spans="1:14" ht="15.75" customHeight="1" x14ac:dyDescent="0.3">
      <c r="A350" s="2" t="s">
        <v>36</v>
      </c>
      <c r="B350" s="2" t="s">
        <v>496</v>
      </c>
      <c r="C350" s="7" t="s">
        <v>497</v>
      </c>
      <c r="D350" s="2" t="s">
        <v>114</v>
      </c>
      <c r="E350" s="4" t="s">
        <v>216</v>
      </c>
      <c r="F350" s="4">
        <v>1.47</v>
      </c>
      <c r="I350" s="2"/>
      <c r="J350" s="2"/>
      <c r="L350" s="2"/>
      <c r="M350" s="4"/>
      <c r="N350" s="4"/>
    </row>
    <row r="351" spans="1:14" ht="15.75" customHeight="1" x14ac:dyDescent="0.3">
      <c r="A351" s="2" t="s">
        <v>36</v>
      </c>
      <c r="B351" s="7" t="s">
        <v>498</v>
      </c>
      <c r="C351" s="7" t="s">
        <v>502</v>
      </c>
      <c r="D351" s="2" t="s">
        <v>74</v>
      </c>
      <c r="E351" s="4" t="s">
        <v>75</v>
      </c>
      <c r="F351" s="4">
        <v>6.17</v>
      </c>
      <c r="I351" s="2"/>
      <c r="J351" s="7"/>
      <c r="L351" s="2"/>
      <c r="M351" s="4"/>
      <c r="N351" s="4"/>
    </row>
    <row r="352" spans="1:14" ht="15.75" customHeight="1" x14ac:dyDescent="0.3">
      <c r="A352" s="2" t="s">
        <v>36</v>
      </c>
      <c r="B352" s="2" t="s">
        <v>496</v>
      </c>
      <c r="C352" s="2" t="s">
        <v>502</v>
      </c>
      <c r="D352" s="2" t="s">
        <v>76</v>
      </c>
      <c r="E352" s="4" t="s">
        <v>135</v>
      </c>
      <c r="F352" s="4">
        <v>8.74</v>
      </c>
      <c r="I352" s="2"/>
      <c r="J352" s="7"/>
      <c r="L352" s="2"/>
      <c r="M352" s="4"/>
      <c r="N352" s="4"/>
    </row>
    <row r="353" spans="1:14" ht="15.75" customHeight="1" x14ac:dyDescent="0.3">
      <c r="A353" s="2" t="s">
        <v>36</v>
      </c>
      <c r="B353" s="7"/>
      <c r="C353" s="7" t="s">
        <v>504</v>
      </c>
      <c r="D353" s="2" t="s">
        <v>200</v>
      </c>
      <c r="E353" s="4" t="s">
        <v>201</v>
      </c>
      <c r="F353" s="4">
        <v>125.8</v>
      </c>
      <c r="I353" s="2"/>
      <c r="J353" s="7"/>
      <c r="L353" s="2"/>
      <c r="M353" s="4"/>
      <c r="N353" s="4"/>
    </row>
    <row r="354" spans="1:14" ht="15.75" customHeight="1" x14ac:dyDescent="0.3">
      <c r="A354" s="2" t="s">
        <v>36</v>
      </c>
      <c r="B354" s="7" t="s">
        <v>498</v>
      </c>
      <c r="C354" s="7" t="s">
        <v>503</v>
      </c>
      <c r="D354" s="2" t="s">
        <v>202</v>
      </c>
      <c r="E354" s="4" t="s">
        <v>203</v>
      </c>
      <c r="F354" s="4">
        <v>28.81</v>
      </c>
      <c r="I354" s="2"/>
      <c r="J354" s="7"/>
      <c r="L354" s="2"/>
      <c r="M354" s="4"/>
      <c r="N354" s="4"/>
    </row>
    <row r="355" spans="1:14" ht="15.75" customHeight="1" x14ac:dyDescent="0.3">
      <c r="A355" s="2" t="s">
        <v>36</v>
      </c>
      <c r="B355" s="2" t="s">
        <v>496</v>
      </c>
      <c r="C355" s="2" t="s">
        <v>503</v>
      </c>
      <c r="D355" s="2" t="s">
        <v>204</v>
      </c>
      <c r="E355" s="4" t="s">
        <v>205</v>
      </c>
      <c r="F355" s="4">
        <v>12.23</v>
      </c>
      <c r="I355" s="2"/>
      <c r="J355" s="2"/>
      <c r="L355" s="2"/>
      <c r="M355" s="4"/>
      <c r="N355" s="4"/>
    </row>
    <row r="356" spans="1:14" ht="15.75" customHeight="1" x14ac:dyDescent="0.3">
      <c r="A356" s="2" t="s">
        <v>36</v>
      </c>
      <c r="B356" s="7"/>
      <c r="C356" s="7" t="s">
        <v>501</v>
      </c>
      <c r="D356" s="2" t="s">
        <v>206</v>
      </c>
      <c r="E356" s="4" t="s">
        <v>207</v>
      </c>
      <c r="F356" s="4">
        <v>18.7</v>
      </c>
      <c r="I356" s="2"/>
      <c r="J356" s="7"/>
      <c r="L356" s="2"/>
      <c r="M356" s="4"/>
      <c r="N356" s="4"/>
    </row>
    <row r="357" spans="1:14" ht="15.75" customHeight="1" x14ac:dyDescent="0.3">
      <c r="A357" s="2" t="s">
        <v>36</v>
      </c>
      <c r="B357" s="7" t="s">
        <v>498</v>
      </c>
      <c r="C357" s="7" t="s">
        <v>497</v>
      </c>
      <c r="D357" s="2" t="s">
        <v>208</v>
      </c>
      <c r="E357" s="4" t="s">
        <v>209</v>
      </c>
      <c r="F357" s="4">
        <v>19.14</v>
      </c>
      <c r="I357" s="2"/>
      <c r="J357" s="7"/>
      <c r="L357" s="2"/>
      <c r="M357" s="4"/>
      <c r="N357" s="4"/>
    </row>
    <row r="358" spans="1:14" ht="15.75" customHeight="1" x14ac:dyDescent="0.3">
      <c r="A358" s="2" t="s">
        <v>36</v>
      </c>
      <c r="B358" s="2" t="s">
        <v>496</v>
      </c>
      <c r="C358" s="7" t="s">
        <v>497</v>
      </c>
      <c r="D358" s="2" t="s">
        <v>210</v>
      </c>
      <c r="E358" s="4" t="s">
        <v>211</v>
      </c>
      <c r="F358" s="4">
        <v>13.6</v>
      </c>
      <c r="I358" s="2"/>
      <c r="J358" s="2"/>
      <c r="L358" s="2"/>
      <c r="M358" s="4"/>
      <c r="N358" s="4"/>
    </row>
    <row r="359" spans="1:14" ht="15.75" customHeight="1" x14ac:dyDescent="0.3">
      <c r="A359" s="2" t="s">
        <v>36</v>
      </c>
      <c r="B359" s="7" t="s">
        <v>498</v>
      </c>
      <c r="C359" s="7" t="s">
        <v>514</v>
      </c>
      <c r="D359" s="2" t="s">
        <v>96</v>
      </c>
      <c r="E359" s="4" t="s">
        <v>212</v>
      </c>
      <c r="F359" s="4">
        <v>44.14</v>
      </c>
      <c r="I359" s="2"/>
      <c r="J359" s="7"/>
      <c r="L359" s="2"/>
      <c r="M359" s="4"/>
      <c r="N359" s="4"/>
    </row>
    <row r="360" spans="1:14" ht="15.75" customHeight="1" x14ac:dyDescent="0.3">
      <c r="A360" s="2" t="s">
        <v>36</v>
      </c>
      <c r="B360" s="7" t="s">
        <v>499</v>
      </c>
      <c r="C360" s="7"/>
      <c r="D360" s="2" t="s">
        <v>98</v>
      </c>
      <c r="E360" s="4" t="s">
        <v>217</v>
      </c>
      <c r="F360" s="4">
        <v>13.63</v>
      </c>
      <c r="I360" s="2"/>
      <c r="J360" s="2"/>
      <c r="L360" s="2"/>
      <c r="M360" s="4"/>
      <c r="N360" s="4"/>
    </row>
    <row r="361" spans="1:14" ht="15.75" customHeight="1" x14ac:dyDescent="0.3">
      <c r="A361" s="2" t="s">
        <v>36</v>
      </c>
      <c r="B361" s="7" t="s">
        <v>499</v>
      </c>
      <c r="C361" s="7"/>
      <c r="D361" s="2" t="s">
        <v>100</v>
      </c>
      <c r="E361" s="4" t="s">
        <v>218</v>
      </c>
      <c r="F361" s="4">
        <v>2.25</v>
      </c>
      <c r="I361" s="2"/>
      <c r="J361" s="7"/>
      <c r="L361" s="2"/>
      <c r="M361" s="4"/>
      <c r="N361" s="4"/>
    </row>
    <row r="362" spans="1:14" ht="15.75" customHeight="1" x14ac:dyDescent="0.3">
      <c r="A362" s="2" t="s">
        <v>36</v>
      </c>
      <c r="B362" s="7" t="s">
        <v>499</v>
      </c>
      <c r="C362" s="7"/>
      <c r="D362" s="2" t="s">
        <v>102</v>
      </c>
      <c r="E362" s="4" t="s">
        <v>125</v>
      </c>
      <c r="F362" s="4">
        <v>53.27</v>
      </c>
      <c r="I362" s="2"/>
      <c r="J362" s="2"/>
      <c r="L362" s="2"/>
      <c r="M362" s="4"/>
      <c r="N362" s="4"/>
    </row>
    <row r="363" spans="1:14" ht="15.75" customHeight="1" x14ac:dyDescent="0.3">
      <c r="A363" s="2" t="s">
        <v>37</v>
      </c>
      <c r="B363" s="2"/>
      <c r="C363" s="2"/>
      <c r="D363" s="2" t="s">
        <v>5</v>
      </c>
      <c r="E363" s="4" t="s">
        <v>5</v>
      </c>
      <c r="F363" s="4" t="s">
        <v>5</v>
      </c>
      <c r="I363" s="2"/>
      <c r="J363" s="7"/>
      <c r="L363" s="2"/>
      <c r="M363" s="4"/>
      <c r="N363" s="4"/>
    </row>
    <row r="364" spans="1:14" ht="15.75" customHeight="1" x14ac:dyDescent="0.3">
      <c r="A364" s="2" t="s">
        <v>37</v>
      </c>
      <c r="B364" s="7"/>
      <c r="C364" s="7" t="s">
        <v>501</v>
      </c>
      <c r="D364" s="2" t="s">
        <v>191</v>
      </c>
      <c r="E364" s="4" t="s">
        <v>192</v>
      </c>
      <c r="F364" s="4">
        <v>381.45</v>
      </c>
      <c r="I364" s="2"/>
      <c r="J364" s="7"/>
      <c r="L364" s="2"/>
      <c r="M364" s="4"/>
      <c r="N364" s="4"/>
    </row>
    <row r="365" spans="1:14" ht="15.75" customHeight="1" x14ac:dyDescent="0.3">
      <c r="A365" s="2" t="s">
        <v>37</v>
      </c>
      <c r="B365" s="7" t="s">
        <v>498</v>
      </c>
      <c r="C365" s="7" t="s">
        <v>497</v>
      </c>
      <c r="D365" s="2" t="s">
        <v>193</v>
      </c>
      <c r="E365" s="4" t="s">
        <v>194</v>
      </c>
      <c r="F365" s="4">
        <v>124.5</v>
      </c>
      <c r="I365" s="2"/>
      <c r="J365" s="2"/>
      <c r="L365" s="2"/>
      <c r="M365" s="4"/>
      <c r="N365" s="4"/>
    </row>
    <row r="366" spans="1:14" ht="15.75" customHeight="1" x14ac:dyDescent="0.3">
      <c r="A366" s="2" t="s">
        <v>37</v>
      </c>
      <c r="B366" s="2" t="s">
        <v>496</v>
      </c>
      <c r="C366" s="7" t="s">
        <v>497</v>
      </c>
      <c r="D366" s="2" t="s">
        <v>195</v>
      </c>
      <c r="E366" s="4" t="s">
        <v>196</v>
      </c>
      <c r="F366" s="4">
        <v>55.04</v>
      </c>
      <c r="I366" s="2"/>
      <c r="J366" s="7"/>
      <c r="L366" s="2"/>
      <c r="M366" s="4"/>
      <c r="N366" s="4"/>
    </row>
    <row r="367" spans="1:14" ht="15.75" customHeight="1" x14ac:dyDescent="0.3">
      <c r="A367" s="2" t="s">
        <v>37</v>
      </c>
      <c r="B367" s="7" t="s">
        <v>498</v>
      </c>
      <c r="C367" s="7" t="s">
        <v>497</v>
      </c>
      <c r="D367" s="2" t="s">
        <v>72</v>
      </c>
      <c r="E367" s="4" t="s">
        <v>215</v>
      </c>
      <c r="F367" s="4">
        <v>25.77</v>
      </c>
      <c r="I367" s="2"/>
      <c r="J367" s="7"/>
      <c r="L367" s="2"/>
      <c r="M367" s="4"/>
      <c r="N367" s="4"/>
    </row>
    <row r="368" spans="1:14" ht="15.75" customHeight="1" x14ac:dyDescent="0.3">
      <c r="A368" s="2" t="s">
        <v>37</v>
      </c>
      <c r="B368" s="2" t="s">
        <v>496</v>
      </c>
      <c r="C368" s="7" t="s">
        <v>497</v>
      </c>
      <c r="D368" s="2" t="s">
        <v>114</v>
      </c>
      <c r="E368" s="4" t="s">
        <v>216</v>
      </c>
      <c r="F368" s="4">
        <v>1.47</v>
      </c>
      <c r="I368" s="2"/>
      <c r="J368" s="2"/>
      <c r="L368" s="2"/>
      <c r="M368" s="4"/>
      <c r="N368" s="4"/>
    </row>
    <row r="369" spans="1:14" ht="15.75" customHeight="1" x14ac:dyDescent="0.3">
      <c r="A369" s="2" t="s">
        <v>37</v>
      </c>
      <c r="B369" s="7" t="s">
        <v>498</v>
      </c>
      <c r="C369" s="7" t="s">
        <v>502</v>
      </c>
      <c r="D369" s="2" t="s">
        <v>74</v>
      </c>
      <c r="E369" s="4" t="s">
        <v>75</v>
      </c>
      <c r="F369" s="4">
        <v>6.17</v>
      </c>
      <c r="I369" s="2"/>
      <c r="J369" s="7"/>
      <c r="L369" s="2"/>
      <c r="M369" s="4"/>
      <c r="N369" s="4"/>
    </row>
    <row r="370" spans="1:14" ht="15.75" customHeight="1" x14ac:dyDescent="0.3">
      <c r="A370" s="2" t="s">
        <v>37</v>
      </c>
      <c r="B370" s="2" t="s">
        <v>496</v>
      </c>
      <c r="C370" s="2" t="s">
        <v>502</v>
      </c>
      <c r="D370" s="2" t="s">
        <v>76</v>
      </c>
      <c r="E370" s="4" t="s">
        <v>135</v>
      </c>
      <c r="F370" s="4">
        <v>8.74</v>
      </c>
      <c r="I370" s="2"/>
      <c r="J370" s="7"/>
      <c r="L370" s="2"/>
      <c r="M370" s="4"/>
      <c r="N370" s="4"/>
    </row>
    <row r="371" spans="1:14" ht="15.75" customHeight="1" x14ac:dyDescent="0.3">
      <c r="A371" s="2" t="s">
        <v>37</v>
      </c>
      <c r="B371" s="7"/>
      <c r="C371" s="7" t="s">
        <v>504</v>
      </c>
      <c r="D371" s="2" t="s">
        <v>200</v>
      </c>
      <c r="E371" s="4" t="s">
        <v>201</v>
      </c>
      <c r="F371" s="4">
        <v>125.8</v>
      </c>
      <c r="I371" s="2"/>
      <c r="J371" s="7"/>
      <c r="L371" s="2"/>
      <c r="M371" s="4"/>
      <c r="N371" s="4"/>
    </row>
    <row r="372" spans="1:14" ht="15.75" customHeight="1" x14ac:dyDescent="0.3">
      <c r="A372" s="2" t="s">
        <v>37</v>
      </c>
      <c r="B372" s="7" t="s">
        <v>498</v>
      </c>
      <c r="C372" s="7" t="s">
        <v>503</v>
      </c>
      <c r="D372" s="2" t="s">
        <v>202</v>
      </c>
      <c r="E372" s="4" t="s">
        <v>203</v>
      </c>
      <c r="F372" s="4">
        <v>28.81</v>
      </c>
      <c r="I372" s="2"/>
      <c r="J372" s="7"/>
      <c r="L372" s="2"/>
      <c r="M372" s="4"/>
      <c r="N372" s="4"/>
    </row>
    <row r="373" spans="1:14" ht="15.75" customHeight="1" x14ac:dyDescent="0.3">
      <c r="A373" s="2" t="s">
        <v>37</v>
      </c>
      <c r="B373" s="2" t="s">
        <v>496</v>
      </c>
      <c r="C373" s="2" t="s">
        <v>503</v>
      </c>
      <c r="D373" s="2" t="s">
        <v>204</v>
      </c>
      <c r="E373" s="4" t="s">
        <v>205</v>
      </c>
      <c r="F373" s="4">
        <v>12.23</v>
      </c>
      <c r="I373" s="2"/>
      <c r="J373" s="2"/>
      <c r="L373" s="2"/>
      <c r="M373" s="4"/>
      <c r="N373" s="4"/>
    </row>
    <row r="374" spans="1:14" ht="15.75" customHeight="1" x14ac:dyDescent="0.3">
      <c r="A374" s="2" t="s">
        <v>37</v>
      </c>
      <c r="B374" s="7"/>
      <c r="C374" s="7" t="s">
        <v>501</v>
      </c>
      <c r="D374" s="2" t="s">
        <v>206</v>
      </c>
      <c r="E374" s="4" t="s">
        <v>207</v>
      </c>
      <c r="F374" s="4">
        <v>18.7</v>
      </c>
      <c r="I374" s="2"/>
      <c r="J374" s="7"/>
      <c r="L374" s="2"/>
      <c r="M374" s="4"/>
      <c r="N374" s="4"/>
    </row>
    <row r="375" spans="1:14" ht="15.75" customHeight="1" x14ac:dyDescent="0.3">
      <c r="A375" s="2" t="s">
        <v>37</v>
      </c>
      <c r="B375" s="7" t="s">
        <v>498</v>
      </c>
      <c r="C375" s="7" t="s">
        <v>497</v>
      </c>
      <c r="D375" s="2" t="s">
        <v>208</v>
      </c>
      <c r="E375" s="4" t="s">
        <v>209</v>
      </c>
      <c r="F375" s="4">
        <v>19.14</v>
      </c>
      <c r="I375" s="2"/>
      <c r="J375" s="7"/>
      <c r="L375" s="2"/>
      <c r="M375" s="4"/>
      <c r="N375" s="4"/>
    </row>
    <row r="376" spans="1:14" ht="15.75" customHeight="1" x14ac:dyDescent="0.3">
      <c r="A376" s="2" t="s">
        <v>37</v>
      </c>
      <c r="B376" s="2" t="s">
        <v>496</v>
      </c>
      <c r="C376" s="7" t="s">
        <v>497</v>
      </c>
      <c r="D376" s="2" t="s">
        <v>210</v>
      </c>
      <c r="E376" s="4" t="s">
        <v>211</v>
      </c>
      <c r="F376" s="4">
        <v>13.6</v>
      </c>
      <c r="I376" s="2"/>
      <c r="J376" s="2"/>
      <c r="L376" s="2"/>
      <c r="M376" s="4"/>
      <c r="N376" s="4"/>
    </row>
    <row r="377" spans="1:14" ht="15.75" customHeight="1" x14ac:dyDescent="0.3">
      <c r="A377" s="2" t="s">
        <v>37</v>
      </c>
      <c r="B377" s="7" t="s">
        <v>498</v>
      </c>
      <c r="C377" s="7" t="s">
        <v>514</v>
      </c>
      <c r="D377" s="2" t="s">
        <v>96</v>
      </c>
      <c r="E377" s="4" t="s">
        <v>212</v>
      </c>
      <c r="F377" s="4">
        <v>44.14</v>
      </c>
      <c r="I377" s="2"/>
      <c r="J377" s="7"/>
      <c r="L377" s="2"/>
      <c r="M377" s="4"/>
      <c r="N377" s="4"/>
    </row>
    <row r="378" spans="1:14" ht="15.75" customHeight="1" x14ac:dyDescent="0.3">
      <c r="A378" s="2" t="s">
        <v>37</v>
      </c>
      <c r="B378" s="7" t="s">
        <v>499</v>
      </c>
      <c r="C378" s="7"/>
      <c r="D378" s="2" t="s">
        <v>98</v>
      </c>
      <c r="E378" s="4" t="s">
        <v>217</v>
      </c>
      <c r="F378" s="4">
        <v>13.63</v>
      </c>
      <c r="I378" s="2"/>
      <c r="J378" s="2"/>
      <c r="L378" s="2"/>
      <c r="M378" s="4"/>
      <c r="N378" s="4"/>
    </row>
    <row r="379" spans="1:14" ht="15.75" customHeight="1" x14ac:dyDescent="0.3">
      <c r="A379" s="2" t="s">
        <v>37</v>
      </c>
      <c r="B379" s="7" t="s">
        <v>499</v>
      </c>
      <c r="C379" s="7"/>
      <c r="D379" s="2" t="s">
        <v>100</v>
      </c>
      <c r="E379" s="4" t="s">
        <v>218</v>
      </c>
      <c r="F379" s="4">
        <v>2.25</v>
      </c>
      <c r="I379" s="2"/>
      <c r="J379" s="7"/>
      <c r="L379" s="2"/>
      <c r="M379" s="4"/>
      <c r="N379" s="4"/>
    </row>
    <row r="380" spans="1:14" ht="15.75" customHeight="1" x14ac:dyDescent="0.3">
      <c r="A380" s="2" t="s">
        <v>37</v>
      </c>
      <c r="B380" s="7" t="s">
        <v>499</v>
      </c>
      <c r="C380" s="7"/>
      <c r="D380" s="2" t="s">
        <v>102</v>
      </c>
      <c r="E380" s="4" t="s">
        <v>125</v>
      </c>
      <c r="F380" s="4">
        <v>53.27</v>
      </c>
      <c r="I380" s="2"/>
      <c r="J380" s="2"/>
      <c r="L380" s="2"/>
      <c r="M380" s="4"/>
      <c r="N380" s="4"/>
    </row>
    <row r="381" spans="1:14" ht="15.75" customHeight="1" x14ac:dyDescent="0.3">
      <c r="A381" s="2" t="s">
        <v>38</v>
      </c>
      <c r="B381" s="2"/>
      <c r="C381" s="2"/>
      <c r="D381" s="2" t="s">
        <v>5</v>
      </c>
      <c r="E381" s="4" t="s">
        <v>5</v>
      </c>
      <c r="F381" s="4" t="s">
        <v>5</v>
      </c>
      <c r="I381" s="2"/>
      <c r="J381" s="7"/>
      <c r="L381" s="2"/>
      <c r="M381" s="4"/>
      <c r="N381" s="4"/>
    </row>
    <row r="382" spans="1:14" ht="15.75" customHeight="1" x14ac:dyDescent="0.3">
      <c r="A382" s="2" t="s">
        <v>38</v>
      </c>
      <c r="B382" s="7"/>
      <c r="C382" s="7" t="s">
        <v>501</v>
      </c>
      <c r="D382" s="2" t="s">
        <v>191</v>
      </c>
      <c r="E382" s="4" t="s">
        <v>220</v>
      </c>
      <c r="F382" s="4">
        <v>231.52</v>
      </c>
      <c r="I382" s="2"/>
      <c r="J382" s="7"/>
      <c r="L382" s="2"/>
      <c r="M382" s="4"/>
      <c r="N382" s="4"/>
    </row>
    <row r="383" spans="1:14" ht="15.75" customHeight="1" x14ac:dyDescent="0.3">
      <c r="A383" s="2" t="s">
        <v>38</v>
      </c>
      <c r="B383" s="7" t="s">
        <v>498</v>
      </c>
      <c r="C383" s="7" t="s">
        <v>497</v>
      </c>
      <c r="D383" s="2" t="s">
        <v>193</v>
      </c>
      <c r="E383" s="4" t="s">
        <v>221</v>
      </c>
      <c r="F383" s="4">
        <v>220.11</v>
      </c>
      <c r="I383" s="2"/>
      <c r="J383" s="2"/>
      <c r="L383" s="2"/>
      <c r="M383" s="4"/>
      <c r="N383" s="4"/>
    </row>
    <row r="384" spans="1:14" ht="15.75" customHeight="1" x14ac:dyDescent="0.3">
      <c r="A384" s="2" t="s">
        <v>38</v>
      </c>
      <c r="B384" s="2" t="s">
        <v>496</v>
      </c>
      <c r="C384" s="7" t="s">
        <v>497</v>
      </c>
      <c r="D384" s="2" t="s">
        <v>195</v>
      </c>
      <c r="E384" s="4" t="s">
        <v>222</v>
      </c>
      <c r="F384" s="4">
        <v>85.84</v>
      </c>
      <c r="I384" s="2"/>
      <c r="J384" s="7"/>
      <c r="L384" s="2"/>
      <c r="M384" s="4"/>
      <c r="N384" s="4"/>
    </row>
    <row r="385" spans="1:14" ht="15.75" customHeight="1" x14ac:dyDescent="0.3">
      <c r="A385" s="2" t="s">
        <v>38</v>
      </c>
      <c r="B385" s="7" t="s">
        <v>498</v>
      </c>
      <c r="C385" s="7" t="s">
        <v>497</v>
      </c>
      <c r="D385" s="2" t="s">
        <v>72</v>
      </c>
      <c r="E385" s="4" t="s">
        <v>223</v>
      </c>
      <c r="F385" s="4">
        <v>28.17</v>
      </c>
      <c r="I385" s="2"/>
      <c r="J385" s="7"/>
      <c r="L385" s="2"/>
      <c r="M385" s="4"/>
      <c r="N385" s="4"/>
    </row>
    <row r="386" spans="1:14" ht="15.75" customHeight="1" x14ac:dyDescent="0.3">
      <c r="A386" s="2" t="s">
        <v>38</v>
      </c>
      <c r="B386" s="2" t="s">
        <v>496</v>
      </c>
      <c r="C386" s="7" t="s">
        <v>497</v>
      </c>
      <c r="D386" s="2" t="s">
        <v>114</v>
      </c>
      <c r="E386" s="4" t="s">
        <v>216</v>
      </c>
      <c r="F386" s="4">
        <v>1.47</v>
      </c>
      <c r="I386" s="2"/>
      <c r="J386" s="2"/>
      <c r="L386" s="2"/>
      <c r="M386" s="4"/>
      <c r="N386" s="4"/>
    </row>
    <row r="387" spans="1:14" ht="15.75" customHeight="1" x14ac:dyDescent="0.3">
      <c r="A387" s="2" t="s">
        <v>38</v>
      </c>
      <c r="B387" s="7" t="s">
        <v>498</v>
      </c>
      <c r="C387" s="7" t="s">
        <v>502</v>
      </c>
      <c r="D387" s="2" t="s">
        <v>74</v>
      </c>
      <c r="E387" s="4" t="s">
        <v>75</v>
      </c>
      <c r="F387" s="4">
        <v>6.17</v>
      </c>
      <c r="I387" s="2"/>
      <c r="J387" s="7"/>
      <c r="L387" s="2"/>
      <c r="M387" s="4"/>
      <c r="N387" s="4"/>
    </row>
    <row r="388" spans="1:14" ht="15.75" customHeight="1" x14ac:dyDescent="0.3">
      <c r="A388" s="2" t="s">
        <v>38</v>
      </c>
      <c r="B388" s="2" t="s">
        <v>496</v>
      </c>
      <c r="C388" s="2" t="s">
        <v>502</v>
      </c>
      <c r="D388" s="2" t="s">
        <v>76</v>
      </c>
      <c r="E388" s="4" t="s">
        <v>135</v>
      </c>
      <c r="F388" s="4">
        <v>8.74</v>
      </c>
      <c r="I388" s="2"/>
      <c r="J388" s="7"/>
      <c r="L388" s="2"/>
      <c r="M388" s="4"/>
      <c r="N388" s="4"/>
    </row>
    <row r="389" spans="1:14" ht="15.75" customHeight="1" x14ac:dyDescent="0.3">
      <c r="A389" s="2" t="s">
        <v>38</v>
      </c>
      <c r="B389" s="7"/>
      <c r="C389" s="7" t="s">
        <v>504</v>
      </c>
      <c r="D389" s="2" t="s">
        <v>200</v>
      </c>
      <c r="E389" s="4" t="s">
        <v>224</v>
      </c>
      <c r="F389" s="4">
        <v>113.62</v>
      </c>
      <c r="I389" s="2"/>
      <c r="J389" s="7"/>
      <c r="L389" s="2"/>
      <c r="M389" s="4"/>
      <c r="N389" s="4"/>
    </row>
    <row r="390" spans="1:14" ht="15.75" customHeight="1" x14ac:dyDescent="0.3">
      <c r="A390" s="2" t="s">
        <v>38</v>
      </c>
      <c r="B390" s="7" t="s">
        <v>498</v>
      </c>
      <c r="C390" s="7" t="s">
        <v>503</v>
      </c>
      <c r="D390" s="2" t="s">
        <v>202</v>
      </c>
      <c r="E390" s="4" t="s">
        <v>225</v>
      </c>
      <c r="F390" s="4">
        <v>33.83</v>
      </c>
      <c r="I390" s="2"/>
      <c r="J390" s="7"/>
      <c r="L390" s="2"/>
      <c r="M390" s="4"/>
      <c r="N390" s="4"/>
    </row>
    <row r="391" spans="1:14" ht="15.75" customHeight="1" x14ac:dyDescent="0.3">
      <c r="A391" s="2" t="s">
        <v>38</v>
      </c>
      <c r="B391" s="2" t="s">
        <v>496</v>
      </c>
      <c r="C391" s="2" t="s">
        <v>503</v>
      </c>
      <c r="D391" s="2" t="s">
        <v>204</v>
      </c>
      <c r="E391" s="4" t="s">
        <v>226</v>
      </c>
      <c r="F391" s="4">
        <v>12.35</v>
      </c>
      <c r="I391" s="2"/>
      <c r="J391" s="2"/>
      <c r="L391" s="2"/>
      <c r="M391" s="4"/>
      <c r="N391" s="4"/>
    </row>
    <row r="392" spans="1:14" ht="15.75" customHeight="1" x14ac:dyDescent="0.3">
      <c r="A392" s="2" t="s">
        <v>38</v>
      </c>
      <c r="B392" s="7" t="s">
        <v>498</v>
      </c>
      <c r="C392" s="7" t="s">
        <v>497</v>
      </c>
      <c r="D392" s="2" t="s">
        <v>208</v>
      </c>
      <c r="E392" s="4" t="s">
        <v>227</v>
      </c>
      <c r="F392" s="4">
        <v>33.76</v>
      </c>
      <c r="I392" s="2"/>
      <c r="J392" s="7"/>
      <c r="L392" s="2"/>
      <c r="M392" s="4"/>
      <c r="N392" s="4"/>
    </row>
    <row r="393" spans="1:14" ht="15.75" customHeight="1" x14ac:dyDescent="0.3">
      <c r="A393" s="2" t="s">
        <v>38</v>
      </c>
      <c r="B393" s="2" t="s">
        <v>496</v>
      </c>
      <c r="C393" s="7" t="s">
        <v>497</v>
      </c>
      <c r="D393" s="2" t="s">
        <v>210</v>
      </c>
      <c r="E393" s="4" t="s">
        <v>228</v>
      </c>
      <c r="F393" s="4">
        <v>13.61</v>
      </c>
      <c r="I393" s="2"/>
      <c r="J393" s="7"/>
      <c r="L393" s="2"/>
      <c r="M393" s="4"/>
      <c r="N393" s="4"/>
    </row>
    <row r="394" spans="1:14" ht="15.75" customHeight="1" x14ac:dyDescent="0.3">
      <c r="A394" s="2" t="s">
        <v>38</v>
      </c>
      <c r="B394" s="7" t="s">
        <v>498</v>
      </c>
      <c r="C394" s="7" t="s">
        <v>514</v>
      </c>
      <c r="D394" s="2" t="s">
        <v>96</v>
      </c>
      <c r="E394" s="4" t="s">
        <v>212</v>
      </c>
      <c r="F394" s="4">
        <v>44.14</v>
      </c>
      <c r="I394" s="2"/>
      <c r="J394" s="2"/>
      <c r="L394" s="2"/>
      <c r="M394" s="4"/>
      <c r="N394" s="4"/>
    </row>
    <row r="395" spans="1:14" ht="15.75" customHeight="1" x14ac:dyDescent="0.3">
      <c r="A395" s="2" t="s">
        <v>38</v>
      </c>
      <c r="B395" s="7" t="s">
        <v>499</v>
      </c>
      <c r="C395" s="7"/>
      <c r="D395" s="2" t="s">
        <v>98</v>
      </c>
      <c r="E395" s="4" t="s">
        <v>217</v>
      </c>
      <c r="F395" s="4">
        <v>13.63</v>
      </c>
      <c r="I395" s="2"/>
      <c r="J395" s="7"/>
      <c r="L395" s="2"/>
      <c r="M395" s="4"/>
      <c r="N395" s="4"/>
    </row>
    <row r="396" spans="1:14" ht="15.75" customHeight="1" x14ac:dyDescent="0.3">
      <c r="A396" s="2" t="s">
        <v>38</v>
      </c>
      <c r="B396" s="7" t="s">
        <v>499</v>
      </c>
      <c r="C396" s="7"/>
      <c r="D396" s="2" t="s">
        <v>100</v>
      </c>
      <c r="E396" s="4" t="s">
        <v>218</v>
      </c>
      <c r="F396" s="4">
        <v>2.25</v>
      </c>
      <c r="I396" s="2"/>
      <c r="J396" s="2"/>
      <c r="L396" s="2"/>
      <c r="M396" s="4"/>
      <c r="N396" s="4"/>
    </row>
    <row r="397" spans="1:14" ht="15.75" customHeight="1" x14ac:dyDescent="0.3">
      <c r="A397" s="2" t="s">
        <v>38</v>
      </c>
      <c r="B397" s="7" t="s">
        <v>499</v>
      </c>
      <c r="C397" s="7"/>
      <c r="D397" s="2" t="s">
        <v>102</v>
      </c>
      <c r="E397" s="4" t="s">
        <v>125</v>
      </c>
      <c r="F397" s="4">
        <v>53.27</v>
      </c>
      <c r="I397" s="2"/>
      <c r="J397" s="7"/>
      <c r="L397" s="2"/>
      <c r="M397" s="4"/>
      <c r="N397" s="4"/>
    </row>
    <row r="398" spans="1:14" ht="15.75" customHeight="1" x14ac:dyDescent="0.3">
      <c r="A398" s="2" t="s">
        <v>39</v>
      </c>
      <c r="B398" s="2"/>
      <c r="C398" s="2"/>
      <c r="D398" s="2" t="s">
        <v>5</v>
      </c>
      <c r="E398" s="4" t="s">
        <v>5</v>
      </c>
      <c r="F398" s="4" t="s">
        <v>5</v>
      </c>
      <c r="I398" s="2"/>
      <c r="J398" s="2"/>
      <c r="L398" s="2"/>
      <c r="M398" s="4"/>
      <c r="N398" s="4"/>
    </row>
    <row r="399" spans="1:14" ht="15.75" customHeight="1" x14ac:dyDescent="0.3">
      <c r="A399" s="2" t="s">
        <v>39</v>
      </c>
      <c r="B399" s="7"/>
      <c r="C399" s="7" t="s">
        <v>501</v>
      </c>
      <c r="D399" s="2" t="s">
        <v>191</v>
      </c>
      <c r="E399" s="4" t="s">
        <v>229</v>
      </c>
      <c r="F399" s="4">
        <v>66.03</v>
      </c>
      <c r="I399" s="2"/>
      <c r="J399" s="7"/>
      <c r="L399" s="2"/>
      <c r="M399" s="4"/>
      <c r="N399" s="4"/>
    </row>
    <row r="400" spans="1:14" ht="15.75" customHeight="1" x14ac:dyDescent="0.3">
      <c r="A400" s="2" t="s">
        <v>39</v>
      </c>
      <c r="B400" s="7" t="s">
        <v>498</v>
      </c>
      <c r="C400" s="7" t="s">
        <v>497</v>
      </c>
      <c r="D400" s="2" t="s">
        <v>193</v>
      </c>
      <c r="E400" s="4" t="s">
        <v>230</v>
      </c>
      <c r="F400" s="4">
        <v>100.32</v>
      </c>
      <c r="I400" s="2"/>
      <c r="J400" s="7"/>
      <c r="L400" s="2"/>
      <c r="M400" s="4"/>
      <c r="N400" s="4"/>
    </row>
    <row r="401" spans="1:14" ht="15.75" customHeight="1" x14ac:dyDescent="0.3">
      <c r="A401" s="2" t="s">
        <v>39</v>
      </c>
      <c r="B401" s="2" t="s">
        <v>496</v>
      </c>
      <c r="C401" s="7" t="s">
        <v>497</v>
      </c>
      <c r="D401" s="2" t="s">
        <v>195</v>
      </c>
      <c r="E401" s="4" t="s">
        <v>231</v>
      </c>
      <c r="F401" s="4">
        <v>42.37</v>
      </c>
      <c r="I401" s="2"/>
      <c r="J401" s="2"/>
      <c r="L401" s="2"/>
      <c r="M401" s="4"/>
      <c r="N401" s="4"/>
    </row>
    <row r="402" spans="1:14" ht="15.75" customHeight="1" x14ac:dyDescent="0.3">
      <c r="A402" s="2" t="s">
        <v>39</v>
      </c>
      <c r="B402" s="7" t="s">
        <v>498</v>
      </c>
      <c r="C402" s="7" t="s">
        <v>497</v>
      </c>
      <c r="D402" s="2" t="s">
        <v>72</v>
      </c>
      <c r="E402" s="4" t="s">
        <v>232</v>
      </c>
      <c r="F402" s="4">
        <v>25.74</v>
      </c>
      <c r="I402" s="2"/>
      <c r="J402" s="7"/>
      <c r="L402" s="2"/>
      <c r="M402" s="4"/>
      <c r="N402" s="4"/>
    </row>
    <row r="403" spans="1:14" ht="15.75" customHeight="1" x14ac:dyDescent="0.3">
      <c r="A403" s="2" t="s">
        <v>39</v>
      </c>
      <c r="B403" s="2" t="s">
        <v>496</v>
      </c>
      <c r="C403" s="7" t="s">
        <v>497</v>
      </c>
      <c r="D403" s="2" t="s">
        <v>114</v>
      </c>
      <c r="E403" s="4" t="s">
        <v>216</v>
      </c>
      <c r="F403" s="4">
        <v>1.47</v>
      </c>
      <c r="I403" s="2"/>
      <c r="J403" s="7"/>
      <c r="L403" s="2"/>
      <c r="M403" s="4"/>
      <c r="N403" s="4"/>
    </row>
    <row r="404" spans="1:14" ht="15.75" customHeight="1" x14ac:dyDescent="0.3">
      <c r="A404" s="2" t="s">
        <v>39</v>
      </c>
      <c r="B404" s="7" t="s">
        <v>498</v>
      </c>
      <c r="C404" s="7" t="s">
        <v>502</v>
      </c>
      <c r="D404" s="2" t="s">
        <v>74</v>
      </c>
      <c r="E404" s="4" t="s">
        <v>75</v>
      </c>
      <c r="F404" s="4">
        <v>6.17</v>
      </c>
      <c r="I404" s="2"/>
      <c r="J404" s="2"/>
      <c r="L404" s="2"/>
      <c r="M404" s="4"/>
      <c r="N404" s="4"/>
    </row>
    <row r="405" spans="1:14" ht="15.75" customHeight="1" x14ac:dyDescent="0.3">
      <c r="A405" s="2" t="s">
        <v>39</v>
      </c>
      <c r="B405" s="2" t="s">
        <v>496</v>
      </c>
      <c r="C405" s="2" t="s">
        <v>502</v>
      </c>
      <c r="D405" s="2" t="s">
        <v>76</v>
      </c>
      <c r="E405" s="4" t="s">
        <v>135</v>
      </c>
      <c r="F405" s="4">
        <v>8.74</v>
      </c>
      <c r="I405" s="2"/>
      <c r="J405" s="7"/>
      <c r="L405" s="2"/>
      <c r="M405" s="4"/>
      <c r="N405" s="4"/>
    </row>
    <row r="406" spans="1:14" ht="15.75" customHeight="1" x14ac:dyDescent="0.3">
      <c r="A406" s="2" t="s">
        <v>39</v>
      </c>
      <c r="B406" s="7" t="s">
        <v>498</v>
      </c>
      <c r="C406" s="7" t="s">
        <v>497</v>
      </c>
      <c r="D406" s="2" t="s">
        <v>208</v>
      </c>
      <c r="E406" s="4" t="s">
        <v>233</v>
      </c>
      <c r="F406" s="4">
        <v>31.86</v>
      </c>
      <c r="I406" s="2"/>
      <c r="J406" s="7"/>
      <c r="L406" s="2"/>
      <c r="M406" s="4"/>
      <c r="N406" s="4"/>
    </row>
    <row r="407" spans="1:14" ht="15.75" customHeight="1" x14ac:dyDescent="0.3">
      <c r="A407" s="2" t="s">
        <v>39</v>
      </c>
      <c r="B407" s="2" t="s">
        <v>496</v>
      </c>
      <c r="C407" s="7" t="s">
        <v>497</v>
      </c>
      <c r="D407" s="2" t="s">
        <v>210</v>
      </c>
      <c r="E407" s="4" t="s">
        <v>234</v>
      </c>
      <c r="F407" s="4">
        <v>1.95</v>
      </c>
      <c r="I407" s="2"/>
      <c r="J407" s="7"/>
      <c r="L407" s="2"/>
      <c r="M407" s="4"/>
      <c r="N407" s="4"/>
    </row>
    <row r="408" spans="1:14" ht="15.75" customHeight="1" x14ac:dyDescent="0.3">
      <c r="A408" s="2" t="s">
        <v>39</v>
      </c>
      <c r="B408" s="7"/>
      <c r="C408" s="7"/>
      <c r="D408" s="2" t="s">
        <v>235</v>
      </c>
      <c r="E408" s="4" t="s">
        <v>236</v>
      </c>
      <c r="F408" s="4">
        <v>16.190000000000001</v>
      </c>
      <c r="I408" s="2"/>
      <c r="J408" s="7"/>
      <c r="L408" s="2"/>
      <c r="M408" s="4"/>
      <c r="N408" s="4"/>
    </row>
    <row r="409" spans="1:14" ht="15.75" customHeight="1" x14ac:dyDescent="0.3">
      <c r="A409" s="2" t="s">
        <v>39</v>
      </c>
      <c r="B409" s="7"/>
      <c r="C409" s="7" t="s">
        <v>503</v>
      </c>
      <c r="D409" s="2" t="s">
        <v>237</v>
      </c>
      <c r="E409" s="4" t="s">
        <v>238</v>
      </c>
      <c r="F409" s="4">
        <v>32.200000000000003</v>
      </c>
      <c r="I409" s="2"/>
      <c r="J409" s="2"/>
      <c r="L409" s="2"/>
      <c r="M409" s="4"/>
      <c r="N409" s="4"/>
    </row>
    <row r="410" spans="1:14" ht="15.75" customHeight="1" x14ac:dyDescent="0.3">
      <c r="A410" s="2" t="s">
        <v>39</v>
      </c>
      <c r="B410" s="7" t="s">
        <v>498</v>
      </c>
      <c r="C410" s="7" t="s">
        <v>514</v>
      </c>
      <c r="D410" s="2" t="s">
        <v>96</v>
      </c>
      <c r="E410" s="4" t="s">
        <v>212</v>
      </c>
      <c r="F410" s="4">
        <v>44.14</v>
      </c>
      <c r="I410" s="2"/>
      <c r="J410" s="7"/>
      <c r="L410" s="2"/>
      <c r="M410" s="4"/>
      <c r="N410" s="4"/>
    </row>
    <row r="411" spans="1:14" ht="15.75" customHeight="1" x14ac:dyDescent="0.3">
      <c r="A411" s="2" t="s">
        <v>39</v>
      </c>
      <c r="B411" s="7" t="s">
        <v>499</v>
      </c>
      <c r="C411" s="7"/>
      <c r="D411" s="2" t="s">
        <v>98</v>
      </c>
      <c r="E411" s="4" t="s">
        <v>217</v>
      </c>
      <c r="F411" s="4">
        <v>13.64</v>
      </c>
      <c r="I411" s="2"/>
      <c r="J411" s="7"/>
      <c r="L411" s="2"/>
      <c r="M411" s="4"/>
      <c r="N411" s="4"/>
    </row>
    <row r="412" spans="1:14" ht="15.75" customHeight="1" x14ac:dyDescent="0.3">
      <c r="A412" s="2" t="s">
        <v>39</v>
      </c>
      <c r="B412" s="7" t="s">
        <v>499</v>
      </c>
      <c r="C412" s="7"/>
      <c r="D412" s="2" t="s">
        <v>100</v>
      </c>
      <c r="E412" s="4" t="s">
        <v>239</v>
      </c>
      <c r="F412" s="4">
        <v>2.99</v>
      </c>
      <c r="I412" s="2"/>
      <c r="J412" s="2"/>
      <c r="L412" s="2"/>
      <c r="M412" s="4"/>
      <c r="N412" s="4"/>
    </row>
    <row r="413" spans="1:14" ht="15.75" customHeight="1" x14ac:dyDescent="0.3">
      <c r="A413" s="2" t="s">
        <v>39</v>
      </c>
      <c r="B413" s="7" t="s">
        <v>499</v>
      </c>
      <c r="C413" s="7"/>
      <c r="D413" s="2" t="s">
        <v>102</v>
      </c>
      <c r="E413" s="4" t="s">
        <v>125</v>
      </c>
      <c r="F413" s="4">
        <v>51.73</v>
      </c>
      <c r="I413" s="2"/>
      <c r="J413" s="7"/>
      <c r="L413" s="2"/>
      <c r="M413" s="4"/>
      <c r="N413" s="4"/>
    </row>
    <row r="414" spans="1:14" ht="15.75" customHeight="1" x14ac:dyDescent="0.3">
      <c r="A414" s="2" t="s">
        <v>43</v>
      </c>
      <c r="B414" s="2"/>
      <c r="C414" s="2"/>
      <c r="D414" s="2" t="s">
        <v>5</v>
      </c>
      <c r="E414" s="4" t="s">
        <v>5</v>
      </c>
      <c r="F414" s="4" t="s">
        <v>5</v>
      </c>
      <c r="I414" s="2"/>
      <c r="J414" s="2"/>
      <c r="L414" s="2"/>
      <c r="M414" s="4"/>
      <c r="N414" s="4"/>
    </row>
    <row r="415" spans="1:14" ht="15.75" customHeight="1" x14ac:dyDescent="0.3">
      <c r="A415" s="2" t="s">
        <v>43</v>
      </c>
      <c r="B415" s="7" t="s">
        <v>498</v>
      </c>
      <c r="C415" s="7" t="s">
        <v>497</v>
      </c>
      <c r="D415" s="2" t="s">
        <v>72</v>
      </c>
      <c r="E415" s="4" t="s">
        <v>240</v>
      </c>
      <c r="F415" s="4">
        <v>28.92</v>
      </c>
      <c r="I415" s="2"/>
      <c r="J415" s="7"/>
      <c r="L415" s="2"/>
      <c r="M415" s="4"/>
      <c r="N415" s="4"/>
    </row>
    <row r="416" spans="1:14" ht="15.75" customHeight="1" x14ac:dyDescent="0.3">
      <c r="A416" s="2" t="s">
        <v>43</v>
      </c>
      <c r="B416" s="2" t="s">
        <v>496</v>
      </c>
      <c r="C416" s="7" t="s">
        <v>497</v>
      </c>
      <c r="D416" s="2" t="s">
        <v>114</v>
      </c>
      <c r="E416" s="4" t="s">
        <v>241</v>
      </c>
      <c r="F416" s="4">
        <v>5.0199999999999996</v>
      </c>
      <c r="I416" s="2"/>
      <c r="J416" s="2"/>
      <c r="L416" s="2"/>
      <c r="M416" s="4"/>
      <c r="N416" s="4"/>
    </row>
    <row r="417" spans="1:14" ht="15.75" customHeight="1" x14ac:dyDescent="0.3">
      <c r="A417" s="2" t="s">
        <v>43</v>
      </c>
      <c r="B417" s="7" t="s">
        <v>498</v>
      </c>
      <c r="C417" s="7" t="s">
        <v>502</v>
      </c>
      <c r="D417" s="2" t="s">
        <v>74</v>
      </c>
      <c r="E417" s="4" t="s">
        <v>75</v>
      </c>
      <c r="F417" s="4">
        <v>6.17</v>
      </c>
      <c r="I417" s="2"/>
      <c r="J417" s="7"/>
      <c r="L417" s="2"/>
      <c r="M417" s="4"/>
      <c r="N417" s="4"/>
    </row>
    <row r="418" spans="1:14" ht="15.75" customHeight="1" x14ac:dyDescent="0.3">
      <c r="A418" s="2" t="s">
        <v>43</v>
      </c>
      <c r="B418" s="2" t="s">
        <v>496</v>
      </c>
      <c r="C418" s="2" t="s">
        <v>502</v>
      </c>
      <c r="D418" s="2" t="s">
        <v>76</v>
      </c>
      <c r="E418" s="4" t="s">
        <v>135</v>
      </c>
      <c r="F418" s="4">
        <v>8.74</v>
      </c>
      <c r="I418" s="2"/>
      <c r="J418" s="7"/>
      <c r="L418" s="2"/>
      <c r="M418" s="4"/>
      <c r="N418" s="4"/>
    </row>
    <row r="419" spans="1:14" ht="15.75" customHeight="1" x14ac:dyDescent="0.3">
      <c r="A419" s="2" t="s">
        <v>43</v>
      </c>
      <c r="B419" s="7" t="s">
        <v>498</v>
      </c>
      <c r="C419" s="7" t="s">
        <v>514</v>
      </c>
      <c r="D419" s="2" t="s">
        <v>96</v>
      </c>
      <c r="E419" s="4" t="s">
        <v>212</v>
      </c>
      <c r="F419" s="4">
        <v>44.14</v>
      </c>
      <c r="I419" s="2"/>
      <c r="J419" s="2"/>
      <c r="L419" s="2"/>
      <c r="M419" s="4"/>
      <c r="N419" s="4"/>
    </row>
    <row r="420" spans="1:14" ht="15.75" customHeight="1" x14ac:dyDescent="0.3">
      <c r="A420" s="2" t="s">
        <v>43</v>
      </c>
      <c r="B420" s="7" t="s">
        <v>499</v>
      </c>
      <c r="C420" s="7"/>
      <c r="D420" s="2" t="s">
        <v>98</v>
      </c>
      <c r="E420" s="4" t="s">
        <v>217</v>
      </c>
      <c r="F420" s="4">
        <v>13.64</v>
      </c>
      <c r="I420" s="2"/>
      <c r="J420" s="7"/>
      <c r="L420" s="2"/>
      <c r="M420" s="4"/>
      <c r="N420" s="4"/>
    </row>
    <row r="421" spans="1:14" ht="15.75" customHeight="1" x14ac:dyDescent="0.3">
      <c r="A421" s="2" t="s">
        <v>43</v>
      </c>
      <c r="B421" s="7" t="s">
        <v>499</v>
      </c>
      <c r="C421" s="7"/>
      <c r="D421" s="2" t="s">
        <v>100</v>
      </c>
      <c r="E421" s="4" t="s">
        <v>214</v>
      </c>
      <c r="F421" s="4">
        <v>3.14</v>
      </c>
      <c r="I421" s="2"/>
      <c r="J421" s="7"/>
      <c r="L421" s="2"/>
      <c r="M421" s="4"/>
      <c r="N421" s="4"/>
    </row>
    <row r="422" spans="1:14" ht="15.75" customHeight="1" x14ac:dyDescent="0.3">
      <c r="A422" s="2" t="s">
        <v>43</v>
      </c>
      <c r="B422" s="7" t="s">
        <v>499</v>
      </c>
      <c r="C422" s="7"/>
      <c r="D422" s="2" t="s">
        <v>102</v>
      </c>
      <c r="E422" s="4" t="s">
        <v>125</v>
      </c>
      <c r="F422" s="4">
        <v>51.82</v>
      </c>
      <c r="I422" s="2"/>
      <c r="J422" s="2"/>
      <c r="L422" s="2"/>
      <c r="M422" s="4"/>
      <c r="N422" s="4"/>
    </row>
    <row r="423" spans="1:14" ht="15.75" customHeight="1" x14ac:dyDescent="0.3">
      <c r="A423" s="2" t="s">
        <v>44</v>
      </c>
      <c r="B423" s="2"/>
      <c r="C423" s="2"/>
      <c r="D423" s="2" t="s">
        <v>5</v>
      </c>
      <c r="E423" s="4" t="s">
        <v>5</v>
      </c>
      <c r="F423" s="4" t="s">
        <v>5</v>
      </c>
      <c r="I423" s="2"/>
      <c r="J423" s="7"/>
      <c r="L423" s="2"/>
      <c r="M423" s="4"/>
      <c r="N423" s="4"/>
    </row>
    <row r="424" spans="1:14" ht="15.75" customHeight="1" x14ac:dyDescent="0.3">
      <c r="A424" s="2" t="s">
        <v>44</v>
      </c>
      <c r="B424" s="7" t="s">
        <v>498</v>
      </c>
      <c r="C424" s="7" t="s">
        <v>497</v>
      </c>
      <c r="D424" s="2" t="s">
        <v>56</v>
      </c>
      <c r="E424" s="4" t="s">
        <v>242</v>
      </c>
      <c r="F424" s="4">
        <v>10.95</v>
      </c>
      <c r="I424" s="2"/>
      <c r="J424" s="7"/>
      <c r="L424" s="2"/>
      <c r="M424" s="4"/>
      <c r="N424" s="4"/>
    </row>
    <row r="425" spans="1:14" ht="15.75" customHeight="1" x14ac:dyDescent="0.3">
      <c r="A425" s="2" t="s">
        <v>44</v>
      </c>
      <c r="B425" s="2" t="s">
        <v>496</v>
      </c>
      <c r="C425" s="7" t="s">
        <v>497</v>
      </c>
      <c r="D425" s="2" t="s">
        <v>58</v>
      </c>
      <c r="E425" s="4" t="s">
        <v>243</v>
      </c>
      <c r="F425" s="4">
        <v>5.64</v>
      </c>
      <c r="I425" s="2"/>
      <c r="J425" s="7"/>
      <c r="L425" s="2"/>
      <c r="M425" s="4"/>
      <c r="N425" s="4"/>
    </row>
    <row r="426" spans="1:14" ht="15.75" customHeight="1" x14ac:dyDescent="0.3">
      <c r="A426" s="2" t="s">
        <v>44</v>
      </c>
      <c r="B426" s="7" t="s">
        <v>498</v>
      </c>
      <c r="C426" s="7" t="s">
        <v>502</v>
      </c>
      <c r="D426" s="2" t="s">
        <v>244</v>
      </c>
      <c r="E426" s="4" t="s">
        <v>245</v>
      </c>
      <c r="F426" s="4">
        <v>35.42</v>
      </c>
      <c r="I426" s="2"/>
      <c r="J426" s="7"/>
      <c r="L426" s="2"/>
      <c r="M426" s="4"/>
      <c r="N426" s="4"/>
    </row>
    <row r="427" spans="1:14" ht="15.75" customHeight="1" x14ac:dyDescent="0.3">
      <c r="A427" s="2" t="s">
        <v>44</v>
      </c>
      <c r="B427" s="2" t="s">
        <v>496</v>
      </c>
      <c r="C427" s="2" t="s">
        <v>502</v>
      </c>
      <c r="D427" s="2" t="s">
        <v>246</v>
      </c>
      <c r="E427" s="4" t="s">
        <v>247</v>
      </c>
      <c r="F427" s="4">
        <v>0.28000000000000003</v>
      </c>
      <c r="I427" s="2"/>
      <c r="J427" s="2"/>
      <c r="L427" s="2"/>
      <c r="M427" s="4"/>
      <c r="N427" s="4"/>
    </row>
    <row r="428" spans="1:14" ht="15.75" customHeight="1" x14ac:dyDescent="0.3">
      <c r="A428" s="2" t="s">
        <v>44</v>
      </c>
      <c r="B428" s="7" t="s">
        <v>498</v>
      </c>
      <c r="C428" s="7" t="s">
        <v>502</v>
      </c>
      <c r="D428" s="2" t="s">
        <v>74</v>
      </c>
      <c r="E428" s="4" t="s">
        <v>248</v>
      </c>
      <c r="F428" s="4">
        <v>16.190000000000001</v>
      </c>
      <c r="I428" s="2"/>
      <c r="J428" s="7"/>
      <c r="L428" s="2"/>
      <c r="M428" s="4"/>
      <c r="N428" s="4"/>
    </row>
    <row r="429" spans="1:14" ht="15.75" customHeight="1" x14ac:dyDescent="0.3">
      <c r="A429" s="2" t="s">
        <v>44</v>
      </c>
      <c r="B429" s="2" t="s">
        <v>496</v>
      </c>
      <c r="C429" s="2" t="s">
        <v>502</v>
      </c>
      <c r="D429" s="2" t="s">
        <v>76</v>
      </c>
      <c r="E429" s="4" t="s">
        <v>249</v>
      </c>
      <c r="F429" s="4">
        <v>6.95</v>
      </c>
      <c r="I429" s="2"/>
      <c r="J429" s="7"/>
      <c r="L429" s="2"/>
      <c r="M429" s="4"/>
      <c r="N429" s="4"/>
    </row>
    <row r="430" spans="1:14" ht="15.75" customHeight="1" x14ac:dyDescent="0.3">
      <c r="A430" s="2" t="s">
        <v>44</v>
      </c>
      <c r="B430" s="7" t="s">
        <v>498</v>
      </c>
      <c r="C430" s="7" t="s">
        <v>514</v>
      </c>
      <c r="D430" s="2" t="s">
        <v>96</v>
      </c>
      <c r="E430" s="4" t="s">
        <v>130</v>
      </c>
      <c r="F430" s="4">
        <v>44.72</v>
      </c>
      <c r="I430" s="2"/>
      <c r="J430" s="2"/>
      <c r="L430" s="2"/>
      <c r="M430" s="4"/>
      <c r="N430" s="4"/>
    </row>
    <row r="431" spans="1:14" ht="15.75" customHeight="1" x14ac:dyDescent="0.3">
      <c r="A431" s="2" t="s">
        <v>44</v>
      </c>
      <c r="B431" s="7" t="s">
        <v>499</v>
      </c>
      <c r="C431" s="7"/>
      <c r="D431" s="2" t="s">
        <v>98</v>
      </c>
      <c r="E431" s="4" t="s">
        <v>250</v>
      </c>
      <c r="F431" s="4">
        <v>11.68</v>
      </c>
      <c r="I431" s="2"/>
      <c r="J431" s="7"/>
      <c r="L431" s="2"/>
      <c r="M431" s="4"/>
      <c r="N431" s="4"/>
    </row>
    <row r="432" spans="1:14" ht="15.75" customHeight="1" x14ac:dyDescent="0.3">
      <c r="A432" s="2" t="s">
        <v>44</v>
      </c>
      <c r="B432" s="7" t="s">
        <v>499</v>
      </c>
      <c r="C432" s="7"/>
      <c r="D432" s="2" t="s">
        <v>102</v>
      </c>
      <c r="E432" s="4" t="s">
        <v>251</v>
      </c>
      <c r="F432" s="4">
        <v>43.26</v>
      </c>
      <c r="I432" s="2"/>
      <c r="J432" s="2"/>
      <c r="L432" s="2"/>
      <c r="M432" s="4"/>
      <c r="N432" s="4"/>
    </row>
    <row r="433" spans="9:14" ht="15.75" customHeight="1" x14ac:dyDescent="0.3">
      <c r="I433" s="2"/>
      <c r="J433" s="7"/>
      <c r="L433" s="2"/>
      <c r="M433" s="4"/>
      <c r="N433" s="4"/>
    </row>
    <row r="434" spans="9:14" ht="15.75" customHeight="1" x14ac:dyDescent="0.3">
      <c r="I434" s="2"/>
      <c r="J434" s="2"/>
      <c r="L434" s="2"/>
      <c r="M434" s="4"/>
      <c r="N434" s="4"/>
    </row>
    <row r="435" spans="9:14" ht="15.75" customHeight="1" x14ac:dyDescent="0.3">
      <c r="I435" s="2"/>
      <c r="J435" s="7"/>
      <c r="L435" s="2"/>
      <c r="M435" s="4"/>
      <c r="N435" s="4"/>
    </row>
    <row r="436" spans="9:14" ht="15.75" customHeight="1" x14ac:dyDescent="0.3">
      <c r="I436" s="2"/>
      <c r="J436" s="7"/>
      <c r="L436" s="2"/>
      <c r="M436" s="4"/>
      <c r="N436" s="4"/>
    </row>
    <row r="437" spans="9:14" ht="15.75" customHeight="1" x14ac:dyDescent="0.3">
      <c r="I437" s="2"/>
      <c r="J437" s="2"/>
      <c r="L437" s="2"/>
      <c r="M437" s="4"/>
      <c r="N437" s="4"/>
    </row>
    <row r="438" spans="9:14" ht="15.75" customHeight="1" x14ac:dyDescent="0.3">
      <c r="I438" s="2"/>
      <c r="J438" s="7"/>
      <c r="L438" s="2"/>
      <c r="M438" s="4"/>
      <c r="N438" s="4"/>
    </row>
    <row r="439" spans="9:14" ht="15.75" customHeight="1" x14ac:dyDescent="0.3">
      <c r="I439" s="2"/>
      <c r="J439" s="2"/>
      <c r="L439" s="2"/>
      <c r="M439" s="4"/>
      <c r="N439" s="4"/>
    </row>
    <row r="440" spans="9:14" ht="15.75" customHeight="1" x14ac:dyDescent="0.3">
      <c r="I440" s="2"/>
      <c r="J440" s="7"/>
      <c r="L440" s="2"/>
      <c r="M440" s="4"/>
      <c r="N440" s="4"/>
    </row>
    <row r="441" spans="9:14" ht="15.75" customHeight="1" x14ac:dyDescent="0.3">
      <c r="I441" s="2"/>
      <c r="J441" s="7"/>
      <c r="L441" s="2"/>
      <c r="M441" s="4"/>
      <c r="N441" s="4"/>
    </row>
    <row r="442" spans="9:14" ht="15.75" customHeight="1" x14ac:dyDescent="0.3">
      <c r="I442" s="2"/>
      <c r="J442" s="7"/>
      <c r="L442" s="2"/>
      <c r="M442" s="4"/>
      <c r="N442" s="4"/>
    </row>
    <row r="443" spans="9:14" ht="15.75" customHeight="1" x14ac:dyDescent="0.3">
      <c r="I443" s="2"/>
      <c r="J443" s="7"/>
      <c r="L443" s="2"/>
      <c r="M443" s="4"/>
      <c r="N443" s="4"/>
    </row>
    <row r="444" spans="9:14" ht="15.75" customHeight="1" x14ac:dyDescent="0.3">
      <c r="I444" s="2"/>
      <c r="J444" s="2"/>
      <c r="L444" s="2"/>
      <c r="M444" s="4"/>
      <c r="N444" s="4"/>
    </row>
    <row r="445" spans="9:14" ht="15.75" customHeight="1" x14ac:dyDescent="0.3">
      <c r="I445" s="2"/>
      <c r="J445" s="7"/>
      <c r="L445" s="2"/>
      <c r="M445" s="4"/>
      <c r="N445" s="4"/>
    </row>
    <row r="446" spans="9:14" ht="15.75" customHeight="1" x14ac:dyDescent="0.3">
      <c r="I446" s="2"/>
      <c r="J446" s="7"/>
      <c r="L446" s="2"/>
      <c r="M446" s="4"/>
      <c r="N446" s="4"/>
    </row>
    <row r="447" spans="9:14" ht="15.75" customHeight="1" x14ac:dyDescent="0.3">
      <c r="I447" s="2"/>
      <c r="J447" s="2"/>
      <c r="L447" s="2"/>
      <c r="M447" s="4"/>
      <c r="N447" s="4"/>
    </row>
    <row r="448" spans="9:14" ht="15.75" customHeight="1" x14ac:dyDescent="0.3">
      <c r="I448" s="2"/>
      <c r="J448" s="7"/>
      <c r="L448" s="2"/>
      <c r="M448" s="4"/>
      <c r="N448" s="4"/>
    </row>
    <row r="449" spans="9:14" ht="15.75" customHeight="1" x14ac:dyDescent="0.3">
      <c r="I449" s="2"/>
      <c r="J449" s="2"/>
      <c r="L449" s="2"/>
      <c r="M449" s="4"/>
      <c r="N449" s="4"/>
    </row>
    <row r="450" spans="9:14" ht="15.75" customHeight="1" x14ac:dyDescent="0.3">
      <c r="I450" s="2"/>
      <c r="J450" s="7"/>
      <c r="L450" s="2"/>
      <c r="M450" s="4"/>
      <c r="N450" s="4"/>
    </row>
    <row r="451" spans="9:14" ht="15.75" customHeight="1" x14ac:dyDescent="0.3">
      <c r="I451" s="2"/>
      <c r="J451" s="2"/>
      <c r="L451" s="2"/>
      <c r="M451" s="4"/>
      <c r="N451" s="4"/>
    </row>
    <row r="452" spans="9:14" ht="15.75" customHeight="1" x14ac:dyDescent="0.3">
      <c r="I452" s="2"/>
      <c r="J452" s="7"/>
      <c r="L452" s="2"/>
      <c r="M452" s="4"/>
      <c r="N452" s="4"/>
    </row>
    <row r="453" spans="9:14" ht="15.75" customHeight="1" x14ac:dyDescent="0.3">
      <c r="I453" s="2"/>
      <c r="J453" s="2"/>
      <c r="L453" s="2"/>
      <c r="M453" s="4"/>
      <c r="N453" s="4"/>
    </row>
    <row r="454" spans="9:14" ht="15.75" customHeight="1" x14ac:dyDescent="0.3">
      <c r="I454" s="2"/>
      <c r="J454" s="7"/>
      <c r="L454" s="2"/>
      <c r="M454" s="4"/>
      <c r="N454" s="4"/>
    </row>
    <row r="455" spans="9:14" ht="15.75" customHeight="1" x14ac:dyDescent="0.3">
      <c r="I455" s="2"/>
      <c r="J455" s="7"/>
      <c r="L455" s="2"/>
      <c r="M455" s="4"/>
      <c r="N455" s="4"/>
    </row>
    <row r="456" spans="9:14" ht="15.75" customHeight="1" x14ac:dyDescent="0.3">
      <c r="I456" s="2"/>
      <c r="J456" s="7"/>
      <c r="L456" s="2"/>
      <c r="M456" s="4"/>
      <c r="N456" s="4"/>
    </row>
    <row r="457" spans="9:14" ht="15.75" customHeight="1" x14ac:dyDescent="0.3">
      <c r="I457" s="2"/>
      <c r="J457" s="7"/>
      <c r="L457" s="2"/>
      <c r="M457" s="4"/>
      <c r="N457" s="4"/>
    </row>
    <row r="458" spans="9:14" ht="15.75" customHeight="1" x14ac:dyDescent="0.3">
      <c r="I458" s="2"/>
      <c r="J458" s="7"/>
      <c r="L458" s="2"/>
      <c r="M458" s="4"/>
      <c r="N458" s="4"/>
    </row>
    <row r="459" spans="9:14" ht="15.75" customHeight="1" x14ac:dyDescent="0.3">
      <c r="I459" s="2"/>
      <c r="J459" s="7"/>
      <c r="L459" s="2"/>
      <c r="M459" s="4"/>
      <c r="N459" s="4"/>
    </row>
    <row r="460" spans="9:14" ht="15.75" customHeight="1" x14ac:dyDescent="0.3">
      <c r="I460" s="2"/>
      <c r="J460" s="2"/>
      <c r="L460" s="2"/>
      <c r="M460" s="4"/>
      <c r="N460" s="4"/>
    </row>
    <row r="461" spans="9:14" ht="15.75" customHeight="1" x14ac:dyDescent="0.3">
      <c r="I461" s="2"/>
      <c r="J461" s="7"/>
      <c r="L461" s="2"/>
      <c r="M461" s="4"/>
      <c r="N461" s="4"/>
    </row>
    <row r="462" spans="9:14" ht="15.75" customHeight="1" x14ac:dyDescent="0.3">
      <c r="I462" s="2"/>
      <c r="J462" s="2"/>
      <c r="L462" s="2"/>
      <c r="M462" s="4"/>
      <c r="N462" s="4"/>
    </row>
    <row r="463" spans="9:14" ht="15.75" customHeight="1" x14ac:dyDescent="0.3">
      <c r="I463" s="2"/>
      <c r="J463" s="7"/>
      <c r="L463" s="2"/>
      <c r="M463" s="4"/>
      <c r="N463" s="4"/>
    </row>
    <row r="464" spans="9:14" ht="15.75" customHeight="1" x14ac:dyDescent="0.3">
      <c r="I464" s="2"/>
      <c r="J464" s="2"/>
      <c r="L464" s="2"/>
      <c r="M464" s="4"/>
      <c r="N464" s="4"/>
    </row>
    <row r="465" spans="9:14" ht="15.75" customHeight="1" x14ac:dyDescent="0.3">
      <c r="I465" s="2"/>
      <c r="J465" s="7"/>
      <c r="L465" s="2"/>
      <c r="M465" s="4"/>
      <c r="N465" s="4"/>
    </row>
    <row r="466" spans="9:14" ht="15.75" customHeight="1" x14ac:dyDescent="0.3">
      <c r="I466" s="2"/>
      <c r="J466" s="7"/>
      <c r="L466" s="2"/>
      <c r="M466" s="4"/>
      <c r="N466" s="4"/>
    </row>
    <row r="467" spans="9:14" ht="15.75" customHeight="1" x14ac:dyDescent="0.3">
      <c r="I467" s="2"/>
      <c r="J467" s="7"/>
      <c r="L467" s="2"/>
      <c r="M467" s="4"/>
      <c r="N467" s="4"/>
    </row>
    <row r="468" spans="9:14" ht="15.75" customHeight="1" x14ac:dyDescent="0.3">
      <c r="I468" s="2"/>
      <c r="J468" s="7"/>
      <c r="L468" s="2"/>
      <c r="M468" s="4"/>
      <c r="N468" s="4"/>
    </row>
    <row r="469" spans="9:14" ht="15.75" customHeight="1" x14ac:dyDescent="0.3">
      <c r="I469" s="2"/>
      <c r="J469" s="2"/>
      <c r="L469" s="2"/>
      <c r="M469" s="4"/>
      <c r="N469" s="4"/>
    </row>
    <row r="470" spans="9:14" ht="15.75" customHeight="1" x14ac:dyDescent="0.3">
      <c r="I470" s="2"/>
      <c r="J470" s="7"/>
      <c r="L470" s="2"/>
      <c r="M470" s="4"/>
      <c r="N470" s="4"/>
    </row>
    <row r="471" spans="9:14" ht="15.75" customHeight="1" x14ac:dyDescent="0.3">
      <c r="I471" s="2"/>
      <c r="J471" s="2"/>
      <c r="L471" s="2"/>
      <c r="M471" s="4"/>
      <c r="N471" s="4"/>
    </row>
    <row r="472" spans="9:14" ht="15.75" customHeight="1" x14ac:dyDescent="0.3">
      <c r="I472" s="2"/>
      <c r="J472" s="7"/>
      <c r="L472" s="2"/>
      <c r="M472" s="4"/>
      <c r="N472" s="4"/>
    </row>
    <row r="473" spans="9:14" ht="15.75" customHeight="1" x14ac:dyDescent="0.3">
      <c r="I473" s="2"/>
      <c r="J473" s="2"/>
      <c r="L473" s="2"/>
      <c r="M473" s="4"/>
      <c r="N473" s="4"/>
    </row>
    <row r="474" spans="9:14" ht="15.75" customHeight="1" x14ac:dyDescent="0.3">
      <c r="I474" s="2"/>
      <c r="J474" s="7"/>
      <c r="L474" s="2"/>
      <c r="M474" s="4"/>
      <c r="N474" s="4"/>
    </row>
    <row r="475" spans="9:14" ht="15.75" customHeight="1" x14ac:dyDescent="0.3">
      <c r="I475" s="2"/>
      <c r="J475" s="2"/>
      <c r="L475" s="2"/>
      <c r="M475" s="4"/>
      <c r="N475" s="4"/>
    </row>
    <row r="476" spans="9:14" ht="15.75" customHeight="1" x14ac:dyDescent="0.3">
      <c r="I476" s="2"/>
      <c r="J476" s="7"/>
      <c r="L476" s="2"/>
      <c r="M476" s="4"/>
      <c r="N476" s="4"/>
    </row>
    <row r="477" spans="9:14" ht="15.75" customHeight="1" x14ac:dyDescent="0.3">
      <c r="I477" s="2"/>
      <c r="J477" s="7"/>
      <c r="L477" s="2"/>
      <c r="M477" s="4"/>
      <c r="N477" s="4"/>
    </row>
    <row r="478" spans="9:14" ht="15.75" customHeight="1" x14ac:dyDescent="0.3">
      <c r="I478" s="2"/>
      <c r="J478" s="7"/>
    </row>
    <row r="479" spans="9:14" ht="15.75" customHeight="1" x14ac:dyDescent="0.3"/>
    <row r="480" spans="9:14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432" xr:uid="{00000000-0001-0000-0200-000000000000}"/>
  <mergeCells count="3">
    <mergeCell ref="I1:K1"/>
    <mergeCell ref="I2:K2"/>
    <mergeCell ref="I10:K10"/>
  </mergeCells>
  <pageMargins left="0.511811024" right="0.511811024" top="0.78740157499999996" bottom="0.78740157499999996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"/>
  <sheetViews>
    <sheetView topLeftCell="E1" zoomScaleNormal="100" workbookViewId="0">
      <selection activeCell="K19" sqref="K19"/>
    </sheetView>
  </sheetViews>
  <sheetFormatPr defaultColWidth="14.44140625" defaultRowHeight="15" customHeight="1" x14ac:dyDescent="0.3"/>
  <cols>
    <col min="1" max="1" width="18.5546875" hidden="1" customWidth="1"/>
    <col min="2" max="2" width="21.6640625" hidden="1" customWidth="1"/>
    <col min="3" max="3" width="71.44140625" hidden="1" customWidth="1"/>
    <col min="4" max="4" width="9.33203125" style="5" hidden="1" customWidth="1"/>
    <col min="5" max="5" width="8.6640625" customWidth="1"/>
    <col min="6" max="6" width="9.44140625" bestFit="1" customWidth="1"/>
    <col min="7" max="7" width="43" style="5" customWidth="1"/>
    <col min="8" max="26" width="8.6640625" customWidth="1"/>
  </cols>
  <sheetData>
    <row r="1" spans="1:7" ht="25.8" x14ac:dyDescent="0.5">
      <c r="A1" s="1" t="s">
        <v>0</v>
      </c>
      <c r="B1" s="1" t="s">
        <v>495</v>
      </c>
      <c r="C1" s="1" t="s">
        <v>1</v>
      </c>
      <c r="D1" s="3" t="s">
        <v>3</v>
      </c>
      <c r="F1" s="72" t="s">
        <v>550</v>
      </c>
      <c r="G1" s="73"/>
    </row>
    <row r="2" spans="1:7" ht="15" customHeight="1" x14ac:dyDescent="0.3">
      <c r="A2" s="2" t="s">
        <v>4</v>
      </c>
      <c r="B2" s="2" t="s">
        <v>5</v>
      </c>
      <c r="C2" s="2" t="s">
        <v>5</v>
      </c>
      <c r="D2" s="4" t="s">
        <v>5</v>
      </c>
      <c r="F2" s="40" t="s">
        <v>551</v>
      </c>
      <c r="G2" s="41" t="s">
        <v>546</v>
      </c>
    </row>
    <row r="3" spans="1:7" ht="14.4" x14ac:dyDescent="0.3">
      <c r="A3" s="2" t="s">
        <v>4</v>
      </c>
      <c r="B3" s="7" t="s">
        <v>496</v>
      </c>
      <c r="C3" s="2" t="s">
        <v>252</v>
      </c>
      <c r="D3" s="4">
        <v>0.15</v>
      </c>
      <c r="F3" s="29" t="s">
        <v>496</v>
      </c>
      <c r="G3" s="42">
        <f>SUMIF(B:B,F3,D:D)</f>
        <v>2335.8399999999979</v>
      </c>
    </row>
    <row r="4" spans="1:7" ht="14.4" x14ac:dyDescent="0.3">
      <c r="A4" s="2" t="s">
        <v>4</v>
      </c>
      <c r="B4" s="7" t="s">
        <v>498</v>
      </c>
      <c r="C4" s="2" t="s">
        <v>253</v>
      </c>
      <c r="D4" s="4">
        <v>8.32</v>
      </c>
      <c r="F4" s="29" t="s">
        <v>498</v>
      </c>
      <c r="G4" s="42">
        <f>SUMIF(B:B,F4,D:D)</f>
        <v>3540.8300000000072</v>
      </c>
    </row>
    <row r="5" spans="1:7" thickBot="1" x14ac:dyDescent="0.35">
      <c r="A5" s="2" t="s">
        <v>4</v>
      </c>
      <c r="B5" s="2" t="s">
        <v>496</v>
      </c>
      <c r="C5" s="2" t="s">
        <v>254</v>
      </c>
      <c r="D5" s="4">
        <v>2.06</v>
      </c>
      <c r="F5" s="31" t="s">
        <v>547</v>
      </c>
      <c r="G5" s="43">
        <f>SUM(G3:G4)</f>
        <v>5876.6700000000055</v>
      </c>
    </row>
    <row r="6" spans="1:7" ht="14.4" x14ac:dyDescent="0.3">
      <c r="A6" s="2" t="s">
        <v>4</v>
      </c>
      <c r="B6" s="2" t="s">
        <v>498</v>
      </c>
      <c r="C6" s="2" t="s">
        <v>255</v>
      </c>
      <c r="D6" s="4">
        <v>49.21</v>
      </c>
    </row>
    <row r="7" spans="1:7" ht="14.4" x14ac:dyDescent="0.3">
      <c r="A7" s="2" t="s">
        <v>4</v>
      </c>
      <c r="B7" s="2" t="s">
        <v>496</v>
      </c>
      <c r="C7" s="2" t="s">
        <v>256</v>
      </c>
      <c r="D7" s="4">
        <v>21.59</v>
      </c>
    </row>
    <row r="8" spans="1:7" ht="14.4" x14ac:dyDescent="0.3">
      <c r="A8" s="2" t="s">
        <v>4</v>
      </c>
      <c r="B8" s="2" t="s">
        <v>498</v>
      </c>
      <c r="C8" s="2" t="s">
        <v>257</v>
      </c>
      <c r="D8" s="4">
        <v>1.34</v>
      </c>
    </row>
    <row r="9" spans="1:7" ht="14.4" x14ac:dyDescent="0.3">
      <c r="A9" s="2" t="s">
        <v>4</v>
      </c>
      <c r="B9" s="2" t="s">
        <v>496</v>
      </c>
      <c r="C9" s="2" t="s">
        <v>258</v>
      </c>
      <c r="D9" s="4">
        <v>0.31</v>
      </c>
    </row>
    <row r="10" spans="1:7" ht="14.4" x14ac:dyDescent="0.3">
      <c r="A10" s="2" t="s">
        <v>4</v>
      </c>
      <c r="B10" s="2" t="s">
        <v>496</v>
      </c>
      <c r="C10" s="2" t="s">
        <v>259</v>
      </c>
      <c r="D10" s="4">
        <v>9.4499999999999993</v>
      </c>
    </row>
    <row r="11" spans="1:7" ht="14.4" x14ac:dyDescent="0.3">
      <c r="A11" s="2" t="s">
        <v>4</v>
      </c>
      <c r="B11" s="2"/>
      <c r="C11" s="2" t="s">
        <v>260</v>
      </c>
      <c r="D11" s="4">
        <v>48.24</v>
      </c>
    </row>
    <row r="12" spans="1:7" ht="14.4" x14ac:dyDescent="0.3">
      <c r="A12" s="2" t="s">
        <v>4</v>
      </c>
      <c r="B12" s="2" t="s">
        <v>498</v>
      </c>
      <c r="C12" s="2" t="s">
        <v>261</v>
      </c>
      <c r="D12" s="4">
        <v>0.43</v>
      </c>
    </row>
    <row r="13" spans="1:7" ht="14.4" x14ac:dyDescent="0.3">
      <c r="A13" s="2" t="s">
        <v>4</v>
      </c>
      <c r="B13" s="2" t="s">
        <v>498</v>
      </c>
      <c r="C13" s="2" t="s">
        <v>253</v>
      </c>
      <c r="D13" s="4">
        <v>37.700000000000003</v>
      </c>
    </row>
    <row r="14" spans="1:7" ht="14.4" x14ac:dyDescent="0.3">
      <c r="A14" s="2" t="s">
        <v>4</v>
      </c>
      <c r="B14" s="2" t="s">
        <v>496</v>
      </c>
      <c r="C14" s="2" t="s">
        <v>254</v>
      </c>
      <c r="D14" s="4">
        <v>32.68</v>
      </c>
    </row>
    <row r="15" spans="1:7" ht="14.4" x14ac:dyDescent="0.3">
      <c r="A15" s="2" t="s">
        <v>4</v>
      </c>
      <c r="B15" s="2" t="s">
        <v>498</v>
      </c>
      <c r="C15" s="2" t="s">
        <v>262</v>
      </c>
      <c r="D15" s="4">
        <v>1.45</v>
      </c>
    </row>
    <row r="16" spans="1:7" ht="14.4" x14ac:dyDescent="0.3">
      <c r="A16" s="2" t="s">
        <v>4</v>
      </c>
      <c r="B16" s="2" t="s">
        <v>496</v>
      </c>
      <c r="C16" s="2" t="s">
        <v>259</v>
      </c>
      <c r="D16" s="4">
        <v>4.92</v>
      </c>
    </row>
    <row r="17" spans="1:4" ht="14.4" x14ac:dyDescent="0.3">
      <c r="A17" s="2" t="s">
        <v>4</v>
      </c>
      <c r="B17" s="2"/>
      <c r="C17" s="2" t="s">
        <v>260</v>
      </c>
      <c r="D17" s="4">
        <v>44.85</v>
      </c>
    </row>
    <row r="18" spans="1:4" ht="14.4" x14ac:dyDescent="0.3">
      <c r="A18" s="2" t="s">
        <v>4</v>
      </c>
      <c r="B18" s="2" t="s">
        <v>498</v>
      </c>
      <c r="C18" s="2" t="s">
        <v>255</v>
      </c>
      <c r="D18" s="4">
        <v>78.39</v>
      </c>
    </row>
    <row r="19" spans="1:4" ht="14.4" x14ac:dyDescent="0.3">
      <c r="A19" s="2" t="s">
        <v>4</v>
      </c>
      <c r="B19" s="2" t="s">
        <v>496</v>
      </c>
      <c r="C19" s="2" t="s">
        <v>256</v>
      </c>
      <c r="D19" s="4">
        <v>26.01</v>
      </c>
    </row>
    <row r="20" spans="1:4" ht="14.4" x14ac:dyDescent="0.3">
      <c r="A20" s="2" t="s">
        <v>4</v>
      </c>
      <c r="B20" s="2" t="s">
        <v>496</v>
      </c>
      <c r="C20" s="2" t="s">
        <v>259</v>
      </c>
      <c r="D20" s="4">
        <v>1.76</v>
      </c>
    </row>
    <row r="21" spans="1:4" ht="15.75" customHeight="1" x14ac:dyDescent="0.3">
      <c r="A21" s="2" t="s">
        <v>12</v>
      </c>
      <c r="B21" s="2" t="s">
        <v>5</v>
      </c>
      <c r="C21" s="2" t="s">
        <v>5</v>
      </c>
      <c r="D21" s="4" t="s">
        <v>5</v>
      </c>
    </row>
    <row r="22" spans="1:4" ht="15.75" customHeight="1" x14ac:dyDescent="0.3">
      <c r="A22" s="2" t="s">
        <v>12</v>
      </c>
      <c r="B22" s="2" t="s">
        <v>498</v>
      </c>
      <c r="C22" s="2" t="s">
        <v>255</v>
      </c>
      <c r="D22" s="4">
        <v>47.61</v>
      </c>
    </row>
    <row r="23" spans="1:4" ht="15.75" customHeight="1" x14ac:dyDescent="0.3">
      <c r="A23" s="2" t="s">
        <v>12</v>
      </c>
      <c r="B23" s="2" t="s">
        <v>496</v>
      </c>
      <c r="C23" s="2" t="s">
        <v>256</v>
      </c>
      <c r="D23" s="4">
        <v>17.78</v>
      </c>
    </row>
    <row r="24" spans="1:4" ht="15.75" customHeight="1" x14ac:dyDescent="0.3">
      <c r="A24" s="2" t="s">
        <v>12</v>
      </c>
      <c r="B24" s="2" t="s">
        <v>498</v>
      </c>
      <c r="C24" s="2" t="s">
        <v>263</v>
      </c>
      <c r="D24" s="4">
        <v>5.47</v>
      </c>
    </row>
    <row r="25" spans="1:4" ht="15.75" customHeight="1" x14ac:dyDescent="0.3">
      <c r="A25" s="2" t="s">
        <v>12</v>
      </c>
      <c r="B25" s="2" t="s">
        <v>498</v>
      </c>
      <c r="C25" s="2" t="s">
        <v>255</v>
      </c>
      <c r="D25" s="4">
        <v>0.26</v>
      </c>
    </row>
    <row r="26" spans="1:4" ht="15.75" customHeight="1" x14ac:dyDescent="0.3">
      <c r="A26" s="2" t="s">
        <v>12</v>
      </c>
      <c r="B26" s="2" t="s">
        <v>496</v>
      </c>
      <c r="C26" s="2" t="s">
        <v>256</v>
      </c>
      <c r="D26" s="4">
        <v>2.37</v>
      </c>
    </row>
    <row r="27" spans="1:4" ht="15.75" customHeight="1" x14ac:dyDescent="0.3">
      <c r="A27" s="2" t="s">
        <v>12</v>
      </c>
      <c r="B27" s="2" t="s">
        <v>498</v>
      </c>
      <c r="C27" s="2" t="s">
        <v>262</v>
      </c>
      <c r="D27" s="4">
        <v>17.989999999999998</v>
      </c>
    </row>
    <row r="28" spans="1:4" ht="15.75" customHeight="1" x14ac:dyDescent="0.3">
      <c r="A28" s="2" t="s">
        <v>12</v>
      </c>
      <c r="B28" s="2" t="s">
        <v>496</v>
      </c>
      <c r="C28" s="2" t="s">
        <v>259</v>
      </c>
      <c r="D28" s="4">
        <v>41.84</v>
      </c>
    </row>
    <row r="29" spans="1:4" ht="15.75" customHeight="1" x14ac:dyDescent="0.3">
      <c r="A29" s="2" t="s">
        <v>12</v>
      </c>
      <c r="B29" s="7"/>
      <c r="C29" s="2" t="s">
        <v>264</v>
      </c>
      <c r="D29" s="4">
        <v>7.07</v>
      </c>
    </row>
    <row r="30" spans="1:4" ht="15.75" customHeight="1" x14ac:dyDescent="0.3">
      <c r="A30" s="2" t="s">
        <v>12</v>
      </c>
      <c r="B30" s="2"/>
      <c r="C30" s="2" t="s">
        <v>260</v>
      </c>
      <c r="D30" s="4">
        <v>15.99</v>
      </c>
    </row>
    <row r="31" spans="1:4" ht="15.75" customHeight="1" x14ac:dyDescent="0.3">
      <c r="A31" s="2" t="s">
        <v>12</v>
      </c>
      <c r="B31" s="2" t="s">
        <v>496</v>
      </c>
      <c r="C31" s="2" t="s">
        <v>252</v>
      </c>
      <c r="D31" s="4">
        <v>2.97</v>
      </c>
    </row>
    <row r="32" spans="1:4" ht="15.75" customHeight="1" x14ac:dyDescent="0.3">
      <c r="A32" s="2" t="s">
        <v>12</v>
      </c>
      <c r="B32" s="2" t="s">
        <v>498</v>
      </c>
      <c r="C32" s="2" t="s">
        <v>253</v>
      </c>
      <c r="D32" s="4">
        <v>6.57</v>
      </c>
    </row>
    <row r="33" spans="1:4" ht="15.75" customHeight="1" x14ac:dyDescent="0.3">
      <c r="A33" s="2" t="s">
        <v>12</v>
      </c>
      <c r="B33" s="2" t="s">
        <v>496</v>
      </c>
      <c r="C33" s="2" t="s">
        <v>254</v>
      </c>
      <c r="D33" s="4">
        <v>5.65</v>
      </c>
    </row>
    <row r="34" spans="1:4" ht="15.75" customHeight="1" x14ac:dyDescent="0.3">
      <c r="A34" s="2" t="s">
        <v>12</v>
      </c>
      <c r="B34" s="2" t="s">
        <v>498</v>
      </c>
      <c r="C34" s="2" t="s">
        <v>263</v>
      </c>
      <c r="D34" s="4">
        <v>7.56</v>
      </c>
    </row>
    <row r="35" spans="1:4" ht="15.75" customHeight="1" x14ac:dyDescent="0.3">
      <c r="A35" s="2" t="s">
        <v>12</v>
      </c>
      <c r="B35" s="2" t="s">
        <v>498</v>
      </c>
      <c r="C35" s="2" t="s">
        <v>262</v>
      </c>
      <c r="D35" s="4">
        <v>9.8800000000000008</v>
      </c>
    </row>
    <row r="36" spans="1:4" ht="15.75" customHeight="1" x14ac:dyDescent="0.3">
      <c r="A36" s="2" t="s">
        <v>12</v>
      </c>
      <c r="B36" s="2" t="s">
        <v>496</v>
      </c>
      <c r="C36" s="2" t="s">
        <v>259</v>
      </c>
      <c r="D36" s="4">
        <v>28.45</v>
      </c>
    </row>
    <row r="37" spans="1:4" ht="15.75" customHeight="1" x14ac:dyDescent="0.3">
      <c r="A37" s="2" t="s">
        <v>12</v>
      </c>
      <c r="B37" s="2"/>
      <c r="C37" s="2" t="s">
        <v>264</v>
      </c>
      <c r="D37" s="4">
        <v>50.25</v>
      </c>
    </row>
    <row r="38" spans="1:4" ht="15.75" customHeight="1" x14ac:dyDescent="0.3">
      <c r="A38" s="2" t="s">
        <v>12</v>
      </c>
      <c r="B38" s="2"/>
      <c r="C38" s="2" t="s">
        <v>260</v>
      </c>
      <c r="D38" s="4">
        <v>11.84</v>
      </c>
    </row>
    <row r="39" spans="1:4" ht="15.75" customHeight="1" x14ac:dyDescent="0.3">
      <c r="A39" s="2" t="s">
        <v>12</v>
      </c>
      <c r="B39" s="2" t="s">
        <v>498</v>
      </c>
      <c r="C39" s="2" t="s">
        <v>255</v>
      </c>
      <c r="D39" s="4">
        <v>73.97</v>
      </c>
    </row>
    <row r="40" spans="1:4" ht="15.75" customHeight="1" x14ac:dyDescent="0.3">
      <c r="A40" s="2" t="s">
        <v>12</v>
      </c>
      <c r="B40" s="2" t="s">
        <v>496</v>
      </c>
      <c r="C40" s="2" t="s">
        <v>256</v>
      </c>
      <c r="D40" s="4">
        <v>27.31</v>
      </c>
    </row>
    <row r="41" spans="1:4" ht="15.75" customHeight="1" x14ac:dyDescent="0.3">
      <c r="A41" s="2" t="s">
        <v>15</v>
      </c>
      <c r="B41" s="2" t="s">
        <v>5</v>
      </c>
      <c r="C41" s="2" t="s">
        <v>5</v>
      </c>
      <c r="D41" s="4" t="s">
        <v>5</v>
      </c>
    </row>
    <row r="42" spans="1:4" ht="15.75" customHeight="1" x14ac:dyDescent="0.3">
      <c r="A42" s="2" t="s">
        <v>15</v>
      </c>
      <c r="B42" s="2" t="s">
        <v>498</v>
      </c>
      <c r="C42" s="2" t="s">
        <v>263</v>
      </c>
      <c r="D42" s="4">
        <v>0.11</v>
      </c>
    </row>
    <row r="43" spans="1:4" ht="15.75" customHeight="1" x14ac:dyDescent="0.3">
      <c r="A43" s="2" t="s">
        <v>15</v>
      </c>
      <c r="B43" s="2" t="s">
        <v>498</v>
      </c>
      <c r="C43" s="2" t="s">
        <v>255</v>
      </c>
      <c r="D43" s="4">
        <v>49.4</v>
      </c>
    </row>
    <row r="44" spans="1:4" ht="15.75" customHeight="1" x14ac:dyDescent="0.3">
      <c r="A44" s="2" t="s">
        <v>15</v>
      </c>
      <c r="B44" s="2" t="s">
        <v>496</v>
      </c>
      <c r="C44" s="2" t="s">
        <v>256</v>
      </c>
      <c r="D44" s="4">
        <v>18.13</v>
      </c>
    </row>
    <row r="45" spans="1:4" ht="15.75" customHeight="1" x14ac:dyDescent="0.3">
      <c r="A45" s="2" t="s">
        <v>15</v>
      </c>
      <c r="B45" s="2" t="s">
        <v>498</v>
      </c>
      <c r="C45" s="2" t="s">
        <v>263</v>
      </c>
      <c r="D45" s="4">
        <v>11.57</v>
      </c>
    </row>
    <row r="46" spans="1:4" ht="15.75" customHeight="1" x14ac:dyDescent="0.3">
      <c r="A46" s="2" t="s">
        <v>15</v>
      </c>
      <c r="B46" s="2" t="s">
        <v>498</v>
      </c>
      <c r="C46" s="2" t="s">
        <v>255</v>
      </c>
      <c r="D46" s="4">
        <v>0.4</v>
      </c>
    </row>
    <row r="47" spans="1:4" ht="15.75" customHeight="1" x14ac:dyDescent="0.3">
      <c r="A47" s="2" t="s">
        <v>15</v>
      </c>
      <c r="B47" s="2" t="s">
        <v>498</v>
      </c>
      <c r="C47" s="2" t="s">
        <v>262</v>
      </c>
      <c r="D47" s="4">
        <v>14.52</v>
      </c>
    </row>
    <row r="48" spans="1:4" ht="15.75" customHeight="1" x14ac:dyDescent="0.3">
      <c r="A48" s="2" t="s">
        <v>15</v>
      </c>
      <c r="B48" s="2" t="s">
        <v>496</v>
      </c>
      <c r="C48" s="2" t="s">
        <v>259</v>
      </c>
      <c r="D48" s="4">
        <v>9.3000000000000007</v>
      </c>
    </row>
    <row r="49" spans="1:4" ht="15.75" customHeight="1" x14ac:dyDescent="0.3">
      <c r="A49" s="2" t="s">
        <v>15</v>
      </c>
      <c r="B49" s="2"/>
      <c r="C49" s="2" t="s">
        <v>264</v>
      </c>
      <c r="D49" s="4">
        <v>45.5</v>
      </c>
    </row>
    <row r="50" spans="1:4" ht="15.75" customHeight="1" x14ac:dyDescent="0.3">
      <c r="A50" s="2" t="s">
        <v>15</v>
      </c>
      <c r="B50" s="2" t="s">
        <v>498</v>
      </c>
      <c r="C50" s="2" t="s">
        <v>263</v>
      </c>
      <c r="D50" s="4">
        <v>18.07</v>
      </c>
    </row>
    <row r="51" spans="1:4" ht="15.75" customHeight="1" x14ac:dyDescent="0.3">
      <c r="A51" s="2" t="s">
        <v>15</v>
      </c>
      <c r="B51" s="2" t="s">
        <v>498</v>
      </c>
      <c r="C51" s="2" t="s">
        <v>255</v>
      </c>
      <c r="D51" s="4">
        <v>0.92</v>
      </c>
    </row>
    <row r="52" spans="1:4" ht="15.75" customHeight="1" x14ac:dyDescent="0.3">
      <c r="A52" s="2" t="s">
        <v>15</v>
      </c>
      <c r="B52" s="2" t="s">
        <v>498</v>
      </c>
      <c r="C52" s="2" t="s">
        <v>262</v>
      </c>
      <c r="D52" s="4">
        <v>27.99</v>
      </c>
    </row>
    <row r="53" spans="1:4" ht="15.75" customHeight="1" x14ac:dyDescent="0.3">
      <c r="A53" s="2" t="s">
        <v>15</v>
      </c>
      <c r="B53" s="2" t="s">
        <v>496</v>
      </c>
      <c r="C53" s="2" t="s">
        <v>259</v>
      </c>
      <c r="D53" s="4">
        <v>23.07</v>
      </c>
    </row>
    <row r="54" spans="1:4" ht="15.75" customHeight="1" x14ac:dyDescent="0.3">
      <c r="A54" s="2" t="s">
        <v>15</v>
      </c>
      <c r="B54" s="2"/>
      <c r="C54" s="2" t="s">
        <v>264</v>
      </c>
      <c r="D54" s="4">
        <v>43.17</v>
      </c>
    </row>
    <row r="55" spans="1:4" ht="15.75" customHeight="1" x14ac:dyDescent="0.3">
      <c r="A55" s="2" t="s">
        <v>15</v>
      </c>
      <c r="B55" s="2" t="s">
        <v>498</v>
      </c>
      <c r="C55" s="2" t="s">
        <v>255</v>
      </c>
      <c r="D55" s="4">
        <v>76.91</v>
      </c>
    </row>
    <row r="56" spans="1:4" ht="15.75" customHeight="1" x14ac:dyDescent="0.3">
      <c r="A56" s="2" t="s">
        <v>15</v>
      </c>
      <c r="B56" s="2" t="s">
        <v>496</v>
      </c>
      <c r="C56" s="2" t="s">
        <v>256</v>
      </c>
      <c r="D56" s="4">
        <v>28.24</v>
      </c>
    </row>
    <row r="57" spans="1:4" ht="15.75" customHeight="1" x14ac:dyDescent="0.3">
      <c r="A57" s="2" t="s">
        <v>16</v>
      </c>
      <c r="B57" s="2" t="s">
        <v>5</v>
      </c>
      <c r="C57" s="2" t="s">
        <v>5</v>
      </c>
      <c r="D57" s="4" t="s">
        <v>5</v>
      </c>
    </row>
    <row r="58" spans="1:4" ht="15.75" customHeight="1" x14ac:dyDescent="0.3">
      <c r="A58" s="2" t="s">
        <v>16</v>
      </c>
      <c r="B58" s="2" t="s">
        <v>498</v>
      </c>
      <c r="C58" s="2" t="s">
        <v>255</v>
      </c>
      <c r="D58" s="4">
        <v>49.59</v>
      </c>
    </row>
    <row r="59" spans="1:4" ht="15.75" customHeight="1" x14ac:dyDescent="0.3">
      <c r="A59" s="2" t="s">
        <v>16</v>
      </c>
      <c r="B59" s="2" t="s">
        <v>496</v>
      </c>
      <c r="C59" s="2" t="s">
        <v>256</v>
      </c>
      <c r="D59" s="4">
        <v>17.96</v>
      </c>
    </row>
    <row r="60" spans="1:4" ht="15.75" customHeight="1" x14ac:dyDescent="0.3">
      <c r="A60" s="2" t="s">
        <v>16</v>
      </c>
      <c r="B60" s="2" t="s">
        <v>498</v>
      </c>
      <c r="C60" s="2" t="s">
        <v>263</v>
      </c>
      <c r="D60" s="4">
        <v>8.67</v>
      </c>
    </row>
    <row r="61" spans="1:4" ht="15.75" customHeight="1" x14ac:dyDescent="0.3">
      <c r="A61" s="2" t="s">
        <v>16</v>
      </c>
      <c r="B61" s="2" t="s">
        <v>498</v>
      </c>
      <c r="C61" s="2" t="s">
        <v>255</v>
      </c>
      <c r="D61" s="4">
        <v>0.43</v>
      </c>
    </row>
    <row r="62" spans="1:4" ht="15.75" customHeight="1" x14ac:dyDescent="0.3">
      <c r="A62" s="2" t="s">
        <v>16</v>
      </c>
      <c r="B62" s="2" t="s">
        <v>498</v>
      </c>
      <c r="C62" s="2" t="s">
        <v>262</v>
      </c>
      <c r="D62" s="4">
        <v>14.85</v>
      </c>
    </row>
    <row r="63" spans="1:4" ht="15.75" customHeight="1" x14ac:dyDescent="0.3">
      <c r="A63" s="2" t="s">
        <v>16</v>
      </c>
      <c r="B63" s="2" t="s">
        <v>496</v>
      </c>
      <c r="C63" s="2" t="s">
        <v>259</v>
      </c>
      <c r="D63" s="4">
        <v>9.32</v>
      </c>
    </row>
    <row r="64" spans="1:4" ht="15.75" customHeight="1" x14ac:dyDescent="0.3">
      <c r="A64" s="2" t="s">
        <v>16</v>
      </c>
      <c r="B64" s="2"/>
      <c r="C64" s="2" t="s">
        <v>264</v>
      </c>
      <c r="D64" s="4">
        <v>45.5</v>
      </c>
    </row>
    <row r="65" spans="1:4" ht="15.75" customHeight="1" x14ac:dyDescent="0.3">
      <c r="A65" s="2" t="s">
        <v>16</v>
      </c>
      <c r="B65" s="2" t="s">
        <v>498</v>
      </c>
      <c r="C65" s="2" t="s">
        <v>263</v>
      </c>
      <c r="D65" s="4">
        <v>12.57</v>
      </c>
    </row>
    <row r="66" spans="1:4" ht="15.75" customHeight="1" x14ac:dyDescent="0.3">
      <c r="A66" s="2" t="s">
        <v>16</v>
      </c>
      <c r="B66" s="2" t="s">
        <v>498</v>
      </c>
      <c r="C66" s="2" t="s">
        <v>255</v>
      </c>
      <c r="D66" s="4">
        <v>10.74</v>
      </c>
    </row>
    <row r="67" spans="1:4" ht="15.75" customHeight="1" x14ac:dyDescent="0.3">
      <c r="A67" s="2" t="s">
        <v>16</v>
      </c>
      <c r="B67" s="2" t="s">
        <v>498</v>
      </c>
      <c r="C67" s="2" t="s">
        <v>262</v>
      </c>
      <c r="D67" s="4">
        <v>30.38</v>
      </c>
    </row>
    <row r="68" spans="1:4" ht="15.75" customHeight="1" x14ac:dyDescent="0.3">
      <c r="A68" s="2" t="s">
        <v>16</v>
      </c>
      <c r="B68" s="2" t="s">
        <v>496</v>
      </c>
      <c r="C68" s="2" t="s">
        <v>259</v>
      </c>
      <c r="D68" s="4">
        <v>23.12</v>
      </c>
    </row>
    <row r="69" spans="1:4" ht="15.75" customHeight="1" x14ac:dyDescent="0.3">
      <c r="A69" s="2" t="s">
        <v>16</v>
      </c>
      <c r="B69" s="2"/>
      <c r="C69" s="2" t="s">
        <v>264</v>
      </c>
      <c r="D69" s="4">
        <v>43.2</v>
      </c>
    </row>
    <row r="70" spans="1:4" ht="15.75" customHeight="1" x14ac:dyDescent="0.3">
      <c r="A70" s="2" t="s">
        <v>16</v>
      </c>
      <c r="B70" s="2" t="s">
        <v>498</v>
      </c>
      <c r="C70" s="2" t="s">
        <v>255</v>
      </c>
      <c r="D70" s="4">
        <v>78.56</v>
      </c>
    </row>
    <row r="71" spans="1:4" ht="15.75" customHeight="1" x14ac:dyDescent="0.3">
      <c r="A71" s="2" t="s">
        <v>16</v>
      </c>
      <c r="B71" s="2" t="s">
        <v>496</v>
      </c>
      <c r="C71" s="2" t="s">
        <v>256</v>
      </c>
      <c r="D71" s="4">
        <v>26.92</v>
      </c>
    </row>
    <row r="72" spans="1:4" ht="15.75" customHeight="1" x14ac:dyDescent="0.3">
      <c r="A72" s="2" t="s">
        <v>17</v>
      </c>
      <c r="B72" s="2" t="s">
        <v>5</v>
      </c>
      <c r="C72" s="2" t="s">
        <v>5</v>
      </c>
      <c r="D72" s="4" t="s">
        <v>5</v>
      </c>
    </row>
    <row r="73" spans="1:4" ht="15.75" customHeight="1" x14ac:dyDescent="0.3">
      <c r="A73" s="2" t="s">
        <v>17</v>
      </c>
      <c r="B73" s="2" t="s">
        <v>498</v>
      </c>
      <c r="C73" s="2" t="s">
        <v>263</v>
      </c>
      <c r="D73" s="4">
        <v>0.46</v>
      </c>
    </row>
    <row r="74" spans="1:4" ht="15.75" customHeight="1" x14ac:dyDescent="0.3">
      <c r="A74" s="2" t="s">
        <v>17</v>
      </c>
      <c r="B74" s="2" t="s">
        <v>498</v>
      </c>
      <c r="C74" s="2" t="s">
        <v>255</v>
      </c>
      <c r="D74" s="4">
        <v>52.67</v>
      </c>
    </row>
    <row r="75" spans="1:4" ht="15.75" customHeight="1" x14ac:dyDescent="0.3">
      <c r="A75" s="2" t="s">
        <v>17</v>
      </c>
      <c r="B75" s="2" t="s">
        <v>496</v>
      </c>
      <c r="C75" s="2" t="s">
        <v>256</v>
      </c>
      <c r="D75" s="4">
        <v>22.52</v>
      </c>
    </row>
    <row r="76" spans="1:4" ht="15.75" customHeight="1" x14ac:dyDescent="0.3">
      <c r="A76" s="2" t="s">
        <v>17</v>
      </c>
      <c r="B76" s="2" t="s">
        <v>498</v>
      </c>
      <c r="C76" s="2" t="s">
        <v>263</v>
      </c>
      <c r="D76" s="4">
        <v>11.5</v>
      </c>
    </row>
    <row r="77" spans="1:4" ht="15.75" customHeight="1" x14ac:dyDescent="0.3">
      <c r="A77" s="2" t="s">
        <v>17</v>
      </c>
      <c r="B77" s="2" t="s">
        <v>498</v>
      </c>
      <c r="C77" s="2" t="s">
        <v>255</v>
      </c>
      <c r="D77" s="4">
        <v>0.48</v>
      </c>
    </row>
    <row r="78" spans="1:4" ht="15.75" customHeight="1" x14ac:dyDescent="0.3">
      <c r="A78" s="2" t="s">
        <v>17</v>
      </c>
      <c r="B78" s="2" t="s">
        <v>498</v>
      </c>
      <c r="C78" s="2" t="s">
        <v>262</v>
      </c>
      <c r="D78" s="4">
        <v>15.53</v>
      </c>
    </row>
    <row r="79" spans="1:4" ht="15.75" customHeight="1" x14ac:dyDescent="0.3">
      <c r="A79" s="2" t="s">
        <v>17</v>
      </c>
      <c r="B79" s="2" t="s">
        <v>496</v>
      </c>
      <c r="C79" s="2" t="s">
        <v>259</v>
      </c>
      <c r="D79" s="4">
        <v>11.91</v>
      </c>
    </row>
    <row r="80" spans="1:4" ht="15.75" customHeight="1" x14ac:dyDescent="0.3">
      <c r="A80" s="2" t="s">
        <v>17</v>
      </c>
      <c r="B80" s="2"/>
      <c r="C80" s="2" t="s">
        <v>264</v>
      </c>
      <c r="D80" s="4">
        <v>47.72</v>
      </c>
    </row>
    <row r="81" spans="1:4" ht="15.75" customHeight="1" x14ac:dyDescent="0.3">
      <c r="A81" s="2" t="s">
        <v>17</v>
      </c>
      <c r="B81" s="2" t="s">
        <v>498</v>
      </c>
      <c r="C81" s="2" t="s">
        <v>263</v>
      </c>
      <c r="D81" s="4">
        <v>23.58</v>
      </c>
    </row>
    <row r="82" spans="1:4" ht="15.75" customHeight="1" x14ac:dyDescent="0.3">
      <c r="A82" s="2" t="s">
        <v>17</v>
      </c>
      <c r="B82" s="2" t="s">
        <v>498</v>
      </c>
      <c r="C82" s="2" t="s">
        <v>262</v>
      </c>
      <c r="D82" s="4">
        <v>24.39</v>
      </c>
    </row>
    <row r="83" spans="1:4" ht="15.75" customHeight="1" x14ac:dyDescent="0.3">
      <c r="A83" s="2" t="s">
        <v>17</v>
      </c>
      <c r="B83" s="2" t="s">
        <v>496</v>
      </c>
      <c r="C83" s="2" t="s">
        <v>259</v>
      </c>
      <c r="D83" s="4">
        <v>28.56</v>
      </c>
    </row>
    <row r="84" spans="1:4" ht="15.75" customHeight="1" x14ac:dyDescent="0.3">
      <c r="A84" s="2" t="s">
        <v>17</v>
      </c>
      <c r="B84" s="2"/>
      <c r="C84" s="2" t="s">
        <v>264</v>
      </c>
      <c r="D84" s="4">
        <v>49.05</v>
      </c>
    </row>
    <row r="85" spans="1:4" ht="15.75" customHeight="1" x14ac:dyDescent="0.3">
      <c r="A85" s="2" t="s">
        <v>17</v>
      </c>
      <c r="B85" s="2" t="s">
        <v>498</v>
      </c>
      <c r="C85" s="2" t="s">
        <v>255</v>
      </c>
      <c r="D85" s="4">
        <v>77.89</v>
      </c>
    </row>
    <row r="86" spans="1:4" ht="15.75" customHeight="1" x14ac:dyDescent="0.3">
      <c r="A86" s="2" t="s">
        <v>17</v>
      </c>
      <c r="B86" s="2" t="s">
        <v>496</v>
      </c>
      <c r="C86" s="2" t="s">
        <v>256</v>
      </c>
      <c r="D86" s="4">
        <v>54.06</v>
      </c>
    </row>
    <row r="87" spans="1:4" ht="15.75" customHeight="1" x14ac:dyDescent="0.3">
      <c r="A87" s="2" t="s">
        <v>18</v>
      </c>
      <c r="B87" s="2" t="s">
        <v>5</v>
      </c>
      <c r="C87" s="2" t="s">
        <v>5</v>
      </c>
      <c r="D87" s="4" t="s">
        <v>5</v>
      </c>
    </row>
    <row r="88" spans="1:4" ht="15.75" customHeight="1" x14ac:dyDescent="0.3">
      <c r="A88" s="2" t="s">
        <v>18</v>
      </c>
      <c r="B88" s="2" t="s">
        <v>496</v>
      </c>
      <c r="C88" s="2" t="s">
        <v>258</v>
      </c>
      <c r="D88" s="4">
        <v>9.3000000000000007</v>
      </c>
    </row>
    <row r="89" spans="1:4" ht="15.75" customHeight="1" x14ac:dyDescent="0.3">
      <c r="A89" s="2" t="s">
        <v>18</v>
      </c>
      <c r="B89" s="2" t="s">
        <v>496</v>
      </c>
      <c r="C89" s="2" t="s">
        <v>252</v>
      </c>
      <c r="D89" s="4">
        <v>0.33</v>
      </c>
    </row>
    <row r="90" spans="1:4" ht="15.75" customHeight="1" x14ac:dyDescent="0.3">
      <c r="A90" s="2" t="s">
        <v>18</v>
      </c>
      <c r="B90" s="2" t="s">
        <v>498</v>
      </c>
      <c r="C90" s="2" t="s">
        <v>253</v>
      </c>
      <c r="D90" s="4">
        <v>2.42</v>
      </c>
    </row>
    <row r="91" spans="1:4" ht="15.75" customHeight="1" x14ac:dyDescent="0.3">
      <c r="A91" s="2" t="s">
        <v>18</v>
      </c>
      <c r="B91" s="2" t="s">
        <v>496</v>
      </c>
      <c r="C91" s="2" t="s">
        <v>254</v>
      </c>
      <c r="D91" s="4">
        <v>12.35</v>
      </c>
    </row>
    <row r="92" spans="1:4" ht="15.75" customHeight="1" x14ac:dyDescent="0.3">
      <c r="A92" s="2" t="s">
        <v>18</v>
      </c>
      <c r="B92" s="2" t="s">
        <v>498</v>
      </c>
      <c r="C92" s="2" t="s">
        <v>255</v>
      </c>
      <c r="D92" s="4">
        <v>42.15</v>
      </c>
    </row>
    <row r="93" spans="1:4" ht="15.75" customHeight="1" x14ac:dyDescent="0.3">
      <c r="A93" s="2" t="s">
        <v>18</v>
      </c>
      <c r="B93" s="2" t="s">
        <v>496</v>
      </c>
      <c r="C93" s="2" t="s">
        <v>258</v>
      </c>
      <c r="D93" s="4">
        <v>9.3000000000000007</v>
      </c>
    </row>
    <row r="94" spans="1:4" ht="15.75" customHeight="1" x14ac:dyDescent="0.3">
      <c r="A94" s="2" t="s">
        <v>18</v>
      </c>
      <c r="B94" s="2" t="s">
        <v>496</v>
      </c>
      <c r="C94" s="2" t="s">
        <v>252</v>
      </c>
      <c r="D94" s="4">
        <v>0.63</v>
      </c>
    </row>
    <row r="95" spans="1:4" ht="15.75" customHeight="1" x14ac:dyDescent="0.3">
      <c r="A95" s="2" t="s">
        <v>18</v>
      </c>
      <c r="B95" s="2" t="s">
        <v>498</v>
      </c>
      <c r="C95" s="2" t="s">
        <v>253</v>
      </c>
      <c r="D95" s="4">
        <v>9.8699999999999992</v>
      </c>
    </row>
    <row r="96" spans="1:4" ht="15.75" customHeight="1" x14ac:dyDescent="0.3">
      <c r="A96" s="2" t="s">
        <v>18</v>
      </c>
      <c r="B96" s="2" t="s">
        <v>496</v>
      </c>
      <c r="C96" s="2" t="s">
        <v>254</v>
      </c>
      <c r="D96" s="4">
        <v>12.36</v>
      </c>
    </row>
    <row r="97" spans="1:4" ht="15.75" customHeight="1" x14ac:dyDescent="0.3">
      <c r="A97" s="2" t="s">
        <v>18</v>
      </c>
      <c r="B97" s="2" t="s">
        <v>498</v>
      </c>
      <c r="C97" s="2" t="s">
        <v>265</v>
      </c>
      <c r="D97" s="4">
        <v>16.329999999999998</v>
      </c>
    </row>
    <row r="98" spans="1:4" ht="15.75" customHeight="1" x14ac:dyDescent="0.3">
      <c r="A98" s="2" t="s">
        <v>18</v>
      </c>
      <c r="B98" s="2" t="s">
        <v>498</v>
      </c>
      <c r="C98" s="2" t="s">
        <v>262</v>
      </c>
      <c r="D98" s="4">
        <v>0.25</v>
      </c>
    </row>
    <row r="99" spans="1:4" ht="15.75" customHeight="1" x14ac:dyDescent="0.3">
      <c r="A99" s="2" t="s">
        <v>18</v>
      </c>
      <c r="B99" s="2" t="s">
        <v>496</v>
      </c>
      <c r="C99" s="2" t="s">
        <v>258</v>
      </c>
      <c r="D99" s="4">
        <v>19.34</v>
      </c>
    </row>
    <row r="100" spans="1:4" ht="15.75" customHeight="1" x14ac:dyDescent="0.3">
      <c r="A100" s="2" t="s">
        <v>18</v>
      </c>
      <c r="B100" s="2" t="s">
        <v>496</v>
      </c>
      <c r="C100" s="2" t="s">
        <v>252</v>
      </c>
      <c r="D100" s="4">
        <v>0.24</v>
      </c>
    </row>
    <row r="101" spans="1:4" ht="15.75" customHeight="1" x14ac:dyDescent="0.3">
      <c r="A101" s="2" t="s">
        <v>18</v>
      </c>
      <c r="B101" s="2" t="s">
        <v>498</v>
      </c>
      <c r="C101" s="2" t="s">
        <v>253</v>
      </c>
      <c r="D101" s="4">
        <v>27.38</v>
      </c>
    </row>
    <row r="102" spans="1:4" ht="15.75" customHeight="1" x14ac:dyDescent="0.3">
      <c r="A102" s="2" t="s">
        <v>18</v>
      </c>
      <c r="B102" s="2" t="s">
        <v>496</v>
      </c>
      <c r="C102" s="2" t="s">
        <v>254</v>
      </c>
      <c r="D102" s="4">
        <v>17.760000000000002</v>
      </c>
    </row>
    <row r="103" spans="1:4" ht="15.75" customHeight="1" x14ac:dyDescent="0.3">
      <c r="A103" s="2" t="s">
        <v>18</v>
      </c>
      <c r="B103" s="2" t="s">
        <v>498</v>
      </c>
      <c r="C103" s="2" t="s">
        <v>265</v>
      </c>
      <c r="D103" s="4">
        <v>3.97</v>
      </c>
    </row>
    <row r="104" spans="1:4" ht="15.75" customHeight="1" x14ac:dyDescent="0.3">
      <c r="A104" s="2" t="s">
        <v>18</v>
      </c>
      <c r="B104" s="2" t="s">
        <v>498</v>
      </c>
      <c r="C104" s="2" t="s">
        <v>257</v>
      </c>
      <c r="D104" s="4">
        <v>4.79</v>
      </c>
    </row>
    <row r="105" spans="1:4" ht="15.75" customHeight="1" x14ac:dyDescent="0.3">
      <c r="A105" s="2" t="s">
        <v>18</v>
      </c>
      <c r="B105" s="2" t="s">
        <v>496</v>
      </c>
      <c r="C105" s="2" t="s">
        <v>258</v>
      </c>
      <c r="D105" s="4">
        <v>30.59</v>
      </c>
    </row>
    <row r="106" spans="1:4" ht="15.75" customHeight="1" x14ac:dyDescent="0.3">
      <c r="A106" s="2" t="s">
        <v>18</v>
      </c>
      <c r="B106" s="2" t="s">
        <v>498</v>
      </c>
      <c r="C106" s="2" t="s">
        <v>253</v>
      </c>
      <c r="D106" s="4">
        <v>22.83</v>
      </c>
    </row>
    <row r="107" spans="1:4" ht="15.75" customHeight="1" x14ac:dyDescent="0.3">
      <c r="A107" s="2" t="s">
        <v>18</v>
      </c>
      <c r="B107" s="2" t="s">
        <v>496</v>
      </c>
      <c r="C107" s="2" t="s">
        <v>254</v>
      </c>
      <c r="D107" s="4">
        <v>9.77</v>
      </c>
    </row>
    <row r="108" spans="1:4" ht="15.75" customHeight="1" x14ac:dyDescent="0.3">
      <c r="A108" s="2" t="s">
        <v>18</v>
      </c>
      <c r="B108" s="2" t="s">
        <v>498</v>
      </c>
      <c r="C108" s="2" t="s">
        <v>255</v>
      </c>
      <c r="D108" s="4">
        <v>64.98</v>
      </c>
    </row>
    <row r="109" spans="1:4" ht="15.75" customHeight="1" x14ac:dyDescent="0.3">
      <c r="A109" s="2" t="s">
        <v>21</v>
      </c>
      <c r="B109" s="2" t="s">
        <v>5</v>
      </c>
      <c r="C109" s="2" t="s">
        <v>5</v>
      </c>
      <c r="D109" s="4" t="s">
        <v>5</v>
      </c>
    </row>
    <row r="110" spans="1:4" ht="15.75" customHeight="1" x14ac:dyDescent="0.3">
      <c r="A110" s="2" t="s">
        <v>21</v>
      </c>
      <c r="B110" s="2" t="s">
        <v>498</v>
      </c>
      <c r="C110" s="2" t="s">
        <v>257</v>
      </c>
      <c r="D110" s="4">
        <v>1.77</v>
      </c>
    </row>
    <row r="111" spans="1:4" ht="15.75" customHeight="1" x14ac:dyDescent="0.3">
      <c r="A111" s="2" t="s">
        <v>21</v>
      </c>
      <c r="B111" s="2" t="s">
        <v>496</v>
      </c>
      <c r="C111" s="2" t="s">
        <v>258</v>
      </c>
      <c r="D111" s="4">
        <v>7.47</v>
      </c>
    </row>
    <row r="112" spans="1:4" ht="15.75" customHeight="1" x14ac:dyDescent="0.3">
      <c r="A112" s="2" t="s">
        <v>21</v>
      </c>
      <c r="B112" s="2" t="s">
        <v>498</v>
      </c>
      <c r="C112" s="2" t="s">
        <v>253</v>
      </c>
      <c r="D112" s="4">
        <v>10.8</v>
      </c>
    </row>
    <row r="113" spans="1:4" ht="15.75" customHeight="1" x14ac:dyDescent="0.3">
      <c r="A113" s="2" t="s">
        <v>21</v>
      </c>
      <c r="B113" s="2" t="s">
        <v>496</v>
      </c>
      <c r="C113" s="2" t="s">
        <v>254</v>
      </c>
      <c r="D113" s="4">
        <v>9.8699999999999992</v>
      </c>
    </row>
    <row r="114" spans="1:4" ht="15.75" customHeight="1" x14ac:dyDescent="0.3">
      <c r="A114" s="2" t="s">
        <v>21</v>
      </c>
      <c r="B114" s="2" t="s">
        <v>498</v>
      </c>
      <c r="C114" s="2" t="s">
        <v>265</v>
      </c>
      <c r="D114" s="4">
        <v>5.46</v>
      </c>
    </row>
    <row r="115" spans="1:4" ht="15.75" customHeight="1" x14ac:dyDescent="0.3">
      <c r="A115" s="2" t="s">
        <v>21</v>
      </c>
      <c r="B115" s="2" t="s">
        <v>496</v>
      </c>
      <c r="C115" s="2" t="s">
        <v>266</v>
      </c>
      <c r="D115" s="4">
        <v>5.32</v>
      </c>
    </row>
    <row r="116" spans="1:4" ht="15.75" customHeight="1" x14ac:dyDescent="0.3">
      <c r="A116" s="2" t="s">
        <v>21</v>
      </c>
      <c r="B116" s="2" t="s">
        <v>498</v>
      </c>
      <c r="C116" s="2" t="s">
        <v>257</v>
      </c>
      <c r="D116" s="4">
        <v>1.77</v>
      </c>
    </row>
    <row r="117" spans="1:4" ht="15.75" customHeight="1" x14ac:dyDescent="0.3">
      <c r="A117" s="2" t="s">
        <v>21</v>
      </c>
      <c r="B117" s="2" t="s">
        <v>496</v>
      </c>
      <c r="C117" s="2" t="s">
        <v>258</v>
      </c>
      <c r="D117" s="4">
        <v>7.47</v>
      </c>
    </row>
    <row r="118" spans="1:4" ht="15.75" customHeight="1" x14ac:dyDescent="0.3">
      <c r="A118" s="2" t="s">
        <v>21</v>
      </c>
      <c r="B118" s="2" t="s">
        <v>498</v>
      </c>
      <c r="C118" s="2" t="s">
        <v>253</v>
      </c>
      <c r="D118" s="4">
        <v>10.8</v>
      </c>
    </row>
    <row r="119" spans="1:4" ht="15.75" customHeight="1" x14ac:dyDescent="0.3">
      <c r="A119" s="2" t="s">
        <v>21</v>
      </c>
      <c r="B119" s="2" t="s">
        <v>496</v>
      </c>
      <c r="C119" s="2" t="s">
        <v>254</v>
      </c>
      <c r="D119" s="4">
        <v>9.85</v>
      </c>
    </row>
    <row r="120" spans="1:4" ht="15.75" customHeight="1" x14ac:dyDescent="0.3">
      <c r="A120" s="2" t="s">
        <v>21</v>
      </c>
      <c r="B120" s="2" t="s">
        <v>498</v>
      </c>
      <c r="C120" s="2" t="s">
        <v>265</v>
      </c>
      <c r="D120" s="4">
        <v>5.46</v>
      </c>
    </row>
    <row r="121" spans="1:4" ht="15.75" customHeight="1" x14ac:dyDescent="0.3">
      <c r="A121" s="2" t="s">
        <v>21</v>
      </c>
      <c r="B121" s="2" t="s">
        <v>496</v>
      </c>
      <c r="C121" s="2" t="s">
        <v>266</v>
      </c>
      <c r="D121" s="4">
        <v>5.49</v>
      </c>
    </row>
    <row r="122" spans="1:4" ht="15.75" customHeight="1" x14ac:dyDescent="0.3">
      <c r="A122" s="2" t="s">
        <v>21</v>
      </c>
      <c r="B122" s="2" t="s">
        <v>498</v>
      </c>
      <c r="C122" s="2" t="s">
        <v>257</v>
      </c>
      <c r="D122" s="4">
        <v>7.27</v>
      </c>
    </row>
    <row r="123" spans="1:4" ht="15.75" customHeight="1" x14ac:dyDescent="0.3">
      <c r="A123" s="2" t="s">
        <v>21</v>
      </c>
      <c r="B123" s="2" t="s">
        <v>496</v>
      </c>
      <c r="C123" s="2" t="s">
        <v>258</v>
      </c>
      <c r="D123" s="4">
        <v>15.12</v>
      </c>
    </row>
    <row r="124" spans="1:4" ht="15.75" customHeight="1" x14ac:dyDescent="0.3">
      <c r="A124" s="2" t="s">
        <v>21</v>
      </c>
      <c r="B124" s="2" t="s">
        <v>498</v>
      </c>
      <c r="C124" s="2" t="s">
        <v>261</v>
      </c>
      <c r="D124" s="4">
        <v>2.0299999999999998</v>
      </c>
    </row>
    <row r="125" spans="1:4" ht="15.75" customHeight="1" x14ac:dyDescent="0.3">
      <c r="A125" s="2" t="s">
        <v>21</v>
      </c>
      <c r="B125" s="2" t="s">
        <v>496</v>
      </c>
      <c r="C125" s="2" t="s">
        <v>252</v>
      </c>
      <c r="D125" s="4">
        <v>5.71</v>
      </c>
    </row>
    <row r="126" spans="1:4" ht="15.75" customHeight="1" x14ac:dyDescent="0.3">
      <c r="A126" s="2" t="s">
        <v>21</v>
      </c>
      <c r="B126" s="2" t="s">
        <v>498</v>
      </c>
      <c r="C126" s="2" t="s">
        <v>253</v>
      </c>
      <c r="D126" s="4">
        <v>16.88</v>
      </c>
    </row>
    <row r="127" spans="1:4" ht="15.75" customHeight="1" x14ac:dyDescent="0.3">
      <c r="A127" s="2" t="s">
        <v>21</v>
      </c>
      <c r="B127" s="2" t="s">
        <v>496</v>
      </c>
      <c r="C127" s="2" t="s">
        <v>254</v>
      </c>
      <c r="D127" s="4">
        <v>11.42</v>
      </c>
    </row>
    <row r="128" spans="1:4" ht="15.75" customHeight="1" x14ac:dyDescent="0.3">
      <c r="A128" s="2" t="s">
        <v>21</v>
      </c>
      <c r="B128" s="2"/>
      <c r="C128" s="2" t="s">
        <v>260</v>
      </c>
      <c r="D128" s="4">
        <v>25.79</v>
      </c>
    </row>
    <row r="129" spans="1:4" ht="15.75" customHeight="1" x14ac:dyDescent="0.3">
      <c r="A129" s="2" t="s">
        <v>21</v>
      </c>
      <c r="B129" s="2" t="s">
        <v>498</v>
      </c>
      <c r="C129" s="2" t="s">
        <v>267</v>
      </c>
      <c r="D129" s="4">
        <v>21.52</v>
      </c>
    </row>
    <row r="130" spans="1:4" ht="15.75" customHeight="1" x14ac:dyDescent="0.3">
      <c r="A130" s="2" t="s">
        <v>21</v>
      </c>
      <c r="B130" s="2" t="s">
        <v>496</v>
      </c>
      <c r="C130" s="2" t="s">
        <v>268</v>
      </c>
      <c r="D130" s="4">
        <v>1.47</v>
      </c>
    </row>
    <row r="131" spans="1:4" ht="15.75" customHeight="1" x14ac:dyDescent="0.3">
      <c r="A131" s="2" t="s">
        <v>21</v>
      </c>
      <c r="B131" s="2" t="s">
        <v>498</v>
      </c>
      <c r="C131" s="2" t="s">
        <v>257</v>
      </c>
      <c r="D131" s="4">
        <v>9.48</v>
      </c>
    </row>
    <row r="132" spans="1:4" ht="15.75" customHeight="1" x14ac:dyDescent="0.3">
      <c r="A132" s="2" t="s">
        <v>21</v>
      </c>
      <c r="B132" s="2" t="s">
        <v>496</v>
      </c>
      <c r="C132" s="2" t="s">
        <v>258</v>
      </c>
      <c r="D132" s="4">
        <v>19.989999999999998</v>
      </c>
    </row>
    <row r="133" spans="1:4" ht="15.75" customHeight="1" x14ac:dyDescent="0.3">
      <c r="A133" s="2" t="s">
        <v>21</v>
      </c>
      <c r="B133" s="2" t="s">
        <v>498</v>
      </c>
      <c r="C133" s="2" t="s">
        <v>265</v>
      </c>
      <c r="D133" s="4">
        <v>32.75</v>
      </c>
    </row>
    <row r="134" spans="1:4" ht="15.75" customHeight="1" x14ac:dyDescent="0.3">
      <c r="A134" s="2" t="s">
        <v>21</v>
      </c>
      <c r="B134" s="2" t="s">
        <v>496</v>
      </c>
      <c r="C134" s="2" t="s">
        <v>266</v>
      </c>
      <c r="D134" s="4">
        <v>15.46</v>
      </c>
    </row>
    <row r="135" spans="1:4" ht="15.75" customHeight="1" x14ac:dyDescent="0.3">
      <c r="A135" s="2" t="s">
        <v>21</v>
      </c>
      <c r="B135" s="2"/>
      <c r="C135" s="2" t="s">
        <v>264</v>
      </c>
      <c r="D135" s="4">
        <v>3.83</v>
      </c>
    </row>
    <row r="136" spans="1:4" ht="15.75" customHeight="1" x14ac:dyDescent="0.3">
      <c r="A136" s="2" t="s">
        <v>24</v>
      </c>
      <c r="B136" s="2" t="s">
        <v>5</v>
      </c>
      <c r="C136" s="2" t="s">
        <v>5</v>
      </c>
      <c r="D136" s="4" t="s">
        <v>5</v>
      </c>
    </row>
    <row r="137" spans="1:4" ht="15.75" customHeight="1" x14ac:dyDescent="0.3">
      <c r="A137" s="2" t="s">
        <v>24</v>
      </c>
      <c r="B137" s="2" t="s">
        <v>498</v>
      </c>
      <c r="C137" s="2" t="s">
        <v>257</v>
      </c>
      <c r="D137" s="4">
        <v>1.77</v>
      </c>
    </row>
    <row r="138" spans="1:4" ht="15.75" customHeight="1" x14ac:dyDescent="0.3">
      <c r="A138" s="2" t="s">
        <v>24</v>
      </c>
      <c r="B138" s="2" t="s">
        <v>496</v>
      </c>
      <c r="C138" s="2" t="s">
        <v>258</v>
      </c>
      <c r="D138" s="4">
        <v>1.35</v>
      </c>
    </row>
    <row r="139" spans="1:4" ht="15.75" customHeight="1" x14ac:dyDescent="0.3">
      <c r="A139" s="2" t="s">
        <v>24</v>
      </c>
      <c r="B139" s="2" t="s">
        <v>498</v>
      </c>
      <c r="C139" s="2" t="s">
        <v>253</v>
      </c>
      <c r="D139" s="4">
        <v>10.8</v>
      </c>
    </row>
    <row r="140" spans="1:4" ht="15.75" customHeight="1" x14ac:dyDescent="0.3">
      <c r="A140" s="2" t="s">
        <v>24</v>
      </c>
      <c r="B140" s="2" t="s">
        <v>496</v>
      </c>
      <c r="C140" s="2" t="s">
        <v>254</v>
      </c>
      <c r="D140" s="4">
        <v>9.8699999999999992</v>
      </c>
    </row>
    <row r="141" spans="1:4" ht="15.75" customHeight="1" x14ac:dyDescent="0.3">
      <c r="A141" s="2" t="s">
        <v>24</v>
      </c>
      <c r="B141" s="2" t="s">
        <v>498</v>
      </c>
      <c r="C141" s="2" t="s">
        <v>265</v>
      </c>
      <c r="D141" s="4">
        <v>5.46</v>
      </c>
    </row>
    <row r="142" spans="1:4" ht="15.75" customHeight="1" x14ac:dyDescent="0.3">
      <c r="A142" s="2" t="s">
        <v>24</v>
      </c>
      <c r="B142" s="2" t="s">
        <v>496</v>
      </c>
      <c r="C142" s="2" t="s">
        <v>266</v>
      </c>
      <c r="D142" s="4">
        <v>5.32</v>
      </c>
    </row>
    <row r="143" spans="1:4" ht="15.75" customHeight="1" x14ac:dyDescent="0.3">
      <c r="A143" s="2" t="s">
        <v>24</v>
      </c>
      <c r="B143" s="2" t="s">
        <v>498</v>
      </c>
      <c r="C143" s="2" t="s">
        <v>257</v>
      </c>
      <c r="D143" s="4">
        <v>1.77</v>
      </c>
    </row>
    <row r="144" spans="1:4" ht="15.75" customHeight="1" x14ac:dyDescent="0.3">
      <c r="A144" s="2" t="s">
        <v>24</v>
      </c>
      <c r="B144" s="2" t="s">
        <v>496</v>
      </c>
      <c r="C144" s="2" t="s">
        <v>258</v>
      </c>
      <c r="D144" s="4">
        <v>1.35</v>
      </c>
    </row>
    <row r="145" spans="1:4" ht="15.75" customHeight="1" x14ac:dyDescent="0.3">
      <c r="A145" s="2" t="s">
        <v>24</v>
      </c>
      <c r="B145" s="2" t="s">
        <v>498</v>
      </c>
      <c r="C145" s="2" t="s">
        <v>253</v>
      </c>
      <c r="D145" s="4">
        <v>10.8</v>
      </c>
    </row>
    <row r="146" spans="1:4" ht="15.75" customHeight="1" x14ac:dyDescent="0.3">
      <c r="A146" s="2" t="s">
        <v>24</v>
      </c>
      <c r="B146" s="2" t="s">
        <v>496</v>
      </c>
      <c r="C146" s="2" t="s">
        <v>254</v>
      </c>
      <c r="D146" s="4">
        <v>9.85</v>
      </c>
    </row>
    <row r="147" spans="1:4" ht="15.75" customHeight="1" x14ac:dyDescent="0.3">
      <c r="A147" s="2" t="s">
        <v>24</v>
      </c>
      <c r="B147" s="2" t="s">
        <v>498</v>
      </c>
      <c r="C147" s="2" t="s">
        <v>265</v>
      </c>
      <c r="D147" s="4">
        <v>5.46</v>
      </c>
    </row>
    <row r="148" spans="1:4" ht="15.75" customHeight="1" x14ac:dyDescent="0.3">
      <c r="A148" s="2" t="s">
        <v>24</v>
      </c>
      <c r="B148" s="2" t="s">
        <v>496</v>
      </c>
      <c r="C148" s="2" t="s">
        <v>266</v>
      </c>
      <c r="D148" s="4">
        <v>5.49</v>
      </c>
    </row>
    <row r="149" spans="1:4" ht="15.75" customHeight="1" x14ac:dyDescent="0.3">
      <c r="A149" s="2" t="s">
        <v>24</v>
      </c>
      <c r="B149" s="2" t="s">
        <v>498</v>
      </c>
      <c r="C149" s="2" t="s">
        <v>257</v>
      </c>
      <c r="D149" s="4">
        <v>7.27</v>
      </c>
    </row>
    <row r="150" spans="1:4" ht="15.75" customHeight="1" x14ac:dyDescent="0.3">
      <c r="A150" s="2" t="s">
        <v>24</v>
      </c>
      <c r="B150" s="2" t="s">
        <v>496</v>
      </c>
      <c r="C150" s="2" t="s">
        <v>258</v>
      </c>
      <c r="D150" s="4">
        <v>9.48</v>
      </c>
    </row>
    <row r="151" spans="1:4" ht="15.75" customHeight="1" x14ac:dyDescent="0.3">
      <c r="A151" s="2" t="s">
        <v>24</v>
      </c>
      <c r="B151" s="2" t="s">
        <v>498</v>
      </c>
      <c r="C151" s="2" t="s">
        <v>261</v>
      </c>
      <c r="D151" s="4">
        <v>2.0299999999999998</v>
      </c>
    </row>
    <row r="152" spans="1:4" ht="15.75" customHeight="1" x14ac:dyDescent="0.3">
      <c r="A152" s="2" t="s">
        <v>24</v>
      </c>
      <c r="B152" s="2" t="s">
        <v>496</v>
      </c>
      <c r="C152" s="2" t="s">
        <v>252</v>
      </c>
      <c r="D152" s="4">
        <v>5.71</v>
      </c>
    </row>
    <row r="153" spans="1:4" ht="15.75" customHeight="1" x14ac:dyDescent="0.3">
      <c r="A153" s="2" t="s">
        <v>24</v>
      </c>
      <c r="B153" s="2" t="s">
        <v>498</v>
      </c>
      <c r="C153" s="2" t="s">
        <v>253</v>
      </c>
      <c r="D153" s="4">
        <v>16.88</v>
      </c>
    </row>
    <row r="154" spans="1:4" ht="15.75" customHeight="1" x14ac:dyDescent="0.3">
      <c r="A154" s="2" t="s">
        <v>24</v>
      </c>
      <c r="B154" s="2" t="s">
        <v>496</v>
      </c>
      <c r="C154" s="2" t="s">
        <v>254</v>
      </c>
      <c r="D154" s="4">
        <v>11.42</v>
      </c>
    </row>
    <row r="155" spans="1:4" ht="15.75" customHeight="1" x14ac:dyDescent="0.3">
      <c r="A155" s="2" t="s">
        <v>24</v>
      </c>
      <c r="B155" s="2"/>
      <c r="C155" s="2" t="s">
        <v>260</v>
      </c>
      <c r="D155" s="4">
        <v>25.79</v>
      </c>
    </row>
    <row r="156" spans="1:4" ht="15.75" customHeight="1" x14ac:dyDescent="0.3">
      <c r="A156" s="2" t="s">
        <v>24</v>
      </c>
      <c r="B156" s="2" t="s">
        <v>498</v>
      </c>
      <c r="C156" s="2" t="s">
        <v>267</v>
      </c>
      <c r="D156" s="4">
        <v>21.52</v>
      </c>
    </row>
    <row r="157" spans="1:4" ht="15.75" customHeight="1" x14ac:dyDescent="0.3">
      <c r="A157" s="2" t="s">
        <v>24</v>
      </c>
      <c r="B157" s="2" t="s">
        <v>496</v>
      </c>
      <c r="C157" s="2" t="s">
        <v>268</v>
      </c>
      <c r="D157" s="4">
        <v>1.47</v>
      </c>
    </row>
    <row r="158" spans="1:4" ht="15.75" customHeight="1" x14ac:dyDescent="0.3">
      <c r="A158" s="2" t="s">
        <v>24</v>
      </c>
      <c r="B158" s="2" t="s">
        <v>498</v>
      </c>
      <c r="C158" s="2" t="s">
        <v>257</v>
      </c>
      <c r="D158" s="4">
        <v>8.48</v>
      </c>
    </row>
    <row r="159" spans="1:4" ht="15.75" customHeight="1" x14ac:dyDescent="0.3">
      <c r="A159" s="2" t="s">
        <v>24</v>
      </c>
      <c r="B159" s="2" t="s">
        <v>496</v>
      </c>
      <c r="C159" s="2" t="s">
        <v>258</v>
      </c>
      <c r="D159" s="4">
        <v>12.54</v>
      </c>
    </row>
    <row r="160" spans="1:4" ht="15.75" customHeight="1" x14ac:dyDescent="0.3">
      <c r="A160" s="2" t="s">
        <v>24</v>
      </c>
      <c r="B160" s="2" t="s">
        <v>498</v>
      </c>
      <c r="C160" s="2" t="s">
        <v>265</v>
      </c>
      <c r="D160" s="4">
        <v>32.75</v>
      </c>
    </row>
    <row r="161" spans="1:4" ht="15.75" customHeight="1" x14ac:dyDescent="0.3">
      <c r="A161" s="2" t="s">
        <v>24</v>
      </c>
      <c r="B161" s="2" t="s">
        <v>496</v>
      </c>
      <c r="C161" s="2" t="s">
        <v>266</v>
      </c>
      <c r="D161" s="4">
        <v>15.43</v>
      </c>
    </row>
    <row r="162" spans="1:4" ht="15.75" customHeight="1" x14ac:dyDescent="0.3">
      <c r="A162" s="2" t="s">
        <v>24</v>
      </c>
      <c r="B162" s="2"/>
      <c r="C162" s="2" t="s">
        <v>264</v>
      </c>
      <c r="D162" s="4">
        <v>3.83</v>
      </c>
    </row>
    <row r="163" spans="1:4" ht="15.75" customHeight="1" x14ac:dyDescent="0.3">
      <c r="A163" s="2" t="s">
        <v>25</v>
      </c>
      <c r="B163" s="2" t="s">
        <v>5</v>
      </c>
      <c r="C163" s="2" t="s">
        <v>5</v>
      </c>
      <c r="D163" s="4" t="s">
        <v>5</v>
      </c>
    </row>
    <row r="164" spans="1:4" ht="15.75" customHeight="1" x14ac:dyDescent="0.3">
      <c r="A164" s="2" t="s">
        <v>25</v>
      </c>
      <c r="B164" s="2" t="s">
        <v>498</v>
      </c>
      <c r="C164" s="2" t="s">
        <v>257</v>
      </c>
      <c r="D164" s="4">
        <v>1.77</v>
      </c>
    </row>
    <row r="165" spans="1:4" ht="15.75" customHeight="1" x14ac:dyDescent="0.3">
      <c r="A165" s="2" t="s">
        <v>25</v>
      </c>
      <c r="B165" s="2" t="s">
        <v>496</v>
      </c>
      <c r="C165" s="2" t="s">
        <v>258</v>
      </c>
      <c r="D165" s="4">
        <v>1.35</v>
      </c>
    </row>
    <row r="166" spans="1:4" ht="15.75" customHeight="1" x14ac:dyDescent="0.3">
      <c r="A166" s="2" t="s">
        <v>25</v>
      </c>
      <c r="B166" s="2" t="s">
        <v>498</v>
      </c>
      <c r="C166" s="2" t="s">
        <v>253</v>
      </c>
      <c r="D166" s="4">
        <v>10.8</v>
      </c>
    </row>
    <row r="167" spans="1:4" ht="15.75" customHeight="1" x14ac:dyDescent="0.3">
      <c r="A167" s="2" t="s">
        <v>25</v>
      </c>
      <c r="B167" s="2" t="s">
        <v>496</v>
      </c>
      <c r="C167" s="2" t="s">
        <v>254</v>
      </c>
      <c r="D167" s="4">
        <v>9.8699999999999992</v>
      </c>
    </row>
    <row r="168" spans="1:4" ht="15.75" customHeight="1" x14ac:dyDescent="0.3">
      <c r="A168" s="2" t="s">
        <v>25</v>
      </c>
      <c r="B168" s="2" t="s">
        <v>498</v>
      </c>
      <c r="C168" s="2" t="s">
        <v>265</v>
      </c>
      <c r="D168" s="4">
        <v>5.46</v>
      </c>
    </row>
    <row r="169" spans="1:4" ht="15.75" customHeight="1" x14ac:dyDescent="0.3">
      <c r="A169" s="2" t="s">
        <v>25</v>
      </c>
      <c r="B169" s="2" t="s">
        <v>496</v>
      </c>
      <c r="C169" s="2" t="s">
        <v>266</v>
      </c>
      <c r="D169" s="4">
        <v>5.32</v>
      </c>
    </row>
    <row r="170" spans="1:4" ht="15.75" customHeight="1" x14ac:dyDescent="0.3">
      <c r="A170" s="2" t="s">
        <v>25</v>
      </c>
      <c r="B170" s="2" t="s">
        <v>498</v>
      </c>
      <c r="C170" s="2" t="s">
        <v>257</v>
      </c>
      <c r="D170" s="4">
        <v>1.77</v>
      </c>
    </row>
    <row r="171" spans="1:4" ht="15.75" customHeight="1" x14ac:dyDescent="0.3">
      <c r="A171" s="2" t="s">
        <v>25</v>
      </c>
      <c r="B171" s="2" t="s">
        <v>496</v>
      </c>
      <c r="C171" s="2" t="s">
        <v>258</v>
      </c>
      <c r="D171" s="4">
        <v>1.35</v>
      </c>
    </row>
    <row r="172" spans="1:4" ht="15.75" customHeight="1" x14ac:dyDescent="0.3">
      <c r="A172" s="2" t="s">
        <v>25</v>
      </c>
      <c r="B172" s="2" t="s">
        <v>498</v>
      </c>
      <c r="C172" s="2" t="s">
        <v>253</v>
      </c>
      <c r="D172" s="4">
        <v>10.8</v>
      </c>
    </row>
    <row r="173" spans="1:4" ht="15.75" customHeight="1" x14ac:dyDescent="0.3">
      <c r="A173" s="2" t="s">
        <v>25</v>
      </c>
      <c r="B173" s="2" t="s">
        <v>496</v>
      </c>
      <c r="C173" s="2" t="s">
        <v>254</v>
      </c>
      <c r="D173" s="4">
        <v>9.85</v>
      </c>
    </row>
    <row r="174" spans="1:4" ht="15.75" customHeight="1" x14ac:dyDescent="0.3">
      <c r="A174" s="2" t="s">
        <v>25</v>
      </c>
      <c r="B174" s="2" t="s">
        <v>498</v>
      </c>
      <c r="C174" s="2" t="s">
        <v>265</v>
      </c>
      <c r="D174" s="4">
        <v>5.46</v>
      </c>
    </row>
    <row r="175" spans="1:4" ht="15.75" customHeight="1" x14ac:dyDescent="0.3">
      <c r="A175" s="2" t="s">
        <v>25</v>
      </c>
      <c r="B175" s="2" t="s">
        <v>496</v>
      </c>
      <c r="C175" s="2" t="s">
        <v>266</v>
      </c>
      <c r="D175" s="4">
        <v>5.49</v>
      </c>
    </row>
    <row r="176" spans="1:4" ht="15.75" customHeight="1" x14ac:dyDescent="0.3">
      <c r="A176" s="2" t="s">
        <v>25</v>
      </c>
      <c r="B176" s="2" t="s">
        <v>498</v>
      </c>
      <c r="C176" s="2" t="s">
        <v>257</v>
      </c>
      <c r="D176" s="4">
        <v>7.27</v>
      </c>
    </row>
    <row r="177" spans="1:4" ht="15.75" customHeight="1" x14ac:dyDescent="0.3">
      <c r="A177" s="2" t="s">
        <v>25</v>
      </c>
      <c r="B177" s="2" t="s">
        <v>496</v>
      </c>
      <c r="C177" s="2" t="s">
        <v>258</v>
      </c>
      <c r="D177" s="4">
        <v>9.48</v>
      </c>
    </row>
    <row r="178" spans="1:4" ht="15.75" customHeight="1" x14ac:dyDescent="0.3">
      <c r="A178" s="2" t="s">
        <v>25</v>
      </c>
      <c r="B178" s="2" t="s">
        <v>498</v>
      </c>
      <c r="C178" s="2" t="s">
        <v>261</v>
      </c>
      <c r="D178" s="4">
        <v>2.0299999999999998</v>
      </c>
    </row>
    <row r="179" spans="1:4" ht="15.75" customHeight="1" x14ac:dyDescent="0.3">
      <c r="A179" s="2" t="s">
        <v>25</v>
      </c>
      <c r="B179" s="2" t="s">
        <v>496</v>
      </c>
      <c r="C179" s="2" t="s">
        <v>252</v>
      </c>
      <c r="D179" s="4">
        <v>5.71</v>
      </c>
    </row>
    <row r="180" spans="1:4" ht="15.75" customHeight="1" x14ac:dyDescent="0.3">
      <c r="A180" s="2" t="s">
        <v>25</v>
      </c>
      <c r="B180" s="2" t="s">
        <v>498</v>
      </c>
      <c r="C180" s="2" t="s">
        <v>253</v>
      </c>
      <c r="D180" s="4">
        <v>16.88</v>
      </c>
    </row>
    <row r="181" spans="1:4" ht="15.75" customHeight="1" x14ac:dyDescent="0.3">
      <c r="A181" s="2" t="s">
        <v>25</v>
      </c>
      <c r="B181" s="2" t="s">
        <v>496</v>
      </c>
      <c r="C181" s="2" t="s">
        <v>254</v>
      </c>
      <c r="D181" s="4">
        <v>11.42</v>
      </c>
    </row>
    <row r="182" spans="1:4" ht="15.75" customHeight="1" x14ac:dyDescent="0.3">
      <c r="A182" s="2" t="s">
        <v>25</v>
      </c>
      <c r="B182" s="2"/>
      <c r="C182" s="2" t="s">
        <v>260</v>
      </c>
      <c r="D182" s="4">
        <v>25.79</v>
      </c>
    </row>
    <row r="183" spans="1:4" ht="15.75" customHeight="1" x14ac:dyDescent="0.3">
      <c r="A183" s="2" t="s">
        <v>25</v>
      </c>
      <c r="B183" s="2" t="s">
        <v>498</v>
      </c>
      <c r="C183" s="2" t="s">
        <v>267</v>
      </c>
      <c r="D183" s="4">
        <v>21.52</v>
      </c>
    </row>
    <row r="184" spans="1:4" ht="15.75" customHeight="1" x14ac:dyDescent="0.3">
      <c r="A184" s="2" t="s">
        <v>25</v>
      </c>
      <c r="B184" s="2" t="s">
        <v>496</v>
      </c>
      <c r="C184" s="2" t="s">
        <v>268</v>
      </c>
      <c r="D184" s="4">
        <v>1.47</v>
      </c>
    </row>
    <row r="185" spans="1:4" ht="15.75" customHeight="1" x14ac:dyDescent="0.3">
      <c r="A185" s="2" t="s">
        <v>25</v>
      </c>
      <c r="B185" s="2" t="s">
        <v>498</v>
      </c>
      <c r="C185" s="2" t="s">
        <v>257</v>
      </c>
      <c r="D185" s="4">
        <v>8.32</v>
      </c>
    </row>
    <row r="186" spans="1:4" ht="15.75" customHeight="1" x14ac:dyDescent="0.3">
      <c r="A186" s="2" t="s">
        <v>25</v>
      </c>
      <c r="B186" s="2" t="s">
        <v>496</v>
      </c>
      <c r="C186" s="2" t="s">
        <v>258</v>
      </c>
      <c r="D186" s="4">
        <v>12.54</v>
      </c>
    </row>
    <row r="187" spans="1:4" ht="15.75" customHeight="1" x14ac:dyDescent="0.3">
      <c r="A187" s="2" t="s">
        <v>25</v>
      </c>
      <c r="B187" s="2" t="s">
        <v>498</v>
      </c>
      <c r="C187" s="2" t="s">
        <v>265</v>
      </c>
      <c r="D187" s="4">
        <v>32.75</v>
      </c>
    </row>
    <row r="188" spans="1:4" ht="15.75" customHeight="1" x14ac:dyDescent="0.3">
      <c r="A188" s="2" t="s">
        <v>25</v>
      </c>
      <c r="B188" s="2" t="s">
        <v>496</v>
      </c>
      <c r="C188" s="2" t="s">
        <v>266</v>
      </c>
      <c r="D188" s="4">
        <v>15.43</v>
      </c>
    </row>
    <row r="189" spans="1:4" ht="15.75" customHeight="1" x14ac:dyDescent="0.3">
      <c r="A189" s="2" t="s">
        <v>25</v>
      </c>
      <c r="B189" s="2"/>
      <c r="C189" s="2" t="s">
        <v>264</v>
      </c>
      <c r="D189" s="4">
        <v>3.83</v>
      </c>
    </row>
    <row r="190" spans="1:4" ht="15.75" customHeight="1" x14ac:dyDescent="0.3">
      <c r="A190" s="2" t="s">
        <v>26</v>
      </c>
      <c r="B190" s="2" t="s">
        <v>5</v>
      </c>
      <c r="C190" s="2" t="s">
        <v>5</v>
      </c>
      <c r="D190" s="4" t="s">
        <v>5</v>
      </c>
    </row>
    <row r="191" spans="1:4" ht="15.75" customHeight="1" x14ac:dyDescent="0.3">
      <c r="A191" s="2" t="s">
        <v>26</v>
      </c>
      <c r="B191" s="2" t="s">
        <v>498</v>
      </c>
      <c r="C191" s="2" t="s">
        <v>257</v>
      </c>
      <c r="D191" s="4">
        <v>1.77</v>
      </c>
    </row>
    <row r="192" spans="1:4" ht="15.75" customHeight="1" x14ac:dyDescent="0.3">
      <c r="A192" s="2" t="s">
        <v>26</v>
      </c>
      <c r="B192" s="2" t="s">
        <v>496</v>
      </c>
      <c r="C192" s="2" t="s">
        <v>258</v>
      </c>
      <c r="D192" s="4">
        <v>1.35</v>
      </c>
    </row>
    <row r="193" spans="1:4" ht="15.75" customHeight="1" x14ac:dyDescent="0.3">
      <c r="A193" s="2" t="s">
        <v>26</v>
      </c>
      <c r="B193" s="2" t="s">
        <v>498</v>
      </c>
      <c r="C193" s="2" t="s">
        <v>253</v>
      </c>
      <c r="D193" s="4">
        <v>10.8</v>
      </c>
    </row>
    <row r="194" spans="1:4" ht="15.75" customHeight="1" x14ac:dyDescent="0.3">
      <c r="A194" s="2" t="s">
        <v>26</v>
      </c>
      <c r="B194" s="2" t="s">
        <v>496</v>
      </c>
      <c r="C194" s="2" t="s">
        <v>254</v>
      </c>
      <c r="D194" s="4">
        <v>9.8699999999999992</v>
      </c>
    </row>
    <row r="195" spans="1:4" ht="15.75" customHeight="1" x14ac:dyDescent="0.3">
      <c r="A195" s="2" t="s">
        <v>26</v>
      </c>
      <c r="B195" s="2" t="s">
        <v>498</v>
      </c>
      <c r="C195" s="2" t="s">
        <v>265</v>
      </c>
      <c r="D195" s="4">
        <v>5.46</v>
      </c>
    </row>
    <row r="196" spans="1:4" ht="15.75" customHeight="1" x14ac:dyDescent="0.3">
      <c r="A196" s="2" t="s">
        <v>26</v>
      </c>
      <c r="B196" s="2" t="s">
        <v>496</v>
      </c>
      <c r="C196" s="2" t="s">
        <v>266</v>
      </c>
      <c r="D196" s="4">
        <v>5.32</v>
      </c>
    </row>
    <row r="197" spans="1:4" ht="15.75" customHeight="1" x14ac:dyDescent="0.3">
      <c r="A197" s="2" t="s">
        <v>26</v>
      </c>
      <c r="B197" s="2" t="s">
        <v>498</v>
      </c>
      <c r="C197" s="2" t="s">
        <v>257</v>
      </c>
      <c r="D197" s="4">
        <v>1.77</v>
      </c>
    </row>
    <row r="198" spans="1:4" ht="15.75" customHeight="1" x14ac:dyDescent="0.3">
      <c r="A198" s="2" t="s">
        <v>26</v>
      </c>
      <c r="B198" s="2" t="s">
        <v>496</v>
      </c>
      <c r="C198" s="2" t="s">
        <v>258</v>
      </c>
      <c r="D198" s="4">
        <v>1.35</v>
      </c>
    </row>
    <row r="199" spans="1:4" ht="15.75" customHeight="1" x14ac:dyDescent="0.3">
      <c r="A199" s="2" t="s">
        <v>26</v>
      </c>
      <c r="B199" s="2" t="s">
        <v>498</v>
      </c>
      <c r="C199" s="2" t="s">
        <v>253</v>
      </c>
      <c r="D199" s="4">
        <v>10.8</v>
      </c>
    </row>
    <row r="200" spans="1:4" ht="15.75" customHeight="1" x14ac:dyDescent="0.3">
      <c r="A200" s="2" t="s">
        <v>26</v>
      </c>
      <c r="B200" s="2" t="s">
        <v>496</v>
      </c>
      <c r="C200" s="2" t="s">
        <v>254</v>
      </c>
      <c r="D200" s="4">
        <v>9.85</v>
      </c>
    </row>
    <row r="201" spans="1:4" ht="15.75" customHeight="1" x14ac:dyDescent="0.3">
      <c r="A201" s="2" t="s">
        <v>26</v>
      </c>
      <c r="B201" s="2" t="s">
        <v>498</v>
      </c>
      <c r="C201" s="2" t="s">
        <v>265</v>
      </c>
      <c r="D201" s="4">
        <v>5.46</v>
      </c>
    </row>
    <row r="202" spans="1:4" ht="15.75" customHeight="1" x14ac:dyDescent="0.3">
      <c r="A202" s="2" t="s">
        <v>26</v>
      </c>
      <c r="B202" s="2" t="s">
        <v>496</v>
      </c>
      <c r="C202" s="2" t="s">
        <v>266</v>
      </c>
      <c r="D202" s="4">
        <v>5.49</v>
      </c>
    </row>
    <row r="203" spans="1:4" ht="15.75" customHeight="1" x14ac:dyDescent="0.3">
      <c r="A203" s="2" t="s">
        <v>26</v>
      </c>
      <c r="B203" s="2" t="s">
        <v>498</v>
      </c>
      <c r="C203" s="2" t="s">
        <v>257</v>
      </c>
      <c r="D203" s="4">
        <v>7.27</v>
      </c>
    </row>
    <row r="204" spans="1:4" ht="15.75" customHeight="1" x14ac:dyDescent="0.3">
      <c r="A204" s="2" t="s">
        <v>26</v>
      </c>
      <c r="B204" s="2" t="s">
        <v>496</v>
      </c>
      <c r="C204" s="2" t="s">
        <v>258</v>
      </c>
      <c r="D204" s="4">
        <v>9.48</v>
      </c>
    </row>
    <row r="205" spans="1:4" ht="15.75" customHeight="1" x14ac:dyDescent="0.3">
      <c r="A205" s="2" t="s">
        <v>26</v>
      </c>
      <c r="B205" s="2" t="s">
        <v>498</v>
      </c>
      <c r="C205" s="2" t="s">
        <v>261</v>
      </c>
      <c r="D205" s="4">
        <v>2.0299999999999998</v>
      </c>
    </row>
    <row r="206" spans="1:4" ht="15.75" customHeight="1" x14ac:dyDescent="0.3">
      <c r="A206" s="2" t="s">
        <v>26</v>
      </c>
      <c r="B206" s="2" t="s">
        <v>496</v>
      </c>
      <c r="C206" s="2" t="s">
        <v>252</v>
      </c>
      <c r="D206" s="4">
        <v>5.71</v>
      </c>
    </row>
    <row r="207" spans="1:4" ht="15.75" customHeight="1" x14ac:dyDescent="0.3">
      <c r="A207" s="2" t="s">
        <v>26</v>
      </c>
      <c r="B207" s="2" t="s">
        <v>498</v>
      </c>
      <c r="C207" s="2" t="s">
        <v>253</v>
      </c>
      <c r="D207" s="4">
        <v>16.88</v>
      </c>
    </row>
    <row r="208" spans="1:4" ht="15.75" customHeight="1" x14ac:dyDescent="0.3">
      <c r="A208" s="2" t="s">
        <v>26</v>
      </c>
      <c r="B208" s="2" t="s">
        <v>496</v>
      </c>
      <c r="C208" s="2" t="s">
        <v>254</v>
      </c>
      <c r="D208" s="4">
        <v>11.42</v>
      </c>
    </row>
    <row r="209" spans="1:4" ht="15.75" customHeight="1" x14ac:dyDescent="0.3">
      <c r="A209" s="2" t="s">
        <v>26</v>
      </c>
      <c r="B209" s="2"/>
      <c r="C209" s="2" t="s">
        <v>260</v>
      </c>
      <c r="D209" s="4">
        <v>25.79</v>
      </c>
    </row>
    <row r="210" spans="1:4" ht="15.75" customHeight="1" x14ac:dyDescent="0.3">
      <c r="A210" s="2" t="s">
        <v>26</v>
      </c>
      <c r="B210" s="2" t="s">
        <v>498</v>
      </c>
      <c r="C210" s="2" t="s">
        <v>267</v>
      </c>
      <c r="D210" s="4">
        <v>21.52</v>
      </c>
    </row>
    <row r="211" spans="1:4" ht="15.75" customHeight="1" x14ac:dyDescent="0.3">
      <c r="A211" s="2" t="s">
        <v>26</v>
      </c>
      <c r="B211" s="2" t="s">
        <v>496</v>
      </c>
      <c r="C211" s="2" t="s">
        <v>268</v>
      </c>
      <c r="D211" s="4">
        <v>1.47</v>
      </c>
    </row>
    <row r="212" spans="1:4" ht="15.75" customHeight="1" x14ac:dyDescent="0.3">
      <c r="A212" s="2" t="s">
        <v>26</v>
      </c>
      <c r="B212" s="2" t="s">
        <v>498</v>
      </c>
      <c r="C212" s="2" t="s">
        <v>257</v>
      </c>
      <c r="D212" s="4">
        <v>8.32</v>
      </c>
    </row>
    <row r="213" spans="1:4" ht="15.75" customHeight="1" x14ac:dyDescent="0.3">
      <c r="A213" s="2" t="s">
        <v>26</v>
      </c>
      <c r="B213" s="2" t="s">
        <v>496</v>
      </c>
      <c r="C213" s="2" t="s">
        <v>258</v>
      </c>
      <c r="D213" s="4">
        <v>12.54</v>
      </c>
    </row>
    <row r="214" spans="1:4" ht="15.75" customHeight="1" x14ac:dyDescent="0.3">
      <c r="A214" s="2" t="s">
        <v>26</v>
      </c>
      <c r="B214" s="2" t="s">
        <v>498</v>
      </c>
      <c r="C214" s="2" t="s">
        <v>265</v>
      </c>
      <c r="D214" s="4">
        <v>32.75</v>
      </c>
    </row>
    <row r="215" spans="1:4" ht="15.75" customHeight="1" x14ac:dyDescent="0.3">
      <c r="A215" s="2" t="s">
        <v>26</v>
      </c>
      <c r="B215" s="2" t="s">
        <v>496</v>
      </c>
      <c r="C215" s="2" t="s">
        <v>266</v>
      </c>
      <c r="D215" s="4">
        <v>15.43</v>
      </c>
    </row>
    <row r="216" spans="1:4" ht="15.75" customHeight="1" x14ac:dyDescent="0.3">
      <c r="A216" s="2" t="s">
        <v>26</v>
      </c>
      <c r="B216" s="2"/>
      <c r="C216" s="2" t="s">
        <v>264</v>
      </c>
      <c r="D216" s="4">
        <v>3.83</v>
      </c>
    </row>
    <row r="217" spans="1:4" ht="15.75" customHeight="1" x14ac:dyDescent="0.3">
      <c r="A217" s="2" t="s">
        <v>27</v>
      </c>
      <c r="B217" s="2" t="s">
        <v>5</v>
      </c>
      <c r="C217" s="2" t="s">
        <v>5</v>
      </c>
      <c r="D217" s="4" t="s">
        <v>5</v>
      </c>
    </row>
    <row r="218" spans="1:4" ht="15.75" customHeight="1" x14ac:dyDescent="0.3">
      <c r="A218" s="2" t="s">
        <v>27</v>
      </c>
      <c r="B218" s="2" t="s">
        <v>498</v>
      </c>
      <c r="C218" s="2" t="s">
        <v>257</v>
      </c>
      <c r="D218" s="4">
        <v>1.77</v>
      </c>
    </row>
    <row r="219" spans="1:4" ht="15.75" customHeight="1" x14ac:dyDescent="0.3">
      <c r="A219" s="2" t="s">
        <v>27</v>
      </c>
      <c r="B219" s="2" t="s">
        <v>496</v>
      </c>
      <c r="C219" s="2" t="s">
        <v>258</v>
      </c>
      <c r="D219" s="4">
        <v>1.35</v>
      </c>
    </row>
    <row r="220" spans="1:4" ht="15.75" customHeight="1" x14ac:dyDescent="0.3">
      <c r="A220" s="2" t="s">
        <v>27</v>
      </c>
      <c r="B220" s="2" t="s">
        <v>498</v>
      </c>
      <c r="C220" s="2" t="s">
        <v>253</v>
      </c>
      <c r="D220" s="4">
        <v>10.8</v>
      </c>
    </row>
    <row r="221" spans="1:4" ht="15.75" customHeight="1" x14ac:dyDescent="0.3">
      <c r="A221" s="2" t="s">
        <v>27</v>
      </c>
      <c r="B221" s="2" t="s">
        <v>496</v>
      </c>
      <c r="C221" s="2" t="s">
        <v>254</v>
      </c>
      <c r="D221" s="4">
        <v>9.8699999999999992</v>
      </c>
    </row>
    <row r="222" spans="1:4" ht="15.75" customHeight="1" x14ac:dyDescent="0.3">
      <c r="A222" s="2" t="s">
        <v>27</v>
      </c>
      <c r="B222" s="2" t="s">
        <v>498</v>
      </c>
      <c r="C222" s="2" t="s">
        <v>265</v>
      </c>
      <c r="D222" s="4">
        <v>5.46</v>
      </c>
    </row>
    <row r="223" spans="1:4" ht="15.75" customHeight="1" x14ac:dyDescent="0.3">
      <c r="A223" s="2" t="s">
        <v>27</v>
      </c>
      <c r="B223" s="2" t="s">
        <v>496</v>
      </c>
      <c r="C223" s="2" t="s">
        <v>266</v>
      </c>
      <c r="D223" s="4">
        <v>5.32</v>
      </c>
    </row>
    <row r="224" spans="1:4" ht="15.75" customHeight="1" x14ac:dyDescent="0.3">
      <c r="A224" s="2" t="s">
        <v>27</v>
      </c>
      <c r="B224" s="2" t="s">
        <v>498</v>
      </c>
      <c r="C224" s="2" t="s">
        <v>257</v>
      </c>
      <c r="D224" s="4">
        <v>1.77</v>
      </c>
    </row>
    <row r="225" spans="1:4" ht="15.75" customHeight="1" x14ac:dyDescent="0.3">
      <c r="A225" s="2" t="s">
        <v>27</v>
      </c>
      <c r="B225" s="2" t="s">
        <v>496</v>
      </c>
      <c r="C225" s="2" t="s">
        <v>258</v>
      </c>
      <c r="D225" s="4">
        <v>1.35</v>
      </c>
    </row>
    <row r="226" spans="1:4" ht="15.75" customHeight="1" x14ac:dyDescent="0.3">
      <c r="A226" s="2" t="s">
        <v>27</v>
      </c>
      <c r="B226" s="2" t="s">
        <v>498</v>
      </c>
      <c r="C226" s="2" t="s">
        <v>253</v>
      </c>
      <c r="D226" s="4">
        <v>10.8</v>
      </c>
    </row>
    <row r="227" spans="1:4" ht="15.75" customHeight="1" x14ac:dyDescent="0.3">
      <c r="A227" s="2" t="s">
        <v>27</v>
      </c>
      <c r="B227" s="2" t="s">
        <v>496</v>
      </c>
      <c r="C227" s="2" t="s">
        <v>254</v>
      </c>
      <c r="D227" s="4">
        <v>9.85</v>
      </c>
    </row>
    <row r="228" spans="1:4" ht="15.75" customHeight="1" x14ac:dyDescent="0.3">
      <c r="A228" s="2" t="s">
        <v>27</v>
      </c>
      <c r="B228" s="2" t="s">
        <v>498</v>
      </c>
      <c r="C228" s="2" t="s">
        <v>265</v>
      </c>
      <c r="D228" s="4">
        <v>5.46</v>
      </c>
    </row>
    <row r="229" spans="1:4" ht="15.75" customHeight="1" x14ac:dyDescent="0.3">
      <c r="A229" s="2" t="s">
        <v>27</v>
      </c>
      <c r="B229" s="2" t="s">
        <v>496</v>
      </c>
      <c r="C229" s="2" t="s">
        <v>266</v>
      </c>
      <c r="D229" s="4">
        <v>5.49</v>
      </c>
    </row>
    <row r="230" spans="1:4" ht="15.75" customHeight="1" x14ac:dyDescent="0.3">
      <c r="A230" s="2" t="s">
        <v>27</v>
      </c>
      <c r="B230" s="2" t="s">
        <v>498</v>
      </c>
      <c r="C230" s="2" t="s">
        <v>257</v>
      </c>
      <c r="D230" s="4">
        <v>7.27</v>
      </c>
    </row>
    <row r="231" spans="1:4" ht="15.75" customHeight="1" x14ac:dyDescent="0.3">
      <c r="A231" s="2" t="s">
        <v>27</v>
      </c>
      <c r="B231" s="2" t="s">
        <v>496</v>
      </c>
      <c r="C231" s="2" t="s">
        <v>258</v>
      </c>
      <c r="D231" s="4">
        <v>9.48</v>
      </c>
    </row>
    <row r="232" spans="1:4" ht="15.75" customHeight="1" x14ac:dyDescent="0.3">
      <c r="A232" s="2" t="s">
        <v>27</v>
      </c>
      <c r="B232" s="2" t="s">
        <v>498</v>
      </c>
      <c r="C232" s="2" t="s">
        <v>261</v>
      </c>
      <c r="D232" s="4">
        <v>2.0299999999999998</v>
      </c>
    </row>
    <row r="233" spans="1:4" ht="15.75" customHeight="1" x14ac:dyDescent="0.3">
      <c r="A233" s="2" t="s">
        <v>27</v>
      </c>
      <c r="B233" s="2" t="s">
        <v>496</v>
      </c>
      <c r="C233" s="2" t="s">
        <v>252</v>
      </c>
      <c r="D233" s="4">
        <v>5.71</v>
      </c>
    </row>
    <row r="234" spans="1:4" ht="15.75" customHeight="1" x14ac:dyDescent="0.3">
      <c r="A234" s="2" t="s">
        <v>27</v>
      </c>
      <c r="B234" s="2" t="s">
        <v>498</v>
      </c>
      <c r="C234" s="2" t="s">
        <v>253</v>
      </c>
      <c r="D234" s="4">
        <v>16.88</v>
      </c>
    </row>
    <row r="235" spans="1:4" ht="15.75" customHeight="1" x14ac:dyDescent="0.3">
      <c r="A235" s="2" t="s">
        <v>27</v>
      </c>
      <c r="B235" s="2" t="s">
        <v>496</v>
      </c>
      <c r="C235" s="2" t="s">
        <v>254</v>
      </c>
      <c r="D235" s="4">
        <v>11.42</v>
      </c>
    </row>
    <row r="236" spans="1:4" ht="15.75" customHeight="1" x14ac:dyDescent="0.3">
      <c r="A236" s="2" t="s">
        <v>27</v>
      </c>
      <c r="B236" s="2"/>
      <c r="C236" s="2" t="s">
        <v>260</v>
      </c>
      <c r="D236" s="4">
        <v>25.79</v>
      </c>
    </row>
    <row r="237" spans="1:4" ht="15.75" customHeight="1" x14ac:dyDescent="0.3">
      <c r="A237" s="2" t="s">
        <v>27</v>
      </c>
      <c r="B237" s="2" t="s">
        <v>498</v>
      </c>
      <c r="C237" s="2" t="s">
        <v>267</v>
      </c>
      <c r="D237" s="4">
        <v>21.52</v>
      </c>
    </row>
    <row r="238" spans="1:4" ht="15.75" customHeight="1" x14ac:dyDescent="0.3">
      <c r="A238" s="2" t="s">
        <v>27</v>
      </c>
      <c r="B238" s="2" t="s">
        <v>496</v>
      </c>
      <c r="C238" s="2" t="s">
        <v>268</v>
      </c>
      <c r="D238" s="4">
        <v>1.47</v>
      </c>
    </row>
    <row r="239" spans="1:4" ht="15.75" customHeight="1" x14ac:dyDescent="0.3">
      <c r="A239" s="2" t="s">
        <v>27</v>
      </c>
      <c r="B239" s="2" t="s">
        <v>498</v>
      </c>
      <c r="C239" s="2" t="s">
        <v>265</v>
      </c>
      <c r="D239" s="4">
        <v>32.75</v>
      </c>
    </row>
    <row r="240" spans="1:4" ht="15.75" customHeight="1" x14ac:dyDescent="0.3">
      <c r="A240" s="2" t="s">
        <v>27</v>
      </c>
      <c r="B240" s="2" t="s">
        <v>496</v>
      </c>
      <c r="C240" s="2" t="s">
        <v>266</v>
      </c>
      <c r="D240" s="4">
        <v>15.45</v>
      </c>
    </row>
    <row r="241" spans="1:4" ht="15.75" customHeight="1" x14ac:dyDescent="0.3">
      <c r="A241" s="2" t="s">
        <v>27</v>
      </c>
      <c r="B241" s="2"/>
      <c r="C241" s="2" t="s">
        <v>264</v>
      </c>
      <c r="D241" s="4">
        <v>3.83</v>
      </c>
    </row>
    <row r="242" spans="1:4" ht="15.75" customHeight="1" x14ac:dyDescent="0.3">
      <c r="A242" s="2" t="s">
        <v>28</v>
      </c>
      <c r="B242" s="2" t="s">
        <v>5</v>
      </c>
      <c r="C242" s="2" t="s">
        <v>5</v>
      </c>
      <c r="D242" s="4" t="s">
        <v>5</v>
      </c>
    </row>
    <row r="243" spans="1:4" ht="15.75" customHeight="1" x14ac:dyDescent="0.3">
      <c r="A243" s="2" t="s">
        <v>28</v>
      </c>
      <c r="B243" s="2" t="s">
        <v>498</v>
      </c>
      <c r="C243" s="2" t="s">
        <v>257</v>
      </c>
      <c r="D243" s="4">
        <v>1.77</v>
      </c>
    </row>
    <row r="244" spans="1:4" ht="15.75" customHeight="1" x14ac:dyDescent="0.3">
      <c r="A244" s="2" t="s">
        <v>28</v>
      </c>
      <c r="B244" s="2" t="s">
        <v>496</v>
      </c>
      <c r="C244" s="2" t="s">
        <v>258</v>
      </c>
      <c r="D244" s="4">
        <v>1.35</v>
      </c>
    </row>
    <row r="245" spans="1:4" ht="15.75" customHeight="1" x14ac:dyDescent="0.3">
      <c r="A245" s="2" t="s">
        <v>28</v>
      </c>
      <c r="B245" s="2" t="s">
        <v>498</v>
      </c>
      <c r="C245" s="2" t="s">
        <v>253</v>
      </c>
      <c r="D245" s="4">
        <v>10.8</v>
      </c>
    </row>
    <row r="246" spans="1:4" ht="15.75" customHeight="1" x14ac:dyDescent="0.3">
      <c r="A246" s="2" t="s">
        <v>28</v>
      </c>
      <c r="B246" s="2" t="s">
        <v>496</v>
      </c>
      <c r="C246" s="2" t="s">
        <v>254</v>
      </c>
      <c r="D246" s="4">
        <v>9.8699999999999992</v>
      </c>
    </row>
    <row r="247" spans="1:4" ht="15.75" customHeight="1" x14ac:dyDescent="0.3">
      <c r="A247" s="2" t="s">
        <v>28</v>
      </c>
      <c r="B247" s="2" t="s">
        <v>498</v>
      </c>
      <c r="C247" s="2" t="s">
        <v>265</v>
      </c>
      <c r="D247" s="4">
        <v>5.46</v>
      </c>
    </row>
    <row r="248" spans="1:4" ht="15.75" customHeight="1" x14ac:dyDescent="0.3">
      <c r="A248" s="2" t="s">
        <v>28</v>
      </c>
      <c r="B248" s="2" t="s">
        <v>496</v>
      </c>
      <c r="C248" s="2" t="s">
        <v>266</v>
      </c>
      <c r="D248" s="4">
        <v>5.32</v>
      </c>
    </row>
    <row r="249" spans="1:4" ht="15.75" customHeight="1" x14ac:dyDescent="0.3">
      <c r="A249" s="2" t="s">
        <v>28</v>
      </c>
      <c r="B249" s="2" t="s">
        <v>498</v>
      </c>
      <c r="C249" s="2" t="s">
        <v>257</v>
      </c>
      <c r="D249" s="4">
        <v>1.77</v>
      </c>
    </row>
    <row r="250" spans="1:4" ht="15.75" customHeight="1" x14ac:dyDescent="0.3">
      <c r="A250" s="2" t="s">
        <v>28</v>
      </c>
      <c r="B250" s="2" t="s">
        <v>496</v>
      </c>
      <c r="C250" s="2" t="s">
        <v>258</v>
      </c>
      <c r="D250" s="4">
        <v>1.35</v>
      </c>
    </row>
    <row r="251" spans="1:4" ht="15.75" customHeight="1" x14ac:dyDescent="0.3">
      <c r="A251" s="2" t="s">
        <v>28</v>
      </c>
      <c r="B251" s="2" t="s">
        <v>498</v>
      </c>
      <c r="C251" s="2" t="s">
        <v>253</v>
      </c>
      <c r="D251" s="4">
        <v>10.8</v>
      </c>
    </row>
    <row r="252" spans="1:4" ht="15.75" customHeight="1" x14ac:dyDescent="0.3">
      <c r="A252" s="2" t="s">
        <v>28</v>
      </c>
      <c r="B252" s="2" t="s">
        <v>496</v>
      </c>
      <c r="C252" s="2" t="s">
        <v>254</v>
      </c>
      <c r="D252" s="4">
        <v>9.85</v>
      </c>
    </row>
    <row r="253" spans="1:4" ht="15.75" customHeight="1" x14ac:dyDescent="0.3">
      <c r="A253" s="2" t="s">
        <v>28</v>
      </c>
      <c r="B253" s="2" t="s">
        <v>498</v>
      </c>
      <c r="C253" s="2" t="s">
        <v>265</v>
      </c>
      <c r="D253" s="4">
        <v>5.46</v>
      </c>
    </row>
    <row r="254" spans="1:4" ht="15.75" customHeight="1" x14ac:dyDescent="0.3">
      <c r="A254" s="2" t="s">
        <v>28</v>
      </c>
      <c r="B254" s="2" t="s">
        <v>496</v>
      </c>
      <c r="C254" s="2" t="s">
        <v>266</v>
      </c>
      <c r="D254" s="4">
        <v>5.49</v>
      </c>
    </row>
    <row r="255" spans="1:4" ht="15.75" customHeight="1" x14ac:dyDescent="0.3">
      <c r="A255" s="2" t="s">
        <v>28</v>
      </c>
      <c r="B255" s="2" t="s">
        <v>498</v>
      </c>
      <c r="C255" s="2" t="s">
        <v>257</v>
      </c>
      <c r="D255" s="4">
        <v>7.27</v>
      </c>
    </row>
    <row r="256" spans="1:4" ht="15.75" customHeight="1" x14ac:dyDescent="0.3">
      <c r="A256" s="2" t="s">
        <v>28</v>
      </c>
      <c r="B256" s="2" t="s">
        <v>496</v>
      </c>
      <c r="C256" s="2" t="s">
        <v>258</v>
      </c>
      <c r="D256" s="4">
        <v>9.48</v>
      </c>
    </row>
    <row r="257" spans="1:4" ht="15.75" customHeight="1" x14ac:dyDescent="0.3">
      <c r="A257" s="2" t="s">
        <v>28</v>
      </c>
      <c r="B257" s="2" t="s">
        <v>498</v>
      </c>
      <c r="C257" s="2" t="s">
        <v>261</v>
      </c>
      <c r="D257" s="4">
        <v>2.0299999999999998</v>
      </c>
    </row>
    <row r="258" spans="1:4" ht="15.75" customHeight="1" x14ac:dyDescent="0.3">
      <c r="A258" s="2" t="s">
        <v>28</v>
      </c>
      <c r="B258" s="2" t="s">
        <v>496</v>
      </c>
      <c r="C258" s="2" t="s">
        <v>252</v>
      </c>
      <c r="D258" s="4">
        <v>5.71</v>
      </c>
    </row>
    <row r="259" spans="1:4" ht="15.75" customHeight="1" x14ac:dyDescent="0.3">
      <c r="A259" s="2" t="s">
        <v>28</v>
      </c>
      <c r="B259" s="2" t="s">
        <v>498</v>
      </c>
      <c r="C259" s="2" t="s">
        <v>253</v>
      </c>
      <c r="D259" s="4">
        <v>16.88</v>
      </c>
    </row>
    <row r="260" spans="1:4" ht="15.75" customHeight="1" x14ac:dyDescent="0.3">
      <c r="A260" s="2" t="s">
        <v>28</v>
      </c>
      <c r="B260" s="2" t="s">
        <v>496</v>
      </c>
      <c r="C260" s="2" t="s">
        <v>254</v>
      </c>
      <c r="D260" s="4">
        <v>11.42</v>
      </c>
    </row>
    <row r="261" spans="1:4" ht="15.75" customHeight="1" x14ac:dyDescent="0.3">
      <c r="A261" s="2" t="s">
        <v>28</v>
      </c>
      <c r="B261" s="2"/>
      <c r="C261" s="2" t="s">
        <v>260</v>
      </c>
      <c r="D261" s="4">
        <v>25.79</v>
      </c>
    </row>
    <row r="262" spans="1:4" ht="15.75" customHeight="1" x14ac:dyDescent="0.3">
      <c r="A262" s="2" t="s">
        <v>28</v>
      </c>
      <c r="B262" s="2" t="s">
        <v>498</v>
      </c>
      <c r="C262" s="2" t="s">
        <v>267</v>
      </c>
      <c r="D262" s="4">
        <v>21.52</v>
      </c>
    </row>
    <row r="263" spans="1:4" ht="15.75" customHeight="1" x14ac:dyDescent="0.3">
      <c r="A263" s="2" t="s">
        <v>28</v>
      </c>
      <c r="B263" s="2" t="s">
        <v>496</v>
      </c>
      <c r="C263" s="2" t="s">
        <v>268</v>
      </c>
      <c r="D263" s="4">
        <v>1.47</v>
      </c>
    </row>
    <row r="264" spans="1:4" ht="15.75" customHeight="1" x14ac:dyDescent="0.3">
      <c r="A264" s="2" t="s">
        <v>28</v>
      </c>
      <c r="B264" s="2" t="s">
        <v>498</v>
      </c>
      <c r="C264" s="2" t="s">
        <v>257</v>
      </c>
      <c r="D264" s="4">
        <v>8.48</v>
      </c>
    </row>
    <row r="265" spans="1:4" ht="15.75" customHeight="1" x14ac:dyDescent="0.3">
      <c r="A265" s="2" t="s">
        <v>28</v>
      </c>
      <c r="B265" s="2" t="s">
        <v>496</v>
      </c>
      <c r="C265" s="2" t="s">
        <v>258</v>
      </c>
      <c r="D265" s="4">
        <v>12.54</v>
      </c>
    </row>
    <row r="266" spans="1:4" ht="15.75" customHeight="1" x14ac:dyDescent="0.3">
      <c r="A266" s="2" t="s">
        <v>28</v>
      </c>
      <c r="B266" s="2" t="s">
        <v>498</v>
      </c>
      <c r="C266" s="2" t="s">
        <v>265</v>
      </c>
      <c r="D266" s="4">
        <v>32.75</v>
      </c>
    </row>
    <row r="267" spans="1:4" ht="15.75" customHeight="1" x14ac:dyDescent="0.3">
      <c r="A267" s="2" t="s">
        <v>28</v>
      </c>
      <c r="B267" s="2" t="s">
        <v>496</v>
      </c>
      <c r="C267" s="2" t="s">
        <v>266</v>
      </c>
      <c r="D267" s="4">
        <v>15.43</v>
      </c>
    </row>
    <row r="268" spans="1:4" ht="15.75" customHeight="1" x14ac:dyDescent="0.3">
      <c r="A268" s="2" t="s">
        <v>28</v>
      </c>
      <c r="B268" s="2"/>
      <c r="C268" s="2" t="s">
        <v>264</v>
      </c>
      <c r="D268" s="4">
        <v>3.83</v>
      </c>
    </row>
    <row r="269" spans="1:4" ht="15.75" customHeight="1" x14ac:dyDescent="0.3">
      <c r="A269" s="2" t="s">
        <v>29</v>
      </c>
      <c r="B269" s="2" t="s">
        <v>5</v>
      </c>
      <c r="C269" s="2" t="s">
        <v>5</v>
      </c>
      <c r="D269" s="4" t="s">
        <v>5</v>
      </c>
    </row>
    <row r="270" spans="1:4" ht="15.75" customHeight="1" x14ac:dyDescent="0.3">
      <c r="A270" s="2" t="s">
        <v>29</v>
      </c>
      <c r="B270" s="2" t="s">
        <v>498</v>
      </c>
      <c r="C270" s="2" t="s">
        <v>257</v>
      </c>
      <c r="D270" s="4">
        <v>1.77</v>
      </c>
    </row>
    <row r="271" spans="1:4" ht="15.75" customHeight="1" x14ac:dyDescent="0.3">
      <c r="A271" s="2" t="s">
        <v>29</v>
      </c>
      <c r="B271" s="2" t="s">
        <v>496</v>
      </c>
      <c r="C271" s="2" t="s">
        <v>258</v>
      </c>
      <c r="D271" s="4">
        <v>1.35</v>
      </c>
    </row>
    <row r="272" spans="1:4" ht="15.75" customHeight="1" x14ac:dyDescent="0.3">
      <c r="A272" s="2" t="s">
        <v>29</v>
      </c>
      <c r="B272" s="2" t="s">
        <v>498</v>
      </c>
      <c r="C272" s="2" t="s">
        <v>253</v>
      </c>
      <c r="D272" s="4">
        <v>10.8</v>
      </c>
    </row>
    <row r="273" spans="1:4" ht="15.75" customHeight="1" x14ac:dyDescent="0.3">
      <c r="A273" s="2" t="s">
        <v>29</v>
      </c>
      <c r="B273" s="2" t="s">
        <v>496</v>
      </c>
      <c r="C273" s="2" t="s">
        <v>254</v>
      </c>
      <c r="D273" s="4">
        <v>9.8699999999999992</v>
      </c>
    </row>
    <row r="274" spans="1:4" ht="15.75" customHeight="1" x14ac:dyDescent="0.3">
      <c r="A274" s="2" t="s">
        <v>29</v>
      </c>
      <c r="B274" s="2" t="s">
        <v>498</v>
      </c>
      <c r="C274" s="2" t="s">
        <v>265</v>
      </c>
      <c r="D274" s="4">
        <v>5.46</v>
      </c>
    </row>
    <row r="275" spans="1:4" ht="15.75" customHeight="1" x14ac:dyDescent="0.3">
      <c r="A275" s="2" t="s">
        <v>29</v>
      </c>
      <c r="B275" s="2" t="s">
        <v>496</v>
      </c>
      <c r="C275" s="2" t="s">
        <v>266</v>
      </c>
      <c r="D275" s="4">
        <v>5.32</v>
      </c>
    </row>
    <row r="276" spans="1:4" ht="15.75" customHeight="1" x14ac:dyDescent="0.3">
      <c r="A276" s="2" t="s">
        <v>29</v>
      </c>
      <c r="B276" s="2" t="s">
        <v>498</v>
      </c>
      <c r="C276" s="2" t="s">
        <v>257</v>
      </c>
      <c r="D276" s="4">
        <v>1.77</v>
      </c>
    </row>
    <row r="277" spans="1:4" ht="15.75" customHeight="1" x14ac:dyDescent="0.3">
      <c r="A277" s="2" t="s">
        <v>29</v>
      </c>
      <c r="B277" s="2" t="s">
        <v>496</v>
      </c>
      <c r="C277" s="2" t="s">
        <v>258</v>
      </c>
      <c r="D277" s="4">
        <v>1.35</v>
      </c>
    </row>
    <row r="278" spans="1:4" ht="15.75" customHeight="1" x14ac:dyDescent="0.3">
      <c r="A278" s="2" t="s">
        <v>29</v>
      </c>
      <c r="B278" s="2" t="s">
        <v>498</v>
      </c>
      <c r="C278" s="2" t="s">
        <v>253</v>
      </c>
      <c r="D278" s="4">
        <v>10.8</v>
      </c>
    </row>
    <row r="279" spans="1:4" ht="15.75" customHeight="1" x14ac:dyDescent="0.3">
      <c r="A279" s="2" t="s">
        <v>29</v>
      </c>
      <c r="B279" s="2" t="s">
        <v>496</v>
      </c>
      <c r="C279" s="2" t="s">
        <v>254</v>
      </c>
      <c r="D279" s="4">
        <v>9.85</v>
      </c>
    </row>
    <row r="280" spans="1:4" ht="15.75" customHeight="1" x14ac:dyDescent="0.3">
      <c r="A280" s="2" t="s">
        <v>29</v>
      </c>
      <c r="B280" s="2" t="s">
        <v>498</v>
      </c>
      <c r="C280" s="2" t="s">
        <v>265</v>
      </c>
      <c r="D280" s="4">
        <v>5.46</v>
      </c>
    </row>
    <row r="281" spans="1:4" ht="15.75" customHeight="1" x14ac:dyDescent="0.3">
      <c r="A281" s="2" t="s">
        <v>29</v>
      </c>
      <c r="B281" s="2" t="s">
        <v>496</v>
      </c>
      <c r="C281" s="2" t="s">
        <v>266</v>
      </c>
      <c r="D281" s="4">
        <v>5.49</v>
      </c>
    </row>
    <row r="282" spans="1:4" ht="15.75" customHeight="1" x14ac:dyDescent="0.3">
      <c r="A282" s="2" t="s">
        <v>29</v>
      </c>
      <c r="B282" s="2" t="s">
        <v>498</v>
      </c>
      <c r="C282" s="2" t="s">
        <v>257</v>
      </c>
      <c r="D282" s="4">
        <v>7.27</v>
      </c>
    </row>
    <row r="283" spans="1:4" ht="15.75" customHeight="1" x14ac:dyDescent="0.3">
      <c r="A283" s="2" t="s">
        <v>29</v>
      </c>
      <c r="B283" s="2" t="s">
        <v>496</v>
      </c>
      <c r="C283" s="2" t="s">
        <v>258</v>
      </c>
      <c r="D283" s="4">
        <v>9.48</v>
      </c>
    </row>
    <row r="284" spans="1:4" ht="15.75" customHeight="1" x14ac:dyDescent="0.3">
      <c r="A284" s="2" t="s">
        <v>29</v>
      </c>
      <c r="B284" s="2" t="s">
        <v>498</v>
      </c>
      <c r="C284" s="2" t="s">
        <v>261</v>
      </c>
      <c r="D284" s="4">
        <v>2.0299999999999998</v>
      </c>
    </row>
    <row r="285" spans="1:4" ht="15.75" customHeight="1" x14ac:dyDescent="0.3">
      <c r="A285" s="2" t="s">
        <v>29</v>
      </c>
      <c r="B285" s="2" t="s">
        <v>496</v>
      </c>
      <c r="C285" s="2" t="s">
        <v>252</v>
      </c>
      <c r="D285" s="4">
        <v>5.71</v>
      </c>
    </row>
    <row r="286" spans="1:4" ht="15.75" customHeight="1" x14ac:dyDescent="0.3">
      <c r="A286" s="2" t="s">
        <v>29</v>
      </c>
      <c r="B286" s="2" t="s">
        <v>498</v>
      </c>
      <c r="C286" s="2" t="s">
        <v>253</v>
      </c>
      <c r="D286" s="4">
        <v>16.88</v>
      </c>
    </row>
    <row r="287" spans="1:4" ht="15.75" customHeight="1" x14ac:dyDescent="0.3">
      <c r="A287" s="2" t="s">
        <v>29</v>
      </c>
      <c r="B287" s="2" t="s">
        <v>496</v>
      </c>
      <c r="C287" s="2" t="s">
        <v>254</v>
      </c>
      <c r="D287" s="4">
        <v>11.42</v>
      </c>
    </row>
    <row r="288" spans="1:4" ht="15.75" customHeight="1" x14ac:dyDescent="0.3">
      <c r="A288" s="2" t="s">
        <v>29</v>
      </c>
      <c r="B288" s="2"/>
      <c r="C288" s="2" t="s">
        <v>260</v>
      </c>
      <c r="D288" s="4">
        <v>25.79</v>
      </c>
    </row>
    <row r="289" spans="1:4" ht="15.75" customHeight="1" x14ac:dyDescent="0.3">
      <c r="A289" s="2" t="s">
        <v>29</v>
      </c>
      <c r="B289" s="2" t="s">
        <v>498</v>
      </c>
      <c r="C289" s="2" t="s">
        <v>267</v>
      </c>
      <c r="D289" s="4">
        <v>21.52</v>
      </c>
    </row>
    <row r="290" spans="1:4" ht="15.75" customHeight="1" x14ac:dyDescent="0.3">
      <c r="A290" s="2" t="s">
        <v>29</v>
      </c>
      <c r="B290" s="2" t="s">
        <v>496</v>
      </c>
      <c r="C290" s="2" t="s">
        <v>268</v>
      </c>
      <c r="D290" s="4">
        <v>1.47</v>
      </c>
    </row>
    <row r="291" spans="1:4" ht="15.75" customHeight="1" x14ac:dyDescent="0.3">
      <c r="A291" s="2" t="s">
        <v>29</v>
      </c>
      <c r="B291" s="2" t="s">
        <v>498</v>
      </c>
      <c r="C291" s="2" t="s">
        <v>257</v>
      </c>
      <c r="D291" s="4">
        <v>8.48</v>
      </c>
    </row>
    <row r="292" spans="1:4" ht="15.75" customHeight="1" x14ac:dyDescent="0.3">
      <c r="A292" s="2" t="s">
        <v>29</v>
      </c>
      <c r="B292" s="2" t="s">
        <v>496</v>
      </c>
      <c r="C292" s="2" t="s">
        <v>258</v>
      </c>
      <c r="D292" s="4">
        <v>12.54</v>
      </c>
    </row>
    <row r="293" spans="1:4" ht="15.75" customHeight="1" x14ac:dyDescent="0.3">
      <c r="A293" s="2" t="s">
        <v>29</v>
      </c>
      <c r="B293" s="2" t="s">
        <v>498</v>
      </c>
      <c r="C293" s="2" t="s">
        <v>265</v>
      </c>
      <c r="D293" s="4">
        <v>32.75</v>
      </c>
    </row>
    <row r="294" spans="1:4" ht="15.75" customHeight="1" x14ac:dyDescent="0.3">
      <c r="A294" s="2" t="s">
        <v>29</v>
      </c>
      <c r="B294" s="2" t="s">
        <v>496</v>
      </c>
      <c r="C294" s="2" t="s">
        <v>266</v>
      </c>
      <c r="D294" s="4">
        <v>15.43</v>
      </c>
    </row>
    <row r="295" spans="1:4" ht="15.75" customHeight="1" x14ac:dyDescent="0.3">
      <c r="A295" s="2" t="s">
        <v>29</v>
      </c>
      <c r="B295" s="2"/>
      <c r="C295" s="2" t="s">
        <v>264</v>
      </c>
      <c r="D295" s="4">
        <v>3.83</v>
      </c>
    </row>
    <row r="296" spans="1:4" ht="15.75" customHeight="1" x14ac:dyDescent="0.3">
      <c r="A296" s="2" t="s">
        <v>30</v>
      </c>
      <c r="B296" s="2" t="s">
        <v>5</v>
      </c>
      <c r="C296" s="2" t="s">
        <v>5</v>
      </c>
      <c r="D296" s="4" t="s">
        <v>5</v>
      </c>
    </row>
    <row r="297" spans="1:4" ht="15.75" customHeight="1" x14ac:dyDescent="0.3">
      <c r="A297" s="2" t="s">
        <v>30</v>
      </c>
      <c r="B297" s="2" t="s">
        <v>498</v>
      </c>
      <c r="C297" s="2" t="s">
        <v>257</v>
      </c>
      <c r="D297" s="4">
        <v>1.77</v>
      </c>
    </row>
    <row r="298" spans="1:4" ht="15.75" customHeight="1" x14ac:dyDescent="0.3">
      <c r="A298" s="2" t="s">
        <v>30</v>
      </c>
      <c r="B298" s="2" t="s">
        <v>496</v>
      </c>
      <c r="C298" s="2" t="s">
        <v>258</v>
      </c>
      <c r="D298" s="4">
        <v>1.35</v>
      </c>
    </row>
    <row r="299" spans="1:4" ht="15.75" customHeight="1" x14ac:dyDescent="0.3">
      <c r="A299" s="2" t="s">
        <v>30</v>
      </c>
      <c r="B299" s="2" t="s">
        <v>498</v>
      </c>
      <c r="C299" s="2" t="s">
        <v>253</v>
      </c>
      <c r="D299" s="4">
        <v>10.8</v>
      </c>
    </row>
    <row r="300" spans="1:4" ht="15.75" customHeight="1" x14ac:dyDescent="0.3">
      <c r="A300" s="2" t="s">
        <v>30</v>
      </c>
      <c r="B300" s="2" t="s">
        <v>496</v>
      </c>
      <c r="C300" s="2" t="s">
        <v>254</v>
      </c>
      <c r="D300" s="4">
        <v>9.8699999999999992</v>
      </c>
    </row>
    <row r="301" spans="1:4" ht="15.75" customHeight="1" x14ac:dyDescent="0.3">
      <c r="A301" s="2" t="s">
        <v>30</v>
      </c>
      <c r="B301" s="2" t="s">
        <v>498</v>
      </c>
      <c r="C301" s="2" t="s">
        <v>265</v>
      </c>
      <c r="D301" s="4">
        <v>5.46</v>
      </c>
    </row>
    <row r="302" spans="1:4" ht="15.75" customHeight="1" x14ac:dyDescent="0.3">
      <c r="A302" s="2" t="s">
        <v>30</v>
      </c>
      <c r="B302" s="2" t="s">
        <v>496</v>
      </c>
      <c r="C302" s="2" t="s">
        <v>266</v>
      </c>
      <c r="D302" s="4">
        <v>5.32</v>
      </c>
    </row>
    <row r="303" spans="1:4" ht="15.75" customHeight="1" x14ac:dyDescent="0.3">
      <c r="A303" s="2" t="s">
        <v>30</v>
      </c>
      <c r="B303" s="2" t="s">
        <v>498</v>
      </c>
      <c r="C303" s="2" t="s">
        <v>257</v>
      </c>
      <c r="D303" s="4">
        <v>1.77</v>
      </c>
    </row>
    <row r="304" spans="1:4" ht="15.75" customHeight="1" x14ac:dyDescent="0.3">
      <c r="A304" s="2" t="s">
        <v>30</v>
      </c>
      <c r="B304" s="2" t="s">
        <v>496</v>
      </c>
      <c r="C304" s="2" t="s">
        <v>258</v>
      </c>
      <c r="D304" s="4">
        <v>1.35</v>
      </c>
    </row>
    <row r="305" spans="1:4" ht="15.75" customHeight="1" x14ac:dyDescent="0.3">
      <c r="A305" s="2" t="s">
        <v>30</v>
      </c>
      <c r="B305" s="2" t="s">
        <v>498</v>
      </c>
      <c r="C305" s="2" t="s">
        <v>253</v>
      </c>
      <c r="D305" s="4">
        <v>10.8</v>
      </c>
    </row>
    <row r="306" spans="1:4" ht="15.75" customHeight="1" x14ac:dyDescent="0.3">
      <c r="A306" s="2" t="s">
        <v>30</v>
      </c>
      <c r="B306" s="2" t="s">
        <v>496</v>
      </c>
      <c r="C306" s="2" t="s">
        <v>254</v>
      </c>
      <c r="D306" s="4">
        <v>9.85</v>
      </c>
    </row>
    <row r="307" spans="1:4" ht="15.75" customHeight="1" x14ac:dyDescent="0.3">
      <c r="A307" s="2" t="s">
        <v>30</v>
      </c>
      <c r="B307" s="2" t="s">
        <v>498</v>
      </c>
      <c r="C307" s="2" t="s">
        <v>265</v>
      </c>
      <c r="D307" s="4">
        <v>5.46</v>
      </c>
    </row>
    <row r="308" spans="1:4" ht="15.75" customHeight="1" x14ac:dyDescent="0.3">
      <c r="A308" s="2" t="s">
        <v>30</v>
      </c>
      <c r="B308" s="2" t="s">
        <v>496</v>
      </c>
      <c r="C308" s="2" t="s">
        <v>266</v>
      </c>
      <c r="D308" s="4">
        <v>5.49</v>
      </c>
    </row>
    <row r="309" spans="1:4" ht="15.75" customHeight="1" x14ac:dyDescent="0.3">
      <c r="A309" s="2" t="s">
        <v>30</v>
      </c>
      <c r="B309" s="2" t="s">
        <v>498</v>
      </c>
      <c r="C309" s="2" t="s">
        <v>257</v>
      </c>
      <c r="D309" s="4">
        <v>7.27</v>
      </c>
    </row>
    <row r="310" spans="1:4" ht="15.75" customHeight="1" x14ac:dyDescent="0.3">
      <c r="A310" s="2" t="s">
        <v>30</v>
      </c>
      <c r="B310" s="2" t="s">
        <v>496</v>
      </c>
      <c r="C310" s="2" t="s">
        <v>258</v>
      </c>
      <c r="D310" s="4">
        <v>9.48</v>
      </c>
    </row>
    <row r="311" spans="1:4" ht="15.75" customHeight="1" x14ac:dyDescent="0.3">
      <c r="A311" s="2" t="s">
        <v>30</v>
      </c>
      <c r="B311" s="2" t="s">
        <v>498</v>
      </c>
      <c r="C311" s="2" t="s">
        <v>261</v>
      </c>
      <c r="D311" s="4">
        <v>2.0299999999999998</v>
      </c>
    </row>
    <row r="312" spans="1:4" ht="15.75" customHeight="1" x14ac:dyDescent="0.3">
      <c r="A312" s="2" t="s">
        <v>30</v>
      </c>
      <c r="B312" s="2" t="s">
        <v>496</v>
      </c>
      <c r="C312" s="2" t="s">
        <v>252</v>
      </c>
      <c r="D312" s="4">
        <v>5.71</v>
      </c>
    </row>
    <row r="313" spans="1:4" ht="15.75" customHeight="1" x14ac:dyDescent="0.3">
      <c r="A313" s="2" t="s">
        <v>30</v>
      </c>
      <c r="B313" s="2" t="s">
        <v>498</v>
      </c>
      <c r="C313" s="2" t="s">
        <v>253</v>
      </c>
      <c r="D313" s="4">
        <v>16.88</v>
      </c>
    </row>
    <row r="314" spans="1:4" ht="15.75" customHeight="1" x14ac:dyDescent="0.3">
      <c r="A314" s="2" t="s">
        <v>30</v>
      </c>
      <c r="B314" s="2" t="s">
        <v>496</v>
      </c>
      <c r="C314" s="2" t="s">
        <v>254</v>
      </c>
      <c r="D314" s="4">
        <v>11.42</v>
      </c>
    </row>
    <row r="315" spans="1:4" ht="15.75" customHeight="1" x14ac:dyDescent="0.3">
      <c r="A315" s="2" t="s">
        <v>30</v>
      </c>
      <c r="B315" s="2"/>
      <c r="C315" s="2" t="s">
        <v>260</v>
      </c>
      <c r="D315" s="4">
        <v>25.79</v>
      </c>
    </row>
    <row r="316" spans="1:4" ht="15.75" customHeight="1" x14ac:dyDescent="0.3">
      <c r="A316" s="2" t="s">
        <v>30</v>
      </c>
      <c r="B316" s="2" t="s">
        <v>498</v>
      </c>
      <c r="C316" s="2" t="s">
        <v>267</v>
      </c>
      <c r="D316" s="4">
        <v>21.52</v>
      </c>
    </row>
    <row r="317" spans="1:4" ht="15.75" customHeight="1" x14ac:dyDescent="0.3">
      <c r="A317" s="2" t="s">
        <v>30</v>
      </c>
      <c r="B317" s="2" t="s">
        <v>496</v>
      </c>
      <c r="C317" s="2" t="s">
        <v>268</v>
      </c>
      <c r="D317" s="4">
        <v>1.47</v>
      </c>
    </row>
    <row r="318" spans="1:4" ht="15.75" customHeight="1" x14ac:dyDescent="0.3">
      <c r="A318" s="2" t="s">
        <v>30</v>
      </c>
      <c r="B318" s="2" t="s">
        <v>498</v>
      </c>
      <c r="C318" s="2" t="s">
        <v>257</v>
      </c>
      <c r="D318" s="4">
        <v>8.32</v>
      </c>
    </row>
    <row r="319" spans="1:4" ht="15.75" customHeight="1" x14ac:dyDescent="0.3">
      <c r="A319" s="2" t="s">
        <v>30</v>
      </c>
      <c r="B319" s="2" t="s">
        <v>496</v>
      </c>
      <c r="C319" s="2" t="s">
        <v>258</v>
      </c>
      <c r="D319" s="4">
        <v>12.54</v>
      </c>
    </row>
    <row r="320" spans="1:4" ht="15.75" customHeight="1" x14ac:dyDescent="0.3">
      <c r="A320" s="2" t="s">
        <v>30</v>
      </c>
      <c r="B320" s="2" t="s">
        <v>498</v>
      </c>
      <c r="C320" s="2" t="s">
        <v>265</v>
      </c>
      <c r="D320" s="4">
        <v>32.75</v>
      </c>
    </row>
    <row r="321" spans="1:4" ht="15.75" customHeight="1" x14ac:dyDescent="0.3">
      <c r="A321" s="2" t="s">
        <v>30</v>
      </c>
      <c r="B321" s="2" t="s">
        <v>496</v>
      </c>
      <c r="C321" s="2" t="s">
        <v>266</v>
      </c>
      <c r="D321" s="4">
        <v>15.43</v>
      </c>
    </row>
    <row r="322" spans="1:4" ht="15.75" customHeight="1" x14ac:dyDescent="0.3">
      <c r="A322" s="2" t="s">
        <v>30</v>
      </c>
      <c r="B322" s="2"/>
      <c r="C322" s="2" t="s">
        <v>264</v>
      </c>
      <c r="D322" s="4">
        <v>3.83</v>
      </c>
    </row>
    <row r="323" spans="1:4" ht="15.75" customHeight="1" x14ac:dyDescent="0.3">
      <c r="A323" s="2" t="s">
        <v>31</v>
      </c>
      <c r="B323" s="2" t="s">
        <v>5</v>
      </c>
      <c r="C323" s="2" t="s">
        <v>5</v>
      </c>
      <c r="D323" s="4" t="s">
        <v>5</v>
      </c>
    </row>
    <row r="324" spans="1:4" ht="15.75" customHeight="1" x14ac:dyDescent="0.3">
      <c r="A324" s="2" t="s">
        <v>31</v>
      </c>
      <c r="B324" s="2" t="s">
        <v>498</v>
      </c>
      <c r="C324" s="2" t="s">
        <v>257</v>
      </c>
      <c r="D324" s="4">
        <v>1.77</v>
      </c>
    </row>
    <row r="325" spans="1:4" ht="15.75" customHeight="1" x14ac:dyDescent="0.3">
      <c r="A325" s="2" t="s">
        <v>31</v>
      </c>
      <c r="B325" s="2" t="s">
        <v>496</v>
      </c>
      <c r="C325" s="2" t="s">
        <v>258</v>
      </c>
      <c r="D325" s="4">
        <v>1.35</v>
      </c>
    </row>
    <row r="326" spans="1:4" ht="15.75" customHeight="1" x14ac:dyDescent="0.3">
      <c r="A326" s="2" t="s">
        <v>31</v>
      </c>
      <c r="B326" s="2" t="s">
        <v>498</v>
      </c>
      <c r="C326" s="2" t="s">
        <v>253</v>
      </c>
      <c r="D326" s="4">
        <v>10.8</v>
      </c>
    </row>
    <row r="327" spans="1:4" ht="15.75" customHeight="1" x14ac:dyDescent="0.3">
      <c r="A327" s="2" t="s">
        <v>31</v>
      </c>
      <c r="B327" s="2" t="s">
        <v>496</v>
      </c>
      <c r="C327" s="2" t="s">
        <v>254</v>
      </c>
      <c r="D327" s="4">
        <v>9.8699999999999992</v>
      </c>
    </row>
    <row r="328" spans="1:4" ht="15.75" customHeight="1" x14ac:dyDescent="0.3">
      <c r="A328" s="2" t="s">
        <v>31</v>
      </c>
      <c r="B328" s="2" t="s">
        <v>498</v>
      </c>
      <c r="C328" s="2" t="s">
        <v>265</v>
      </c>
      <c r="D328" s="4">
        <v>5.46</v>
      </c>
    </row>
    <row r="329" spans="1:4" ht="15.75" customHeight="1" x14ac:dyDescent="0.3">
      <c r="A329" s="2" t="s">
        <v>31</v>
      </c>
      <c r="B329" s="2" t="s">
        <v>496</v>
      </c>
      <c r="C329" s="2" t="s">
        <v>266</v>
      </c>
      <c r="D329" s="4">
        <v>5.32</v>
      </c>
    </row>
    <row r="330" spans="1:4" ht="15.75" customHeight="1" x14ac:dyDescent="0.3">
      <c r="A330" s="2" t="s">
        <v>31</v>
      </c>
      <c r="B330" s="2" t="s">
        <v>498</v>
      </c>
      <c r="C330" s="2" t="s">
        <v>257</v>
      </c>
      <c r="D330" s="4">
        <v>1.77</v>
      </c>
    </row>
    <row r="331" spans="1:4" ht="15.75" customHeight="1" x14ac:dyDescent="0.3">
      <c r="A331" s="2" t="s">
        <v>31</v>
      </c>
      <c r="B331" s="2" t="s">
        <v>496</v>
      </c>
      <c r="C331" s="2" t="s">
        <v>258</v>
      </c>
      <c r="D331" s="4">
        <v>1.35</v>
      </c>
    </row>
    <row r="332" spans="1:4" ht="15.75" customHeight="1" x14ac:dyDescent="0.3">
      <c r="A332" s="2" t="s">
        <v>31</v>
      </c>
      <c r="B332" s="2" t="s">
        <v>498</v>
      </c>
      <c r="C332" s="2" t="s">
        <v>253</v>
      </c>
      <c r="D332" s="4">
        <v>10.8</v>
      </c>
    </row>
    <row r="333" spans="1:4" ht="15.75" customHeight="1" x14ac:dyDescent="0.3">
      <c r="A333" s="2" t="s">
        <v>31</v>
      </c>
      <c r="B333" s="2" t="s">
        <v>496</v>
      </c>
      <c r="C333" s="2" t="s">
        <v>254</v>
      </c>
      <c r="D333" s="4">
        <v>9.85</v>
      </c>
    </row>
    <row r="334" spans="1:4" ht="15.75" customHeight="1" x14ac:dyDescent="0.3">
      <c r="A334" s="2" t="s">
        <v>31</v>
      </c>
      <c r="B334" s="2" t="s">
        <v>498</v>
      </c>
      <c r="C334" s="2" t="s">
        <v>265</v>
      </c>
      <c r="D334" s="4">
        <v>5.46</v>
      </c>
    </row>
    <row r="335" spans="1:4" ht="15.75" customHeight="1" x14ac:dyDescent="0.3">
      <c r="A335" s="2" t="s">
        <v>31</v>
      </c>
      <c r="B335" s="2" t="s">
        <v>496</v>
      </c>
      <c r="C335" s="2" t="s">
        <v>266</v>
      </c>
      <c r="D335" s="4">
        <v>5.49</v>
      </c>
    </row>
    <row r="336" spans="1:4" ht="15.75" customHeight="1" x14ac:dyDescent="0.3">
      <c r="A336" s="2" t="s">
        <v>31</v>
      </c>
      <c r="B336" s="2" t="s">
        <v>498</v>
      </c>
      <c r="C336" s="2" t="s">
        <v>257</v>
      </c>
      <c r="D336" s="4">
        <v>7.27</v>
      </c>
    </row>
    <row r="337" spans="1:4" ht="15.75" customHeight="1" x14ac:dyDescent="0.3">
      <c r="A337" s="2" t="s">
        <v>31</v>
      </c>
      <c r="B337" s="2" t="s">
        <v>496</v>
      </c>
      <c r="C337" s="2" t="s">
        <v>258</v>
      </c>
      <c r="D337" s="4">
        <v>9.48</v>
      </c>
    </row>
    <row r="338" spans="1:4" ht="15.75" customHeight="1" x14ac:dyDescent="0.3">
      <c r="A338" s="2" t="s">
        <v>31</v>
      </c>
      <c r="B338" s="2" t="s">
        <v>498</v>
      </c>
      <c r="C338" s="2" t="s">
        <v>261</v>
      </c>
      <c r="D338" s="4">
        <v>2.0299999999999998</v>
      </c>
    </row>
    <row r="339" spans="1:4" ht="15.75" customHeight="1" x14ac:dyDescent="0.3">
      <c r="A339" s="2" t="s">
        <v>31</v>
      </c>
      <c r="B339" s="2" t="s">
        <v>496</v>
      </c>
      <c r="C339" s="2" t="s">
        <v>252</v>
      </c>
      <c r="D339" s="4">
        <v>5.71</v>
      </c>
    </row>
    <row r="340" spans="1:4" ht="15.75" customHeight="1" x14ac:dyDescent="0.3">
      <c r="A340" s="2" t="s">
        <v>31</v>
      </c>
      <c r="B340" s="2" t="s">
        <v>498</v>
      </c>
      <c r="C340" s="2" t="s">
        <v>253</v>
      </c>
      <c r="D340" s="4">
        <v>16.88</v>
      </c>
    </row>
    <row r="341" spans="1:4" ht="15.75" customHeight="1" x14ac:dyDescent="0.3">
      <c r="A341" s="2" t="s">
        <v>31</v>
      </c>
      <c r="B341" s="2" t="s">
        <v>496</v>
      </c>
      <c r="C341" s="2" t="s">
        <v>254</v>
      </c>
      <c r="D341" s="4">
        <v>11.42</v>
      </c>
    </row>
    <row r="342" spans="1:4" ht="15.75" customHeight="1" x14ac:dyDescent="0.3">
      <c r="A342" s="2" t="s">
        <v>31</v>
      </c>
      <c r="B342" s="2"/>
      <c r="C342" s="2" t="s">
        <v>260</v>
      </c>
      <c r="D342" s="4">
        <v>25.79</v>
      </c>
    </row>
    <row r="343" spans="1:4" ht="15.75" customHeight="1" x14ac:dyDescent="0.3">
      <c r="A343" s="2" t="s">
        <v>31</v>
      </c>
      <c r="B343" s="2" t="s">
        <v>498</v>
      </c>
      <c r="C343" s="2" t="s">
        <v>267</v>
      </c>
      <c r="D343" s="4">
        <v>21.52</v>
      </c>
    </row>
    <row r="344" spans="1:4" ht="15.75" customHeight="1" x14ac:dyDescent="0.3">
      <c r="A344" s="2" t="s">
        <v>31</v>
      </c>
      <c r="B344" s="2" t="s">
        <v>496</v>
      </c>
      <c r="C344" s="2" t="s">
        <v>268</v>
      </c>
      <c r="D344" s="4">
        <v>1.47</v>
      </c>
    </row>
    <row r="345" spans="1:4" ht="15.75" customHeight="1" x14ac:dyDescent="0.3">
      <c r="A345" s="2" t="s">
        <v>31</v>
      </c>
      <c r="B345" s="2" t="s">
        <v>498</v>
      </c>
      <c r="C345" s="2" t="s">
        <v>257</v>
      </c>
      <c r="D345" s="4">
        <v>8.32</v>
      </c>
    </row>
    <row r="346" spans="1:4" ht="15.75" customHeight="1" x14ac:dyDescent="0.3">
      <c r="A346" s="2" t="s">
        <v>31</v>
      </c>
      <c r="B346" s="2" t="s">
        <v>496</v>
      </c>
      <c r="C346" s="2" t="s">
        <v>258</v>
      </c>
      <c r="D346" s="4">
        <v>12.54</v>
      </c>
    </row>
    <row r="347" spans="1:4" ht="15.75" customHeight="1" x14ac:dyDescent="0.3">
      <c r="A347" s="2" t="s">
        <v>31</v>
      </c>
      <c r="B347" s="2" t="s">
        <v>498</v>
      </c>
      <c r="C347" s="2" t="s">
        <v>265</v>
      </c>
      <c r="D347" s="4">
        <v>32.75</v>
      </c>
    </row>
    <row r="348" spans="1:4" ht="15.75" customHeight="1" x14ac:dyDescent="0.3">
      <c r="A348" s="2" t="s">
        <v>31</v>
      </c>
      <c r="B348" s="2" t="s">
        <v>496</v>
      </c>
      <c r="C348" s="2" t="s">
        <v>266</v>
      </c>
      <c r="D348" s="4">
        <v>15.43</v>
      </c>
    </row>
    <row r="349" spans="1:4" ht="15.75" customHeight="1" x14ac:dyDescent="0.3">
      <c r="A349" s="2" t="s">
        <v>31</v>
      </c>
      <c r="B349" s="2"/>
      <c r="C349" s="2" t="s">
        <v>264</v>
      </c>
      <c r="D349" s="4">
        <v>3.83</v>
      </c>
    </row>
    <row r="350" spans="1:4" ht="15.75" customHeight="1" x14ac:dyDescent="0.3">
      <c r="A350" s="2" t="s">
        <v>32</v>
      </c>
      <c r="B350" s="2" t="s">
        <v>5</v>
      </c>
      <c r="C350" s="2" t="s">
        <v>5</v>
      </c>
      <c r="D350" s="4" t="s">
        <v>5</v>
      </c>
    </row>
    <row r="351" spans="1:4" ht="15.75" customHeight="1" x14ac:dyDescent="0.3">
      <c r="A351" s="2" t="s">
        <v>32</v>
      </c>
      <c r="B351" s="2" t="s">
        <v>498</v>
      </c>
      <c r="C351" s="2" t="s">
        <v>257</v>
      </c>
      <c r="D351" s="4">
        <v>1.77</v>
      </c>
    </row>
    <row r="352" spans="1:4" ht="15.75" customHeight="1" x14ac:dyDescent="0.3">
      <c r="A352" s="2" t="s">
        <v>32</v>
      </c>
      <c r="B352" s="2" t="s">
        <v>496</v>
      </c>
      <c r="C352" s="2" t="s">
        <v>258</v>
      </c>
      <c r="D352" s="4">
        <v>1.35</v>
      </c>
    </row>
    <row r="353" spans="1:4" ht="15.75" customHeight="1" x14ac:dyDescent="0.3">
      <c r="A353" s="2" t="s">
        <v>32</v>
      </c>
      <c r="B353" s="2" t="s">
        <v>498</v>
      </c>
      <c r="C353" s="2" t="s">
        <v>253</v>
      </c>
      <c r="D353" s="4">
        <v>10.8</v>
      </c>
    </row>
    <row r="354" spans="1:4" ht="15.75" customHeight="1" x14ac:dyDescent="0.3">
      <c r="A354" s="2" t="s">
        <v>32</v>
      </c>
      <c r="B354" s="2" t="s">
        <v>496</v>
      </c>
      <c r="C354" s="2" t="s">
        <v>254</v>
      </c>
      <c r="D354" s="4">
        <v>9.8699999999999992</v>
      </c>
    </row>
    <row r="355" spans="1:4" ht="15.75" customHeight="1" x14ac:dyDescent="0.3">
      <c r="A355" s="2" t="s">
        <v>32</v>
      </c>
      <c r="B355" s="2" t="s">
        <v>498</v>
      </c>
      <c r="C355" s="2" t="s">
        <v>265</v>
      </c>
      <c r="D355" s="4">
        <v>5.46</v>
      </c>
    </row>
    <row r="356" spans="1:4" ht="15.75" customHeight="1" x14ac:dyDescent="0.3">
      <c r="A356" s="2" t="s">
        <v>32</v>
      </c>
      <c r="B356" s="2" t="s">
        <v>496</v>
      </c>
      <c r="C356" s="2" t="s">
        <v>266</v>
      </c>
      <c r="D356" s="4">
        <v>5.32</v>
      </c>
    </row>
    <row r="357" spans="1:4" ht="15.75" customHeight="1" x14ac:dyDescent="0.3">
      <c r="A357" s="2" t="s">
        <v>32</v>
      </c>
      <c r="B357" s="2" t="s">
        <v>498</v>
      </c>
      <c r="C357" s="2" t="s">
        <v>257</v>
      </c>
      <c r="D357" s="4">
        <v>1.77</v>
      </c>
    </row>
    <row r="358" spans="1:4" ht="15.75" customHeight="1" x14ac:dyDescent="0.3">
      <c r="A358" s="2" t="s">
        <v>32</v>
      </c>
      <c r="B358" s="2" t="s">
        <v>496</v>
      </c>
      <c r="C358" s="2" t="s">
        <v>258</v>
      </c>
      <c r="D358" s="4">
        <v>1.35</v>
      </c>
    </row>
    <row r="359" spans="1:4" ht="15.75" customHeight="1" x14ac:dyDescent="0.3">
      <c r="A359" s="2" t="s">
        <v>32</v>
      </c>
      <c r="B359" s="2" t="s">
        <v>498</v>
      </c>
      <c r="C359" s="2" t="s">
        <v>253</v>
      </c>
      <c r="D359" s="4">
        <v>10.8</v>
      </c>
    </row>
    <row r="360" spans="1:4" ht="15.75" customHeight="1" x14ac:dyDescent="0.3">
      <c r="A360" s="2" t="s">
        <v>32</v>
      </c>
      <c r="B360" s="2" t="s">
        <v>496</v>
      </c>
      <c r="C360" s="2" t="s">
        <v>254</v>
      </c>
      <c r="D360" s="4">
        <v>9.85</v>
      </c>
    </row>
    <row r="361" spans="1:4" ht="15.75" customHeight="1" x14ac:dyDescent="0.3">
      <c r="A361" s="2" t="s">
        <v>32</v>
      </c>
      <c r="B361" s="2" t="s">
        <v>498</v>
      </c>
      <c r="C361" s="2" t="s">
        <v>265</v>
      </c>
      <c r="D361" s="4">
        <v>5.46</v>
      </c>
    </row>
    <row r="362" spans="1:4" ht="15.75" customHeight="1" x14ac:dyDescent="0.3">
      <c r="A362" s="2" t="s">
        <v>32</v>
      </c>
      <c r="B362" s="2" t="s">
        <v>496</v>
      </c>
      <c r="C362" s="2" t="s">
        <v>266</v>
      </c>
      <c r="D362" s="4">
        <v>5.49</v>
      </c>
    </row>
    <row r="363" spans="1:4" ht="15.75" customHeight="1" x14ac:dyDescent="0.3">
      <c r="A363" s="2" t="s">
        <v>32</v>
      </c>
      <c r="B363" s="2" t="s">
        <v>498</v>
      </c>
      <c r="C363" s="2" t="s">
        <v>257</v>
      </c>
      <c r="D363" s="4">
        <v>7.27</v>
      </c>
    </row>
    <row r="364" spans="1:4" ht="15.75" customHeight="1" x14ac:dyDescent="0.3">
      <c r="A364" s="2" t="s">
        <v>32</v>
      </c>
      <c r="B364" s="2" t="s">
        <v>496</v>
      </c>
      <c r="C364" s="2" t="s">
        <v>258</v>
      </c>
      <c r="D364" s="4">
        <v>9.48</v>
      </c>
    </row>
    <row r="365" spans="1:4" ht="15.75" customHeight="1" x14ac:dyDescent="0.3">
      <c r="A365" s="2" t="s">
        <v>32</v>
      </c>
      <c r="B365" s="2" t="s">
        <v>498</v>
      </c>
      <c r="C365" s="2" t="s">
        <v>261</v>
      </c>
      <c r="D365" s="4">
        <v>2.0299999999999998</v>
      </c>
    </row>
    <row r="366" spans="1:4" ht="15.75" customHeight="1" x14ac:dyDescent="0.3">
      <c r="A366" s="2" t="s">
        <v>32</v>
      </c>
      <c r="B366" s="2" t="s">
        <v>496</v>
      </c>
      <c r="C366" s="2" t="s">
        <v>252</v>
      </c>
      <c r="D366" s="4">
        <v>5.71</v>
      </c>
    </row>
    <row r="367" spans="1:4" ht="15.75" customHeight="1" x14ac:dyDescent="0.3">
      <c r="A367" s="2" t="s">
        <v>32</v>
      </c>
      <c r="B367" s="2" t="s">
        <v>498</v>
      </c>
      <c r="C367" s="2" t="s">
        <v>253</v>
      </c>
      <c r="D367" s="4">
        <v>16.88</v>
      </c>
    </row>
    <row r="368" spans="1:4" ht="15.75" customHeight="1" x14ac:dyDescent="0.3">
      <c r="A368" s="2" t="s">
        <v>32</v>
      </c>
      <c r="B368" s="2" t="s">
        <v>496</v>
      </c>
      <c r="C368" s="2" t="s">
        <v>254</v>
      </c>
      <c r="D368" s="4">
        <v>11.42</v>
      </c>
    </row>
    <row r="369" spans="1:4" ht="15.75" customHeight="1" x14ac:dyDescent="0.3">
      <c r="A369" s="2" t="s">
        <v>32</v>
      </c>
      <c r="B369" s="2"/>
      <c r="C369" s="2" t="s">
        <v>260</v>
      </c>
      <c r="D369" s="4">
        <v>25.79</v>
      </c>
    </row>
    <row r="370" spans="1:4" ht="15.75" customHeight="1" x14ac:dyDescent="0.3">
      <c r="A370" s="2" t="s">
        <v>32</v>
      </c>
      <c r="B370" s="2" t="s">
        <v>498</v>
      </c>
      <c r="C370" s="2" t="s">
        <v>267</v>
      </c>
      <c r="D370" s="4">
        <v>21.52</v>
      </c>
    </row>
    <row r="371" spans="1:4" ht="15.75" customHeight="1" x14ac:dyDescent="0.3">
      <c r="A371" s="2" t="s">
        <v>32</v>
      </c>
      <c r="B371" s="2" t="s">
        <v>496</v>
      </c>
      <c r="C371" s="2" t="s">
        <v>268</v>
      </c>
      <c r="D371" s="4">
        <v>1.47</v>
      </c>
    </row>
    <row r="372" spans="1:4" ht="15.75" customHeight="1" x14ac:dyDescent="0.3">
      <c r="A372" s="2" t="s">
        <v>32</v>
      </c>
      <c r="B372" s="2" t="s">
        <v>498</v>
      </c>
      <c r="C372" s="2" t="s">
        <v>257</v>
      </c>
      <c r="D372" s="4">
        <v>8.32</v>
      </c>
    </row>
    <row r="373" spans="1:4" ht="15.75" customHeight="1" x14ac:dyDescent="0.3">
      <c r="A373" s="2" t="s">
        <v>32</v>
      </c>
      <c r="B373" s="2" t="s">
        <v>496</v>
      </c>
      <c r="C373" s="2" t="s">
        <v>258</v>
      </c>
      <c r="D373" s="4">
        <v>12.54</v>
      </c>
    </row>
    <row r="374" spans="1:4" ht="15.75" customHeight="1" x14ac:dyDescent="0.3">
      <c r="A374" s="2" t="s">
        <v>32</v>
      </c>
      <c r="B374" s="2" t="s">
        <v>498</v>
      </c>
      <c r="C374" s="2" t="s">
        <v>265</v>
      </c>
      <c r="D374" s="4">
        <v>32.75</v>
      </c>
    </row>
    <row r="375" spans="1:4" ht="15.75" customHeight="1" x14ac:dyDescent="0.3">
      <c r="A375" s="2" t="s">
        <v>32</v>
      </c>
      <c r="B375" s="2" t="s">
        <v>496</v>
      </c>
      <c r="C375" s="2" t="s">
        <v>266</v>
      </c>
      <c r="D375" s="4">
        <v>15.43</v>
      </c>
    </row>
    <row r="376" spans="1:4" ht="15.75" customHeight="1" x14ac:dyDescent="0.3">
      <c r="A376" s="2" t="s">
        <v>32</v>
      </c>
      <c r="B376" s="2"/>
      <c r="C376" s="2" t="s">
        <v>264</v>
      </c>
      <c r="D376" s="4">
        <v>3.83</v>
      </c>
    </row>
    <row r="377" spans="1:4" ht="15.75" customHeight="1" x14ac:dyDescent="0.3">
      <c r="A377" s="2" t="s">
        <v>33</v>
      </c>
      <c r="B377" s="2" t="s">
        <v>5</v>
      </c>
      <c r="C377" s="2" t="s">
        <v>5</v>
      </c>
      <c r="D377" s="4" t="s">
        <v>5</v>
      </c>
    </row>
    <row r="378" spans="1:4" ht="15.75" customHeight="1" x14ac:dyDescent="0.3">
      <c r="A378" s="2" t="s">
        <v>33</v>
      </c>
      <c r="B378" s="2" t="s">
        <v>498</v>
      </c>
      <c r="C378" s="2" t="s">
        <v>257</v>
      </c>
      <c r="D378" s="4">
        <v>1.77</v>
      </c>
    </row>
    <row r="379" spans="1:4" ht="15.75" customHeight="1" x14ac:dyDescent="0.3">
      <c r="A379" s="2" t="s">
        <v>33</v>
      </c>
      <c r="B379" s="2" t="s">
        <v>496</v>
      </c>
      <c r="C379" s="2" t="s">
        <v>258</v>
      </c>
      <c r="D379" s="4">
        <v>1.35</v>
      </c>
    </row>
    <row r="380" spans="1:4" ht="15.75" customHeight="1" x14ac:dyDescent="0.3">
      <c r="A380" s="2" t="s">
        <v>33</v>
      </c>
      <c r="B380" s="2" t="s">
        <v>498</v>
      </c>
      <c r="C380" s="2" t="s">
        <v>253</v>
      </c>
      <c r="D380" s="4">
        <v>10.8</v>
      </c>
    </row>
    <row r="381" spans="1:4" ht="15.75" customHeight="1" x14ac:dyDescent="0.3">
      <c r="A381" s="2" t="s">
        <v>33</v>
      </c>
      <c r="B381" s="2" t="s">
        <v>496</v>
      </c>
      <c r="C381" s="2" t="s">
        <v>254</v>
      </c>
      <c r="D381" s="4">
        <v>9.8699999999999992</v>
      </c>
    </row>
    <row r="382" spans="1:4" ht="15.75" customHeight="1" x14ac:dyDescent="0.3">
      <c r="A382" s="2" t="s">
        <v>33</v>
      </c>
      <c r="B382" s="2" t="s">
        <v>498</v>
      </c>
      <c r="C382" s="2" t="s">
        <v>265</v>
      </c>
      <c r="D382" s="4">
        <v>5.46</v>
      </c>
    </row>
    <row r="383" spans="1:4" ht="15.75" customHeight="1" x14ac:dyDescent="0.3">
      <c r="A383" s="2" t="s">
        <v>33</v>
      </c>
      <c r="B383" s="2" t="s">
        <v>496</v>
      </c>
      <c r="C383" s="2" t="s">
        <v>266</v>
      </c>
      <c r="D383" s="4">
        <v>5.32</v>
      </c>
    </row>
    <row r="384" spans="1:4" ht="15.75" customHeight="1" x14ac:dyDescent="0.3">
      <c r="A384" s="2" t="s">
        <v>33</v>
      </c>
      <c r="B384" s="2" t="s">
        <v>498</v>
      </c>
      <c r="C384" s="2" t="s">
        <v>257</v>
      </c>
      <c r="D384" s="4">
        <v>1.77</v>
      </c>
    </row>
    <row r="385" spans="1:4" ht="15.75" customHeight="1" x14ac:dyDescent="0.3">
      <c r="A385" s="2" t="s">
        <v>33</v>
      </c>
      <c r="B385" s="2" t="s">
        <v>496</v>
      </c>
      <c r="C385" s="2" t="s">
        <v>258</v>
      </c>
      <c r="D385" s="4">
        <v>1.35</v>
      </c>
    </row>
    <row r="386" spans="1:4" ht="15.75" customHeight="1" x14ac:dyDescent="0.3">
      <c r="A386" s="2" t="s">
        <v>33</v>
      </c>
      <c r="B386" s="2" t="s">
        <v>498</v>
      </c>
      <c r="C386" s="2" t="s">
        <v>253</v>
      </c>
      <c r="D386" s="4">
        <v>10.8</v>
      </c>
    </row>
    <row r="387" spans="1:4" ht="15.75" customHeight="1" x14ac:dyDescent="0.3">
      <c r="A387" s="2" t="s">
        <v>33</v>
      </c>
      <c r="B387" s="2" t="s">
        <v>496</v>
      </c>
      <c r="C387" s="2" t="s">
        <v>254</v>
      </c>
      <c r="D387" s="4">
        <v>9.85</v>
      </c>
    </row>
    <row r="388" spans="1:4" ht="15.75" customHeight="1" x14ac:dyDescent="0.3">
      <c r="A388" s="2" t="s">
        <v>33</v>
      </c>
      <c r="B388" s="2" t="s">
        <v>498</v>
      </c>
      <c r="C388" s="2" t="s">
        <v>265</v>
      </c>
      <c r="D388" s="4">
        <v>5.46</v>
      </c>
    </row>
    <row r="389" spans="1:4" ht="15.75" customHeight="1" x14ac:dyDescent="0.3">
      <c r="A389" s="2" t="s">
        <v>33</v>
      </c>
      <c r="B389" s="2" t="s">
        <v>496</v>
      </c>
      <c r="C389" s="2" t="s">
        <v>266</v>
      </c>
      <c r="D389" s="4">
        <v>5.49</v>
      </c>
    </row>
    <row r="390" spans="1:4" ht="15.75" customHeight="1" x14ac:dyDescent="0.3">
      <c r="A390" s="2" t="s">
        <v>33</v>
      </c>
      <c r="B390" s="2" t="s">
        <v>498</v>
      </c>
      <c r="C390" s="2" t="s">
        <v>257</v>
      </c>
      <c r="D390" s="4">
        <v>7.27</v>
      </c>
    </row>
    <row r="391" spans="1:4" ht="15.75" customHeight="1" x14ac:dyDescent="0.3">
      <c r="A391" s="2" t="s">
        <v>33</v>
      </c>
      <c r="B391" s="2" t="s">
        <v>496</v>
      </c>
      <c r="C391" s="2" t="s">
        <v>258</v>
      </c>
      <c r="D391" s="4">
        <v>9.48</v>
      </c>
    </row>
    <row r="392" spans="1:4" ht="15.75" customHeight="1" x14ac:dyDescent="0.3">
      <c r="A392" s="2" t="s">
        <v>33</v>
      </c>
      <c r="B392" s="2" t="s">
        <v>498</v>
      </c>
      <c r="C392" s="2" t="s">
        <v>261</v>
      </c>
      <c r="D392" s="4">
        <v>2.0299999999999998</v>
      </c>
    </row>
    <row r="393" spans="1:4" ht="15.75" customHeight="1" x14ac:dyDescent="0.3">
      <c r="A393" s="2" t="s">
        <v>33</v>
      </c>
      <c r="B393" s="2" t="s">
        <v>496</v>
      </c>
      <c r="C393" s="2" t="s">
        <v>252</v>
      </c>
      <c r="D393" s="4">
        <v>5.71</v>
      </c>
    </row>
    <row r="394" spans="1:4" ht="15.75" customHeight="1" x14ac:dyDescent="0.3">
      <c r="A394" s="2" t="s">
        <v>33</v>
      </c>
      <c r="B394" s="2" t="s">
        <v>498</v>
      </c>
      <c r="C394" s="2" t="s">
        <v>253</v>
      </c>
      <c r="D394" s="4">
        <v>16.88</v>
      </c>
    </row>
    <row r="395" spans="1:4" ht="15.75" customHeight="1" x14ac:dyDescent="0.3">
      <c r="A395" s="2" t="s">
        <v>33</v>
      </c>
      <c r="B395" s="2" t="s">
        <v>496</v>
      </c>
      <c r="C395" s="2" t="s">
        <v>254</v>
      </c>
      <c r="D395" s="4">
        <v>11.42</v>
      </c>
    </row>
    <row r="396" spans="1:4" ht="15.75" customHeight="1" x14ac:dyDescent="0.3">
      <c r="A396" s="2" t="s">
        <v>33</v>
      </c>
      <c r="B396" s="2"/>
      <c r="C396" s="2" t="s">
        <v>260</v>
      </c>
      <c r="D396" s="4">
        <v>25.79</v>
      </c>
    </row>
    <row r="397" spans="1:4" ht="15.75" customHeight="1" x14ac:dyDescent="0.3">
      <c r="A397" s="2" t="s">
        <v>33</v>
      </c>
      <c r="B397" s="2" t="s">
        <v>498</v>
      </c>
      <c r="C397" s="2" t="s">
        <v>267</v>
      </c>
      <c r="D397" s="4">
        <v>21.52</v>
      </c>
    </row>
    <row r="398" spans="1:4" ht="15.75" customHeight="1" x14ac:dyDescent="0.3">
      <c r="A398" s="2" t="s">
        <v>33</v>
      </c>
      <c r="B398" s="2" t="s">
        <v>496</v>
      </c>
      <c r="C398" s="2" t="s">
        <v>268</v>
      </c>
      <c r="D398" s="4">
        <v>1.47</v>
      </c>
    </row>
    <row r="399" spans="1:4" ht="15.75" customHeight="1" x14ac:dyDescent="0.3">
      <c r="A399" s="2" t="s">
        <v>33</v>
      </c>
      <c r="B399" s="2" t="s">
        <v>498</v>
      </c>
      <c r="C399" s="2" t="s">
        <v>257</v>
      </c>
      <c r="D399" s="4">
        <v>8.32</v>
      </c>
    </row>
    <row r="400" spans="1:4" ht="15.75" customHeight="1" x14ac:dyDescent="0.3">
      <c r="A400" s="2" t="s">
        <v>33</v>
      </c>
      <c r="B400" s="2" t="s">
        <v>496</v>
      </c>
      <c r="C400" s="2" t="s">
        <v>258</v>
      </c>
      <c r="D400" s="4">
        <v>12.54</v>
      </c>
    </row>
    <row r="401" spans="1:4" ht="15.75" customHeight="1" x14ac:dyDescent="0.3">
      <c r="A401" s="2" t="s">
        <v>33</v>
      </c>
      <c r="B401" s="2" t="s">
        <v>498</v>
      </c>
      <c r="C401" s="2" t="s">
        <v>265</v>
      </c>
      <c r="D401" s="4">
        <v>32.75</v>
      </c>
    </row>
    <row r="402" spans="1:4" ht="15.75" customHeight="1" x14ac:dyDescent="0.3">
      <c r="A402" s="2" t="s">
        <v>33</v>
      </c>
      <c r="B402" s="2" t="s">
        <v>496</v>
      </c>
      <c r="C402" s="2" t="s">
        <v>266</v>
      </c>
      <c r="D402" s="4">
        <v>15.43</v>
      </c>
    </row>
    <row r="403" spans="1:4" ht="15.75" customHeight="1" x14ac:dyDescent="0.3">
      <c r="A403" s="2" t="s">
        <v>33</v>
      </c>
      <c r="B403" s="2"/>
      <c r="C403" s="2" t="s">
        <v>264</v>
      </c>
      <c r="D403" s="4">
        <v>3.83</v>
      </c>
    </row>
    <row r="404" spans="1:4" ht="15.75" customHeight="1" x14ac:dyDescent="0.3">
      <c r="A404" s="2" t="s">
        <v>34</v>
      </c>
      <c r="B404" s="2" t="s">
        <v>5</v>
      </c>
      <c r="C404" s="2" t="s">
        <v>5</v>
      </c>
      <c r="D404" s="4" t="s">
        <v>5</v>
      </c>
    </row>
    <row r="405" spans="1:4" ht="15.75" customHeight="1" x14ac:dyDescent="0.3">
      <c r="A405" s="2" t="s">
        <v>34</v>
      </c>
      <c r="B405" s="2" t="s">
        <v>498</v>
      </c>
      <c r="C405" s="2" t="s">
        <v>257</v>
      </c>
      <c r="D405" s="4">
        <v>1.77</v>
      </c>
    </row>
    <row r="406" spans="1:4" ht="15.75" customHeight="1" x14ac:dyDescent="0.3">
      <c r="A406" s="2" t="s">
        <v>34</v>
      </c>
      <c r="B406" s="2" t="s">
        <v>496</v>
      </c>
      <c r="C406" s="2" t="s">
        <v>258</v>
      </c>
      <c r="D406" s="4">
        <v>1.35</v>
      </c>
    </row>
    <row r="407" spans="1:4" ht="15.75" customHeight="1" x14ac:dyDescent="0.3">
      <c r="A407" s="2" t="s">
        <v>34</v>
      </c>
      <c r="B407" s="2" t="s">
        <v>498</v>
      </c>
      <c r="C407" s="2" t="s">
        <v>253</v>
      </c>
      <c r="D407" s="4">
        <v>10.8</v>
      </c>
    </row>
    <row r="408" spans="1:4" ht="15.75" customHeight="1" x14ac:dyDescent="0.3">
      <c r="A408" s="2" t="s">
        <v>34</v>
      </c>
      <c r="B408" s="2" t="s">
        <v>496</v>
      </c>
      <c r="C408" s="2" t="s">
        <v>254</v>
      </c>
      <c r="D408" s="4">
        <v>9.8699999999999992</v>
      </c>
    </row>
    <row r="409" spans="1:4" ht="15.75" customHeight="1" x14ac:dyDescent="0.3">
      <c r="A409" s="2" t="s">
        <v>34</v>
      </c>
      <c r="B409" s="2" t="s">
        <v>498</v>
      </c>
      <c r="C409" s="2" t="s">
        <v>265</v>
      </c>
      <c r="D409" s="4">
        <v>5.46</v>
      </c>
    </row>
    <row r="410" spans="1:4" ht="15.75" customHeight="1" x14ac:dyDescent="0.3">
      <c r="A410" s="2" t="s">
        <v>34</v>
      </c>
      <c r="B410" s="2" t="s">
        <v>496</v>
      </c>
      <c r="C410" s="2" t="s">
        <v>266</v>
      </c>
      <c r="D410" s="4">
        <v>5.32</v>
      </c>
    </row>
    <row r="411" spans="1:4" ht="15.75" customHeight="1" x14ac:dyDescent="0.3">
      <c r="A411" s="2" t="s">
        <v>34</v>
      </c>
      <c r="B411" s="2" t="s">
        <v>498</v>
      </c>
      <c r="C411" s="2" t="s">
        <v>257</v>
      </c>
      <c r="D411" s="4">
        <v>1.77</v>
      </c>
    </row>
    <row r="412" spans="1:4" ht="15.75" customHeight="1" x14ac:dyDescent="0.3">
      <c r="A412" s="2" t="s">
        <v>34</v>
      </c>
      <c r="B412" s="2" t="s">
        <v>496</v>
      </c>
      <c r="C412" s="2" t="s">
        <v>258</v>
      </c>
      <c r="D412" s="4">
        <v>1.35</v>
      </c>
    </row>
    <row r="413" spans="1:4" ht="15.75" customHeight="1" x14ac:dyDescent="0.3">
      <c r="A413" s="2" t="s">
        <v>34</v>
      </c>
      <c r="B413" s="2" t="s">
        <v>498</v>
      </c>
      <c r="C413" s="2" t="s">
        <v>253</v>
      </c>
      <c r="D413" s="4">
        <v>10.8</v>
      </c>
    </row>
    <row r="414" spans="1:4" ht="15.75" customHeight="1" x14ac:dyDescent="0.3">
      <c r="A414" s="2" t="s">
        <v>34</v>
      </c>
      <c r="B414" s="2" t="s">
        <v>496</v>
      </c>
      <c r="C414" s="2" t="s">
        <v>254</v>
      </c>
      <c r="D414" s="4">
        <v>9.85</v>
      </c>
    </row>
    <row r="415" spans="1:4" ht="15.75" customHeight="1" x14ac:dyDescent="0.3">
      <c r="A415" s="2" t="s">
        <v>34</v>
      </c>
      <c r="B415" s="2" t="s">
        <v>498</v>
      </c>
      <c r="C415" s="2" t="s">
        <v>265</v>
      </c>
      <c r="D415" s="4">
        <v>5.46</v>
      </c>
    </row>
    <row r="416" spans="1:4" ht="15.75" customHeight="1" x14ac:dyDescent="0.3">
      <c r="A416" s="2" t="s">
        <v>34</v>
      </c>
      <c r="B416" s="2" t="s">
        <v>496</v>
      </c>
      <c r="C416" s="2" t="s">
        <v>266</v>
      </c>
      <c r="D416" s="4">
        <v>5.49</v>
      </c>
    </row>
    <row r="417" spans="1:4" ht="15.75" customHeight="1" x14ac:dyDescent="0.3">
      <c r="A417" s="2" t="s">
        <v>34</v>
      </c>
      <c r="B417" s="2" t="s">
        <v>498</v>
      </c>
      <c r="C417" s="2" t="s">
        <v>257</v>
      </c>
      <c r="D417" s="4">
        <v>7.27</v>
      </c>
    </row>
    <row r="418" spans="1:4" ht="15.75" customHeight="1" x14ac:dyDescent="0.3">
      <c r="A418" s="2" t="s">
        <v>34</v>
      </c>
      <c r="B418" s="2" t="s">
        <v>496</v>
      </c>
      <c r="C418" s="2" t="s">
        <v>258</v>
      </c>
      <c r="D418" s="4">
        <v>9.48</v>
      </c>
    </row>
    <row r="419" spans="1:4" ht="15.75" customHeight="1" x14ac:dyDescent="0.3">
      <c r="A419" s="2" t="s">
        <v>34</v>
      </c>
      <c r="B419" s="2" t="s">
        <v>498</v>
      </c>
      <c r="C419" s="2" t="s">
        <v>261</v>
      </c>
      <c r="D419" s="4">
        <v>2.0299999999999998</v>
      </c>
    </row>
    <row r="420" spans="1:4" ht="15.75" customHeight="1" x14ac:dyDescent="0.3">
      <c r="A420" s="2" t="s">
        <v>34</v>
      </c>
      <c r="B420" s="2" t="s">
        <v>496</v>
      </c>
      <c r="C420" s="2" t="s">
        <v>252</v>
      </c>
      <c r="D420" s="4">
        <v>5.71</v>
      </c>
    </row>
    <row r="421" spans="1:4" ht="15.75" customHeight="1" x14ac:dyDescent="0.3">
      <c r="A421" s="2" t="s">
        <v>34</v>
      </c>
      <c r="B421" s="2" t="s">
        <v>498</v>
      </c>
      <c r="C421" s="2" t="s">
        <v>253</v>
      </c>
      <c r="D421" s="4">
        <v>16.88</v>
      </c>
    </row>
    <row r="422" spans="1:4" ht="15.75" customHeight="1" x14ac:dyDescent="0.3">
      <c r="A422" s="2" t="s">
        <v>34</v>
      </c>
      <c r="B422" s="2" t="s">
        <v>496</v>
      </c>
      <c r="C422" s="2" t="s">
        <v>254</v>
      </c>
      <c r="D422" s="4">
        <v>11.42</v>
      </c>
    </row>
    <row r="423" spans="1:4" ht="15.75" customHeight="1" x14ac:dyDescent="0.3">
      <c r="A423" s="2" t="s">
        <v>34</v>
      </c>
      <c r="B423" s="2"/>
      <c r="C423" s="2" t="s">
        <v>260</v>
      </c>
      <c r="D423" s="4">
        <v>25.79</v>
      </c>
    </row>
    <row r="424" spans="1:4" ht="15.75" customHeight="1" x14ac:dyDescent="0.3">
      <c r="A424" s="2" t="s">
        <v>34</v>
      </c>
      <c r="B424" s="2" t="s">
        <v>498</v>
      </c>
      <c r="C424" s="2" t="s">
        <v>267</v>
      </c>
      <c r="D424" s="4">
        <v>21.52</v>
      </c>
    </row>
    <row r="425" spans="1:4" ht="15.75" customHeight="1" x14ac:dyDescent="0.3">
      <c r="A425" s="2" t="s">
        <v>34</v>
      </c>
      <c r="B425" s="2" t="s">
        <v>496</v>
      </c>
      <c r="C425" s="2" t="s">
        <v>268</v>
      </c>
      <c r="D425" s="4">
        <v>1.47</v>
      </c>
    </row>
    <row r="426" spans="1:4" ht="15.75" customHeight="1" x14ac:dyDescent="0.3">
      <c r="A426" s="2" t="s">
        <v>34</v>
      </c>
      <c r="B426" s="2" t="s">
        <v>498</v>
      </c>
      <c r="C426" s="2" t="s">
        <v>257</v>
      </c>
      <c r="D426" s="4">
        <v>8.32</v>
      </c>
    </row>
    <row r="427" spans="1:4" ht="15.75" customHeight="1" x14ac:dyDescent="0.3">
      <c r="A427" s="2" t="s">
        <v>34</v>
      </c>
      <c r="B427" s="2" t="s">
        <v>496</v>
      </c>
      <c r="C427" s="2" t="s">
        <v>258</v>
      </c>
      <c r="D427" s="4">
        <v>12.54</v>
      </c>
    </row>
    <row r="428" spans="1:4" ht="15.75" customHeight="1" x14ac:dyDescent="0.3">
      <c r="A428" s="2" t="s">
        <v>34</v>
      </c>
      <c r="B428" s="2" t="s">
        <v>498</v>
      </c>
      <c r="C428" s="2" t="s">
        <v>265</v>
      </c>
      <c r="D428" s="4">
        <v>32.75</v>
      </c>
    </row>
    <row r="429" spans="1:4" ht="15.75" customHeight="1" x14ac:dyDescent="0.3">
      <c r="A429" s="2" t="s">
        <v>34</v>
      </c>
      <c r="B429" s="2" t="s">
        <v>496</v>
      </c>
      <c r="C429" s="2" t="s">
        <v>266</v>
      </c>
      <c r="D429" s="4">
        <v>15.43</v>
      </c>
    </row>
    <row r="430" spans="1:4" ht="15.75" customHeight="1" x14ac:dyDescent="0.3">
      <c r="A430" s="2" t="s">
        <v>34</v>
      </c>
      <c r="B430" s="2"/>
      <c r="C430" s="2" t="s">
        <v>264</v>
      </c>
      <c r="D430" s="4">
        <v>3.83</v>
      </c>
    </row>
    <row r="431" spans="1:4" ht="15.75" customHeight="1" x14ac:dyDescent="0.3">
      <c r="A431" s="2" t="s">
        <v>35</v>
      </c>
      <c r="B431" s="2" t="s">
        <v>5</v>
      </c>
      <c r="C431" s="2" t="s">
        <v>5</v>
      </c>
      <c r="D431" s="4" t="s">
        <v>5</v>
      </c>
    </row>
    <row r="432" spans="1:4" ht="15.75" customHeight="1" x14ac:dyDescent="0.3">
      <c r="A432" s="2" t="s">
        <v>35</v>
      </c>
      <c r="B432" s="2" t="s">
        <v>498</v>
      </c>
      <c r="C432" s="2" t="s">
        <v>257</v>
      </c>
      <c r="D432" s="4">
        <v>1.77</v>
      </c>
    </row>
    <row r="433" spans="1:4" ht="15.75" customHeight="1" x14ac:dyDescent="0.3">
      <c r="A433" s="2" t="s">
        <v>35</v>
      </c>
      <c r="B433" s="2" t="s">
        <v>496</v>
      </c>
      <c r="C433" s="2" t="s">
        <v>258</v>
      </c>
      <c r="D433" s="4">
        <v>1.35</v>
      </c>
    </row>
    <row r="434" spans="1:4" ht="15.75" customHeight="1" x14ac:dyDescent="0.3">
      <c r="A434" s="2" t="s">
        <v>35</v>
      </c>
      <c r="B434" s="2" t="s">
        <v>498</v>
      </c>
      <c r="C434" s="2" t="s">
        <v>253</v>
      </c>
      <c r="D434" s="4">
        <v>10.8</v>
      </c>
    </row>
    <row r="435" spans="1:4" ht="15.75" customHeight="1" x14ac:dyDescent="0.3">
      <c r="A435" s="2" t="s">
        <v>35</v>
      </c>
      <c r="B435" s="2" t="s">
        <v>496</v>
      </c>
      <c r="C435" s="2" t="s">
        <v>254</v>
      </c>
      <c r="D435" s="4">
        <v>9.8699999999999992</v>
      </c>
    </row>
    <row r="436" spans="1:4" ht="15.75" customHeight="1" x14ac:dyDescent="0.3">
      <c r="A436" s="2" t="s">
        <v>35</v>
      </c>
      <c r="B436" s="2" t="s">
        <v>498</v>
      </c>
      <c r="C436" s="2" t="s">
        <v>265</v>
      </c>
      <c r="D436" s="4">
        <v>5.46</v>
      </c>
    </row>
    <row r="437" spans="1:4" ht="15.75" customHeight="1" x14ac:dyDescent="0.3">
      <c r="A437" s="2" t="s">
        <v>35</v>
      </c>
      <c r="B437" s="2" t="s">
        <v>496</v>
      </c>
      <c r="C437" s="2" t="s">
        <v>266</v>
      </c>
      <c r="D437" s="4">
        <v>5.32</v>
      </c>
    </row>
    <row r="438" spans="1:4" ht="15.75" customHeight="1" x14ac:dyDescent="0.3">
      <c r="A438" s="2" t="s">
        <v>35</v>
      </c>
      <c r="B438" s="2" t="s">
        <v>498</v>
      </c>
      <c r="C438" s="2" t="s">
        <v>257</v>
      </c>
      <c r="D438" s="4">
        <v>1.77</v>
      </c>
    </row>
    <row r="439" spans="1:4" ht="15.75" customHeight="1" x14ac:dyDescent="0.3">
      <c r="A439" s="2" t="s">
        <v>35</v>
      </c>
      <c r="B439" s="2" t="s">
        <v>496</v>
      </c>
      <c r="C439" s="2" t="s">
        <v>258</v>
      </c>
      <c r="D439" s="4">
        <v>1.35</v>
      </c>
    </row>
    <row r="440" spans="1:4" ht="15.75" customHeight="1" x14ac:dyDescent="0.3">
      <c r="A440" s="2" t="s">
        <v>35</v>
      </c>
      <c r="B440" s="2" t="s">
        <v>498</v>
      </c>
      <c r="C440" s="2" t="s">
        <v>253</v>
      </c>
      <c r="D440" s="4">
        <v>10.8</v>
      </c>
    </row>
    <row r="441" spans="1:4" ht="15.75" customHeight="1" x14ac:dyDescent="0.3">
      <c r="A441" s="2" t="s">
        <v>35</v>
      </c>
      <c r="B441" s="2" t="s">
        <v>496</v>
      </c>
      <c r="C441" s="2" t="s">
        <v>254</v>
      </c>
      <c r="D441" s="4">
        <v>9.85</v>
      </c>
    </row>
    <row r="442" spans="1:4" ht="15.75" customHeight="1" x14ac:dyDescent="0.3">
      <c r="A442" s="2" t="s">
        <v>35</v>
      </c>
      <c r="B442" s="2" t="s">
        <v>498</v>
      </c>
      <c r="C442" s="2" t="s">
        <v>265</v>
      </c>
      <c r="D442" s="4">
        <v>5.46</v>
      </c>
    </row>
    <row r="443" spans="1:4" ht="15.75" customHeight="1" x14ac:dyDescent="0.3">
      <c r="A443" s="2" t="s">
        <v>35</v>
      </c>
      <c r="B443" s="2" t="s">
        <v>496</v>
      </c>
      <c r="C443" s="2" t="s">
        <v>266</v>
      </c>
      <c r="D443" s="4">
        <v>5.49</v>
      </c>
    </row>
    <row r="444" spans="1:4" ht="15.75" customHeight="1" x14ac:dyDescent="0.3">
      <c r="A444" s="2" t="s">
        <v>35</v>
      </c>
      <c r="B444" s="2" t="s">
        <v>498</v>
      </c>
      <c r="C444" s="2" t="s">
        <v>257</v>
      </c>
      <c r="D444" s="4">
        <v>7.27</v>
      </c>
    </row>
    <row r="445" spans="1:4" ht="15.75" customHeight="1" x14ac:dyDescent="0.3">
      <c r="A445" s="2" t="s">
        <v>35</v>
      </c>
      <c r="B445" s="2" t="s">
        <v>496</v>
      </c>
      <c r="C445" s="2" t="s">
        <v>258</v>
      </c>
      <c r="D445" s="4">
        <v>9.48</v>
      </c>
    </row>
    <row r="446" spans="1:4" ht="15.75" customHeight="1" x14ac:dyDescent="0.3">
      <c r="A446" s="2" t="s">
        <v>35</v>
      </c>
      <c r="B446" s="2" t="s">
        <v>498</v>
      </c>
      <c r="C446" s="2" t="s">
        <v>261</v>
      </c>
      <c r="D446" s="4">
        <v>2.0299999999999998</v>
      </c>
    </row>
    <row r="447" spans="1:4" ht="15.75" customHeight="1" x14ac:dyDescent="0.3">
      <c r="A447" s="2" t="s">
        <v>35</v>
      </c>
      <c r="B447" s="2" t="s">
        <v>496</v>
      </c>
      <c r="C447" s="2" t="s">
        <v>252</v>
      </c>
      <c r="D447" s="4">
        <v>5.71</v>
      </c>
    </row>
    <row r="448" spans="1:4" ht="15.75" customHeight="1" x14ac:dyDescent="0.3">
      <c r="A448" s="2" t="s">
        <v>35</v>
      </c>
      <c r="B448" s="2" t="s">
        <v>498</v>
      </c>
      <c r="C448" s="2" t="s">
        <v>253</v>
      </c>
      <c r="D448" s="4">
        <v>16.88</v>
      </c>
    </row>
    <row r="449" spans="1:4" ht="15.75" customHeight="1" x14ac:dyDescent="0.3">
      <c r="A449" s="2" t="s">
        <v>35</v>
      </c>
      <c r="B449" s="2" t="s">
        <v>496</v>
      </c>
      <c r="C449" s="2" t="s">
        <v>254</v>
      </c>
      <c r="D449" s="4">
        <v>11.42</v>
      </c>
    </row>
    <row r="450" spans="1:4" ht="15.75" customHeight="1" x14ac:dyDescent="0.3">
      <c r="A450" s="2" t="s">
        <v>35</v>
      </c>
      <c r="B450" s="2"/>
      <c r="C450" s="2" t="s">
        <v>260</v>
      </c>
      <c r="D450" s="4">
        <v>25.79</v>
      </c>
    </row>
    <row r="451" spans="1:4" ht="15.75" customHeight="1" x14ac:dyDescent="0.3">
      <c r="A451" s="2" t="s">
        <v>35</v>
      </c>
      <c r="B451" s="2" t="s">
        <v>498</v>
      </c>
      <c r="C451" s="2" t="s">
        <v>267</v>
      </c>
      <c r="D451" s="4">
        <v>21.52</v>
      </c>
    </row>
    <row r="452" spans="1:4" ht="15.75" customHeight="1" x14ac:dyDescent="0.3">
      <c r="A452" s="2" t="s">
        <v>35</v>
      </c>
      <c r="B452" s="2" t="s">
        <v>496</v>
      </c>
      <c r="C452" s="2" t="s">
        <v>268</v>
      </c>
      <c r="D452" s="4">
        <v>1.47</v>
      </c>
    </row>
    <row r="453" spans="1:4" ht="15.75" customHeight="1" x14ac:dyDescent="0.3">
      <c r="A453" s="2" t="s">
        <v>35</v>
      </c>
      <c r="B453" s="2" t="s">
        <v>498</v>
      </c>
      <c r="C453" s="2" t="s">
        <v>257</v>
      </c>
      <c r="D453" s="4">
        <v>8.32</v>
      </c>
    </row>
    <row r="454" spans="1:4" ht="15.75" customHeight="1" x14ac:dyDescent="0.3">
      <c r="A454" s="2" t="s">
        <v>35</v>
      </c>
      <c r="B454" s="2" t="s">
        <v>496</v>
      </c>
      <c r="C454" s="2" t="s">
        <v>258</v>
      </c>
      <c r="D454" s="4">
        <v>12.54</v>
      </c>
    </row>
    <row r="455" spans="1:4" ht="15.75" customHeight="1" x14ac:dyDescent="0.3">
      <c r="A455" s="2" t="s">
        <v>35</v>
      </c>
      <c r="B455" s="2" t="s">
        <v>498</v>
      </c>
      <c r="C455" s="2" t="s">
        <v>265</v>
      </c>
      <c r="D455" s="4">
        <v>32.75</v>
      </c>
    </row>
    <row r="456" spans="1:4" ht="15.75" customHeight="1" x14ac:dyDescent="0.3">
      <c r="A456" s="2" t="s">
        <v>35</v>
      </c>
      <c r="B456" s="2" t="s">
        <v>496</v>
      </c>
      <c r="C456" s="2" t="s">
        <v>266</v>
      </c>
      <c r="D456" s="4">
        <v>15.43</v>
      </c>
    </row>
    <row r="457" spans="1:4" ht="15.75" customHeight="1" x14ac:dyDescent="0.3">
      <c r="A457" s="2" t="s">
        <v>35</v>
      </c>
      <c r="B457" s="2"/>
      <c r="C457" s="2" t="s">
        <v>264</v>
      </c>
      <c r="D457" s="4">
        <v>3.83</v>
      </c>
    </row>
    <row r="458" spans="1:4" ht="15.75" customHeight="1" x14ac:dyDescent="0.3">
      <c r="A458" s="2" t="s">
        <v>36</v>
      </c>
      <c r="B458" s="2" t="s">
        <v>5</v>
      </c>
      <c r="C458" s="2" t="s">
        <v>5</v>
      </c>
      <c r="D458" s="4" t="s">
        <v>5</v>
      </c>
    </row>
    <row r="459" spans="1:4" ht="15.75" customHeight="1" x14ac:dyDescent="0.3">
      <c r="A459" s="2" t="s">
        <v>36</v>
      </c>
      <c r="B459" s="2" t="s">
        <v>498</v>
      </c>
      <c r="C459" s="2" t="s">
        <v>257</v>
      </c>
      <c r="D459" s="4">
        <v>1.77</v>
      </c>
    </row>
    <row r="460" spans="1:4" ht="15.75" customHeight="1" x14ac:dyDescent="0.3">
      <c r="A460" s="2" t="s">
        <v>36</v>
      </c>
      <c r="B460" s="2" t="s">
        <v>496</v>
      </c>
      <c r="C460" s="2" t="s">
        <v>258</v>
      </c>
      <c r="D460" s="4">
        <v>1.35</v>
      </c>
    </row>
    <row r="461" spans="1:4" ht="15.75" customHeight="1" x14ac:dyDescent="0.3">
      <c r="A461" s="2" t="s">
        <v>36</v>
      </c>
      <c r="B461" s="2" t="s">
        <v>498</v>
      </c>
      <c r="C461" s="2" t="s">
        <v>253</v>
      </c>
      <c r="D461" s="4">
        <v>10.8</v>
      </c>
    </row>
    <row r="462" spans="1:4" ht="15.75" customHeight="1" x14ac:dyDescent="0.3">
      <c r="A462" s="2" t="s">
        <v>36</v>
      </c>
      <c r="B462" s="2" t="s">
        <v>496</v>
      </c>
      <c r="C462" s="2" t="s">
        <v>254</v>
      </c>
      <c r="D462" s="4">
        <v>9.8699999999999992</v>
      </c>
    </row>
    <row r="463" spans="1:4" ht="15.75" customHeight="1" x14ac:dyDescent="0.3">
      <c r="A463" s="2" t="s">
        <v>36</v>
      </c>
      <c r="B463" s="2" t="s">
        <v>498</v>
      </c>
      <c r="C463" s="2" t="s">
        <v>265</v>
      </c>
      <c r="D463" s="4">
        <v>5.46</v>
      </c>
    </row>
    <row r="464" spans="1:4" ht="15.75" customHeight="1" x14ac:dyDescent="0.3">
      <c r="A464" s="2" t="s">
        <v>36</v>
      </c>
      <c r="B464" s="2" t="s">
        <v>496</v>
      </c>
      <c r="C464" s="2" t="s">
        <v>266</v>
      </c>
      <c r="D464" s="4">
        <v>5.32</v>
      </c>
    </row>
    <row r="465" spans="1:4" ht="15.75" customHeight="1" x14ac:dyDescent="0.3">
      <c r="A465" s="2" t="s">
        <v>36</v>
      </c>
      <c r="B465" s="2" t="s">
        <v>498</v>
      </c>
      <c r="C465" s="2" t="s">
        <v>257</v>
      </c>
      <c r="D465" s="4">
        <v>1.77</v>
      </c>
    </row>
    <row r="466" spans="1:4" ht="15.75" customHeight="1" x14ac:dyDescent="0.3">
      <c r="A466" s="2" t="s">
        <v>36</v>
      </c>
      <c r="B466" s="2" t="s">
        <v>496</v>
      </c>
      <c r="C466" s="2" t="s">
        <v>258</v>
      </c>
      <c r="D466" s="4">
        <v>1.35</v>
      </c>
    </row>
    <row r="467" spans="1:4" ht="15.75" customHeight="1" x14ac:dyDescent="0.3">
      <c r="A467" s="2" t="s">
        <v>36</v>
      </c>
      <c r="B467" s="2" t="s">
        <v>498</v>
      </c>
      <c r="C467" s="2" t="s">
        <v>253</v>
      </c>
      <c r="D467" s="4">
        <v>10.8</v>
      </c>
    </row>
    <row r="468" spans="1:4" ht="15.75" customHeight="1" x14ac:dyDescent="0.3">
      <c r="A468" s="2" t="s">
        <v>36</v>
      </c>
      <c r="B468" s="2" t="s">
        <v>496</v>
      </c>
      <c r="C468" s="2" t="s">
        <v>254</v>
      </c>
      <c r="D468" s="4">
        <v>9.85</v>
      </c>
    </row>
    <row r="469" spans="1:4" ht="15.75" customHeight="1" x14ac:dyDescent="0.3">
      <c r="A469" s="2" t="s">
        <v>36</v>
      </c>
      <c r="B469" s="2" t="s">
        <v>498</v>
      </c>
      <c r="C469" s="2" t="s">
        <v>265</v>
      </c>
      <c r="D469" s="4">
        <v>5.46</v>
      </c>
    </row>
    <row r="470" spans="1:4" ht="15.75" customHeight="1" x14ac:dyDescent="0.3">
      <c r="A470" s="2" t="s">
        <v>36</v>
      </c>
      <c r="B470" s="2" t="s">
        <v>496</v>
      </c>
      <c r="C470" s="2" t="s">
        <v>266</v>
      </c>
      <c r="D470" s="4">
        <v>5.49</v>
      </c>
    </row>
    <row r="471" spans="1:4" ht="15.75" customHeight="1" x14ac:dyDescent="0.3">
      <c r="A471" s="2" t="s">
        <v>36</v>
      </c>
      <c r="B471" s="2" t="s">
        <v>498</v>
      </c>
      <c r="C471" s="2" t="s">
        <v>257</v>
      </c>
      <c r="D471" s="4">
        <v>7.27</v>
      </c>
    </row>
    <row r="472" spans="1:4" ht="15.75" customHeight="1" x14ac:dyDescent="0.3">
      <c r="A472" s="2" t="s">
        <v>36</v>
      </c>
      <c r="B472" s="2" t="s">
        <v>496</v>
      </c>
      <c r="C472" s="2" t="s">
        <v>258</v>
      </c>
      <c r="D472" s="4">
        <v>9.48</v>
      </c>
    </row>
    <row r="473" spans="1:4" ht="15.75" customHeight="1" x14ac:dyDescent="0.3">
      <c r="A473" s="2" t="s">
        <v>36</v>
      </c>
      <c r="B473" s="2" t="s">
        <v>498</v>
      </c>
      <c r="C473" s="2" t="s">
        <v>261</v>
      </c>
      <c r="D473" s="4">
        <v>2.0299999999999998</v>
      </c>
    </row>
    <row r="474" spans="1:4" ht="15.75" customHeight="1" x14ac:dyDescent="0.3">
      <c r="A474" s="2" t="s">
        <v>36</v>
      </c>
      <c r="B474" s="2" t="s">
        <v>496</v>
      </c>
      <c r="C474" s="2" t="s">
        <v>252</v>
      </c>
      <c r="D474" s="4">
        <v>5.71</v>
      </c>
    </row>
    <row r="475" spans="1:4" ht="15.75" customHeight="1" x14ac:dyDescent="0.3">
      <c r="A475" s="2" t="s">
        <v>36</v>
      </c>
      <c r="B475" s="2" t="s">
        <v>498</v>
      </c>
      <c r="C475" s="2" t="s">
        <v>253</v>
      </c>
      <c r="D475" s="4">
        <v>16.88</v>
      </c>
    </row>
    <row r="476" spans="1:4" ht="15.75" customHeight="1" x14ac:dyDescent="0.3">
      <c r="A476" s="2" t="s">
        <v>36</v>
      </c>
      <c r="B476" s="2" t="s">
        <v>496</v>
      </c>
      <c r="C476" s="2" t="s">
        <v>254</v>
      </c>
      <c r="D476" s="4">
        <v>11.42</v>
      </c>
    </row>
    <row r="477" spans="1:4" ht="15.75" customHeight="1" x14ac:dyDescent="0.3">
      <c r="A477" s="2" t="s">
        <v>36</v>
      </c>
      <c r="B477" s="2"/>
      <c r="C477" s="2" t="s">
        <v>260</v>
      </c>
      <c r="D477" s="4">
        <v>25.79</v>
      </c>
    </row>
    <row r="478" spans="1:4" ht="15.75" customHeight="1" x14ac:dyDescent="0.3">
      <c r="A478" s="2" t="s">
        <v>36</v>
      </c>
      <c r="B478" s="2" t="s">
        <v>498</v>
      </c>
      <c r="C478" s="2" t="s">
        <v>267</v>
      </c>
      <c r="D478" s="4">
        <v>21.52</v>
      </c>
    </row>
    <row r="479" spans="1:4" ht="15.75" customHeight="1" x14ac:dyDescent="0.3">
      <c r="A479" s="2" t="s">
        <v>36</v>
      </c>
      <c r="B479" s="2" t="s">
        <v>496</v>
      </c>
      <c r="C479" s="2" t="s">
        <v>268</v>
      </c>
      <c r="D479" s="4">
        <v>1.47</v>
      </c>
    </row>
    <row r="480" spans="1:4" ht="15.75" customHeight="1" x14ac:dyDescent="0.3">
      <c r="A480" s="2" t="s">
        <v>36</v>
      </c>
      <c r="B480" s="2" t="s">
        <v>498</v>
      </c>
      <c r="C480" s="2" t="s">
        <v>257</v>
      </c>
      <c r="D480" s="4">
        <v>8.32</v>
      </c>
    </row>
    <row r="481" spans="1:4" ht="15.75" customHeight="1" x14ac:dyDescent="0.3">
      <c r="A481" s="2" t="s">
        <v>36</v>
      </c>
      <c r="B481" s="2" t="s">
        <v>496</v>
      </c>
      <c r="C481" s="2" t="s">
        <v>258</v>
      </c>
      <c r="D481" s="4">
        <v>12.54</v>
      </c>
    </row>
    <row r="482" spans="1:4" ht="15.75" customHeight="1" x14ac:dyDescent="0.3">
      <c r="A482" s="2" t="s">
        <v>36</v>
      </c>
      <c r="B482" s="2" t="s">
        <v>498</v>
      </c>
      <c r="C482" s="2" t="s">
        <v>265</v>
      </c>
      <c r="D482" s="4">
        <v>32.75</v>
      </c>
    </row>
    <row r="483" spans="1:4" ht="15.75" customHeight="1" x14ac:dyDescent="0.3">
      <c r="A483" s="2" t="s">
        <v>36</v>
      </c>
      <c r="B483" s="2" t="s">
        <v>496</v>
      </c>
      <c r="C483" s="2" t="s">
        <v>266</v>
      </c>
      <c r="D483" s="4">
        <v>15.43</v>
      </c>
    </row>
    <row r="484" spans="1:4" ht="15.75" customHeight="1" x14ac:dyDescent="0.3">
      <c r="A484" s="2" t="s">
        <v>36</v>
      </c>
      <c r="B484" s="2"/>
      <c r="C484" s="2" t="s">
        <v>264</v>
      </c>
      <c r="D484" s="4">
        <v>3.83</v>
      </c>
    </row>
    <row r="485" spans="1:4" ht="15.75" customHeight="1" x14ac:dyDescent="0.3">
      <c r="A485" s="2" t="s">
        <v>37</v>
      </c>
      <c r="B485" s="2" t="s">
        <v>5</v>
      </c>
      <c r="C485" s="2" t="s">
        <v>5</v>
      </c>
      <c r="D485" s="4" t="s">
        <v>5</v>
      </c>
    </row>
    <row r="486" spans="1:4" ht="15.75" customHeight="1" x14ac:dyDescent="0.3">
      <c r="A486" s="2" t="s">
        <v>37</v>
      </c>
      <c r="B486" s="2" t="s">
        <v>498</v>
      </c>
      <c r="C486" s="2" t="s">
        <v>257</v>
      </c>
      <c r="D486" s="4">
        <v>1.77</v>
      </c>
    </row>
    <row r="487" spans="1:4" ht="15.75" customHeight="1" x14ac:dyDescent="0.3">
      <c r="A487" s="2" t="s">
        <v>37</v>
      </c>
      <c r="B487" s="2" t="s">
        <v>496</v>
      </c>
      <c r="C487" s="2" t="s">
        <v>258</v>
      </c>
      <c r="D487" s="4">
        <v>1.35</v>
      </c>
    </row>
    <row r="488" spans="1:4" ht="15.75" customHeight="1" x14ac:dyDescent="0.3">
      <c r="A488" s="2" t="s">
        <v>37</v>
      </c>
      <c r="B488" s="2" t="s">
        <v>498</v>
      </c>
      <c r="C488" s="2" t="s">
        <v>253</v>
      </c>
      <c r="D488" s="4">
        <v>10.8</v>
      </c>
    </row>
    <row r="489" spans="1:4" ht="15.75" customHeight="1" x14ac:dyDescent="0.3">
      <c r="A489" s="2" t="s">
        <v>37</v>
      </c>
      <c r="B489" s="2" t="s">
        <v>496</v>
      </c>
      <c r="C489" s="2" t="s">
        <v>254</v>
      </c>
      <c r="D489" s="4">
        <v>9.85</v>
      </c>
    </row>
    <row r="490" spans="1:4" ht="15.75" customHeight="1" x14ac:dyDescent="0.3">
      <c r="A490" s="2" t="s">
        <v>37</v>
      </c>
      <c r="B490" s="2" t="s">
        <v>498</v>
      </c>
      <c r="C490" s="2" t="s">
        <v>265</v>
      </c>
      <c r="D490" s="4">
        <v>5.46</v>
      </c>
    </row>
    <row r="491" spans="1:4" ht="15.75" customHeight="1" x14ac:dyDescent="0.3">
      <c r="A491" s="2" t="s">
        <v>37</v>
      </c>
      <c r="B491" s="2" t="s">
        <v>496</v>
      </c>
      <c r="C491" s="2" t="s">
        <v>266</v>
      </c>
      <c r="D491" s="4">
        <v>5.32</v>
      </c>
    </row>
    <row r="492" spans="1:4" ht="15.75" customHeight="1" x14ac:dyDescent="0.3">
      <c r="A492" s="2" t="s">
        <v>37</v>
      </c>
      <c r="B492" s="2" t="s">
        <v>498</v>
      </c>
      <c r="C492" s="2" t="s">
        <v>257</v>
      </c>
      <c r="D492" s="4">
        <v>1.77</v>
      </c>
    </row>
    <row r="493" spans="1:4" ht="15.75" customHeight="1" x14ac:dyDescent="0.3">
      <c r="A493" s="2" t="s">
        <v>37</v>
      </c>
      <c r="B493" s="2" t="s">
        <v>496</v>
      </c>
      <c r="C493" s="2" t="s">
        <v>258</v>
      </c>
      <c r="D493" s="4">
        <v>1.35</v>
      </c>
    </row>
    <row r="494" spans="1:4" ht="15.75" customHeight="1" x14ac:dyDescent="0.3">
      <c r="A494" s="2" t="s">
        <v>37</v>
      </c>
      <c r="B494" s="2" t="s">
        <v>498</v>
      </c>
      <c r="C494" s="2" t="s">
        <v>253</v>
      </c>
      <c r="D494" s="4">
        <v>10.8</v>
      </c>
    </row>
    <row r="495" spans="1:4" ht="15.75" customHeight="1" x14ac:dyDescent="0.3">
      <c r="A495" s="2" t="s">
        <v>37</v>
      </c>
      <c r="B495" s="2" t="s">
        <v>496</v>
      </c>
      <c r="C495" s="2" t="s">
        <v>254</v>
      </c>
      <c r="D495" s="4">
        <v>9.85</v>
      </c>
    </row>
    <row r="496" spans="1:4" ht="15.75" customHeight="1" x14ac:dyDescent="0.3">
      <c r="A496" s="2" t="s">
        <v>37</v>
      </c>
      <c r="B496" s="2" t="s">
        <v>498</v>
      </c>
      <c r="C496" s="2" t="s">
        <v>265</v>
      </c>
      <c r="D496" s="4">
        <v>5.46</v>
      </c>
    </row>
    <row r="497" spans="1:4" ht="15.75" customHeight="1" x14ac:dyDescent="0.3">
      <c r="A497" s="2" t="s">
        <v>37</v>
      </c>
      <c r="B497" s="2" t="s">
        <v>496</v>
      </c>
      <c r="C497" s="2" t="s">
        <v>266</v>
      </c>
      <c r="D497" s="4">
        <v>5.49</v>
      </c>
    </row>
    <row r="498" spans="1:4" ht="15.75" customHeight="1" x14ac:dyDescent="0.3">
      <c r="A498" s="2" t="s">
        <v>37</v>
      </c>
      <c r="B498" s="2" t="s">
        <v>498</v>
      </c>
      <c r="C498" s="2" t="s">
        <v>257</v>
      </c>
      <c r="D498" s="4">
        <v>7.27</v>
      </c>
    </row>
    <row r="499" spans="1:4" ht="15.75" customHeight="1" x14ac:dyDescent="0.3">
      <c r="A499" s="2" t="s">
        <v>37</v>
      </c>
      <c r="B499" s="2" t="s">
        <v>496</v>
      </c>
      <c r="C499" s="2" t="s">
        <v>258</v>
      </c>
      <c r="D499" s="4">
        <v>9.48</v>
      </c>
    </row>
    <row r="500" spans="1:4" ht="15.75" customHeight="1" x14ac:dyDescent="0.3">
      <c r="A500" s="2" t="s">
        <v>37</v>
      </c>
      <c r="B500" s="2" t="s">
        <v>498</v>
      </c>
      <c r="C500" s="2" t="s">
        <v>261</v>
      </c>
      <c r="D500" s="4">
        <v>2.0299999999999998</v>
      </c>
    </row>
    <row r="501" spans="1:4" ht="15.75" customHeight="1" x14ac:dyDescent="0.3">
      <c r="A501" s="2" t="s">
        <v>37</v>
      </c>
      <c r="B501" s="2" t="s">
        <v>496</v>
      </c>
      <c r="C501" s="2" t="s">
        <v>252</v>
      </c>
      <c r="D501" s="4">
        <v>5.71</v>
      </c>
    </row>
    <row r="502" spans="1:4" ht="15.75" customHeight="1" x14ac:dyDescent="0.3">
      <c r="A502" s="2" t="s">
        <v>37</v>
      </c>
      <c r="B502" s="2" t="s">
        <v>498</v>
      </c>
      <c r="C502" s="2" t="s">
        <v>253</v>
      </c>
      <c r="D502" s="4">
        <v>16.88</v>
      </c>
    </row>
    <row r="503" spans="1:4" ht="15.75" customHeight="1" x14ac:dyDescent="0.3">
      <c r="A503" s="2" t="s">
        <v>37</v>
      </c>
      <c r="B503" s="2" t="s">
        <v>496</v>
      </c>
      <c r="C503" s="2" t="s">
        <v>254</v>
      </c>
      <c r="D503" s="4">
        <v>11.42</v>
      </c>
    </row>
    <row r="504" spans="1:4" ht="15.75" customHeight="1" x14ac:dyDescent="0.3">
      <c r="A504" s="2" t="s">
        <v>37</v>
      </c>
      <c r="B504" s="2"/>
      <c r="C504" s="2" t="s">
        <v>260</v>
      </c>
      <c r="D504" s="4">
        <v>25.79</v>
      </c>
    </row>
    <row r="505" spans="1:4" ht="15.75" customHeight="1" x14ac:dyDescent="0.3">
      <c r="A505" s="2" t="s">
        <v>37</v>
      </c>
      <c r="B505" s="2" t="s">
        <v>498</v>
      </c>
      <c r="C505" s="2" t="s">
        <v>267</v>
      </c>
      <c r="D505" s="4">
        <v>21.52</v>
      </c>
    </row>
    <row r="506" spans="1:4" ht="15.75" customHeight="1" x14ac:dyDescent="0.3">
      <c r="A506" s="2" t="s">
        <v>37</v>
      </c>
      <c r="B506" s="2" t="s">
        <v>496</v>
      </c>
      <c r="C506" s="2" t="s">
        <v>268</v>
      </c>
      <c r="D506" s="4">
        <v>1.47</v>
      </c>
    </row>
    <row r="507" spans="1:4" ht="15.75" customHeight="1" x14ac:dyDescent="0.3">
      <c r="A507" s="2" t="s">
        <v>37</v>
      </c>
      <c r="B507" s="2" t="s">
        <v>498</v>
      </c>
      <c r="C507" s="2" t="s">
        <v>257</v>
      </c>
      <c r="D507" s="4">
        <v>8.32</v>
      </c>
    </row>
    <row r="508" spans="1:4" ht="15.75" customHeight="1" x14ac:dyDescent="0.3">
      <c r="A508" s="2" t="s">
        <v>37</v>
      </c>
      <c r="B508" s="2" t="s">
        <v>496</v>
      </c>
      <c r="C508" s="2" t="s">
        <v>258</v>
      </c>
      <c r="D508" s="4">
        <v>12.54</v>
      </c>
    </row>
    <row r="509" spans="1:4" ht="15.75" customHeight="1" x14ac:dyDescent="0.3">
      <c r="A509" s="2" t="s">
        <v>37</v>
      </c>
      <c r="B509" s="2" t="s">
        <v>498</v>
      </c>
      <c r="C509" s="2" t="s">
        <v>265</v>
      </c>
      <c r="D509" s="4">
        <v>32.75</v>
      </c>
    </row>
    <row r="510" spans="1:4" ht="15.75" customHeight="1" x14ac:dyDescent="0.3">
      <c r="A510" s="2" t="s">
        <v>37</v>
      </c>
      <c r="B510" s="2" t="s">
        <v>496</v>
      </c>
      <c r="C510" s="2" t="s">
        <v>266</v>
      </c>
      <c r="D510" s="4">
        <v>15.43</v>
      </c>
    </row>
    <row r="511" spans="1:4" ht="15.75" customHeight="1" x14ac:dyDescent="0.3">
      <c r="A511" s="2" t="s">
        <v>37</v>
      </c>
      <c r="B511" s="2"/>
      <c r="C511" s="2" t="s">
        <v>264</v>
      </c>
      <c r="D511" s="4">
        <v>3.83</v>
      </c>
    </row>
    <row r="512" spans="1:4" ht="15.75" customHeight="1" x14ac:dyDescent="0.3">
      <c r="A512" s="2" t="s">
        <v>38</v>
      </c>
      <c r="B512" s="2" t="s">
        <v>5</v>
      </c>
      <c r="C512" s="2" t="s">
        <v>5</v>
      </c>
      <c r="D512" s="4" t="s">
        <v>5</v>
      </c>
    </row>
    <row r="513" spans="1:4" ht="15.75" customHeight="1" x14ac:dyDescent="0.3">
      <c r="A513" s="2" t="s">
        <v>38</v>
      </c>
      <c r="B513" s="2" t="s">
        <v>498</v>
      </c>
      <c r="C513" s="2" t="s">
        <v>257</v>
      </c>
      <c r="D513" s="4">
        <v>1.82</v>
      </c>
    </row>
    <row r="514" spans="1:4" ht="15.75" customHeight="1" x14ac:dyDescent="0.3">
      <c r="A514" s="2" t="s">
        <v>38</v>
      </c>
      <c r="B514" s="2" t="s">
        <v>496</v>
      </c>
      <c r="C514" s="2" t="s">
        <v>258</v>
      </c>
      <c r="D514" s="4">
        <v>1.35</v>
      </c>
    </row>
    <row r="515" spans="1:4" ht="15.75" customHeight="1" x14ac:dyDescent="0.3">
      <c r="A515" s="2" t="s">
        <v>38</v>
      </c>
      <c r="B515" s="2" t="s">
        <v>498</v>
      </c>
      <c r="C515" s="2" t="s">
        <v>253</v>
      </c>
      <c r="D515" s="4">
        <v>10.8</v>
      </c>
    </row>
    <row r="516" spans="1:4" ht="15.75" customHeight="1" x14ac:dyDescent="0.3">
      <c r="A516" s="2" t="s">
        <v>38</v>
      </c>
      <c r="B516" s="2" t="s">
        <v>496</v>
      </c>
      <c r="C516" s="2" t="s">
        <v>254</v>
      </c>
      <c r="D516" s="4">
        <v>11.69</v>
      </c>
    </row>
    <row r="517" spans="1:4" ht="15.75" customHeight="1" x14ac:dyDescent="0.3">
      <c r="A517" s="2" t="s">
        <v>38</v>
      </c>
      <c r="B517" s="2" t="s">
        <v>498</v>
      </c>
      <c r="C517" s="2" t="s">
        <v>265</v>
      </c>
      <c r="D517" s="4">
        <v>5.46</v>
      </c>
    </row>
    <row r="518" spans="1:4" ht="15.75" customHeight="1" x14ac:dyDescent="0.3">
      <c r="A518" s="2" t="s">
        <v>38</v>
      </c>
      <c r="B518" s="2" t="s">
        <v>496</v>
      </c>
      <c r="C518" s="2" t="s">
        <v>266</v>
      </c>
      <c r="D518" s="4">
        <v>5.48</v>
      </c>
    </row>
    <row r="519" spans="1:4" ht="15.75" customHeight="1" x14ac:dyDescent="0.3">
      <c r="A519" s="2" t="s">
        <v>38</v>
      </c>
      <c r="B519" s="2" t="s">
        <v>498</v>
      </c>
      <c r="C519" s="2" t="s">
        <v>257</v>
      </c>
      <c r="D519" s="4">
        <v>1.82</v>
      </c>
    </row>
    <row r="520" spans="1:4" ht="15.75" customHeight="1" x14ac:dyDescent="0.3">
      <c r="A520" s="2" t="s">
        <v>38</v>
      </c>
      <c r="B520" s="2" t="s">
        <v>496</v>
      </c>
      <c r="C520" s="2" t="s">
        <v>258</v>
      </c>
      <c r="D520" s="4">
        <v>1.38</v>
      </c>
    </row>
    <row r="521" spans="1:4" ht="15.75" customHeight="1" x14ac:dyDescent="0.3">
      <c r="A521" s="2" t="s">
        <v>38</v>
      </c>
      <c r="B521" s="2" t="s">
        <v>498</v>
      </c>
      <c r="C521" s="2" t="s">
        <v>253</v>
      </c>
      <c r="D521" s="4">
        <v>10.8</v>
      </c>
    </row>
    <row r="522" spans="1:4" ht="15.75" customHeight="1" x14ac:dyDescent="0.3">
      <c r="A522" s="2" t="s">
        <v>38</v>
      </c>
      <c r="B522" s="2" t="s">
        <v>496</v>
      </c>
      <c r="C522" s="2" t="s">
        <v>254</v>
      </c>
      <c r="D522" s="4">
        <v>10.82</v>
      </c>
    </row>
    <row r="523" spans="1:4" ht="15.75" customHeight="1" x14ac:dyDescent="0.3">
      <c r="A523" s="2" t="s">
        <v>38</v>
      </c>
      <c r="B523" s="2" t="s">
        <v>498</v>
      </c>
      <c r="C523" s="2" t="s">
        <v>265</v>
      </c>
      <c r="D523" s="4">
        <v>5.46</v>
      </c>
    </row>
    <row r="524" spans="1:4" ht="15.75" customHeight="1" x14ac:dyDescent="0.3">
      <c r="A524" s="2" t="s">
        <v>38</v>
      </c>
      <c r="B524" s="2" t="s">
        <v>496</v>
      </c>
      <c r="C524" s="2" t="s">
        <v>266</v>
      </c>
      <c r="D524" s="4">
        <v>5.45</v>
      </c>
    </row>
    <row r="525" spans="1:4" ht="15.75" customHeight="1" x14ac:dyDescent="0.3">
      <c r="A525" s="2" t="s">
        <v>38</v>
      </c>
      <c r="B525" s="2" t="s">
        <v>498</v>
      </c>
      <c r="C525" s="2" t="s">
        <v>257</v>
      </c>
      <c r="D525" s="4">
        <v>7.22</v>
      </c>
    </row>
    <row r="526" spans="1:4" ht="15.75" customHeight="1" x14ac:dyDescent="0.3">
      <c r="A526" s="2" t="s">
        <v>38</v>
      </c>
      <c r="B526" s="2" t="s">
        <v>496</v>
      </c>
      <c r="C526" s="2" t="s">
        <v>258</v>
      </c>
      <c r="D526" s="4">
        <v>9.4600000000000009</v>
      </c>
    </row>
    <row r="527" spans="1:4" ht="15.75" customHeight="1" x14ac:dyDescent="0.3">
      <c r="A527" s="2" t="s">
        <v>38</v>
      </c>
      <c r="B527" s="2" t="s">
        <v>498</v>
      </c>
      <c r="C527" s="2" t="s">
        <v>261</v>
      </c>
      <c r="D527" s="4">
        <v>2.0299999999999998</v>
      </c>
    </row>
    <row r="528" spans="1:4" ht="15.75" customHeight="1" x14ac:dyDescent="0.3">
      <c r="A528" s="2" t="s">
        <v>38</v>
      </c>
      <c r="B528" s="2" t="s">
        <v>496</v>
      </c>
      <c r="C528" s="2" t="s">
        <v>252</v>
      </c>
      <c r="D528" s="4">
        <v>5.71</v>
      </c>
    </row>
    <row r="529" spans="1:4" ht="15.75" customHeight="1" x14ac:dyDescent="0.3">
      <c r="A529" s="2" t="s">
        <v>38</v>
      </c>
      <c r="B529" s="2" t="s">
        <v>498</v>
      </c>
      <c r="C529" s="2" t="s">
        <v>253</v>
      </c>
      <c r="D529" s="4">
        <v>16.88</v>
      </c>
    </row>
    <row r="530" spans="1:4" ht="15.75" customHeight="1" x14ac:dyDescent="0.3">
      <c r="A530" s="2" t="s">
        <v>38</v>
      </c>
      <c r="B530" s="2" t="s">
        <v>496</v>
      </c>
      <c r="C530" s="2" t="s">
        <v>254</v>
      </c>
      <c r="D530" s="4">
        <v>12.05</v>
      </c>
    </row>
    <row r="531" spans="1:4" ht="15.75" customHeight="1" x14ac:dyDescent="0.3">
      <c r="A531" s="2" t="s">
        <v>38</v>
      </c>
      <c r="B531" s="2"/>
      <c r="C531" s="2" t="s">
        <v>260</v>
      </c>
      <c r="D531" s="4">
        <v>25.79</v>
      </c>
    </row>
    <row r="532" spans="1:4" ht="15.75" customHeight="1" x14ac:dyDescent="0.3">
      <c r="A532" s="2" t="s">
        <v>38</v>
      </c>
      <c r="B532" s="2" t="s">
        <v>498</v>
      </c>
      <c r="C532" s="2" t="s">
        <v>267</v>
      </c>
      <c r="D532" s="4">
        <v>21.51</v>
      </c>
    </row>
    <row r="533" spans="1:4" ht="15.75" customHeight="1" x14ac:dyDescent="0.3">
      <c r="A533" s="2" t="s">
        <v>38</v>
      </c>
      <c r="B533" s="2" t="s">
        <v>496</v>
      </c>
      <c r="C533" s="2" t="s">
        <v>268</v>
      </c>
      <c r="D533" s="4">
        <v>1.44</v>
      </c>
    </row>
    <row r="534" spans="1:4" ht="15.75" customHeight="1" x14ac:dyDescent="0.3">
      <c r="A534" s="2" t="s">
        <v>38</v>
      </c>
      <c r="B534" s="2" t="s">
        <v>498</v>
      </c>
      <c r="C534" s="2" t="s">
        <v>257</v>
      </c>
      <c r="D534" s="4">
        <v>8.35</v>
      </c>
    </row>
    <row r="535" spans="1:4" ht="15.75" customHeight="1" x14ac:dyDescent="0.3">
      <c r="A535" s="2" t="s">
        <v>38</v>
      </c>
      <c r="B535" s="2" t="s">
        <v>496</v>
      </c>
      <c r="C535" s="2" t="s">
        <v>258</v>
      </c>
      <c r="D535" s="4">
        <v>13.27</v>
      </c>
    </row>
    <row r="536" spans="1:4" ht="15.75" customHeight="1" x14ac:dyDescent="0.3">
      <c r="A536" s="2" t="s">
        <v>38</v>
      </c>
      <c r="B536" s="2" t="s">
        <v>498</v>
      </c>
      <c r="C536" s="2" t="s">
        <v>265</v>
      </c>
      <c r="D536" s="4">
        <v>32.61</v>
      </c>
    </row>
    <row r="537" spans="1:4" ht="15.75" customHeight="1" x14ac:dyDescent="0.3">
      <c r="A537" s="2" t="s">
        <v>38</v>
      </c>
      <c r="B537" s="2" t="s">
        <v>496</v>
      </c>
      <c r="C537" s="2" t="s">
        <v>266</v>
      </c>
      <c r="D537" s="4">
        <v>15.42</v>
      </c>
    </row>
    <row r="538" spans="1:4" ht="15.75" customHeight="1" x14ac:dyDescent="0.3">
      <c r="A538" s="2" t="s">
        <v>38</v>
      </c>
      <c r="B538" s="2"/>
      <c r="C538" s="2" t="s">
        <v>264</v>
      </c>
      <c r="D538" s="4">
        <v>3.83</v>
      </c>
    </row>
    <row r="539" spans="1:4" ht="15.75" customHeight="1" x14ac:dyDescent="0.3">
      <c r="A539" s="2" t="s">
        <v>39</v>
      </c>
      <c r="B539" s="2" t="s">
        <v>5</v>
      </c>
      <c r="C539" s="2" t="s">
        <v>5</v>
      </c>
      <c r="D539" s="4" t="s">
        <v>5</v>
      </c>
    </row>
    <row r="540" spans="1:4" ht="15.75" customHeight="1" x14ac:dyDescent="0.3">
      <c r="A540" s="2" t="s">
        <v>39</v>
      </c>
      <c r="B540" s="2" t="s">
        <v>498</v>
      </c>
      <c r="C540" s="2" t="s">
        <v>257</v>
      </c>
      <c r="D540" s="4">
        <v>17.670000000000002</v>
      </c>
    </row>
    <row r="541" spans="1:4" ht="15.75" customHeight="1" x14ac:dyDescent="0.3">
      <c r="A541" s="2" t="s">
        <v>39</v>
      </c>
      <c r="B541" s="2" t="s">
        <v>496</v>
      </c>
      <c r="C541" s="2" t="s">
        <v>258</v>
      </c>
      <c r="D541" s="4">
        <v>14.83</v>
      </c>
    </row>
    <row r="542" spans="1:4" ht="15.75" customHeight="1" x14ac:dyDescent="0.3">
      <c r="A542" s="2" t="s">
        <v>39</v>
      </c>
      <c r="B542" s="2" t="s">
        <v>498</v>
      </c>
      <c r="C542" s="2" t="s">
        <v>265</v>
      </c>
      <c r="D542" s="4">
        <v>9.8000000000000007</v>
      </c>
    </row>
    <row r="543" spans="1:4" ht="15.75" customHeight="1" x14ac:dyDescent="0.3">
      <c r="A543" s="2" t="s">
        <v>39</v>
      </c>
      <c r="B543" s="2" t="s">
        <v>496</v>
      </c>
      <c r="C543" s="2" t="s">
        <v>266</v>
      </c>
      <c r="D543" s="4">
        <v>24.88</v>
      </c>
    </row>
    <row r="544" spans="1:4" ht="15.75" customHeight="1" x14ac:dyDescent="0.3">
      <c r="A544" s="2" t="s">
        <v>39</v>
      </c>
      <c r="B544" s="2" t="s">
        <v>498</v>
      </c>
      <c r="C544" s="2" t="s">
        <v>257</v>
      </c>
      <c r="D544" s="4">
        <v>15.89</v>
      </c>
    </row>
    <row r="545" spans="1:4" ht="15.75" customHeight="1" x14ac:dyDescent="0.3">
      <c r="A545" s="2" t="s">
        <v>39</v>
      </c>
      <c r="B545" s="2" t="s">
        <v>496</v>
      </c>
      <c r="C545" s="2" t="s">
        <v>258</v>
      </c>
      <c r="D545" s="4">
        <v>15.88</v>
      </c>
    </row>
    <row r="546" spans="1:4" ht="15.75" customHeight="1" x14ac:dyDescent="0.3">
      <c r="A546" s="2" t="s">
        <v>39</v>
      </c>
      <c r="B546" s="2" t="s">
        <v>498</v>
      </c>
      <c r="C546" s="2" t="s">
        <v>265</v>
      </c>
      <c r="D546" s="4">
        <v>9.77</v>
      </c>
    </row>
    <row r="547" spans="1:4" ht="15.75" customHeight="1" x14ac:dyDescent="0.3">
      <c r="A547" s="2" t="s">
        <v>39</v>
      </c>
      <c r="B547" s="2" t="s">
        <v>496</v>
      </c>
      <c r="C547" s="2" t="s">
        <v>266</v>
      </c>
      <c r="D547" s="4">
        <v>26.44</v>
      </c>
    </row>
    <row r="548" spans="1:4" ht="15.75" customHeight="1" x14ac:dyDescent="0.3">
      <c r="A548" s="2" t="s">
        <v>39</v>
      </c>
      <c r="B548" s="2" t="s">
        <v>498</v>
      </c>
      <c r="C548" s="2" t="s">
        <v>257</v>
      </c>
      <c r="D548" s="4">
        <v>8.01</v>
      </c>
    </row>
    <row r="549" spans="1:4" ht="15.75" customHeight="1" x14ac:dyDescent="0.3">
      <c r="A549" s="2" t="s">
        <v>39</v>
      </c>
      <c r="B549" s="2" t="s">
        <v>496</v>
      </c>
      <c r="C549" s="2" t="s">
        <v>258</v>
      </c>
      <c r="D549" s="4">
        <v>7.49</v>
      </c>
    </row>
    <row r="550" spans="1:4" ht="15.75" customHeight="1" x14ac:dyDescent="0.3">
      <c r="A550" s="2" t="s">
        <v>39</v>
      </c>
      <c r="B550" s="2" t="s">
        <v>498</v>
      </c>
      <c r="C550" s="2" t="s">
        <v>261</v>
      </c>
      <c r="D550" s="4">
        <v>2.0299999999999998</v>
      </c>
    </row>
    <row r="551" spans="1:4" ht="15.75" customHeight="1" x14ac:dyDescent="0.3">
      <c r="A551" s="2" t="s">
        <v>39</v>
      </c>
      <c r="B551" s="2" t="s">
        <v>496</v>
      </c>
      <c r="C551" s="2" t="s">
        <v>252</v>
      </c>
      <c r="D551" s="4">
        <v>5.71</v>
      </c>
    </row>
    <row r="552" spans="1:4" ht="15.75" customHeight="1" x14ac:dyDescent="0.3">
      <c r="A552" s="2" t="s">
        <v>39</v>
      </c>
      <c r="B552" s="2" t="s">
        <v>496</v>
      </c>
      <c r="C552" s="2" t="s">
        <v>266</v>
      </c>
      <c r="D552" s="4">
        <v>24.54</v>
      </c>
    </row>
    <row r="553" spans="1:4" ht="15.75" customHeight="1" x14ac:dyDescent="0.3">
      <c r="A553" s="2" t="s">
        <v>39</v>
      </c>
      <c r="B553" s="2"/>
      <c r="C553" s="2" t="s">
        <v>260</v>
      </c>
      <c r="D553" s="4">
        <v>25.79</v>
      </c>
    </row>
    <row r="554" spans="1:4" ht="15.75" customHeight="1" x14ac:dyDescent="0.3">
      <c r="A554" s="2" t="s">
        <v>39</v>
      </c>
      <c r="B554" s="2" t="s">
        <v>498</v>
      </c>
      <c r="C554" s="2" t="s">
        <v>257</v>
      </c>
      <c r="D554" s="4">
        <v>33.79</v>
      </c>
    </row>
    <row r="555" spans="1:4" ht="15.75" customHeight="1" x14ac:dyDescent="0.3">
      <c r="A555" s="2" t="s">
        <v>39</v>
      </c>
      <c r="B555" s="2" t="s">
        <v>496</v>
      </c>
      <c r="C555" s="2" t="s">
        <v>258</v>
      </c>
      <c r="D555" s="4">
        <v>11.14</v>
      </c>
    </row>
    <row r="556" spans="1:4" ht="15.75" customHeight="1" x14ac:dyDescent="0.3">
      <c r="A556" s="2" t="s">
        <v>39</v>
      </c>
      <c r="B556" s="2" t="s">
        <v>498</v>
      </c>
      <c r="C556" s="2" t="s">
        <v>265</v>
      </c>
      <c r="D556" s="4">
        <v>24.06</v>
      </c>
    </row>
    <row r="557" spans="1:4" ht="15.75" customHeight="1" x14ac:dyDescent="0.3">
      <c r="A557" s="2" t="s">
        <v>39</v>
      </c>
      <c r="B557" s="2" t="s">
        <v>496</v>
      </c>
      <c r="C557" s="2" t="s">
        <v>266</v>
      </c>
      <c r="D557" s="4">
        <v>18.579999999999998</v>
      </c>
    </row>
    <row r="558" spans="1:4" ht="15.75" customHeight="1" x14ac:dyDescent="0.3">
      <c r="A558" s="2" t="s">
        <v>43</v>
      </c>
      <c r="B558" s="2" t="s">
        <v>5</v>
      </c>
      <c r="C558" s="2" t="s">
        <v>5</v>
      </c>
      <c r="D558" s="4" t="s">
        <v>5</v>
      </c>
    </row>
    <row r="559" spans="1:4" ht="15.75" customHeight="1" x14ac:dyDescent="0.3">
      <c r="A559" s="2" t="s">
        <v>43</v>
      </c>
      <c r="B559" s="2" t="s">
        <v>498</v>
      </c>
      <c r="C559" s="2" t="s">
        <v>257</v>
      </c>
      <c r="D559" s="4">
        <v>39.340000000000003</v>
      </c>
    </row>
    <row r="560" spans="1:4" ht="15.75" customHeight="1" x14ac:dyDescent="0.3">
      <c r="A560" s="2" t="s">
        <v>43</v>
      </c>
      <c r="B560" s="2" t="s">
        <v>496</v>
      </c>
      <c r="C560" s="2" t="s">
        <v>258</v>
      </c>
      <c r="D560" s="4">
        <v>11.31</v>
      </c>
    </row>
    <row r="561" spans="1:4" ht="15.75" customHeight="1" x14ac:dyDescent="0.3">
      <c r="A561" s="2" t="s">
        <v>43</v>
      </c>
      <c r="B561" s="2" t="s">
        <v>498</v>
      </c>
      <c r="C561" s="2" t="s">
        <v>257</v>
      </c>
      <c r="D561" s="4">
        <v>44.91</v>
      </c>
    </row>
    <row r="562" spans="1:4" ht="15.75" customHeight="1" x14ac:dyDescent="0.3">
      <c r="A562" s="2" t="s">
        <v>43</v>
      </c>
      <c r="B562" s="2" t="s">
        <v>496</v>
      </c>
      <c r="C562" s="2" t="s">
        <v>258</v>
      </c>
      <c r="D562" s="4">
        <v>8.2799999999999994</v>
      </c>
    </row>
    <row r="563" spans="1:4" ht="15.75" customHeight="1" x14ac:dyDescent="0.3">
      <c r="A563" s="2" t="s">
        <v>43</v>
      </c>
      <c r="B563" s="2" t="s">
        <v>498</v>
      </c>
      <c r="C563" s="2" t="s">
        <v>257</v>
      </c>
      <c r="D563" s="4">
        <v>45.85</v>
      </c>
    </row>
    <row r="564" spans="1:4" ht="15.75" customHeight="1" x14ac:dyDescent="0.3">
      <c r="A564" s="2" t="s">
        <v>43</v>
      </c>
      <c r="B564" s="2" t="s">
        <v>496</v>
      </c>
      <c r="C564" s="2" t="s">
        <v>258</v>
      </c>
      <c r="D564" s="4">
        <v>4.71</v>
      </c>
    </row>
    <row r="565" spans="1:4" ht="15.75" customHeight="1" x14ac:dyDescent="0.3">
      <c r="A565" s="2" t="s">
        <v>43</v>
      </c>
      <c r="B565" s="2" t="s">
        <v>498</v>
      </c>
      <c r="C565" s="2" t="s">
        <v>257</v>
      </c>
      <c r="D565" s="4">
        <v>29.72</v>
      </c>
    </row>
    <row r="566" spans="1:4" ht="15.75" customHeight="1" x14ac:dyDescent="0.3">
      <c r="A566" s="2" t="s">
        <v>43</v>
      </c>
      <c r="B566" s="2" t="s">
        <v>496</v>
      </c>
      <c r="C566" s="2" t="s">
        <v>258</v>
      </c>
      <c r="D566" s="4">
        <v>10.99</v>
      </c>
    </row>
    <row r="567" spans="1:4" ht="15.75" customHeight="1" x14ac:dyDescent="0.3">
      <c r="A567" s="2" t="s">
        <v>44</v>
      </c>
      <c r="B567" s="2" t="s">
        <v>5</v>
      </c>
      <c r="C567" s="2" t="s">
        <v>5</v>
      </c>
      <c r="D567" s="4" t="s">
        <v>5</v>
      </c>
    </row>
    <row r="568" spans="1:4" ht="15.75" customHeight="1" x14ac:dyDescent="0.3">
      <c r="A568" s="2" t="s">
        <v>44</v>
      </c>
      <c r="B568" s="2" t="s">
        <v>498</v>
      </c>
      <c r="C568" s="2" t="s">
        <v>257</v>
      </c>
      <c r="D568" s="4">
        <v>14.66</v>
      </c>
    </row>
    <row r="569" spans="1:4" ht="15.75" customHeight="1" x14ac:dyDescent="0.3">
      <c r="A569" s="2" t="s">
        <v>44</v>
      </c>
      <c r="B569" s="2" t="s">
        <v>496</v>
      </c>
      <c r="C569" s="2" t="s">
        <v>258</v>
      </c>
      <c r="D569" s="4">
        <v>6.62</v>
      </c>
    </row>
    <row r="570" spans="1:4" ht="15.75" customHeight="1" x14ac:dyDescent="0.3">
      <c r="A570" s="2" t="s">
        <v>44</v>
      </c>
      <c r="B570" s="2" t="s">
        <v>498</v>
      </c>
      <c r="C570" s="2" t="s">
        <v>257</v>
      </c>
      <c r="D570" s="4">
        <v>14.47</v>
      </c>
    </row>
    <row r="571" spans="1:4" ht="15.75" customHeight="1" x14ac:dyDescent="0.3">
      <c r="A571" s="2" t="s">
        <v>44</v>
      </c>
      <c r="B571" s="2" t="s">
        <v>496</v>
      </c>
      <c r="C571" s="2" t="s">
        <v>258</v>
      </c>
      <c r="D571" s="4">
        <v>6.62</v>
      </c>
    </row>
    <row r="572" spans="1:4" ht="15.75" customHeight="1" x14ac:dyDescent="0.3">
      <c r="A572" s="2" t="s">
        <v>44</v>
      </c>
      <c r="B572" s="2" t="s">
        <v>498</v>
      </c>
      <c r="C572" s="2" t="s">
        <v>257</v>
      </c>
      <c r="D572" s="4">
        <v>18.239999999999998</v>
      </c>
    </row>
    <row r="573" spans="1:4" ht="15.75" customHeight="1" x14ac:dyDescent="0.3">
      <c r="A573" s="2" t="s">
        <v>44</v>
      </c>
      <c r="B573" s="2" t="s">
        <v>498</v>
      </c>
      <c r="C573" s="2" t="s">
        <v>257</v>
      </c>
      <c r="D573" s="4">
        <v>9.59</v>
      </c>
    </row>
    <row r="574" spans="1:4" ht="15.75" customHeight="1" x14ac:dyDescent="0.3">
      <c r="A574" s="2" t="s">
        <v>44</v>
      </c>
      <c r="B574" s="2" t="s">
        <v>496</v>
      </c>
      <c r="C574" s="2" t="s">
        <v>258</v>
      </c>
      <c r="D574" s="4">
        <v>8.77</v>
      </c>
    </row>
    <row r="575" spans="1:4" ht="15.75" customHeight="1" x14ac:dyDescent="0.3">
      <c r="A575" s="2" t="s">
        <v>269</v>
      </c>
      <c r="B575" s="2" t="s">
        <v>5</v>
      </c>
      <c r="C575" s="2" t="s">
        <v>5</v>
      </c>
      <c r="D575" s="4" t="s">
        <v>5</v>
      </c>
    </row>
    <row r="576" spans="1:4" ht="15.75" customHeight="1" x14ac:dyDescent="0.3">
      <c r="A576" s="2" t="s">
        <v>269</v>
      </c>
      <c r="B576" s="2" t="s">
        <v>496</v>
      </c>
      <c r="C576" s="2" t="s">
        <v>258</v>
      </c>
      <c r="D576" s="4">
        <v>17.12</v>
      </c>
    </row>
    <row r="577" spans="1:4" ht="15.75" customHeight="1" x14ac:dyDescent="0.3">
      <c r="A577" s="2" t="s">
        <v>269</v>
      </c>
      <c r="B577" s="2" t="s">
        <v>496</v>
      </c>
      <c r="C577" s="2" t="s">
        <v>258</v>
      </c>
      <c r="D577" s="4">
        <v>17.16</v>
      </c>
    </row>
    <row r="578" spans="1:4" ht="15.75" customHeight="1" x14ac:dyDescent="0.3">
      <c r="A578" s="2" t="s">
        <v>269</v>
      </c>
      <c r="B578" s="2" t="s">
        <v>496</v>
      </c>
      <c r="C578" s="2" t="s">
        <v>258</v>
      </c>
      <c r="D578" s="4">
        <v>14.4</v>
      </c>
    </row>
    <row r="579" spans="1:4" ht="15.75" customHeight="1" x14ac:dyDescent="0.3">
      <c r="A579" s="2" t="s">
        <v>269</v>
      </c>
      <c r="B579" s="2" t="s">
        <v>496</v>
      </c>
      <c r="C579" s="2" t="s">
        <v>258</v>
      </c>
      <c r="D579" s="4">
        <v>14.45</v>
      </c>
    </row>
    <row r="580" spans="1:4" ht="15.75" customHeight="1" x14ac:dyDescent="0.3">
      <c r="A580" s="2" t="s">
        <v>45</v>
      </c>
      <c r="B580" s="2" t="s">
        <v>5</v>
      </c>
      <c r="C580" s="2" t="s">
        <v>5</v>
      </c>
      <c r="D580" s="4" t="s">
        <v>5</v>
      </c>
    </row>
    <row r="581" spans="1:4" ht="15.75" customHeight="1" x14ac:dyDescent="0.3">
      <c r="A581" s="2" t="s">
        <v>45</v>
      </c>
      <c r="B581" s="2" t="s">
        <v>498</v>
      </c>
      <c r="C581" s="2" t="s">
        <v>257</v>
      </c>
      <c r="D581" s="4">
        <v>14.36</v>
      </c>
    </row>
    <row r="582" spans="1:4" ht="15.75" customHeight="1" x14ac:dyDescent="0.3">
      <c r="A582" s="2" t="s">
        <v>45</v>
      </c>
      <c r="B582" s="2" t="s">
        <v>498</v>
      </c>
      <c r="C582" s="2" t="s">
        <v>257</v>
      </c>
      <c r="D582" s="4">
        <v>16.760000000000002</v>
      </c>
    </row>
    <row r="583" spans="1:4" ht="15.75" customHeight="1" x14ac:dyDescent="0.3">
      <c r="A583" s="2" t="s">
        <v>45</v>
      </c>
      <c r="B583" s="2" t="s">
        <v>498</v>
      </c>
      <c r="C583" s="2" t="s">
        <v>257</v>
      </c>
      <c r="D583" s="4">
        <v>14.04</v>
      </c>
    </row>
    <row r="584" spans="1:4" ht="15.75" customHeight="1" x14ac:dyDescent="0.3">
      <c r="A584" s="2" t="s">
        <v>45</v>
      </c>
      <c r="B584" s="2" t="s">
        <v>498</v>
      </c>
      <c r="C584" s="2" t="s">
        <v>257</v>
      </c>
      <c r="D584" s="4">
        <v>14.04</v>
      </c>
    </row>
    <row r="585" spans="1:4" ht="15.75" customHeight="1" x14ac:dyDescent="0.3"/>
    <row r="586" spans="1:4" ht="15.75" customHeight="1" x14ac:dyDescent="0.3"/>
    <row r="587" spans="1:4" ht="15.75" customHeight="1" x14ac:dyDescent="0.3"/>
    <row r="588" spans="1:4" ht="15.75" customHeight="1" x14ac:dyDescent="0.3"/>
    <row r="589" spans="1:4" ht="15.75" customHeight="1" x14ac:dyDescent="0.3"/>
    <row r="590" spans="1:4" ht="15.75" customHeight="1" x14ac:dyDescent="0.3"/>
    <row r="591" spans="1:4" ht="15.75" customHeight="1" x14ac:dyDescent="0.3"/>
    <row r="592" spans="1:4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584" xr:uid="{00000000-0009-0000-0000-000003000000}"/>
  <mergeCells count="1">
    <mergeCell ref="F1:G1"/>
  </mergeCells>
  <pageMargins left="0.511811024" right="0.511811024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993"/>
  <sheetViews>
    <sheetView zoomScale="115" zoomScaleNormal="115" workbookViewId="0">
      <selection activeCell="F1" sqref="F1"/>
    </sheetView>
  </sheetViews>
  <sheetFormatPr defaultColWidth="14.44140625" defaultRowHeight="15" customHeight="1" x14ac:dyDescent="0.3"/>
  <cols>
    <col min="1" max="1" width="18.5546875" customWidth="1"/>
    <col min="2" max="2" width="64.88671875" customWidth="1"/>
    <col min="3" max="3" width="9.109375" style="5" customWidth="1"/>
    <col min="4" max="4" width="11.6640625" customWidth="1"/>
    <col min="5" max="5" width="20.6640625" bestFit="1" customWidth="1"/>
    <col min="6" max="6" width="15" bestFit="1" customWidth="1"/>
    <col min="7" max="7" width="8.6640625" customWidth="1"/>
    <col min="8" max="8" width="9.33203125" style="5" bestFit="1" customWidth="1"/>
    <col min="9" max="9" width="7.6640625" style="5" bestFit="1" customWidth="1"/>
    <col min="10" max="10" width="22" bestFit="1" customWidth="1"/>
    <col min="11" max="11" width="9.33203125" bestFit="1" customWidth="1"/>
    <col min="12" max="25" width="8.6640625" customWidth="1"/>
  </cols>
  <sheetData>
    <row r="1" spans="1:11" ht="14.4" x14ac:dyDescent="0.3">
      <c r="A1" s="1" t="s">
        <v>0</v>
      </c>
      <c r="B1" s="1" t="s">
        <v>1</v>
      </c>
      <c r="C1" s="3" t="s">
        <v>3</v>
      </c>
    </row>
    <row r="2" spans="1:11" ht="14.4" hidden="1" x14ac:dyDescent="0.3">
      <c r="A2" s="2" t="s">
        <v>4</v>
      </c>
      <c r="B2" s="2" t="s">
        <v>5</v>
      </c>
      <c r="C2" s="4" t="s">
        <v>5</v>
      </c>
    </row>
    <row r="3" spans="1:11" ht="14.4" hidden="1" x14ac:dyDescent="0.3">
      <c r="A3" s="2" t="s">
        <v>4</v>
      </c>
      <c r="B3" s="2" t="s">
        <v>270</v>
      </c>
      <c r="C3" s="4">
        <v>22</v>
      </c>
      <c r="D3" t="s">
        <v>516</v>
      </c>
      <c r="F3" t="s">
        <v>276</v>
      </c>
      <c r="G3" s="10" t="s">
        <v>515</v>
      </c>
      <c r="H3" s="5">
        <f>SUMIF(B:B,F3,C:C)</f>
        <v>407</v>
      </c>
      <c r="I3" s="5">
        <f>H3-C9+15</f>
        <v>344</v>
      </c>
    </row>
    <row r="4" spans="1:11" ht="14.4" hidden="1" x14ac:dyDescent="0.3">
      <c r="A4" s="2" t="s">
        <v>4</v>
      </c>
      <c r="B4" s="2" t="s">
        <v>271</v>
      </c>
      <c r="C4" s="4">
        <v>233</v>
      </c>
      <c r="D4" t="s">
        <v>516</v>
      </c>
    </row>
    <row r="5" spans="1:11" ht="14.4" hidden="1" x14ac:dyDescent="0.3">
      <c r="A5" s="2" t="s">
        <v>4</v>
      </c>
      <c r="B5" s="2" t="s">
        <v>272</v>
      </c>
      <c r="C5" s="4">
        <v>3</v>
      </c>
      <c r="D5" t="s">
        <v>516</v>
      </c>
    </row>
    <row r="6" spans="1:11" ht="14.4" hidden="1" x14ac:dyDescent="0.3">
      <c r="A6" s="2" t="s">
        <v>4</v>
      </c>
      <c r="B6" s="2" t="s">
        <v>273</v>
      </c>
      <c r="C6" s="4">
        <v>268</v>
      </c>
      <c r="D6" t="s">
        <v>523</v>
      </c>
      <c r="F6" s="13" t="s">
        <v>516</v>
      </c>
      <c r="G6" s="13"/>
      <c r="H6" s="9">
        <f>SUMIF(D:D,F6,C:C)</f>
        <v>3075</v>
      </c>
      <c r="J6" t="s">
        <v>533</v>
      </c>
      <c r="K6" s="8">
        <f>H6+H11+H12+H17+H18+H14</f>
        <v>3820</v>
      </c>
    </row>
    <row r="7" spans="1:11" ht="14.4" hidden="1" x14ac:dyDescent="0.3">
      <c r="A7" s="2" t="s">
        <v>4</v>
      </c>
      <c r="B7" s="2" t="s">
        <v>274</v>
      </c>
      <c r="C7" s="4">
        <v>6</v>
      </c>
      <c r="D7" t="s">
        <v>524</v>
      </c>
      <c r="F7" s="13" t="s">
        <v>523</v>
      </c>
      <c r="G7" s="13"/>
      <c r="H7" s="9">
        <f t="shared" ref="H7:H24" si="0">SUMIF(D:D,F7,C:C)</f>
        <v>2563</v>
      </c>
      <c r="J7" t="s">
        <v>534</v>
      </c>
      <c r="K7" s="8">
        <f>H23</f>
        <v>26</v>
      </c>
    </row>
    <row r="8" spans="1:11" ht="14.4" hidden="1" x14ac:dyDescent="0.3">
      <c r="A8" s="2" t="s">
        <v>4</v>
      </c>
      <c r="B8" s="2" t="s">
        <v>275</v>
      </c>
      <c r="C8" s="4">
        <v>6</v>
      </c>
      <c r="D8" t="s">
        <v>516</v>
      </c>
      <c r="F8" s="13" t="s">
        <v>524</v>
      </c>
      <c r="G8" s="13"/>
      <c r="H8" s="9">
        <f t="shared" si="0"/>
        <v>99</v>
      </c>
      <c r="J8" t="s">
        <v>535</v>
      </c>
      <c r="K8" s="8">
        <f>H15+H24</f>
        <v>1646</v>
      </c>
    </row>
    <row r="9" spans="1:11" ht="14.4" hidden="1" x14ac:dyDescent="0.3">
      <c r="A9" s="2" t="s">
        <v>4</v>
      </c>
      <c r="B9" s="2" t="s">
        <v>276</v>
      </c>
      <c r="C9" s="4">
        <v>78</v>
      </c>
      <c r="D9" t="s">
        <v>526</v>
      </c>
      <c r="F9" s="13" t="s">
        <v>526</v>
      </c>
      <c r="G9" s="13"/>
      <c r="H9" s="9">
        <f t="shared" si="0"/>
        <v>407</v>
      </c>
      <c r="J9" t="s">
        <v>539</v>
      </c>
      <c r="K9" s="8">
        <f>H21</f>
        <v>5</v>
      </c>
    </row>
    <row r="10" spans="1:11" ht="14.4" hidden="1" x14ac:dyDescent="0.3">
      <c r="A10" s="2" t="s">
        <v>4</v>
      </c>
      <c r="B10" s="2" t="s">
        <v>277</v>
      </c>
      <c r="C10" s="4">
        <v>83</v>
      </c>
      <c r="D10" t="s">
        <v>525</v>
      </c>
      <c r="F10" s="13" t="s">
        <v>525</v>
      </c>
      <c r="G10" s="13"/>
      <c r="H10" s="9">
        <f t="shared" si="0"/>
        <v>344</v>
      </c>
      <c r="J10" t="s">
        <v>536</v>
      </c>
      <c r="K10" s="8">
        <f>H10</f>
        <v>344</v>
      </c>
    </row>
    <row r="11" spans="1:11" ht="28.2" hidden="1" customHeight="1" x14ac:dyDescent="0.3">
      <c r="A11" s="2" t="s">
        <v>4</v>
      </c>
      <c r="B11" s="15" t="s">
        <v>278</v>
      </c>
      <c r="C11" s="4">
        <v>46</v>
      </c>
      <c r="D11" t="s">
        <v>517</v>
      </c>
      <c r="F11" s="13" t="s">
        <v>517</v>
      </c>
      <c r="G11" s="13"/>
      <c r="H11" s="9">
        <f t="shared" si="0"/>
        <v>406</v>
      </c>
      <c r="J11" t="s">
        <v>537</v>
      </c>
      <c r="K11" s="8">
        <f>H16</f>
        <v>9</v>
      </c>
    </row>
    <row r="12" spans="1:11" ht="14.4" hidden="1" x14ac:dyDescent="0.3">
      <c r="A12" s="2" t="s">
        <v>4</v>
      </c>
      <c r="B12" s="2" t="s">
        <v>279</v>
      </c>
      <c r="C12" s="4">
        <v>13</v>
      </c>
      <c r="D12" t="s">
        <v>509</v>
      </c>
      <c r="F12" s="13" t="s">
        <v>509</v>
      </c>
      <c r="G12" s="13"/>
      <c r="H12" s="9">
        <f t="shared" si="0"/>
        <v>83</v>
      </c>
      <c r="J12" t="s">
        <v>538</v>
      </c>
      <c r="K12" s="8">
        <f>H20</f>
        <v>72</v>
      </c>
    </row>
    <row r="13" spans="1:11" ht="14.4" hidden="1" x14ac:dyDescent="0.3">
      <c r="A13" s="2" t="s">
        <v>4</v>
      </c>
      <c r="B13" s="2" t="s">
        <v>280</v>
      </c>
      <c r="C13" s="4">
        <v>310</v>
      </c>
      <c r="D13" t="s">
        <v>527</v>
      </c>
      <c r="F13" s="13" t="s">
        <v>527</v>
      </c>
      <c r="G13" s="13"/>
      <c r="H13" s="9">
        <f t="shared" si="0"/>
        <v>310</v>
      </c>
      <c r="K13" s="8">
        <f>SUM(K6:K12)</f>
        <v>5922</v>
      </c>
    </row>
    <row r="14" spans="1:11" ht="14.4" hidden="1" x14ac:dyDescent="0.3">
      <c r="A14" s="2" t="s">
        <v>12</v>
      </c>
      <c r="B14" s="2" t="s">
        <v>5</v>
      </c>
      <c r="C14" s="4" t="s">
        <v>5</v>
      </c>
      <c r="F14" s="13" t="s">
        <v>518</v>
      </c>
      <c r="G14" s="13"/>
      <c r="H14" s="9">
        <f t="shared" si="0"/>
        <v>78</v>
      </c>
    </row>
    <row r="15" spans="1:11" ht="14.4" hidden="1" x14ac:dyDescent="0.3">
      <c r="A15" s="2" t="s">
        <v>12</v>
      </c>
      <c r="B15" s="2" t="s">
        <v>271</v>
      </c>
      <c r="C15" s="4">
        <v>65</v>
      </c>
      <c r="D15" t="s">
        <v>516</v>
      </c>
      <c r="F15" s="13" t="s">
        <v>511</v>
      </c>
      <c r="G15" s="13"/>
      <c r="H15" s="9">
        <f t="shared" si="0"/>
        <v>1600</v>
      </c>
    </row>
    <row r="16" spans="1:11" ht="14.4" hidden="1" x14ac:dyDescent="0.3">
      <c r="A16" s="2" t="s">
        <v>12</v>
      </c>
      <c r="B16" s="2" t="s">
        <v>272</v>
      </c>
      <c r="C16" s="4">
        <v>3</v>
      </c>
      <c r="D16" t="s">
        <v>516</v>
      </c>
      <c r="F16" s="13" t="s">
        <v>520</v>
      </c>
      <c r="G16" s="13"/>
      <c r="H16" s="9">
        <f t="shared" si="0"/>
        <v>9</v>
      </c>
    </row>
    <row r="17" spans="1:8" ht="14.4" hidden="1" x14ac:dyDescent="0.3">
      <c r="A17" s="2" t="s">
        <v>12</v>
      </c>
      <c r="B17" s="2" t="s">
        <v>273</v>
      </c>
      <c r="C17" s="4">
        <v>350</v>
      </c>
      <c r="D17" t="s">
        <v>523</v>
      </c>
      <c r="F17" s="13" t="s">
        <v>521</v>
      </c>
      <c r="G17" s="13"/>
      <c r="H17" s="9">
        <f t="shared" si="0"/>
        <v>33</v>
      </c>
    </row>
    <row r="18" spans="1:8" ht="14.4" hidden="1" x14ac:dyDescent="0.3">
      <c r="A18" s="2" t="s">
        <v>12</v>
      </c>
      <c r="B18" s="2" t="s">
        <v>274</v>
      </c>
      <c r="C18" s="4">
        <v>12</v>
      </c>
      <c r="D18" t="s">
        <v>524</v>
      </c>
      <c r="F18" s="13" t="s">
        <v>519</v>
      </c>
      <c r="G18" s="13"/>
      <c r="H18" s="9">
        <f t="shared" si="0"/>
        <v>145</v>
      </c>
    </row>
    <row r="19" spans="1:8" ht="15.75" hidden="1" customHeight="1" x14ac:dyDescent="0.3">
      <c r="A19" s="2" t="s">
        <v>12</v>
      </c>
      <c r="B19" s="2" t="s">
        <v>276</v>
      </c>
      <c r="C19" s="4">
        <v>14</v>
      </c>
      <c r="D19" t="s">
        <v>526</v>
      </c>
      <c r="F19" s="13" t="s">
        <v>528</v>
      </c>
      <c r="G19" s="13"/>
      <c r="H19" s="9">
        <f t="shared" si="0"/>
        <v>97</v>
      </c>
    </row>
    <row r="20" spans="1:8" ht="15.75" hidden="1" customHeight="1" x14ac:dyDescent="0.3">
      <c r="A20" s="2" t="s">
        <v>12</v>
      </c>
      <c r="B20" s="2" t="s">
        <v>277</v>
      </c>
      <c r="C20" s="4">
        <v>87</v>
      </c>
      <c r="D20" t="s">
        <v>525</v>
      </c>
      <c r="F20" s="13" t="s">
        <v>529</v>
      </c>
      <c r="G20" s="13"/>
      <c r="H20" s="9">
        <f t="shared" si="0"/>
        <v>72</v>
      </c>
    </row>
    <row r="21" spans="1:8" ht="28.8" hidden="1" x14ac:dyDescent="0.3">
      <c r="A21" s="2" t="s">
        <v>12</v>
      </c>
      <c r="B21" s="11" t="s">
        <v>278</v>
      </c>
      <c r="C21" s="4">
        <v>8</v>
      </c>
      <c r="D21" t="s">
        <v>517</v>
      </c>
      <c r="F21" s="13" t="s">
        <v>530</v>
      </c>
      <c r="G21" s="13"/>
      <c r="H21" s="9">
        <f t="shared" si="0"/>
        <v>5</v>
      </c>
    </row>
    <row r="22" spans="1:8" ht="15.75" hidden="1" customHeight="1" x14ac:dyDescent="0.3">
      <c r="A22" s="2" t="s">
        <v>15</v>
      </c>
      <c r="B22" s="2" t="s">
        <v>5</v>
      </c>
      <c r="C22" s="4" t="s">
        <v>5</v>
      </c>
      <c r="F22" s="13" t="s">
        <v>531</v>
      </c>
      <c r="G22" s="13"/>
      <c r="H22" s="9">
        <f t="shared" si="0"/>
        <v>34</v>
      </c>
    </row>
    <row r="23" spans="1:8" ht="15.75" hidden="1" customHeight="1" x14ac:dyDescent="0.3">
      <c r="A23" s="2" t="s">
        <v>15</v>
      </c>
      <c r="B23" s="2" t="s">
        <v>270</v>
      </c>
      <c r="C23" s="4">
        <v>8</v>
      </c>
      <c r="D23" t="s">
        <v>516</v>
      </c>
      <c r="F23" s="13" t="s">
        <v>522</v>
      </c>
      <c r="G23" s="13"/>
      <c r="H23" s="9">
        <f t="shared" si="0"/>
        <v>26</v>
      </c>
    </row>
    <row r="24" spans="1:8" ht="15.75" hidden="1" customHeight="1" x14ac:dyDescent="0.3">
      <c r="A24" s="2" t="s">
        <v>15</v>
      </c>
      <c r="B24" s="2" t="s">
        <v>272</v>
      </c>
      <c r="C24" s="4">
        <v>3</v>
      </c>
      <c r="D24" t="s">
        <v>516</v>
      </c>
      <c r="F24" s="13" t="s">
        <v>532</v>
      </c>
      <c r="G24" s="13"/>
      <c r="H24" s="9">
        <f t="shared" si="0"/>
        <v>46</v>
      </c>
    </row>
    <row r="25" spans="1:8" ht="15.75" hidden="1" customHeight="1" x14ac:dyDescent="0.3">
      <c r="A25" s="2" t="s">
        <v>15</v>
      </c>
      <c r="B25" s="2" t="s">
        <v>273</v>
      </c>
      <c r="C25" s="4">
        <v>644</v>
      </c>
      <c r="D25" t="s">
        <v>523</v>
      </c>
    </row>
    <row r="26" spans="1:8" ht="15.75" hidden="1" customHeight="1" x14ac:dyDescent="0.3">
      <c r="A26" s="2" t="s">
        <v>15</v>
      </c>
      <c r="B26" s="2" t="s">
        <v>274</v>
      </c>
      <c r="C26" s="4">
        <v>27</v>
      </c>
      <c r="D26" t="s">
        <v>524</v>
      </c>
      <c r="H26" s="5">
        <f>SUM(H6:H25)</f>
        <v>9432</v>
      </c>
    </row>
    <row r="27" spans="1:8" ht="15.75" hidden="1" customHeight="1" x14ac:dyDescent="0.3">
      <c r="A27" s="2" t="s">
        <v>15</v>
      </c>
      <c r="B27" s="2" t="s">
        <v>276</v>
      </c>
      <c r="C27" s="4">
        <v>14</v>
      </c>
      <c r="D27" t="s">
        <v>526</v>
      </c>
      <c r="H27" s="5">
        <f>H26-H22-H19-H9-H8-H7-H13</f>
        <v>5922</v>
      </c>
    </row>
    <row r="28" spans="1:8" ht="15.75" hidden="1" customHeight="1" x14ac:dyDescent="0.3">
      <c r="A28" s="2" t="s">
        <v>15</v>
      </c>
      <c r="B28" s="2" t="s">
        <v>277</v>
      </c>
      <c r="C28" s="4">
        <v>87</v>
      </c>
      <c r="D28" t="s">
        <v>525</v>
      </c>
    </row>
    <row r="29" spans="1:8" ht="15.75" hidden="1" customHeight="1" x14ac:dyDescent="0.3">
      <c r="A29" s="2" t="s">
        <v>16</v>
      </c>
      <c r="B29" s="2" t="s">
        <v>5</v>
      </c>
      <c r="C29" s="4" t="s">
        <v>5</v>
      </c>
    </row>
    <row r="30" spans="1:8" ht="15.75" hidden="1" customHeight="1" x14ac:dyDescent="0.3">
      <c r="A30" s="2" t="s">
        <v>16</v>
      </c>
      <c r="B30" s="2" t="s">
        <v>270</v>
      </c>
      <c r="C30" s="4">
        <v>8</v>
      </c>
      <c r="D30" t="s">
        <v>516</v>
      </c>
    </row>
    <row r="31" spans="1:8" ht="15.75" hidden="1" customHeight="1" x14ac:dyDescent="0.3">
      <c r="A31" s="2" t="s">
        <v>16</v>
      </c>
      <c r="B31" s="2" t="s">
        <v>272</v>
      </c>
      <c r="C31" s="4">
        <v>3</v>
      </c>
      <c r="D31" t="s">
        <v>516</v>
      </c>
    </row>
    <row r="32" spans="1:8" ht="15.75" hidden="1" customHeight="1" x14ac:dyDescent="0.3">
      <c r="A32" s="2" t="s">
        <v>16</v>
      </c>
      <c r="B32" s="2" t="s">
        <v>273</v>
      </c>
      <c r="C32" s="4">
        <v>644</v>
      </c>
      <c r="D32" t="s">
        <v>523</v>
      </c>
    </row>
    <row r="33" spans="1:4" ht="15.75" hidden="1" customHeight="1" x14ac:dyDescent="0.3">
      <c r="A33" s="2" t="s">
        <v>16</v>
      </c>
      <c r="B33" s="2" t="s">
        <v>274</v>
      </c>
      <c r="C33" s="4">
        <v>27</v>
      </c>
      <c r="D33" t="s">
        <v>524</v>
      </c>
    </row>
    <row r="34" spans="1:4" ht="15.75" hidden="1" customHeight="1" x14ac:dyDescent="0.3">
      <c r="A34" s="2" t="s">
        <v>16</v>
      </c>
      <c r="B34" s="2" t="s">
        <v>276</v>
      </c>
      <c r="C34" s="4">
        <v>14</v>
      </c>
      <c r="D34" t="s">
        <v>526</v>
      </c>
    </row>
    <row r="35" spans="1:4" ht="15.75" hidden="1" customHeight="1" x14ac:dyDescent="0.3">
      <c r="A35" s="2" t="s">
        <v>16</v>
      </c>
      <c r="B35" s="2" t="s">
        <v>277</v>
      </c>
      <c r="C35" s="4">
        <v>87</v>
      </c>
      <c r="D35" t="s">
        <v>525</v>
      </c>
    </row>
    <row r="36" spans="1:4" ht="15.75" hidden="1" customHeight="1" x14ac:dyDescent="0.3">
      <c r="A36" s="2" t="s">
        <v>17</v>
      </c>
      <c r="B36" s="2" t="s">
        <v>5</v>
      </c>
      <c r="C36" s="4" t="s">
        <v>5</v>
      </c>
    </row>
    <row r="37" spans="1:4" ht="15.75" hidden="1" customHeight="1" x14ac:dyDescent="0.3">
      <c r="A37" s="2" t="s">
        <v>17</v>
      </c>
      <c r="B37" s="2" t="s">
        <v>270</v>
      </c>
      <c r="C37" s="4">
        <v>8</v>
      </c>
      <c r="D37" t="s">
        <v>516</v>
      </c>
    </row>
    <row r="38" spans="1:4" ht="15.75" hidden="1" customHeight="1" x14ac:dyDescent="0.3">
      <c r="A38" s="2" t="s">
        <v>17</v>
      </c>
      <c r="B38" s="2" t="s">
        <v>272</v>
      </c>
      <c r="C38" s="4">
        <v>3</v>
      </c>
      <c r="D38" t="s">
        <v>516</v>
      </c>
    </row>
    <row r="39" spans="1:4" ht="15.75" hidden="1" customHeight="1" x14ac:dyDescent="0.3">
      <c r="A39" s="2" t="s">
        <v>17</v>
      </c>
      <c r="B39" s="2" t="s">
        <v>273</v>
      </c>
      <c r="C39" s="4">
        <v>657</v>
      </c>
      <c r="D39" t="s">
        <v>523</v>
      </c>
    </row>
    <row r="40" spans="1:4" ht="15.75" hidden="1" customHeight="1" x14ac:dyDescent="0.3">
      <c r="A40" s="2" t="s">
        <v>17</v>
      </c>
      <c r="B40" s="2" t="s">
        <v>274</v>
      </c>
      <c r="C40" s="4">
        <v>27</v>
      </c>
      <c r="D40" t="s">
        <v>524</v>
      </c>
    </row>
    <row r="41" spans="1:4" ht="15.75" hidden="1" customHeight="1" x14ac:dyDescent="0.3">
      <c r="A41" s="2" t="s">
        <v>17</v>
      </c>
      <c r="B41" s="2" t="s">
        <v>276</v>
      </c>
      <c r="C41" s="4">
        <v>14</v>
      </c>
      <c r="D41" t="s">
        <v>526</v>
      </c>
    </row>
    <row r="42" spans="1:4" ht="15.75" hidden="1" customHeight="1" x14ac:dyDescent="0.3">
      <c r="A42" s="2" t="s">
        <v>18</v>
      </c>
      <c r="B42" s="2" t="s">
        <v>5</v>
      </c>
      <c r="C42" s="4" t="s">
        <v>5</v>
      </c>
    </row>
    <row r="43" spans="1:4" ht="15.75" hidden="1" customHeight="1" x14ac:dyDescent="0.3">
      <c r="A43" s="2" t="s">
        <v>18</v>
      </c>
      <c r="B43" s="2" t="s">
        <v>276</v>
      </c>
      <c r="C43" s="4">
        <v>14</v>
      </c>
      <c r="D43" t="s">
        <v>526</v>
      </c>
    </row>
    <row r="44" spans="1:4" ht="15.75" hidden="1" customHeight="1" x14ac:dyDescent="0.3">
      <c r="A44" s="2" t="s">
        <v>18</v>
      </c>
      <c r="B44" s="2" t="s">
        <v>281</v>
      </c>
      <c r="C44" s="4">
        <v>78</v>
      </c>
      <c r="D44" t="s">
        <v>518</v>
      </c>
    </row>
    <row r="45" spans="1:4" ht="15.75" hidden="1" customHeight="1" x14ac:dyDescent="0.3">
      <c r="A45" s="2" t="s">
        <v>18</v>
      </c>
      <c r="B45" s="2" t="s">
        <v>278</v>
      </c>
      <c r="C45" s="4">
        <v>165</v>
      </c>
      <c r="D45" t="s">
        <v>517</v>
      </c>
    </row>
    <row r="46" spans="1:4" ht="15.75" hidden="1" customHeight="1" x14ac:dyDescent="0.3">
      <c r="A46" s="2" t="s">
        <v>18</v>
      </c>
      <c r="B46" s="2" t="s">
        <v>282</v>
      </c>
      <c r="C46" s="4">
        <v>46</v>
      </c>
      <c r="D46" t="s">
        <v>532</v>
      </c>
    </row>
    <row r="47" spans="1:4" ht="15.75" hidden="1" customHeight="1" x14ac:dyDescent="0.3">
      <c r="A47" s="2" t="s">
        <v>18</v>
      </c>
      <c r="B47" s="14" t="s">
        <v>283</v>
      </c>
      <c r="C47" s="4">
        <v>9</v>
      </c>
      <c r="D47" t="s">
        <v>520</v>
      </c>
    </row>
    <row r="48" spans="1:4" ht="15.75" hidden="1" customHeight="1" x14ac:dyDescent="0.3">
      <c r="A48" s="2" t="s">
        <v>18</v>
      </c>
      <c r="B48" s="12" t="s">
        <v>540</v>
      </c>
      <c r="C48" s="4">
        <v>33</v>
      </c>
      <c r="D48" t="s">
        <v>521</v>
      </c>
    </row>
    <row r="49" spans="1:4" ht="15.75" hidden="1" customHeight="1" x14ac:dyDescent="0.3">
      <c r="A49" s="2" t="s">
        <v>18</v>
      </c>
      <c r="B49" s="14" t="s">
        <v>284</v>
      </c>
      <c r="C49" s="4">
        <v>145</v>
      </c>
      <c r="D49" t="s">
        <v>519</v>
      </c>
    </row>
    <row r="50" spans="1:4" ht="15.75" hidden="1" customHeight="1" x14ac:dyDescent="0.3">
      <c r="A50" s="2" t="s">
        <v>18</v>
      </c>
      <c r="B50" s="2" t="s">
        <v>279</v>
      </c>
      <c r="C50" s="4">
        <v>70</v>
      </c>
      <c r="D50" t="s">
        <v>509</v>
      </c>
    </row>
    <row r="51" spans="1:4" ht="15.75" hidden="1" customHeight="1" x14ac:dyDescent="0.3">
      <c r="A51" s="2" t="s">
        <v>18</v>
      </c>
      <c r="B51" s="2" t="s">
        <v>285</v>
      </c>
      <c r="C51" s="4">
        <v>97</v>
      </c>
      <c r="D51" t="s">
        <v>528</v>
      </c>
    </row>
    <row r="52" spans="1:4" ht="15.75" hidden="1" customHeight="1" x14ac:dyDescent="0.3">
      <c r="A52" s="2" t="s">
        <v>18</v>
      </c>
      <c r="B52" s="14" t="s">
        <v>287</v>
      </c>
      <c r="C52" s="4">
        <v>29</v>
      </c>
      <c r="D52" t="s">
        <v>529</v>
      </c>
    </row>
    <row r="53" spans="1:4" ht="15.75" hidden="1" customHeight="1" x14ac:dyDescent="0.3">
      <c r="A53" s="2" t="s">
        <v>18</v>
      </c>
      <c r="B53" s="2" t="s">
        <v>289</v>
      </c>
      <c r="C53" s="4">
        <v>43</v>
      </c>
      <c r="D53" t="s">
        <v>529</v>
      </c>
    </row>
    <row r="54" spans="1:4" ht="15.75" hidden="1" customHeight="1" x14ac:dyDescent="0.3">
      <c r="A54" s="2" t="s">
        <v>21</v>
      </c>
      <c r="B54" s="2" t="s">
        <v>5</v>
      </c>
      <c r="C54" s="4" t="s">
        <v>5</v>
      </c>
    </row>
    <row r="55" spans="1:4" ht="15.75" hidden="1" customHeight="1" x14ac:dyDescent="0.3">
      <c r="A55" s="2" t="s">
        <v>21</v>
      </c>
      <c r="B55" s="2" t="s">
        <v>290</v>
      </c>
      <c r="C55" s="4">
        <v>100</v>
      </c>
    </row>
    <row r="56" spans="1:4" ht="15.75" hidden="1" customHeight="1" x14ac:dyDescent="0.3">
      <c r="A56" s="2" t="s">
        <v>21</v>
      </c>
      <c r="B56" s="2" t="s">
        <v>291</v>
      </c>
      <c r="C56" s="4">
        <v>130</v>
      </c>
      <c r="D56" t="s">
        <v>516</v>
      </c>
    </row>
    <row r="57" spans="1:4" ht="15.75" hidden="1" customHeight="1" x14ac:dyDescent="0.3">
      <c r="A57" s="2" t="s">
        <v>21</v>
      </c>
      <c r="B57" s="2" t="s">
        <v>292</v>
      </c>
      <c r="C57" s="4">
        <v>19</v>
      </c>
      <c r="D57" t="s">
        <v>516</v>
      </c>
    </row>
    <row r="58" spans="1:4" ht="15.75" hidden="1" customHeight="1" x14ac:dyDescent="0.3">
      <c r="A58" s="2" t="s">
        <v>21</v>
      </c>
      <c r="B58" s="2" t="s">
        <v>293</v>
      </c>
      <c r="C58" s="4">
        <v>8</v>
      </c>
      <c r="D58" t="s">
        <v>516</v>
      </c>
    </row>
    <row r="59" spans="1:4" ht="15.75" hidden="1" customHeight="1" x14ac:dyDescent="0.3">
      <c r="A59" s="2" t="s">
        <v>21</v>
      </c>
      <c r="B59" s="2" t="s">
        <v>294</v>
      </c>
      <c r="C59" s="4">
        <v>100</v>
      </c>
      <c r="D59" t="s">
        <v>511</v>
      </c>
    </row>
    <row r="60" spans="1:4" ht="15.75" hidden="1" customHeight="1" x14ac:dyDescent="0.3">
      <c r="A60" s="2" t="s">
        <v>21</v>
      </c>
      <c r="B60" s="2" t="s">
        <v>276</v>
      </c>
      <c r="C60" s="4">
        <v>15</v>
      </c>
      <c r="D60" t="s">
        <v>526</v>
      </c>
    </row>
    <row r="61" spans="1:4" ht="15.75" hidden="1" customHeight="1" x14ac:dyDescent="0.3">
      <c r="A61" s="2" t="s">
        <v>21</v>
      </c>
      <c r="B61" s="2" t="s">
        <v>278</v>
      </c>
      <c r="C61" s="4">
        <v>11</v>
      </c>
      <c r="D61" t="s">
        <v>517</v>
      </c>
    </row>
    <row r="62" spans="1:4" ht="15.75" hidden="1" customHeight="1" x14ac:dyDescent="0.3">
      <c r="A62" s="2" t="s">
        <v>24</v>
      </c>
      <c r="B62" s="2" t="s">
        <v>5</v>
      </c>
      <c r="C62" s="4" t="s">
        <v>5</v>
      </c>
    </row>
    <row r="63" spans="1:4" ht="15.75" hidden="1" customHeight="1" x14ac:dyDescent="0.3">
      <c r="A63" s="2" t="s">
        <v>24</v>
      </c>
      <c r="B63" s="2" t="s">
        <v>290</v>
      </c>
      <c r="C63" s="4">
        <v>100</v>
      </c>
    </row>
    <row r="64" spans="1:4" ht="15.75" hidden="1" customHeight="1" x14ac:dyDescent="0.3">
      <c r="A64" s="2" t="s">
        <v>24</v>
      </c>
      <c r="B64" s="2" t="s">
        <v>291</v>
      </c>
      <c r="C64" s="4">
        <v>130</v>
      </c>
      <c r="D64" t="s">
        <v>516</v>
      </c>
    </row>
    <row r="65" spans="1:4" ht="15.75" hidden="1" customHeight="1" x14ac:dyDescent="0.3">
      <c r="A65" s="2" t="s">
        <v>24</v>
      </c>
      <c r="B65" s="2" t="s">
        <v>292</v>
      </c>
      <c r="C65" s="4">
        <v>19</v>
      </c>
      <c r="D65" t="s">
        <v>516</v>
      </c>
    </row>
    <row r="66" spans="1:4" ht="15.75" hidden="1" customHeight="1" x14ac:dyDescent="0.3">
      <c r="A66" s="2" t="s">
        <v>24</v>
      </c>
      <c r="B66" s="2" t="s">
        <v>293</v>
      </c>
      <c r="C66" s="4">
        <v>8</v>
      </c>
      <c r="D66" t="s">
        <v>516</v>
      </c>
    </row>
    <row r="67" spans="1:4" ht="15.75" hidden="1" customHeight="1" x14ac:dyDescent="0.3">
      <c r="A67" s="2" t="s">
        <v>24</v>
      </c>
      <c r="B67" s="2" t="s">
        <v>294</v>
      </c>
      <c r="C67" s="4">
        <v>100</v>
      </c>
      <c r="D67" t="s">
        <v>511</v>
      </c>
    </row>
    <row r="68" spans="1:4" ht="15.75" hidden="1" customHeight="1" x14ac:dyDescent="0.3">
      <c r="A68" s="2" t="s">
        <v>24</v>
      </c>
      <c r="B68" s="2" t="s">
        <v>276</v>
      </c>
      <c r="C68" s="4">
        <v>15</v>
      </c>
      <c r="D68" t="s">
        <v>526</v>
      </c>
    </row>
    <row r="69" spans="1:4" ht="15.75" hidden="1" customHeight="1" x14ac:dyDescent="0.3">
      <c r="A69" s="2" t="s">
        <v>24</v>
      </c>
      <c r="B69" s="2" t="s">
        <v>278</v>
      </c>
      <c r="C69" s="4">
        <v>11</v>
      </c>
      <c r="D69" t="s">
        <v>517</v>
      </c>
    </row>
    <row r="70" spans="1:4" ht="15.75" hidden="1" customHeight="1" x14ac:dyDescent="0.3">
      <c r="A70" s="2" t="s">
        <v>25</v>
      </c>
      <c r="B70" s="2" t="s">
        <v>5</v>
      </c>
      <c r="C70" s="4" t="s">
        <v>5</v>
      </c>
    </row>
    <row r="71" spans="1:4" ht="15.75" hidden="1" customHeight="1" x14ac:dyDescent="0.3">
      <c r="A71" s="2" t="s">
        <v>25</v>
      </c>
      <c r="B71" s="2" t="s">
        <v>290</v>
      </c>
      <c r="C71" s="4">
        <v>100</v>
      </c>
    </row>
    <row r="72" spans="1:4" ht="15.75" hidden="1" customHeight="1" x14ac:dyDescent="0.3">
      <c r="A72" s="2" t="s">
        <v>25</v>
      </c>
      <c r="B72" s="2" t="s">
        <v>291</v>
      </c>
      <c r="C72" s="4">
        <v>130</v>
      </c>
      <c r="D72" t="s">
        <v>516</v>
      </c>
    </row>
    <row r="73" spans="1:4" ht="15.75" hidden="1" customHeight="1" x14ac:dyDescent="0.3">
      <c r="A73" s="2" t="s">
        <v>25</v>
      </c>
      <c r="B73" s="2" t="s">
        <v>292</v>
      </c>
      <c r="C73" s="4">
        <v>19</v>
      </c>
      <c r="D73" t="s">
        <v>516</v>
      </c>
    </row>
    <row r="74" spans="1:4" ht="15.75" hidden="1" customHeight="1" x14ac:dyDescent="0.3">
      <c r="A74" s="2" t="s">
        <v>25</v>
      </c>
      <c r="B74" s="2" t="s">
        <v>293</v>
      </c>
      <c r="C74" s="4">
        <v>8</v>
      </c>
      <c r="D74" t="s">
        <v>516</v>
      </c>
    </row>
    <row r="75" spans="1:4" ht="15.75" hidden="1" customHeight="1" x14ac:dyDescent="0.3">
      <c r="A75" s="2" t="s">
        <v>25</v>
      </c>
      <c r="B75" s="2" t="s">
        <v>294</v>
      </c>
      <c r="C75" s="4">
        <v>100</v>
      </c>
      <c r="D75" t="s">
        <v>511</v>
      </c>
    </row>
    <row r="76" spans="1:4" ht="15.75" hidden="1" customHeight="1" x14ac:dyDescent="0.3">
      <c r="A76" s="2" t="s">
        <v>25</v>
      </c>
      <c r="B76" s="2" t="s">
        <v>276</v>
      </c>
      <c r="C76" s="4">
        <v>15</v>
      </c>
      <c r="D76" t="s">
        <v>526</v>
      </c>
    </row>
    <row r="77" spans="1:4" ht="15.75" hidden="1" customHeight="1" x14ac:dyDescent="0.3">
      <c r="A77" s="2" t="s">
        <v>25</v>
      </c>
      <c r="B77" s="2" t="s">
        <v>278</v>
      </c>
      <c r="C77" s="4">
        <v>11</v>
      </c>
      <c r="D77" t="s">
        <v>517</v>
      </c>
    </row>
    <row r="78" spans="1:4" ht="15.75" hidden="1" customHeight="1" x14ac:dyDescent="0.3">
      <c r="A78" s="2" t="s">
        <v>26</v>
      </c>
      <c r="B78" s="2" t="s">
        <v>5</v>
      </c>
      <c r="C78" s="4" t="s">
        <v>5</v>
      </c>
    </row>
    <row r="79" spans="1:4" ht="15.75" hidden="1" customHeight="1" x14ac:dyDescent="0.3">
      <c r="A79" s="2" t="s">
        <v>26</v>
      </c>
      <c r="B79" s="2" t="s">
        <v>290</v>
      </c>
      <c r="C79" s="4">
        <v>100</v>
      </c>
    </row>
    <row r="80" spans="1:4" ht="15.75" hidden="1" customHeight="1" x14ac:dyDescent="0.3">
      <c r="A80" s="2" t="s">
        <v>26</v>
      </c>
      <c r="B80" s="2" t="s">
        <v>291</v>
      </c>
      <c r="C80" s="4">
        <v>130</v>
      </c>
      <c r="D80" t="s">
        <v>516</v>
      </c>
    </row>
    <row r="81" spans="1:4" ht="15.75" hidden="1" customHeight="1" x14ac:dyDescent="0.3">
      <c r="A81" s="2" t="s">
        <v>26</v>
      </c>
      <c r="B81" s="2" t="s">
        <v>292</v>
      </c>
      <c r="C81" s="4">
        <v>19</v>
      </c>
      <c r="D81" t="s">
        <v>516</v>
      </c>
    </row>
    <row r="82" spans="1:4" ht="15.75" hidden="1" customHeight="1" x14ac:dyDescent="0.3">
      <c r="A82" s="2" t="s">
        <v>26</v>
      </c>
      <c r="B82" s="2" t="s">
        <v>293</v>
      </c>
      <c r="C82" s="4">
        <v>8</v>
      </c>
      <c r="D82" t="s">
        <v>516</v>
      </c>
    </row>
    <row r="83" spans="1:4" ht="15.75" hidden="1" customHeight="1" x14ac:dyDescent="0.3">
      <c r="A83" s="2" t="s">
        <v>26</v>
      </c>
      <c r="B83" s="2" t="s">
        <v>294</v>
      </c>
      <c r="C83" s="4">
        <v>100</v>
      </c>
      <c r="D83" t="s">
        <v>511</v>
      </c>
    </row>
    <row r="84" spans="1:4" ht="15.75" hidden="1" customHeight="1" x14ac:dyDescent="0.3">
      <c r="A84" s="2" t="s">
        <v>26</v>
      </c>
      <c r="B84" s="2" t="s">
        <v>276</v>
      </c>
      <c r="C84" s="4">
        <v>15</v>
      </c>
      <c r="D84" t="s">
        <v>526</v>
      </c>
    </row>
    <row r="85" spans="1:4" ht="15.75" hidden="1" customHeight="1" x14ac:dyDescent="0.3">
      <c r="A85" s="2" t="s">
        <v>26</v>
      </c>
      <c r="B85" s="2" t="s">
        <v>278</v>
      </c>
      <c r="C85" s="4">
        <v>11</v>
      </c>
      <c r="D85" t="s">
        <v>517</v>
      </c>
    </row>
    <row r="86" spans="1:4" ht="15.75" hidden="1" customHeight="1" x14ac:dyDescent="0.3">
      <c r="A86" s="2" t="s">
        <v>27</v>
      </c>
      <c r="B86" s="2" t="s">
        <v>5</v>
      </c>
      <c r="C86" s="4" t="s">
        <v>5</v>
      </c>
    </row>
    <row r="87" spans="1:4" ht="15.75" hidden="1" customHeight="1" x14ac:dyDescent="0.3">
      <c r="A87" s="2" t="s">
        <v>27</v>
      </c>
      <c r="B87" s="2" t="s">
        <v>290</v>
      </c>
      <c r="C87" s="4">
        <v>100</v>
      </c>
    </row>
    <row r="88" spans="1:4" ht="15.75" hidden="1" customHeight="1" x14ac:dyDescent="0.3">
      <c r="A88" s="2" t="s">
        <v>27</v>
      </c>
      <c r="B88" s="2" t="s">
        <v>291</v>
      </c>
      <c r="C88" s="4">
        <v>130</v>
      </c>
      <c r="D88" t="s">
        <v>516</v>
      </c>
    </row>
    <row r="89" spans="1:4" ht="15.75" hidden="1" customHeight="1" x14ac:dyDescent="0.3">
      <c r="A89" s="2" t="s">
        <v>27</v>
      </c>
      <c r="B89" s="2" t="s">
        <v>292</v>
      </c>
      <c r="C89" s="4">
        <v>19</v>
      </c>
      <c r="D89" t="s">
        <v>516</v>
      </c>
    </row>
    <row r="90" spans="1:4" ht="15.75" hidden="1" customHeight="1" x14ac:dyDescent="0.3">
      <c r="A90" s="2" t="s">
        <v>27</v>
      </c>
      <c r="B90" s="2" t="s">
        <v>293</v>
      </c>
      <c r="C90" s="4">
        <v>8</v>
      </c>
      <c r="D90" t="s">
        <v>516</v>
      </c>
    </row>
    <row r="91" spans="1:4" ht="15.75" hidden="1" customHeight="1" x14ac:dyDescent="0.3">
      <c r="A91" s="2" t="s">
        <v>27</v>
      </c>
      <c r="B91" s="2" t="s">
        <v>294</v>
      </c>
      <c r="C91" s="4">
        <v>100</v>
      </c>
      <c r="D91" t="s">
        <v>511</v>
      </c>
    </row>
    <row r="92" spans="1:4" ht="15.75" hidden="1" customHeight="1" x14ac:dyDescent="0.3">
      <c r="A92" s="2" t="s">
        <v>28</v>
      </c>
      <c r="B92" s="2" t="s">
        <v>5</v>
      </c>
      <c r="C92" s="4" t="s">
        <v>5</v>
      </c>
    </row>
    <row r="93" spans="1:4" ht="15.75" hidden="1" customHeight="1" x14ac:dyDescent="0.3">
      <c r="A93" s="2" t="s">
        <v>28</v>
      </c>
      <c r="B93" s="2" t="s">
        <v>290</v>
      </c>
      <c r="C93" s="4">
        <v>100</v>
      </c>
    </row>
    <row r="94" spans="1:4" ht="15.75" hidden="1" customHeight="1" x14ac:dyDescent="0.3">
      <c r="A94" s="2" t="s">
        <v>28</v>
      </c>
      <c r="B94" s="2" t="s">
        <v>291</v>
      </c>
      <c r="C94" s="4">
        <v>130</v>
      </c>
      <c r="D94" t="s">
        <v>516</v>
      </c>
    </row>
    <row r="95" spans="1:4" ht="15.75" hidden="1" customHeight="1" x14ac:dyDescent="0.3">
      <c r="A95" s="2" t="s">
        <v>28</v>
      </c>
      <c r="B95" s="2" t="s">
        <v>292</v>
      </c>
      <c r="C95" s="4">
        <v>19</v>
      </c>
      <c r="D95" t="s">
        <v>516</v>
      </c>
    </row>
    <row r="96" spans="1:4" ht="15.75" hidden="1" customHeight="1" x14ac:dyDescent="0.3">
      <c r="A96" s="2" t="s">
        <v>28</v>
      </c>
      <c r="B96" s="2" t="s">
        <v>293</v>
      </c>
      <c r="C96" s="4">
        <v>8</v>
      </c>
      <c r="D96" t="s">
        <v>516</v>
      </c>
    </row>
    <row r="97" spans="1:4" ht="15.75" hidden="1" customHeight="1" x14ac:dyDescent="0.3">
      <c r="A97" s="2" t="s">
        <v>28</v>
      </c>
      <c r="B97" s="2" t="s">
        <v>294</v>
      </c>
      <c r="C97" s="4">
        <v>100</v>
      </c>
      <c r="D97" t="s">
        <v>511</v>
      </c>
    </row>
    <row r="98" spans="1:4" ht="15.75" hidden="1" customHeight="1" x14ac:dyDescent="0.3">
      <c r="A98" s="2" t="s">
        <v>28</v>
      </c>
      <c r="B98" s="2" t="s">
        <v>276</v>
      </c>
      <c r="C98" s="4">
        <v>15</v>
      </c>
      <c r="D98" t="s">
        <v>526</v>
      </c>
    </row>
    <row r="99" spans="1:4" ht="15.75" hidden="1" customHeight="1" x14ac:dyDescent="0.3">
      <c r="A99" s="2" t="s">
        <v>28</v>
      </c>
      <c r="B99" s="2" t="s">
        <v>278</v>
      </c>
      <c r="C99" s="4">
        <v>11</v>
      </c>
      <c r="D99" t="s">
        <v>517</v>
      </c>
    </row>
    <row r="100" spans="1:4" ht="15.75" hidden="1" customHeight="1" x14ac:dyDescent="0.3">
      <c r="A100" s="2" t="s">
        <v>29</v>
      </c>
      <c r="B100" s="2" t="s">
        <v>5</v>
      </c>
      <c r="C100" s="4" t="s">
        <v>5</v>
      </c>
    </row>
    <row r="101" spans="1:4" ht="15.75" hidden="1" customHeight="1" x14ac:dyDescent="0.3">
      <c r="A101" s="2" t="s">
        <v>29</v>
      </c>
      <c r="B101" s="2" t="s">
        <v>290</v>
      </c>
      <c r="C101" s="4">
        <v>100</v>
      </c>
    </row>
    <row r="102" spans="1:4" ht="15.75" hidden="1" customHeight="1" x14ac:dyDescent="0.3">
      <c r="A102" s="2" t="s">
        <v>29</v>
      </c>
      <c r="B102" s="2" t="s">
        <v>291</v>
      </c>
      <c r="C102" s="4">
        <v>130</v>
      </c>
      <c r="D102" t="s">
        <v>516</v>
      </c>
    </row>
    <row r="103" spans="1:4" ht="15.75" hidden="1" customHeight="1" x14ac:dyDescent="0.3">
      <c r="A103" s="2" t="s">
        <v>29</v>
      </c>
      <c r="B103" s="2" t="s">
        <v>292</v>
      </c>
      <c r="C103" s="4">
        <v>19</v>
      </c>
      <c r="D103" t="s">
        <v>516</v>
      </c>
    </row>
    <row r="104" spans="1:4" ht="15.75" hidden="1" customHeight="1" x14ac:dyDescent="0.3">
      <c r="A104" s="2" t="s">
        <v>29</v>
      </c>
      <c r="B104" s="2" t="s">
        <v>293</v>
      </c>
      <c r="C104" s="4">
        <v>8</v>
      </c>
      <c r="D104" t="s">
        <v>516</v>
      </c>
    </row>
    <row r="105" spans="1:4" ht="15.75" hidden="1" customHeight="1" x14ac:dyDescent="0.3">
      <c r="A105" s="2" t="s">
        <v>29</v>
      </c>
      <c r="B105" s="2" t="s">
        <v>294</v>
      </c>
      <c r="C105" s="4">
        <v>100</v>
      </c>
      <c r="D105" t="s">
        <v>511</v>
      </c>
    </row>
    <row r="106" spans="1:4" ht="15.75" hidden="1" customHeight="1" x14ac:dyDescent="0.3">
      <c r="A106" s="2" t="s">
        <v>29</v>
      </c>
      <c r="B106" s="2" t="s">
        <v>276</v>
      </c>
      <c r="C106" s="4">
        <v>15</v>
      </c>
      <c r="D106" t="s">
        <v>526</v>
      </c>
    </row>
    <row r="107" spans="1:4" ht="15.75" hidden="1" customHeight="1" x14ac:dyDescent="0.3">
      <c r="A107" s="2" t="s">
        <v>29</v>
      </c>
      <c r="B107" s="2" t="s">
        <v>278</v>
      </c>
      <c r="C107" s="4">
        <v>11</v>
      </c>
      <c r="D107" t="s">
        <v>517</v>
      </c>
    </row>
    <row r="108" spans="1:4" ht="15.75" hidden="1" customHeight="1" x14ac:dyDescent="0.3">
      <c r="A108" s="2" t="s">
        <v>30</v>
      </c>
      <c r="B108" s="2" t="s">
        <v>5</v>
      </c>
      <c r="C108" s="4" t="s">
        <v>5</v>
      </c>
    </row>
    <row r="109" spans="1:4" ht="15.75" hidden="1" customHeight="1" x14ac:dyDescent="0.3">
      <c r="A109" s="2" t="s">
        <v>30</v>
      </c>
      <c r="B109" s="2" t="s">
        <v>290</v>
      </c>
      <c r="C109" s="4">
        <v>100</v>
      </c>
    </row>
    <row r="110" spans="1:4" ht="15.75" hidden="1" customHeight="1" x14ac:dyDescent="0.3">
      <c r="A110" s="2" t="s">
        <v>30</v>
      </c>
      <c r="B110" s="2" t="s">
        <v>291</v>
      </c>
      <c r="C110" s="4">
        <v>130</v>
      </c>
      <c r="D110" t="s">
        <v>516</v>
      </c>
    </row>
    <row r="111" spans="1:4" ht="15.75" hidden="1" customHeight="1" x14ac:dyDescent="0.3">
      <c r="A111" s="2" t="s">
        <v>30</v>
      </c>
      <c r="B111" s="2" t="s">
        <v>292</v>
      </c>
      <c r="C111" s="4">
        <v>19</v>
      </c>
      <c r="D111" t="s">
        <v>516</v>
      </c>
    </row>
    <row r="112" spans="1:4" ht="15.75" hidden="1" customHeight="1" x14ac:dyDescent="0.3">
      <c r="A112" s="2" t="s">
        <v>30</v>
      </c>
      <c r="B112" s="2" t="s">
        <v>293</v>
      </c>
      <c r="C112" s="4">
        <v>8</v>
      </c>
      <c r="D112" t="s">
        <v>516</v>
      </c>
    </row>
    <row r="113" spans="1:4" ht="15.75" hidden="1" customHeight="1" x14ac:dyDescent="0.3">
      <c r="A113" s="2" t="s">
        <v>30</v>
      </c>
      <c r="B113" s="2" t="s">
        <v>294</v>
      </c>
      <c r="C113" s="4">
        <v>100</v>
      </c>
      <c r="D113" t="s">
        <v>511</v>
      </c>
    </row>
    <row r="114" spans="1:4" ht="15.75" hidden="1" customHeight="1" x14ac:dyDescent="0.3">
      <c r="A114" s="2" t="s">
        <v>30</v>
      </c>
      <c r="B114" s="2" t="s">
        <v>276</v>
      </c>
      <c r="C114" s="4">
        <v>15</v>
      </c>
      <c r="D114" t="s">
        <v>526</v>
      </c>
    </row>
    <row r="115" spans="1:4" ht="15.75" hidden="1" customHeight="1" x14ac:dyDescent="0.3">
      <c r="A115" s="2" t="s">
        <v>30</v>
      </c>
      <c r="B115" s="2" t="s">
        <v>278</v>
      </c>
      <c r="C115" s="4">
        <v>11</v>
      </c>
      <c r="D115" t="s">
        <v>517</v>
      </c>
    </row>
    <row r="116" spans="1:4" ht="15.75" hidden="1" customHeight="1" x14ac:dyDescent="0.3">
      <c r="A116" s="2" t="s">
        <v>31</v>
      </c>
      <c r="B116" s="2" t="s">
        <v>5</v>
      </c>
      <c r="C116" s="4" t="s">
        <v>5</v>
      </c>
    </row>
    <row r="117" spans="1:4" ht="15.75" hidden="1" customHeight="1" x14ac:dyDescent="0.3">
      <c r="A117" s="2" t="s">
        <v>31</v>
      </c>
      <c r="B117" s="2" t="s">
        <v>290</v>
      </c>
      <c r="C117" s="4">
        <v>100</v>
      </c>
    </row>
    <row r="118" spans="1:4" ht="15.75" hidden="1" customHeight="1" x14ac:dyDescent="0.3">
      <c r="A118" s="2" t="s">
        <v>31</v>
      </c>
      <c r="B118" s="2" t="s">
        <v>291</v>
      </c>
      <c r="C118" s="4">
        <v>130</v>
      </c>
      <c r="D118" t="s">
        <v>516</v>
      </c>
    </row>
    <row r="119" spans="1:4" ht="15.75" hidden="1" customHeight="1" x14ac:dyDescent="0.3">
      <c r="A119" s="2" t="s">
        <v>31</v>
      </c>
      <c r="B119" s="2" t="s">
        <v>292</v>
      </c>
      <c r="C119" s="4">
        <v>19</v>
      </c>
      <c r="D119" t="s">
        <v>516</v>
      </c>
    </row>
    <row r="120" spans="1:4" ht="15.75" hidden="1" customHeight="1" x14ac:dyDescent="0.3">
      <c r="A120" s="2" t="s">
        <v>31</v>
      </c>
      <c r="B120" s="2" t="s">
        <v>293</v>
      </c>
      <c r="C120" s="4">
        <v>8</v>
      </c>
      <c r="D120" t="s">
        <v>516</v>
      </c>
    </row>
    <row r="121" spans="1:4" ht="15.75" hidden="1" customHeight="1" x14ac:dyDescent="0.3">
      <c r="A121" s="2" t="s">
        <v>31</v>
      </c>
      <c r="B121" s="2" t="s">
        <v>294</v>
      </c>
      <c r="C121" s="4">
        <v>100</v>
      </c>
      <c r="D121" t="s">
        <v>511</v>
      </c>
    </row>
    <row r="122" spans="1:4" ht="15.75" hidden="1" customHeight="1" x14ac:dyDescent="0.3">
      <c r="A122" s="2" t="s">
        <v>31</v>
      </c>
      <c r="B122" s="2" t="s">
        <v>276</v>
      </c>
      <c r="C122" s="4">
        <v>15</v>
      </c>
      <c r="D122" t="s">
        <v>526</v>
      </c>
    </row>
    <row r="123" spans="1:4" ht="15.75" hidden="1" customHeight="1" x14ac:dyDescent="0.3">
      <c r="A123" s="2" t="s">
        <v>31</v>
      </c>
      <c r="B123" s="2" t="s">
        <v>278</v>
      </c>
      <c r="C123" s="4">
        <v>11</v>
      </c>
      <c r="D123" t="s">
        <v>517</v>
      </c>
    </row>
    <row r="124" spans="1:4" ht="15.75" hidden="1" customHeight="1" x14ac:dyDescent="0.3">
      <c r="A124" s="2" t="s">
        <v>32</v>
      </c>
      <c r="B124" s="2" t="s">
        <v>5</v>
      </c>
      <c r="C124" s="4" t="s">
        <v>5</v>
      </c>
    </row>
    <row r="125" spans="1:4" ht="15.75" hidden="1" customHeight="1" x14ac:dyDescent="0.3">
      <c r="A125" s="2" t="s">
        <v>32</v>
      </c>
      <c r="B125" s="2" t="s">
        <v>290</v>
      </c>
      <c r="C125" s="4">
        <v>100</v>
      </c>
    </row>
    <row r="126" spans="1:4" ht="15.75" hidden="1" customHeight="1" x14ac:dyDescent="0.3">
      <c r="A126" s="2" t="s">
        <v>32</v>
      </c>
      <c r="B126" s="2" t="s">
        <v>291</v>
      </c>
      <c r="C126" s="4">
        <v>130</v>
      </c>
      <c r="D126" t="s">
        <v>516</v>
      </c>
    </row>
    <row r="127" spans="1:4" ht="15.75" hidden="1" customHeight="1" x14ac:dyDescent="0.3">
      <c r="A127" s="2" t="s">
        <v>32</v>
      </c>
      <c r="B127" s="2" t="s">
        <v>292</v>
      </c>
      <c r="C127" s="4">
        <v>19</v>
      </c>
      <c r="D127" t="s">
        <v>516</v>
      </c>
    </row>
    <row r="128" spans="1:4" ht="15.75" hidden="1" customHeight="1" x14ac:dyDescent="0.3">
      <c r="A128" s="2" t="s">
        <v>32</v>
      </c>
      <c r="B128" s="2" t="s">
        <v>293</v>
      </c>
      <c r="C128" s="4">
        <v>8</v>
      </c>
      <c r="D128" t="s">
        <v>516</v>
      </c>
    </row>
    <row r="129" spans="1:4" ht="15.75" hidden="1" customHeight="1" x14ac:dyDescent="0.3">
      <c r="A129" s="2" t="s">
        <v>32</v>
      </c>
      <c r="B129" s="2" t="s">
        <v>294</v>
      </c>
      <c r="C129" s="4">
        <v>100</v>
      </c>
      <c r="D129" t="s">
        <v>511</v>
      </c>
    </row>
    <row r="130" spans="1:4" ht="15.75" hidden="1" customHeight="1" x14ac:dyDescent="0.3">
      <c r="A130" s="2" t="s">
        <v>32</v>
      </c>
      <c r="B130" s="2" t="s">
        <v>276</v>
      </c>
      <c r="C130" s="4">
        <v>15</v>
      </c>
      <c r="D130" t="s">
        <v>526</v>
      </c>
    </row>
    <row r="131" spans="1:4" ht="15.75" hidden="1" customHeight="1" x14ac:dyDescent="0.3">
      <c r="A131" s="2" t="s">
        <v>32</v>
      </c>
      <c r="B131" s="2" t="s">
        <v>278</v>
      </c>
      <c r="C131" s="4">
        <v>11</v>
      </c>
      <c r="D131" t="s">
        <v>517</v>
      </c>
    </row>
    <row r="132" spans="1:4" ht="15.75" hidden="1" customHeight="1" x14ac:dyDescent="0.3">
      <c r="A132" s="2" t="s">
        <v>33</v>
      </c>
      <c r="B132" s="2" t="s">
        <v>5</v>
      </c>
      <c r="C132" s="4" t="s">
        <v>5</v>
      </c>
    </row>
    <row r="133" spans="1:4" ht="15.75" hidden="1" customHeight="1" x14ac:dyDescent="0.3">
      <c r="A133" s="2" t="s">
        <v>33</v>
      </c>
      <c r="B133" s="2" t="s">
        <v>290</v>
      </c>
      <c r="C133" s="4">
        <v>100</v>
      </c>
    </row>
    <row r="134" spans="1:4" ht="15.75" hidden="1" customHeight="1" x14ac:dyDescent="0.3">
      <c r="A134" s="2" t="s">
        <v>33</v>
      </c>
      <c r="B134" s="2" t="s">
        <v>291</v>
      </c>
      <c r="C134" s="4">
        <v>130</v>
      </c>
      <c r="D134" t="s">
        <v>516</v>
      </c>
    </row>
    <row r="135" spans="1:4" ht="15.75" hidden="1" customHeight="1" x14ac:dyDescent="0.3">
      <c r="A135" s="2" t="s">
        <v>33</v>
      </c>
      <c r="B135" s="2" t="s">
        <v>292</v>
      </c>
      <c r="C135" s="4">
        <v>19</v>
      </c>
      <c r="D135" t="s">
        <v>516</v>
      </c>
    </row>
    <row r="136" spans="1:4" ht="15.75" hidden="1" customHeight="1" x14ac:dyDescent="0.3">
      <c r="A136" s="2" t="s">
        <v>33</v>
      </c>
      <c r="B136" s="2" t="s">
        <v>293</v>
      </c>
      <c r="C136" s="4">
        <v>8</v>
      </c>
      <c r="D136" t="s">
        <v>516</v>
      </c>
    </row>
    <row r="137" spans="1:4" ht="15.75" hidden="1" customHeight="1" x14ac:dyDescent="0.3">
      <c r="A137" s="2" t="s">
        <v>33</v>
      </c>
      <c r="B137" s="2" t="s">
        <v>294</v>
      </c>
      <c r="C137" s="4">
        <v>100</v>
      </c>
      <c r="D137" t="s">
        <v>511</v>
      </c>
    </row>
    <row r="138" spans="1:4" ht="15.75" hidden="1" customHeight="1" x14ac:dyDescent="0.3">
      <c r="A138" s="2" t="s">
        <v>33</v>
      </c>
      <c r="B138" s="2" t="s">
        <v>276</v>
      </c>
      <c r="C138" s="4">
        <v>15</v>
      </c>
      <c r="D138" t="s">
        <v>526</v>
      </c>
    </row>
    <row r="139" spans="1:4" ht="15.75" hidden="1" customHeight="1" x14ac:dyDescent="0.3">
      <c r="A139" s="2" t="s">
        <v>33</v>
      </c>
      <c r="B139" s="2" t="s">
        <v>278</v>
      </c>
      <c r="C139" s="4">
        <v>11</v>
      </c>
      <c r="D139" t="s">
        <v>517</v>
      </c>
    </row>
    <row r="140" spans="1:4" ht="15.75" hidden="1" customHeight="1" x14ac:dyDescent="0.3">
      <c r="A140" s="2" t="s">
        <v>34</v>
      </c>
      <c r="B140" s="2" t="s">
        <v>5</v>
      </c>
      <c r="C140" s="4" t="s">
        <v>5</v>
      </c>
    </row>
    <row r="141" spans="1:4" ht="15.75" hidden="1" customHeight="1" x14ac:dyDescent="0.3">
      <c r="A141" s="2" t="s">
        <v>34</v>
      </c>
      <c r="B141" s="2" t="s">
        <v>290</v>
      </c>
      <c r="C141" s="4">
        <v>100</v>
      </c>
    </row>
    <row r="142" spans="1:4" ht="15.75" hidden="1" customHeight="1" x14ac:dyDescent="0.3">
      <c r="A142" s="2" t="s">
        <v>34</v>
      </c>
      <c r="B142" s="2" t="s">
        <v>291</v>
      </c>
      <c r="C142" s="4">
        <v>130</v>
      </c>
      <c r="D142" t="s">
        <v>516</v>
      </c>
    </row>
    <row r="143" spans="1:4" ht="15.75" hidden="1" customHeight="1" x14ac:dyDescent="0.3">
      <c r="A143" s="2" t="s">
        <v>34</v>
      </c>
      <c r="B143" s="2" t="s">
        <v>292</v>
      </c>
      <c r="C143" s="4">
        <v>19</v>
      </c>
      <c r="D143" t="s">
        <v>516</v>
      </c>
    </row>
    <row r="144" spans="1:4" ht="15.75" hidden="1" customHeight="1" x14ac:dyDescent="0.3">
      <c r="A144" s="2" t="s">
        <v>34</v>
      </c>
      <c r="B144" s="2" t="s">
        <v>293</v>
      </c>
      <c r="C144" s="4">
        <v>8</v>
      </c>
      <c r="D144" t="s">
        <v>516</v>
      </c>
    </row>
    <row r="145" spans="1:4" ht="15.75" hidden="1" customHeight="1" x14ac:dyDescent="0.3">
      <c r="A145" s="2" t="s">
        <v>34</v>
      </c>
      <c r="B145" s="2" t="s">
        <v>294</v>
      </c>
      <c r="C145" s="4">
        <v>100</v>
      </c>
      <c r="D145" t="s">
        <v>511</v>
      </c>
    </row>
    <row r="146" spans="1:4" ht="15.75" hidden="1" customHeight="1" x14ac:dyDescent="0.3">
      <c r="A146" s="2" t="s">
        <v>34</v>
      </c>
      <c r="B146" s="2" t="s">
        <v>276</v>
      </c>
      <c r="C146" s="4">
        <v>15</v>
      </c>
      <c r="D146" t="s">
        <v>526</v>
      </c>
    </row>
    <row r="147" spans="1:4" ht="15.75" hidden="1" customHeight="1" x14ac:dyDescent="0.3">
      <c r="A147" s="2" t="s">
        <v>34</v>
      </c>
      <c r="B147" s="2" t="s">
        <v>278</v>
      </c>
      <c r="C147" s="4">
        <v>11</v>
      </c>
      <c r="D147" t="s">
        <v>517</v>
      </c>
    </row>
    <row r="148" spans="1:4" ht="15.75" hidden="1" customHeight="1" x14ac:dyDescent="0.3">
      <c r="A148" s="2" t="s">
        <v>35</v>
      </c>
      <c r="B148" s="2" t="s">
        <v>5</v>
      </c>
      <c r="C148" s="4" t="s">
        <v>5</v>
      </c>
    </row>
    <row r="149" spans="1:4" ht="15.75" hidden="1" customHeight="1" x14ac:dyDescent="0.3">
      <c r="A149" s="2" t="s">
        <v>35</v>
      </c>
      <c r="B149" s="2" t="s">
        <v>290</v>
      </c>
      <c r="C149" s="4">
        <v>100</v>
      </c>
    </row>
    <row r="150" spans="1:4" ht="15.75" hidden="1" customHeight="1" x14ac:dyDescent="0.3">
      <c r="A150" s="2" t="s">
        <v>35</v>
      </c>
      <c r="B150" s="2" t="s">
        <v>291</v>
      </c>
      <c r="C150" s="4">
        <v>130</v>
      </c>
      <c r="D150" t="s">
        <v>516</v>
      </c>
    </row>
    <row r="151" spans="1:4" ht="15.75" hidden="1" customHeight="1" x14ac:dyDescent="0.3">
      <c r="A151" s="2" t="s">
        <v>35</v>
      </c>
      <c r="B151" s="2" t="s">
        <v>292</v>
      </c>
      <c r="C151" s="4">
        <v>19</v>
      </c>
      <c r="D151" t="s">
        <v>516</v>
      </c>
    </row>
    <row r="152" spans="1:4" ht="15.75" hidden="1" customHeight="1" x14ac:dyDescent="0.3">
      <c r="A152" s="2" t="s">
        <v>35</v>
      </c>
      <c r="B152" s="2" t="s">
        <v>293</v>
      </c>
      <c r="C152" s="4">
        <v>8</v>
      </c>
      <c r="D152" t="s">
        <v>516</v>
      </c>
    </row>
    <row r="153" spans="1:4" ht="15.75" hidden="1" customHeight="1" x14ac:dyDescent="0.3">
      <c r="A153" s="2" t="s">
        <v>35</v>
      </c>
      <c r="B153" s="2" t="s">
        <v>294</v>
      </c>
      <c r="C153" s="4">
        <v>100</v>
      </c>
      <c r="D153" t="s">
        <v>511</v>
      </c>
    </row>
    <row r="154" spans="1:4" ht="15.75" hidden="1" customHeight="1" x14ac:dyDescent="0.3">
      <c r="A154" s="2" t="s">
        <v>35</v>
      </c>
      <c r="B154" s="2" t="s">
        <v>276</v>
      </c>
      <c r="C154" s="4">
        <v>15</v>
      </c>
      <c r="D154" t="s">
        <v>526</v>
      </c>
    </row>
    <row r="155" spans="1:4" ht="15.75" hidden="1" customHeight="1" x14ac:dyDescent="0.3">
      <c r="A155" s="2" t="s">
        <v>35</v>
      </c>
      <c r="B155" s="2" t="s">
        <v>278</v>
      </c>
      <c r="C155" s="4">
        <v>11</v>
      </c>
      <c r="D155" t="s">
        <v>517</v>
      </c>
    </row>
    <row r="156" spans="1:4" ht="15.75" hidden="1" customHeight="1" x14ac:dyDescent="0.3">
      <c r="A156" s="2" t="s">
        <v>36</v>
      </c>
      <c r="B156" s="2" t="s">
        <v>5</v>
      </c>
      <c r="C156" s="4" t="s">
        <v>5</v>
      </c>
    </row>
    <row r="157" spans="1:4" ht="15.75" hidden="1" customHeight="1" x14ac:dyDescent="0.3">
      <c r="A157" s="2" t="s">
        <v>36</v>
      </c>
      <c r="B157" s="2" t="s">
        <v>290</v>
      </c>
      <c r="C157" s="4">
        <v>100</v>
      </c>
    </row>
    <row r="158" spans="1:4" ht="15.75" hidden="1" customHeight="1" x14ac:dyDescent="0.3">
      <c r="A158" s="2" t="s">
        <v>36</v>
      </c>
      <c r="B158" s="2" t="s">
        <v>291</v>
      </c>
      <c r="C158" s="4">
        <v>130</v>
      </c>
      <c r="D158" t="s">
        <v>516</v>
      </c>
    </row>
    <row r="159" spans="1:4" ht="15.75" hidden="1" customHeight="1" x14ac:dyDescent="0.3">
      <c r="A159" s="2" t="s">
        <v>36</v>
      </c>
      <c r="B159" s="2" t="s">
        <v>292</v>
      </c>
      <c r="C159" s="4">
        <v>19</v>
      </c>
      <c r="D159" t="s">
        <v>516</v>
      </c>
    </row>
    <row r="160" spans="1:4" ht="15.75" hidden="1" customHeight="1" x14ac:dyDescent="0.3">
      <c r="A160" s="2" t="s">
        <v>36</v>
      </c>
      <c r="B160" s="2" t="s">
        <v>293</v>
      </c>
      <c r="C160" s="4">
        <v>8</v>
      </c>
      <c r="D160" t="s">
        <v>516</v>
      </c>
    </row>
    <row r="161" spans="1:4" ht="15.75" hidden="1" customHeight="1" x14ac:dyDescent="0.3">
      <c r="A161" s="2" t="s">
        <v>36</v>
      </c>
      <c r="B161" s="2" t="s">
        <v>294</v>
      </c>
      <c r="C161" s="4">
        <v>100</v>
      </c>
      <c r="D161" t="s">
        <v>511</v>
      </c>
    </row>
    <row r="162" spans="1:4" ht="15.75" hidden="1" customHeight="1" x14ac:dyDescent="0.3">
      <c r="A162" s="2" t="s">
        <v>36</v>
      </c>
      <c r="B162" s="2" t="s">
        <v>276</v>
      </c>
      <c r="C162" s="4">
        <v>15</v>
      </c>
      <c r="D162" t="s">
        <v>526</v>
      </c>
    </row>
    <row r="163" spans="1:4" ht="15.75" hidden="1" customHeight="1" x14ac:dyDescent="0.3">
      <c r="A163" s="2" t="s">
        <v>36</v>
      </c>
      <c r="B163" s="2" t="s">
        <v>278</v>
      </c>
      <c r="C163" s="4">
        <v>11</v>
      </c>
      <c r="D163" t="s">
        <v>517</v>
      </c>
    </row>
    <row r="164" spans="1:4" ht="15.75" hidden="1" customHeight="1" x14ac:dyDescent="0.3">
      <c r="A164" s="2" t="s">
        <v>37</v>
      </c>
      <c r="B164" s="2" t="s">
        <v>5</v>
      </c>
      <c r="C164" s="4" t="s">
        <v>5</v>
      </c>
    </row>
    <row r="165" spans="1:4" ht="15.75" hidden="1" customHeight="1" x14ac:dyDescent="0.3">
      <c r="A165" s="2" t="s">
        <v>37</v>
      </c>
      <c r="B165" s="2" t="s">
        <v>290</v>
      </c>
      <c r="C165" s="4">
        <v>100</v>
      </c>
    </row>
    <row r="166" spans="1:4" ht="15.75" hidden="1" customHeight="1" x14ac:dyDescent="0.3">
      <c r="A166" s="2" t="s">
        <v>37</v>
      </c>
      <c r="B166" s="2" t="s">
        <v>291</v>
      </c>
      <c r="C166" s="4">
        <v>130</v>
      </c>
      <c r="D166" t="s">
        <v>516</v>
      </c>
    </row>
    <row r="167" spans="1:4" ht="15.75" hidden="1" customHeight="1" x14ac:dyDescent="0.3">
      <c r="A167" s="2" t="s">
        <v>37</v>
      </c>
      <c r="B167" s="2" t="s">
        <v>292</v>
      </c>
      <c r="C167" s="4">
        <v>19</v>
      </c>
      <c r="D167" t="s">
        <v>516</v>
      </c>
    </row>
    <row r="168" spans="1:4" ht="15.75" hidden="1" customHeight="1" x14ac:dyDescent="0.3">
      <c r="A168" s="2" t="s">
        <v>37</v>
      </c>
      <c r="B168" s="2" t="s">
        <v>293</v>
      </c>
      <c r="C168" s="4">
        <v>8</v>
      </c>
      <c r="D168" t="s">
        <v>516</v>
      </c>
    </row>
    <row r="169" spans="1:4" ht="15.75" hidden="1" customHeight="1" x14ac:dyDescent="0.3">
      <c r="A169" s="2" t="s">
        <v>37</v>
      </c>
      <c r="B169" s="2" t="s">
        <v>294</v>
      </c>
      <c r="C169" s="4">
        <v>100</v>
      </c>
      <c r="D169" t="s">
        <v>511</v>
      </c>
    </row>
    <row r="170" spans="1:4" ht="15.75" hidden="1" customHeight="1" x14ac:dyDescent="0.3">
      <c r="A170" s="2" t="s">
        <v>37</v>
      </c>
      <c r="B170" s="2" t="s">
        <v>276</v>
      </c>
      <c r="C170" s="4">
        <v>15</v>
      </c>
      <c r="D170" t="s">
        <v>526</v>
      </c>
    </row>
    <row r="171" spans="1:4" ht="15.75" hidden="1" customHeight="1" x14ac:dyDescent="0.3">
      <c r="A171" s="2" t="s">
        <v>37</v>
      </c>
      <c r="B171" s="2" t="s">
        <v>278</v>
      </c>
      <c r="C171" s="4">
        <v>11</v>
      </c>
      <c r="D171" t="s">
        <v>517</v>
      </c>
    </row>
    <row r="172" spans="1:4" ht="15.75" hidden="1" customHeight="1" x14ac:dyDescent="0.3">
      <c r="A172" s="2" t="s">
        <v>38</v>
      </c>
      <c r="B172" s="2" t="s">
        <v>5</v>
      </c>
      <c r="C172" s="4" t="s">
        <v>5</v>
      </c>
    </row>
    <row r="173" spans="1:4" ht="15.75" hidden="1" customHeight="1" x14ac:dyDescent="0.3">
      <c r="A173" s="2" t="s">
        <v>38</v>
      </c>
      <c r="B173" s="2" t="s">
        <v>290</v>
      </c>
      <c r="C173" s="4">
        <v>100</v>
      </c>
    </row>
    <row r="174" spans="1:4" ht="15.75" hidden="1" customHeight="1" x14ac:dyDescent="0.3">
      <c r="A174" s="2" t="s">
        <v>38</v>
      </c>
      <c r="B174" s="2" t="s">
        <v>291</v>
      </c>
      <c r="C174" s="4">
        <v>131</v>
      </c>
      <c r="D174" t="s">
        <v>516</v>
      </c>
    </row>
    <row r="175" spans="1:4" ht="15.75" hidden="1" customHeight="1" x14ac:dyDescent="0.3">
      <c r="A175" s="2" t="s">
        <v>38</v>
      </c>
      <c r="B175" s="2" t="s">
        <v>292</v>
      </c>
      <c r="C175" s="4">
        <v>18</v>
      </c>
      <c r="D175" t="s">
        <v>516</v>
      </c>
    </row>
    <row r="176" spans="1:4" ht="15.75" hidden="1" customHeight="1" x14ac:dyDescent="0.3">
      <c r="A176" s="2" t="s">
        <v>38</v>
      </c>
      <c r="B176" s="2" t="s">
        <v>293</v>
      </c>
      <c r="C176" s="4">
        <v>8</v>
      </c>
      <c r="D176" t="s">
        <v>516</v>
      </c>
    </row>
    <row r="177" spans="1:4" ht="15.75" hidden="1" customHeight="1" x14ac:dyDescent="0.3">
      <c r="A177" s="2" t="s">
        <v>38</v>
      </c>
      <c r="B177" s="2" t="s">
        <v>294</v>
      </c>
      <c r="C177" s="4">
        <v>100</v>
      </c>
      <c r="D177" t="s">
        <v>511</v>
      </c>
    </row>
    <row r="178" spans="1:4" ht="15.75" hidden="1" customHeight="1" x14ac:dyDescent="0.3">
      <c r="A178" s="2" t="s">
        <v>38</v>
      </c>
      <c r="B178" s="2" t="s">
        <v>276</v>
      </c>
      <c r="C178" s="4">
        <v>15</v>
      </c>
      <c r="D178" t="s">
        <v>526</v>
      </c>
    </row>
    <row r="179" spans="1:4" ht="15.75" hidden="1" customHeight="1" x14ac:dyDescent="0.3">
      <c r="A179" s="2" t="s">
        <v>38</v>
      </c>
      <c r="B179" s="2" t="s">
        <v>278</v>
      </c>
      <c r="C179" s="4">
        <v>11</v>
      </c>
      <c r="D179" t="s">
        <v>517</v>
      </c>
    </row>
    <row r="180" spans="1:4" ht="15.75" hidden="1" customHeight="1" x14ac:dyDescent="0.3">
      <c r="A180" s="2" t="s">
        <v>39</v>
      </c>
      <c r="B180" s="2" t="s">
        <v>5</v>
      </c>
      <c r="C180" s="4" t="s">
        <v>5</v>
      </c>
    </row>
    <row r="181" spans="1:4" ht="15.75" hidden="1" customHeight="1" x14ac:dyDescent="0.3">
      <c r="A181" s="2" t="s">
        <v>39</v>
      </c>
      <c r="B181" s="2" t="s">
        <v>295</v>
      </c>
      <c r="C181" s="4">
        <v>5</v>
      </c>
      <c r="D181" t="s">
        <v>530</v>
      </c>
    </row>
    <row r="182" spans="1:4" ht="15.75" customHeight="1" x14ac:dyDescent="0.3">
      <c r="A182" s="2" t="s">
        <v>39</v>
      </c>
      <c r="B182" s="2" t="s">
        <v>296</v>
      </c>
      <c r="C182" s="4">
        <v>34</v>
      </c>
      <c r="D182" t="s">
        <v>531</v>
      </c>
    </row>
    <row r="183" spans="1:4" ht="15.75" hidden="1" customHeight="1" x14ac:dyDescent="0.3">
      <c r="A183" s="2" t="s">
        <v>39</v>
      </c>
      <c r="B183" s="2" t="s">
        <v>291</v>
      </c>
      <c r="C183" s="4">
        <v>94</v>
      </c>
      <c r="D183" t="s">
        <v>516</v>
      </c>
    </row>
    <row r="184" spans="1:4" ht="15.75" hidden="1" customHeight="1" x14ac:dyDescent="0.3">
      <c r="A184" s="2" t="s">
        <v>39</v>
      </c>
      <c r="B184" s="2" t="s">
        <v>297</v>
      </c>
      <c r="C184" s="4">
        <v>91</v>
      </c>
      <c r="D184" t="s">
        <v>516</v>
      </c>
    </row>
    <row r="185" spans="1:4" ht="15.75" hidden="1" customHeight="1" x14ac:dyDescent="0.3">
      <c r="A185" s="2" t="s">
        <v>39</v>
      </c>
      <c r="B185" s="2" t="s">
        <v>276</v>
      </c>
      <c r="C185" s="4">
        <v>15</v>
      </c>
      <c r="D185" t="s">
        <v>526</v>
      </c>
    </row>
    <row r="186" spans="1:4" ht="15.75" hidden="1" customHeight="1" x14ac:dyDescent="0.3">
      <c r="A186" s="2" t="s">
        <v>39</v>
      </c>
      <c r="B186" s="2" t="s">
        <v>298</v>
      </c>
      <c r="C186" s="4">
        <v>26</v>
      </c>
      <c r="D186" t="s">
        <v>522</v>
      </c>
    </row>
    <row r="187" spans="1:4" ht="15.75" hidden="1" customHeight="1" x14ac:dyDescent="0.3">
      <c r="A187" s="2" t="s">
        <v>39</v>
      </c>
      <c r="B187" s="2" t="s">
        <v>278</v>
      </c>
      <c r="C187" s="4">
        <v>11</v>
      </c>
      <c r="D187" t="s">
        <v>517</v>
      </c>
    </row>
    <row r="188" spans="1:4" ht="15.75" hidden="1" customHeight="1" x14ac:dyDescent="0.3">
      <c r="A188" s="2" t="s">
        <v>43</v>
      </c>
      <c r="B188" s="2" t="s">
        <v>5</v>
      </c>
      <c r="C188" s="4" t="s">
        <v>5</v>
      </c>
    </row>
    <row r="189" spans="1:4" ht="15.75" hidden="1" customHeight="1" x14ac:dyDescent="0.3">
      <c r="A189" s="2" t="s">
        <v>43</v>
      </c>
      <c r="B189" s="2" t="s">
        <v>276</v>
      </c>
      <c r="C189" s="4">
        <v>15</v>
      </c>
      <c r="D189" t="s">
        <v>526</v>
      </c>
    </row>
    <row r="190" spans="1:4" ht="15.75" hidden="1" customHeight="1" x14ac:dyDescent="0.3">
      <c r="A190" s="2" t="s">
        <v>43</v>
      </c>
      <c r="B190" s="2" t="s">
        <v>278</v>
      </c>
      <c r="C190" s="4">
        <v>11</v>
      </c>
      <c r="D190" t="s">
        <v>517</v>
      </c>
    </row>
    <row r="191" spans="1:4" ht="15.75" hidden="1" customHeight="1" x14ac:dyDescent="0.3">
      <c r="A191" s="2" t="s">
        <v>44</v>
      </c>
      <c r="B191" s="2" t="s">
        <v>5</v>
      </c>
      <c r="C191" s="4" t="s">
        <v>5</v>
      </c>
    </row>
    <row r="192" spans="1:4" ht="15.75" hidden="1" customHeight="1" x14ac:dyDescent="0.3">
      <c r="A192" s="2" t="s">
        <v>44</v>
      </c>
      <c r="B192" s="2" t="s">
        <v>300</v>
      </c>
      <c r="C192" s="4">
        <v>8</v>
      </c>
      <c r="D192" t="s">
        <v>516</v>
      </c>
    </row>
    <row r="193" spans="1:4" ht="15.75" hidden="1" customHeight="1" x14ac:dyDescent="0.3">
      <c r="A193" s="2" t="s">
        <v>44</v>
      </c>
      <c r="B193" s="2" t="s">
        <v>272</v>
      </c>
      <c r="C193" s="4">
        <v>5</v>
      </c>
      <c r="D193" t="s">
        <v>516</v>
      </c>
    </row>
    <row r="194" spans="1:4" ht="15.75" hidden="1" customHeight="1" x14ac:dyDescent="0.3">
      <c r="A194" s="2" t="s">
        <v>44</v>
      </c>
      <c r="B194" s="2" t="s">
        <v>276</v>
      </c>
      <c r="C194" s="4">
        <v>4</v>
      </c>
      <c r="D194" t="s">
        <v>526</v>
      </c>
    </row>
    <row r="195" spans="1:4" ht="15.75" customHeight="1" x14ac:dyDescent="0.3"/>
    <row r="196" spans="1:4" ht="15.75" customHeight="1" x14ac:dyDescent="0.3"/>
    <row r="197" spans="1:4" ht="15.75" customHeight="1" x14ac:dyDescent="0.3"/>
    <row r="198" spans="1:4" ht="15.75" customHeight="1" x14ac:dyDescent="0.3"/>
    <row r="199" spans="1:4" ht="15.75" customHeight="1" x14ac:dyDescent="0.3"/>
    <row r="200" spans="1:4" ht="15.75" customHeight="1" x14ac:dyDescent="0.3"/>
    <row r="201" spans="1:4" ht="15.75" customHeight="1" x14ac:dyDescent="0.3"/>
    <row r="202" spans="1:4" ht="15.75" customHeight="1" x14ac:dyDescent="0.3"/>
    <row r="203" spans="1:4" ht="15.75" customHeight="1" x14ac:dyDescent="0.3"/>
    <row r="204" spans="1:4" ht="15.75" customHeight="1" x14ac:dyDescent="0.3"/>
    <row r="205" spans="1:4" ht="15.75" customHeight="1" x14ac:dyDescent="0.3"/>
    <row r="206" spans="1:4" ht="15.75" customHeight="1" x14ac:dyDescent="0.3"/>
    <row r="207" spans="1:4" ht="15.75" customHeight="1" x14ac:dyDescent="0.3"/>
    <row r="208" spans="1:4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</sheetData>
  <autoFilter ref="A1:D194" xr:uid="{00000000-0001-0000-0400-000000000000}">
    <filterColumn colId="3">
      <filters>
        <filter val="deck"/>
      </filters>
    </filterColumn>
  </autoFilter>
  <pageMargins left="0.511811024" right="0.511811024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00"/>
  <sheetViews>
    <sheetView topLeftCell="E1" workbookViewId="0">
      <selection activeCell="M32" sqref="M32"/>
    </sheetView>
  </sheetViews>
  <sheetFormatPr defaultColWidth="14.44140625" defaultRowHeight="15" customHeight="1" x14ac:dyDescent="0.3"/>
  <cols>
    <col min="1" max="1" width="18.5546875" hidden="1" customWidth="1"/>
    <col min="2" max="2" width="21.44140625" hidden="1" customWidth="1"/>
    <col min="3" max="3" width="42.6640625" hidden="1" customWidth="1"/>
    <col min="4" max="4" width="9.109375" style="5" hidden="1" customWidth="1"/>
    <col min="5" max="6" width="8.44140625" customWidth="1"/>
    <col min="7" max="7" width="17.88671875" bestFit="1" customWidth="1"/>
    <col min="8" max="8" width="20.6640625" bestFit="1" customWidth="1"/>
    <col min="9" max="9" width="8.44140625" customWidth="1"/>
    <col min="10" max="10" width="8.6640625" customWidth="1"/>
    <col min="11" max="11" width="42.6640625" bestFit="1" customWidth="1"/>
    <col min="12" max="12" width="9.33203125" style="5" bestFit="1" customWidth="1"/>
    <col min="13" max="29" width="8.6640625" customWidth="1"/>
  </cols>
  <sheetData>
    <row r="1" spans="1:12" thickBot="1" x14ac:dyDescent="0.35">
      <c r="A1" s="1" t="s">
        <v>0</v>
      </c>
      <c r="B1" s="1" t="s">
        <v>1</v>
      </c>
      <c r="C1" s="1" t="s">
        <v>2</v>
      </c>
      <c r="D1" s="3" t="s">
        <v>3</v>
      </c>
      <c r="G1" s="76" t="s">
        <v>559</v>
      </c>
      <c r="H1" s="77"/>
      <c r="I1" s="78"/>
    </row>
    <row r="2" spans="1:12" ht="25.8" x14ac:dyDescent="0.5">
      <c r="A2" s="2" t="s">
        <v>4</v>
      </c>
      <c r="B2" s="2" t="s">
        <v>5</v>
      </c>
      <c r="C2" s="2" t="s">
        <v>5</v>
      </c>
      <c r="D2" s="4" t="s">
        <v>5</v>
      </c>
      <c r="G2" s="79"/>
      <c r="H2" s="80"/>
      <c r="I2" s="81"/>
      <c r="K2" s="74" t="s">
        <v>552</v>
      </c>
      <c r="L2" s="75"/>
    </row>
    <row r="3" spans="1:12" ht="14.4" x14ac:dyDescent="0.3">
      <c r="A3" s="2" t="s">
        <v>4</v>
      </c>
      <c r="B3" s="2" t="s">
        <v>302</v>
      </c>
      <c r="C3" s="2" t="s">
        <v>303</v>
      </c>
      <c r="D3" s="4">
        <v>433</v>
      </c>
      <c r="G3" s="40" t="s">
        <v>556</v>
      </c>
      <c r="H3" s="47" t="s">
        <v>1</v>
      </c>
      <c r="I3" s="48" t="s">
        <v>3</v>
      </c>
      <c r="K3" s="21" t="s">
        <v>551</v>
      </c>
      <c r="L3" s="45" t="s">
        <v>546</v>
      </c>
    </row>
    <row r="4" spans="1:12" ht="14.4" x14ac:dyDescent="0.3">
      <c r="A4" s="2" t="s">
        <v>12</v>
      </c>
      <c r="B4" s="2" t="s">
        <v>5</v>
      </c>
      <c r="C4" s="2" t="s">
        <v>5</v>
      </c>
      <c r="D4" s="4" t="s">
        <v>5</v>
      </c>
      <c r="G4" s="49" t="s">
        <v>4</v>
      </c>
      <c r="H4" s="50" t="s">
        <v>302</v>
      </c>
      <c r="I4" s="55">
        <v>433</v>
      </c>
      <c r="J4" s="2" t="s">
        <v>5</v>
      </c>
      <c r="K4" s="27" t="s">
        <v>303</v>
      </c>
      <c r="L4" s="42">
        <f>SUMIF(C:C,K4,D:D)</f>
        <v>5609</v>
      </c>
    </row>
    <row r="5" spans="1:12" ht="14.4" x14ac:dyDescent="0.3">
      <c r="A5" s="2" t="s">
        <v>12</v>
      </c>
      <c r="B5" s="2" t="s">
        <v>302</v>
      </c>
      <c r="C5" s="2" t="s">
        <v>303</v>
      </c>
      <c r="D5" s="4">
        <v>152</v>
      </c>
      <c r="G5" s="24"/>
      <c r="H5" s="16"/>
      <c r="I5" s="22"/>
      <c r="K5" s="27" t="s">
        <v>305</v>
      </c>
      <c r="L5" s="42">
        <f>SUMIF(C:C,K5,D:D)</f>
        <v>447</v>
      </c>
    </row>
    <row r="6" spans="1:12" ht="14.4" x14ac:dyDescent="0.3">
      <c r="A6" s="2" t="s">
        <v>15</v>
      </c>
      <c r="B6" s="2" t="s">
        <v>5</v>
      </c>
      <c r="C6" s="2" t="s">
        <v>5</v>
      </c>
      <c r="D6" s="4" t="s">
        <v>5</v>
      </c>
      <c r="G6" s="40" t="s">
        <v>556</v>
      </c>
      <c r="H6" s="47" t="s">
        <v>1</v>
      </c>
      <c r="I6" s="48" t="s">
        <v>3</v>
      </c>
      <c r="K6" s="27" t="s">
        <v>307</v>
      </c>
      <c r="L6" s="42">
        <f>SUMIF(C:C,K6,D:D)</f>
        <v>90</v>
      </c>
    </row>
    <row r="7" spans="1:12" thickBot="1" x14ac:dyDescent="0.35">
      <c r="A7" s="2" t="s">
        <v>15</v>
      </c>
      <c r="B7" s="2" t="s">
        <v>302</v>
      </c>
      <c r="C7" s="2" t="s">
        <v>303</v>
      </c>
      <c r="D7" s="4">
        <v>25</v>
      </c>
      <c r="G7" s="49" t="s">
        <v>12</v>
      </c>
      <c r="H7" s="50" t="s">
        <v>302</v>
      </c>
      <c r="I7" s="55">
        <v>152</v>
      </c>
      <c r="K7" s="44" t="s">
        <v>547</v>
      </c>
      <c r="L7" s="43">
        <f>SUM(L4:L6)</f>
        <v>6146</v>
      </c>
    </row>
    <row r="8" spans="1:12" ht="14.4" x14ac:dyDescent="0.3">
      <c r="A8" s="2" t="s">
        <v>16</v>
      </c>
      <c r="B8" s="2" t="s">
        <v>5</v>
      </c>
      <c r="C8" s="2" t="s">
        <v>5</v>
      </c>
      <c r="D8" s="4" t="s">
        <v>5</v>
      </c>
      <c r="G8" s="24"/>
      <c r="H8" s="16"/>
      <c r="I8" s="22"/>
      <c r="K8" s="2"/>
    </row>
    <row r="9" spans="1:12" ht="14.4" x14ac:dyDescent="0.3">
      <c r="A9" s="2" t="s">
        <v>16</v>
      </c>
      <c r="B9" s="2" t="s">
        <v>302</v>
      </c>
      <c r="C9" s="2" t="s">
        <v>303</v>
      </c>
      <c r="D9" s="4">
        <v>25</v>
      </c>
      <c r="G9" s="40" t="s">
        <v>556</v>
      </c>
      <c r="H9" s="47" t="s">
        <v>1</v>
      </c>
      <c r="I9" s="48" t="s">
        <v>3</v>
      </c>
      <c r="K9" s="2"/>
    </row>
    <row r="10" spans="1:12" ht="14.4" x14ac:dyDescent="0.3">
      <c r="A10" s="2" t="s">
        <v>17</v>
      </c>
      <c r="B10" s="2" t="s">
        <v>5</v>
      </c>
      <c r="C10" s="2" t="s">
        <v>5</v>
      </c>
      <c r="D10" s="4" t="s">
        <v>5</v>
      </c>
      <c r="G10" s="49" t="s">
        <v>15</v>
      </c>
      <c r="H10" s="50" t="s">
        <v>302</v>
      </c>
      <c r="I10" s="55">
        <v>25</v>
      </c>
      <c r="K10" s="2"/>
    </row>
    <row r="11" spans="1:12" ht="14.4" x14ac:dyDescent="0.3">
      <c r="A11" s="2" t="s">
        <v>17</v>
      </c>
      <c r="B11" s="2" t="s">
        <v>302</v>
      </c>
      <c r="C11" s="2" t="s">
        <v>303</v>
      </c>
      <c r="D11" s="4">
        <v>25</v>
      </c>
      <c r="G11" s="24"/>
      <c r="H11" s="16"/>
      <c r="I11" s="22"/>
      <c r="K11" s="2"/>
    </row>
    <row r="12" spans="1:12" ht="14.4" x14ac:dyDescent="0.3">
      <c r="A12" s="2" t="s">
        <v>18</v>
      </c>
      <c r="B12" s="2" t="s">
        <v>5</v>
      </c>
      <c r="C12" s="2" t="s">
        <v>5</v>
      </c>
      <c r="D12" s="4" t="s">
        <v>5</v>
      </c>
      <c r="G12" s="40" t="s">
        <v>556</v>
      </c>
      <c r="H12" s="47" t="s">
        <v>1</v>
      </c>
      <c r="I12" s="48" t="s">
        <v>3</v>
      </c>
      <c r="K12" s="2"/>
    </row>
    <row r="13" spans="1:12" ht="14.4" x14ac:dyDescent="0.3">
      <c r="A13" s="2" t="s">
        <v>18</v>
      </c>
      <c r="B13" s="2" t="s">
        <v>302</v>
      </c>
      <c r="C13" s="2" t="s">
        <v>303</v>
      </c>
      <c r="D13" s="4">
        <v>268</v>
      </c>
      <c r="G13" s="49" t="s">
        <v>16</v>
      </c>
      <c r="H13" s="50" t="s">
        <v>302</v>
      </c>
      <c r="I13" s="55">
        <v>25</v>
      </c>
      <c r="K13" s="2"/>
    </row>
    <row r="14" spans="1:12" ht="14.4" x14ac:dyDescent="0.3">
      <c r="A14" s="2" t="s">
        <v>18</v>
      </c>
      <c r="B14" s="2" t="s">
        <v>304</v>
      </c>
      <c r="C14" s="2" t="s">
        <v>305</v>
      </c>
      <c r="D14" s="4">
        <v>364</v>
      </c>
      <c r="G14" s="24"/>
      <c r="H14" s="16"/>
      <c r="I14" s="22"/>
      <c r="K14" s="2"/>
    </row>
    <row r="15" spans="1:12" ht="14.4" x14ac:dyDescent="0.3">
      <c r="A15" s="2" t="s">
        <v>18</v>
      </c>
      <c r="B15" s="2" t="s">
        <v>306</v>
      </c>
      <c r="C15" s="2" t="s">
        <v>307</v>
      </c>
      <c r="D15" s="4">
        <v>90</v>
      </c>
      <c r="G15" s="40" t="s">
        <v>556</v>
      </c>
      <c r="H15" s="47" t="s">
        <v>1</v>
      </c>
      <c r="I15" s="48" t="s">
        <v>3</v>
      </c>
      <c r="K15" s="2"/>
    </row>
    <row r="16" spans="1:12" ht="14.4" x14ac:dyDescent="0.3">
      <c r="A16" s="2" t="s">
        <v>21</v>
      </c>
      <c r="B16" s="2" t="s">
        <v>5</v>
      </c>
      <c r="C16" s="2" t="s">
        <v>5</v>
      </c>
      <c r="D16" s="4" t="s">
        <v>5</v>
      </c>
      <c r="G16" s="49" t="s">
        <v>17</v>
      </c>
      <c r="H16" s="50" t="s">
        <v>302</v>
      </c>
      <c r="I16" s="55">
        <v>25</v>
      </c>
    </row>
    <row r="17" spans="1:9" ht="14.4" x14ac:dyDescent="0.3">
      <c r="A17" s="2" t="s">
        <v>21</v>
      </c>
      <c r="B17" s="2" t="s">
        <v>302</v>
      </c>
      <c r="C17" s="2" t="s">
        <v>303</v>
      </c>
      <c r="D17" s="4">
        <v>282</v>
      </c>
      <c r="G17" s="24"/>
      <c r="H17" s="16"/>
      <c r="I17" s="22"/>
    </row>
    <row r="18" spans="1:9" ht="14.4" x14ac:dyDescent="0.3">
      <c r="A18" s="2" t="s">
        <v>24</v>
      </c>
      <c r="B18" s="2" t="s">
        <v>5</v>
      </c>
      <c r="C18" s="2" t="s">
        <v>5</v>
      </c>
      <c r="D18" s="4" t="s">
        <v>5</v>
      </c>
      <c r="G18" s="40" t="s">
        <v>556</v>
      </c>
      <c r="H18" s="47" t="s">
        <v>1</v>
      </c>
      <c r="I18" s="48" t="s">
        <v>3</v>
      </c>
    </row>
    <row r="19" spans="1:9" ht="14.4" x14ac:dyDescent="0.3">
      <c r="A19" s="2" t="s">
        <v>24</v>
      </c>
      <c r="B19" s="2" t="s">
        <v>302</v>
      </c>
      <c r="C19" s="2" t="s">
        <v>303</v>
      </c>
      <c r="D19" s="4">
        <v>282</v>
      </c>
      <c r="G19" s="49" t="s">
        <v>18</v>
      </c>
      <c r="H19" s="50" t="s">
        <v>302</v>
      </c>
      <c r="I19" s="55">
        <v>268</v>
      </c>
    </row>
    <row r="20" spans="1:9" ht="14.4" x14ac:dyDescent="0.3">
      <c r="A20" s="2" t="s">
        <v>25</v>
      </c>
      <c r="B20" s="2" t="s">
        <v>5</v>
      </c>
      <c r="C20" s="2" t="s">
        <v>5</v>
      </c>
      <c r="D20" s="4" t="s">
        <v>5</v>
      </c>
      <c r="G20" s="49" t="s">
        <v>18</v>
      </c>
      <c r="H20" s="50" t="s">
        <v>304</v>
      </c>
      <c r="I20" s="55">
        <v>364</v>
      </c>
    </row>
    <row r="21" spans="1:9" ht="15.75" customHeight="1" x14ac:dyDescent="0.3">
      <c r="A21" s="2" t="s">
        <v>25</v>
      </c>
      <c r="B21" s="2" t="s">
        <v>302</v>
      </c>
      <c r="C21" s="2" t="s">
        <v>303</v>
      </c>
      <c r="D21" s="4">
        <v>282</v>
      </c>
      <c r="G21" s="49" t="s">
        <v>18</v>
      </c>
      <c r="H21" s="50" t="s">
        <v>306</v>
      </c>
      <c r="I21" s="55">
        <v>90</v>
      </c>
    </row>
    <row r="22" spans="1:9" ht="15.75" customHeight="1" x14ac:dyDescent="0.3">
      <c r="A22" s="2" t="s">
        <v>26</v>
      </c>
      <c r="B22" s="2" t="s">
        <v>5</v>
      </c>
      <c r="C22" s="2" t="s">
        <v>5</v>
      </c>
      <c r="D22" s="4" t="s">
        <v>5</v>
      </c>
      <c r="G22" s="24"/>
      <c r="H22" s="16"/>
      <c r="I22" s="22"/>
    </row>
    <row r="23" spans="1:9" ht="15.75" customHeight="1" x14ac:dyDescent="0.3">
      <c r="A23" s="2" t="s">
        <v>26</v>
      </c>
      <c r="B23" s="2" t="s">
        <v>302</v>
      </c>
      <c r="C23" s="2" t="s">
        <v>303</v>
      </c>
      <c r="D23" s="4">
        <v>282</v>
      </c>
      <c r="G23" s="40" t="s">
        <v>556</v>
      </c>
      <c r="H23" s="47" t="s">
        <v>1</v>
      </c>
      <c r="I23" s="48" t="s">
        <v>3</v>
      </c>
    </row>
    <row r="24" spans="1:9" ht="15.75" customHeight="1" x14ac:dyDescent="0.3">
      <c r="A24" s="2" t="s">
        <v>27</v>
      </c>
      <c r="B24" s="2" t="s">
        <v>5</v>
      </c>
      <c r="C24" s="2" t="s">
        <v>5</v>
      </c>
      <c r="D24" s="4" t="s">
        <v>5</v>
      </c>
      <c r="G24" s="49" t="s">
        <v>554</v>
      </c>
      <c r="H24" s="50" t="s">
        <v>302</v>
      </c>
      <c r="I24" s="55">
        <f>SUM(D17:D45)</f>
        <v>4205</v>
      </c>
    </row>
    <row r="25" spans="1:9" ht="15.75" customHeight="1" x14ac:dyDescent="0.3">
      <c r="A25" s="2" t="s">
        <v>27</v>
      </c>
      <c r="B25" s="2" t="s">
        <v>302</v>
      </c>
      <c r="C25" s="2" t="s">
        <v>303</v>
      </c>
      <c r="D25" s="4">
        <v>257</v>
      </c>
      <c r="G25" s="24"/>
      <c r="H25" s="16"/>
      <c r="I25" s="22"/>
    </row>
    <row r="26" spans="1:9" ht="15.75" customHeight="1" x14ac:dyDescent="0.3">
      <c r="A26" s="2" t="s">
        <v>28</v>
      </c>
      <c r="B26" s="2" t="s">
        <v>5</v>
      </c>
      <c r="C26" s="2" t="s">
        <v>5</v>
      </c>
      <c r="D26" s="4" t="s">
        <v>5</v>
      </c>
      <c r="G26" s="40" t="s">
        <v>556</v>
      </c>
      <c r="H26" s="47" t="s">
        <v>1</v>
      </c>
      <c r="I26" s="48" t="s">
        <v>3</v>
      </c>
    </row>
    <row r="27" spans="1:9" ht="15.75" customHeight="1" x14ac:dyDescent="0.3">
      <c r="A27" s="2" t="s">
        <v>28</v>
      </c>
      <c r="B27" s="2" t="s">
        <v>302</v>
      </c>
      <c r="C27" s="2" t="s">
        <v>303</v>
      </c>
      <c r="D27" s="4">
        <v>282</v>
      </c>
      <c r="G27" s="49" t="s">
        <v>38</v>
      </c>
      <c r="H27" s="50" t="s">
        <v>302</v>
      </c>
      <c r="I27" s="55">
        <v>283</v>
      </c>
    </row>
    <row r="28" spans="1:9" ht="15.75" customHeight="1" x14ac:dyDescent="0.3">
      <c r="A28" s="2" t="s">
        <v>29</v>
      </c>
      <c r="B28" s="2" t="s">
        <v>5</v>
      </c>
      <c r="C28" s="2" t="s">
        <v>5</v>
      </c>
      <c r="D28" s="4" t="s">
        <v>5</v>
      </c>
      <c r="G28" s="24"/>
      <c r="H28" s="16"/>
      <c r="I28" s="22"/>
    </row>
    <row r="29" spans="1:9" ht="15.75" customHeight="1" x14ac:dyDescent="0.3">
      <c r="A29" s="2" t="s">
        <v>29</v>
      </c>
      <c r="B29" s="2" t="s">
        <v>302</v>
      </c>
      <c r="C29" s="2" t="s">
        <v>303</v>
      </c>
      <c r="D29" s="4">
        <v>282</v>
      </c>
      <c r="G29" s="40" t="s">
        <v>556</v>
      </c>
      <c r="H29" s="47" t="s">
        <v>1</v>
      </c>
      <c r="I29" s="48" t="s">
        <v>3</v>
      </c>
    </row>
    <row r="30" spans="1:9" ht="15.75" customHeight="1" x14ac:dyDescent="0.3">
      <c r="A30" s="2" t="s">
        <v>30</v>
      </c>
      <c r="B30" s="2" t="s">
        <v>5</v>
      </c>
      <c r="C30" s="2" t="s">
        <v>5</v>
      </c>
      <c r="D30" s="4" t="s">
        <v>5</v>
      </c>
      <c r="G30" s="49" t="s">
        <v>39</v>
      </c>
      <c r="H30" s="50" t="s">
        <v>302</v>
      </c>
      <c r="I30" s="55">
        <v>152</v>
      </c>
    </row>
    <row r="31" spans="1:9" ht="15.75" customHeight="1" x14ac:dyDescent="0.3">
      <c r="A31" s="2" t="s">
        <v>30</v>
      </c>
      <c r="B31" s="2" t="s">
        <v>302</v>
      </c>
      <c r="C31" s="2" t="s">
        <v>303</v>
      </c>
      <c r="D31" s="4">
        <v>282</v>
      </c>
      <c r="G31" s="49" t="s">
        <v>39</v>
      </c>
      <c r="H31" s="50" t="s">
        <v>304</v>
      </c>
      <c r="I31" s="55">
        <v>83</v>
      </c>
    </row>
    <row r="32" spans="1:9" ht="15.75" customHeight="1" x14ac:dyDescent="0.3">
      <c r="A32" s="2" t="s">
        <v>31</v>
      </c>
      <c r="B32" s="2" t="s">
        <v>5</v>
      </c>
      <c r="C32" s="2" t="s">
        <v>5</v>
      </c>
      <c r="D32" s="4" t="s">
        <v>5</v>
      </c>
      <c r="G32" s="24"/>
      <c r="H32" s="16"/>
      <c r="I32" s="22"/>
    </row>
    <row r="33" spans="1:9" ht="15.75" customHeight="1" x14ac:dyDescent="0.3">
      <c r="A33" s="2" t="s">
        <v>31</v>
      </c>
      <c r="B33" s="2" t="s">
        <v>302</v>
      </c>
      <c r="C33" s="2" t="s">
        <v>303</v>
      </c>
      <c r="D33" s="4">
        <v>282</v>
      </c>
      <c r="G33" s="40" t="s">
        <v>556</v>
      </c>
      <c r="H33" s="47" t="s">
        <v>1</v>
      </c>
      <c r="I33" s="48" t="s">
        <v>3</v>
      </c>
    </row>
    <row r="34" spans="1:9" ht="15.75" customHeight="1" x14ac:dyDescent="0.3">
      <c r="A34" s="2" t="s">
        <v>32</v>
      </c>
      <c r="B34" s="2" t="s">
        <v>5</v>
      </c>
      <c r="C34" s="2" t="s">
        <v>5</v>
      </c>
      <c r="D34" s="4" t="s">
        <v>5</v>
      </c>
      <c r="G34" s="49" t="s">
        <v>43</v>
      </c>
      <c r="H34" s="50" t="s">
        <v>302</v>
      </c>
      <c r="I34" s="55">
        <v>25</v>
      </c>
    </row>
    <row r="35" spans="1:9" ht="15.75" customHeight="1" x14ac:dyDescent="0.3">
      <c r="A35" s="2" t="s">
        <v>32</v>
      </c>
      <c r="B35" s="2" t="s">
        <v>302</v>
      </c>
      <c r="C35" s="2" t="s">
        <v>303</v>
      </c>
      <c r="D35" s="4">
        <v>282</v>
      </c>
      <c r="G35" s="24"/>
      <c r="H35" s="16"/>
      <c r="I35" s="22"/>
    </row>
    <row r="36" spans="1:9" ht="15.75" customHeight="1" x14ac:dyDescent="0.3">
      <c r="A36" s="2" t="s">
        <v>33</v>
      </c>
      <c r="B36" s="2" t="s">
        <v>5</v>
      </c>
      <c r="C36" s="2" t="s">
        <v>5</v>
      </c>
      <c r="D36" s="4" t="s">
        <v>5</v>
      </c>
      <c r="G36" s="40" t="s">
        <v>556</v>
      </c>
      <c r="H36" s="47" t="s">
        <v>1</v>
      </c>
      <c r="I36" s="48" t="s">
        <v>3</v>
      </c>
    </row>
    <row r="37" spans="1:9" ht="15.75" customHeight="1" thickBot="1" x14ac:dyDescent="0.35">
      <c r="A37" s="2" t="s">
        <v>33</v>
      </c>
      <c r="B37" s="2" t="s">
        <v>302</v>
      </c>
      <c r="C37" s="2" t="s">
        <v>303</v>
      </c>
      <c r="D37" s="4">
        <v>282</v>
      </c>
      <c r="G37" s="52" t="s">
        <v>44</v>
      </c>
      <c r="H37" s="54" t="s">
        <v>302</v>
      </c>
      <c r="I37" s="56">
        <v>16</v>
      </c>
    </row>
    <row r="38" spans="1:9" ht="15.75" customHeight="1" x14ac:dyDescent="0.3">
      <c r="A38" s="2" t="s">
        <v>34</v>
      </c>
      <c r="B38" s="2" t="s">
        <v>5</v>
      </c>
      <c r="C38" s="2" t="s">
        <v>5</v>
      </c>
      <c r="D38" s="4" t="s">
        <v>5</v>
      </c>
    </row>
    <row r="39" spans="1:9" ht="15.75" customHeight="1" x14ac:dyDescent="0.3">
      <c r="A39" s="2" t="s">
        <v>34</v>
      </c>
      <c r="B39" s="2" t="s">
        <v>302</v>
      </c>
      <c r="C39" s="2" t="s">
        <v>303</v>
      </c>
      <c r="D39" s="4">
        <v>282</v>
      </c>
    </row>
    <row r="40" spans="1:9" ht="15.75" customHeight="1" x14ac:dyDescent="0.3">
      <c r="A40" s="2" t="s">
        <v>35</v>
      </c>
      <c r="B40" s="2" t="s">
        <v>5</v>
      </c>
      <c r="C40" s="2" t="s">
        <v>5</v>
      </c>
      <c r="D40" s="4" t="s">
        <v>5</v>
      </c>
    </row>
    <row r="41" spans="1:9" ht="15.75" customHeight="1" x14ac:dyDescent="0.3">
      <c r="A41" s="2" t="s">
        <v>35</v>
      </c>
      <c r="B41" s="2" t="s">
        <v>302</v>
      </c>
      <c r="C41" s="2" t="s">
        <v>303</v>
      </c>
      <c r="D41" s="4">
        <v>282</v>
      </c>
    </row>
    <row r="42" spans="1:9" ht="15.75" customHeight="1" x14ac:dyDescent="0.3">
      <c r="A42" s="2" t="s">
        <v>36</v>
      </c>
      <c r="B42" s="2" t="s">
        <v>5</v>
      </c>
      <c r="C42" s="2" t="s">
        <v>5</v>
      </c>
      <c r="D42" s="4" t="s">
        <v>5</v>
      </c>
    </row>
    <row r="43" spans="1:9" ht="15.75" customHeight="1" x14ac:dyDescent="0.3">
      <c r="A43" s="2" t="s">
        <v>36</v>
      </c>
      <c r="B43" s="2" t="s">
        <v>302</v>
      </c>
      <c r="C43" s="2" t="s">
        <v>303</v>
      </c>
      <c r="D43" s="4">
        <v>282</v>
      </c>
    </row>
    <row r="44" spans="1:9" ht="15.75" customHeight="1" x14ac:dyDescent="0.3">
      <c r="A44" s="2" t="s">
        <v>37</v>
      </c>
      <c r="B44" s="2" t="s">
        <v>5</v>
      </c>
      <c r="C44" s="2" t="s">
        <v>5</v>
      </c>
      <c r="D44" s="4" t="s">
        <v>5</v>
      </c>
    </row>
    <row r="45" spans="1:9" ht="15.75" customHeight="1" x14ac:dyDescent="0.3">
      <c r="A45" s="2" t="s">
        <v>37</v>
      </c>
      <c r="B45" s="2" t="s">
        <v>302</v>
      </c>
      <c r="C45" s="2" t="s">
        <v>303</v>
      </c>
      <c r="D45" s="4">
        <v>282</v>
      </c>
    </row>
    <row r="46" spans="1:9" ht="15.75" customHeight="1" x14ac:dyDescent="0.3">
      <c r="A46" s="2" t="s">
        <v>38</v>
      </c>
      <c r="B46" s="2" t="s">
        <v>5</v>
      </c>
      <c r="C46" s="2" t="s">
        <v>5</v>
      </c>
      <c r="D46" s="4" t="s">
        <v>5</v>
      </c>
    </row>
    <row r="47" spans="1:9" ht="15.75" customHeight="1" x14ac:dyDescent="0.3">
      <c r="A47" s="2" t="s">
        <v>38</v>
      </c>
      <c r="B47" s="2" t="s">
        <v>302</v>
      </c>
      <c r="C47" s="2" t="s">
        <v>303</v>
      </c>
      <c r="D47" s="4">
        <v>283</v>
      </c>
    </row>
    <row r="48" spans="1:9" ht="15.75" customHeight="1" x14ac:dyDescent="0.3">
      <c r="A48" s="2" t="s">
        <v>39</v>
      </c>
      <c r="B48" s="2" t="s">
        <v>5</v>
      </c>
      <c r="C48" s="2" t="s">
        <v>5</v>
      </c>
      <c r="D48" s="4" t="s">
        <v>5</v>
      </c>
    </row>
    <row r="49" spans="1:4" ht="15.75" customHeight="1" x14ac:dyDescent="0.3">
      <c r="A49" s="2" t="s">
        <v>39</v>
      </c>
      <c r="B49" s="2" t="s">
        <v>302</v>
      </c>
      <c r="C49" s="2" t="s">
        <v>303</v>
      </c>
      <c r="D49" s="4">
        <v>152</v>
      </c>
    </row>
    <row r="50" spans="1:4" ht="15.75" customHeight="1" x14ac:dyDescent="0.3">
      <c r="A50" s="2" t="s">
        <v>39</v>
      </c>
      <c r="B50" s="2" t="s">
        <v>304</v>
      </c>
      <c r="C50" s="2" t="s">
        <v>305</v>
      </c>
      <c r="D50" s="4">
        <v>83</v>
      </c>
    </row>
    <row r="51" spans="1:4" ht="15.75" customHeight="1" x14ac:dyDescent="0.3">
      <c r="A51" s="2" t="s">
        <v>43</v>
      </c>
      <c r="B51" s="2" t="s">
        <v>5</v>
      </c>
      <c r="C51" s="2" t="s">
        <v>5</v>
      </c>
      <c r="D51" s="4" t="s">
        <v>5</v>
      </c>
    </row>
    <row r="52" spans="1:4" ht="15.75" customHeight="1" x14ac:dyDescent="0.3">
      <c r="A52" s="2" t="s">
        <v>43</v>
      </c>
      <c r="B52" s="2" t="s">
        <v>302</v>
      </c>
      <c r="C52" s="2" t="s">
        <v>303</v>
      </c>
      <c r="D52" s="4">
        <v>25</v>
      </c>
    </row>
    <row r="53" spans="1:4" ht="15.75" customHeight="1" x14ac:dyDescent="0.3">
      <c r="A53" s="2" t="s">
        <v>44</v>
      </c>
      <c r="B53" s="2" t="s">
        <v>5</v>
      </c>
      <c r="C53" s="2" t="s">
        <v>5</v>
      </c>
      <c r="D53" s="4" t="s">
        <v>5</v>
      </c>
    </row>
    <row r="54" spans="1:4" ht="15.75" customHeight="1" x14ac:dyDescent="0.3">
      <c r="A54" s="2" t="s">
        <v>44</v>
      </c>
      <c r="B54" s="2" t="s">
        <v>302</v>
      </c>
      <c r="C54" s="2" t="s">
        <v>303</v>
      </c>
      <c r="D54" s="4">
        <v>16</v>
      </c>
    </row>
    <row r="55" spans="1:4" ht="15.75" customHeight="1" x14ac:dyDescent="0.3">
      <c r="A55" s="2" t="s">
        <v>308</v>
      </c>
      <c r="B55" s="2" t="s">
        <v>5</v>
      </c>
      <c r="C55" s="2" t="s">
        <v>5</v>
      </c>
      <c r="D55" s="4">
        <v>6149</v>
      </c>
    </row>
    <row r="56" spans="1:4" ht="15.75" customHeight="1" x14ac:dyDescent="0.3"/>
    <row r="57" spans="1:4" ht="15.75" customHeight="1" x14ac:dyDescent="0.3"/>
    <row r="58" spans="1:4" ht="15.75" customHeight="1" x14ac:dyDescent="0.3"/>
    <row r="59" spans="1:4" ht="15.75" customHeight="1" x14ac:dyDescent="0.3"/>
    <row r="60" spans="1:4" ht="15.75" customHeight="1" x14ac:dyDescent="0.3"/>
    <row r="61" spans="1:4" ht="15.75" customHeight="1" x14ac:dyDescent="0.3"/>
    <row r="62" spans="1:4" ht="15.75" customHeight="1" x14ac:dyDescent="0.3"/>
    <row r="63" spans="1:4" ht="15.75" customHeight="1" x14ac:dyDescent="0.3"/>
    <row r="64" spans="1: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1" xr:uid="{00000000-0001-0000-0500-000000000000}"/>
  <mergeCells count="2">
    <mergeCell ref="K2:L2"/>
    <mergeCell ref="G1:I2"/>
  </mergeCells>
  <pageMargins left="0.511811024" right="0.511811024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000"/>
  <sheetViews>
    <sheetView topLeftCell="F1" workbookViewId="0">
      <selection activeCell="E1" sqref="A1:E1048576"/>
    </sheetView>
  </sheetViews>
  <sheetFormatPr defaultColWidth="14.44140625" defaultRowHeight="15" customHeight="1" x14ac:dyDescent="0.3"/>
  <cols>
    <col min="1" max="1" width="0" hidden="1" customWidth="1"/>
    <col min="2" max="2" width="18.5546875" hidden="1" customWidth="1"/>
    <col min="3" max="3" width="55.88671875" hidden="1" customWidth="1"/>
    <col min="4" max="4" width="10.33203125" style="5" hidden="1" customWidth="1"/>
    <col min="5" max="5" width="10.44140625" style="5" hidden="1" customWidth="1"/>
    <col min="6" max="7" width="8.6640625" customWidth="1"/>
    <col min="8" max="8" width="17.88671875" bestFit="1" customWidth="1"/>
    <col min="9" max="9" width="56.33203125" bestFit="1" customWidth="1"/>
    <col min="10" max="10" width="8" bestFit="1" customWidth="1"/>
    <col min="11" max="11" width="10" bestFit="1" customWidth="1"/>
    <col min="12" max="13" width="8.6640625" customWidth="1"/>
    <col min="14" max="14" width="52.44140625" bestFit="1" customWidth="1"/>
    <col min="15" max="15" width="9.33203125" style="5" bestFit="1" customWidth="1"/>
    <col min="16" max="32" width="8.6640625" customWidth="1"/>
  </cols>
  <sheetData>
    <row r="1" spans="2:15" thickBot="1" x14ac:dyDescent="0.35">
      <c r="B1" s="1" t="s">
        <v>309</v>
      </c>
      <c r="C1" s="1" t="s">
        <v>1</v>
      </c>
      <c r="D1" s="3" t="s">
        <v>3</v>
      </c>
      <c r="E1" s="3" t="s">
        <v>505</v>
      </c>
      <c r="H1" s="82" t="s">
        <v>560</v>
      </c>
      <c r="I1" s="83"/>
      <c r="J1" s="83"/>
      <c r="K1" s="84"/>
    </row>
    <row r="2" spans="2:15" ht="25.8" x14ac:dyDescent="0.5">
      <c r="B2" s="2" t="s">
        <v>4</v>
      </c>
      <c r="C2" s="2" t="s">
        <v>5</v>
      </c>
      <c r="D2" s="4" t="s">
        <v>5</v>
      </c>
      <c r="E2" s="4" t="s">
        <v>5</v>
      </c>
      <c r="H2" s="85"/>
      <c r="I2" s="86"/>
      <c r="J2" s="86"/>
      <c r="K2" s="87"/>
      <c r="N2" s="74" t="s">
        <v>553</v>
      </c>
      <c r="O2" s="75"/>
    </row>
    <row r="3" spans="2:15" ht="14.4" x14ac:dyDescent="0.3">
      <c r="B3" s="2" t="s">
        <v>4</v>
      </c>
      <c r="C3" s="2" t="s">
        <v>310</v>
      </c>
      <c r="D3" s="4">
        <v>152.08000000000001</v>
      </c>
      <c r="E3" s="4">
        <v>186.41</v>
      </c>
      <c r="H3" s="40" t="s">
        <v>556</v>
      </c>
      <c r="I3" s="47" t="s">
        <v>2</v>
      </c>
      <c r="J3" s="47" t="s">
        <v>3</v>
      </c>
      <c r="K3" s="48" t="s">
        <v>561</v>
      </c>
      <c r="N3" s="21" t="s">
        <v>545</v>
      </c>
      <c r="O3" s="45" t="s">
        <v>546</v>
      </c>
    </row>
    <row r="4" spans="2:15" ht="14.4" x14ac:dyDescent="0.3">
      <c r="B4" s="2" t="s">
        <v>4</v>
      </c>
      <c r="C4" s="2" t="s">
        <v>311</v>
      </c>
      <c r="D4" s="4">
        <v>208.32</v>
      </c>
      <c r="E4" s="4">
        <v>244.41</v>
      </c>
      <c r="H4" s="49" t="s">
        <v>4</v>
      </c>
      <c r="I4" s="50" t="s">
        <v>310</v>
      </c>
      <c r="J4" s="50">
        <v>152.08000000000001</v>
      </c>
      <c r="K4" s="55">
        <v>186.41</v>
      </c>
      <c r="N4" s="27" t="s">
        <v>310</v>
      </c>
      <c r="O4" s="42">
        <f>SUMIF(C:C,N4,D:D)</f>
        <v>3120.9400000000019</v>
      </c>
    </row>
    <row r="5" spans="2:15" ht="14.4" x14ac:dyDescent="0.3">
      <c r="B5" s="2" t="s">
        <v>12</v>
      </c>
      <c r="C5" s="2" t="s">
        <v>5</v>
      </c>
      <c r="D5" s="4" t="s">
        <v>5</v>
      </c>
      <c r="E5" s="4" t="s">
        <v>5</v>
      </c>
      <c r="H5" s="49" t="s">
        <v>4</v>
      </c>
      <c r="I5" s="50" t="s">
        <v>311</v>
      </c>
      <c r="J5" s="50">
        <v>208.32</v>
      </c>
      <c r="K5" s="55">
        <v>244.41</v>
      </c>
      <c r="N5" s="27" t="s">
        <v>311</v>
      </c>
      <c r="O5" s="42">
        <f>SUMIF(C:C,N5,D:D)</f>
        <v>5093.8499999999976</v>
      </c>
    </row>
    <row r="6" spans="2:15" ht="14.4" x14ac:dyDescent="0.3">
      <c r="B6" s="2" t="s">
        <v>12</v>
      </c>
      <c r="C6" s="2" t="s">
        <v>310</v>
      </c>
      <c r="D6" s="4">
        <v>539.19000000000005</v>
      </c>
      <c r="E6" s="4">
        <v>231.51</v>
      </c>
      <c r="H6" s="24"/>
      <c r="I6" s="16"/>
      <c r="J6" s="16"/>
      <c r="K6" s="22"/>
      <c r="N6" s="27" t="s">
        <v>313</v>
      </c>
      <c r="O6" s="42">
        <f>SUMIF(C:C,N6,D:D)</f>
        <v>10.85</v>
      </c>
    </row>
    <row r="7" spans="2:15" thickBot="1" x14ac:dyDescent="0.35">
      <c r="B7" s="2" t="s">
        <v>12</v>
      </c>
      <c r="C7" s="2" t="s">
        <v>311</v>
      </c>
      <c r="D7" s="4">
        <v>184.73</v>
      </c>
      <c r="E7" s="4">
        <v>180.16</v>
      </c>
      <c r="H7" s="40" t="s">
        <v>556</v>
      </c>
      <c r="I7" s="47" t="s">
        <v>2</v>
      </c>
      <c r="J7" s="47" t="s">
        <v>3</v>
      </c>
      <c r="K7" s="48" t="s">
        <v>561</v>
      </c>
      <c r="N7" s="44" t="s">
        <v>547</v>
      </c>
      <c r="O7" s="43">
        <f>SUM(O4:O6)</f>
        <v>8225.64</v>
      </c>
    </row>
    <row r="8" spans="2:15" ht="14.4" x14ac:dyDescent="0.3">
      <c r="B8" s="2" t="s">
        <v>12</v>
      </c>
      <c r="C8" s="2" t="s">
        <v>312</v>
      </c>
      <c r="D8" s="4">
        <v>82.41</v>
      </c>
      <c r="E8" s="4">
        <v>169.89</v>
      </c>
      <c r="H8" s="49" t="s">
        <v>12</v>
      </c>
      <c r="I8" s="50" t="s">
        <v>310</v>
      </c>
      <c r="J8" s="50">
        <v>539.19000000000005</v>
      </c>
      <c r="K8" s="55">
        <v>231.51</v>
      </c>
    </row>
    <row r="9" spans="2:15" ht="14.4" x14ac:dyDescent="0.3">
      <c r="B9" s="2" t="s">
        <v>15</v>
      </c>
      <c r="C9" s="2" t="s">
        <v>5</v>
      </c>
      <c r="D9" s="4" t="s">
        <v>5</v>
      </c>
      <c r="E9" s="4" t="s">
        <v>5</v>
      </c>
      <c r="H9" s="49" t="s">
        <v>12</v>
      </c>
      <c r="I9" s="50" t="s">
        <v>311</v>
      </c>
      <c r="J9" s="50">
        <v>184.73</v>
      </c>
      <c r="K9" s="55">
        <v>180.16</v>
      </c>
    </row>
    <row r="10" spans="2:15" ht="14.4" x14ac:dyDescent="0.3">
      <c r="B10" s="2" t="s">
        <v>15</v>
      </c>
      <c r="C10" s="2" t="s">
        <v>310</v>
      </c>
      <c r="D10" s="4">
        <v>743.31</v>
      </c>
      <c r="E10" s="4">
        <v>248.33</v>
      </c>
      <c r="H10" s="49" t="s">
        <v>12</v>
      </c>
      <c r="I10" s="50" t="s">
        <v>312</v>
      </c>
      <c r="J10" s="50">
        <v>82.41</v>
      </c>
      <c r="K10" s="55">
        <v>169.89</v>
      </c>
    </row>
    <row r="11" spans="2:15" ht="14.4" x14ac:dyDescent="0.3">
      <c r="B11" s="2" t="s">
        <v>15</v>
      </c>
      <c r="C11" s="2" t="s">
        <v>311</v>
      </c>
      <c r="D11" s="4">
        <v>10.67</v>
      </c>
      <c r="E11" s="4">
        <v>21.22</v>
      </c>
      <c r="H11" s="24"/>
      <c r="I11" s="16"/>
      <c r="J11" s="16"/>
      <c r="K11" s="22"/>
    </row>
    <row r="12" spans="2:15" ht="14.4" x14ac:dyDescent="0.3">
      <c r="B12" s="2" t="s">
        <v>15</v>
      </c>
      <c r="C12" s="2" t="s">
        <v>312</v>
      </c>
      <c r="D12" s="4">
        <v>124.31</v>
      </c>
      <c r="E12" s="4">
        <v>451.5</v>
      </c>
      <c r="H12" s="40" t="s">
        <v>556</v>
      </c>
      <c r="I12" s="47" t="s">
        <v>2</v>
      </c>
      <c r="J12" s="47" t="s">
        <v>3</v>
      </c>
      <c r="K12" s="48" t="s">
        <v>561</v>
      </c>
    </row>
    <row r="13" spans="2:15" ht="14.4" x14ac:dyDescent="0.3">
      <c r="B13" s="2" t="s">
        <v>16</v>
      </c>
      <c r="C13" s="2" t="s">
        <v>5</v>
      </c>
      <c r="D13" s="4" t="s">
        <v>5</v>
      </c>
      <c r="E13" s="4" t="s">
        <v>5</v>
      </c>
      <c r="H13" s="49" t="s">
        <v>15</v>
      </c>
      <c r="I13" s="50" t="s">
        <v>310</v>
      </c>
      <c r="J13" s="50">
        <v>743.31</v>
      </c>
      <c r="K13" s="55">
        <v>248.33</v>
      </c>
    </row>
    <row r="14" spans="2:15" ht="14.4" x14ac:dyDescent="0.3">
      <c r="B14" s="2" t="s">
        <v>16</v>
      </c>
      <c r="C14" s="2" t="s">
        <v>310</v>
      </c>
      <c r="D14" s="4">
        <v>671.01</v>
      </c>
      <c r="E14" s="4">
        <v>208.71</v>
      </c>
      <c r="H14" s="49" t="s">
        <v>15</v>
      </c>
      <c r="I14" s="50" t="s">
        <v>311</v>
      </c>
      <c r="J14" s="50">
        <v>10.67</v>
      </c>
      <c r="K14" s="55">
        <v>21.22</v>
      </c>
    </row>
    <row r="15" spans="2:15" ht="14.4" x14ac:dyDescent="0.3">
      <c r="B15" s="2" t="s">
        <v>16</v>
      </c>
      <c r="C15" s="2" t="s">
        <v>311</v>
      </c>
      <c r="D15" s="4">
        <v>10.72</v>
      </c>
      <c r="E15" s="4">
        <v>21.35</v>
      </c>
      <c r="H15" s="49" t="s">
        <v>15</v>
      </c>
      <c r="I15" s="50" t="s">
        <v>312</v>
      </c>
      <c r="J15" s="50">
        <v>124.31</v>
      </c>
      <c r="K15" s="55">
        <v>451.5</v>
      </c>
    </row>
    <row r="16" spans="2:15" ht="14.4" x14ac:dyDescent="0.3">
      <c r="B16" s="2" t="s">
        <v>16</v>
      </c>
      <c r="C16" s="2" t="s">
        <v>312</v>
      </c>
      <c r="D16" s="4">
        <v>79.3</v>
      </c>
      <c r="E16" s="4">
        <v>294.94</v>
      </c>
      <c r="H16" s="24"/>
      <c r="I16" s="16"/>
      <c r="J16" s="16"/>
      <c r="K16" s="22"/>
    </row>
    <row r="17" spans="1:11" ht="14.4" x14ac:dyDescent="0.3">
      <c r="B17" s="2" t="s">
        <v>17</v>
      </c>
      <c r="C17" s="2" t="s">
        <v>5</v>
      </c>
      <c r="D17" s="4" t="s">
        <v>5</v>
      </c>
      <c r="E17" s="4" t="s">
        <v>5</v>
      </c>
      <c r="H17" s="40" t="s">
        <v>556</v>
      </c>
      <c r="I17" s="47" t="s">
        <v>2</v>
      </c>
      <c r="J17" s="47" t="s">
        <v>3</v>
      </c>
      <c r="K17" s="48" t="s">
        <v>561</v>
      </c>
    </row>
    <row r="18" spans="1:11" ht="14.4" x14ac:dyDescent="0.3">
      <c r="B18" s="2" t="s">
        <v>17</v>
      </c>
      <c r="C18" s="2" t="s">
        <v>310</v>
      </c>
      <c r="D18" s="4">
        <v>730.74</v>
      </c>
      <c r="E18" s="4">
        <v>822.43</v>
      </c>
      <c r="H18" s="49" t="s">
        <v>16</v>
      </c>
      <c r="I18" s="50" t="s">
        <v>310</v>
      </c>
      <c r="J18" s="50">
        <v>671.01</v>
      </c>
      <c r="K18" s="55">
        <v>208.71</v>
      </c>
    </row>
    <row r="19" spans="1:11" ht="14.4" x14ac:dyDescent="0.3">
      <c r="B19" s="2" t="s">
        <v>17</v>
      </c>
      <c r="C19" s="2" t="s">
        <v>311</v>
      </c>
      <c r="D19" s="4">
        <v>10.67</v>
      </c>
      <c r="E19" s="4">
        <v>21.22</v>
      </c>
      <c r="H19" s="49" t="s">
        <v>16</v>
      </c>
      <c r="I19" s="50" t="s">
        <v>311</v>
      </c>
      <c r="J19" s="50">
        <v>10.72</v>
      </c>
      <c r="K19" s="55">
        <v>21.35</v>
      </c>
    </row>
    <row r="20" spans="1:11" ht="14.4" x14ac:dyDescent="0.3">
      <c r="B20" s="2" t="s">
        <v>17</v>
      </c>
      <c r="C20" s="2" t="s">
        <v>312</v>
      </c>
      <c r="D20" s="4">
        <v>113.2</v>
      </c>
      <c r="E20" s="4">
        <v>390.69</v>
      </c>
      <c r="H20" s="49" t="s">
        <v>16</v>
      </c>
      <c r="I20" s="50" t="s">
        <v>312</v>
      </c>
      <c r="J20" s="50">
        <v>79.3</v>
      </c>
      <c r="K20" s="55">
        <v>294.94</v>
      </c>
    </row>
    <row r="21" spans="1:11" ht="15.75" customHeight="1" x14ac:dyDescent="0.3">
      <c r="B21" s="2" t="s">
        <v>18</v>
      </c>
      <c r="C21" s="2" t="s">
        <v>5</v>
      </c>
      <c r="D21" s="4" t="s">
        <v>5</v>
      </c>
      <c r="E21" s="4" t="s">
        <v>5</v>
      </c>
      <c r="H21" s="24"/>
      <c r="I21" s="16"/>
      <c r="J21" s="16"/>
      <c r="K21" s="22"/>
    </row>
    <row r="22" spans="1:11" ht="15.75" customHeight="1" x14ac:dyDescent="0.3">
      <c r="B22" s="2" t="s">
        <v>18</v>
      </c>
      <c r="C22" s="2" t="s">
        <v>310</v>
      </c>
      <c r="D22" s="4">
        <v>14.15</v>
      </c>
      <c r="E22" s="4">
        <v>31.53</v>
      </c>
      <c r="H22" s="40" t="s">
        <v>556</v>
      </c>
      <c r="I22" s="47" t="s">
        <v>2</v>
      </c>
      <c r="J22" s="47" t="s">
        <v>3</v>
      </c>
      <c r="K22" s="48" t="s">
        <v>561</v>
      </c>
    </row>
    <row r="23" spans="1:11" ht="15.75" customHeight="1" x14ac:dyDescent="0.3">
      <c r="B23" s="2" t="s">
        <v>18</v>
      </c>
      <c r="C23" s="2" t="s">
        <v>311</v>
      </c>
      <c r="D23" s="4">
        <v>288.04000000000002</v>
      </c>
      <c r="E23" s="4">
        <v>444.08</v>
      </c>
      <c r="H23" s="49" t="s">
        <v>17</v>
      </c>
      <c r="I23" s="50" t="s">
        <v>310</v>
      </c>
      <c r="J23" s="50">
        <v>730.74</v>
      </c>
      <c r="K23" s="55">
        <v>822.43</v>
      </c>
    </row>
    <row r="24" spans="1:11" ht="15.75" customHeight="1" x14ac:dyDescent="0.3">
      <c r="B24" s="2" t="s">
        <v>18</v>
      </c>
      <c r="C24" s="2" t="s">
        <v>312</v>
      </c>
      <c r="D24" s="4">
        <v>34.700000000000003</v>
      </c>
      <c r="E24" s="4">
        <v>112.59</v>
      </c>
      <c r="H24" s="49" t="s">
        <v>17</v>
      </c>
      <c r="I24" s="50" t="s">
        <v>311</v>
      </c>
      <c r="J24" s="50">
        <v>10.67</v>
      </c>
      <c r="K24" s="55">
        <v>21.22</v>
      </c>
    </row>
    <row r="25" spans="1:11" ht="15.75" customHeight="1" x14ac:dyDescent="0.3">
      <c r="A25" s="46" t="s">
        <v>554</v>
      </c>
      <c r="B25" s="2" t="s">
        <v>21</v>
      </c>
      <c r="C25" s="2" t="s">
        <v>5</v>
      </c>
      <c r="D25" s="4" t="s">
        <v>5</v>
      </c>
      <c r="E25" s="4" t="s">
        <v>5</v>
      </c>
      <c r="H25" s="49" t="s">
        <v>17</v>
      </c>
      <c r="I25" s="50" t="s">
        <v>312</v>
      </c>
      <c r="J25" s="50">
        <v>113.2</v>
      </c>
      <c r="K25" s="55">
        <v>390.69</v>
      </c>
    </row>
    <row r="26" spans="1:11" ht="15.75" customHeight="1" x14ac:dyDescent="0.3">
      <c r="A26" s="46" t="s">
        <v>554</v>
      </c>
      <c r="B26" s="2" t="s">
        <v>21</v>
      </c>
      <c r="C26" s="2" t="s">
        <v>310</v>
      </c>
      <c r="D26" s="4">
        <v>14.57</v>
      </c>
      <c r="E26" s="4">
        <v>31.61</v>
      </c>
      <c r="H26" s="24"/>
      <c r="I26" s="16"/>
      <c r="J26" s="16"/>
      <c r="K26" s="22"/>
    </row>
    <row r="27" spans="1:11" ht="15.75" customHeight="1" x14ac:dyDescent="0.3">
      <c r="A27" s="46" t="s">
        <v>554</v>
      </c>
      <c r="B27" s="2" t="s">
        <v>21</v>
      </c>
      <c r="C27" s="2" t="s">
        <v>311</v>
      </c>
      <c r="D27" s="4">
        <v>267.27999999999997</v>
      </c>
      <c r="E27" s="4">
        <v>345.45</v>
      </c>
      <c r="H27" s="40" t="s">
        <v>556</v>
      </c>
      <c r="I27" s="47" t="s">
        <v>2</v>
      </c>
      <c r="J27" s="47" t="s">
        <v>3</v>
      </c>
      <c r="K27" s="48" t="s">
        <v>561</v>
      </c>
    </row>
    <row r="28" spans="1:11" ht="15.75" customHeight="1" x14ac:dyDescent="0.3">
      <c r="A28" s="46" t="s">
        <v>554</v>
      </c>
      <c r="B28" s="2" t="s">
        <v>24</v>
      </c>
      <c r="C28" s="2" t="s">
        <v>5</v>
      </c>
      <c r="D28" s="4" t="s">
        <v>5</v>
      </c>
      <c r="E28" s="4" t="s">
        <v>5</v>
      </c>
      <c r="H28" s="49" t="s">
        <v>18</v>
      </c>
      <c r="I28" s="50" t="s">
        <v>310</v>
      </c>
      <c r="J28" s="50">
        <v>14.15</v>
      </c>
      <c r="K28" s="55">
        <v>31.53</v>
      </c>
    </row>
    <row r="29" spans="1:11" ht="15.75" customHeight="1" x14ac:dyDescent="0.3">
      <c r="A29" s="46" t="s">
        <v>554</v>
      </c>
      <c r="B29" s="2" t="s">
        <v>24</v>
      </c>
      <c r="C29" s="2" t="s">
        <v>310</v>
      </c>
      <c r="D29" s="4">
        <v>14.61</v>
      </c>
      <c r="E29" s="4">
        <v>31.57</v>
      </c>
      <c r="H29" s="49" t="s">
        <v>18</v>
      </c>
      <c r="I29" s="50" t="s">
        <v>311</v>
      </c>
      <c r="J29" s="50">
        <v>288.04000000000002</v>
      </c>
      <c r="K29" s="55">
        <v>444.08</v>
      </c>
    </row>
    <row r="30" spans="1:11" ht="15.75" customHeight="1" x14ac:dyDescent="0.3">
      <c r="A30" s="46" t="s">
        <v>554</v>
      </c>
      <c r="B30" s="2" t="s">
        <v>24</v>
      </c>
      <c r="C30" s="2" t="s">
        <v>311</v>
      </c>
      <c r="D30" s="4">
        <v>267.27999999999997</v>
      </c>
      <c r="E30" s="4">
        <v>345.45</v>
      </c>
      <c r="H30" s="49" t="s">
        <v>18</v>
      </c>
      <c r="I30" s="50" t="s">
        <v>312</v>
      </c>
      <c r="J30" s="50">
        <v>34.700000000000003</v>
      </c>
      <c r="K30" s="55">
        <v>112.59</v>
      </c>
    </row>
    <row r="31" spans="1:11" ht="15.75" customHeight="1" x14ac:dyDescent="0.3">
      <c r="A31" s="46" t="s">
        <v>554</v>
      </c>
      <c r="B31" s="2" t="s">
        <v>25</v>
      </c>
      <c r="C31" s="2" t="s">
        <v>5</v>
      </c>
      <c r="D31" s="4" t="s">
        <v>5</v>
      </c>
      <c r="E31" s="4" t="s">
        <v>5</v>
      </c>
      <c r="H31" s="24"/>
      <c r="I31" s="16"/>
      <c r="J31" s="16"/>
      <c r="K31" s="22"/>
    </row>
    <row r="32" spans="1:11" ht="15.75" customHeight="1" x14ac:dyDescent="0.3">
      <c r="A32" s="46" t="s">
        <v>554</v>
      </c>
      <c r="B32" s="2" t="s">
        <v>25</v>
      </c>
      <c r="C32" s="2" t="s">
        <v>310</v>
      </c>
      <c r="D32" s="4">
        <v>14.61</v>
      </c>
      <c r="E32" s="4">
        <v>31.57</v>
      </c>
      <c r="H32" s="40" t="s">
        <v>556</v>
      </c>
      <c r="I32" s="47" t="s">
        <v>2</v>
      </c>
      <c r="J32" s="47" t="s">
        <v>3</v>
      </c>
      <c r="K32" s="48" t="s">
        <v>561</v>
      </c>
    </row>
    <row r="33" spans="1:11" ht="15.75" customHeight="1" x14ac:dyDescent="0.3">
      <c r="A33" s="46" t="s">
        <v>554</v>
      </c>
      <c r="B33" s="2" t="s">
        <v>25</v>
      </c>
      <c r="C33" s="2" t="s">
        <v>311</v>
      </c>
      <c r="D33" s="4">
        <v>267.27999999999997</v>
      </c>
      <c r="E33" s="4">
        <v>345.45</v>
      </c>
      <c r="H33" s="49" t="s">
        <v>554</v>
      </c>
      <c r="I33" s="50" t="s">
        <v>310</v>
      </c>
      <c r="J33" s="50">
        <f>SUMIFS(D:D,A:A,H33,C:C,I33)</f>
        <v>204.50000000000006</v>
      </c>
      <c r="K33" s="55">
        <f>SUMIFS(E:E,A:A,H33,C:C,I33)</f>
        <v>442.01999999999992</v>
      </c>
    </row>
    <row r="34" spans="1:11" ht="15.75" customHeight="1" x14ac:dyDescent="0.3">
      <c r="A34" s="46" t="s">
        <v>554</v>
      </c>
      <c r="B34" s="2" t="s">
        <v>26</v>
      </c>
      <c r="C34" s="2" t="s">
        <v>5</v>
      </c>
      <c r="D34" s="4" t="s">
        <v>5</v>
      </c>
      <c r="E34" s="4" t="s">
        <v>5</v>
      </c>
      <c r="H34" s="49" t="s">
        <v>554</v>
      </c>
      <c r="I34" s="50" t="s">
        <v>311</v>
      </c>
      <c r="J34" s="50">
        <f>SUMIFS(D:D,A:A,H34,C:C,I34)</f>
        <v>3998.5199999999977</v>
      </c>
      <c r="K34" s="55">
        <f>SUMIFS(E:E,A:A,H34,C:C,I34)</f>
        <v>5160.2799999999988</v>
      </c>
    </row>
    <row r="35" spans="1:11" ht="15.75" customHeight="1" x14ac:dyDescent="0.3">
      <c r="A35" s="46" t="s">
        <v>554</v>
      </c>
      <c r="B35" s="2" t="s">
        <v>26</v>
      </c>
      <c r="C35" s="2" t="s">
        <v>310</v>
      </c>
      <c r="D35" s="4">
        <v>14.61</v>
      </c>
      <c r="E35" s="4">
        <v>31.57</v>
      </c>
      <c r="H35" s="24"/>
      <c r="I35" s="16"/>
      <c r="J35" s="16"/>
      <c r="K35" s="22"/>
    </row>
    <row r="36" spans="1:11" ht="15.75" customHeight="1" x14ac:dyDescent="0.3">
      <c r="A36" s="46" t="s">
        <v>554</v>
      </c>
      <c r="B36" s="2" t="s">
        <v>26</v>
      </c>
      <c r="C36" s="2" t="s">
        <v>311</v>
      </c>
      <c r="D36" s="4">
        <v>267.27999999999997</v>
      </c>
      <c r="E36" s="4">
        <v>345.45</v>
      </c>
      <c r="H36" s="40" t="s">
        <v>556</v>
      </c>
      <c r="I36" s="47" t="s">
        <v>2</v>
      </c>
      <c r="J36" s="47" t="s">
        <v>3</v>
      </c>
      <c r="K36" s="48" t="s">
        <v>561</v>
      </c>
    </row>
    <row r="37" spans="1:11" ht="15.75" customHeight="1" x14ac:dyDescent="0.3">
      <c r="A37" s="46" t="s">
        <v>554</v>
      </c>
      <c r="B37" s="2" t="s">
        <v>27</v>
      </c>
      <c r="C37" s="2" t="s">
        <v>5</v>
      </c>
      <c r="D37" s="4" t="s">
        <v>5</v>
      </c>
      <c r="E37" s="4" t="s">
        <v>5</v>
      </c>
      <c r="H37" s="49" t="s">
        <v>38</v>
      </c>
      <c r="I37" s="50" t="s">
        <v>310</v>
      </c>
      <c r="J37" s="50">
        <v>14.61</v>
      </c>
      <c r="K37" s="55">
        <v>31.57</v>
      </c>
    </row>
    <row r="38" spans="1:11" ht="15.75" customHeight="1" x14ac:dyDescent="0.3">
      <c r="A38" s="46" t="s">
        <v>554</v>
      </c>
      <c r="B38" s="2" t="s">
        <v>27</v>
      </c>
      <c r="C38" s="2" t="s">
        <v>311</v>
      </c>
      <c r="D38" s="4">
        <v>256.60000000000002</v>
      </c>
      <c r="E38" s="4">
        <v>323.98</v>
      </c>
      <c r="H38" s="49" t="s">
        <v>38</v>
      </c>
      <c r="I38" s="50" t="s">
        <v>311</v>
      </c>
      <c r="J38" s="50">
        <v>255.27</v>
      </c>
      <c r="K38" s="55">
        <v>339.9</v>
      </c>
    </row>
    <row r="39" spans="1:11" ht="15.75" customHeight="1" x14ac:dyDescent="0.3">
      <c r="A39" s="46" t="s">
        <v>554</v>
      </c>
      <c r="B39" s="2" t="s">
        <v>28</v>
      </c>
      <c r="C39" s="2" t="s">
        <v>5</v>
      </c>
      <c r="D39" s="4" t="s">
        <v>5</v>
      </c>
      <c r="E39" s="4" t="s">
        <v>5</v>
      </c>
      <c r="H39" s="24"/>
      <c r="I39" s="16"/>
      <c r="J39" s="16"/>
      <c r="K39" s="22"/>
    </row>
    <row r="40" spans="1:11" ht="15.75" customHeight="1" x14ac:dyDescent="0.3">
      <c r="A40" s="46" t="s">
        <v>554</v>
      </c>
      <c r="B40" s="2" t="s">
        <v>28</v>
      </c>
      <c r="C40" s="2" t="s">
        <v>310</v>
      </c>
      <c r="D40" s="4">
        <v>14.61</v>
      </c>
      <c r="E40" s="4">
        <v>31.57</v>
      </c>
      <c r="H40" s="40" t="s">
        <v>556</v>
      </c>
      <c r="I40" s="47" t="s">
        <v>2</v>
      </c>
      <c r="J40" s="47" t="s">
        <v>3</v>
      </c>
      <c r="K40" s="48" t="s">
        <v>561</v>
      </c>
    </row>
    <row r="41" spans="1:11" ht="15.75" customHeight="1" x14ac:dyDescent="0.3">
      <c r="A41" s="46" t="s">
        <v>554</v>
      </c>
      <c r="B41" s="2" t="s">
        <v>28</v>
      </c>
      <c r="C41" s="2" t="s">
        <v>311</v>
      </c>
      <c r="D41" s="4">
        <v>267.27999999999997</v>
      </c>
      <c r="E41" s="4">
        <v>345.45</v>
      </c>
      <c r="H41" s="49" t="s">
        <v>39</v>
      </c>
      <c r="I41" s="50" t="s">
        <v>310</v>
      </c>
      <c r="J41" s="50">
        <v>22.25</v>
      </c>
      <c r="K41" s="55">
        <v>53.29</v>
      </c>
    </row>
    <row r="42" spans="1:11" ht="15.75" customHeight="1" x14ac:dyDescent="0.3">
      <c r="A42" s="46" t="s">
        <v>554</v>
      </c>
      <c r="B42" s="2" t="s">
        <v>29</v>
      </c>
      <c r="C42" s="2" t="s">
        <v>5</v>
      </c>
      <c r="D42" s="4" t="s">
        <v>5</v>
      </c>
      <c r="E42" s="4" t="s">
        <v>5</v>
      </c>
      <c r="H42" s="49" t="s">
        <v>39</v>
      </c>
      <c r="I42" s="50" t="s">
        <v>311</v>
      </c>
      <c r="J42" s="50">
        <v>116.15</v>
      </c>
      <c r="K42" s="55">
        <v>121.58</v>
      </c>
    </row>
    <row r="43" spans="1:11" ht="15.75" customHeight="1" x14ac:dyDescent="0.3">
      <c r="A43" s="46" t="s">
        <v>554</v>
      </c>
      <c r="B43" s="2" t="s">
        <v>29</v>
      </c>
      <c r="C43" s="2" t="s">
        <v>310</v>
      </c>
      <c r="D43" s="4">
        <v>14.61</v>
      </c>
      <c r="E43" s="4">
        <v>31.57</v>
      </c>
      <c r="H43" s="24"/>
      <c r="I43" s="16"/>
      <c r="J43" s="16"/>
      <c r="K43" s="22"/>
    </row>
    <row r="44" spans="1:11" ht="15.75" customHeight="1" x14ac:dyDescent="0.3">
      <c r="A44" s="46" t="s">
        <v>554</v>
      </c>
      <c r="B44" s="2" t="s">
        <v>29</v>
      </c>
      <c r="C44" s="2" t="s">
        <v>311</v>
      </c>
      <c r="D44" s="4">
        <v>267.27999999999997</v>
      </c>
      <c r="E44" s="4">
        <v>345.45</v>
      </c>
      <c r="H44" s="40" t="s">
        <v>556</v>
      </c>
      <c r="I44" s="47" t="s">
        <v>2</v>
      </c>
      <c r="J44" s="47" t="s">
        <v>3</v>
      </c>
      <c r="K44" s="48" t="s">
        <v>561</v>
      </c>
    </row>
    <row r="45" spans="1:11" ht="15.75" customHeight="1" x14ac:dyDescent="0.3">
      <c r="A45" s="46" t="s">
        <v>554</v>
      </c>
      <c r="B45" s="2" t="s">
        <v>30</v>
      </c>
      <c r="C45" s="2" t="s">
        <v>5</v>
      </c>
      <c r="D45" s="4" t="s">
        <v>5</v>
      </c>
      <c r="E45" s="4" t="s">
        <v>5</v>
      </c>
      <c r="H45" s="49" t="s">
        <v>43</v>
      </c>
      <c r="I45" s="50" t="s">
        <v>310</v>
      </c>
      <c r="J45" s="50">
        <v>14.61</v>
      </c>
      <c r="K45" s="55">
        <v>31.57</v>
      </c>
    </row>
    <row r="46" spans="1:11" ht="15.75" customHeight="1" x14ac:dyDescent="0.3">
      <c r="A46" s="46" t="s">
        <v>554</v>
      </c>
      <c r="B46" s="2" t="s">
        <v>30</v>
      </c>
      <c r="C46" s="2" t="s">
        <v>310</v>
      </c>
      <c r="D46" s="4">
        <v>14.61</v>
      </c>
      <c r="E46" s="4">
        <v>31.57</v>
      </c>
      <c r="H46" s="49" t="s">
        <v>43</v>
      </c>
      <c r="I46" s="50" t="s">
        <v>311</v>
      </c>
      <c r="J46" s="50">
        <v>10.76</v>
      </c>
      <c r="K46" s="55">
        <v>21.47</v>
      </c>
    </row>
    <row r="47" spans="1:11" ht="15.75" customHeight="1" x14ac:dyDescent="0.3">
      <c r="A47" s="46" t="s">
        <v>554</v>
      </c>
      <c r="B47" s="2" t="s">
        <v>30</v>
      </c>
      <c r="C47" s="2" t="s">
        <v>311</v>
      </c>
      <c r="D47" s="4">
        <v>267.27999999999997</v>
      </c>
      <c r="E47" s="4">
        <v>345.45</v>
      </c>
      <c r="H47" s="24"/>
      <c r="I47" s="16"/>
      <c r="J47" s="16"/>
      <c r="K47" s="22"/>
    </row>
    <row r="48" spans="1:11" ht="15.75" customHeight="1" x14ac:dyDescent="0.3">
      <c r="A48" s="46" t="s">
        <v>554</v>
      </c>
      <c r="B48" s="2" t="s">
        <v>31</v>
      </c>
      <c r="C48" s="2" t="s">
        <v>5</v>
      </c>
      <c r="D48" s="4" t="s">
        <v>5</v>
      </c>
      <c r="E48" s="4" t="s">
        <v>5</v>
      </c>
      <c r="H48" s="40" t="s">
        <v>556</v>
      </c>
      <c r="I48" s="47" t="s">
        <v>2</v>
      </c>
      <c r="J48" s="47" t="s">
        <v>3</v>
      </c>
      <c r="K48" s="48" t="s">
        <v>561</v>
      </c>
    </row>
    <row r="49" spans="1:11" ht="15.75" customHeight="1" x14ac:dyDescent="0.3">
      <c r="A49" s="46" t="s">
        <v>554</v>
      </c>
      <c r="B49" s="2" t="s">
        <v>31</v>
      </c>
      <c r="C49" s="2" t="s">
        <v>310</v>
      </c>
      <c r="D49" s="4">
        <v>14.61</v>
      </c>
      <c r="E49" s="4">
        <v>31.57</v>
      </c>
      <c r="H49" s="49" t="s">
        <v>44</v>
      </c>
      <c r="I49" s="50" t="s">
        <v>310</v>
      </c>
      <c r="J49" s="50">
        <v>14.49</v>
      </c>
      <c r="K49" s="55">
        <v>28.67</v>
      </c>
    </row>
    <row r="50" spans="1:11" ht="15.75" customHeight="1" thickBot="1" x14ac:dyDescent="0.35">
      <c r="A50" s="46" t="s">
        <v>554</v>
      </c>
      <c r="B50" s="2" t="s">
        <v>31</v>
      </c>
      <c r="C50" s="2" t="s">
        <v>311</v>
      </c>
      <c r="D50" s="4">
        <v>267.27999999999997</v>
      </c>
      <c r="E50" s="4">
        <v>345.45</v>
      </c>
      <c r="H50" s="52" t="s">
        <v>44</v>
      </c>
      <c r="I50" s="54" t="s">
        <v>313</v>
      </c>
      <c r="J50" s="54">
        <v>10.85</v>
      </c>
      <c r="K50" s="56">
        <v>21.13</v>
      </c>
    </row>
    <row r="51" spans="1:11" ht="15.75" customHeight="1" x14ac:dyDescent="0.3">
      <c r="A51" s="46" t="s">
        <v>554</v>
      </c>
      <c r="B51" s="2" t="s">
        <v>32</v>
      </c>
      <c r="C51" s="2" t="s">
        <v>5</v>
      </c>
      <c r="D51" s="4" t="s">
        <v>5</v>
      </c>
      <c r="E51" s="4" t="s">
        <v>5</v>
      </c>
    </row>
    <row r="52" spans="1:11" ht="15.75" customHeight="1" x14ac:dyDescent="0.3">
      <c r="A52" s="46" t="s">
        <v>554</v>
      </c>
      <c r="B52" s="2" t="s">
        <v>32</v>
      </c>
      <c r="C52" s="2" t="s">
        <v>310</v>
      </c>
      <c r="D52" s="4">
        <v>14.61</v>
      </c>
      <c r="E52" s="4">
        <v>31.57</v>
      </c>
    </row>
    <row r="53" spans="1:11" ht="15.75" customHeight="1" x14ac:dyDescent="0.3">
      <c r="A53" s="46" t="s">
        <v>554</v>
      </c>
      <c r="B53" s="2" t="s">
        <v>32</v>
      </c>
      <c r="C53" s="2" t="s">
        <v>311</v>
      </c>
      <c r="D53" s="4">
        <v>267.27999999999997</v>
      </c>
      <c r="E53" s="4">
        <v>345.45</v>
      </c>
    </row>
    <row r="54" spans="1:11" ht="15.75" customHeight="1" x14ac:dyDescent="0.3">
      <c r="A54" s="46" t="s">
        <v>554</v>
      </c>
      <c r="B54" s="2" t="s">
        <v>33</v>
      </c>
      <c r="C54" s="2" t="s">
        <v>5</v>
      </c>
      <c r="D54" s="4" t="s">
        <v>5</v>
      </c>
      <c r="E54" s="4" t="s">
        <v>5</v>
      </c>
    </row>
    <row r="55" spans="1:11" ht="15.75" customHeight="1" x14ac:dyDescent="0.3">
      <c r="A55" s="46" t="s">
        <v>554</v>
      </c>
      <c r="B55" s="2" t="s">
        <v>33</v>
      </c>
      <c r="C55" s="2" t="s">
        <v>310</v>
      </c>
      <c r="D55" s="4">
        <v>14.61</v>
      </c>
      <c r="E55" s="4">
        <v>31.57</v>
      </c>
    </row>
    <row r="56" spans="1:11" ht="15.75" customHeight="1" x14ac:dyDescent="0.3">
      <c r="A56" s="46" t="s">
        <v>554</v>
      </c>
      <c r="B56" s="2" t="s">
        <v>33</v>
      </c>
      <c r="C56" s="2" t="s">
        <v>311</v>
      </c>
      <c r="D56" s="4">
        <v>267.27999999999997</v>
      </c>
      <c r="E56" s="4">
        <v>345.45</v>
      </c>
    </row>
    <row r="57" spans="1:11" ht="15.75" customHeight="1" x14ac:dyDescent="0.3">
      <c r="A57" s="46" t="s">
        <v>554</v>
      </c>
      <c r="B57" s="2" t="s">
        <v>34</v>
      </c>
      <c r="C57" s="2" t="s">
        <v>5</v>
      </c>
      <c r="D57" s="4" t="s">
        <v>5</v>
      </c>
      <c r="E57" s="4" t="s">
        <v>5</v>
      </c>
    </row>
    <row r="58" spans="1:11" ht="15.75" customHeight="1" x14ac:dyDescent="0.3">
      <c r="A58" s="46" t="s">
        <v>554</v>
      </c>
      <c r="B58" s="2" t="s">
        <v>34</v>
      </c>
      <c r="C58" s="2" t="s">
        <v>310</v>
      </c>
      <c r="D58" s="4">
        <v>14.61</v>
      </c>
      <c r="E58" s="4">
        <v>31.57</v>
      </c>
    </row>
    <row r="59" spans="1:11" ht="15.75" customHeight="1" x14ac:dyDescent="0.3">
      <c r="A59" s="46" t="s">
        <v>554</v>
      </c>
      <c r="B59" s="2" t="s">
        <v>34</v>
      </c>
      <c r="C59" s="2" t="s">
        <v>311</v>
      </c>
      <c r="D59" s="4">
        <v>267.27999999999997</v>
      </c>
      <c r="E59" s="4">
        <v>345.45</v>
      </c>
    </row>
    <row r="60" spans="1:11" ht="15.75" customHeight="1" x14ac:dyDescent="0.3">
      <c r="A60" s="46" t="s">
        <v>554</v>
      </c>
      <c r="B60" s="2" t="s">
        <v>35</v>
      </c>
      <c r="C60" s="2" t="s">
        <v>5</v>
      </c>
      <c r="D60" s="4" t="s">
        <v>5</v>
      </c>
      <c r="E60" s="4" t="s">
        <v>5</v>
      </c>
    </row>
    <row r="61" spans="1:11" ht="15.75" customHeight="1" x14ac:dyDescent="0.3">
      <c r="A61" s="46" t="s">
        <v>554</v>
      </c>
      <c r="B61" s="2" t="s">
        <v>35</v>
      </c>
      <c r="C61" s="2" t="s">
        <v>310</v>
      </c>
      <c r="D61" s="4">
        <v>14.61</v>
      </c>
      <c r="E61" s="4">
        <v>31.57</v>
      </c>
    </row>
    <row r="62" spans="1:11" ht="15.75" customHeight="1" x14ac:dyDescent="0.3">
      <c r="A62" s="46" t="s">
        <v>554</v>
      </c>
      <c r="B62" s="2" t="s">
        <v>35</v>
      </c>
      <c r="C62" s="2" t="s">
        <v>311</v>
      </c>
      <c r="D62" s="4">
        <v>267.27999999999997</v>
      </c>
      <c r="E62" s="4">
        <v>345.45</v>
      </c>
    </row>
    <row r="63" spans="1:11" ht="15.75" customHeight="1" x14ac:dyDescent="0.3">
      <c r="A63" s="46" t="s">
        <v>554</v>
      </c>
      <c r="B63" s="2" t="s">
        <v>36</v>
      </c>
      <c r="C63" s="2" t="s">
        <v>5</v>
      </c>
      <c r="D63" s="4" t="s">
        <v>5</v>
      </c>
      <c r="E63" s="4" t="s">
        <v>5</v>
      </c>
    </row>
    <row r="64" spans="1:11" ht="15.75" customHeight="1" x14ac:dyDescent="0.3">
      <c r="A64" s="46" t="s">
        <v>554</v>
      </c>
      <c r="B64" s="2" t="s">
        <v>36</v>
      </c>
      <c r="C64" s="2" t="s">
        <v>310</v>
      </c>
      <c r="D64" s="4">
        <v>14.61</v>
      </c>
      <c r="E64" s="4">
        <v>31.57</v>
      </c>
    </row>
    <row r="65" spans="1:5" ht="15.75" customHeight="1" x14ac:dyDescent="0.3">
      <c r="A65" s="46" t="s">
        <v>554</v>
      </c>
      <c r="B65" s="2" t="s">
        <v>36</v>
      </c>
      <c r="C65" s="2" t="s">
        <v>311</v>
      </c>
      <c r="D65" s="4">
        <v>267.27999999999997</v>
      </c>
      <c r="E65" s="4">
        <v>345.45</v>
      </c>
    </row>
    <row r="66" spans="1:5" ht="15.75" customHeight="1" x14ac:dyDescent="0.3">
      <c r="A66" s="46" t="s">
        <v>554</v>
      </c>
      <c r="B66" s="2" t="s">
        <v>37</v>
      </c>
      <c r="C66" s="2" t="s">
        <v>5</v>
      </c>
      <c r="D66" s="4" t="s">
        <v>5</v>
      </c>
      <c r="E66" s="4" t="s">
        <v>5</v>
      </c>
    </row>
    <row r="67" spans="1:5" ht="15.75" customHeight="1" x14ac:dyDescent="0.3">
      <c r="A67" s="46" t="s">
        <v>554</v>
      </c>
      <c r="B67" s="2" t="s">
        <v>37</v>
      </c>
      <c r="C67" s="2" t="s">
        <v>310</v>
      </c>
      <c r="D67" s="4">
        <v>14.61</v>
      </c>
      <c r="E67" s="4">
        <v>31.57</v>
      </c>
    </row>
    <row r="68" spans="1:5" ht="15.75" customHeight="1" x14ac:dyDescent="0.3">
      <c r="A68" s="46" t="s">
        <v>554</v>
      </c>
      <c r="B68" s="2" t="s">
        <v>37</v>
      </c>
      <c r="C68" s="2" t="s">
        <v>311</v>
      </c>
      <c r="D68" s="4">
        <v>267.27999999999997</v>
      </c>
      <c r="E68" s="4">
        <v>345.45</v>
      </c>
    </row>
    <row r="69" spans="1:5" ht="15.75" customHeight="1" x14ac:dyDescent="0.3">
      <c r="B69" s="2" t="s">
        <v>38</v>
      </c>
      <c r="C69" s="2" t="s">
        <v>5</v>
      </c>
      <c r="D69" s="4" t="s">
        <v>5</v>
      </c>
      <c r="E69" s="4" t="s">
        <v>5</v>
      </c>
    </row>
    <row r="70" spans="1:5" ht="15.75" customHeight="1" x14ac:dyDescent="0.3">
      <c r="B70" s="2" t="s">
        <v>38</v>
      </c>
      <c r="C70" s="2" t="s">
        <v>310</v>
      </c>
      <c r="D70" s="4">
        <v>14.61</v>
      </c>
      <c r="E70" s="4">
        <v>31.57</v>
      </c>
    </row>
    <row r="71" spans="1:5" ht="15.75" customHeight="1" x14ac:dyDescent="0.3">
      <c r="B71" s="2" t="s">
        <v>38</v>
      </c>
      <c r="C71" s="2" t="s">
        <v>311</v>
      </c>
      <c r="D71" s="4">
        <v>255.27</v>
      </c>
      <c r="E71" s="4">
        <v>339.9</v>
      </c>
    </row>
    <row r="72" spans="1:5" ht="15.75" customHeight="1" x14ac:dyDescent="0.3">
      <c r="B72" s="2" t="s">
        <v>39</v>
      </c>
      <c r="C72" s="2" t="s">
        <v>5</v>
      </c>
      <c r="D72" s="4" t="s">
        <v>5</v>
      </c>
      <c r="E72" s="4" t="s">
        <v>5</v>
      </c>
    </row>
    <row r="73" spans="1:5" ht="15.75" customHeight="1" x14ac:dyDescent="0.3">
      <c r="B73" s="2" t="s">
        <v>39</v>
      </c>
      <c r="C73" s="2" t="s">
        <v>310</v>
      </c>
      <c r="D73" s="4">
        <v>22.25</v>
      </c>
      <c r="E73" s="4">
        <v>53.29</v>
      </c>
    </row>
    <row r="74" spans="1:5" ht="15.75" customHeight="1" x14ac:dyDescent="0.3">
      <c r="B74" s="2" t="s">
        <v>39</v>
      </c>
      <c r="C74" s="2" t="s">
        <v>311</v>
      </c>
      <c r="D74" s="4">
        <v>116.15</v>
      </c>
      <c r="E74" s="4">
        <v>121.58</v>
      </c>
    </row>
    <row r="75" spans="1:5" ht="15.75" customHeight="1" x14ac:dyDescent="0.3">
      <c r="B75" s="2" t="s">
        <v>43</v>
      </c>
      <c r="C75" s="2" t="s">
        <v>5</v>
      </c>
      <c r="D75" s="4" t="s">
        <v>5</v>
      </c>
      <c r="E75" s="4" t="s">
        <v>5</v>
      </c>
    </row>
    <row r="76" spans="1:5" ht="15.75" customHeight="1" x14ac:dyDescent="0.3">
      <c r="B76" s="2" t="s">
        <v>43</v>
      </c>
      <c r="C76" s="2" t="s">
        <v>310</v>
      </c>
      <c r="D76" s="4">
        <v>14.61</v>
      </c>
      <c r="E76" s="4">
        <v>31.57</v>
      </c>
    </row>
    <row r="77" spans="1:5" ht="15.75" customHeight="1" x14ac:dyDescent="0.3">
      <c r="B77" s="2" t="s">
        <v>43</v>
      </c>
      <c r="C77" s="2" t="s">
        <v>311</v>
      </c>
      <c r="D77" s="4">
        <v>10.76</v>
      </c>
      <c r="E77" s="4">
        <v>21.47</v>
      </c>
    </row>
    <row r="78" spans="1:5" ht="15.75" customHeight="1" x14ac:dyDescent="0.3">
      <c r="B78" s="2" t="s">
        <v>44</v>
      </c>
      <c r="C78" s="2" t="s">
        <v>5</v>
      </c>
      <c r="D78" s="4" t="s">
        <v>5</v>
      </c>
      <c r="E78" s="4" t="s">
        <v>5</v>
      </c>
    </row>
    <row r="79" spans="1:5" ht="15.75" customHeight="1" x14ac:dyDescent="0.3">
      <c r="B79" s="2" t="s">
        <v>44</v>
      </c>
      <c r="C79" s="2" t="s">
        <v>310</v>
      </c>
      <c r="D79" s="4">
        <v>14.49</v>
      </c>
      <c r="E79" s="4">
        <v>28.67</v>
      </c>
    </row>
    <row r="80" spans="1:5" ht="15.75" customHeight="1" x14ac:dyDescent="0.3">
      <c r="B80" s="2" t="s">
        <v>44</v>
      </c>
      <c r="C80" s="2" t="s">
        <v>313</v>
      </c>
      <c r="D80" s="4">
        <v>10.85</v>
      </c>
      <c r="E80" s="4">
        <v>21.13</v>
      </c>
    </row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B1:E80" xr:uid="{00000000-0009-0000-0000-000006000000}"/>
  <mergeCells count="2">
    <mergeCell ref="N2:O2"/>
    <mergeCell ref="H1:K2"/>
  </mergeCells>
  <pageMargins left="0.511811024" right="0.511811024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00"/>
  <sheetViews>
    <sheetView workbookViewId="0">
      <selection activeCell="E37" sqref="E37"/>
    </sheetView>
  </sheetViews>
  <sheetFormatPr defaultColWidth="14.44140625" defaultRowHeight="15" customHeight="1" x14ac:dyDescent="0.3"/>
  <cols>
    <col min="1" max="1" width="9.109375" customWidth="1"/>
    <col min="2" max="2" width="63.6640625" customWidth="1"/>
    <col min="3" max="5" width="9.109375" customWidth="1"/>
    <col min="6" max="26" width="8.6640625" customWidth="1"/>
  </cols>
  <sheetData>
    <row r="1" spans="1:8" ht="14.4" x14ac:dyDescent="0.3">
      <c r="A1" s="1" t="s">
        <v>314</v>
      </c>
      <c r="B1" s="1" t="s">
        <v>2</v>
      </c>
      <c r="C1" s="1" t="s">
        <v>315</v>
      </c>
      <c r="D1" s="1" t="s">
        <v>316</v>
      </c>
      <c r="E1" s="1" t="s">
        <v>317</v>
      </c>
      <c r="F1" s="6" t="s">
        <v>315</v>
      </c>
      <c r="G1" s="6" t="s">
        <v>316</v>
      </c>
      <c r="H1" s="6" t="s">
        <v>317</v>
      </c>
    </row>
    <row r="2" spans="1:8" ht="14.4" x14ac:dyDescent="0.3">
      <c r="A2" s="2" t="s">
        <v>318</v>
      </c>
      <c r="B2" s="2" t="s">
        <v>319</v>
      </c>
      <c r="C2" s="2">
        <v>90</v>
      </c>
      <c r="D2" s="2">
        <v>210</v>
      </c>
      <c r="E2" s="2" t="s">
        <v>320</v>
      </c>
      <c r="F2" s="8">
        <f>C2/100</f>
        <v>0.9</v>
      </c>
      <c r="G2" s="8">
        <f>D2/100</f>
        <v>2.1</v>
      </c>
      <c r="H2">
        <f>_xlfn.NUMBERVALUE(E2)</f>
        <v>34</v>
      </c>
    </row>
    <row r="3" spans="1:8" ht="14.4" x14ac:dyDescent="0.3">
      <c r="A3" s="2" t="s">
        <v>321</v>
      </c>
      <c r="B3" s="2" t="s">
        <v>322</v>
      </c>
      <c r="C3" s="2">
        <v>80</v>
      </c>
      <c r="D3" s="2">
        <v>210</v>
      </c>
      <c r="E3" s="2" t="s">
        <v>323</v>
      </c>
      <c r="F3" s="8">
        <f t="shared" ref="F3:F23" si="0">C3/100</f>
        <v>0.8</v>
      </c>
      <c r="G3" s="8">
        <f t="shared" ref="G3:G23" si="1">D3/100</f>
        <v>2.1</v>
      </c>
      <c r="H3">
        <f t="shared" ref="H3:H23" si="2">_xlfn.NUMBERVALUE(E3)</f>
        <v>137</v>
      </c>
    </row>
    <row r="4" spans="1:8" ht="14.4" x14ac:dyDescent="0.3">
      <c r="A4" s="2" t="s">
        <v>324</v>
      </c>
      <c r="B4" s="2" t="s">
        <v>325</v>
      </c>
      <c r="C4" s="2">
        <v>70</v>
      </c>
      <c r="D4" s="2">
        <v>210</v>
      </c>
      <c r="E4" s="2" t="s">
        <v>326</v>
      </c>
      <c r="F4" s="8">
        <f t="shared" si="0"/>
        <v>0.7</v>
      </c>
      <c r="G4" s="8">
        <f t="shared" si="1"/>
        <v>2.1</v>
      </c>
      <c r="H4">
        <f t="shared" si="2"/>
        <v>164</v>
      </c>
    </row>
    <row r="5" spans="1:8" ht="14.4" x14ac:dyDescent="0.3">
      <c r="A5" s="2" t="s">
        <v>327</v>
      </c>
      <c r="B5" s="2" t="s">
        <v>328</v>
      </c>
      <c r="C5" s="2">
        <v>90</v>
      </c>
      <c r="D5" s="2">
        <v>210</v>
      </c>
      <c r="E5" s="2" t="s">
        <v>329</v>
      </c>
      <c r="F5" s="8">
        <f t="shared" si="0"/>
        <v>0.9</v>
      </c>
      <c r="G5" s="8">
        <f t="shared" si="1"/>
        <v>2.1</v>
      </c>
      <c r="H5">
        <f t="shared" si="2"/>
        <v>3</v>
      </c>
    </row>
    <row r="6" spans="1:8" ht="14.4" x14ac:dyDescent="0.3">
      <c r="A6" s="2" t="s">
        <v>330</v>
      </c>
      <c r="B6" s="2" t="s">
        <v>331</v>
      </c>
      <c r="C6" s="2">
        <v>60</v>
      </c>
      <c r="D6" s="2">
        <v>210</v>
      </c>
      <c r="E6" s="2" t="s">
        <v>332</v>
      </c>
      <c r="F6" s="8">
        <f t="shared" si="0"/>
        <v>0.6</v>
      </c>
      <c r="G6" s="8">
        <f t="shared" si="1"/>
        <v>2.1</v>
      </c>
      <c r="H6">
        <f t="shared" si="2"/>
        <v>1</v>
      </c>
    </row>
    <row r="7" spans="1:8" ht="14.4" x14ac:dyDescent="0.3">
      <c r="A7" s="2" t="s">
        <v>333</v>
      </c>
      <c r="B7" s="2" t="s">
        <v>334</v>
      </c>
      <c r="C7" s="2">
        <v>90</v>
      </c>
      <c r="D7" s="2">
        <v>210</v>
      </c>
      <c r="E7" s="2" t="s">
        <v>335</v>
      </c>
      <c r="F7" s="8">
        <f t="shared" si="0"/>
        <v>0.9</v>
      </c>
      <c r="G7" s="8">
        <f t="shared" si="1"/>
        <v>2.1</v>
      </c>
      <c r="H7">
        <f t="shared" si="2"/>
        <v>4</v>
      </c>
    </row>
    <row r="8" spans="1:8" ht="14.4" x14ac:dyDescent="0.3">
      <c r="A8" s="2" t="s">
        <v>336</v>
      </c>
      <c r="B8" s="2" t="s">
        <v>337</v>
      </c>
      <c r="C8" s="2">
        <v>120</v>
      </c>
      <c r="D8" s="2">
        <v>430</v>
      </c>
      <c r="E8" s="2" t="s">
        <v>332</v>
      </c>
      <c r="F8" s="8">
        <f t="shared" si="0"/>
        <v>1.2</v>
      </c>
      <c r="G8" s="8">
        <f t="shared" si="1"/>
        <v>4.3</v>
      </c>
      <c r="H8">
        <f t="shared" si="2"/>
        <v>1</v>
      </c>
    </row>
    <row r="9" spans="1:8" ht="14.4" x14ac:dyDescent="0.3">
      <c r="A9" s="2" t="s">
        <v>338</v>
      </c>
      <c r="B9" s="2" t="s">
        <v>339</v>
      </c>
      <c r="C9" s="2">
        <v>150</v>
      </c>
      <c r="D9" s="2">
        <v>210</v>
      </c>
      <c r="E9" s="2" t="s">
        <v>332</v>
      </c>
      <c r="F9" s="8">
        <f t="shared" si="0"/>
        <v>1.5</v>
      </c>
      <c r="G9" s="8">
        <f t="shared" si="1"/>
        <v>2.1</v>
      </c>
      <c r="H9">
        <f t="shared" si="2"/>
        <v>1</v>
      </c>
    </row>
    <row r="10" spans="1:8" ht="14.4" x14ac:dyDescent="0.3">
      <c r="A10" s="2" t="s">
        <v>340</v>
      </c>
      <c r="B10" s="2" t="s">
        <v>341</v>
      </c>
      <c r="C10" s="2">
        <v>80</v>
      </c>
      <c r="D10" s="2">
        <v>210</v>
      </c>
      <c r="E10" s="2" t="s">
        <v>342</v>
      </c>
      <c r="F10" s="8">
        <f t="shared" si="0"/>
        <v>0.8</v>
      </c>
      <c r="G10" s="8">
        <f t="shared" si="1"/>
        <v>2.1</v>
      </c>
      <c r="H10">
        <f t="shared" si="2"/>
        <v>2</v>
      </c>
    </row>
    <row r="11" spans="1:8" ht="14.4" x14ac:dyDescent="0.3">
      <c r="A11" s="2" t="s">
        <v>343</v>
      </c>
      <c r="B11" s="2" t="s">
        <v>344</v>
      </c>
      <c r="C11" s="2">
        <v>80</v>
      </c>
      <c r="D11" s="2">
        <v>210</v>
      </c>
      <c r="E11" s="2" t="s">
        <v>332</v>
      </c>
      <c r="F11" s="8">
        <f t="shared" si="0"/>
        <v>0.8</v>
      </c>
      <c r="G11" s="8">
        <f t="shared" si="1"/>
        <v>2.1</v>
      </c>
      <c r="H11">
        <f t="shared" si="2"/>
        <v>1</v>
      </c>
    </row>
    <row r="12" spans="1:8" ht="14.4" x14ac:dyDescent="0.3">
      <c r="A12" s="2" t="s">
        <v>345</v>
      </c>
      <c r="B12" s="2" t="s">
        <v>346</v>
      </c>
      <c r="C12" s="2">
        <v>60</v>
      </c>
      <c r="D12" s="2">
        <v>60</v>
      </c>
      <c r="E12" s="2" t="s">
        <v>335</v>
      </c>
      <c r="F12" s="8">
        <f t="shared" si="0"/>
        <v>0.6</v>
      </c>
      <c r="G12" s="8">
        <f t="shared" si="1"/>
        <v>0.6</v>
      </c>
      <c r="H12">
        <f t="shared" si="2"/>
        <v>4</v>
      </c>
    </row>
    <row r="13" spans="1:8" ht="14.4" x14ac:dyDescent="0.3">
      <c r="A13" s="2" t="s">
        <v>347</v>
      </c>
      <c r="B13" s="2" t="s">
        <v>348</v>
      </c>
      <c r="C13" s="2">
        <v>100</v>
      </c>
      <c r="D13" s="2">
        <v>210</v>
      </c>
      <c r="E13" s="2" t="s">
        <v>332</v>
      </c>
      <c r="F13" s="8">
        <f t="shared" si="0"/>
        <v>1</v>
      </c>
      <c r="G13" s="8">
        <f t="shared" si="1"/>
        <v>2.1</v>
      </c>
      <c r="H13">
        <f t="shared" si="2"/>
        <v>1</v>
      </c>
    </row>
    <row r="14" spans="1:8" ht="14.4" x14ac:dyDescent="0.3">
      <c r="A14" s="2" t="s">
        <v>349</v>
      </c>
      <c r="B14" s="2" t="s">
        <v>350</v>
      </c>
      <c r="C14" s="2">
        <v>90</v>
      </c>
      <c r="D14" s="2">
        <v>210</v>
      </c>
      <c r="E14" s="2" t="s">
        <v>332</v>
      </c>
      <c r="F14" s="8">
        <f t="shared" si="0"/>
        <v>0.9</v>
      </c>
      <c r="G14" s="8">
        <f t="shared" si="1"/>
        <v>2.1</v>
      </c>
      <c r="H14">
        <f t="shared" si="2"/>
        <v>1</v>
      </c>
    </row>
    <row r="15" spans="1:8" ht="14.4" x14ac:dyDescent="0.3">
      <c r="A15" s="2" t="s">
        <v>351</v>
      </c>
      <c r="B15" s="2" t="s">
        <v>352</v>
      </c>
      <c r="C15" s="2">
        <v>70</v>
      </c>
      <c r="D15" s="2">
        <v>210</v>
      </c>
      <c r="E15" s="2" t="s">
        <v>342</v>
      </c>
      <c r="F15" s="8">
        <f t="shared" si="0"/>
        <v>0.7</v>
      </c>
      <c r="G15" s="8">
        <f t="shared" si="1"/>
        <v>2.1</v>
      </c>
      <c r="H15">
        <f t="shared" si="2"/>
        <v>2</v>
      </c>
    </row>
    <row r="16" spans="1:8" ht="14.4" x14ac:dyDescent="0.3">
      <c r="A16" s="2" t="s">
        <v>353</v>
      </c>
      <c r="B16" s="2" t="s">
        <v>354</v>
      </c>
      <c r="C16" s="2">
        <v>400</v>
      </c>
      <c r="D16" s="2">
        <v>250</v>
      </c>
      <c r="E16" s="2" t="s">
        <v>332</v>
      </c>
      <c r="F16" s="8">
        <f t="shared" si="0"/>
        <v>4</v>
      </c>
      <c r="G16" s="8">
        <f t="shared" si="1"/>
        <v>2.5</v>
      </c>
      <c r="H16">
        <f t="shared" si="2"/>
        <v>1</v>
      </c>
    </row>
    <row r="17" spans="1:8" ht="14.4" x14ac:dyDescent="0.3">
      <c r="A17" s="2" t="s">
        <v>355</v>
      </c>
      <c r="B17" s="2" t="s">
        <v>356</v>
      </c>
      <c r="C17" s="2">
        <v>400</v>
      </c>
      <c r="D17" s="2">
        <v>200</v>
      </c>
      <c r="E17" s="2" t="s">
        <v>332</v>
      </c>
      <c r="F17" s="8">
        <f t="shared" si="0"/>
        <v>4</v>
      </c>
      <c r="G17" s="8">
        <f t="shared" si="1"/>
        <v>2</v>
      </c>
      <c r="H17">
        <f t="shared" si="2"/>
        <v>1</v>
      </c>
    </row>
    <row r="18" spans="1:8" ht="14.4" x14ac:dyDescent="0.3">
      <c r="A18" s="2" t="s">
        <v>357</v>
      </c>
      <c r="B18" s="2" t="s">
        <v>358</v>
      </c>
      <c r="C18" s="2">
        <v>235</v>
      </c>
      <c r="D18" s="2">
        <v>250</v>
      </c>
      <c r="E18" s="2" t="s">
        <v>359</v>
      </c>
      <c r="F18" s="8">
        <f t="shared" si="0"/>
        <v>2.35</v>
      </c>
      <c r="G18" s="8">
        <f t="shared" si="1"/>
        <v>2.5</v>
      </c>
      <c r="H18">
        <f t="shared" si="2"/>
        <v>20</v>
      </c>
    </row>
    <row r="19" spans="1:8" ht="14.4" x14ac:dyDescent="0.3">
      <c r="A19" s="2" t="s">
        <v>360</v>
      </c>
      <c r="B19" s="2" t="s">
        <v>361</v>
      </c>
      <c r="C19" s="2">
        <v>70</v>
      </c>
      <c r="D19" s="2">
        <v>70</v>
      </c>
      <c r="E19" s="2" t="s">
        <v>329</v>
      </c>
      <c r="F19" s="8">
        <f t="shared" si="0"/>
        <v>0.7</v>
      </c>
      <c r="G19" s="8">
        <f t="shared" si="1"/>
        <v>0.7</v>
      </c>
      <c r="H19">
        <f t="shared" si="2"/>
        <v>3</v>
      </c>
    </row>
    <row r="20" spans="1:8" ht="14.4" x14ac:dyDescent="0.3">
      <c r="A20" s="2" t="s">
        <v>362</v>
      </c>
      <c r="B20" s="2" t="s">
        <v>363</v>
      </c>
      <c r="C20" s="2">
        <v>80</v>
      </c>
      <c r="D20" s="2">
        <v>210</v>
      </c>
      <c r="E20" s="2" t="s">
        <v>364</v>
      </c>
      <c r="F20" s="8">
        <f t="shared" si="0"/>
        <v>0.8</v>
      </c>
      <c r="G20" s="8">
        <f t="shared" si="1"/>
        <v>2.1</v>
      </c>
      <c r="H20">
        <f t="shared" si="2"/>
        <v>49</v>
      </c>
    </row>
    <row r="21" spans="1:8" ht="15.75" customHeight="1" x14ac:dyDescent="0.3">
      <c r="A21" s="2" t="s">
        <v>365</v>
      </c>
      <c r="B21" s="2" t="s">
        <v>366</v>
      </c>
      <c r="C21" s="2">
        <v>125</v>
      </c>
      <c r="D21" s="2">
        <v>88</v>
      </c>
      <c r="E21" s="2" t="s">
        <v>332</v>
      </c>
      <c r="F21" s="8">
        <f t="shared" si="0"/>
        <v>1.25</v>
      </c>
      <c r="G21" s="8">
        <f t="shared" si="1"/>
        <v>0.88</v>
      </c>
      <c r="H21">
        <f t="shared" si="2"/>
        <v>1</v>
      </c>
    </row>
    <row r="22" spans="1:8" ht="15.75" customHeight="1" x14ac:dyDescent="0.3">
      <c r="A22" s="2" t="s">
        <v>367</v>
      </c>
      <c r="B22" s="2" t="s">
        <v>368</v>
      </c>
      <c r="C22" s="2">
        <v>383</v>
      </c>
      <c r="D22" s="2">
        <v>234</v>
      </c>
      <c r="E22" s="2" t="s">
        <v>342</v>
      </c>
      <c r="F22" s="8">
        <f t="shared" si="0"/>
        <v>3.83</v>
      </c>
      <c r="G22" s="8">
        <f t="shared" si="1"/>
        <v>2.34</v>
      </c>
      <c r="H22">
        <f t="shared" si="2"/>
        <v>2</v>
      </c>
    </row>
    <row r="23" spans="1:8" ht="15.75" customHeight="1" x14ac:dyDescent="0.3">
      <c r="A23" s="2" t="s">
        <v>369</v>
      </c>
      <c r="B23" s="2" t="s">
        <v>370</v>
      </c>
      <c r="C23" s="2">
        <v>380</v>
      </c>
      <c r="D23" s="2">
        <v>234</v>
      </c>
      <c r="E23" s="2" t="s">
        <v>342</v>
      </c>
      <c r="F23" s="8">
        <f t="shared" si="0"/>
        <v>3.8</v>
      </c>
      <c r="G23" s="8">
        <f t="shared" si="1"/>
        <v>2.34</v>
      </c>
      <c r="H23">
        <f t="shared" si="2"/>
        <v>2</v>
      </c>
    </row>
    <row r="24" spans="1:8" ht="15.75" customHeight="1" x14ac:dyDescent="0.3">
      <c r="A24" s="2" t="s">
        <v>371</v>
      </c>
      <c r="B24" s="2" t="s">
        <v>372</v>
      </c>
      <c r="C24" s="2">
        <v>150</v>
      </c>
      <c r="D24" s="2">
        <v>234</v>
      </c>
      <c r="E24" s="2" t="s">
        <v>342</v>
      </c>
      <c r="F24" s="8">
        <f>C24/100</f>
        <v>1.5</v>
      </c>
      <c r="G24" s="8">
        <f>D24/100</f>
        <v>2.34</v>
      </c>
      <c r="H24">
        <f>_xlfn.NUMBERVALUE(E24)</f>
        <v>2</v>
      </c>
    </row>
    <row r="25" spans="1:8" ht="15.75" customHeight="1" x14ac:dyDescent="0.3">
      <c r="A25" s="2" t="s">
        <v>373</v>
      </c>
      <c r="B25" s="2" t="s">
        <v>374</v>
      </c>
      <c r="C25" s="2">
        <v>175</v>
      </c>
      <c r="D25" s="2">
        <v>226</v>
      </c>
      <c r="E25" s="2" t="s">
        <v>342</v>
      </c>
      <c r="F25" s="8">
        <f t="shared" ref="F25:F30" si="3">C25/100</f>
        <v>1.75</v>
      </c>
      <c r="G25" s="8">
        <f t="shared" ref="G25:G30" si="4">D25/100</f>
        <v>2.2599999999999998</v>
      </c>
      <c r="H25">
        <f t="shared" ref="H25:H30" si="5">_xlfn.NUMBERVALUE(E25)</f>
        <v>2</v>
      </c>
    </row>
    <row r="26" spans="1:8" ht="15.75" customHeight="1" x14ac:dyDescent="0.3">
      <c r="A26" s="2" t="s">
        <v>375</v>
      </c>
      <c r="B26" s="2" t="s">
        <v>376</v>
      </c>
      <c r="C26" s="2">
        <v>165</v>
      </c>
      <c r="D26" s="2">
        <v>234</v>
      </c>
      <c r="E26" s="2" t="s">
        <v>332</v>
      </c>
      <c r="F26" s="8">
        <f t="shared" si="3"/>
        <v>1.65</v>
      </c>
      <c r="G26" s="8">
        <f t="shared" si="4"/>
        <v>2.34</v>
      </c>
      <c r="H26">
        <f t="shared" si="5"/>
        <v>1</v>
      </c>
    </row>
    <row r="27" spans="1:8" ht="15.75" customHeight="1" x14ac:dyDescent="0.3">
      <c r="A27" s="2" t="s">
        <v>377</v>
      </c>
      <c r="B27" s="2" t="s">
        <v>378</v>
      </c>
      <c r="C27" s="2">
        <v>250</v>
      </c>
      <c r="D27" s="2">
        <v>234</v>
      </c>
      <c r="E27" s="2" t="s">
        <v>332</v>
      </c>
      <c r="F27" s="8">
        <f t="shared" si="3"/>
        <v>2.5</v>
      </c>
      <c r="G27" s="8">
        <f t="shared" si="4"/>
        <v>2.34</v>
      </c>
      <c r="H27">
        <f t="shared" si="5"/>
        <v>1</v>
      </c>
    </row>
    <row r="28" spans="1:8" ht="15.75" customHeight="1" x14ac:dyDescent="0.3">
      <c r="A28" s="2" t="s">
        <v>379</v>
      </c>
      <c r="B28" s="2" t="s">
        <v>380</v>
      </c>
      <c r="C28" s="2">
        <v>280</v>
      </c>
      <c r="D28" s="2">
        <v>234</v>
      </c>
      <c r="E28" s="2" t="s">
        <v>342</v>
      </c>
      <c r="F28" s="8">
        <f t="shared" si="3"/>
        <v>2.8</v>
      </c>
      <c r="G28" s="8">
        <f t="shared" si="4"/>
        <v>2.34</v>
      </c>
      <c r="H28">
        <f t="shared" si="5"/>
        <v>2</v>
      </c>
    </row>
    <row r="29" spans="1:8" ht="15.75" customHeight="1" x14ac:dyDescent="0.3">
      <c r="A29" s="2" t="s">
        <v>381</v>
      </c>
      <c r="B29" s="2" t="s">
        <v>382</v>
      </c>
      <c r="C29" s="2">
        <v>450</v>
      </c>
      <c r="D29" s="2">
        <v>234</v>
      </c>
      <c r="E29" s="2" t="s">
        <v>332</v>
      </c>
      <c r="F29" s="8">
        <f t="shared" si="3"/>
        <v>4.5</v>
      </c>
      <c r="G29" s="8">
        <f t="shared" si="4"/>
        <v>2.34</v>
      </c>
      <c r="H29">
        <f t="shared" si="5"/>
        <v>1</v>
      </c>
    </row>
    <row r="30" spans="1:8" ht="15.75" customHeight="1" x14ac:dyDescent="0.3">
      <c r="A30" s="2" t="s">
        <v>383</v>
      </c>
      <c r="B30" s="2" t="s">
        <v>384</v>
      </c>
      <c r="C30" s="2">
        <v>390</v>
      </c>
      <c r="D30" s="2">
        <v>234</v>
      </c>
      <c r="E30" s="2" t="s">
        <v>332</v>
      </c>
      <c r="F30" s="8">
        <f t="shared" si="3"/>
        <v>3.9</v>
      </c>
      <c r="G30" s="8">
        <f t="shared" si="4"/>
        <v>2.34</v>
      </c>
      <c r="H30">
        <f t="shared" si="5"/>
        <v>1</v>
      </c>
    </row>
    <row r="31" spans="1:8" ht="15.75" customHeight="1" x14ac:dyDescent="0.3"/>
    <row r="32" spans="1:8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E30" xr:uid="{00000000-0009-0000-0000-000007000000}"/>
  <pageMargins left="0.511811024" right="0.511811024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workbookViewId="0">
      <selection activeCell="G1" sqref="G1:J1048576"/>
    </sheetView>
  </sheetViews>
  <sheetFormatPr defaultColWidth="14.44140625" defaultRowHeight="15" customHeight="1" x14ac:dyDescent="0.3"/>
  <cols>
    <col min="1" max="1" width="13.88671875" customWidth="1"/>
    <col min="2" max="2" width="113" customWidth="1"/>
    <col min="3" max="4" width="9.109375" style="5" customWidth="1"/>
    <col min="5" max="5" width="16.88671875" customWidth="1"/>
    <col min="6" max="6" width="9.109375" customWidth="1"/>
    <col min="7" max="26" width="8.6640625" customWidth="1"/>
  </cols>
  <sheetData>
    <row r="1" spans="1:9" ht="14.4" x14ac:dyDescent="0.3">
      <c r="A1" s="1" t="s">
        <v>385</v>
      </c>
      <c r="B1" s="1" t="s">
        <v>2</v>
      </c>
      <c r="C1" s="3" t="s">
        <v>315</v>
      </c>
      <c r="D1" s="3" t="s">
        <v>316</v>
      </c>
      <c r="E1" s="1" t="s">
        <v>386</v>
      </c>
      <c r="F1" s="1" t="s">
        <v>317</v>
      </c>
      <c r="G1" s="6" t="s">
        <v>315</v>
      </c>
      <c r="H1" s="6" t="s">
        <v>316</v>
      </c>
      <c r="I1" s="6" t="s">
        <v>317</v>
      </c>
    </row>
    <row r="2" spans="1:9" ht="14.4" x14ac:dyDescent="0.3">
      <c r="A2" s="2" t="s">
        <v>387</v>
      </c>
      <c r="B2" s="2" t="s">
        <v>388</v>
      </c>
      <c r="C2" s="4">
        <v>70</v>
      </c>
      <c r="D2" s="4">
        <v>60</v>
      </c>
      <c r="E2" s="2" t="s">
        <v>389</v>
      </c>
      <c r="F2" s="2" t="s">
        <v>390</v>
      </c>
      <c r="G2" s="8">
        <f>C2/100</f>
        <v>0.7</v>
      </c>
      <c r="H2" s="8">
        <f>D2/100</f>
        <v>0.6</v>
      </c>
      <c r="I2">
        <f>_xlfn.NUMBERVALUE(F2)</f>
        <v>32</v>
      </c>
    </row>
    <row r="3" spans="1:9" ht="14.4" x14ac:dyDescent="0.3">
      <c r="A3" s="2" t="s">
        <v>391</v>
      </c>
      <c r="B3" s="2" t="s">
        <v>392</v>
      </c>
      <c r="C3" s="4">
        <v>80</v>
      </c>
      <c r="D3" s="4">
        <v>60</v>
      </c>
      <c r="E3" s="2" t="s">
        <v>389</v>
      </c>
      <c r="F3" s="2" t="s">
        <v>342</v>
      </c>
      <c r="G3" s="8">
        <f t="shared" ref="G3:G23" si="0">C3/100</f>
        <v>0.8</v>
      </c>
      <c r="H3" s="8">
        <f t="shared" ref="H3:H23" si="1">D3/100</f>
        <v>0.6</v>
      </c>
      <c r="I3">
        <f t="shared" ref="I3:I23" si="2">_xlfn.NUMBERVALUE(F3)</f>
        <v>2</v>
      </c>
    </row>
    <row r="4" spans="1:9" ht="14.4" x14ac:dyDescent="0.3">
      <c r="A4" s="2" t="s">
        <v>393</v>
      </c>
      <c r="B4" s="2" t="s">
        <v>394</v>
      </c>
      <c r="C4" s="4">
        <v>50</v>
      </c>
      <c r="D4" s="4">
        <v>30</v>
      </c>
      <c r="E4" s="2" t="s">
        <v>395</v>
      </c>
      <c r="F4" s="2" t="s">
        <v>332</v>
      </c>
      <c r="G4" s="8">
        <f t="shared" si="0"/>
        <v>0.5</v>
      </c>
      <c r="H4" s="8">
        <f t="shared" si="1"/>
        <v>0.3</v>
      </c>
      <c r="I4">
        <f t="shared" si="2"/>
        <v>1</v>
      </c>
    </row>
    <row r="5" spans="1:9" ht="14.4" x14ac:dyDescent="0.3">
      <c r="A5" s="2" t="s">
        <v>396</v>
      </c>
      <c r="B5" s="2" t="s">
        <v>397</v>
      </c>
      <c r="C5" s="4">
        <v>60</v>
      </c>
      <c r="D5" s="4">
        <v>30</v>
      </c>
      <c r="E5" s="2" t="s">
        <v>395</v>
      </c>
      <c r="F5" s="2" t="s">
        <v>398</v>
      </c>
      <c r="G5" s="8">
        <f t="shared" si="0"/>
        <v>0.6</v>
      </c>
      <c r="H5" s="8">
        <f t="shared" si="1"/>
        <v>0.3</v>
      </c>
      <c r="I5">
        <f t="shared" si="2"/>
        <v>22</v>
      </c>
    </row>
    <row r="6" spans="1:9" ht="14.4" x14ac:dyDescent="0.3">
      <c r="A6" s="2" t="s">
        <v>399</v>
      </c>
      <c r="B6" s="2" t="s">
        <v>400</v>
      </c>
      <c r="C6" s="4">
        <v>150</v>
      </c>
      <c r="D6" s="4">
        <v>200</v>
      </c>
      <c r="E6" s="2" t="s">
        <v>401</v>
      </c>
      <c r="F6" s="2" t="s">
        <v>402</v>
      </c>
      <c r="G6" s="8">
        <f t="shared" si="0"/>
        <v>1.5</v>
      </c>
      <c r="H6" s="8">
        <f t="shared" si="1"/>
        <v>2</v>
      </c>
      <c r="I6">
        <f t="shared" si="2"/>
        <v>128</v>
      </c>
    </row>
    <row r="7" spans="1:9" ht="14.4" x14ac:dyDescent="0.3">
      <c r="A7" s="2" t="s">
        <v>403</v>
      </c>
      <c r="B7" s="2" t="s">
        <v>404</v>
      </c>
      <c r="C7" s="4">
        <v>50</v>
      </c>
      <c r="D7" s="4">
        <v>90</v>
      </c>
      <c r="E7" s="2" t="s">
        <v>405</v>
      </c>
      <c r="F7" s="2" t="s">
        <v>406</v>
      </c>
      <c r="G7" s="8">
        <f t="shared" si="0"/>
        <v>0.5</v>
      </c>
      <c r="H7" s="8">
        <f t="shared" si="1"/>
        <v>0.9</v>
      </c>
      <c r="I7">
        <f t="shared" si="2"/>
        <v>160</v>
      </c>
    </row>
    <row r="8" spans="1:9" ht="14.4" x14ac:dyDescent="0.3">
      <c r="A8" s="2" t="s">
        <v>407</v>
      </c>
      <c r="B8" s="2" t="s">
        <v>408</v>
      </c>
      <c r="C8" s="4">
        <v>200</v>
      </c>
      <c r="D8" s="4">
        <v>200</v>
      </c>
      <c r="E8" s="2" t="s">
        <v>401</v>
      </c>
      <c r="F8" s="2" t="s">
        <v>320</v>
      </c>
      <c r="G8" s="8">
        <f t="shared" si="0"/>
        <v>2</v>
      </c>
      <c r="H8" s="8">
        <f t="shared" si="1"/>
        <v>2</v>
      </c>
      <c r="I8">
        <f t="shared" si="2"/>
        <v>34</v>
      </c>
    </row>
    <row r="9" spans="1:9" ht="14.4" x14ac:dyDescent="0.3">
      <c r="A9" s="2" t="s">
        <v>409</v>
      </c>
      <c r="B9" s="2" t="s">
        <v>410</v>
      </c>
      <c r="C9" s="4">
        <v>200</v>
      </c>
      <c r="D9" s="4">
        <v>60</v>
      </c>
      <c r="E9" s="2" t="s">
        <v>411</v>
      </c>
      <c r="F9" s="2" t="s">
        <v>342</v>
      </c>
      <c r="G9" s="8">
        <f t="shared" si="0"/>
        <v>2</v>
      </c>
      <c r="H9" s="8">
        <f t="shared" si="1"/>
        <v>0.6</v>
      </c>
      <c r="I9">
        <f t="shared" si="2"/>
        <v>2</v>
      </c>
    </row>
    <row r="10" spans="1:9" ht="14.4" x14ac:dyDescent="0.3">
      <c r="A10" s="2" t="s">
        <v>412</v>
      </c>
      <c r="B10" s="2" t="s">
        <v>413</v>
      </c>
      <c r="C10" s="4">
        <v>162</v>
      </c>
      <c r="D10" s="4">
        <v>135</v>
      </c>
      <c r="E10" s="2" t="s">
        <v>414</v>
      </c>
      <c r="F10" s="2" t="s">
        <v>332</v>
      </c>
      <c r="G10" s="8">
        <f t="shared" si="0"/>
        <v>1.62</v>
      </c>
      <c r="H10" s="8">
        <f t="shared" si="1"/>
        <v>1.35</v>
      </c>
      <c r="I10">
        <f t="shared" si="2"/>
        <v>1</v>
      </c>
    </row>
    <row r="11" spans="1:9" ht="14.4" x14ac:dyDescent="0.3">
      <c r="A11" s="2" t="s">
        <v>415</v>
      </c>
      <c r="B11" s="2" t="s">
        <v>416</v>
      </c>
      <c r="C11" s="4">
        <v>53</v>
      </c>
      <c r="D11" s="4">
        <v>135</v>
      </c>
      <c r="E11" s="2" t="s">
        <v>414</v>
      </c>
      <c r="F11" s="2" t="s">
        <v>332</v>
      </c>
      <c r="G11" s="8">
        <f t="shared" si="0"/>
        <v>0.53</v>
      </c>
      <c r="H11" s="8">
        <f t="shared" si="1"/>
        <v>1.35</v>
      </c>
      <c r="I11">
        <f t="shared" si="2"/>
        <v>1</v>
      </c>
    </row>
    <row r="12" spans="1:9" ht="14.4" x14ac:dyDescent="0.3">
      <c r="A12" s="2" t="s">
        <v>417</v>
      </c>
      <c r="B12" s="2" t="s">
        <v>418</v>
      </c>
      <c r="C12" s="4">
        <v>375</v>
      </c>
      <c r="D12" s="4">
        <v>132</v>
      </c>
      <c r="E12" s="2" t="s">
        <v>419</v>
      </c>
      <c r="F12" s="2" t="s">
        <v>332</v>
      </c>
      <c r="G12" s="8">
        <f t="shared" si="0"/>
        <v>3.75</v>
      </c>
      <c r="H12" s="8">
        <f t="shared" si="1"/>
        <v>1.32</v>
      </c>
      <c r="I12">
        <f t="shared" si="2"/>
        <v>1</v>
      </c>
    </row>
    <row r="13" spans="1:9" ht="14.4" x14ac:dyDescent="0.3">
      <c r="A13" s="2" t="s">
        <v>420</v>
      </c>
      <c r="B13" s="2" t="s">
        <v>421</v>
      </c>
      <c r="C13" s="4">
        <v>150</v>
      </c>
      <c r="D13" s="4">
        <v>159</v>
      </c>
      <c r="E13" s="2" t="s">
        <v>422</v>
      </c>
      <c r="F13" s="2" t="s">
        <v>332</v>
      </c>
      <c r="G13" s="8">
        <f t="shared" si="0"/>
        <v>1.5</v>
      </c>
      <c r="H13" s="8">
        <f t="shared" si="1"/>
        <v>1.59</v>
      </c>
      <c r="I13">
        <f t="shared" si="2"/>
        <v>1</v>
      </c>
    </row>
    <row r="14" spans="1:9" ht="14.4" x14ac:dyDescent="0.3">
      <c r="A14" s="2" t="s">
        <v>423</v>
      </c>
      <c r="B14" s="2" t="s">
        <v>424</v>
      </c>
      <c r="C14" s="4">
        <v>337</v>
      </c>
      <c r="D14" s="4">
        <v>200</v>
      </c>
      <c r="E14" s="2" t="s">
        <v>401</v>
      </c>
      <c r="F14" s="2" t="s">
        <v>332</v>
      </c>
      <c r="G14" s="8">
        <f t="shared" si="0"/>
        <v>3.37</v>
      </c>
      <c r="H14" s="8">
        <f t="shared" si="1"/>
        <v>2</v>
      </c>
      <c r="I14">
        <f t="shared" si="2"/>
        <v>1</v>
      </c>
    </row>
    <row r="15" spans="1:9" ht="14.4" x14ac:dyDescent="0.3">
      <c r="A15" s="2" t="s">
        <v>425</v>
      </c>
      <c r="B15" s="2" t="s">
        <v>426</v>
      </c>
      <c r="C15" s="4">
        <v>200</v>
      </c>
      <c r="D15" s="4">
        <v>200</v>
      </c>
      <c r="E15" s="2" t="s">
        <v>401</v>
      </c>
      <c r="F15" s="2" t="s">
        <v>342</v>
      </c>
      <c r="G15" s="8">
        <f t="shared" si="0"/>
        <v>2</v>
      </c>
      <c r="H15" s="8">
        <f t="shared" si="1"/>
        <v>2</v>
      </c>
      <c r="I15">
        <f t="shared" si="2"/>
        <v>2</v>
      </c>
    </row>
    <row r="16" spans="1:9" ht="14.4" x14ac:dyDescent="0.3">
      <c r="A16" s="2" t="s">
        <v>427</v>
      </c>
      <c r="B16" s="2" t="s">
        <v>428</v>
      </c>
      <c r="C16" s="4">
        <v>225</v>
      </c>
      <c r="D16" s="4">
        <v>200</v>
      </c>
      <c r="E16" s="2" t="s">
        <v>401</v>
      </c>
      <c r="F16" s="2" t="s">
        <v>332</v>
      </c>
      <c r="G16" s="8">
        <f t="shared" si="0"/>
        <v>2.25</v>
      </c>
      <c r="H16" s="8">
        <f t="shared" si="1"/>
        <v>2</v>
      </c>
      <c r="I16">
        <f t="shared" si="2"/>
        <v>1</v>
      </c>
    </row>
    <row r="17" spans="1:9" ht="14.4" x14ac:dyDescent="0.3">
      <c r="A17" s="2" t="s">
        <v>429</v>
      </c>
      <c r="B17" s="2" t="s">
        <v>430</v>
      </c>
      <c r="C17" s="4">
        <v>325</v>
      </c>
      <c r="D17" s="4">
        <v>132</v>
      </c>
      <c r="E17" s="2" t="s">
        <v>419</v>
      </c>
      <c r="F17" s="2" t="s">
        <v>332</v>
      </c>
      <c r="G17" s="8">
        <f t="shared" si="0"/>
        <v>3.25</v>
      </c>
      <c r="H17" s="8">
        <f t="shared" si="1"/>
        <v>1.32</v>
      </c>
      <c r="I17">
        <f t="shared" si="2"/>
        <v>1</v>
      </c>
    </row>
    <row r="18" spans="1:9" ht="14.4" x14ac:dyDescent="0.3">
      <c r="A18" s="2" t="s">
        <v>431</v>
      </c>
      <c r="B18" s="2" t="s">
        <v>432</v>
      </c>
      <c r="C18" s="4">
        <v>100</v>
      </c>
      <c r="D18" s="4">
        <v>135</v>
      </c>
      <c r="E18" s="2" t="s">
        <v>414</v>
      </c>
      <c r="F18" s="2" t="s">
        <v>342</v>
      </c>
      <c r="G18" s="8">
        <f t="shared" si="0"/>
        <v>1</v>
      </c>
      <c r="H18" s="8">
        <f t="shared" si="1"/>
        <v>1.35</v>
      </c>
      <c r="I18">
        <f t="shared" si="2"/>
        <v>2</v>
      </c>
    </row>
    <row r="19" spans="1:9" ht="14.4" x14ac:dyDescent="0.3">
      <c r="A19" s="2" t="s">
        <v>433</v>
      </c>
      <c r="B19" s="2" t="s">
        <v>434</v>
      </c>
      <c r="C19" s="4">
        <v>120</v>
      </c>
      <c r="D19" s="4">
        <v>135</v>
      </c>
      <c r="E19" s="2" t="s">
        <v>414</v>
      </c>
      <c r="F19" s="2" t="s">
        <v>390</v>
      </c>
      <c r="G19" s="8">
        <f t="shared" si="0"/>
        <v>1.2</v>
      </c>
      <c r="H19" s="8">
        <f t="shared" si="1"/>
        <v>1.35</v>
      </c>
      <c r="I19">
        <f t="shared" si="2"/>
        <v>32</v>
      </c>
    </row>
    <row r="20" spans="1:9" ht="14.4" x14ac:dyDescent="0.3">
      <c r="A20" s="2" t="s">
        <v>435</v>
      </c>
      <c r="B20" s="2" t="s">
        <v>436</v>
      </c>
      <c r="C20" s="4">
        <v>95</v>
      </c>
      <c r="D20" s="4">
        <v>95</v>
      </c>
      <c r="E20" s="2" t="s">
        <v>5</v>
      </c>
      <c r="F20" s="2" t="s">
        <v>437</v>
      </c>
      <c r="G20" s="8">
        <f t="shared" si="0"/>
        <v>0.95</v>
      </c>
      <c r="H20" s="8">
        <f t="shared" si="1"/>
        <v>0.95</v>
      </c>
      <c r="I20">
        <f t="shared" si="2"/>
        <v>18</v>
      </c>
    </row>
    <row r="21" spans="1:9" ht="15.75" customHeight="1" x14ac:dyDescent="0.3">
      <c r="A21" s="2" t="s">
        <v>438</v>
      </c>
      <c r="B21" s="2" t="s">
        <v>439</v>
      </c>
      <c r="C21" s="4">
        <v>95</v>
      </c>
      <c r="D21" s="4">
        <v>95</v>
      </c>
      <c r="E21" s="2" t="s">
        <v>440</v>
      </c>
      <c r="F21" s="2" t="s">
        <v>332</v>
      </c>
      <c r="G21" s="8">
        <f t="shared" si="0"/>
        <v>0.95</v>
      </c>
      <c r="H21" s="8">
        <f t="shared" si="1"/>
        <v>0.95</v>
      </c>
      <c r="I21">
        <f t="shared" si="2"/>
        <v>1</v>
      </c>
    </row>
    <row r="22" spans="1:9" ht="15.75" customHeight="1" x14ac:dyDescent="0.3">
      <c r="A22" s="2" t="s">
        <v>441</v>
      </c>
      <c r="B22" s="2" t="s">
        <v>442</v>
      </c>
      <c r="C22" s="4">
        <v>195</v>
      </c>
      <c r="D22" s="4">
        <v>99</v>
      </c>
      <c r="E22" s="2" t="s">
        <v>443</v>
      </c>
      <c r="F22" s="2" t="s">
        <v>332</v>
      </c>
      <c r="G22" s="8">
        <f t="shared" si="0"/>
        <v>1.95</v>
      </c>
      <c r="H22" s="8">
        <f t="shared" si="1"/>
        <v>0.99</v>
      </c>
      <c r="I22">
        <f t="shared" si="2"/>
        <v>1</v>
      </c>
    </row>
    <row r="23" spans="1:9" ht="15.75" customHeight="1" x14ac:dyDescent="0.3">
      <c r="A23" s="2" t="s">
        <v>444</v>
      </c>
      <c r="B23" s="2" t="s">
        <v>445</v>
      </c>
      <c r="C23" s="4">
        <v>45</v>
      </c>
      <c r="D23" s="4">
        <v>45</v>
      </c>
      <c r="E23" s="2" t="s">
        <v>446</v>
      </c>
      <c r="F23" s="2" t="s">
        <v>342</v>
      </c>
      <c r="G23" s="8">
        <f t="shared" si="0"/>
        <v>0.45</v>
      </c>
      <c r="H23" s="8">
        <f t="shared" si="1"/>
        <v>0.45</v>
      </c>
      <c r="I23">
        <f t="shared" si="2"/>
        <v>2</v>
      </c>
    </row>
    <row r="24" spans="1:9" ht="15.75" customHeight="1" x14ac:dyDescent="0.3"/>
    <row r="25" spans="1:9" ht="15.75" customHeight="1" x14ac:dyDescent="0.3"/>
    <row r="26" spans="1:9" ht="15.75" customHeight="1" x14ac:dyDescent="0.3"/>
    <row r="27" spans="1:9" ht="15.75" customHeight="1" x14ac:dyDescent="0.3"/>
    <row r="28" spans="1:9" ht="15.75" customHeight="1" x14ac:dyDescent="0.3"/>
    <row r="29" spans="1:9" ht="15.75" customHeight="1" x14ac:dyDescent="0.3"/>
    <row r="30" spans="1:9" ht="15.75" customHeight="1" x14ac:dyDescent="0.3"/>
    <row r="31" spans="1:9" ht="15.75" customHeight="1" x14ac:dyDescent="0.3"/>
    <row r="32" spans="1:9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F23" xr:uid="{00000000-0009-0000-0000-000008000000}"/>
  <pageMargins left="0.511811024" right="0.511811024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000"/>
  <sheetViews>
    <sheetView workbookViewId="0">
      <selection activeCell="C8" sqref="C8"/>
    </sheetView>
  </sheetViews>
  <sheetFormatPr defaultColWidth="14.44140625" defaultRowHeight="15" customHeight="1" x14ac:dyDescent="0.3"/>
  <cols>
    <col min="1" max="1" width="17.109375" customWidth="1"/>
    <col min="2" max="2" width="30" customWidth="1"/>
    <col min="3" max="3" width="32.6640625" customWidth="1"/>
    <col min="4" max="4" width="9.109375" customWidth="1"/>
    <col min="5" max="26" width="8.6640625" customWidth="1"/>
  </cols>
  <sheetData>
    <row r="1" spans="1:6" ht="14.4" x14ac:dyDescent="0.3">
      <c r="A1" s="1" t="s">
        <v>447</v>
      </c>
      <c r="B1" s="1" t="s">
        <v>1</v>
      </c>
      <c r="C1" s="1" t="s">
        <v>2</v>
      </c>
      <c r="D1" s="1" t="s">
        <v>46</v>
      </c>
    </row>
    <row r="2" spans="1:6" ht="14.4" x14ac:dyDescent="0.3">
      <c r="A2" s="2" t="s">
        <v>4</v>
      </c>
      <c r="B2" s="2" t="s">
        <v>5</v>
      </c>
      <c r="C2" s="2" t="s">
        <v>5</v>
      </c>
      <c r="D2" s="2" t="s">
        <v>5</v>
      </c>
    </row>
    <row r="3" spans="1:6" ht="14.4" x14ac:dyDescent="0.3">
      <c r="A3" s="2" t="s">
        <v>4</v>
      </c>
      <c r="B3" s="2" t="s">
        <v>448</v>
      </c>
      <c r="C3" s="2" t="s">
        <v>449</v>
      </c>
      <c r="D3" s="2" t="s">
        <v>450</v>
      </c>
      <c r="F3" s="2">
        <v>1</v>
      </c>
    </row>
    <row r="4" spans="1:6" ht="14.4" x14ac:dyDescent="0.3">
      <c r="A4" s="2" t="s">
        <v>12</v>
      </c>
      <c r="B4" s="2" t="s">
        <v>5</v>
      </c>
      <c r="C4" s="2" t="s">
        <v>5</v>
      </c>
      <c r="D4" s="2" t="s">
        <v>5</v>
      </c>
    </row>
    <row r="5" spans="1:6" ht="14.4" x14ac:dyDescent="0.3">
      <c r="A5" s="2" t="s">
        <v>12</v>
      </c>
      <c r="B5" s="2" t="s">
        <v>264</v>
      </c>
      <c r="C5" s="2" t="s">
        <v>451</v>
      </c>
      <c r="D5" s="2" t="s">
        <v>452</v>
      </c>
      <c r="F5" s="2">
        <v>57</v>
      </c>
    </row>
    <row r="6" spans="1:6" ht="14.4" x14ac:dyDescent="0.3">
      <c r="A6" s="2" t="s">
        <v>15</v>
      </c>
      <c r="B6" s="2" t="s">
        <v>5</v>
      </c>
      <c r="C6" s="2" t="s">
        <v>5</v>
      </c>
      <c r="D6" s="2" t="s">
        <v>5</v>
      </c>
    </row>
    <row r="7" spans="1:6" ht="14.4" x14ac:dyDescent="0.3">
      <c r="A7" s="2" t="s">
        <v>15</v>
      </c>
      <c r="B7" s="2" t="s">
        <v>264</v>
      </c>
      <c r="C7" s="2" t="s">
        <v>451</v>
      </c>
      <c r="D7" s="2" t="s">
        <v>453</v>
      </c>
      <c r="F7" s="2">
        <v>89</v>
      </c>
    </row>
    <row r="8" spans="1:6" ht="14.4" x14ac:dyDescent="0.3">
      <c r="A8" s="2" t="s">
        <v>16</v>
      </c>
      <c r="B8" s="2" t="s">
        <v>5</v>
      </c>
      <c r="C8" s="2" t="s">
        <v>5</v>
      </c>
      <c r="D8" s="2" t="s">
        <v>5</v>
      </c>
    </row>
    <row r="9" spans="1:6" ht="14.4" x14ac:dyDescent="0.3">
      <c r="A9" s="2" t="s">
        <v>16</v>
      </c>
      <c r="B9" s="2" t="s">
        <v>264</v>
      </c>
      <c r="C9" s="2" t="s">
        <v>451</v>
      </c>
      <c r="D9" s="2" t="s">
        <v>453</v>
      </c>
      <c r="F9" s="2">
        <v>89</v>
      </c>
    </row>
    <row r="10" spans="1:6" ht="14.4" x14ac:dyDescent="0.3">
      <c r="A10" s="2" t="s">
        <v>17</v>
      </c>
      <c r="B10" s="2" t="s">
        <v>5</v>
      </c>
      <c r="C10" s="2" t="s">
        <v>5</v>
      </c>
      <c r="D10" s="2" t="s">
        <v>5</v>
      </c>
    </row>
    <row r="11" spans="1:6" ht="14.4" x14ac:dyDescent="0.3">
      <c r="A11" s="2" t="s">
        <v>17</v>
      </c>
      <c r="B11" s="2" t="s">
        <v>264</v>
      </c>
      <c r="C11" s="2" t="s">
        <v>451</v>
      </c>
      <c r="D11" s="2" t="s">
        <v>286</v>
      </c>
      <c r="F11" s="2">
        <v>97</v>
      </c>
    </row>
    <row r="12" spans="1:6" ht="14.4" x14ac:dyDescent="0.3">
      <c r="A12" s="2" t="s">
        <v>18</v>
      </c>
      <c r="B12" s="2" t="s">
        <v>5</v>
      </c>
      <c r="C12" s="2" t="s">
        <v>5</v>
      </c>
      <c r="D12" s="2" t="s">
        <v>5</v>
      </c>
    </row>
    <row r="13" spans="1:6" ht="14.4" x14ac:dyDescent="0.3">
      <c r="A13" s="2" t="s">
        <v>18</v>
      </c>
      <c r="B13" s="2" t="s">
        <v>454</v>
      </c>
      <c r="C13" s="2" t="s">
        <v>455</v>
      </c>
      <c r="D13" s="2" t="s">
        <v>288</v>
      </c>
      <c r="F13" s="2">
        <v>29</v>
      </c>
    </row>
    <row r="14" spans="1:6" ht="14.4" x14ac:dyDescent="0.3">
      <c r="A14" s="2" t="s">
        <v>21</v>
      </c>
      <c r="B14" s="2" t="s">
        <v>5</v>
      </c>
      <c r="C14" s="2" t="s">
        <v>5</v>
      </c>
      <c r="D14" s="2" t="s">
        <v>5</v>
      </c>
    </row>
    <row r="15" spans="1:6" ht="14.4" x14ac:dyDescent="0.3">
      <c r="A15" s="2" t="s">
        <v>21</v>
      </c>
      <c r="B15" s="2" t="s">
        <v>264</v>
      </c>
      <c r="C15" s="2" t="s">
        <v>451</v>
      </c>
      <c r="D15" s="2" t="s">
        <v>301</v>
      </c>
      <c r="F15" s="2">
        <v>4</v>
      </c>
    </row>
    <row r="16" spans="1:6" ht="14.4" x14ac:dyDescent="0.3">
      <c r="A16" s="2" t="s">
        <v>24</v>
      </c>
      <c r="B16" s="2" t="s">
        <v>5</v>
      </c>
      <c r="C16" s="2" t="s">
        <v>5</v>
      </c>
      <c r="D16" s="2" t="s">
        <v>5</v>
      </c>
    </row>
    <row r="17" spans="1:6" ht="14.4" x14ac:dyDescent="0.3">
      <c r="A17" s="2" t="s">
        <v>24</v>
      </c>
      <c r="B17" s="2" t="s">
        <v>264</v>
      </c>
      <c r="C17" s="2" t="s">
        <v>451</v>
      </c>
      <c r="D17" s="2" t="s">
        <v>301</v>
      </c>
      <c r="F17" s="2">
        <v>4</v>
      </c>
    </row>
    <row r="18" spans="1:6" ht="14.4" x14ac:dyDescent="0.3">
      <c r="A18" s="2" t="s">
        <v>25</v>
      </c>
      <c r="B18" s="2" t="s">
        <v>5</v>
      </c>
      <c r="C18" s="2" t="s">
        <v>5</v>
      </c>
      <c r="D18" s="2" t="s">
        <v>5</v>
      </c>
    </row>
    <row r="19" spans="1:6" ht="14.4" x14ac:dyDescent="0.3">
      <c r="A19" s="2" t="s">
        <v>25</v>
      </c>
      <c r="B19" s="2" t="s">
        <v>264</v>
      </c>
      <c r="C19" s="2" t="s">
        <v>451</v>
      </c>
      <c r="D19" s="2" t="s">
        <v>301</v>
      </c>
      <c r="F19" s="2">
        <v>4</v>
      </c>
    </row>
    <row r="20" spans="1:6" ht="14.4" x14ac:dyDescent="0.3">
      <c r="A20" s="2" t="s">
        <v>26</v>
      </c>
      <c r="B20" s="2" t="s">
        <v>5</v>
      </c>
      <c r="C20" s="2" t="s">
        <v>5</v>
      </c>
      <c r="D20" s="2" t="s">
        <v>5</v>
      </c>
    </row>
    <row r="21" spans="1:6" ht="15.75" customHeight="1" x14ac:dyDescent="0.3">
      <c r="A21" s="2" t="s">
        <v>26</v>
      </c>
      <c r="B21" s="2" t="s">
        <v>264</v>
      </c>
      <c r="C21" s="2" t="s">
        <v>451</v>
      </c>
      <c r="D21" s="2" t="s">
        <v>301</v>
      </c>
      <c r="F21" s="2">
        <v>4</v>
      </c>
    </row>
    <row r="22" spans="1:6" ht="15.75" customHeight="1" x14ac:dyDescent="0.3">
      <c r="A22" s="2" t="s">
        <v>27</v>
      </c>
      <c r="B22" s="2" t="s">
        <v>5</v>
      </c>
      <c r="C22" s="2" t="s">
        <v>5</v>
      </c>
      <c r="D22" s="2" t="s">
        <v>5</v>
      </c>
    </row>
    <row r="23" spans="1:6" ht="15.75" customHeight="1" x14ac:dyDescent="0.3">
      <c r="A23" s="2" t="s">
        <v>27</v>
      </c>
      <c r="B23" s="2" t="s">
        <v>264</v>
      </c>
      <c r="C23" s="2" t="s">
        <v>451</v>
      </c>
      <c r="D23" s="2" t="s">
        <v>301</v>
      </c>
      <c r="F23" s="2">
        <v>4</v>
      </c>
    </row>
    <row r="24" spans="1:6" ht="15.75" customHeight="1" x14ac:dyDescent="0.3">
      <c r="A24" s="2" t="s">
        <v>28</v>
      </c>
      <c r="B24" s="2" t="s">
        <v>5</v>
      </c>
      <c r="C24" s="2" t="s">
        <v>5</v>
      </c>
      <c r="D24" s="2" t="s">
        <v>5</v>
      </c>
    </row>
    <row r="25" spans="1:6" ht="15.75" customHeight="1" x14ac:dyDescent="0.3">
      <c r="A25" s="2" t="s">
        <v>28</v>
      </c>
      <c r="B25" s="2" t="s">
        <v>264</v>
      </c>
      <c r="C25" s="2" t="s">
        <v>451</v>
      </c>
      <c r="D25" s="2" t="s">
        <v>301</v>
      </c>
      <c r="F25" s="2">
        <v>4</v>
      </c>
    </row>
    <row r="26" spans="1:6" ht="15.75" customHeight="1" x14ac:dyDescent="0.3">
      <c r="A26" s="2" t="s">
        <v>29</v>
      </c>
      <c r="B26" s="2" t="s">
        <v>5</v>
      </c>
      <c r="C26" s="2" t="s">
        <v>5</v>
      </c>
      <c r="D26" s="2" t="s">
        <v>5</v>
      </c>
    </row>
    <row r="27" spans="1:6" ht="15.75" customHeight="1" x14ac:dyDescent="0.3">
      <c r="A27" s="2" t="s">
        <v>29</v>
      </c>
      <c r="B27" s="2" t="s">
        <v>264</v>
      </c>
      <c r="C27" s="2" t="s">
        <v>451</v>
      </c>
      <c r="D27" s="2" t="s">
        <v>301</v>
      </c>
      <c r="F27" s="2">
        <v>4</v>
      </c>
    </row>
    <row r="28" spans="1:6" ht="15.75" customHeight="1" x14ac:dyDescent="0.3">
      <c r="A28" s="2" t="s">
        <v>30</v>
      </c>
      <c r="B28" s="2" t="s">
        <v>5</v>
      </c>
      <c r="C28" s="2" t="s">
        <v>5</v>
      </c>
      <c r="D28" s="2" t="s">
        <v>5</v>
      </c>
    </row>
    <row r="29" spans="1:6" ht="15.75" customHeight="1" x14ac:dyDescent="0.3">
      <c r="A29" s="2" t="s">
        <v>30</v>
      </c>
      <c r="B29" s="2" t="s">
        <v>264</v>
      </c>
      <c r="C29" s="2" t="s">
        <v>451</v>
      </c>
      <c r="D29" s="2" t="s">
        <v>301</v>
      </c>
      <c r="F29" s="2">
        <v>4</v>
      </c>
    </row>
    <row r="30" spans="1:6" ht="15.75" customHeight="1" x14ac:dyDescent="0.3">
      <c r="A30" s="2" t="s">
        <v>31</v>
      </c>
      <c r="B30" s="2" t="s">
        <v>5</v>
      </c>
      <c r="C30" s="2" t="s">
        <v>5</v>
      </c>
      <c r="D30" s="2" t="s">
        <v>5</v>
      </c>
    </row>
    <row r="31" spans="1:6" ht="15.75" customHeight="1" x14ac:dyDescent="0.3">
      <c r="A31" s="2" t="s">
        <v>31</v>
      </c>
      <c r="B31" s="2" t="s">
        <v>264</v>
      </c>
      <c r="C31" s="2" t="s">
        <v>451</v>
      </c>
      <c r="D31" s="2" t="s">
        <v>301</v>
      </c>
      <c r="F31" s="2">
        <v>4</v>
      </c>
    </row>
    <row r="32" spans="1:6" ht="15.75" customHeight="1" x14ac:dyDescent="0.3">
      <c r="A32" s="2" t="s">
        <v>32</v>
      </c>
      <c r="B32" s="2" t="s">
        <v>5</v>
      </c>
      <c r="C32" s="2" t="s">
        <v>5</v>
      </c>
      <c r="D32" s="2" t="s">
        <v>5</v>
      </c>
    </row>
    <row r="33" spans="1:6" ht="15.75" customHeight="1" x14ac:dyDescent="0.3">
      <c r="A33" s="2" t="s">
        <v>32</v>
      </c>
      <c r="B33" s="2" t="s">
        <v>264</v>
      </c>
      <c r="C33" s="2" t="s">
        <v>451</v>
      </c>
      <c r="D33" s="2" t="s">
        <v>301</v>
      </c>
      <c r="F33" s="2">
        <v>4</v>
      </c>
    </row>
    <row r="34" spans="1:6" ht="15.75" customHeight="1" x14ac:dyDescent="0.3">
      <c r="A34" s="2" t="s">
        <v>33</v>
      </c>
      <c r="B34" s="2" t="s">
        <v>5</v>
      </c>
      <c r="C34" s="2" t="s">
        <v>5</v>
      </c>
      <c r="D34" s="2" t="s">
        <v>5</v>
      </c>
    </row>
    <row r="35" spans="1:6" ht="15.75" customHeight="1" x14ac:dyDescent="0.3">
      <c r="A35" s="2" t="s">
        <v>33</v>
      </c>
      <c r="B35" s="2" t="s">
        <v>264</v>
      </c>
      <c r="C35" s="2" t="s">
        <v>451</v>
      </c>
      <c r="D35" s="2" t="s">
        <v>301</v>
      </c>
      <c r="F35" s="2">
        <v>4</v>
      </c>
    </row>
    <row r="36" spans="1:6" ht="15.75" customHeight="1" x14ac:dyDescent="0.3">
      <c r="A36" s="2" t="s">
        <v>34</v>
      </c>
      <c r="B36" s="2" t="s">
        <v>5</v>
      </c>
      <c r="C36" s="2" t="s">
        <v>5</v>
      </c>
      <c r="D36" s="2" t="s">
        <v>5</v>
      </c>
    </row>
    <row r="37" spans="1:6" ht="15.75" customHeight="1" x14ac:dyDescent="0.3">
      <c r="A37" s="2" t="s">
        <v>34</v>
      </c>
      <c r="B37" s="2" t="s">
        <v>264</v>
      </c>
      <c r="C37" s="2" t="s">
        <v>451</v>
      </c>
      <c r="D37" s="2" t="s">
        <v>301</v>
      </c>
      <c r="F37" s="2">
        <v>4</v>
      </c>
    </row>
    <row r="38" spans="1:6" ht="15.75" customHeight="1" x14ac:dyDescent="0.3">
      <c r="A38" s="2" t="s">
        <v>35</v>
      </c>
      <c r="B38" s="2" t="s">
        <v>5</v>
      </c>
      <c r="C38" s="2" t="s">
        <v>5</v>
      </c>
      <c r="D38" s="2" t="s">
        <v>5</v>
      </c>
    </row>
    <row r="39" spans="1:6" ht="15.75" customHeight="1" x14ac:dyDescent="0.3">
      <c r="A39" s="2" t="s">
        <v>35</v>
      </c>
      <c r="B39" s="2" t="s">
        <v>264</v>
      </c>
      <c r="C39" s="2" t="s">
        <v>451</v>
      </c>
      <c r="D39" s="2" t="s">
        <v>301</v>
      </c>
      <c r="F39" s="2">
        <v>4</v>
      </c>
    </row>
    <row r="40" spans="1:6" ht="15.75" customHeight="1" x14ac:dyDescent="0.3">
      <c r="A40" s="2" t="s">
        <v>36</v>
      </c>
      <c r="B40" s="2" t="s">
        <v>5</v>
      </c>
      <c r="C40" s="2" t="s">
        <v>5</v>
      </c>
      <c r="D40" s="2" t="s">
        <v>5</v>
      </c>
    </row>
    <row r="41" spans="1:6" ht="15.75" customHeight="1" x14ac:dyDescent="0.3">
      <c r="A41" s="2" t="s">
        <v>36</v>
      </c>
      <c r="B41" s="2" t="s">
        <v>264</v>
      </c>
      <c r="C41" s="2" t="s">
        <v>451</v>
      </c>
      <c r="D41" s="2" t="s">
        <v>301</v>
      </c>
      <c r="F41" s="2">
        <v>4</v>
      </c>
    </row>
    <row r="42" spans="1:6" ht="15.75" customHeight="1" x14ac:dyDescent="0.3">
      <c r="A42" s="2" t="s">
        <v>37</v>
      </c>
      <c r="B42" s="2" t="s">
        <v>5</v>
      </c>
      <c r="C42" s="2" t="s">
        <v>5</v>
      </c>
      <c r="D42" s="2" t="s">
        <v>5</v>
      </c>
    </row>
    <row r="43" spans="1:6" ht="15.75" customHeight="1" x14ac:dyDescent="0.3">
      <c r="A43" s="2" t="s">
        <v>37</v>
      </c>
      <c r="B43" s="2" t="s">
        <v>264</v>
      </c>
      <c r="C43" s="2" t="s">
        <v>451</v>
      </c>
      <c r="D43" s="2" t="s">
        <v>301</v>
      </c>
      <c r="F43" s="2">
        <v>4</v>
      </c>
    </row>
    <row r="44" spans="1:6" ht="15.75" customHeight="1" x14ac:dyDescent="0.3">
      <c r="A44" s="2" t="s">
        <v>38</v>
      </c>
      <c r="B44" s="2" t="s">
        <v>5</v>
      </c>
      <c r="C44" s="2" t="s">
        <v>5</v>
      </c>
      <c r="D44" s="2" t="s">
        <v>5</v>
      </c>
    </row>
    <row r="45" spans="1:6" ht="15.75" customHeight="1" x14ac:dyDescent="0.3">
      <c r="A45" s="2" t="s">
        <v>38</v>
      </c>
      <c r="B45" s="2" t="s">
        <v>264</v>
      </c>
      <c r="C45" s="2" t="s">
        <v>451</v>
      </c>
      <c r="D45" s="2" t="s">
        <v>301</v>
      </c>
      <c r="F45" s="2">
        <v>4</v>
      </c>
    </row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45" xr:uid="{00000000-0009-0000-0000-000009000000}"/>
  <pageMargins left="0.511811024" right="0.511811024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000"/>
  <sheetViews>
    <sheetView workbookViewId="0"/>
  </sheetViews>
  <sheetFormatPr defaultColWidth="14.44140625" defaultRowHeight="15" customHeight="1" x14ac:dyDescent="0.3"/>
  <cols>
    <col min="1" max="1" width="17.109375" customWidth="1"/>
    <col min="2" max="3" width="19.5546875" customWidth="1"/>
    <col min="4" max="4" width="9.109375" customWidth="1"/>
    <col min="5" max="26" width="8.6640625" customWidth="1"/>
  </cols>
  <sheetData>
    <row r="1" spans="1:6" ht="14.4" x14ac:dyDescent="0.3">
      <c r="A1" s="1" t="s">
        <v>447</v>
      </c>
      <c r="B1" s="1" t="s">
        <v>1</v>
      </c>
      <c r="C1" s="1" t="s">
        <v>2</v>
      </c>
      <c r="D1" s="1" t="s">
        <v>46</v>
      </c>
    </row>
    <row r="2" spans="1:6" ht="14.4" x14ac:dyDescent="0.3">
      <c r="A2" s="2" t="s">
        <v>4</v>
      </c>
      <c r="B2" s="2" t="s">
        <v>5</v>
      </c>
      <c r="C2" s="2" t="s">
        <v>5</v>
      </c>
      <c r="D2" s="2" t="s">
        <v>5</v>
      </c>
    </row>
    <row r="3" spans="1:6" ht="14.4" x14ac:dyDescent="0.3">
      <c r="A3" s="2" t="s">
        <v>4</v>
      </c>
      <c r="B3" s="2" t="s">
        <v>260</v>
      </c>
      <c r="C3" s="2" t="s">
        <v>260</v>
      </c>
      <c r="D3" s="2" t="s">
        <v>456</v>
      </c>
      <c r="F3" s="2">
        <v>93</v>
      </c>
    </row>
    <row r="4" spans="1:6" ht="14.4" x14ac:dyDescent="0.3">
      <c r="A4" s="2" t="s">
        <v>12</v>
      </c>
      <c r="B4" s="2" t="s">
        <v>5</v>
      </c>
      <c r="C4" s="2" t="s">
        <v>5</v>
      </c>
      <c r="D4" s="2" t="s">
        <v>5</v>
      </c>
      <c r="F4" s="2" t="s">
        <v>5</v>
      </c>
    </row>
    <row r="5" spans="1:6" ht="14.4" x14ac:dyDescent="0.3">
      <c r="A5" s="2" t="s">
        <v>12</v>
      </c>
      <c r="B5" s="2" t="s">
        <v>260</v>
      </c>
      <c r="C5" s="2" t="s">
        <v>260</v>
      </c>
      <c r="D5" s="2" t="s">
        <v>457</v>
      </c>
      <c r="F5" s="2">
        <v>28</v>
      </c>
    </row>
    <row r="6" spans="1:6" ht="14.4" x14ac:dyDescent="0.3">
      <c r="A6" s="2" t="s">
        <v>18</v>
      </c>
      <c r="B6" s="2" t="s">
        <v>5</v>
      </c>
      <c r="C6" s="2" t="s">
        <v>5</v>
      </c>
      <c r="D6" s="2" t="s">
        <v>5</v>
      </c>
      <c r="F6" s="2" t="s">
        <v>5</v>
      </c>
    </row>
    <row r="7" spans="1:6" ht="14.4" x14ac:dyDescent="0.3">
      <c r="A7" s="2" t="s">
        <v>18</v>
      </c>
      <c r="B7" s="2" t="s">
        <v>458</v>
      </c>
      <c r="C7" s="2" t="s">
        <v>459</v>
      </c>
      <c r="D7" s="2" t="s">
        <v>450</v>
      </c>
      <c r="F7" s="2">
        <v>1</v>
      </c>
    </row>
    <row r="8" spans="1:6" ht="14.4" x14ac:dyDescent="0.3">
      <c r="A8" s="2" t="s">
        <v>21</v>
      </c>
      <c r="B8" s="2" t="s">
        <v>5</v>
      </c>
      <c r="C8" s="2" t="s">
        <v>5</v>
      </c>
      <c r="D8" s="2" t="s">
        <v>5</v>
      </c>
      <c r="F8" s="2" t="s">
        <v>5</v>
      </c>
    </row>
    <row r="9" spans="1:6" ht="14.4" x14ac:dyDescent="0.3">
      <c r="A9" s="2" t="s">
        <v>21</v>
      </c>
      <c r="B9" s="2" t="s">
        <v>260</v>
      </c>
      <c r="C9" s="2" t="s">
        <v>260</v>
      </c>
      <c r="D9" s="2" t="s">
        <v>299</v>
      </c>
      <c r="F9" s="2">
        <v>26</v>
      </c>
    </row>
    <row r="10" spans="1:6" ht="14.4" x14ac:dyDescent="0.3">
      <c r="A10" s="2" t="s">
        <v>24</v>
      </c>
      <c r="B10" s="2" t="s">
        <v>5</v>
      </c>
      <c r="C10" s="2" t="s">
        <v>5</v>
      </c>
      <c r="D10" s="2" t="s">
        <v>5</v>
      </c>
      <c r="F10" s="2" t="s">
        <v>5</v>
      </c>
    </row>
    <row r="11" spans="1:6" ht="14.4" x14ac:dyDescent="0.3">
      <c r="A11" s="2" t="s">
        <v>24</v>
      </c>
      <c r="B11" s="2" t="s">
        <v>260</v>
      </c>
      <c r="C11" s="2" t="s">
        <v>260</v>
      </c>
      <c r="D11" s="2" t="s">
        <v>299</v>
      </c>
      <c r="F11" s="2">
        <v>26</v>
      </c>
    </row>
    <row r="12" spans="1:6" ht="14.4" x14ac:dyDescent="0.3">
      <c r="A12" s="2" t="s">
        <v>25</v>
      </c>
      <c r="B12" s="2" t="s">
        <v>5</v>
      </c>
      <c r="C12" s="2" t="s">
        <v>5</v>
      </c>
      <c r="D12" s="2" t="s">
        <v>5</v>
      </c>
      <c r="F12" s="2" t="s">
        <v>5</v>
      </c>
    </row>
    <row r="13" spans="1:6" ht="14.4" x14ac:dyDescent="0.3">
      <c r="A13" s="2" t="s">
        <v>25</v>
      </c>
      <c r="B13" s="2" t="s">
        <v>260</v>
      </c>
      <c r="C13" s="2" t="s">
        <v>260</v>
      </c>
      <c r="D13" s="2" t="s">
        <v>299</v>
      </c>
      <c r="F13" s="2">
        <v>26</v>
      </c>
    </row>
    <row r="14" spans="1:6" ht="14.4" x14ac:dyDescent="0.3">
      <c r="A14" s="2" t="s">
        <v>26</v>
      </c>
      <c r="B14" s="2" t="s">
        <v>5</v>
      </c>
      <c r="C14" s="2" t="s">
        <v>5</v>
      </c>
      <c r="D14" s="2" t="s">
        <v>5</v>
      </c>
      <c r="F14" s="2" t="s">
        <v>5</v>
      </c>
    </row>
    <row r="15" spans="1:6" ht="14.4" x14ac:dyDescent="0.3">
      <c r="A15" s="2" t="s">
        <v>26</v>
      </c>
      <c r="B15" s="2" t="s">
        <v>260</v>
      </c>
      <c r="C15" s="2" t="s">
        <v>260</v>
      </c>
      <c r="D15" s="2" t="s">
        <v>299</v>
      </c>
      <c r="F15" s="2">
        <v>26</v>
      </c>
    </row>
    <row r="16" spans="1:6" ht="14.4" x14ac:dyDescent="0.3">
      <c r="A16" s="2" t="s">
        <v>27</v>
      </c>
      <c r="B16" s="2" t="s">
        <v>5</v>
      </c>
      <c r="C16" s="2" t="s">
        <v>5</v>
      </c>
      <c r="D16" s="2" t="s">
        <v>5</v>
      </c>
      <c r="F16" s="2" t="s">
        <v>5</v>
      </c>
    </row>
    <row r="17" spans="1:6" ht="14.4" x14ac:dyDescent="0.3">
      <c r="A17" s="2" t="s">
        <v>27</v>
      </c>
      <c r="B17" s="2" t="s">
        <v>260</v>
      </c>
      <c r="C17" s="2" t="s">
        <v>260</v>
      </c>
      <c r="D17" s="2" t="s">
        <v>299</v>
      </c>
      <c r="F17" s="2">
        <v>26</v>
      </c>
    </row>
    <row r="18" spans="1:6" ht="14.4" x14ac:dyDescent="0.3">
      <c r="A18" s="2" t="s">
        <v>28</v>
      </c>
      <c r="B18" s="2" t="s">
        <v>5</v>
      </c>
      <c r="C18" s="2" t="s">
        <v>5</v>
      </c>
      <c r="D18" s="2" t="s">
        <v>5</v>
      </c>
      <c r="F18" s="2" t="s">
        <v>5</v>
      </c>
    </row>
    <row r="19" spans="1:6" ht="14.4" x14ac:dyDescent="0.3">
      <c r="A19" s="2" t="s">
        <v>28</v>
      </c>
      <c r="B19" s="2" t="s">
        <v>260</v>
      </c>
      <c r="C19" s="2" t="s">
        <v>260</v>
      </c>
      <c r="D19" s="2" t="s">
        <v>299</v>
      </c>
      <c r="F19" s="2">
        <v>26</v>
      </c>
    </row>
    <row r="20" spans="1:6" ht="14.4" x14ac:dyDescent="0.3">
      <c r="A20" s="2" t="s">
        <v>29</v>
      </c>
      <c r="B20" s="2" t="s">
        <v>5</v>
      </c>
      <c r="C20" s="2" t="s">
        <v>5</v>
      </c>
      <c r="D20" s="2" t="s">
        <v>5</v>
      </c>
      <c r="F20" s="2" t="s">
        <v>5</v>
      </c>
    </row>
    <row r="21" spans="1:6" ht="15.75" customHeight="1" x14ac:dyDescent="0.3">
      <c r="A21" s="2" t="s">
        <v>29</v>
      </c>
      <c r="B21" s="2" t="s">
        <v>260</v>
      </c>
      <c r="C21" s="2" t="s">
        <v>260</v>
      </c>
      <c r="D21" s="2" t="s">
        <v>299</v>
      </c>
      <c r="F21" s="2">
        <v>26</v>
      </c>
    </row>
    <row r="22" spans="1:6" ht="15.75" customHeight="1" x14ac:dyDescent="0.3">
      <c r="A22" s="2" t="s">
        <v>30</v>
      </c>
      <c r="B22" s="2" t="s">
        <v>5</v>
      </c>
      <c r="C22" s="2" t="s">
        <v>5</v>
      </c>
      <c r="D22" s="2" t="s">
        <v>5</v>
      </c>
      <c r="F22" s="2" t="s">
        <v>5</v>
      </c>
    </row>
    <row r="23" spans="1:6" ht="15.75" customHeight="1" x14ac:dyDescent="0.3">
      <c r="A23" s="2" t="s">
        <v>30</v>
      </c>
      <c r="B23" s="2" t="s">
        <v>260</v>
      </c>
      <c r="C23" s="2" t="s">
        <v>260</v>
      </c>
      <c r="D23" s="2" t="s">
        <v>299</v>
      </c>
      <c r="F23" s="2">
        <v>26</v>
      </c>
    </row>
    <row r="24" spans="1:6" ht="15.75" customHeight="1" x14ac:dyDescent="0.3">
      <c r="A24" s="2" t="s">
        <v>31</v>
      </c>
      <c r="B24" s="2" t="s">
        <v>5</v>
      </c>
      <c r="C24" s="2" t="s">
        <v>5</v>
      </c>
      <c r="D24" s="2" t="s">
        <v>5</v>
      </c>
      <c r="F24" s="2" t="s">
        <v>5</v>
      </c>
    </row>
    <row r="25" spans="1:6" ht="15.75" customHeight="1" x14ac:dyDescent="0.3">
      <c r="A25" s="2" t="s">
        <v>31</v>
      </c>
      <c r="B25" s="2" t="s">
        <v>260</v>
      </c>
      <c r="C25" s="2" t="s">
        <v>260</v>
      </c>
      <c r="D25" s="2" t="s">
        <v>299</v>
      </c>
      <c r="F25" s="2">
        <v>26</v>
      </c>
    </row>
    <row r="26" spans="1:6" ht="15.75" customHeight="1" x14ac:dyDescent="0.3">
      <c r="A26" s="2" t="s">
        <v>32</v>
      </c>
      <c r="B26" s="2" t="s">
        <v>5</v>
      </c>
      <c r="C26" s="2" t="s">
        <v>5</v>
      </c>
      <c r="D26" s="2" t="s">
        <v>5</v>
      </c>
      <c r="F26" s="2" t="s">
        <v>5</v>
      </c>
    </row>
    <row r="27" spans="1:6" ht="15.75" customHeight="1" x14ac:dyDescent="0.3">
      <c r="A27" s="2" t="s">
        <v>32</v>
      </c>
      <c r="B27" s="2" t="s">
        <v>260</v>
      </c>
      <c r="C27" s="2" t="s">
        <v>260</v>
      </c>
      <c r="D27" s="2" t="s">
        <v>299</v>
      </c>
      <c r="F27" s="2">
        <v>26</v>
      </c>
    </row>
    <row r="28" spans="1:6" ht="15.75" customHeight="1" x14ac:dyDescent="0.3">
      <c r="A28" s="2" t="s">
        <v>33</v>
      </c>
      <c r="B28" s="2" t="s">
        <v>5</v>
      </c>
      <c r="C28" s="2" t="s">
        <v>5</v>
      </c>
      <c r="D28" s="2" t="s">
        <v>5</v>
      </c>
      <c r="F28" s="2" t="s">
        <v>5</v>
      </c>
    </row>
    <row r="29" spans="1:6" ht="15.75" customHeight="1" x14ac:dyDescent="0.3">
      <c r="A29" s="2" t="s">
        <v>33</v>
      </c>
      <c r="B29" s="2" t="s">
        <v>260</v>
      </c>
      <c r="C29" s="2" t="s">
        <v>260</v>
      </c>
      <c r="D29" s="2" t="s">
        <v>299</v>
      </c>
      <c r="F29" s="2">
        <v>26</v>
      </c>
    </row>
    <row r="30" spans="1:6" ht="15.75" customHeight="1" x14ac:dyDescent="0.3">
      <c r="A30" s="2" t="s">
        <v>34</v>
      </c>
      <c r="B30" s="2" t="s">
        <v>5</v>
      </c>
      <c r="C30" s="2" t="s">
        <v>5</v>
      </c>
      <c r="D30" s="2" t="s">
        <v>5</v>
      </c>
      <c r="F30" s="2" t="s">
        <v>5</v>
      </c>
    </row>
    <row r="31" spans="1:6" ht="15.75" customHeight="1" x14ac:dyDescent="0.3">
      <c r="A31" s="2" t="s">
        <v>34</v>
      </c>
      <c r="B31" s="2" t="s">
        <v>260</v>
      </c>
      <c r="C31" s="2" t="s">
        <v>260</v>
      </c>
      <c r="D31" s="2" t="s">
        <v>299</v>
      </c>
      <c r="F31" s="2">
        <v>26</v>
      </c>
    </row>
    <row r="32" spans="1:6" ht="15.75" customHeight="1" x14ac:dyDescent="0.3">
      <c r="A32" s="2" t="s">
        <v>35</v>
      </c>
      <c r="B32" s="2" t="s">
        <v>5</v>
      </c>
      <c r="C32" s="2" t="s">
        <v>5</v>
      </c>
      <c r="D32" s="2" t="s">
        <v>5</v>
      </c>
      <c r="F32" s="2" t="s">
        <v>5</v>
      </c>
    </row>
    <row r="33" spans="1:6" ht="15.75" customHeight="1" x14ac:dyDescent="0.3">
      <c r="A33" s="2" t="s">
        <v>35</v>
      </c>
      <c r="B33" s="2" t="s">
        <v>260</v>
      </c>
      <c r="C33" s="2" t="s">
        <v>260</v>
      </c>
      <c r="D33" s="2" t="s">
        <v>299</v>
      </c>
      <c r="F33" s="2">
        <v>26</v>
      </c>
    </row>
    <row r="34" spans="1:6" ht="15.75" customHeight="1" x14ac:dyDescent="0.3">
      <c r="A34" s="2" t="s">
        <v>36</v>
      </c>
      <c r="B34" s="2" t="s">
        <v>5</v>
      </c>
      <c r="C34" s="2" t="s">
        <v>5</v>
      </c>
      <c r="D34" s="2" t="s">
        <v>5</v>
      </c>
      <c r="F34" s="2" t="s">
        <v>5</v>
      </c>
    </row>
    <row r="35" spans="1:6" ht="15.75" customHeight="1" x14ac:dyDescent="0.3">
      <c r="A35" s="2" t="s">
        <v>36</v>
      </c>
      <c r="B35" s="2" t="s">
        <v>260</v>
      </c>
      <c r="C35" s="2" t="s">
        <v>260</v>
      </c>
      <c r="D35" s="2" t="s">
        <v>299</v>
      </c>
      <c r="F35" s="2">
        <v>26</v>
      </c>
    </row>
    <row r="36" spans="1:6" ht="15.75" customHeight="1" x14ac:dyDescent="0.3">
      <c r="A36" s="2" t="s">
        <v>37</v>
      </c>
      <c r="B36" s="2" t="s">
        <v>5</v>
      </c>
      <c r="C36" s="2" t="s">
        <v>5</v>
      </c>
      <c r="D36" s="2" t="s">
        <v>5</v>
      </c>
      <c r="F36" s="2" t="s">
        <v>5</v>
      </c>
    </row>
    <row r="37" spans="1:6" ht="15.75" customHeight="1" x14ac:dyDescent="0.3">
      <c r="A37" s="2" t="s">
        <v>37</v>
      </c>
      <c r="B37" s="2" t="s">
        <v>260</v>
      </c>
      <c r="C37" s="2" t="s">
        <v>260</v>
      </c>
      <c r="D37" s="2" t="s">
        <v>299</v>
      </c>
      <c r="F37" s="2">
        <v>26</v>
      </c>
    </row>
    <row r="38" spans="1:6" ht="15.75" customHeight="1" x14ac:dyDescent="0.3">
      <c r="A38" s="2" t="s">
        <v>38</v>
      </c>
      <c r="B38" s="2" t="s">
        <v>5</v>
      </c>
      <c r="C38" s="2" t="s">
        <v>5</v>
      </c>
      <c r="D38" s="2" t="s">
        <v>5</v>
      </c>
      <c r="F38" s="2" t="s">
        <v>5</v>
      </c>
    </row>
    <row r="39" spans="1:6" ht="15.75" customHeight="1" x14ac:dyDescent="0.3">
      <c r="A39" s="2" t="s">
        <v>38</v>
      </c>
      <c r="B39" s="2" t="s">
        <v>260</v>
      </c>
      <c r="C39" s="2" t="s">
        <v>260</v>
      </c>
      <c r="D39" s="2" t="s">
        <v>299</v>
      </c>
      <c r="F39" s="2">
        <v>26</v>
      </c>
    </row>
    <row r="40" spans="1:6" ht="15.75" customHeight="1" x14ac:dyDescent="0.3">
      <c r="A40" s="2" t="s">
        <v>39</v>
      </c>
      <c r="B40" s="2" t="s">
        <v>5</v>
      </c>
      <c r="C40" s="2" t="s">
        <v>5</v>
      </c>
      <c r="D40" s="2" t="s">
        <v>5</v>
      </c>
      <c r="F40" s="2" t="s">
        <v>5</v>
      </c>
    </row>
    <row r="41" spans="1:6" ht="15.75" customHeight="1" x14ac:dyDescent="0.3">
      <c r="A41" s="2" t="s">
        <v>39</v>
      </c>
      <c r="B41" s="2" t="s">
        <v>260</v>
      </c>
      <c r="C41" s="2" t="s">
        <v>260</v>
      </c>
      <c r="D41" s="2" t="s">
        <v>299</v>
      </c>
      <c r="F41" s="2">
        <v>26</v>
      </c>
    </row>
    <row r="42" spans="1:6" ht="15.75" customHeight="1" x14ac:dyDescent="0.3"/>
    <row r="43" spans="1:6" ht="15.75" customHeight="1" x14ac:dyDescent="0.3"/>
    <row r="44" spans="1:6" ht="15.75" customHeight="1" x14ac:dyDescent="0.3"/>
    <row r="45" spans="1:6" ht="15.75" customHeight="1" x14ac:dyDescent="0.3"/>
    <row r="46" spans="1:6" ht="15.75" customHeight="1" x14ac:dyDescent="0.3"/>
    <row r="47" spans="1:6" ht="15.75" customHeight="1" x14ac:dyDescent="0.3"/>
    <row r="48" spans="1:6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41" xr:uid="{00000000-0009-0000-0000-00000A000000}"/>
  <pageMargins left="0.511811024" right="0.511811024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000"/>
  <sheetViews>
    <sheetView topLeftCell="A19" workbookViewId="0">
      <selection activeCell="B28" sqref="B28:D29"/>
    </sheetView>
  </sheetViews>
  <sheetFormatPr defaultColWidth="14.44140625" defaultRowHeight="15" customHeight="1" x14ac:dyDescent="0.3"/>
  <cols>
    <col min="1" max="1" width="18.5546875" customWidth="1"/>
    <col min="2" max="2" width="37" customWidth="1"/>
    <col min="3" max="3" width="29.109375" customWidth="1"/>
    <col min="4" max="4" width="13.88671875" style="5" customWidth="1"/>
    <col min="5" max="5" width="8.6640625" customWidth="1"/>
    <col min="6" max="6" width="34.5546875" bestFit="1" customWidth="1"/>
    <col min="7" max="7" width="9.33203125" style="5" bestFit="1" customWidth="1"/>
    <col min="8" max="24" width="8.6640625" customWidth="1"/>
  </cols>
  <sheetData>
    <row r="1" spans="1:7" ht="14.4" x14ac:dyDescent="0.3">
      <c r="A1" s="1" t="s">
        <v>0</v>
      </c>
      <c r="B1" s="1" t="s">
        <v>1</v>
      </c>
      <c r="C1" s="1" t="s">
        <v>460</v>
      </c>
      <c r="D1" s="3" t="s">
        <v>506</v>
      </c>
    </row>
    <row r="2" spans="1:7" ht="14.4" x14ac:dyDescent="0.3">
      <c r="A2" s="2" t="s">
        <v>4</v>
      </c>
      <c r="B2" s="2" t="s">
        <v>5</v>
      </c>
      <c r="C2" s="2" t="s">
        <v>5</v>
      </c>
      <c r="D2" s="4" t="s">
        <v>5</v>
      </c>
    </row>
    <row r="3" spans="1:7" ht="14.4" x14ac:dyDescent="0.3">
      <c r="A3" s="2" t="s">
        <v>4</v>
      </c>
      <c r="B3" s="2" t="s">
        <v>461</v>
      </c>
      <c r="C3" s="2" t="s">
        <v>462</v>
      </c>
      <c r="D3" s="4">
        <v>117.09</v>
      </c>
      <c r="F3" s="14" t="s">
        <v>461</v>
      </c>
      <c r="G3" s="5">
        <f>SUMIF(B:B,F3,D:D)</f>
        <v>4124.8799999999992</v>
      </c>
    </row>
    <row r="4" spans="1:7" ht="14.4" x14ac:dyDescent="0.3">
      <c r="A4" s="2" t="s">
        <v>4</v>
      </c>
      <c r="B4" s="2" t="s">
        <v>463</v>
      </c>
      <c r="C4" s="2" t="s">
        <v>464</v>
      </c>
      <c r="D4" s="4">
        <v>2.67</v>
      </c>
      <c r="F4" s="2" t="s">
        <v>463</v>
      </c>
      <c r="G4" s="5">
        <f>SUMIF(B:B,F4,D:D)</f>
        <v>440.38000000000028</v>
      </c>
    </row>
    <row r="5" spans="1:7" ht="14.4" x14ac:dyDescent="0.3">
      <c r="A5" s="2" t="s">
        <v>4</v>
      </c>
      <c r="B5" s="2" t="s">
        <v>465</v>
      </c>
      <c r="C5" s="2" t="s">
        <v>462</v>
      </c>
      <c r="D5" s="4">
        <v>15.54</v>
      </c>
      <c r="F5" s="2" t="s">
        <v>465</v>
      </c>
      <c r="G5" s="5">
        <f>SUMIF(B:B,F5,D:D)</f>
        <v>47.54</v>
      </c>
    </row>
    <row r="6" spans="1:7" ht="14.4" x14ac:dyDescent="0.3">
      <c r="A6" s="2" t="s">
        <v>12</v>
      </c>
      <c r="B6" s="2" t="s">
        <v>5</v>
      </c>
      <c r="C6" s="2" t="s">
        <v>5</v>
      </c>
      <c r="D6" s="4" t="s">
        <v>5</v>
      </c>
    </row>
    <row r="7" spans="1:7" ht="14.4" x14ac:dyDescent="0.3">
      <c r="A7" s="2" t="s">
        <v>12</v>
      </c>
      <c r="B7" s="2" t="s">
        <v>461</v>
      </c>
      <c r="C7" s="2" t="s">
        <v>462</v>
      </c>
      <c r="D7" s="4">
        <v>49.84</v>
      </c>
    </row>
    <row r="8" spans="1:7" ht="14.4" x14ac:dyDescent="0.3">
      <c r="A8" s="2" t="s">
        <v>12</v>
      </c>
      <c r="B8" s="2" t="s">
        <v>465</v>
      </c>
      <c r="C8" s="2" t="s">
        <v>462</v>
      </c>
      <c r="D8" s="4">
        <v>32</v>
      </c>
    </row>
    <row r="9" spans="1:7" ht="14.4" x14ac:dyDescent="0.3">
      <c r="A9" s="2" t="s">
        <v>15</v>
      </c>
      <c r="B9" s="2" t="s">
        <v>5</v>
      </c>
      <c r="C9" s="2" t="s">
        <v>5</v>
      </c>
      <c r="D9" s="4" t="s">
        <v>5</v>
      </c>
    </row>
    <row r="10" spans="1:7" ht="14.4" x14ac:dyDescent="0.3">
      <c r="A10" s="2" t="s">
        <v>15</v>
      </c>
      <c r="B10" s="2" t="s">
        <v>461</v>
      </c>
      <c r="C10" s="2" t="s">
        <v>462</v>
      </c>
      <c r="D10" s="4">
        <v>9.23</v>
      </c>
    </row>
    <row r="11" spans="1:7" ht="14.4" x14ac:dyDescent="0.3">
      <c r="A11" s="2" t="s">
        <v>16</v>
      </c>
      <c r="B11" s="2" t="s">
        <v>5</v>
      </c>
      <c r="C11" s="2" t="s">
        <v>5</v>
      </c>
      <c r="D11" s="4" t="s">
        <v>5</v>
      </c>
    </row>
    <row r="12" spans="1:7" ht="14.4" x14ac:dyDescent="0.3">
      <c r="A12" s="2" t="s">
        <v>16</v>
      </c>
      <c r="B12" s="2" t="s">
        <v>461</v>
      </c>
      <c r="C12" s="2" t="s">
        <v>462</v>
      </c>
      <c r="D12" s="4">
        <v>9.23</v>
      </c>
    </row>
    <row r="13" spans="1:7" ht="14.4" x14ac:dyDescent="0.3">
      <c r="A13" s="2" t="s">
        <v>17</v>
      </c>
      <c r="B13" s="2" t="s">
        <v>5</v>
      </c>
      <c r="C13" s="2" t="s">
        <v>5</v>
      </c>
      <c r="D13" s="4" t="s">
        <v>5</v>
      </c>
    </row>
    <row r="14" spans="1:7" ht="14.4" x14ac:dyDescent="0.3">
      <c r="A14" s="2" t="s">
        <v>17</v>
      </c>
      <c r="B14" s="2" t="s">
        <v>461</v>
      </c>
      <c r="C14" s="2" t="s">
        <v>462</v>
      </c>
      <c r="D14" s="4">
        <v>9.23</v>
      </c>
    </row>
    <row r="15" spans="1:7" ht="14.4" x14ac:dyDescent="0.3">
      <c r="A15" s="2" t="s">
        <v>18</v>
      </c>
      <c r="B15" s="2" t="s">
        <v>5</v>
      </c>
      <c r="C15" s="2" t="s">
        <v>5</v>
      </c>
      <c r="D15" s="4" t="s">
        <v>5</v>
      </c>
    </row>
    <row r="16" spans="1:7" ht="14.4" x14ac:dyDescent="0.3">
      <c r="A16" s="2" t="s">
        <v>18</v>
      </c>
      <c r="B16" s="2" t="s">
        <v>461</v>
      </c>
      <c r="C16" s="2" t="s">
        <v>462</v>
      </c>
      <c r="D16" s="4">
        <v>192.52</v>
      </c>
    </row>
    <row r="17" spans="1:4" ht="14.4" x14ac:dyDescent="0.3">
      <c r="A17" s="2" t="s">
        <v>18</v>
      </c>
      <c r="B17" s="2" t="s">
        <v>463</v>
      </c>
      <c r="C17" s="2" t="s">
        <v>464</v>
      </c>
      <c r="D17" s="4">
        <v>249.19</v>
      </c>
    </row>
    <row r="18" spans="1:4" ht="14.4" x14ac:dyDescent="0.3">
      <c r="A18" s="2" t="s">
        <v>21</v>
      </c>
      <c r="B18" s="2" t="s">
        <v>5</v>
      </c>
      <c r="C18" s="2" t="s">
        <v>5</v>
      </c>
      <c r="D18" s="4" t="s">
        <v>5</v>
      </c>
    </row>
    <row r="19" spans="1:4" ht="14.4" x14ac:dyDescent="0.3">
      <c r="A19" s="2" t="s">
        <v>21</v>
      </c>
      <c r="B19" s="2" t="s">
        <v>461</v>
      </c>
      <c r="C19" s="2" t="s">
        <v>462</v>
      </c>
      <c r="D19" s="4">
        <v>228.39</v>
      </c>
    </row>
    <row r="20" spans="1:4" ht="14.4" x14ac:dyDescent="0.3">
      <c r="A20" s="2" t="s">
        <v>21</v>
      </c>
      <c r="B20" s="2" t="s">
        <v>463</v>
      </c>
      <c r="C20" s="2" t="s">
        <v>464</v>
      </c>
      <c r="D20" s="4">
        <v>7.79</v>
      </c>
    </row>
    <row r="21" spans="1:4" ht="15.75" customHeight="1" x14ac:dyDescent="0.3">
      <c r="A21" s="2" t="s">
        <v>24</v>
      </c>
      <c r="B21" s="2" t="s">
        <v>5</v>
      </c>
      <c r="C21" s="2" t="s">
        <v>5</v>
      </c>
      <c r="D21" s="4" t="s">
        <v>5</v>
      </c>
    </row>
    <row r="22" spans="1:4" ht="15.75" customHeight="1" x14ac:dyDescent="0.3">
      <c r="A22" s="2" t="s">
        <v>24</v>
      </c>
      <c r="B22" s="2" t="s">
        <v>461</v>
      </c>
      <c r="C22" s="2" t="s">
        <v>462</v>
      </c>
      <c r="D22" s="4">
        <v>228.39</v>
      </c>
    </row>
    <row r="23" spans="1:4" ht="15.75" customHeight="1" x14ac:dyDescent="0.3">
      <c r="A23" s="2" t="s">
        <v>24</v>
      </c>
      <c r="B23" s="2" t="s">
        <v>463</v>
      </c>
      <c r="C23" s="2" t="s">
        <v>464</v>
      </c>
      <c r="D23" s="4">
        <v>7.79</v>
      </c>
    </row>
    <row r="24" spans="1:4" ht="15.75" customHeight="1" x14ac:dyDescent="0.3">
      <c r="A24" s="2" t="s">
        <v>25</v>
      </c>
      <c r="B24" s="2" t="s">
        <v>5</v>
      </c>
      <c r="C24" s="2" t="s">
        <v>5</v>
      </c>
      <c r="D24" s="4" t="s">
        <v>5</v>
      </c>
    </row>
    <row r="25" spans="1:4" ht="15.75" customHeight="1" x14ac:dyDescent="0.3">
      <c r="A25" s="2" t="s">
        <v>25</v>
      </c>
      <c r="B25" s="2" t="s">
        <v>461</v>
      </c>
      <c r="C25" s="2" t="s">
        <v>462</v>
      </c>
      <c r="D25" s="4">
        <v>228.39</v>
      </c>
    </row>
    <row r="26" spans="1:4" ht="15.75" customHeight="1" x14ac:dyDescent="0.3">
      <c r="A26" s="2" t="s">
        <v>25</v>
      </c>
      <c r="B26" s="2" t="s">
        <v>463</v>
      </c>
      <c r="C26" s="2" t="s">
        <v>464</v>
      </c>
      <c r="D26" s="4">
        <v>7.79</v>
      </c>
    </row>
    <row r="27" spans="1:4" ht="15.75" customHeight="1" x14ac:dyDescent="0.3">
      <c r="A27" s="2" t="s">
        <v>26</v>
      </c>
      <c r="B27" s="2" t="s">
        <v>5</v>
      </c>
      <c r="C27" s="2" t="s">
        <v>5</v>
      </c>
      <c r="D27" s="4" t="s">
        <v>5</v>
      </c>
    </row>
    <row r="28" spans="1:4" ht="15.75" customHeight="1" x14ac:dyDescent="0.3">
      <c r="A28" s="2" t="s">
        <v>26</v>
      </c>
      <c r="B28" s="2" t="s">
        <v>461</v>
      </c>
      <c r="C28" s="2" t="s">
        <v>462</v>
      </c>
      <c r="D28" s="4">
        <v>228.39</v>
      </c>
    </row>
    <row r="29" spans="1:4" ht="15.75" customHeight="1" x14ac:dyDescent="0.3">
      <c r="A29" s="2" t="s">
        <v>26</v>
      </c>
      <c r="B29" s="2" t="s">
        <v>463</v>
      </c>
      <c r="C29" s="2" t="s">
        <v>464</v>
      </c>
      <c r="D29" s="4">
        <v>7.79</v>
      </c>
    </row>
    <row r="30" spans="1:4" ht="15.75" customHeight="1" x14ac:dyDescent="0.3">
      <c r="A30" s="2" t="s">
        <v>27</v>
      </c>
      <c r="B30" s="2" t="s">
        <v>5</v>
      </c>
      <c r="C30" s="2" t="s">
        <v>5</v>
      </c>
      <c r="D30" s="4" t="s">
        <v>5</v>
      </c>
    </row>
    <row r="31" spans="1:4" ht="15.75" customHeight="1" x14ac:dyDescent="0.3">
      <c r="A31" s="2" t="s">
        <v>27</v>
      </c>
      <c r="B31" s="2" t="s">
        <v>461</v>
      </c>
      <c r="C31" s="2" t="s">
        <v>462</v>
      </c>
      <c r="D31" s="4">
        <v>228.39</v>
      </c>
    </row>
    <row r="32" spans="1:4" ht="15.75" customHeight="1" x14ac:dyDescent="0.3">
      <c r="A32" s="2" t="s">
        <v>27</v>
      </c>
      <c r="B32" s="2" t="s">
        <v>463</v>
      </c>
      <c r="C32" s="2" t="s">
        <v>464</v>
      </c>
      <c r="D32" s="4">
        <v>7.79</v>
      </c>
    </row>
    <row r="33" spans="1:4" ht="15.75" customHeight="1" x14ac:dyDescent="0.3">
      <c r="A33" s="2" t="s">
        <v>28</v>
      </c>
      <c r="B33" s="2" t="s">
        <v>5</v>
      </c>
      <c r="C33" s="2" t="s">
        <v>5</v>
      </c>
      <c r="D33" s="4" t="s">
        <v>5</v>
      </c>
    </row>
    <row r="34" spans="1:4" ht="15.75" customHeight="1" x14ac:dyDescent="0.3">
      <c r="A34" s="2" t="s">
        <v>28</v>
      </c>
      <c r="B34" s="2" t="s">
        <v>461</v>
      </c>
      <c r="C34" s="2" t="s">
        <v>462</v>
      </c>
      <c r="D34" s="4">
        <v>228.39</v>
      </c>
    </row>
    <row r="35" spans="1:4" ht="15.75" customHeight="1" x14ac:dyDescent="0.3">
      <c r="A35" s="2" t="s">
        <v>28</v>
      </c>
      <c r="B35" s="2" t="s">
        <v>463</v>
      </c>
      <c r="C35" s="2" t="s">
        <v>464</v>
      </c>
      <c r="D35" s="4">
        <v>7.79</v>
      </c>
    </row>
    <row r="36" spans="1:4" ht="15.75" customHeight="1" x14ac:dyDescent="0.3">
      <c r="A36" s="2" t="s">
        <v>29</v>
      </c>
      <c r="B36" s="2" t="s">
        <v>5</v>
      </c>
      <c r="C36" s="2" t="s">
        <v>5</v>
      </c>
      <c r="D36" s="4" t="s">
        <v>5</v>
      </c>
    </row>
    <row r="37" spans="1:4" ht="15.75" customHeight="1" x14ac:dyDescent="0.3">
      <c r="A37" s="2" t="s">
        <v>29</v>
      </c>
      <c r="B37" s="2" t="s">
        <v>461</v>
      </c>
      <c r="C37" s="2" t="s">
        <v>462</v>
      </c>
      <c r="D37" s="4">
        <v>228.39</v>
      </c>
    </row>
    <row r="38" spans="1:4" ht="15.75" customHeight="1" x14ac:dyDescent="0.3">
      <c r="A38" s="2" t="s">
        <v>29</v>
      </c>
      <c r="B38" s="2" t="s">
        <v>463</v>
      </c>
      <c r="C38" s="2" t="s">
        <v>464</v>
      </c>
      <c r="D38" s="4">
        <v>7.79</v>
      </c>
    </row>
    <row r="39" spans="1:4" ht="15.75" customHeight="1" x14ac:dyDescent="0.3">
      <c r="A39" s="2" t="s">
        <v>30</v>
      </c>
      <c r="B39" s="2" t="s">
        <v>5</v>
      </c>
      <c r="C39" s="2" t="s">
        <v>5</v>
      </c>
      <c r="D39" s="4" t="s">
        <v>5</v>
      </c>
    </row>
    <row r="40" spans="1:4" ht="15.75" customHeight="1" x14ac:dyDescent="0.3">
      <c r="A40" s="2" t="s">
        <v>30</v>
      </c>
      <c r="B40" s="2" t="s">
        <v>461</v>
      </c>
      <c r="C40" s="2" t="s">
        <v>462</v>
      </c>
      <c r="D40" s="4">
        <v>228.39</v>
      </c>
    </row>
    <row r="41" spans="1:4" ht="15.75" customHeight="1" x14ac:dyDescent="0.3">
      <c r="A41" s="2" t="s">
        <v>30</v>
      </c>
      <c r="B41" s="2" t="s">
        <v>463</v>
      </c>
      <c r="C41" s="2" t="s">
        <v>464</v>
      </c>
      <c r="D41" s="4">
        <v>7.79</v>
      </c>
    </row>
    <row r="42" spans="1:4" ht="15.75" customHeight="1" x14ac:dyDescent="0.3">
      <c r="A42" s="2" t="s">
        <v>31</v>
      </c>
      <c r="B42" s="2" t="s">
        <v>5</v>
      </c>
      <c r="C42" s="2" t="s">
        <v>5</v>
      </c>
      <c r="D42" s="4" t="s">
        <v>5</v>
      </c>
    </row>
    <row r="43" spans="1:4" ht="15.75" customHeight="1" x14ac:dyDescent="0.3">
      <c r="A43" s="2" t="s">
        <v>31</v>
      </c>
      <c r="B43" s="2" t="s">
        <v>461</v>
      </c>
      <c r="C43" s="2" t="s">
        <v>462</v>
      </c>
      <c r="D43" s="4">
        <v>228.39</v>
      </c>
    </row>
    <row r="44" spans="1:4" ht="15.75" customHeight="1" x14ac:dyDescent="0.3">
      <c r="A44" s="2" t="s">
        <v>31</v>
      </c>
      <c r="B44" s="2" t="s">
        <v>463</v>
      </c>
      <c r="C44" s="2" t="s">
        <v>464</v>
      </c>
      <c r="D44" s="4">
        <v>7.79</v>
      </c>
    </row>
    <row r="45" spans="1:4" ht="15.75" customHeight="1" x14ac:dyDescent="0.3">
      <c r="A45" s="2" t="s">
        <v>32</v>
      </c>
      <c r="B45" s="2" t="s">
        <v>5</v>
      </c>
      <c r="C45" s="2" t="s">
        <v>5</v>
      </c>
      <c r="D45" s="4" t="s">
        <v>5</v>
      </c>
    </row>
    <row r="46" spans="1:4" ht="15.75" customHeight="1" x14ac:dyDescent="0.3">
      <c r="A46" s="2" t="s">
        <v>32</v>
      </c>
      <c r="B46" s="2" t="s">
        <v>461</v>
      </c>
      <c r="C46" s="2" t="s">
        <v>462</v>
      </c>
      <c r="D46" s="4">
        <v>228.39</v>
      </c>
    </row>
    <row r="47" spans="1:4" ht="15.75" customHeight="1" x14ac:dyDescent="0.3">
      <c r="A47" s="2" t="s">
        <v>32</v>
      </c>
      <c r="B47" s="2" t="s">
        <v>463</v>
      </c>
      <c r="C47" s="2" t="s">
        <v>464</v>
      </c>
      <c r="D47" s="4">
        <v>7.79</v>
      </c>
    </row>
    <row r="48" spans="1:4" ht="15.75" customHeight="1" x14ac:dyDescent="0.3">
      <c r="A48" s="2" t="s">
        <v>33</v>
      </c>
      <c r="B48" s="2" t="s">
        <v>5</v>
      </c>
      <c r="C48" s="2" t="s">
        <v>5</v>
      </c>
      <c r="D48" s="4" t="s">
        <v>5</v>
      </c>
    </row>
    <row r="49" spans="1:4" ht="15.75" customHeight="1" x14ac:dyDescent="0.3">
      <c r="A49" s="2" t="s">
        <v>33</v>
      </c>
      <c r="B49" s="2" t="s">
        <v>461</v>
      </c>
      <c r="C49" s="2" t="s">
        <v>462</v>
      </c>
      <c r="D49" s="4">
        <v>228.39</v>
      </c>
    </row>
    <row r="50" spans="1:4" ht="15.75" customHeight="1" x14ac:dyDescent="0.3">
      <c r="A50" s="2" t="s">
        <v>33</v>
      </c>
      <c r="B50" s="2" t="s">
        <v>463</v>
      </c>
      <c r="C50" s="2" t="s">
        <v>464</v>
      </c>
      <c r="D50" s="4">
        <v>7.79</v>
      </c>
    </row>
    <row r="51" spans="1:4" ht="15.75" customHeight="1" x14ac:dyDescent="0.3">
      <c r="A51" s="2" t="s">
        <v>34</v>
      </c>
      <c r="B51" s="2" t="s">
        <v>5</v>
      </c>
      <c r="C51" s="2" t="s">
        <v>5</v>
      </c>
      <c r="D51" s="4" t="s">
        <v>5</v>
      </c>
    </row>
    <row r="52" spans="1:4" ht="15.75" customHeight="1" x14ac:dyDescent="0.3">
      <c r="A52" s="2" t="s">
        <v>34</v>
      </c>
      <c r="B52" s="2" t="s">
        <v>461</v>
      </c>
      <c r="C52" s="2" t="s">
        <v>462</v>
      </c>
      <c r="D52" s="4">
        <v>228.39</v>
      </c>
    </row>
    <row r="53" spans="1:4" ht="15.75" customHeight="1" x14ac:dyDescent="0.3">
      <c r="A53" s="2" t="s">
        <v>34</v>
      </c>
      <c r="B53" s="2" t="s">
        <v>463</v>
      </c>
      <c r="C53" s="2" t="s">
        <v>464</v>
      </c>
      <c r="D53" s="4">
        <v>7.79</v>
      </c>
    </row>
    <row r="54" spans="1:4" ht="15.75" customHeight="1" x14ac:dyDescent="0.3">
      <c r="A54" s="2" t="s">
        <v>35</v>
      </c>
      <c r="B54" s="2" t="s">
        <v>5</v>
      </c>
      <c r="C54" s="2" t="s">
        <v>5</v>
      </c>
      <c r="D54" s="4" t="s">
        <v>5</v>
      </c>
    </row>
    <row r="55" spans="1:4" ht="15.75" customHeight="1" x14ac:dyDescent="0.3">
      <c r="A55" s="2" t="s">
        <v>35</v>
      </c>
      <c r="B55" s="2" t="s">
        <v>461</v>
      </c>
      <c r="C55" s="2" t="s">
        <v>462</v>
      </c>
      <c r="D55" s="4">
        <v>228.39</v>
      </c>
    </row>
    <row r="56" spans="1:4" ht="15.75" customHeight="1" x14ac:dyDescent="0.3">
      <c r="A56" s="2" t="s">
        <v>35</v>
      </c>
      <c r="B56" s="2" t="s">
        <v>463</v>
      </c>
      <c r="C56" s="2" t="s">
        <v>464</v>
      </c>
      <c r="D56" s="4">
        <v>7.79</v>
      </c>
    </row>
    <row r="57" spans="1:4" ht="15.75" customHeight="1" x14ac:dyDescent="0.3">
      <c r="A57" s="2" t="s">
        <v>36</v>
      </c>
      <c r="B57" s="2" t="s">
        <v>5</v>
      </c>
      <c r="C57" s="2" t="s">
        <v>5</v>
      </c>
      <c r="D57" s="4" t="s">
        <v>5</v>
      </c>
    </row>
    <row r="58" spans="1:4" ht="15.75" customHeight="1" x14ac:dyDescent="0.3">
      <c r="A58" s="2" t="s">
        <v>36</v>
      </c>
      <c r="B58" s="2" t="s">
        <v>461</v>
      </c>
      <c r="C58" s="2" t="s">
        <v>462</v>
      </c>
      <c r="D58" s="4">
        <v>228.39</v>
      </c>
    </row>
    <row r="59" spans="1:4" ht="15.75" customHeight="1" x14ac:dyDescent="0.3">
      <c r="A59" s="2" t="s">
        <v>36</v>
      </c>
      <c r="B59" s="2" t="s">
        <v>463</v>
      </c>
      <c r="C59" s="2" t="s">
        <v>464</v>
      </c>
      <c r="D59" s="4">
        <v>7.79</v>
      </c>
    </row>
    <row r="60" spans="1:4" ht="15.75" customHeight="1" x14ac:dyDescent="0.3">
      <c r="A60" s="2" t="s">
        <v>37</v>
      </c>
      <c r="B60" s="2" t="s">
        <v>5</v>
      </c>
      <c r="C60" s="2" t="s">
        <v>5</v>
      </c>
      <c r="D60" s="4" t="s">
        <v>5</v>
      </c>
    </row>
    <row r="61" spans="1:4" ht="15.75" customHeight="1" x14ac:dyDescent="0.3">
      <c r="A61" s="2" t="s">
        <v>37</v>
      </c>
      <c r="B61" s="2" t="s">
        <v>461</v>
      </c>
      <c r="C61" s="2" t="s">
        <v>462</v>
      </c>
      <c r="D61" s="4">
        <v>228.39</v>
      </c>
    </row>
    <row r="62" spans="1:4" ht="15.75" customHeight="1" x14ac:dyDescent="0.3">
      <c r="A62" s="2" t="s">
        <v>37</v>
      </c>
      <c r="B62" s="2" t="s">
        <v>463</v>
      </c>
      <c r="C62" s="2" t="s">
        <v>464</v>
      </c>
      <c r="D62" s="4">
        <v>7.79</v>
      </c>
    </row>
    <row r="63" spans="1:4" ht="15.75" customHeight="1" x14ac:dyDescent="0.3">
      <c r="A63" s="2" t="s">
        <v>38</v>
      </c>
      <c r="B63" s="2" t="s">
        <v>5</v>
      </c>
      <c r="C63" s="2" t="s">
        <v>5</v>
      </c>
      <c r="D63" s="4" t="s">
        <v>5</v>
      </c>
    </row>
    <row r="64" spans="1:4" ht="15.75" customHeight="1" x14ac:dyDescent="0.3">
      <c r="A64" s="2" t="s">
        <v>38</v>
      </c>
      <c r="B64" s="2" t="s">
        <v>461</v>
      </c>
      <c r="C64" s="2" t="s">
        <v>462</v>
      </c>
      <c r="D64" s="4">
        <v>223.89</v>
      </c>
    </row>
    <row r="65" spans="1:4" ht="15.75" customHeight="1" x14ac:dyDescent="0.3">
      <c r="A65" s="2" t="s">
        <v>38</v>
      </c>
      <c r="B65" s="2" t="s">
        <v>463</v>
      </c>
      <c r="C65" s="2" t="s">
        <v>464</v>
      </c>
      <c r="D65" s="4">
        <v>8.35</v>
      </c>
    </row>
    <row r="66" spans="1:4" ht="15.75" customHeight="1" x14ac:dyDescent="0.3">
      <c r="A66" s="2" t="s">
        <v>39</v>
      </c>
      <c r="B66" s="2" t="s">
        <v>5</v>
      </c>
      <c r="C66" s="2" t="s">
        <v>5</v>
      </c>
      <c r="D66" s="4" t="s">
        <v>5</v>
      </c>
    </row>
    <row r="67" spans="1:4" ht="15.75" customHeight="1" x14ac:dyDescent="0.3">
      <c r="A67" s="2" t="s">
        <v>39</v>
      </c>
      <c r="B67" s="2" t="s">
        <v>461</v>
      </c>
      <c r="C67" s="2" t="s">
        <v>462</v>
      </c>
      <c r="D67" s="4">
        <v>57.51</v>
      </c>
    </row>
    <row r="68" spans="1:4" ht="15.75" customHeight="1" x14ac:dyDescent="0.3">
      <c r="A68" s="2" t="s">
        <v>39</v>
      </c>
      <c r="B68" s="2" t="s">
        <v>463</v>
      </c>
      <c r="C68" s="2" t="s">
        <v>464</v>
      </c>
      <c r="D68" s="4">
        <v>63.32</v>
      </c>
    </row>
    <row r="69" spans="1:4" ht="15.75" customHeight="1" x14ac:dyDescent="0.3">
      <c r="A69" s="2" t="s">
        <v>43</v>
      </c>
      <c r="B69" s="2" t="s">
        <v>5</v>
      </c>
      <c r="C69" s="2" t="s">
        <v>5</v>
      </c>
      <c r="D69" s="4" t="s">
        <v>5</v>
      </c>
    </row>
    <row r="70" spans="1:4" ht="15.75" customHeight="1" x14ac:dyDescent="0.3">
      <c r="A70" s="2" t="s">
        <v>43</v>
      </c>
      <c r="B70" s="2" t="s">
        <v>461</v>
      </c>
      <c r="C70" s="2" t="s">
        <v>462</v>
      </c>
      <c r="D70" s="4">
        <v>12.39</v>
      </c>
    </row>
    <row r="71" spans="1:4" ht="15.75" customHeight="1" x14ac:dyDescent="0.3">
      <c r="A71" s="2" t="s">
        <v>44</v>
      </c>
      <c r="B71" s="2" t="s">
        <v>5</v>
      </c>
      <c r="C71" s="2" t="s">
        <v>5</v>
      </c>
      <c r="D71" s="4" t="s">
        <v>5</v>
      </c>
    </row>
    <row r="72" spans="1:4" ht="15.75" customHeight="1" x14ac:dyDescent="0.3">
      <c r="A72" s="2" t="s">
        <v>44</v>
      </c>
      <c r="B72" s="2" t="s">
        <v>461</v>
      </c>
      <c r="C72" s="2" t="s">
        <v>462</v>
      </c>
      <c r="D72" s="4">
        <v>18.100000000000001</v>
      </c>
    </row>
    <row r="73" spans="1:4" ht="15.75" customHeight="1" x14ac:dyDescent="0.3"/>
    <row r="74" spans="1:4" ht="15.75" customHeight="1" x14ac:dyDescent="0.3"/>
    <row r="75" spans="1:4" ht="15.75" customHeight="1" x14ac:dyDescent="0.3"/>
    <row r="76" spans="1:4" ht="15.75" customHeight="1" x14ac:dyDescent="0.3"/>
    <row r="77" spans="1:4" ht="15.75" customHeight="1" x14ac:dyDescent="0.3"/>
    <row r="78" spans="1:4" ht="15.75" customHeight="1" x14ac:dyDescent="0.3"/>
    <row r="79" spans="1:4" ht="15.75" customHeight="1" x14ac:dyDescent="0.3"/>
    <row r="80" spans="1:4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autoFilter ref="A1:D72" xr:uid="{00000000-0009-0000-0000-00000B000000}"/>
  <pageMargins left="0.511811024" right="0.511811024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opLeftCell="B1" zoomScale="85" zoomScaleNormal="85" workbookViewId="0">
      <selection activeCell="D11" sqref="D11"/>
    </sheetView>
  </sheetViews>
  <sheetFormatPr defaultColWidth="14.44140625" defaultRowHeight="15" customHeight="1" x14ac:dyDescent="0.3"/>
  <cols>
    <col min="1" max="1" width="18.5546875" customWidth="1"/>
    <col min="2" max="2" width="63.88671875" customWidth="1"/>
    <col min="3" max="3" width="61.44140625" customWidth="1"/>
    <col min="4" max="4" width="10.33203125" style="5" customWidth="1"/>
    <col min="5" max="5" width="13.88671875" style="5" customWidth="1"/>
    <col min="6" max="7" width="8.6640625" customWidth="1"/>
    <col min="8" max="8" width="61.33203125" bestFit="1" customWidth="1"/>
    <col min="9" max="9" width="8.6640625" style="5" customWidth="1"/>
    <col min="10" max="26" width="8.6640625" customWidth="1"/>
  </cols>
  <sheetData>
    <row r="1" spans="1:9" ht="14.4" x14ac:dyDescent="0.3">
      <c r="A1" s="88" t="s">
        <v>466</v>
      </c>
      <c r="B1" s="89"/>
      <c r="C1" s="89"/>
      <c r="D1" s="89"/>
      <c r="E1" s="90"/>
    </row>
    <row r="2" spans="1:9" ht="14.4" x14ac:dyDescent="0.3">
      <c r="A2" s="1" t="s">
        <v>467</v>
      </c>
      <c r="B2" s="1" t="s">
        <v>1</v>
      </c>
      <c r="C2" s="1" t="s">
        <v>2</v>
      </c>
      <c r="D2" s="3" t="s">
        <v>3</v>
      </c>
      <c r="E2" s="3" t="s">
        <v>506</v>
      </c>
    </row>
    <row r="3" spans="1:9" ht="14.4" x14ac:dyDescent="0.3">
      <c r="A3" s="2" t="s">
        <v>4</v>
      </c>
      <c r="B3" s="2" t="s">
        <v>5</v>
      </c>
      <c r="C3" s="2" t="s">
        <v>5</v>
      </c>
      <c r="D3" s="4" t="s">
        <v>5</v>
      </c>
      <c r="E3" s="4" t="s">
        <v>5</v>
      </c>
    </row>
    <row r="4" spans="1:9" ht="14.4" x14ac:dyDescent="0.3">
      <c r="A4" s="2" t="s">
        <v>4</v>
      </c>
      <c r="B4" s="2" t="s">
        <v>468</v>
      </c>
      <c r="C4" s="2" t="s">
        <v>469</v>
      </c>
      <c r="D4" s="4">
        <v>4.96</v>
      </c>
      <c r="E4" s="4">
        <v>3.31</v>
      </c>
      <c r="H4" s="2" t="s">
        <v>468</v>
      </c>
      <c r="I4" s="5">
        <f>SUMIF(B:B,H4,D:D)</f>
        <v>4.96</v>
      </c>
    </row>
    <row r="5" spans="1:9" ht="14.4" x14ac:dyDescent="0.3">
      <c r="A5" s="2" t="s">
        <v>4</v>
      </c>
      <c r="B5" s="2" t="s">
        <v>470</v>
      </c>
      <c r="C5" s="2" t="s">
        <v>471</v>
      </c>
      <c r="D5" s="4">
        <v>60.69</v>
      </c>
      <c r="E5" s="4">
        <v>35.54</v>
      </c>
      <c r="H5" s="2" t="s">
        <v>470</v>
      </c>
      <c r="I5" s="5">
        <f t="shared" ref="I5:I14" si="0">SUMIF(B:B,H5,D:D)</f>
        <v>127.88</v>
      </c>
    </row>
    <row r="6" spans="1:9" ht="14.4" x14ac:dyDescent="0.3">
      <c r="A6" s="2" t="s">
        <v>4</v>
      </c>
      <c r="B6" s="2" t="s">
        <v>472</v>
      </c>
      <c r="C6" s="2" t="s">
        <v>473</v>
      </c>
      <c r="D6" s="4">
        <v>6.96</v>
      </c>
      <c r="E6" s="4">
        <v>28.17</v>
      </c>
      <c r="H6" s="2" t="s">
        <v>472</v>
      </c>
      <c r="I6" s="5">
        <f t="shared" si="0"/>
        <v>529.6</v>
      </c>
    </row>
    <row r="7" spans="1:9" ht="14.4" x14ac:dyDescent="0.3">
      <c r="A7" s="2" t="s">
        <v>12</v>
      </c>
      <c r="B7" s="2" t="s">
        <v>5</v>
      </c>
      <c r="C7" s="2" t="s">
        <v>5</v>
      </c>
      <c r="D7" s="4" t="s">
        <v>5</v>
      </c>
      <c r="E7" s="4" t="s">
        <v>5</v>
      </c>
      <c r="H7" s="2" t="s">
        <v>5</v>
      </c>
      <c r="I7" s="5">
        <f t="shared" si="0"/>
        <v>0</v>
      </c>
    </row>
    <row r="8" spans="1:9" ht="14.4" x14ac:dyDescent="0.3">
      <c r="A8" s="2" t="s">
        <v>12</v>
      </c>
      <c r="B8" s="2" t="s">
        <v>472</v>
      </c>
      <c r="C8" s="2" t="s">
        <v>473</v>
      </c>
      <c r="D8" s="4">
        <v>62.95</v>
      </c>
      <c r="E8" s="4">
        <v>340.19</v>
      </c>
      <c r="H8" s="2" t="s">
        <v>474</v>
      </c>
      <c r="I8" s="5">
        <f t="shared" si="0"/>
        <v>0.86</v>
      </c>
    </row>
    <row r="9" spans="1:9" ht="14.4" x14ac:dyDescent="0.3">
      <c r="A9" s="2" t="s">
        <v>12</v>
      </c>
      <c r="B9" s="2" t="s">
        <v>474</v>
      </c>
      <c r="C9" s="2" t="s">
        <v>475</v>
      </c>
      <c r="D9" s="4">
        <v>0.86</v>
      </c>
      <c r="E9" s="4">
        <v>2.48</v>
      </c>
      <c r="H9" s="2" t="s">
        <v>476</v>
      </c>
      <c r="I9" s="5">
        <f t="shared" si="0"/>
        <v>76.34999999999998</v>
      </c>
    </row>
    <row r="10" spans="1:9" ht="14.4" x14ac:dyDescent="0.3">
      <c r="A10" s="2" t="s">
        <v>15</v>
      </c>
      <c r="B10" s="2" t="s">
        <v>5</v>
      </c>
      <c r="C10" s="2" t="s">
        <v>5</v>
      </c>
      <c r="D10" s="4" t="s">
        <v>5</v>
      </c>
      <c r="E10" s="4" t="s">
        <v>5</v>
      </c>
      <c r="H10" s="2" t="s">
        <v>477</v>
      </c>
      <c r="I10" s="5">
        <f t="shared" si="0"/>
        <v>54.07</v>
      </c>
    </row>
    <row r="11" spans="1:9" ht="14.4" x14ac:dyDescent="0.3">
      <c r="A11" s="2" t="s">
        <v>15</v>
      </c>
      <c r="B11" s="2" t="s">
        <v>472</v>
      </c>
      <c r="C11" s="2" t="s">
        <v>473</v>
      </c>
      <c r="D11" s="4">
        <v>90.59</v>
      </c>
      <c r="E11" s="4">
        <v>551.61</v>
      </c>
      <c r="H11" s="2" t="s">
        <v>479</v>
      </c>
      <c r="I11" s="5">
        <f t="shared" si="0"/>
        <v>543.52000000000021</v>
      </c>
    </row>
    <row r="12" spans="1:9" ht="14.4" x14ac:dyDescent="0.3">
      <c r="A12" s="2" t="s">
        <v>16</v>
      </c>
      <c r="B12" s="2" t="s">
        <v>5</v>
      </c>
      <c r="C12" s="2" t="s">
        <v>5</v>
      </c>
      <c r="D12" s="4" t="s">
        <v>5</v>
      </c>
      <c r="E12" s="4" t="s">
        <v>5</v>
      </c>
      <c r="H12" s="2" t="s">
        <v>481</v>
      </c>
      <c r="I12" s="5">
        <f t="shared" si="0"/>
        <v>30.94</v>
      </c>
    </row>
    <row r="13" spans="1:9" ht="14.4" x14ac:dyDescent="0.3">
      <c r="A13" s="2" t="s">
        <v>16</v>
      </c>
      <c r="B13" s="2" t="s">
        <v>472</v>
      </c>
      <c r="C13" s="2" t="s">
        <v>473</v>
      </c>
      <c r="D13" s="4">
        <v>44.89</v>
      </c>
      <c r="E13" s="4">
        <v>221.48</v>
      </c>
      <c r="H13" s="2" t="s">
        <v>483</v>
      </c>
      <c r="I13" s="5">
        <f t="shared" si="0"/>
        <v>81.820000000000007</v>
      </c>
    </row>
    <row r="14" spans="1:9" ht="14.4" x14ac:dyDescent="0.3">
      <c r="A14" s="2" t="s">
        <v>17</v>
      </c>
      <c r="B14" s="2" t="s">
        <v>5</v>
      </c>
      <c r="C14" s="2" t="s">
        <v>5</v>
      </c>
      <c r="D14" s="4" t="s">
        <v>5</v>
      </c>
      <c r="E14" s="4" t="s">
        <v>5</v>
      </c>
      <c r="H14" s="2" t="s">
        <v>485</v>
      </c>
      <c r="I14" s="5">
        <f t="shared" si="0"/>
        <v>0.42</v>
      </c>
    </row>
    <row r="15" spans="1:9" ht="14.4" x14ac:dyDescent="0.3">
      <c r="A15" s="2" t="s">
        <v>17</v>
      </c>
      <c r="B15" s="2" t="s">
        <v>472</v>
      </c>
      <c r="C15" s="2" t="s">
        <v>473</v>
      </c>
      <c r="D15" s="4">
        <v>81.37</v>
      </c>
      <c r="E15" s="4">
        <v>370.46</v>
      </c>
    </row>
    <row r="16" spans="1:9" ht="14.4" x14ac:dyDescent="0.3">
      <c r="A16" s="2" t="s">
        <v>18</v>
      </c>
      <c r="B16" s="2" t="s">
        <v>5</v>
      </c>
      <c r="C16" s="2" t="s">
        <v>5</v>
      </c>
      <c r="D16" s="4" t="s">
        <v>5</v>
      </c>
      <c r="E16" s="4" t="s">
        <v>5</v>
      </c>
    </row>
    <row r="17" spans="1:5" ht="14.4" x14ac:dyDescent="0.3">
      <c r="A17" s="2" t="s">
        <v>18</v>
      </c>
      <c r="B17" s="2" t="s">
        <v>476</v>
      </c>
      <c r="C17" s="2" t="s">
        <v>476</v>
      </c>
      <c r="D17" s="4">
        <v>1.41</v>
      </c>
      <c r="E17" s="4">
        <v>14.06</v>
      </c>
    </row>
    <row r="18" spans="1:5" ht="14.4" x14ac:dyDescent="0.3">
      <c r="A18" s="2" t="s">
        <v>18</v>
      </c>
      <c r="B18" s="2" t="s">
        <v>477</v>
      </c>
      <c r="C18" s="2" t="s">
        <v>478</v>
      </c>
      <c r="D18" s="4">
        <v>41.36</v>
      </c>
      <c r="E18" s="4">
        <v>47.22</v>
      </c>
    </row>
    <row r="19" spans="1:5" ht="14.4" x14ac:dyDescent="0.3">
      <c r="A19" s="2" t="s">
        <v>18</v>
      </c>
      <c r="B19" s="2" t="s">
        <v>472</v>
      </c>
      <c r="C19" s="2" t="s">
        <v>473</v>
      </c>
      <c r="D19" s="4">
        <v>79.16</v>
      </c>
      <c r="E19" s="4">
        <v>255.12</v>
      </c>
    </row>
    <row r="20" spans="1:5" ht="14.4" x14ac:dyDescent="0.3">
      <c r="A20" s="2" t="s">
        <v>21</v>
      </c>
      <c r="B20" s="2" t="s">
        <v>5</v>
      </c>
      <c r="C20" s="2" t="s">
        <v>5</v>
      </c>
      <c r="D20" s="4" t="s">
        <v>5</v>
      </c>
      <c r="E20" s="4" t="s">
        <v>5</v>
      </c>
    </row>
    <row r="21" spans="1:5" ht="15.75" customHeight="1" x14ac:dyDescent="0.3">
      <c r="A21" s="2" t="s">
        <v>21</v>
      </c>
      <c r="B21" s="2" t="s">
        <v>479</v>
      </c>
      <c r="C21" s="2" t="s">
        <v>480</v>
      </c>
      <c r="D21" s="4">
        <v>33.97</v>
      </c>
      <c r="E21" s="4">
        <v>22.64</v>
      </c>
    </row>
    <row r="22" spans="1:5" ht="15.75" customHeight="1" x14ac:dyDescent="0.3">
      <c r="A22" s="2" t="s">
        <v>21</v>
      </c>
      <c r="B22" s="2" t="s">
        <v>476</v>
      </c>
      <c r="C22" s="2" t="s">
        <v>476</v>
      </c>
      <c r="D22" s="4">
        <v>4.5999999999999996</v>
      </c>
      <c r="E22" s="4">
        <v>45.96</v>
      </c>
    </row>
    <row r="23" spans="1:5" ht="15.75" customHeight="1" x14ac:dyDescent="0.3">
      <c r="A23" s="2" t="s">
        <v>21</v>
      </c>
      <c r="B23" s="2" t="s">
        <v>481</v>
      </c>
      <c r="C23" s="2" t="s">
        <v>482</v>
      </c>
      <c r="D23" s="4">
        <v>30.94</v>
      </c>
      <c r="E23" s="4">
        <v>110.94</v>
      </c>
    </row>
    <row r="24" spans="1:5" ht="15.75" customHeight="1" x14ac:dyDescent="0.3">
      <c r="A24" s="2" t="s">
        <v>21</v>
      </c>
      <c r="B24" s="2" t="s">
        <v>483</v>
      </c>
      <c r="C24" s="2" t="s">
        <v>484</v>
      </c>
      <c r="D24" s="4">
        <v>4.84</v>
      </c>
      <c r="E24" s="4">
        <v>12.09</v>
      </c>
    </row>
    <row r="25" spans="1:5" ht="15.75" customHeight="1" x14ac:dyDescent="0.3">
      <c r="A25" s="2" t="s">
        <v>24</v>
      </c>
      <c r="B25" s="2" t="s">
        <v>5</v>
      </c>
      <c r="C25" s="2" t="s">
        <v>5</v>
      </c>
      <c r="D25" s="4" t="s">
        <v>5</v>
      </c>
      <c r="E25" s="4" t="s">
        <v>5</v>
      </c>
    </row>
    <row r="26" spans="1:5" ht="15.75" customHeight="1" x14ac:dyDescent="0.3">
      <c r="A26" s="2" t="s">
        <v>24</v>
      </c>
      <c r="B26" s="2" t="s">
        <v>479</v>
      </c>
      <c r="C26" s="2" t="s">
        <v>480</v>
      </c>
      <c r="D26" s="4">
        <v>33.97</v>
      </c>
      <c r="E26" s="4">
        <v>22.64</v>
      </c>
    </row>
    <row r="27" spans="1:5" ht="15.75" customHeight="1" x14ac:dyDescent="0.3">
      <c r="A27" s="2" t="s">
        <v>24</v>
      </c>
      <c r="B27" s="2" t="s">
        <v>476</v>
      </c>
      <c r="C27" s="2" t="s">
        <v>476</v>
      </c>
      <c r="D27" s="4">
        <v>4.5999999999999996</v>
      </c>
      <c r="E27" s="4">
        <v>45.97</v>
      </c>
    </row>
    <row r="28" spans="1:5" ht="15.75" customHeight="1" x14ac:dyDescent="0.3">
      <c r="A28" s="2" t="s">
        <v>24</v>
      </c>
      <c r="B28" s="2" t="s">
        <v>483</v>
      </c>
      <c r="C28" s="2" t="s">
        <v>484</v>
      </c>
      <c r="D28" s="4">
        <v>4.84</v>
      </c>
      <c r="E28" s="4">
        <v>12.09</v>
      </c>
    </row>
    <row r="29" spans="1:5" ht="15.75" customHeight="1" x14ac:dyDescent="0.3">
      <c r="A29" s="2" t="s">
        <v>25</v>
      </c>
      <c r="B29" s="2" t="s">
        <v>5</v>
      </c>
      <c r="C29" s="2" t="s">
        <v>5</v>
      </c>
      <c r="D29" s="4" t="s">
        <v>5</v>
      </c>
      <c r="E29" s="4" t="s">
        <v>5</v>
      </c>
    </row>
    <row r="30" spans="1:5" ht="15.75" customHeight="1" x14ac:dyDescent="0.3">
      <c r="A30" s="2" t="s">
        <v>25</v>
      </c>
      <c r="B30" s="2" t="s">
        <v>479</v>
      </c>
      <c r="C30" s="2" t="s">
        <v>480</v>
      </c>
      <c r="D30" s="4">
        <v>33.97</v>
      </c>
      <c r="E30" s="4">
        <v>22.64</v>
      </c>
    </row>
    <row r="31" spans="1:5" ht="15.75" customHeight="1" x14ac:dyDescent="0.3">
      <c r="A31" s="2" t="s">
        <v>25</v>
      </c>
      <c r="B31" s="2" t="s">
        <v>476</v>
      </c>
      <c r="C31" s="2" t="s">
        <v>476</v>
      </c>
      <c r="D31" s="4">
        <v>4.5999999999999996</v>
      </c>
      <c r="E31" s="4">
        <v>45.97</v>
      </c>
    </row>
    <row r="32" spans="1:5" ht="15.75" customHeight="1" x14ac:dyDescent="0.3">
      <c r="A32" s="2" t="s">
        <v>25</v>
      </c>
      <c r="B32" s="2" t="s">
        <v>483</v>
      </c>
      <c r="C32" s="2" t="s">
        <v>484</v>
      </c>
      <c r="D32" s="4">
        <v>4.84</v>
      </c>
      <c r="E32" s="4">
        <v>12.09</v>
      </c>
    </row>
    <row r="33" spans="1:5" ht="15.75" customHeight="1" x14ac:dyDescent="0.3">
      <c r="A33" s="2" t="s">
        <v>26</v>
      </c>
      <c r="B33" s="2" t="s">
        <v>5</v>
      </c>
      <c r="C33" s="2" t="s">
        <v>5</v>
      </c>
      <c r="D33" s="4" t="s">
        <v>5</v>
      </c>
      <c r="E33" s="4" t="s">
        <v>5</v>
      </c>
    </row>
    <row r="34" spans="1:5" ht="15.75" customHeight="1" x14ac:dyDescent="0.3">
      <c r="A34" s="2" t="s">
        <v>26</v>
      </c>
      <c r="B34" s="2" t="s">
        <v>479</v>
      </c>
      <c r="C34" s="2" t="s">
        <v>480</v>
      </c>
      <c r="D34" s="4">
        <v>33.97</v>
      </c>
      <c r="E34" s="4">
        <v>22.64</v>
      </c>
    </row>
    <row r="35" spans="1:5" ht="15.75" customHeight="1" x14ac:dyDescent="0.3">
      <c r="A35" s="2" t="s">
        <v>26</v>
      </c>
      <c r="B35" s="2" t="s">
        <v>476</v>
      </c>
      <c r="C35" s="2" t="s">
        <v>476</v>
      </c>
      <c r="D35" s="4">
        <v>4.5999999999999996</v>
      </c>
      <c r="E35" s="4">
        <v>45.97</v>
      </c>
    </row>
    <row r="36" spans="1:5" ht="15.75" customHeight="1" x14ac:dyDescent="0.3">
      <c r="A36" s="2" t="s">
        <v>26</v>
      </c>
      <c r="B36" s="2" t="s">
        <v>483</v>
      </c>
      <c r="C36" s="2" t="s">
        <v>484</v>
      </c>
      <c r="D36" s="4">
        <v>4.84</v>
      </c>
      <c r="E36" s="4">
        <v>12.09</v>
      </c>
    </row>
    <row r="37" spans="1:5" ht="15.75" customHeight="1" x14ac:dyDescent="0.3">
      <c r="A37" s="2" t="s">
        <v>27</v>
      </c>
      <c r="B37" s="2" t="s">
        <v>5</v>
      </c>
      <c r="C37" s="2" t="s">
        <v>5</v>
      </c>
      <c r="D37" s="4" t="s">
        <v>5</v>
      </c>
      <c r="E37" s="4" t="s">
        <v>5</v>
      </c>
    </row>
    <row r="38" spans="1:5" ht="15.75" customHeight="1" x14ac:dyDescent="0.3">
      <c r="A38" s="2" t="s">
        <v>27</v>
      </c>
      <c r="B38" s="2" t="s">
        <v>479</v>
      </c>
      <c r="C38" s="2" t="s">
        <v>480</v>
      </c>
      <c r="D38" s="4">
        <v>33.97</v>
      </c>
      <c r="E38" s="4">
        <v>22.64</v>
      </c>
    </row>
    <row r="39" spans="1:5" ht="15.75" customHeight="1" x14ac:dyDescent="0.3">
      <c r="A39" s="2" t="s">
        <v>27</v>
      </c>
      <c r="B39" s="2" t="s">
        <v>476</v>
      </c>
      <c r="C39" s="2" t="s">
        <v>476</v>
      </c>
      <c r="D39" s="4">
        <v>4.5999999999999996</v>
      </c>
      <c r="E39" s="4">
        <v>45.97</v>
      </c>
    </row>
    <row r="40" spans="1:5" ht="15.75" customHeight="1" x14ac:dyDescent="0.3">
      <c r="A40" s="2" t="s">
        <v>27</v>
      </c>
      <c r="B40" s="2" t="s">
        <v>483</v>
      </c>
      <c r="C40" s="2" t="s">
        <v>484</v>
      </c>
      <c r="D40" s="4">
        <v>4.84</v>
      </c>
      <c r="E40" s="4">
        <v>12.09</v>
      </c>
    </row>
    <row r="41" spans="1:5" ht="15.75" customHeight="1" x14ac:dyDescent="0.3">
      <c r="A41" s="2" t="s">
        <v>28</v>
      </c>
      <c r="B41" s="2" t="s">
        <v>5</v>
      </c>
      <c r="C41" s="2" t="s">
        <v>5</v>
      </c>
      <c r="D41" s="4" t="s">
        <v>5</v>
      </c>
      <c r="E41" s="4" t="s">
        <v>5</v>
      </c>
    </row>
    <row r="42" spans="1:5" ht="15.75" customHeight="1" x14ac:dyDescent="0.3">
      <c r="A42" s="2" t="s">
        <v>28</v>
      </c>
      <c r="B42" s="2" t="s">
        <v>479</v>
      </c>
      <c r="C42" s="2" t="s">
        <v>480</v>
      </c>
      <c r="D42" s="4">
        <v>33.97</v>
      </c>
      <c r="E42" s="4">
        <v>22.64</v>
      </c>
    </row>
    <row r="43" spans="1:5" ht="15.75" customHeight="1" x14ac:dyDescent="0.3">
      <c r="A43" s="2" t="s">
        <v>28</v>
      </c>
      <c r="B43" s="2" t="s">
        <v>476</v>
      </c>
      <c r="C43" s="2" t="s">
        <v>476</v>
      </c>
      <c r="D43" s="4">
        <v>4.5999999999999996</v>
      </c>
      <c r="E43" s="4">
        <v>45.97</v>
      </c>
    </row>
    <row r="44" spans="1:5" ht="15.75" customHeight="1" x14ac:dyDescent="0.3">
      <c r="A44" s="2" t="s">
        <v>28</v>
      </c>
      <c r="B44" s="2" t="s">
        <v>483</v>
      </c>
      <c r="C44" s="2" t="s">
        <v>484</v>
      </c>
      <c r="D44" s="4">
        <v>4.84</v>
      </c>
      <c r="E44" s="4">
        <v>12.09</v>
      </c>
    </row>
    <row r="45" spans="1:5" ht="15.75" customHeight="1" x14ac:dyDescent="0.3">
      <c r="A45" s="2" t="s">
        <v>29</v>
      </c>
      <c r="B45" s="2" t="s">
        <v>5</v>
      </c>
      <c r="C45" s="2" t="s">
        <v>5</v>
      </c>
      <c r="D45" s="4" t="s">
        <v>5</v>
      </c>
      <c r="E45" s="4" t="s">
        <v>5</v>
      </c>
    </row>
    <row r="46" spans="1:5" ht="15.75" customHeight="1" x14ac:dyDescent="0.3">
      <c r="A46" s="2" t="s">
        <v>29</v>
      </c>
      <c r="B46" s="2" t="s">
        <v>479</v>
      </c>
      <c r="C46" s="2" t="s">
        <v>480</v>
      </c>
      <c r="D46" s="4">
        <v>33.97</v>
      </c>
      <c r="E46" s="4">
        <v>22.64</v>
      </c>
    </row>
    <row r="47" spans="1:5" ht="15.75" customHeight="1" x14ac:dyDescent="0.3">
      <c r="A47" s="2" t="s">
        <v>29</v>
      </c>
      <c r="B47" s="2" t="s">
        <v>476</v>
      </c>
      <c r="C47" s="2" t="s">
        <v>476</v>
      </c>
      <c r="D47" s="4">
        <v>4.5999999999999996</v>
      </c>
      <c r="E47" s="4">
        <v>45.97</v>
      </c>
    </row>
    <row r="48" spans="1:5" ht="15.75" customHeight="1" x14ac:dyDescent="0.3">
      <c r="A48" s="2" t="s">
        <v>29</v>
      </c>
      <c r="B48" s="2" t="s">
        <v>483</v>
      </c>
      <c r="C48" s="2" t="s">
        <v>484</v>
      </c>
      <c r="D48" s="4">
        <v>4.84</v>
      </c>
      <c r="E48" s="4">
        <v>12.09</v>
      </c>
    </row>
    <row r="49" spans="1:5" ht="15.75" customHeight="1" x14ac:dyDescent="0.3">
      <c r="A49" s="2" t="s">
        <v>30</v>
      </c>
      <c r="B49" s="2" t="s">
        <v>5</v>
      </c>
      <c r="C49" s="2" t="s">
        <v>5</v>
      </c>
      <c r="D49" s="4" t="s">
        <v>5</v>
      </c>
      <c r="E49" s="4" t="s">
        <v>5</v>
      </c>
    </row>
    <row r="50" spans="1:5" ht="15.75" customHeight="1" x14ac:dyDescent="0.3">
      <c r="A50" s="2" t="s">
        <v>30</v>
      </c>
      <c r="B50" s="2" t="s">
        <v>479</v>
      </c>
      <c r="C50" s="2" t="s">
        <v>480</v>
      </c>
      <c r="D50" s="4">
        <v>33.97</v>
      </c>
      <c r="E50" s="4">
        <v>22.64</v>
      </c>
    </row>
    <row r="51" spans="1:5" ht="15.75" customHeight="1" x14ac:dyDescent="0.3">
      <c r="A51" s="2" t="s">
        <v>30</v>
      </c>
      <c r="B51" s="2" t="s">
        <v>476</v>
      </c>
      <c r="C51" s="2" t="s">
        <v>476</v>
      </c>
      <c r="D51" s="4">
        <v>4.5999999999999996</v>
      </c>
      <c r="E51" s="4">
        <v>45.97</v>
      </c>
    </row>
    <row r="52" spans="1:5" ht="15.75" customHeight="1" x14ac:dyDescent="0.3">
      <c r="A52" s="2" t="s">
        <v>30</v>
      </c>
      <c r="B52" s="2" t="s">
        <v>483</v>
      </c>
      <c r="C52" s="2" t="s">
        <v>484</v>
      </c>
      <c r="D52" s="4">
        <v>4.84</v>
      </c>
      <c r="E52" s="4">
        <v>12.09</v>
      </c>
    </row>
    <row r="53" spans="1:5" ht="15.75" customHeight="1" x14ac:dyDescent="0.3">
      <c r="A53" s="2" t="s">
        <v>31</v>
      </c>
      <c r="B53" s="2" t="s">
        <v>5</v>
      </c>
      <c r="C53" s="2" t="s">
        <v>5</v>
      </c>
      <c r="D53" s="4" t="s">
        <v>5</v>
      </c>
      <c r="E53" s="4" t="s">
        <v>5</v>
      </c>
    </row>
    <row r="54" spans="1:5" ht="15.75" customHeight="1" x14ac:dyDescent="0.3">
      <c r="A54" s="2" t="s">
        <v>31</v>
      </c>
      <c r="B54" s="2" t="s">
        <v>479</v>
      </c>
      <c r="C54" s="2" t="s">
        <v>480</v>
      </c>
      <c r="D54" s="4">
        <v>33.97</v>
      </c>
      <c r="E54" s="4">
        <v>22.64</v>
      </c>
    </row>
    <row r="55" spans="1:5" ht="15.75" customHeight="1" x14ac:dyDescent="0.3">
      <c r="A55" s="2" t="s">
        <v>31</v>
      </c>
      <c r="B55" s="2" t="s">
        <v>476</v>
      </c>
      <c r="C55" s="2" t="s">
        <v>476</v>
      </c>
      <c r="D55" s="4">
        <v>4.5999999999999996</v>
      </c>
      <c r="E55" s="4">
        <v>45.97</v>
      </c>
    </row>
    <row r="56" spans="1:5" ht="15.75" customHeight="1" x14ac:dyDescent="0.3">
      <c r="A56" s="2" t="s">
        <v>31</v>
      </c>
      <c r="B56" s="2" t="s">
        <v>483</v>
      </c>
      <c r="C56" s="2" t="s">
        <v>484</v>
      </c>
      <c r="D56" s="4">
        <v>4.84</v>
      </c>
      <c r="E56" s="4">
        <v>12.09</v>
      </c>
    </row>
    <row r="57" spans="1:5" ht="15.75" customHeight="1" x14ac:dyDescent="0.3">
      <c r="A57" s="2" t="s">
        <v>32</v>
      </c>
      <c r="B57" s="2" t="s">
        <v>5</v>
      </c>
      <c r="C57" s="2" t="s">
        <v>5</v>
      </c>
      <c r="D57" s="4" t="s">
        <v>5</v>
      </c>
      <c r="E57" s="4" t="s">
        <v>5</v>
      </c>
    </row>
    <row r="58" spans="1:5" ht="15.75" customHeight="1" x14ac:dyDescent="0.3">
      <c r="A58" s="2" t="s">
        <v>32</v>
      </c>
      <c r="B58" s="2" t="s">
        <v>479</v>
      </c>
      <c r="C58" s="2" t="s">
        <v>480</v>
      </c>
      <c r="D58" s="4">
        <v>33.97</v>
      </c>
      <c r="E58" s="4">
        <v>22.64</v>
      </c>
    </row>
    <row r="59" spans="1:5" ht="15.75" customHeight="1" x14ac:dyDescent="0.3">
      <c r="A59" s="2" t="s">
        <v>32</v>
      </c>
      <c r="B59" s="2" t="s">
        <v>476</v>
      </c>
      <c r="C59" s="2" t="s">
        <v>476</v>
      </c>
      <c r="D59" s="4">
        <v>4.5999999999999996</v>
      </c>
      <c r="E59" s="4">
        <v>45.97</v>
      </c>
    </row>
    <row r="60" spans="1:5" ht="15.75" customHeight="1" x14ac:dyDescent="0.3">
      <c r="A60" s="2" t="s">
        <v>32</v>
      </c>
      <c r="B60" s="2" t="s">
        <v>483</v>
      </c>
      <c r="C60" s="2" t="s">
        <v>484</v>
      </c>
      <c r="D60" s="4">
        <v>4.84</v>
      </c>
      <c r="E60" s="4">
        <v>12.09</v>
      </c>
    </row>
    <row r="61" spans="1:5" ht="15.75" customHeight="1" x14ac:dyDescent="0.3">
      <c r="A61" s="2" t="s">
        <v>33</v>
      </c>
      <c r="B61" s="2" t="s">
        <v>5</v>
      </c>
      <c r="C61" s="2" t="s">
        <v>5</v>
      </c>
      <c r="D61" s="4" t="s">
        <v>5</v>
      </c>
      <c r="E61" s="4" t="s">
        <v>5</v>
      </c>
    </row>
    <row r="62" spans="1:5" ht="15.75" customHeight="1" x14ac:dyDescent="0.3">
      <c r="A62" s="2" t="s">
        <v>33</v>
      </c>
      <c r="B62" s="2" t="s">
        <v>479</v>
      </c>
      <c r="C62" s="2" t="s">
        <v>480</v>
      </c>
      <c r="D62" s="4">
        <v>33.97</v>
      </c>
      <c r="E62" s="4">
        <v>22.64</v>
      </c>
    </row>
    <row r="63" spans="1:5" ht="15.75" customHeight="1" x14ac:dyDescent="0.3">
      <c r="A63" s="2" t="s">
        <v>33</v>
      </c>
      <c r="B63" s="2" t="s">
        <v>476</v>
      </c>
      <c r="C63" s="2" t="s">
        <v>476</v>
      </c>
      <c r="D63" s="4">
        <v>4.5999999999999996</v>
      </c>
      <c r="E63" s="4">
        <v>45.97</v>
      </c>
    </row>
    <row r="64" spans="1:5" ht="15.75" customHeight="1" x14ac:dyDescent="0.3">
      <c r="A64" s="2" t="s">
        <v>33</v>
      </c>
      <c r="B64" s="2" t="s">
        <v>483</v>
      </c>
      <c r="C64" s="2" t="s">
        <v>484</v>
      </c>
      <c r="D64" s="4">
        <v>4.84</v>
      </c>
      <c r="E64" s="4">
        <v>12.09</v>
      </c>
    </row>
    <row r="65" spans="1:5" ht="15.75" customHeight="1" x14ac:dyDescent="0.3">
      <c r="A65" s="2" t="s">
        <v>34</v>
      </c>
      <c r="B65" s="2" t="s">
        <v>5</v>
      </c>
      <c r="C65" s="2" t="s">
        <v>5</v>
      </c>
      <c r="D65" s="4" t="s">
        <v>5</v>
      </c>
      <c r="E65" s="4" t="s">
        <v>5</v>
      </c>
    </row>
    <row r="66" spans="1:5" ht="15.75" customHeight="1" x14ac:dyDescent="0.3">
      <c r="A66" s="2" t="s">
        <v>34</v>
      </c>
      <c r="B66" s="2" t="s">
        <v>479</v>
      </c>
      <c r="C66" s="2" t="s">
        <v>480</v>
      </c>
      <c r="D66" s="4">
        <v>33.97</v>
      </c>
      <c r="E66" s="4">
        <v>22.64</v>
      </c>
    </row>
    <row r="67" spans="1:5" ht="15.75" customHeight="1" x14ac:dyDescent="0.3">
      <c r="A67" s="2" t="s">
        <v>34</v>
      </c>
      <c r="B67" s="2" t="s">
        <v>476</v>
      </c>
      <c r="C67" s="2" t="s">
        <v>476</v>
      </c>
      <c r="D67" s="4">
        <v>4.5999999999999996</v>
      </c>
      <c r="E67" s="4">
        <v>45.97</v>
      </c>
    </row>
    <row r="68" spans="1:5" ht="15.75" customHeight="1" x14ac:dyDescent="0.3">
      <c r="A68" s="2" t="s">
        <v>34</v>
      </c>
      <c r="B68" s="2" t="s">
        <v>483</v>
      </c>
      <c r="C68" s="2" t="s">
        <v>484</v>
      </c>
      <c r="D68" s="4">
        <v>4.84</v>
      </c>
      <c r="E68" s="4">
        <v>12.09</v>
      </c>
    </row>
    <row r="69" spans="1:5" ht="15.75" customHeight="1" x14ac:dyDescent="0.3">
      <c r="A69" s="2" t="s">
        <v>35</v>
      </c>
      <c r="B69" s="2" t="s">
        <v>5</v>
      </c>
      <c r="C69" s="2" t="s">
        <v>5</v>
      </c>
      <c r="D69" s="4" t="s">
        <v>5</v>
      </c>
      <c r="E69" s="4" t="s">
        <v>5</v>
      </c>
    </row>
    <row r="70" spans="1:5" ht="15.75" customHeight="1" x14ac:dyDescent="0.3">
      <c r="A70" s="2" t="s">
        <v>35</v>
      </c>
      <c r="B70" s="2" t="s">
        <v>479</v>
      </c>
      <c r="C70" s="2" t="s">
        <v>480</v>
      </c>
      <c r="D70" s="4">
        <v>33.97</v>
      </c>
      <c r="E70" s="4">
        <v>22.64</v>
      </c>
    </row>
    <row r="71" spans="1:5" ht="15.75" customHeight="1" x14ac:dyDescent="0.3">
      <c r="A71" s="2" t="s">
        <v>35</v>
      </c>
      <c r="B71" s="2" t="s">
        <v>476</v>
      </c>
      <c r="C71" s="2" t="s">
        <v>476</v>
      </c>
      <c r="D71" s="4">
        <v>4.5999999999999996</v>
      </c>
      <c r="E71" s="4">
        <v>45.97</v>
      </c>
    </row>
    <row r="72" spans="1:5" ht="15.75" customHeight="1" x14ac:dyDescent="0.3">
      <c r="A72" s="2" t="s">
        <v>35</v>
      </c>
      <c r="B72" s="2" t="s">
        <v>483</v>
      </c>
      <c r="C72" s="2" t="s">
        <v>484</v>
      </c>
      <c r="D72" s="4">
        <v>4.84</v>
      </c>
      <c r="E72" s="4">
        <v>12.09</v>
      </c>
    </row>
    <row r="73" spans="1:5" ht="15.75" customHeight="1" x14ac:dyDescent="0.3">
      <c r="A73" s="2" t="s">
        <v>36</v>
      </c>
      <c r="B73" s="2" t="s">
        <v>5</v>
      </c>
      <c r="C73" s="2" t="s">
        <v>5</v>
      </c>
      <c r="D73" s="4" t="s">
        <v>5</v>
      </c>
      <c r="E73" s="4" t="s">
        <v>5</v>
      </c>
    </row>
    <row r="74" spans="1:5" ht="15.75" customHeight="1" x14ac:dyDescent="0.3">
      <c r="A74" s="2" t="s">
        <v>36</v>
      </c>
      <c r="B74" s="2" t="s">
        <v>479</v>
      </c>
      <c r="C74" s="2" t="s">
        <v>480</v>
      </c>
      <c r="D74" s="4">
        <v>33.97</v>
      </c>
      <c r="E74" s="4">
        <v>22.64</v>
      </c>
    </row>
    <row r="75" spans="1:5" ht="15.75" customHeight="1" x14ac:dyDescent="0.3">
      <c r="A75" s="2" t="s">
        <v>36</v>
      </c>
      <c r="B75" s="2" t="s">
        <v>476</v>
      </c>
      <c r="C75" s="2" t="s">
        <v>476</v>
      </c>
      <c r="D75" s="4">
        <v>4.5999999999999996</v>
      </c>
      <c r="E75" s="4">
        <v>45.97</v>
      </c>
    </row>
    <row r="76" spans="1:5" ht="15.75" customHeight="1" x14ac:dyDescent="0.3">
      <c r="A76" s="2" t="s">
        <v>36</v>
      </c>
      <c r="B76" s="2" t="s">
        <v>483</v>
      </c>
      <c r="C76" s="2" t="s">
        <v>484</v>
      </c>
      <c r="D76" s="4">
        <v>4.84</v>
      </c>
      <c r="E76" s="4">
        <v>12.09</v>
      </c>
    </row>
    <row r="77" spans="1:5" ht="15.75" customHeight="1" x14ac:dyDescent="0.3">
      <c r="A77" s="2" t="s">
        <v>37</v>
      </c>
      <c r="B77" s="2" t="s">
        <v>5</v>
      </c>
      <c r="C77" s="2" t="s">
        <v>5</v>
      </c>
      <c r="D77" s="4" t="s">
        <v>5</v>
      </c>
      <c r="E77" s="4" t="s">
        <v>5</v>
      </c>
    </row>
    <row r="78" spans="1:5" ht="15.75" customHeight="1" x14ac:dyDescent="0.3">
      <c r="A78" s="2" t="s">
        <v>37</v>
      </c>
      <c r="B78" s="2" t="s">
        <v>479</v>
      </c>
      <c r="C78" s="2" t="s">
        <v>480</v>
      </c>
      <c r="D78" s="4">
        <v>33.97</v>
      </c>
      <c r="E78" s="4">
        <v>22.64</v>
      </c>
    </row>
    <row r="79" spans="1:5" ht="15.75" customHeight="1" x14ac:dyDescent="0.3">
      <c r="A79" s="2" t="s">
        <v>37</v>
      </c>
      <c r="B79" s="2" t="s">
        <v>476</v>
      </c>
      <c r="C79" s="2" t="s">
        <v>476</v>
      </c>
      <c r="D79" s="4">
        <v>4.5999999999999996</v>
      </c>
      <c r="E79" s="4">
        <v>45.97</v>
      </c>
    </row>
    <row r="80" spans="1:5" ht="15.75" customHeight="1" x14ac:dyDescent="0.3">
      <c r="A80" s="2" t="s">
        <v>37</v>
      </c>
      <c r="B80" s="2" t="s">
        <v>483</v>
      </c>
      <c r="C80" s="2" t="s">
        <v>484</v>
      </c>
      <c r="D80" s="4">
        <v>4.84</v>
      </c>
      <c r="E80" s="4">
        <v>12.09</v>
      </c>
    </row>
    <row r="81" spans="1:5" ht="15.75" customHeight="1" x14ac:dyDescent="0.3">
      <c r="A81" s="2" t="s">
        <v>38</v>
      </c>
      <c r="B81" s="2" t="s">
        <v>5</v>
      </c>
      <c r="C81" s="2" t="s">
        <v>5</v>
      </c>
      <c r="D81" s="4" t="s">
        <v>5</v>
      </c>
      <c r="E81" s="4" t="s">
        <v>5</v>
      </c>
    </row>
    <row r="82" spans="1:5" ht="15.75" customHeight="1" x14ac:dyDescent="0.3">
      <c r="A82" s="2" t="s">
        <v>38</v>
      </c>
      <c r="B82" s="2" t="s">
        <v>479</v>
      </c>
      <c r="C82" s="2" t="s">
        <v>480</v>
      </c>
      <c r="D82" s="4">
        <v>33.97</v>
      </c>
      <c r="E82" s="4">
        <v>22.64</v>
      </c>
    </row>
    <row r="83" spans="1:5" ht="15.75" customHeight="1" x14ac:dyDescent="0.3">
      <c r="A83" s="2" t="s">
        <v>38</v>
      </c>
      <c r="B83" s="2" t="s">
        <v>476</v>
      </c>
      <c r="C83" s="2" t="s">
        <v>476</v>
      </c>
      <c r="D83" s="4">
        <v>4.5999999999999996</v>
      </c>
      <c r="E83" s="4">
        <v>45.97</v>
      </c>
    </row>
    <row r="84" spans="1:5" ht="15.75" customHeight="1" x14ac:dyDescent="0.3">
      <c r="A84" s="2" t="s">
        <v>38</v>
      </c>
      <c r="B84" s="2" t="s">
        <v>483</v>
      </c>
      <c r="C84" s="2" t="s">
        <v>484</v>
      </c>
      <c r="D84" s="4">
        <v>4.84</v>
      </c>
      <c r="E84" s="4">
        <v>12.09</v>
      </c>
    </row>
    <row r="85" spans="1:5" ht="15.75" customHeight="1" x14ac:dyDescent="0.3">
      <c r="A85" s="2" t="s">
        <v>39</v>
      </c>
      <c r="B85" s="2" t="s">
        <v>5</v>
      </c>
      <c r="C85" s="2" t="s">
        <v>5</v>
      </c>
      <c r="D85" s="4" t="s">
        <v>5</v>
      </c>
      <c r="E85" s="4" t="s">
        <v>5</v>
      </c>
    </row>
    <row r="86" spans="1:5" ht="15.75" customHeight="1" x14ac:dyDescent="0.3">
      <c r="A86" s="2" t="s">
        <v>39</v>
      </c>
      <c r="B86" s="2" t="s">
        <v>485</v>
      </c>
      <c r="C86" s="2" t="s">
        <v>486</v>
      </c>
      <c r="D86" s="4">
        <v>0.42</v>
      </c>
      <c r="E86" s="4">
        <v>1.05</v>
      </c>
    </row>
    <row r="87" spans="1:5" ht="15.75" customHeight="1" x14ac:dyDescent="0.3">
      <c r="A87" s="2" t="s">
        <v>39</v>
      </c>
      <c r="B87" s="2" t="s">
        <v>476</v>
      </c>
      <c r="C87" s="2" t="s">
        <v>476</v>
      </c>
      <c r="D87" s="4">
        <v>0.89</v>
      </c>
      <c r="E87" s="4">
        <v>8.8800000000000008</v>
      </c>
    </row>
    <row r="88" spans="1:5" ht="15.75" customHeight="1" x14ac:dyDescent="0.3">
      <c r="A88" s="2" t="s">
        <v>39</v>
      </c>
      <c r="B88" s="2" t="s">
        <v>477</v>
      </c>
      <c r="C88" s="2" t="s">
        <v>478</v>
      </c>
      <c r="D88" s="4">
        <v>12.71</v>
      </c>
      <c r="E88" s="4">
        <v>31.78</v>
      </c>
    </row>
    <row r="89" spans="1:5" ht="15.75" customHeight="1" x14ac:dyDescent="0.3">
      <c r="A89" s="2" t="s">
        <v>39</v>
      </c>
      <c r="B89" s="2" t="s">
        <v>483</v>
      </c>
      <c r="C89" s="2" t="s">
        <v>484</v>
      </c>
      <c r="D89" s="4">
        <v>1.46</v>
      </c>
      <c r="E89" s="4">
        <v>3.62</v>
      </c>
    </row>
    <row r="90" spans="1:5" ht="15.75" customHeight="1" x14ac:dyDescent="0.3">
      <c r="A90" s="2" t="s">
        <v>39</v>
      </c>
      <c r="B90" s="2" t="s">
        <v>472</v>
      </c>
      <c r="C90" s="2" t="s">
        <v>473</v>
      </c>
      <c r="D90" s="4">
        <v>30.04</v>
      </c>
      <c r="E90" s="4">
        <v>90.42</v>
      </c>
    </row>
    <row r="91" spans="1:5" ht="15.75" customHeight="1" x14ac:dyDescent="0.3">
      <c r="A91" s="2" t="s">
        <v>43</v>
      </c>
      <c r="B91" s="2" t="s">
        <v>5</v>
      </c>
      <c r="C91" s="2" t="s">
        <v>5</v>
      </c>
      <c r="D91" s="4" t="s">
        <v>5</v>
      </c>
      <c r="E91" s="4" t="s">
        <v>5</v>
      </c>
    </row>
    <row r="92" spans="1:5" ht="15.75" customHeight="1" x14ac:dyDescent="0.3">
      <c r="A92" s="2" t="s">
        <v>43</v>
      </c>
      <c r="B92" s="2" t="s">
        <v>476</v>
      </c>
      <c r="C92" s="2" t="s">
        <v>476</v>
      </c>
      <c r="D92" s="4">
        <v>0.13</v>
      </c>
      <c r="E92" s="4">
        <v>1.33</v>
      </c>
    </row>
    <row r="93" spans="1:5" ht="15.75" customHeight="1" x14ac:dyDescent="0.3">
      <c r="A93" s="2" t="s">
        <v>43</v>
      </c>
      <c r="B93" s="2" t="s">
        <v>483</v>
      </c>
      <c r="C93" s="2" t="s">
        <v>484</v>
      </c>
      <c r="D93" s="4">
        <v>1.46</v>
      </c>
      <c r="E93" s="4">
        <v>3.62</v>
      </c>
    </row>
    <row r="94" spans="1:5" ht="15.75" customHeight="1" x14ac:dyDescent="0.3">
      <c r="A94" s="2" t="s">
        <v>43</v>
      </c>
      <c r="B94" s="2" t="s">
        <v>472</v>
      </c>
      <c r="C94" s="2" t="s">
        <v>473</v>
      </c>
      <c r="D94" s="4">
        <v>123.64</v>
      </c>
      <c r="E94" s="4">
        <v>214.5</v>
      </c>
    </row>
    <row r="95" spans="1:5" ht="15.75" customHeight="1" x14ac:dyDescent="0.3">
      <c r="A95" s="2" t="s">
        <v>44</v>
      </c>
      <c r="B95" s="2" t="s">
        <v>5</v>
      </c>
      <c r="C95" s="2" t="s">
        <v>5</v>
      </c>
      <c r="D95" s="4" t="s">
        <v>5</v>
      </c>
      <c r="E95" s="4" t="s">
        <v>5</v>
      </c>
    </row>
    <row r="96" spans="1:5" ht="15.75" customHeight="1" x14ac:dyDescent="0.3">
      <c r="A96" s="2" t="s">
        <v>44</v>
      </c>
      <c r="B96" s="2" t="s">
        <v>476</v>
      </c>
      <c r="C96" s="2" t="s">
        <v>476</v>
      </c>
      <c r="D96" s="4">
        <v>0.32</v>
      </c>
      <c r="E96" s="4">
        <v>3.24</v>
      </c>
    </row>
    <row r="97" spans="1:5" ht="15.75" customHeight="1" x14ac:dyDescent="0.3">
      <c r="A97" s="2" t="s">
        <v>44</v>
      </c>
      <c r="B97" s="2" t="s">
        <v>483</v>
      </c>
      <c r="C97" s="2" t="s">
        <v>484</v>
      </c>
      <c r="D97" s="4">
        <v>1.46</v>
      </c>
      <c r="E97" s="4">
        <v>3.62</v>
      </c>
    </row>
    <row r="98" spans="1:5" ht="15.75" customHeight="1" x14ac:dyDescent="0.3">
      <c r="A98" s="2" t="s">
        <v>269</v>
      </c>
      <c r="B98" s="2" t="s">
        <v>5</v>
      </c>
      <c r="C98" s="2" t="s">
        <v>5</v>
      </c>
      <c r="D98" s="4" t="s">
        <v>5</v>
      </c>
      <c r="E98" s="4" t="s">
        <v>5</v>
      </c>
    </row>
    <row r="99" spans="1:5" ht="15.75" customHeight="1" x14ac:dyDescent="0.3">
      <c r="A99" s="2" t="s">
        <v>269</v>
      </c>
      <c r="B99" s="2" t="s">
        <v>470</v>
      </c>
      <c r="C99" s="2" t="s">
        <v>471</v>
      </c>
      <c r="D99" s="4">
        <v>67.19</v>
      </c>
      <c r="E99" s="4">
        <v>33.25</v>
      </c>
    </row>
    <row r="100" spans="1:5" ht="15.75" customHeight="1" x14ac:dyDescent="0.3">
      <c r="A100" s="2" t="s">
        <v>45</v>
      </c>
      <c r="B100" s="2" t="s">
        <v>5</v>
      </c>
      <c r="C100" s="2" t="s">
        <v>5</v>
      </c>
      <c r="D100" s="4" t="s">
        <v>5</v>
      </c>
      <c r="E100" s="4" t="s">
        <v>5</v>
      </c>
    </row>
    <row r="101" spans="1:5" ht="15.75" customHeight="1" x14ac:dyDescent="0.3">
      <c r="A101" s="2" t="s">
        <v>45</v>
      </c>
      <c r="B101" s="2" t="s">
        <v>472</v>
      </c>
      <c r="C101" s="2" t="s">
        <v>473</v>
      </c>
      <c r="D101" s="4">
        <v>10</v>
      </c>
      <c r="E101" s="4">
        <v>24.29</v>
      </c>
    </row>
    <row r="102" spans="1:5" ht="15.75" customHeight="1" x14ac:dyDescent="0.3"/>
    <row r="103" spans="1:5" ht="15.75" customHeight="1" x14ac:dyDescent="0.3"/>
    <row r="104" spans="1:5" ht="15.75" customHeight="1" x14ac:dyDescent="0.3"/>
    <row r="105" spans="1:5" ht="15.75" customHeight="1" x14ac:dyDescent="0.3"/>
    <row r="106" spans="1:5" ht="15.75" customHeight="1" x14ac:dyDescent="0.3"/>
    <row r="107" spans="1:5" ht="15.75" customHeight="1" x14ac:dyDescent="0.3"/>
    <row r="108" spans="1:5" ht="15.75" customHeight="1" x14ac:dyDescent="0.3"/>
    <row r="109" spans="1:5" ht="15.75" customHeight="1" x14ac:dyDescent="0.3"/>
    <row r="110" spans="1:5" ht="15.75" customHeight="1" x14ac:dyDescent="0.3"/>
    <row r="111" spans="1:5" ht="15.75" customHeight="1" x14ac:dyDescent="0.3"/>
    <row r="112" spans="1:5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E1"/>
  </mergeCells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00"/>
  <sheetViews>
    <sheetView zoomScale="85" zoomScaleNormal="85" workbookViewId="0">
      <selection activeCell="B13" sqref="B13"/>
    </sheetView>
  </sheetViews>
  <sheetFormatPr defaultColWidth="14.44140625" defaultRowHeight="15" customHeight="1" x14ac:dyDescent="0.3"/>
  <cols>
    <col min="1" max="1" width="18.5546875" customWidth="1"/>
    <col min="2" max="2" width="89" customWidth="1"/>
    <col min="3" max="3" width="61.44140625" customWidth="1"/>
    <col min="4" max="4" width="10.33203125" style="5" customWidth="1"/>
    <col min="5" max="5" width="8.6640625" customWidth="1"/>
    <col min="6" max="6" width="88.5546875" bestFit="1" customWidth="1"/>
    <col min="7" max="7" width="9.33203125" bestFit="1" customWidth="1"/>
    <col min="8" max="8" width="8.6640625" customWidth="1"/>
    <col min="9" max="9" width="88.5546875" bestFit="1" customWidth="1"/>
    <col min="10" max="10" width="9.5546875" bestFit="1" customWidth="1"/>
    <col min="11" max="26" width="8.6640625" customWidth="1"/>
  </cols>
  <sheetData>
    <row r="1" spans="1:10" ht="14.4" x14ac:dyDescent="0.3">
      <c r="A1" s="88" t="s">
        <v>487</v>
      </c>
      <c r="B1" s="89"/>
      <c r="C1" s="89"/>
      <c r="D1" s="90"/>
    </row>
    <row r="2" spans="1:10" ht="14.4" x14ac:dyDescent="0.3">
      <c r="A2" s="1" t="s">
        <v>0</v>
      </c>
      <c r="B2" s="1" t="s">
        <v>1</v>
      </c>
      <c r="C2" s="1" t="s">
        <v>2</v>
      </c>
      <c r="D2" s="3" t="s">
        <v>3</v>
      </c>
    </row>
    <row r="3" spans="1:10" ht="14.4" x14ac:dyDescent="0.3">
      <c r="A3" s="2" t="s">
        <v>4</v>
      </c>
      <c r="B3" s="2" t="s">
        <v>5</v>
      </c>
      <c r="C3" s="2" t="s">
        <v>5</v>
      </c>
      <c r="D3" s="4" t="s">
        <v>5</v>
      </c>
      <c r="F3" s="2" t="s">
        <v>488</v>
      </c>
      <c r="G3" s="5">
        <f>SUMIF(B:B,F3,D:D)</f>
        <v>1.32</v>
      </c>
      <c r="I3" s="2" t="s">
        <v>488</v>
      </c>
      <c r="J3" s="5">
        <f>SUMIF(F:F,I3,G:G)</f>
        <v>1.32</v>
      </c>
    </row>
    <row r="4" spans="1:10" ht="14.4" x14ac:dyDescent="0.3">
      <c r="A4" s="2" t="s">
        <v>4</v>
      </c>
      <c r="B4" s="2" t="s">
        <v>488</v>
      </c>
      <c r="C4" s="2" t="s">
        <v>489</v>
      </c>
      <c r="D4" s="4">
        <v>1.32</v>
      </c>
      <c r="F4" s="2" t="s">
        <v>470</v>
      </c>
      <c r="G4" s="5">
        <f t="shared" ref="G4:G13" si="0">SUMIF(B:B,F4,D:D)</f>
        <v>64.349999999999994</v>
      </c>
      <c r="I4" s="2" t="s">
        <v>470</v>
      </c>
      <c r="J4" s="5">
        <f t="shared" ref="J4:J12" si="1">SUMIF(F:F,I4,G:G)</f>
        <v>192.23</v>
      </c>
    </row>
    <row r="5" spans="1:10" ht="14.4" x14ac:dyDescent="0.3">
      <c r="A5" s="2" t="s">
        <v>4</v>
      </c>
      <c r="B5" s="2" t="s">
        <v>470</v>
      </c>
      <c r="C5" s="2" t="s">
        <v>490</v>
      </c>
      <c r="D5" s="4">
        <v>33.75</v>
      </c>
      <c r="F5" s="2" t="s">
        <v>491</v>
      </c>
      <c r="G5" s="5">
        <f t="shared" si="0"/>
        <v>64.800000000000011</v>
      </c>
      <c r="I5" s="2" t="s">
        <v>491</v>
      </c>
      <c r="J5" s="5">
        <f t="shared" si="1"/>
        <v>64.800000000000011</v>
      </c>
    </row>
    <row r="6" spans="1:10" ht="14.4" x14ac:dyDescent="0.3">
      <c r="A6" s="2" t="s">
        <v>4</v>
      </c>
      <c r="B6" s="2" t="s">
        <v>491</v>
      </c>
      <c r="C6" s="2" t="s">
        <v>490</v>
      </c>
      <c r="D6" s="4">
        <v>34.200000000000003</v>
      </c>
      <c r="F6" s="2" t="s">
        <v>5</v>
      </c>
      <c r="G6" s="5">
        <f t="shared" si="0"/>
        <v>0</v>
      </c>
      <c r="I6" s="2" t="s">
        <v>472</v>
      </c>
      <c r="J6" s="5">
        <f t="shared" si="1"/>
        <v>1674.0700000000002</v>
      </c>
    </row>
    <row r="7" spans="1:10" ht="14.4" x14ac:dyDescent="0.3">
      <c r="A7" s="2" t="s">
        <v>12</v>
      </c>
      <c r="B7" s="2" t="s">
        <v>5</v>
      </c>
      <c r="C7" s="2" t="s">
        <v>5</v>
      </c>
      <c r="D7" s="4" t="s">
        <v>5</v>
      </c>
      <c r="F7" s="2" t="s">
        <v>472</v>
      </c>
      <c r="G7" s="5">
        <f t="shared" si="0"/>
        <v>1144.47</v>
      </c>
      <c r="I7" s="2" t="s">
        <v>474</v>
      </c>
      <c r="J7" s="5">
        <f t="shared" si="1"/>
        <v>1.25</v>
      </c>
    </row>
    <row r="8" spans="1:10" ht="14.4" x14ac:dyDescent="0.3">
      <c r="A8" s="2" t="s">
        <v>12</v>
      </c>
      <c r="B8" s="2" t="s">
        <v>472</v>
      </c>
      <c r="C8" s="2" t="s">
        <v>473</v>
      </c>
      <c r="D8" s="4">
        <v>123.08</v>
      </c>
      <c r="F8" s="2" t="s">
        <v>474</v>
      </c>
      <c r="G8" s="5">
        <f t="shared" si="0"/>
        <v>0.39</v>
      </c>
      <c r="I8" s="2" t="s">
        <v>492</v>
      </c>
      <c r="J8" s="5">
        <f t="shared" si="1"/>
        <v>105.22</v>
      </c>
    </row>
    <row r="9" spans="1:10" ht="14.4" x14ac:dyDescent="0.3">
      <c r="A9" s="2" t="s">
        <v>12</v>
      </c>
      <c r="B9" s="2" t="s">
        <v>474</v>
      </c>
      <c r="C9" s="2" t="s">
        <v>475</v>
      </c>
      <c r="D9" s="4">
        <v>0.39</v>
      </c>
      <c r="F9" s="2" t="s">
        <v>492</v>
      </c>
      <c r="G9" s="5">
        <f t="shared" si="0"/>
        <v>105.22</v>
      </c>
      <c r="I9" s="2" t="s">
        <v>479</v>
      </c>
      <c r="J9" s="5">
        <f t="shared" si="1"/>
        <v>672.48000000000025</v>
      </c>
    </row>
    <row r="10" spans="1:10" ht="14.4" x14ac:dyDescent="0.3">
      <c r="A10" s="2" t="s">
        <v>15</v>
      </c>
      <c r="B10" s="2" t="s">
        <v>5</v>
      </c>
      <c r="C10" s="2" t="s">
        <v>5</v>
      </c>
      <c r="D10" s="4" t="s">
        <v>5</v>
      </c>
      <c r="F10" s="2" t="s">
        <v>479</v>
      </c>
      <c r="G10" s="5">
        <f t="shared" si="0"/>
        <v>128.96</v>
      </c>
      <c r="I10" s="2" t="s">
        <v>481</v>
      </c>
      <c r="J10" s="5">
        <f t="shared" si="1"/>
        <v>52.71</v>
      </c>
    </row>
    <row r="11" spans="1:10" ht="14.4" x14ac:dyDescent="0.3">
      <c r="A11" s="2" t="s">
        <v>15</v>
      </c>
      <c r="B11" s="2" t="s">
        <v>472</v>
      </c>
      <c r="C11" s="2" t="s">
        <v>473</v>
      </c>
      <c r="D11" s="4">
        <v>116.61</v>
      </c>
      <c r="F11" s="2" t="s">
        <v>481</v>
      </c>
      <c r="G11" s="5">
        <f t="shared" si="0"/>
        <v>21.77</v>
      </c>
      <c r="I11" s="2" t="s">
        <v>483</v>
      </c>
      <c r="J11" s="5">
        <f t="shared" si="1"/>
        <v>155.21999999999997</v>
      </c>
    </row>
    <row r="12" spans="1:10" ht="14.4" x14ac:dyDescent="0.3">
      <c r="A12" s="2" t="s">
        <v>16</v>
      </c>
      <c r="B12" s="2" t="s">
        <v>5</v>
      </c>
      <c r="C12" s="2" t="s">
        <v>5</v>
      </c>
      <c r="D12" s="4" t="s">
        <v>5</v>
      </c>
      <c r="F12" s="2" t="s">
        <v>483</v>
      </c>
      <c r="G12" s="5">
        <f t="shared" si="0"/>
        <v>73.399999999999963</v>
      </c>
      <c r="I12" s="2" t="s">
        <v>485</v>
      </c>
      <c r="J12" s="5">
        <f t="shared" si="1"/>
        <v>0.67999999999999994</v>
      </c>
    </row>
    <row r="13" spans="1:10" ht="14.4" x14ac:dyDescent="0.3">
      <c r="A13" s="2" t="s">
        <v>16</v>
      </c>
      <c r="B13" s="2" t="s">
        <v>472</v>
      </c>
      <c r="C13" s="2" t="s">
        <v>473</v>
      </c>
      <c r="D13" s="4">
        <v>88.2</v>
      </c>
      <c r="F13" s="2" t="s">
        <v>485</v>
      </c>
      <c r="G13" s="5">
        <f t="shared" si="0"/>
        <v>0.26</v>
      </c>
    </row>
    <row r="14" spans="1:10" ht="14.4" x14ac:dyDescent="0.3">
      <c r="A14" s="2" t="s">
        <v>17</v>
      </c>
      <c r="B14" s="2" t="s">
        <v>5</v>
      </c>
      <c r="C14" s="2" t="s">
        <v>5</v>
      </c>
      <c r="D14" s="4" t="s">
        <v>5</v>
      </c>
    </row>
    <row r="15" spans="1:10" ht="14.4" x14ac:dyDescent="0.3">
      <c r="A15" s="2" t="s">
        <v>17</v>
      </c>
      <c r="B15" s="2" t="s">
        <v>472</v>
      </c>
      <c r="C15" s="2" t="s">
        <v>473</v>
      </c>
      <c r="D15" s="4">
        <v>136.68</v>
      </c>
      <c r="F15" t="str">
        <f>'CTN_TABELA IMPERMEABILIZAÇÃO PA'!H4</f>
        <v>ARGAMASSA POLIMERICA IMPERMEABILIZANTE EM PAREDE</v>
      </c>
      <c r="G15">
        <f>'CTN_TABELA IMPERMEABILIZAÇÃO PA'!I4</f>
        <v>4.96</v>
      </c>
    </row>
    <row r="16" spans="1:10" ht="14.4" x14ac:dyDescent="0.3">
      <c r="A16" s="2" t="s">
        <v>18</v>
      </c>
      <c r="B16" s="2" t="s">
        <v>5</v>
      </c>
      <c r="C16" s="2" t="s">
        <v>5</v>
      </c>
      <c r="D16" s="4" t="s">
        <v>5</v>
      </c>
      <c r="F16" t="str">
        <f>'CTN_TABELA IMPERMEABILIZAÇÃO PA'!H5</f>
        <v>MANTA IMPERMEABILIZANTE A BASE DE ASFALTO EM RESERVATORIOS</v>
      </c>
      <c r="G16">
        <f>'CTN_TABELA IMPERMEABILIZAÇÃO PA'!I5</f>
        <v>127.88</v>
      </c>
    </row>
    <row r="17" spans="1:7" ht="14.4" x14ac:dyDescent="0.3">
      <c r="A17" s="2" t="s">
        <v>18</v>
      </c>
      <c r="B17" s="2" t="s">
        <v>472</v>
      </c>
      <c r="C17" s="2" t="s">
        <v>473</v>
      </c>
      <c r="D17" s="4">
        <v>384.63</v>
      </c>
      <c r="F17" t="str">
        <f>'CTN_TABELA IMPERMEABILIZAÇÃO PA'!H6</f>
        <v>MANTA IMPERMEABILIZANTE A BASE DE ASFALTO EM TERRAÇOS</v>
      </c>
      <c r="G17">
        <f>'CTN_TABELA IMPERMEABILIZAÇÃO PA'!I6</f>
        <v>529.6</v>
      </c>
    </row>
    <row r="18" spans="1:7" ht="14.4" x14ac:dyDescent="0.3">
      <c r="A18" s="2" t="s">
        <v>18</v>
      </c>
      <c r="B18" s="2" t="s">
        <v>492</v>
      </c>
      <c r="C18" s="2" t="s">
        <v>493</v>
      </c>
      <c r="D18" s="4">
        <v>79.45</v>
      </c>
      <c r="F18" t="str">
        <f>'CTN_TABELA IMPERMEABILIZAÇÃO PA'!H7</f>
        <v/>
      </c>
      <c r="G18">
        <f>'CTN_TABELA IMPERMEABILIZAÇÃO PA'!I7</f>
        <v>0</v>
      </c>
    </row>
    <row r="19" spans="1:7" ht="14.4" x14ac:dyDescent="0.3">
      <c r="A19" s="2" t="s">
        <v>21</v>
      </c>
      <c r="B19" s="2" t="s">
        <v>5</v>
      </c>
      <c r="C19" s="2" t="s">
        <v>5</v>
      </c>
      <c r="D19" s="4" t="s">
        <v>5</v>
      </c>
      <c r="F19" t="str">
        <f>'CTN_TABELA IMPERMEABILIZAÇÃO PA'!H8</f>
        <v>MANTA LÍQUIDA</v>
      </c>
      <c r="G19">
        <f>'CTN_TABELA IMPERMEABILIZAÇÃO PA'!I8</f>
        <v>0.86</v>
      </c>
    </row>
    <row r="20" spans="1:7" ht="14.4" x14ac:dyDescent="0.3">
      <c r="A20" s="2" t="s">
        <v>21</v>
      </c>
      <c r="B20" s="2" t="s">
        <v>479</v>
      </c>
      <c r="C20" s="2" t="s">
        <v>480</v>
      </c>
      <c r="D20" s="4">
        <v>8.06</v>
      </c>
      <c r="F20" t="str">
        <f>'CTN_TABELA IMPERMEABILIZAÇÃO PA'!H9</f>
        <v>IMPERMEABILIZAÇÃO POLIMÉRICA PARA PEITORIL</v>
      </c>
      <c r="G20">
        <f>'CTN_TABELA IMPERMEABILIZAÇÃO PA'!I9</f>
        <v>76.34999999999998</v>
      </c>
    </row>
    <row r="21" spans="1:7" ht="15.75" customHeight="1" x14ac:dyDescent="0.3">
      <c r="A21" s="2" t="s">
        <v>21</v>
      </c>
      <c r="B21" s="2" t="s">
        <v>481</v>
      </c>
      <c r="C21" s="2" t="s">
        <v>482</v>
      </c>
      <c r="D21" s="4">
        <v>21.77</v>
      </c>
      <c r="F21" t="str">
        <f>'CTN_TABELA IMPERMEABILIZAÇÃO PA'!H10</f>
        <v>MANTA IMPERMEABILIZANTE A BASE DE ASFALTO EM PISCINAS</v>
      </c>
      <c r="G21">
        <f>'CTN_TABELA IMPERMEABILIZAÇÃO PA'!I10</f>
        <v>54.07</v>
      </c>
    </row>
    <row r="22" spans="1:7" ht="15.75" customHeight="1" x14ac:dyDescent="0.3">
      <c r="A22" s="2" t="s">
        <v>21</v>
      </c>
      <c r="B22" s="2" t="s">
        <v>483</v>
      </c>
      <c r="C22" s="2" t="s">
        <v>484</v>
      </c>
      <c r="D22" s="4">
        <v>4.5199999999999996</v>
      </c>
      <c r="F22" t="str">
        <f>'CTN_TABELA IMPERMEABILIZAÇÃO PA'!H11</f>
        <v>ARGAMASSA POLIMERICA IMPERMEABILIZANTE EM BOX BANHEIRO</v>
      </c>
      <c r="G22">
        <f>'CTN_TABELA IMPERMEABILIZAÇÃO PA'!I11</f>
        <v>543.52000000000021</v>
      </c>
    </row>
    <row r="23" spans="1:7" ht="15.75" customHeight="1" x14ac:dyDescent="0.3">
      <c r="A23" s="2" t="s">
        <v>24</v>
      </c>
      <c r="B23" s="2" t="s">
        <v>5</v>
      </c>
      <c r="C23" s="2" t="s">
        <v>5</v>
      </c>
      <c r="D23" s="4" t="s">
        <v>5</v>
      </c>
      <c r="F23" t="str">
        <f>'CTN_TABELA IMPERMEABILIZAÇÃO PA'!H12</f>
        <v>MANTA IMPERMEABILIZANTE A BASE DE ASFALTO EM FLOREIRAS</v>
      </c>
      <c r="G23">
        <f>'CTN_TABELA IMPERMEABILIZAÇÃO PA'!I12</f>
        <v>30.94</v>
      </c>
    </row>
    <row r="24" spans="1:7" ht="15.75" customHeight="1" x14ac:dyDescent="0.3">
      <c r="A24" s="2" t="s">
        <v>24</v>
      </c>
      <c r="B24" s="2" t="s">
        <v>479</v>
      </c>
      <c r="C24" s="2" t="s">
        <v>480</v>
      </c>
      <c r="D24" s="4">
        <v>8.06</v>
      </c>
      <c r="F24" t="str">
        <f>'CTN_TABELA IMPERMEABILIZAÇÃO PA'!H13</f>
        <v>MANTA IMPERMEABILIZANTE A BASE DE ASFALTO EM SACADAS</v>
      </c>
      <c r="G24">
        <f>'CTN_TABELA IMPERMEABILIZAÇÃO PA'!I13</f>
        <v>81.820000000000007</v>
      </c>
    </row>
    <row r="25" spans="1:7" ht="15.75" customHeight="1" x14ac:dyDescent="0.3">
      <c r="A25" s="2" t="s">
        <v>24</v>
      </c>
      <c r="B25" s="2" t="s">
        <v>483</v>
      </c>
      <c r="C25" s="2" t="s">
        <v>484</v>
      </c>
      <c r="D25" s="4">
        <v>4.5199999999999996</v>
      </c>
      <c r="F25" t="str">
        <f>'CTN_TABELA IMPERMEABILIZAÇÃO PA'!H14</f>
        <v>ARGAMASSA POLIMERICA IMPERMEABILIZANTE EM SACADA</v>
      </c>
      <c r="G25">
        <f>'CTN_TABELA IMPERMEABILIZAÇÃO PA'!I14</f>
        <v>0.42</v>
      </c>
    </row>
    <row r="26" spans="1:7" ht="15.75" customHeight="1" x14ac:dyDescent="0.3">
      <c r="A26" s="2" t="s">
        <v>25</v>
      </c>
      <c r="B26" s="2" t="s">
        <v>5</v>
      </c>
      <c r="C26" s="2" t="s">
        <v>5</v>
      </c>
      <c r="D26" s="4" t="s">
        <v>5</v>
      </c>
    </row>
    <row r="27" spans="1:7" ht="15.75" customHeight="1" x14ac:dyDescent="0.3">
      <c r="A27" s="2" t="s">
        <v>25</v>
      </c>
      <c r="B27" s="2" t="s">
        <v>479</v>
      </c>
      <c r="C27" s="2" t="s">
        <v>480</v>
      </c>
      <c r="D27" s="4">
        <v>8.06</v>
      </c>
    </row>
    <row r="28" spans="1:7" ht="15.75" customHeight="1" x14ac:dyDescent="0.3">
      <c r="A28" s="2" t="s">
        <v>25</v>
      </c>
      <c r="B28" s="2" t="s">
        <v>483</v>
      </c>
      <c r="C28" s="2" t="s">
        <v>484</v>
      </c>
      <c r="D28" s="4">
        <v>4.5199999999999996</v>
      </c>
    </row>
    <row r="29" spans="1:7" ht="15.75" customHeight="1" x14ac:dyDescent="0.3">
      <c r="A29" s="2" t="s">
        <v>26</v>
      </c>
      <c r="B29" s="2" t="s">
        <v>5</v>
      </c>
      <c r="C29" s="2" t="s">
        <v>5</v>
      </c>
      <c r="D29" s="4" t="s">
        <v>5</v>
      </c>
    </row>
    <row r="30" spans="1:7" ht="15.75" customHeight="1" x14ac:dyDescent="0.3">
      <c r="A30" s="2" t="s">
        <v>26</v>
      </c>
      <c r="B30" s="2" t="s">
        <v>479</v>
      </c>
      <c r="C30" s="2" t="s">
        <v>480</v>
      </c>
      <c r="D30" s="4">
        <v>8.06</v>
      </c>
    </row>
    <row r="31" spans="1:7" ht="15.75" customHeight="1" x14ac:dyDescent="0.3">
      <c r="A31" s="2" t="s">
        <v>26</v>
      </c>
      <c r="B31" s="2" t="s">
        <v>483</v>
      </c>
      <c r="C31" s="2" t="s">
        <v>484</v>
      </c>
      <c r="D31" s="4">
        <v>4.5199999999999996</v>
      </c>
    </row>
    <row r="32" spans="1:7" ht="15.75" customHeight="1" x14ac:dyDescent="0.3">
      <c r="A32" s="2" t="s">
        <v>27</v>
      </c>
      <c r="B32" s="2" t="s">
        <v>5</v>
      </c>
      <c r="C32" s="2" t="s">
        <v>5</v>
      </c>
      <c r="D32" s="4" t="s">
        <v>5</v>
      </c>
    </row>
    <row r="33" spans="1:4" ht="15.75" customHeight="1" x14ac:dyDescent="0.3">
      <c r="A33" s="2" t="s">
        <v>27</v>
      </c>
      <c r="B33" s="2" t="s">
        <v>479</v>
      </c>
      <c r="C33" s="2" t="s">
        <v>480</v>
      </c>
      <c r="D33" s="4">
        <v>8.06</v>
      </c>
    </row>
    <row r="34" spans="1:4" ht="15.75" customHeight="1" x14ac:dyDescent="0.3">
      <c r="A34" s="2" t="s">
        <v>27</v>
      </c>
      <c r="B34" s="2" t="s">
        <v>483</v>
      </c>
      <c r="C34" s="2" t="s">
        <v>484</v>
      </c>
      <c r="D34" s="4">
        <v>4.5199999999999996</v>
      </c>
    </row>
    <row r="35" spans="1:4" ht="15.75" customHeight="1" x14ac:dyDescent="0.3">
      <c r="A35" s="2" t="s">
        <v>28</v>
      </c>
      <c r="B35" s="2" t="s">
        <v>5</v>
      </c>
      <c r="C35" s="2" t="s">
        <v>5</v>
      </c>
      <c r="D35" s="4" t="s">
        <v>5</v>
      </c>
    </row>
    <row r="36" spans="1:4" ht="15.75" customHeight="1" x14ac:dyDescent="0.3">
      <c r="A36" s="2" t="s">
        <v>28</v>
      </c>
      <c r="B36" s="2" t="s">
        <v>479</v>
      </c>
      <c r="C36" s="2" t="s">
        <v>480</v>
      </c>
      <c r="D36" s="4">
        <v>8.06</v>
      </c>
    </row>
    <row r="37" spans="1:4" ht="15.75" customHeight="1" x14ac:dyDescent="0.3">
      <c r="A37" s="2" t="s">
        <v>28</v>
      </c>
      <c r="B37" s="2" t="s">
        <v>483</v>
      </c>
      <c r="C37" s="2" t="s">
        <v>484</v>
      </c>
      <c r="D37" s="4">
        <v>4.5199999999999996</v>
      </c>
    </row>
    <row r="38" spans="1:4" ht="15.75" customHeight="1" x14ac:dyDescent="0.3">
      <c r="A38" s="2" t="s">
        <v>29</v>
      </c>
      <c r="B38" s="2" t="s">
        <v>5</v>
      </c>
      <c r="C38" s="2" t="s">
        <v>5</v>
      </c>
      <c r="D38" s="4" t="s">
        <v>5</v>
      </c>
    </row>
    <row r="39" spans="1:4" ht="15.75" customHeight="1" x14ac:dyDescent="0.3">
      <c r="A39" s="2" t="s">
        <v>29</v>
      </c>
      <c r="B39" s="2" t="s">
        <v>479</v>
      </c>
      <c r="C39" s="2" t="s">
        <v>480</v>
      </c>
      <c r="D39" s="4">
        <v>8.06</v>
      </c>
    </row>
    <row r="40" spans="1:4" ht="15.75" customHeight="1" x14ac:dyDescent="0.3">
      <c r="A40" s="2" t="s">
        <v>29</v>
      </c>
      <c r="B40" s="2" t="s">
        <v>483</v>
      </c>
      <c r="C40" s="2" t="s">
        <v>484</v>
      </c>
      <c r="D40" s="4">
        <v>4.5199999999999996</v>
      </c>
    </row>
    <row r="41" spans="1:4" ht="15.75" customHeight="1" x14ac:dyDescent="0.3">
      <c r="A41" s="2" t="s">
        <v>30</v>
      </c>
      <c r="B41" s="2" t="s">
        <v>5</v>
      </c>
      <c r="C41" s="2" t="s">
        <v>5</v>
      </c>
      <c r="D41" s="4" t="s">
        <v>5</v>
      </c>
    </row>
    <row r="42" spans="1:4" ht="15.75" customHeight="1" x14ac:dyDescent="0.3">
      <c r="A42" s="2" t="s">
        <v>30</v>
      </c>
      <c r="B42" s="2" t="s">
        <v>479</v>
      </c>
      <c r="C42" s="2" t="s">
        <v>480</v>
      </c>
      <c r="D42" s="4">
        <v>8.06</v>
      </c>
    </row>
    <row r="43" spans="1:4" ht="15.75" customHeight="1" x14ac:dyDescent="0.3">
      <c r="A43" s="2" t="s">
        <v>30</v>
      </c>
      <c r="B43" s="2" t="s">
        <v>483</v>
      </c>
      <c r="C43" s="2" t="s">
        <v>484</v>
      </c>
      <c r="D43" s="4">
        <v>4.5199999999999996</v>
      </c>
    </row>
    <row r="44" spans="1:4" ht="15.75" customHeight="1" x14ac:dyDescent="0.3">
      <c r="A44" s="2" t="s">
        <v>31</v>
      </c>
      <c r="B44" s="2" t="s">
        <v>5</v>
      </c>
      <c r="C44" s="2" t="s">
        <v>5</v>
      </c>
      <c r="D44" s="4" t="s">
        <v>5</v>
      </c>
    </row>
    <row r="45" spans="1:4" ht="15.75" customHeight="1" x14ac:dyDescent="0.3">
      <c r="A45" s="2" t="s">
        <v>31</v>
      </c>
      <c r="B45" s="2" t="s">
        <v>479</v>
      </c>
      <c r="C45" s="2" t="s">
        <v>480</v>
      </c>
      <c r="D45" s="4">
        <v>8.06</v>
      </c>
    </row>
    <row r="46" spans="1:4" ht="15.75" customHeight="1" x14ac:dyDescent="0.3">
      <c r="A46" s="2" t="s">
        <v>31</v>
      </c>
      <c r="B46" s="2" t="s">
        <v>483</v>
      </c>
      <c r="C46" s="2" t="s">
        <v>484</v>
      </c>
      <c r="D46" s="4">
        <v>4.5199999999999996</v>
      </c>
    </row>
    <row r="47" spans="1:4" ht="15.75" customHeight="1" x14ac:dyDescent="0.3">
      <c r="A47" s="2" t="s">
        <v>32</v>
      </c>
      <c r="B47" s="2" t="s">
        <v>5</v>
      </c>
      <c r="C47" s="2" t="s">
        <v>5</v>
      </c>
      <c r="D47" s="4" t="s">
        <v>5</v>
      </c>
    </row>
    <row r="48" spans="1:4" ht="15.75" customHeight="1" x14ac:dyDescent="0.3">
      <c r="A48" s="2" t="s">
        <v>32</v>
      </c>
      <c r="B48" s="2" t="s">
        <v>479</v>
      </c>
      <c r="C48" s="2" t="s">
        <v>480</v>
      </c>
      <c r="D48" s="4">
        <v>8.06</v>
      </c>
    </row>
    <row r="49" spans="1:4" ht="15.75" customHeight="1" x14ac:dyDescent="0.3">
      <c r="A49" s="2" t="s">
        <v>32</v>
      </c>
      <c r="B49" s="2" t="s">
        <v>483</v>
      </c>
      <c r="C49" s="2" t="s">
        <v>484</v>
      </c>
      <c r="D49" s="4">
        <v>4.5199999999999996</v>
      </c>
    </row>
    <row r="50" spans="1:4" ht="15.75" customHeight="1" x14ac:dyDescent="0.3">
      <c r="A50" s="2" t="s">
        <v>33</v>
      </c>
      <c r="B50" s="2" t="s">
        <v>5</v>
      </c>
      <c r="C50" s="2" t="s">
        <v>5</v>
      </c>
      <c r="D50" s="4" t="s">
        <v>5</v>
      </c>
    </row>
    <row r="51" spans="1:4" ht="15.75" customHeight="1" x14ac:dyDescent="0.3">
      <c r="A51" s="2" t="s">
        <v>33</v>
      </c>
      <c r="B51" s="2" t="s">
        <v>479</v>
      </c>
      <c r="C51" s="2" t="s">
        <v>480</v>
      </c>
      <c r="D51" s="4">
        <v>8.06</v>
      </c>
    </row>
    <row r="52" spans="1:4" ht="15.75" customHeight="1" x14ac:dyDescent="0.3">
      <c r="A52" s="2" t="s">
        <v>33</v>
      </c>
      <c r="B52" s="2" t="s">
        <v>483</v>
      </c>
      <c r="C52" s="2" t="s">
        <v>484</v>
      </c>
      <c r="D52" s="4">
        <v>4.5199999999999996</v>
      </c>
    </row>
    <row r="53" spans="1:4" ht="15.75" customHeight="1" x14ac:dyDescent="0.3">
      <c r="A53" s="2" t="s">
        <v>34</v>
      </c>
      <c r="B53" s="2" t="s">
        <v>5</v>
      </c>
      <c r="C53" s="2" t="s">
        <v>5</v>
      </c>
      <c r="D53" s="4" t="s">
        <v>5</v>
      </c>
    </row>
    <row r="54" spans="1:4" ht="15.75" customHeight="1" x14ac:dyDescent="0.3">
      <c r="A54" s="2" t="s">
        <v>34</v>
      </c>
      <c r="B54" s="2" t="s">
        <v>479</v>
      </c>
      <c r="C54" s="2" t="s">
        <v>480</v>
      </c>
      <c r="D54" s="4">
        <v>8.06</v>
      </c>
    </row>
    <row r="55" spans="1:4" ht="15.75" customHeight="1" x14ac:dyDescent="0.3">
      <c r="A55" s="2" t="s">
        <v>34</v>
      </c>
      <c r="B55" s="2" t="s">
        <v>483</v>
      </c>
      <c r="C55" s="2" t="s">
        <v>484</v>
      </c>
      <c r="D55" s="4">
        <v>4.5199999999999996</v>
      </c>
    </row>
    <row r="56" spans="1:4" ht="15.75" customHeight="1" x14ac:dyDescent="0.3">
      <c r="A56" s="2" t="s">
        <v>35</v>
      </c>
      <c r="B56" s="2" t="s">
        <v>5</v>
      </c>
      <c r="C56" s="2" t="s">
        <v>5</v>
      </c>
      <c r="D56" s="4" t="s">
        <v>5</v>
      </c>
    </row>
    <row r="57" spans="1:4" ht="15.75" customHeight="1" x14ac:dyDescent="0.3">
      <c r="A57" s="2" t="s">
        <v>35</v>
      </c>
      <c r="B57" s="2" t="s">
        <v>479</v>
      </c>
      <c r="C57" s="2" t="s">
        <v>480</v>
      </c>
      <c r="D57" s="4">
        <v>8.06</v>
      </c>
    </row>
    <row r="58" spans="1:4" ht="15.75" customHeight="1" x14ac:dyDescent="0.3">
      <c r="A58" s="2" t="s">
        <v>35</v>
      </c>
      <c r="B58" s="2" t="s">
        <v>483</v>
      </c>
      <c r="C58" s="2" t="s">
        <v>484</v>
      </c>
      <c r="D58" s="4">
        <v>4.5199999999999996</v>
      </c>
    </row>
    <row r="59" spans="1:4" ht="15.75" customHeight="1" x14ac:dyDescent="0.3">
      <c r="A59" s="2" t="s">
        <v>36</v>
      </c>
      <c r="B59" s="2" t="s">
        <v>5</v>
      </c>
      <c r="C59" s="2" t="s">
        <v>5</v>
      </c>
      <c r="D59" s="4" t="s">
        <v>5</v>
      </c>
    </row>
    <row r="60" spans="1:4" ht="15.75" customHeight="1" x14ac:dyDescent="0.3">
      <c r="A60" s="2" t="s">
        <v>36</v>
      </c>
      <c r="B60" s="2" t="s">
        <v>479</v>
      </c>
      <c r="C60" s="2" t="s">
        <v>480</v>
      </c>
      <c r="D60" s="4">
        <v>8.06</v>
      </c>
    </row>
    <row r="61" spans="1:4" ht="15.75" customHeight="1" x14ac:dyDescent="0.3">
      <c r="A61" s="2" t="s">
        <v>36</v>
      </c>
      <c r="B61" s="2" t="s">
        <v>483</v>
      </c>
      <c r="C61" s="2" t="s">
        <v>484</v>
      </c>
      <c r="D61" s="4">
        <v>4.5199999999999996</v>
      </c>
    </row>
    <row r="62" spans="1:4" ht="15.75" customHeight="1" x14ac:dyDescent="0.3">
      <c r="A62" s="2" t="s">
        <v>37</v>
      </c>
      <c r="B62" s="2" t="s">
        <v>5</v>
      </c>
      <c r="C62" s="2" t="s">
        <v>5</v>
      </c>
      <c r="D62" s="4" t="s">
        <v>5</v>
      </c>
    </row>
    <row r="63" spans="1:4" ht="15.75" customHeight="1" x14ac:dyDescent="0.3">
      <c r="A63" s="2" t="s">
        <v>37</v>
      </c>
      <c r="B63" s="2" t="s">
        <v>479</v>
      </c>
      <c r="C63" s="2" t="s">
        <v>480</v>
      </c>
      <c r="D63" s="4">
        <v>8.06</v>
      </c>
    </row>
    <row r="64" spans="1:4" ht="15.75" customHeight="1" x14ac:dyDescent="0.3">
      <c r="A64" s="2" t="s">
        <v>37</v>
      </c>
      <c r="B64" s="2" t="s">
        <v>483</v>
      </c>
      <c r="C64" s="2" t="s">
        <v>484</v>
      </c>
      <c r="D64" s="4">
        <v>4.5199999999999996</v>
      </c>
    </row>
    <row r="65" spans="1:4" ht="15.75" customHeight="1" x14ac:dyDescent="0.3">
      <c r="A65" s="2" t="s">
        <v>38</v>
      </c>
      <c r="B65" s="2" t="s">
        <v>5</v>
      </c>
      <c r="C65" s="2" t="s">
        <v>5</v>
      </c>
      <c r="D65" s="4" t="s">
        <v>5</v>
      </c>
    </row>
    <row r="66" spans="1:4" ht="15.75" customHeight="1" x14ac:dyDescent="0.3">
      <c r="A66" s="2" t="s">
        <v>38</v>
      </c>
      <c r="B66" s="2" t="s">
        <v>479</v>
      </c>
      <c r="C66" s="2" t="s">
        <v>480</v>
      </c>
      <c r="D66" s="4">
        <v>8.06</v>
      </c>
    </row>
    <row r="67" spans="1:4" ht="15.75" customHeight="1" x14ac:dyDescent="0.3">
      <c r="A67" s="2" t="s">
        <v>38</v>
      </c>
      <c r="B67" s="2" t="s">
        <v>483</v>
      </c>
      <c r="C67" s="2" t="s">
        <v>484</v>
      </c>
      <c r="D67" s="4">
        <v>4.5199999999999996</v>
      </c>
    </row>
    <row r="68" spans="1:4" ht="15.75" customHeight="1" x14ac:dyDescent="0.3">
      <c r="A68" s="2" t="s">
        <v>39</v>
      </c>
      <c r="B68" s="2" t="s">
        <v>5</v>
      </c>
      <c r="C68" s="2" t="s">
        <v>5</v>
      </c>
      <c r="D68" s="4" t="s">
        <v>5</v>
      </c>
    </row>
    <row r="69" spans="1:4" ht="15.75" customHeight="1" x14ac:dyDescent="0.3">
      <c r="A69" s="2" t="s">
        <v>39</v>
      </c>
      <c r="B69" s="2" t="s">
        <v>483</v>
      </c>
      <c r="C69" s="2" t="s">
        <v>484</v>
      </c>
      <c r="D69" s="4">
        <v>0.36</v>
      </c>
    </row>
    <row r="70" spans="1:4" ht="15.75" customHeight="1" x14ac:dyDescent="0.3">
      <c r="A70" s="2" t="s">
        <v>39</v>
      </c>
      <c r="B70" s="2" t="s">
        <v>472</v>
      </c>
      <c r="C70" s="2" t="s">
        <v>473</v>
      </c>
      <c r="D70" s="4">
        <v>127.7</v>
      </c>
    </row>
    <row r="71" spans="1:4" ht="15.75" customHeight="1" x14ac:dyDescent="0.3">
      <c r="A71" s="2" t="s">
        <v>39</v>
      </c>
      <c r="B71" s="2" t="s">
        <v>492</v>
      </c>
      <c r="C71" s="2" t="s">
        <v>493</v>
      </c>
      <c r="D71" s="4">
        <v>25.77</v>
      </c>
    </row>
    <row r="72" spans="1:4" ht="15.75" customHeight="1" x14ac:dyDescent="0.3">
      <c r="A72" s="2" t="s">
        <v>43</v>
      </c>
      <c r="B72" s="2" t="s">
        <v>5</v>
      </c>
      <c r="C72" s="2" t="s">
        <v>5</v>
      </c>
      <c r="D72" s="4" t="s">
        <v>5</v>
      </c>
    </row>
    <row r="73" spans="1:4" ht="15.75" customHeight="1" x14ac:dyDescent="0.3">
      <c r="A73" s="2" t="s">
        <v>43</v>
      </c>
      <c r="B73" s="2" t="s">
        <v>485</v>
      </c>
      <c r="C73" s="2" t="s">
        <v>494</v>
      </c>
      <c r="D73" s="4">
        <v>0.26</v>
      </c>
    </row>
    <row r="74" spans="1:4" ht="15.75" customHeight="1" x14ac:dyDescent="0.3">
      <c r="A74" s="2" t="s">
        <v>43</v>
      </c>
      <c r="B74" s="2" t="s">
        <v>483</v>
      </c>
      <c r="C74" s="2" t="s">
        <v>484</v>
      </c>
      <c r="D74" s="4">
        <v>0.36</v>
      </c>
    </row>
    <row r="75" spans="1:4" ht="15.75" customHeight="1" x14ac:dyDescent="0.3">
      <c r="A75" s="2" t="s">
        <v>43</v>
      </c>
      <c r="B75" s="2" t="s">
        <v>472</v>
      </c>
      <c r="C75" s="2" t="s">
        <v>473</v>
      </c>
      <c r="D75" s="4">
        <v>130.09</v>
      </c>
    </row>
    <row r="76" spans="1:4" ht="15.75" customHeight="1" x14ac:dyDescent="0.3">
      <c r="A76" s="2" t="s">
        <v>44</v>
      </c>
      <c r="B76" s="2" t="s">
        <v>5</v>
      </c>
      <c r="C76" s="2" t="s">
        <v>5</v>
      </c>
      <c r="D76" s="4" t="s">
        <v>5</v>
      </c>
    </row>
    <row r="77" spans="1:4" ht="15.75" customHeight="1" x14ac:dyDescent="0.3">
      <c r="A77" s="2" t="s">
        <v>44</v>
      </c>
      <c r="B77" s="2" t="s">
        <v>483</v>
      </c>
      <c r="C77" s="2" t="s">
        <v>484</v>
      </c>
      <c r="D77" s="4">
        <v>0.36</v>
      </c>
    </row>
    <row r="78" spans="1:4" ht="15.75" customHeight="1" x14ac:dyDescent="0.3">
      <c r="A78" s="2" t="s">
        <v>269</v>
      </c>
      <c r="B78" s="2" t="s">
        <v>5</v>
      </c>
      <c r="C78" s="2" t="s">
        <v>5</v>
      </c>
      <c r="D78" s="4" t="s">
        <v>5</v>
      </c>
    </row>
    <row r="79" spans="1:4" ht="15.75" customHeight="1" x14ac:dyDescent="0.3">
      <c r="A79" s="2" t="s">
        <v>269</v>
      </c>
      <c r="B79" s="2" t="s">
        <v>491</v>
      </c>
      <c r="C79" s="2" t="s">
        <v>490</v>
      </c>
      <c r="D79" s="4">
        <v>30.6</v>
      </c>
    </row>
    <row r="80" spans="1:4" ht="15.75" customHeight="1" x14ac:dyDescent="0.3">
      <c r="A80" s="2" t="s">
        <v>45</v>
      </c>
      <c r="B80" s="2" t="s">
        <v>5</v>
      </c>
      <c r="C80" s="2" t="s">
        <v>5</v>
      </c>
      <c r="D80" s="4" t="s">
        <v>5</v>
      </c>
    </row>
    <row r="81" spans="1:4" ht="15.75" customHeight="1" x14ac:dyDescent="0.3">
      <c r="A81" s="2" t="s">
        <v>45</v>
      </c>
      <c r="B81" s="2" t="s">
        <v>470</v>
      </c>
      <c r="C81" s="2" t="s">
        <v>490</v>
      </c>
      <c r="D81" s="4">
        <v>30.6</v>
      </c>
    </row>
    <row r="82" spans="1:4" ht="15.75" customHeight="1" x14ac:dyDescent="0.3">
      <c r="A82" s="2" t="s">
        <v>45</v>
      </c>
      <c r="B82" s="2" t="s">
        <v>472</v>
      </c>
      <c r="C82" s="2" t="s">
        <v>473</v>
      </c>
      <c r="D82" s="4">
        <v>37.479999999999997</v>
      </c>
    </row>
    <row r="83" spans="1:4" ht="15.75" customHeight="1" x14ac:dyDescent="0.3"/>
    <row r="84" spans="1:4" ht="15.75" customHeight="1" x14ac:dyDescent="0.3"/>
    <row r="85" spans="1:4" ht="15.75" customHeight="1" x14ac:dyDescent="0.3"/>
    <row r="86" spans="1:4" ht="15.75" customHeight="1" x14ac:dyDescent="0.3"/>
    <row r="87" spans="1:4" ht="15.75" customHeight="1" x14ac:dyDescent="0.3"/>
    <row r="88" spans="1:4" ht="15.75" customHeight="1" x14ac:dyDescent="0.3"/>
    <row r="89" spans="1:4" ht="15.75" customHeight="1" x14ac:dyDescent="0.3"/>
    <row r="90" spans="1:4" ht="15.75" customHeight="1" x14ac:dyDescent="0.3"/>
    <row r="91" spans="1:4" ht="15.75" customHeight="1" x14ac:dyDescent="0.3"/>
    <row r="92" spans="1:4" ht="15.75" customHeight="1" x14ac:dyDescent="0.3"/>
    <row r="93" spans="1:4" ht="15.75" customHeight="1" x14ac:dyDescent="0.3"/>
    <row r="94" spans="1:4" ht="15.75" customHeight="1" x14ac:dyDescent="0.3"/>
    <row r="95" spans="1:4" ht="15.75" customHeight="1" x14ac:dyDescent="0.3"/>
    <row r="96" spans="1:4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">
    <mergeCell ref="A1:D1"/>
  </mergeCells>
  <pageMargins left="0.511811024" right="0.511811024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4</vt:i4>
      </vt:variant>
    </vt:vector>
  </HeadingPairs>
  <TitlesOfParts>
    <vt:vector size="18" baseType="lpstr">
      <vt:lpstr>B02. TABELA DE ALVENARIAS</vt:lpstr>
      <vt:lpstr>B03. TABELA DE ALVENARIAS GERAL</vt:lpstr>
      <vt:lpstr>B04. TABELA REVEST PAREDES</vt:lpstr>
      <vt:lpstr>B05. TABELA REVEST FACHADAS</vt:lpstr>
      <vt:lpstr>B06. TABELA REVEST PISO</vt:lpstr>
      <vt:lpstr>B07. TABELA CONTRAPISOS</vt:lpstr>
      <vt:lpstr>B08. TABELA DE TETOS</vt:lpstr>
      <vt:lpstr>B09. TABELA DE PORTAS GERAL</vt:lpstr>
      <vt:lpstr>B10. TABELA DE JANELAS GERAL</vt:lpstr>
      <vt:lpstr>B11. TABELA DE BRISES</vt:lpstr>
      <vt:lpstr>B12. TABELA DE PAINEL DE VIDRO</vt:lpstr>
      <vt:lpstr>CTN_TABELA DE RODAPÉS</vt:lpstr>
      <vt:lpstr>CTN_TABELA IMPERMEABILIZAÇÃO PA</vt:lpstr>
      <vt:lpstr>CTN_TABELA IMPERMEABILIZAÇÃO PI</vt:lpstr>
      <vt:lpstr>'B06. TABELA REVEST PISO'!Area_de_extracao</vt:lpstr>
      <vt:lpstr>'B07. TABELA CONTRAPISOS'!Area_de_extracao</vt:lpstr>
      <vt:lpstr>'CTN_TABELA IMPERMEABILIZAÇÃO PA'!Area_de_extracao</vt:lpstr>
      <vt:lpstr>'CTN_TABELA IMPERMEABILIZAÇÃO PI'!Area_de_extracao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Romaniello</dc:creator>
  <cp:lastModifiedBy>Luisa Romaniello</cp:lastModifiedBy>
  <dcterms:created xsi:type="dcterms:W3CDTF">2023-05-03T20:33:05Z</dcterms:created>
  <dcterms:modified xsi:type="dcterms:W3CDTF">2023-07-17T18:35:16Z</dcterms:modified>
</cp:coreProperties>
</file>