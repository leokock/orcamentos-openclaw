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I:\Drives compartilhados\Methodo Engenharia - Projetos\2. Propostas Fechadas\Mendes - 10.2020\Brava Mundo\03. Custo\03.5 Custo - Determinação do orçamento\2022.28.04 - Entrega\"/>
    </mc:Choice>
  </mc:AlternateContent>
  <xr:revisionPtr revIDLastSave="0" documentId="13_ncr:1_{F8E37DAE-AB56-4479-93FD-8215BCAC06B1}" xr6:coauthVersionLast="47" xr6:coauthVersionMax="47" xr10:uidLastSave="{00000000-0000-0000-0000-000000000000}"/>
  <bookViews>
    <workbookView xWindow="20370" yWindow="-120" windowWidth="21840" windowHeight="13140" xr2:uid="{00000000-000D-0000-FFFF-FFFF00000000}"/>
  </bookViews>
  <sheets>
    <sheet name="Orçamento Resumo" sheetId="1" r:id="rId1"/>
    <sheet name="Planilha1" sheetId="2" r:id="rId2"/>
    <sheet name="Planilha2" sheetId="3" r:id="rId3"/>
  </sheets>
  <definedNames>
    <definedName name="_xlnm._FilterDatabase" localSheetId="0" hidden="1">'Orçamento Resumo'!$A$1:$E$24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9" i="1" l="1"/>
  <c r="B3" i="2"/>
  <c r="B4" i="2"/>
  <c r="B5" i="2"/>
  <c r="B6" i="2"/>
  <c r="B7" i="2"/>
  <c r="B8" i="2"/>
  <c r="B11" i="2"/>
  <c r="B12" i="2"/>
  <c r="B13" i="2"/>
  <c r="B14" i="2"/>
  <c r="B15" i="2"/>
  <c r="B16" i="2"/>
  <c r="B17" i="2"/>
  <c r="B18" i="2"/>
  <c r="B19" i="2"/>
  <c r="B20" i="2"/>
  <c r="B21" i="2"/>
  <c r="B22" i="2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3" i="3"/>
  <c r="A1" i="3"/>
  <c r="C11" i="2"/>
  <c r="C13" i="2"/>
  <c r="C12" i="2"/>
  <c r="C10" i="2"/>
  <c r="C9" i="2"/>
  <c r="D8" i="1"/>
  <c r="D2" i="1"/>
  <c r="C23" i="2" l="1"/>
  <c r="B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D3" i="1"/>
  <c r="D4" i="1"/>
  <c r="D5" i="1"/>
  <c r="D6" i="1"/>
  <c r="D7" i="1"/>
  <c r="B9" i="2"/>
  <c r="D10" i="1"/>
  <c r="B10" i="2" s="1"/>
  <c r="D11" i="1"/>
  <c r="D12" i="1"/>
  <c r="D13" i="1"/>
  <c r="D14" i="1"/>
  <c r="D15" i="1"/>
  <c r="D16" i="1"/>
  <c r="D17" i="1"/>
  <c r="D18" i="1"/>
  <c r="D19" i="1"/>
  <c r="D20" i="1"/>
  <c r="D21" i="1"/>
  <c r="D22" i="1"/>
  <c r="B23" i="2" l="1"/>
  <c r="B23" i="1"/>
  <c r="C4" i="1" s="1"/>
  <c r="C7" i="1" l="1"/>
  <c r="C11" i="1"/>
  <c r="C15" i="1"/>
  <c r="C19" i="1"/>
  <c r="C18" i="1"/>
  <c r="C12" i="1"/>
  <c r="C16" i="1"/>
  <c r="C20" i="1"/>
  <c r="C21" i="1"/>
  <c r="C14" i="1"/>
  <c r="C22" i="1"/>
  <c r="C13" i="1"/>
  <c r="C17" i="1"/>
  <c r="C10" i="1"/>
  <c r="C5" i="1"/>
  <c r="C8" i="1"/>
  <c r="C9" i="1"/>
  <c r="C6" i="1"/>
  <c r="C2" i="1"/>
  <c r="C3" i="1"/>
  <c r="E23" i="1"/>
  <c r="D23" i="1"/>
  <c r="D24" i="1" s="1"/>
  <c r="C23" i="1" l="1"/>
</calcChain>
</file>

<file path=xl/sharedStrings.xml><?xml version="1.0" encoding="utf-8"?>
<sst xmlns="http://schemas.openxmlformats.org/spreadsheetml/2006/main" count="54" uniqueCount="31">
  <si>
    <t>REVESTIMENTOS E ACABAMENTOS DE FACHADA</t>
  </si>
  <si>
    <t>PINTURA INTERNA</t>
  </si>
  <si>
    <t>IMPERMEABILIZAÇÃO</t>
  </si>
  <si>
    <t>Valor / m²</t>
  </si>
  <si>
    <t>%</t>
  </si>
  <si>
    <t>Valor Orçado</t>
  </si>
  <si>
    <t>Etapa</t>
  </si>
  <si>
    <t>TOTAL</t>
  </si>
  <si>
    <t>INFRAESTRUTURA</t>
  </si>
  <si>
    <t>SUPRAESTRUTURA</t>
  </si>
  <si>
    <t>REVESTIMENTOS INTERNOS EM PISO E PAREDE</t>
  </si>
  <si>
    <t>REVESTIMENTOS E ACABAMENTOS INTERNOS EM TETO</t>
  </si>
  <si>
    <t>ACABAMENTOS EM PISO E PAREDE</t>
  </si>
  <si>
    <t>GERENCIAMENTO TÉCNICO E ADMINISTRATIVO</t>
  </si>
  <si>
    <t>ALVENARIA</t>
  </si>
  <si>
    <t>CUB/SC</t>
  </si>
  <si>
    <t>CUB</t>
  </si>
  <si>
    <t>MOVIMENTAÇÃO DE TERRA</t>
  </si>
  <si>
    <t>ESTRUTURA METÁLICA</t>
  </si>
  <si>
    <t>SISTEMAS E INSTALAÇÕES ELÉTRICAS</t>
  </si>
  <si>
    <t>SISTEMAS E INSTALAÇÕES HIDROSSANITÁRIAS E DRENAGEM</t>
  </si>
  <si>
    <t>INSTALAÇÕES PREVENTIVAS E GLP</t>
  </si>
  <si>
    <t>CLIMATIZAÇÃO E EXAUSTÃO</t>
  </si>
  <si>
    <t>AUTOMAÇÃO E SISTEMAS LÓGICOS E TELECOMUNICAÇÃO</t>
  </si>
  <si>
    <t xml:space="preserve">ESQUADRIAS, VIDROS E FERRAGENS </t>
  </si>
  <si>
    <t>EQUIPAMENTOS E SISTEMAS ESPECIAIS</t>
  </si>
  <si>
    <t xml:space="preserve">SERVIÇOS COMPLEMENTARES E FINAIS </t>
  </si>
  <si>
    <t>CONTENÇÕES E ARRIMOS</t>
  </si>
  <si>
    <t>Valor / UH</t>
  </si>
  <si>
    <t>BRAVA MUNDO - R00
Valor / m²</t>
  </si>
  <si>
    <t>BRAVA MUNDO - R01
Valor / 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</si>
</sst>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R$&quot;\ #,##0.00;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#,##0.00"/>
  </numFmts>
  <fonts count="7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.5"/>
      <color theme="0"/>
      <name val="Poppins"/>
      <scheme val="minor"/>
    </font>
    <font>
      <sz val="10.5"/>
      <name val="Poppins"/>
      <scheme val="minor"/>
    </font>
    <font>
      <sz val="10.5"/>
      <color rgb="FF010000"/>
      <name val="Poppins"/>
      <scheme val="minor"/>
    </font>
    <font>
      <b/>
      <sz val="10.5"/>
      <color theme="0"/>
      <name val="Poppins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1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34998626667073579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4" fillId="0" borderId="0" xfId="0" applyFont="1" applyAlignment="1">
      <alignment vertical="center" wrapText="1"/>
    </xf>
    <xf numFmtId="0" fontId="5" fillId="2" borderId="9" xfId="0" applyFont="1" applyFill="1" applyBorder="1" applyAlignment="1">
      <alignment horizontal="left" vertical="center" wrapText="1"/>
    </xf>
    <xf numFmtId="164" fontId="5" fillId="2" borderId="10" xfId="0" applyNumberFormat="1" applyFont="1" applyFill="1" applyBorder="1" applyAlignment="1">
      <alignment horizontal="right" vertical="center" wrapText="1"/>
    </xf>
    <xf numFmtId="10" fontId="4" fillId="2" borderId="10" xfId="2" applyNumberFormat="1" applyFont="1" applyFill="1" applyBorder="1" applyAlignment="1">
      <alignment vertical="center" wrapText="1"/>
    </xf>
    <xf numFmtId="43" fontId="4" fillId="2" borderId="10" xfId="1" applyFont="1" applyFill="1" applyBorder="1" applyAlignment="1">
      <alignment vertical="center" wrapText="1"/>
    </xf>
    <xf numFmtId="43" fontId="4" fillId="2" borderId="11" xfId="1" applyFont="1" applyFill="1" applyBorder="1" applyAlignment="1">
      <alignment vertical="center" wrapText="1"/>
    </xf>
    <xf numFmtId="0" fontId="5" fillId="3" borderId="9" xfId="0" applyFont="1" applyFill="1" applyBorder="1" applyAlignment="1">
      <alignment horizontal="left" vertical="center" wrapText="1"/>
    </xf>
    <xf numFmtId="164" fontId="5" fillId="3" borderId="10" xfId="0" applyNumberFormat="1" applyFont="1" applyFill="1" applyBorder="1" applyAlignment="1">
      <alignment horizontal="right" vertical="center" wrapText="1"/>
    </xf>
    <xf numFmtId="10" fontId="4" fillId="3" borderId="10" xfId="2" applyNumberFormat="1" applyFont="1" applyFill="1" applyBorder="1" applyAlignment="1">
      <alignment vertical="center" wrapText="1"/>
    </xf>
    <xf numFmtId="43" fontId="4" fillId="3" borderId="10" xfId="1" applyFont="1" applyFill="1" applyBorder="1" applyAlignment="1">
      <alignment vertical="center" wrapText="1"/>
    </xf>
    <xf numFmtId="43" fontId="4" fillId="3" borderId="11" xfId="1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10" fontId="4" fillId="3" borderId="0" xfId="2" applyNumberFormat="1" applyFont="1" applyFill="1" applyAlignment="1">
      <alignment vertical="center" wrapText="1"/>
    </xf>
    <xf numFmtId="43" fontId="4" fillId="3" borderId="0" xfId="0" applyNumberFormat="1" applyFont="1" applyFill="1" applyAlignment="1">
      <alignment vertical="center" wrapText="1"/>
    </xf>
    <xf numFmtId="10" fontId="4" fillId="0" borderId="0" xfId="2" applyNumberFormat="1" applyFont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10" fontId="3" fillId="4" borderId="1" xfId="2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right" vertical="center" wrapText="1"/>
    </xf>
    <xf numFmtId="164" fontId="3" fillId="4" borderId="2" xfId="0" applyNumberFormat="1" applyFont="1" applyFill="1" applyBorder="1" applyAlignment="1">
      <alignment vertical="center" wrapText="1"/>
    </xf>
    <xf numFmtId="10" fontId="3" fillId="4" borderId="2" xfId="2" applyNumberFormat="1" applyFont="1" applyFill="1" applyBorder="1" applyAlignment="1">
      <alignment vertical="center" wrapText="1"/>
    </xf>
    <xf numFmtId="43" fontId="3" fillId="4" borderId="2" xfId="1" applyFont="1" applyFill="1" applyBorder="1" applyAlignment="1">
      <alignment vertical="center" wrapText="1"/>
    </xf>
    <xf numFmtId="43" fontId="3" fillId="4" borderId="4" xfId="1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right" vertical="center" wrapText="1"/>
    </xf>
    <xf numFmtId="164" fontId="3" fillId="4" borderId="6" xfId="0" applyNumberFormat="1" applyFont="1" applyFill="1" applyBorder="1" applyAlignment="1">
      <alignment vertical="center" wrapText="1"/>
    </xf>
    <xf numFmtId="17" fontId="3" fillId="4" borderId="6" xfId="1" applyNumberFormat="1" applyFont="1" applyFill="1" applyBorder="1" applyAlignment="1">
      <alignment vertical="center" wrapText="1"/>
    </xf>
    <xf numFmtId="43" fontId="3" fillId="4" borderId="7" xfId="1" applyFont="1" applyFill="1" applyBorder="1" applyAlignment="1">
      <alignment vertical="center" wrapText="1"/>
    </xf>
    <xf numFmtId="43" fontId="3" fillId="4" borderId="8" xfId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43" fontId="0" fillId="0" borderId="0" xfId="1" applyFont="1"/>
    <xf numFmtId="7" fontId="6" fillId="4" borderId="1" xfId="3" applyNumberFormat="1" applyFont="1" applyFill="1" applyBorder="1" applyAlignment="1">
      <alignment horizontal="center" vertical="center" wrapText="1"/>
    </xf>
    <xf numFmtId="7" fontId="5" fillId="2" borderId="9" xfId="3" applyNumberFormat="1" applyFont="1" applyFill="1" applyBorder="1" applyAlignment="1">
      <alignment horizontal="center" vertical="center" wrapText="1"/>
    </xf>
    <xf numFmtId="7" fontId="5" fillId="3" borderId="9" xfId="3" applyNumberFormat="1" applyFont="1" applyFill="1" applyBorder="1" applyAlignment="1">
      <alignment horizontal="center" vertical="center" wrapText="1"/>
    </xf>
    <xf numFmtId="7" fontId="6" fillId="4" borderId="2" xfId="3" applyNumberFormat="1" applyFont="1" applyFill="1" applyBorder="1" applyAlignment="1">
      <alignment horizontal="center" vertical="center" wrapText="1"/>
    </xf>
    <xf numFmtId="7" fontId="0" fillId="0" borderId="0" xfId="3" applyNumberFormat="1" applyFont="1" applyAlignment="1">
      <alignment horizontal="center"/>
    </xf>
    <xf numFmtId="43" fontId="4" fillId="0" borderId="0" xfId="1" applyFont="1" applyAlignment="1">
      <alignment vertical="center" wrapText="1"/>
    </xf>
  </cellXfs>
  <cellStyles count="4">
    <cellStyle name="Moeda" xfId="3" builtinId="4"/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D0D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Cartesian">
      <a:dk1>
        <a:srgbClr val="121212"/>
      </a:dk1>
      <a:lt1>
        <a:srgbClr val="F5F5F5"/>
      </a:lt1>
      <a:dk2>
        <a:srgbClr val="255AE5"/>
      </a:dk2>
      <a:lt2>
        <a:srgbClr val="FE3400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Cartesian">
      <a:majorFont>
        <a:latin typeface="Poppins Medium"/>
        <a:ea typeface=""/>
        <a:cs typeface=""/>
      </a:majorFont>
      <a:minorFont>
        <a:latin typeface="Poppins"/>
        <a:ea typeface=""/>
        <a:cs typeface="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showGridLines="0" tabSelected="1" zoomScaleNormal="100" workbookViewId="0">
      <selection activeCell="B10" sqref="B10"/>
    </sheetView>
  </sheetViews>
  <sheetFormatPr defaultColWidth="9.140625" defaultRowHeight="21" x14ac:dyDescent="0.2"/>
  <cols>
    <col min="1" max="1" width="65.85546875" style="1" bestFit="1" customWidth="1"/>
    <col min="2" max="2" width="16.5703125" style="1" bestFit="1" customWidth="1"/>
    <col min="3" max="3" width="10.5703125" style="15" customWidth="1"/>
    <col min="4" max="4" width="13.85546875" style="1" customWidth="1"/>
    <col min="5" max="5" width="16.5703125" style="1" bestFit="1" customWidth="1"/>
    <col min="6" max="6" width="9.140625" style="1"/>
    <col min="7" max="7" width="10.7109375" style="1" bestFit="1" customWidth="1"/>
    <col min="8" max="8" width="22.28515625" style="1" bestFit="1" customWidth="1"/>
    <col min="9" max="16384" width="9.140625" style="1"/>
  </cols>
  <sheetData>
    <row r="1" spans="1:8" ht="21" customHeight="1" x14ac:dyDescent="0.2">
      <c r="A1" s="16" t="s">
        <v>6</v>
      </c>
      <c r="B1" s="17" t="s">
        <v>5</v>
      </c>
      <c r="C1" s="18" t="s">
        <v>4</v>
      </c>
      <c r="D1" s="17" t="s">
        <v>3</v>
      </c>
      <c r="E1" s="17" t="s">
        <v>28</v>
      </c>
    </row>
    <row r="2" spans="1:8" ht="18" customHeight="1" x14ac:dyDescent="0.2">
      <c r="A2" s="2" t="s">
        <v>13</v>
      </c>
      <c r="B2" s="3">
        <v>3309013.95</v>
      </c>
      <c r="C2" s="4">
        <f t="shared" ref="C2:C22" si="0">+B2/$B$23</f>
        <v>0.16197505538860271</v>
      </c>
      <c r="D2" s="5">
        <f>+B2/4811.62</f>
        <v>687.71306753234887</v>
      </c>
      <c r="E2" s="6">
        <f>+B2/55</f>
        <v>60163.890000000007</v>
      </c>
    </row>
    <row r="3" spans="1:8" ht="18" customHeight="1" x14ac:dyDescent="0.2">
      <c r="A3" s="7" t="s">
        <v>17</v>
      </c>
      <c r="B3" s="8">
        <v>449100</v>
      </c>
      <c r="C3" s="9">
        <f t="shared" si="0"/>
        <v>2.1983285194376857E-2</v>
      </c>
      <c r="D3" s="10">
        <f t="shared" ref="D3:D22" si="1">+B3/4811.62</f>
        <v>93.336547773930619</v>
      </c>
      <c r="E3" s="11">
        <f t="shared" ref="E3:E22" si="2">+B3/55</f>
        <v>8165.454545454545</v>
      </c>
    </row>
    <row r="4" spans="1:8" ht="18" customHeight="1" x14ac:dyDescent="0.2">
      <c r="A4" s="2" t="s">
        <v>27</v>
      </c>
      <c r="B4" s="3">
        <v>640926.46</v>
      </c>
      <c r="C4" s="4">
        <f t="shared" si="0"/>
        <v>3.1373122152755221E-2</v>
      </c>
      <c r="D4" s="5">
        <f t="shared" si="1"/>
        <v>133.20388143702121</v>
      </c>
      <c r="E4" s="6">
        <f t="shared" si="2"/>
        <v>11653.208363636362</v>
      </c>
    </row>
    <row r="5" spans="1:8" ht="18" customHeight="1" x14ac:dyDescent="0.2">
      <c r="A5" s="7" t="s">
        <v>8</v>
      </c>
      <c r="B5" s="8">
        <v>880098.86</v>
      </c>
      <c r="C5" s="9">
        <f t="shared" si="0"/>
        <v>4.3080526026777886E-2</v>
      </c>
      <c r="D5" s="10">
        <f t="shared" si="1"/>
        <v>182.91113180176322</v>
      </c>
      <c r="E5" s="11">
        <f t="shared" si="2"/>
        <v>16001.797454545454</v>
      </c>
    </row>
    <row r="6" spans="1:8" ht="18" customHeight="1" x14ac:dyDescent="0.2">
      <c r="A6" s="2" t="s">
        <v>9</v>
      </c>
      <c r="B6" s="3">
        <v>3734488.11</v>
      </c>
      <c r="C6" s="4">
        <f t="shared" si="0"/>
        <v>0.1828018641218869</v>
      </c>
      <c r="D6" s="5">
        <f t="shared" si="1"/>
        <v>776.13945199329953</v>
      </c>
      <c r="E6" s="6">
        <f t="shared" si="2"/>
        <v>67899.783818181822</v>
      </c>
    </row>
    <row r="7" spans="1:8" ht="18" customHeight="1" x14ac:dyDescent="0.2">
      <c r="A7" s="7" t="s">
        <v>18</v>
      </c>
      <c r="B7" s="8">
        <v>280000</v>
      </c>
      <c r="C7" s="9">
        <f t="shared" si="0"/>
        <v>1.3705900366122289E-2</v>
      </c>
      <c r="D7" s="10">
        <f t="shared" si="1"/>
        <v>58.192459088622961</v>
      </c>
      <c r="E7" s="11">
        <f t="shared" si="2"/>
        <v>5090.909090909091</v>
      </c>
    </row>
    <row r="8" spans="1:8" ht="18" customHeight="1" x14ac:dyDescent="0.2">
      <c r="A8" s="2" t="s">
        <v>14</v>
      </c>
      <c r="B8" s="3">
        <v>729403.27</v>
      </c>
      <c r="C8" s="4">
        <f t="shared" si="0"/>
        <v>3.5704030519084981E-2</v>
      </c>
      <c r="D8" s="5">
        <f>+B8/4811.62</f>
        <v>151.59203553065288</v>
      </c>
      <c r="E8" s="6">
        <f t="shared" si="2"/>
        <v>13261.877636363637</v>
      </c>
    </row>
    <row r="9" spans="1:8" x14ac:dyDescent="0.2">
      <c r="A9" s="7" t="s">
        <v>19</v>
      </c>
      <c r="B9" s="8">
        <v>1358996.64</v>
      </c>
      <c r="C9" s="9">
        <f t="shared" si="0"/>
        <v>6.6522401949053414E-2</v>
      </c>
      <c r="D9" s="10">
        <f>+B9/4811.62</f>
        <v>282.44055848134309</v>
      </c>
      <c r="E9" s="11">
        <f t="shared" si="2"/>
        <v>24709.029818181818</v>
      </c>
      <c r="H9" s="37"/>
    </row>
    <row r="10" spans="1:8" x14ac:dyDescent="0.2">
      <c r="A10" s="2" t="s">
        <v>20</v>
      </c>
      <c r="B10" s="3">
        <v>912574.24</v>
      </c>
      <c r="C10" s="4">
        <f t="shared" si="0"/>
        <v>4.4670184321892029E-2</v>
      </c>
      <c r="D10" s="5">
        <f t="shared" si="1"/>
        <v>189.66049688046854</v>
      </c>
      <c r="E10" s="6">
        <f t="shared" si="2"/>
        <v>16592.25890909091</v>
      </c>
    </row>
    <row r="11" spans="1:8" x14ac:dyDescent="0.2">
      <c r="A11" s="7" t="s">
        <v>21</v>
      </c>
      <c r="B11" s="8">
        <v>199906.24</v>
      </c>
      <c r="C11" s="9">
        <f t="shared" si="0"/>
        <v>9.7853393143076065E-3</v>
      </c>
      <c r="D11" s="10">
        <f t="shared" si="1"/>
        <v>41.546556045573006</v>
      </c>
      <c r="E11" s="11">
        <f t="shared" si="2"/>
        <v>3634.6589090909088</v>
      </c>
    </row>
    <row r="12" spans="1:8" ht="18" customHeight="1" x14ac:dyDescent="0.2">
      <c r="A12" s="2" t="s">
        <v>22</v>
      </c>
      <c r="B12" s="3">
        <v>599718.52</v>
      </c>
      <c r="C12" s="4">
        <f t="shared" si="0"/>
        <v>2.9356008152993988E-2</v>
      </c>
      <c r="D12" s="5">
        <f t="shared" si="1"/>
        <v>124.63962657067682</v>
      </c>
      <c r="E12" s="6">
        <f t="shared" si="2"/>
        <v>10903.97309090909</v>
      </c>
    </row>
    <row r="13" spans="1:8" ht="18" customHeight="1" x14ac:dyDescent="0.2">
      <c r="A13" s="7" t="s">
        <v>23</v>
      </c>
      <c r="B13" s="8">
        <v>315684.34999999998</v>
      </c>
      <c r="C13" s="9">
        <f t="shared" si="0"/>
        <v>1.54526366008717E-2</v>
      </c>
      <c r="D13" s="10">
        <f t="shared" si="1"/>
        <v>65.608745079619752</v>
      </c>
      <c r="E13" s="11">
        <f t="shared" si="2"/>
        <v>5739.7154545454541</v>
      </c>
    </row>
    <row r="14" spans="1:8" ht="18" customHeight="1" x14ac:dyDescent="0.2">
      <c r="A14" s="2" t="s">
        <v>2</v>
      </c>
      <c r="B14" s="3">
        <v>298123.8</v>
      </c>
      <c r="C14" s="4">
        <f t="shared" si="0"/>
        <v>1.4593053927034885E-2</v>
      </c>
      <c r="D14" s="5">
        <f t="shared" si="1"/>
        <v>61.959132267302905</v>
      </c>
      <c r="E14" s="6">
        <f t="shared" si="2"/>
        <v>5420.4327272727269</v>
      </c>
    </row>
    <row r="15" spans="1:8" ht="18" customHeight="1" x14ac:dyDescent="0.2">
      <c r="A15" s="7" t="s">
        <v>10</v>
      </c>
      <c r="B15" s="8">
        <v>478359.32</v>
      </c>
      <c r="C15" s="9">
        <f t="shared" si="0"/>
        <v>2.3415518496878604E-2</v>
      </c>
      <c r="D15" s="10">
        <f t="shared" si="1"/>
        <v>99.417518424148213</v>
      </c>
      <c r="E15" s="11">
        <f t="shared" si="2"/>
        <v>8697.4421818181818</v>
      </c>
    </row>
    <row r="16" spans="1:8" ht="18" customHeight="1" x14ac:dyDescent="0.2">
      <c r="A16" s="2" t="s">
        <v>11</v>
      </c>
      <c r="B16" s="3">
        <v>283992.81</v>
      </c>
      <c r="C16" s="4">
        <f t="shared" si="0"/>
        <v>1.3901346994839633E-2</v>
      </c>
      <c r="D16" s="5">
        <f t="shared" si="1"/>
        <v>59.022285633528831</v>
      </c>
      <c r="E16" s="6">
        <f t="shared" si="2"/>
        <v>5163.5056363636368</v>
      </c>
    </row>
    <row r="17" spans="1:5" ht="18" customHeight="1" x14ac:dyDescent="0.2">
      <c r="A17" s="7" t="s">
        <v>12</v>
      </c>
      <c r="B17" s="8">
        <v>1094759.96</v>
      </c>
      <c r="C17" s="9">
        <f t="shared" si="0"/>
        <v>5.3588110487785792E-2</v>
      </c>
      <c r="D17" s="10">
        <f t="shared" si="1"/>
        <v>227.52419351486608</v>
      </c>
      <c r="E17" s="11">
        <f t="shared" si="2"/>
        <v>19904.726545454545</v>
      </c>
    </row>
    <row r="18" spans="1:5" ht="18" customHeight="1" x14ac:dyDescent="0.2">
      <c r="A18" s="2" t="s">
        <v>1</v>
      </c>
      <c r="B18" s="3">
        <v>419881.48</v>
      </c>
      <c r="C18" s="4">
        <f t="shared" si="0"/>
        <v>2.0553049037357028E-2</v>
      </c>
      <c r="D18" s="5">
        <f t="shared" si="1"/>
        <v>87.264056596323073</v>
      </c>
      <c r="E18" s="6">
        <f t="shared" si="2"/>
        <v>7634.2087272727267</v>
      </c>
    </row>
    <row r="19" spans="1:5" ht="18" customHeight="1" x14ac:dyDescent="0.2">
      <c r="A19" s="7" t="s">
        <v>24</v>
      </c>
      <c r="B19" s="8">
        <v>2665377.91</v>
      </c>
      <c r="C19" s="9">
        <f t="shared" si="0"/>
        <v>0.13046930025901166</v>
      </c>
      <c r="D19" s="10">
        <f t="shared" si="1"/>
        <v>553.94605351212283</v>
      </c>
      <c r="E19" s="11">
        <f t="shared" si="2"/>
        <v>48461.416545454551</v>
      </c>
    </row>
    <row r="20" spans="1:5" ht="18" customHeight="1" x14ac:dyDescent="0.2">
      <c r="A20" s="2" t="s">
        <v>0</v>
      </c>
      <c r="B20" s="3">
        <v>743529.71</v>
      </c>
      <c r="C20" s="4">
        <f t="shared" si="0"/>
        <v>3.639551473039928E-2</v>
      </c>
      <c r="D20" s="5">
        <f t="shared" si="1"/>
        <v>154.52793653696676</v>
      </c>
      <c r="E20" s="6">
        <f t="shared" si="2"/>
        <v>13518.722</v>
      </c>
    </row>
    <row r="21" spans="1:5" ht="18" customHeight="1" x14ac:dyDescent="0.2">
      <c r="A21" s="7" t="s">
        <v>25</v>
      </c>
      <c r="B21" s="8">
        <v>640000</v>
      </c>
      <c r="C21" s="9">
        <f t="shared" si="0"/>
        <v>3.1327772265422375E-2</v>
      </c>
      <c r="D21" s="10">
        <f t="shared" si="1"/>
        <v>133.01133505970961</v>
      </c>
      <c r="E21" s="11">
        <f t="shared" si="2"/>
        <v>11636.363636363636</v>
      </c>
    </row>
    <row r="22" spans="1:5" ht="18" customHeight="1" x14ac:dyDescent="0.2">
      <c r="A22" s="2" t="s">
        <v>26</v>
      </c>
      <c r="B22" s="3">
        <v>395222.07</v>
      </c>
      <c r="C22" s="4">
        <f t="shared" si="0"/>
        <v>1.9345979692545031E-2</v>
      </c>
      <c r="D22" s="5">
        <f t="shared" si="1"/>
        <v>82.139086212128149</v>
      </c>
      <c r="E22" s="6">
        <f t="shared" si="2"/>
        <v>7185.855818181818</v>
      </c>
    </row>
    <row r="23" spans="1:5" ht="18.75" customHeight="1" x14ac:dyDescent="0.2">
      <c r="A23" s="19" t="s">
        <v>7</v>
      </c>
      <c r="B23" s="20">
        <f>SUM(B2:B22)</f>
        <v>20429157.700000003</v>
      </c>
      <c r="C23" s="21">
        <f>SUM(C2:C22)</f>
        <v>0.99999999999999989</v>
      </c>
      <c r="D23" s="22">
        <f>SUM(D2:D22)</f>
        <v>4245.7961559724163</v>
      </c>
      <c r="E23" s="23">
        <f>SUM(E2:E22)</f>
        <v>371439.23090909095</v>
      </c>
    </row>
    <row r="24" spans="1:5" ht="18.75" customHeight="1" x14ac:dyDescent="0.2">
      <c r="A24" s="24" t="s">
        <v>15</v>
      </c>
      <c r="B24" s="25">
        <v>2461.35</v>
      </c>
      <c r="C24" s="26">
        <v>44652</v>
      </c>
      <c r="D24" s="27">
        <f>+D23/B24</f>
        <v>1.7249867576624276</v>
      </c>
      <c r="E24" s="28" t="s">
        <v>16</v>
      </c>
    </row>
    <row r="25" spans="1:5" ht="15" customHeight="1" x14ac:dyDescent="0.2">
      <c r="A25" s="12"/>
      <c r="B25" s="12"/>
      <c r="C25" s="13"/>
      <c r="D25" s="12"/>
      <c r="E25" s="12"/>
    </row>
    <row r="26" spans="1:5" ht="15" customHeight="1" x14ac:dyDescent="0.2">
      <c r="A26" s="12"/>
      <c r="B26" s="12"/>
      <c r="C26" s="13"/>
      <c r="D26" s="14"/>
      <c r="E26" s="12"/>
    </row>
    <row r="27" spans="1:5" ht="15" customHeight="1" x14ac:dyDescent="0.2">
      <c r="A27" s="12"/>
      <c r="B27" s="12"/>
      <c r="C27" s="13"/>
      <c r="D27" s="14"/>
      <c r="E27" s="12"/>
    </row>
    <row r="28" spans="1:5" ht="15" customHeight="1" x14ac:dyDescent="0.2">
      <c r="A28" s="12"/>
      <c r="B28" s="12"/>
      <c r="C28" s="13"/>
      <c r="D28" s="12"/>
      <c r="E28" s="12"/>
    </row>
    <row r="29" spans="1:5" ht="15" customHeight="1" x14ac:dyDescent="0.2">
      <c r="A29" s="12"/>
      <c r="B29" s="12"/>
      <c r="C29" s="13"/>
      <c r="D29" s="12"/>
      <c r="E29" s="12"/>
    </row>
    <row r="30" spans="1:5" ht="15" customHeight="1" x14ac:dyDescent="0.2">
      <c r="A30" s="12"/>
      <c r="B30" s="12"/>
      <c r="C30" s="13"/>
      <c r="D30" s="12"/>
      <c r="E30" s="12"/>
    </row>
    <row r="31" spans="1:5" ht="15" customHeight="1" x14ac:dyDescent="0.2">
      <c r="A31" s="12"/>
      <c r="B31" s="12"/>
      <c r="C31" s="13"/>
      <c r="D31" s="12"/>
      <c r="E31" s="12"/>
    </row>
    <row r="32" spans="1:5" ht="15" customHeight="1" x14ac:dyDescent="0.2">
      <c r="A32" s="12"/>
      <c r="B32" s="12"/>
      <c r="C32" s="13"/>
      <c r="D32" s="12"/>
      <c r="E32" s="12"/>
    </row>
    <row r="33" spans="1:5" ht="15" customHeight="1" x14ac:dyDescent="0.2">
      <c r="A33" s="12"/>
      <c r="B33" s="12"/>
      <c r="C33" s="13"/>
      <c r="D33" s="12"/>
      <c r="E33" s="12"/>
    </row>
    <row r="34" spans="1:5" ht="15" customHeight="1" x14ac:dyDescent="0.2">
      <c r="A34" s="12"/>
      <c r="B34" s="12"/>
      <c r="C34" s="13"/>
      <c r="D34" s="12"/>
      <c r="E34" s="12"/>
    </row>
    <row r="35" spans="1:5" ht="15" customHeight="1" x14ac:dyDescent="0.2">
      <c r="A35" s="12"/>
      <c r="B35" s="12"/>
      <c r="C35" s="13"/>
      <c r="D35" s="12"/>
      <c r="E35" s="12"/>
    </row>
    <row r="36" spans="1:5" ht="15" customHeight="1" x14ac:dyDescent="0.2">
      <c r="A36" s="12"/>
      <c r="B36" s="12"/>
      <c r="C36" s="13"/>
      <c r="D36" s="12"/>
      <c r="E36" s="12"/>
    </row>
    <row r="37" spans="1:5" ht="15" customHeight="1" x14ac:dyDescent="0.2">
      <c r="A37" s="12"/>
      <c r="B37" s="12"/>
      <c r="C37" s="13"/>
      <c r="D37" s="12"/>
      <c r="E37" s="12"/>
    </row>
    <row r="38" spans="1:5" x14ac:dyDescent="0.2">
      <c r="A38" s="12"/>
      <c r="B38" s="12"/>
      <c r="C38" s="13"/>
      <c r="D38" s="12"/>
      <c r="E38" s="12"/>
    </row>
    <row r="39" spans="1:5" x14ac:dyDescent="0.2">
      <c r="A39" s="12"/>
      <c r="B39" s="12"/>
      <c r="C39" s="13"/>
      <c r="D39" s="12"/>
      <c r="E39" s="12"/>
    </row>
    <row r="40" spans="1:5" x14ac:dyDescent="0.2">
      <c r="A40" s="12"/>
      <c r="B40" s="12"/>
      <c r="C40" s="13"/>
      <c r="D40" s="12"/>
      <c r="E40" s="12"/>
    </row>
    <row r="41" spans="1:5" x14ac:dyDescent="0.2">
      <c r="A41" s="12"/>
      <c r="B41" s="12"/>
      <c r="C41" s="13"/>
      <c r="D41" s="12"/>
      <c r="E41" s="12"/>
    </row>
    <row r="42" spans="1:5" x14ac:dyDescent="0.2">
      <c r="A42" s="12"/>
      <c r="B42" s="12"/>
      <c r="C42" s="13"/>
      <c r="D42" s="12"/>
      <c r="E42" s="12"/>
    </row>
    <row r="43" spans="1:5" x14ac:dyDescent="0.2">
      <c r="A43" s="12"/>
      <c r="B43" s="12"/>
      <c r="C43" s="13"/>
      <c r="D43" s="12"/>
      <c r="E43" s="12"/>
    </row>
    <row r="44" spans="1:5" x14ac:dyDescent="0.2">
      <c r="A44" s="12"/>
      <c r="B44" s="12"/>
      <c r="C44" s="13"/>
      <c r="D44" s="12"/>
      <c r="E44" s="12"/>
    </row>
    <row r="45" spans="1:5" x14ac:dyDescent="0.2">
      <c r="A45" s="12"/>
      <c r="B45" s="12"/>
      <c r="C45" s="13"/>
      <c r="D45" s="12"/>
      <c r="E45" s="12"/>
    </row>
    <row r="46" spans="1:5" x14ac:dyDescent="0.2">
      <c r="A46" s="12"/>
      <c r="B46" s="12"/>
      <c r="C46" s="13"/>
      <c r="D46" s="12"/>
      <c r="E46" s="12"/>
    </row>
    <row r="47" spans="1:5" x14ac:dyDescent="0.2">
      <c r="A47" s="12"/>
      <c r="B47" s="12"/>
      <c r="C47" s="13"/>
      <c r="D47" s="12"/>
      <c r="E47" s="12"/>
    </row>
    <row r="48" spans="1:5" x14ac:dyDescent="0.2">
      <c r="A48" s="12"/>
      <c r="B48" s="12"/>
      <c r="C48" s="13"/>
      <c r="D48" s="12"/>
      <c r="E48" s="12"/>
    </row>
    <row r="49" spans="1:5" x14ac:dyDescent="0.2">
      <c r="A49" s="12"/>
      <c r="B49" s="12"/>
      <c r="C49" s="13"/>
      <c r="D49" s="12"/>
      <c r="E49" s="12"/>
    </row>
  </sheetData>
  <phoneticPr fontId="2" type="noConversion"/>
  <pageMargins left="0.51181102362204722" right="0.51181102362204722" top="0.78740157480314965" bottom="0.78740157480314965" header="0.31496062992125984" footer="0.31496062992125984"/>
  <pageSetup paperSize="9" scale="1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0681D-FE1F-4DC6-B2A8-4DFE6D21F894}">
  <dimension ref="A1:C23"/>
  <sheetViews>
    <sheetView showGridLines="0" topLeftCell="A4" zoomScale="115" zoomScaleNormal="115" workbookViewId="0">
      <selection activeCell="D16" sqref="D16"/>
    </sheetView>
  </sheetViews>
  <sheetFormatPr defaultRowHeight="18" customHeight="1" x14ac:dyDescent="0.2"/>
  <cols>
    <col min="1" max="1" width="65.85546875" bestFit="1" customWidth="1"/>
    <col min="2" max="2" width="23.140625" style="36" customWidth="1"/>
    <col min="3" max="3" width="23.140625" customWidth="1"/>
  </cols>
  <sheetData>
    <row r="1" spans="1:3" ht="37.5" customHeight="1" x14ac:dyDescent="0.2">
      <c r="A1" s="29" t="s">
        <v>6</v>
      </c>
      <c r="B1" s="32" t="s">
        <v>30</v>
      </c>
      <c r="C1" s="30" t="s">
        <v>29</v>
      </c>
    </row>
    <row r="2" spans="1:3" ht="18" customHeight="1" x14ac:dyDescent="0.2">
      <c r="A2" s="2" t="s">
        <v>13</v>
      </c>
      <c r="B2" s="33">
        <f>+'Orçamento Resumo'!D2</f>
        <v>687.71306753234887</v>
      </c>
      <c r="C2" s="33">
        <v>457.74815917092866</v>
      </c>
    </row>
    <row r="3" spans="1:3" ht="18" customHeight="1" x14ac:dyDescent="0.2">
      <c r="A3" s="7" t="s">
        <v>17</v>
      </c>
      <c r="B3" s="34">
        <f>+'Orçamento Resumo'!D3</f>
        <v>93.336547773930619</v>
      </c>
      <c r="C3" s="34">
        <v>19.553550451666361</v>
      </c>
    </row>
    <row r="4" spans="1:3" ht="18" customHeight="1" x14ac:dyDescent="0.2">
      <c r="A4" s="2" t="s">
        <v>27</v>
      </c>
      <c r="B4" s="33">
        <f>+'Orçamento Resumo'!D4</f>
        <v>133.20388143702121</v>
      </c>
      <c r="C4" s="33">
        <v>138.63539582120768</v>
      </c>
    </row>
    <row r="5" spans="1:3" ht="18" customHeight="1" x14ac:dyDescent="0.2">
      <c r="A5" s="7" t="s">
        <v>8</v>
      </c>
      <c r="B5" s="34">
        <f>+'Orçamento Resumo'!D5</f>
        <v>182.91113180176322</v>
      </c>
      <c r="C5" s="34">
        <v>192.4003126998368</v>
      </c>
    </row>
    <row r="6" spans="1:3" ht="18" customHeight="1" x14ac:dyDescent="0.2">
      <c r="A6" s="2" t="s">
        <v>9</v>
      </c>
      <c r="B6" s="33">
        <f>+'Orçamento Resumo'!D6</f>
        <v>776.13945199329953</v>
      </c>
      <c r="C6" s="33">
        <v>568.85616868885256</v>
      </c>
    </row>
    <row r="7" spans="1:3" ht="18" customHeight="1" x14ac:dyDescent="0.2">
      <c r="A7" s="7" t="s">
        <v>18</v>
      </c>
      <c r="B7" s="34">
        <f>+'Orçamento Resumo'!D7</f>
        <v>58.192459088622961</v>
      </c>
      <c r="C7" s="34">
        <v>47.117931398787881</v>
      </c>
    </row>
    <row r="8" spans="1:3" ht="18" customHeight="1" x14ac:dyDescent="0.2">
      <c r="A8" s="2" t="s">
        <v>14</v>
      </c>
      <c r="B8" s="33">
        <f>+'Orçamento Resumo'!D8</f>
        <v>151.59203553065288</v>
      </c>
      <c r="C8" s="33">
        <v>108.62246560384416</v>
      </c>
    </row>
    <row r="9" spans="1:3" ht="18" customHeight="1" x14ac:dyDescent="0.2">
      <c r="A9" s="7" t="s">
        <v>19</v>
      </c>
      <c r="B9" s="34">
        <f>+'Orçamento Resumo'!D9</f>
        <v>282.44055848134309</v>
      </c>
      <c r="C9" s="34">
        <f>+(2461.35/2171.33)*267</f>
        <v>302.66263073784268</v>
      </c>
    </row>
    <row r="10" spans="1:3" ht="18" customHeight="1" x14ac:dyDescent="0.2">
      <c r="A10" s="2" t="s">
        <v>20</v>
      </c>
      <c r="B10" s="33">
        <f>+'Orçamento Resumo'!D10</f>
        <v>189.66049688046854</v>
      </c>
      <c r="C10" s="33">
        <f>+(2461.35/2171.33)*379.03</f>
        <v>429.65624317814422</v>
      </c>
    </row>
    <row r="11" spans="1:3" ht="18" customHeight="1" x14ac:dyDescent="0.2">
      <c r="A11" s="7" t="s">
        <v>21</v>
      </c>
      <c r="B11" s="34">
        <f>+'Orçamento Resumo'!D11</f>
        <v>41.546556045573006</v>
      </c>
      <c r="C11" s="34">
        <f>+(2461.35/2171.33)*42.64</f>
        <v>48.335335485624014</v>
      </c>
    </row>
    <row r="12" spans="1:3" ht="18" customHeight="1" x14ac:dyDescent="0.2">
      <c r="A12" s="2" t="s">
        <v>22</v>
      </c>
      <c r="B12" s="33">
        <f>+'Orçamento Resumo'!D12</f>
        <v>124.63962657067682</v>
      </c>
      <c r="C12" s="33">
        <f>+(2461.35/2171.33)*(532153.8/4811.62)</f>
        <v>125.36993121002142</v>
      </c>
    </row>
    <row r="13" spans="1:3" ht="18" customHeight="1" x14ac:dyDescent="0.2">
      <c r="A13" s="7" t="s">
        <v>23</v>
      </c>
      <c r="B13" s="34">
        <f>+'Orçamento Resumo'!D13</f>
        <v>65.608745079619752</v>
      </c>
      <c r="C13" s="34">
        <f>+(2461.35/2171.33)*(284277.6/4811.62)</f>
        <v>66.972862275060294</v>
      </c>
    </row>
    <row r="14" spans="1:3" ht="18" customHeight="1" x14ac:dyDescent="0.2">
      <c r="A14" s="2" t="s">
        <v>2</v>
      </c>
      <c r="B14" s="33">
        <f>+'Orçamento Resumo'!D14</f>
        <v>61.959132267302905</v>
      </c>
      <c r="C14" s="33">
        <v>71.678603116650919</v>
      </c>
    </row>
    <row r="15" spans="1:3" ht="18" customHeight="1" x14ac:dyDescent="0.2">
      <c r="A15" s="7" t="s">
        <v>10</v>
      </c>
      <c r="B15" s="34">
        <f>+'Orçamento Resumo'!D15</f>
        <v>99.417518424148213</v>
      </c>
      <c r="C15" s="34">
        <v>110.56346758474812</v>
      </c>
    </row>
    <row r="16" spans="1:3" ht="18" customHeight="1" x14ac:dyDescent="0.2">
      <c r="A16" s="2" t="s">
        <v>11</v>
      </c>
      <c r="B16" s="33">
        <f>+'Orçamento Resumo'!D16</f>
        <v>59.022285633528831</v>
      </c>
      <c r="C16" s="33">
        <v>58.70492100744481</v>
      </c>
    </row>
    <row r="17" spans="1:3" ht="18" customHeight="1" x14ac:dyDescent="0.2">
      <c r="A17" s="7" t="s">
        <v>12</v>
      </c>
      <c r="B17" s="34">
        <f>+'Orçamento Resumo'!D17</f>
        <v>227.52419351486608</v>
      </c>
      <c r="C17" s="34">
        <v>208.76370120000996</v>
      </c>
    </row>
    <row r="18" spans="1:3" ht="18" customHeight="1" x14ac:dyDescent="0.2">
      <c r="A18" s="2" t="s">
        <v>1</v>
      </c>
      <c r="B18" s="33">
        <f>+'Orçamento Resumo'!D18</f>
        <v>87.264056596323073</v>
      </c>
      <c r="C18" s="33">
        <v>100.35458794543608</v>
      </c>
    </row>
    <row r="19" spans="1:3" ht="18" customHeight="1" x14ac:dyDescent="0.2">
      <c r="A19" s="7" t="s">
        <v>24</v>
      </c>
      <c r="B19" s="34">
        <f>+'Orçamento Resumo'!D19</f>
        <v>553.94605351212283</v>
      </c>
      <c r="C19" s="34">
        <v>543.22731461900651</v>
      </c>
    </row>
    <row r="20" spans="1:3" ht="18" customHeight="1" x14ac:dyDescent="0.2">
      <c r="A20" s="2" t="s">
        <v>0</v>
      </c>
      <c r="B20" s="33">
        <f>+'Orçamento Resumo'!D20</f>
        <v>154.52793653696676</v>
      </c>
      <c r="C20" s="33">
        <v>180.62413046123433</v>
      </c>
    </row>
    <row r="21" spans="1:3" ht="18" customHeight="1" x14ac:dyDescent="0.2">
      <c r="A21" s="7" t="s">
        <v>25</v>
      </c>
      <c r="B21" s="34">
        <f>+'Orçamento Resumo'!D21</f>
        <v>133.01133505970961</v>
      </c>
      <c r="C21" s="34">
        <v>100.12560422242423</v>
      </c>
    </row>
    <row r="22" spans="1:3" ht="18" customHeight="1" x14ac:dyDescent="0.2">
      <c r="A22" s="2" t="s">
        <v>26</v>
      </c>
      <c r="B22" s="33">
        <f>+'Orçamento Resumo'!D22</f>
        <v>82.139086212128149</v>
      </c>
      <c r="C22" s="33">
        <v>27.092810554303028</v>
      </c>
    </row>
    <row r="23" spans="1:3" ht="18" customHeight="1" x14ac:dyDescent="0.2">
      <c r="A23" s="19" t="s">
        <v>7</v>
      </c>
      <c r="B23" s="35">
        <f>SUM(B2:B22)</f>
        <v>4245.7961559724163</v>
      </c>
      <c r="C23" s="35">
        <f>SUM(C2:C22)</f>
        <v>3907.0661274330746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4947-D818-4DFE-B13F-DBFC3BB46BCC}">
  <dimension ref="A1:B32"/>
  <sheetViews>
    <sheetView topLeftCell="A7" workbookViewId="0">
      <selection activeCell="A21" sqref="A21"/>
    </sheetView>
  </sheetViews>
  <sheetFormatPr defaultRowHeight="12.75" x14ac:dyDescent="0.2"/>
  <cols>
    <col min="1" max="1" width="11.28515625" style="31" bestFit="1" customWidth="1"/>
    <col min="2" max="2" width="16.85546875" style="31" customWidth="1"/>
  </cols>
  <sheetData>
    <row r="1" spans="1:2" x14ac:dyDescent="0.2">
      <c r="A1" s="31">
        <f>+(2461.35/2171.33)</f>
        <v>1.1335679053851786</v>
      </c>
    </row>
    <row r="3" spans="1:2" x14ac:dyDescent="0.2">
      <c r="A3" s="31">
        <v>23368.799999999999</v>
      </c>
      <c r="B3" s="31">
        <f>+A3*$A$1</f>
        <v>26490.121667365162</v>
      </c>
    </row>
    <row r="4" spans="1:2" x14ac:dyDescent="0.2">
      <c r="A4" s="31">
        <v>73710.899999999994</v>
      </c>
      <c r="B4" s="31">
        <f t="shared" ref="B4:B32" si="0">+A4*$A$1</f>
        <v>83556.31051705635</v>
      </c>
    </row>
    <row r="5" spans="1:2" x14ac:dyDescent="0.2">
      <c r="A5" s="31">
        <v>28665.35</v>
      </c>
      <c r="B5" s="31">
        <f t="shared" si="0"/>
        <v>32494.120756633027</v>
      </c>
    </row>
    <row r="6" spans="1:2" x14ac:dyDescent="0.2">
      <c r="A6" s="31">
        <v>12390.3</v>
      </c>
      <c r="B6" s="31">
        <f t="shared" si="0"/>
        <v>14045.246418093977</v>
      </c>
    </row>
    <row r="7" spans="1:2" x14ac:dyDescent="0.2">
      <c r="A7" s="31">
        <v>4818.45</v>
      </c>
      <c r="B7" s="31">
        <f t="shared" si="0"/>
        <v>5462.0402737032136</v>
      </c>
    </row>
    <row r="8" spans="1:2" x14ac:dyDescent="0.2">
      <c r="A8" s="31">
        <v>42189.3</v>
      </c>
      <c r="B8" s="31">
        <f t="shared" si="0"/>
        <v>47824.436430666916</v>
      </c>
    </row>
    <row r="9" spans="1:2" x14ac:dyDescent="0.2">
      <c r="A9" s="31">
        <v>16406.95</v>
      </c>
      <c r="B9" s="31">
        <f t="shared" si="0"/>
        <v>18598.391945259358</v>
      </c>
    </row>
    <row r="10" spans="1:2" x14ac:dyDescent="0.2">
      <c r="A10" s="31">
        <v>29746.799999999999</v>
      </c>
      <c r="B10" s="31">
        <f t="shared" si="0"/>
        <v>33720.017767911828</v>
      </c>
    </row>
    <row r="11" spans="1:2" x14ac:dyDescent="0.2">
      <c r="A11" s="31">
        <v>11568.2</v>
      </c>
      <c r="B11" s="31">
        <f t="shared" si="0"/>
        <v>13113.340243076824</v>
      </c>
    </row>
    <row r="12" spans="1:2" x14ac:dyDescent="0.2">
      <c r="A12" s="31">
        <v>29746.799999999999</v>
      </c>
      <c r="B12" s="31">
        <f t="shared" si="0"/>
        <v>33720.017767911828</v>
      </c>
    </row>
    <row r="13" spans="1:2" x14ac:dyDescent="0.2">
      <c r="A13" s="31">
        <v>11568.2</v>
      </c>
      <c r="B13" s="31">
        <f t="shared" si="0"/>
        <v>13113.340243076824</v>
      </c>
    </row>
    <row r="14" spans="1:2" x14ac:dyDescent="0.2">
      <c r="A14" s="31">
        <v>148734</v>
      </c>
      <c r="B14" s="31">
        <f t="shared" si="0"/>
        <v>168600.08883955915</v>
      </c>
    </row>
    <row r="15" spans="1:2" x14ac:dyDescent="0.2">
      <c r="A15" s="31">
        <v>57841</v>
      </c>
      <c r="B15" s="31">
        <f t="shared" si="0"/>
        <v>65566.701215384121</v>
      </c>
    </row>
    <row r="16" spans="1:2" x14ac:dyDescent="0.2">
      <c r="A16" s="31">
        <v>29807.1</v>
      </c>
      <c r="B16" s="31">
        <f t="shared" si="0"/>
        <v>33788.371912606555</v>
      </c>
    </row>
    <row r="17" spans="1:2" x14ac:dyDescent="0.2">
      <c r="A17" s="31">
        <v>11591.65</v>
      </c>
      <c r="B17" s="31">
        <f t="shared" si="0"/>
        <v>13139.922410458104</v>
      </c>
    </row>
    <row r="18" spans="1:2" x14ac:dyDescent="0.2">
      <c r="A18" s="31">
        <v>26707.200000000001</v>
      </c>
      <c r="B18" s="31">
        <f t="shared" si="0"/>
        <v>30274.424762703042</v>
      </c>
    </row>
    <row r="19" spans="1:2" x14ac:dyDescent="0.2">
      <c r="A19" s="31">
        <v>13353.6</v>
      </c>
      <c r="B19" s="31">
        <f t="shared" si="0"/>
        <v>15137.212381351521</v>
      </c>
    </row>
    <row r="20" spans="1:2" x14ac:dyDescent="0.2">
      <c r="A20" s="31">
        <v>32760.400000000001</v>
      </c>
      <c r="B20" s="31">
        <f t="shared" si="0"/>
        <v>37136.138007580608</v>
      </c>
    </row>
    <row r="21" spans="1:2" x14ac:dyDescent="0.2">
      <c r="A21" s="31">
        <v>16380.2</v>
      </c>
      <c r="B21" s="31">
        <f t="shared" si="0"/>
        <v>18568.069003790304</v>
      </c>
    </row>
    <row r="22" spans="1:2" x14ac:dyDescent="0.2">
      <c r="A22" s="31">
        <v>5506.8</v>
      </c>
      <c r="B22" s="31">
        <f t="shared" si="0"/>
        <v>6242.331741375102</v>
      </c>
    </row>
    <row r="23" spans="1:2" x14ac:dyDescent="0.2">
      <c r="A23" s="31">
        <v>2753.4</v>
      </c>
      <c r="B23" s="31">
        <f t="shared" si="0"/>
        <v>3121.165870687551</v>
      </c>
    </row>
    <row r="24" spans="1:2" x14ac:dyDescent="0.2">
      <c r="A24" s="31">
        <v>18750.8</v>
      </c>
      <c r="B24" s="31">
        <f t="shared" si="0"/>
        <v>21255.305080296406</v>
      </c>
    </row>
    <row r="25" spans="1:2" x14ac:dyDescent="0.2">
      <c r="A25" s="31">
        <v>9375.4</v>
      </c>
      <c r="B25" s="31">
        <f t="shared" si="0"/>
        <v>10627.652540148203</v>
      </c>
    </row>
    <row r="26" spans="1:2" x14ac:dyDescent="0.2">
      <c r="A26" s="31">
        <v>13220.8</v>
      </c>
      <c r="B26" s="31">
        <f t="shared" si="0"/>
        <v>14986.674563516368</v>
      </c>
    </row>
    <row r="27" spans="1:2" x14ac:dyDescent="0.2">
      <c r="A27" s="31">
        <v>6610.4</v>
      </c>
      <c r="B27" s="31">
        <f t="shared" si="0"/>
        <v>7493.337281758184</v>
      </c>
    </row>
    <row r="28" spans="1:2" x14ac:dyDescent="0.2">
      <c r="A28" s="31">
        <v>13220.8</v>
      </c>
      <c r="B28" s="31">
        <f t="shared" si="0"/>
        <v>14986.674563516368</v>
      </c>
    </row>
    <row r="29" spans="1:2" x14ac:dyDescent="0.2">
      <c r="A29" s="31">
        <v>66104</v>
      </c>
      <c r="B29" s="31">
        <f t="shared" si="0"/>
        <v>74933.37281758184</v>
      </c>
    </row>
    <row r="30" spans="1:2" x14ac:dyDescent="0.2">
      <c r="A30" s="31">
        <v>33052</v>
      </c>
      <c r="B30" s="31">
        <f t="shared" si="0"/>
        <v>37466.68640879092</v>
      </c>
    </row>
    <row r="31" spans="1:2" x14ac:dyDescent="0.2">
      <c r="A31" s="31">
        <v>13247.6</v>
      </c>
      <c r="B31" s="31">
        <f t="shared" si="0"/>
        <v>15017.054183380693</v>
      </c>
    </row>
    <row r="32" spans="1:2" x14ac:dyDescent="0.2">
      <c r="A32" s="31">
        <v>6623.8</v>
      </c>
      <c r="B32" s="31">
        <f t="shared" si="0"/>
        <v>7508.5270916903464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Orçamento Resumo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</dc:creator>
  <cp:lastModifiedBy>User</cp:lastModifiedBy>
  <cp:lastPrinted>2021-06-01T14:04:42Z</cp:lastPrinted>
  <dcterms:created xsi:type="dcterms:W3CDTF">2020-06-25T16:50:19Z</dcterms:created>
  <dcterms:modified xsi:type="dcterms:W3CDTF">2022-04-29T17:15:11Z</dcterms:modified>
</cp:coreProperties>
</file>