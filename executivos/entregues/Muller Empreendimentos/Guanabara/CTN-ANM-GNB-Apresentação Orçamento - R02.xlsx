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André Muller Engenharia\03. Custo\03.5 Custo - Determinação do orçamento\Entregaveis\R03\"/>
    </mc:Choice>
  </mc:AlternateContent>
  <xr:revisionPtr revIDLastSave="0" documentId="13_ncr:1_{8D0789F4-98FE-497A-90A3-57468C8EEF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çamento Resumo" sheetId="1" r:id="rId1"/>
    <sheet name="Análise custos" sheetId="2" r:id="rId2"/>
    <sheet name="Planilha1" sheetId="3" r:id="rId3"/>
    <sheet name="Planilha2" sheetId="4" r:id="rId4"/>
    <sheet name="Planilha2 (2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 l="1"/>
  <c r="B16" i="1"/>
  <c r="B15" i="1"/>
  <c r="B14" i="1"/>
  <c r="B13" i="1"/>
  <c r="B12" i="1"/>
  <c r="B11" i="1"/>
  <c r="B9" i="1"/>
  <c r="B10" i="1"/>
  <c r="B8" i="1"/>
  <c r="B7" i="1"/>
  <c r="B6" i="1"/>
  <c r="B5" i="1"/>
  <c r="B4" i="1"/>
  <c r="B3" i="1"/>
  <c r="K5" i="5"/>
  <c r="J2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I25" i="5"/>
  <c r="H25" i="5"/>
  <c r="D11" i="1"/>
  <c r="B10" i="2" s="1"/>
  <c r="D9" i="1"/>
  <c r="B8" i="2" s="1"/>
  <c r="D8" i="1"/>
  <c r="B7" i="2" s="1"/>
  <c r="D7" i="1"/>
  <c r="B6" i="2" s="1"/>
  <c r="D18" i="1"/>
  <c r="D17" i="1"/>
  <c r="B16" i="2" s="1"/>
  <c r="D16" i="1"/>
  <c r="B15" i="2" s="1"/>
  <c r="D14" i="1"/>
  <c r="B13" i="2" s="1"/>
  <c r="D13" i="1"/>
  <c r="B12" i="2" s="1"/>
  <c r="D12" i="1"/>
  <c r="B11" i="2" s="1"/>
  <c r="D10" i="1"/>
  <c r="B9" i="2" s="1"/>
  <c r="D6" i="1"/>
  <c r="B5" i="2" s="1"/>
  <c r="D5" i="1"/>
  <c r="B4" i="2" s="1"/>
  <c r="D3" i="1"/>
  <c r="B2" i="2" s="1"/>
  <c r="D4" i="1"/>
  <c r="B3" i="2" s="1"/>
  <c r="D2" i="1"/>
  <c r="E24" i="3"/>
  <c r="D24" i="3"/>
  <c r="B24" i="3"/>
  <c r="E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C19" i="3" s="1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D19" i="3" s="1"/>
  <c r="C5" i="3"/>
  <c r="E4" i="3"/>
  <c r="D4" i="3"/>
  <c r="C4" i="3"/>
  <c r="E18" i="2"/>
  <c r="D18" i="2"/>
  <c r="A17" i="2"/>
  <c r="A16" i="2"/>
  <c r="A15" i="2"/>
  <c r="A14" i="2"/>
  <c r="A13" i="2"/>
  <c r="A12" i="2"/>
  <c r="A11" i="2"/>
  <c r="A10" i="2"/>
  <c r="A9" i="2"/>
  <c r="A8" i="2"/>
  <c r="A6" i="2"/>
  <c r="A5" i="2"/>
  <c r="A4" i="2"/>
  <c r="A3" i="2"/>
  <c r="A2" i="2"/>
  <c r="D15" i="1"/>
  <c r="B14" i="2" s="1"/>
  <c r="F14" i="1"/>
  <c r="F13" i="1"/>
  <c r="K25" i="5" l="1"/>
  <c r="D19" i="1"/>
  <c r="B17" i="2" s="1"/>
  <c r="B18" i="2" s="1"/>
  <c r="B20" i="1" l="1"/>
  <c r="C3" i="1" s="1"/>
  <c r="D20" i="1"/>
  <c r="D21" i="1" s="1"/>
  <c r="C19" i="1" l="1"/>
  <c r="C17" i="1"/>
  <c r="C8" i="1"/>
  <c r="C2" i="1"/>
  <c r="C10" i="1"/>
  <c r="C4" i="1"/>
  <c r="C15" i="1"/>
  <c r="C5" i="1"/>
  <c r="C18" i="1"/>
  <c r="C12" i="1"/>
  <c r="C9" i="1"/>
  <c r="C11" i="1"/>
  <c r="C14" i="1"/>
  <c r="C13" i="1"/>
  <c r="C6" i="1"/>
  <c r="C16" i="1"/>
  <c r="C7" i="1"/>
  <c r="C20" i="1" l="1"/>
</calcChain>
</file>

<file path=xl/sharedStrings.xml><?xml version="1.0" encoding="utf-8"?>
<sst xmlns="http://schemas.openxmlformats.org/spreadsheetml/2006/main" count="304" uniqueCount="133">
  <si>
    <t>Etapa</t>
  </si>
  <si>
    <t>Valor Orçado</t>
  </si>
  <si>
    <t>%</t>
  </si>
  <si>
    <t>Valor / m²</t>
  </si>
  <si>
    <t>GERENCIAMENTO TÉCNICO E ADMINISTRATIVO</t>
  </si>
  <si>
    <t>MOVIMENTAÇÃO DE TERRA</t>
  </si>
  <si>
    <t>INFRAESTRUTURA</t>
  </si>
  <si>
    <t>SUPRAESTRUTURA</t>
  </si>
  <si>
    <t>ALVENARIA, VEDAÇÕES E DIVISÓRIAS</t>
  </si>
  <si>
    <t>INSTALAÇÕES ELÉTRICAS, HIDROSSANITÁRIAS, PREVENTIVAS E GLP</t>
  </si>
  <si>
    <t>LOUÇAS E METAIS</t>
  </si>
  <si>
    <t>SISTEMAS ESPECIAIS E EQUIPAMENTOS</t>
  </si>
  <si>
    <t>IMPERMEABILIZAÇÃO</t>
  </si>
  <si>
    <t>REVESTIMENTOS INTERNOS EM PISO E PAREDE</t>
  </si>
  <si>
    <t>área de ap</t>
  </si>
  <si>
    <t>REVESTIMENTOS E ACABAMENTOS INTERNOS EM TETO</t>
  </si>
  <si>
    <t>ACABAMENTOS EM PISO E PAREDE</t>
  </si>
  <si>
    <t>PINTURA INTERNA</t>
  </si>
  <si>
    <t xml:space="preserve">ESQUADRIAS </t>
  </si>
  <si>
    <t>REVESTIMENTOS E ACABAMENTOS DE FACHADA</t>
  </si>
  <si>
    <t>MÃO DE OBRA PRÓPRIA</t>
  </si>
  <si>
    <t>SERVIÇOS COMPLEMENTARES</t>
  </si>
  <si>
    <t>IMPREVISTOS E CONTINGÊNCIAS</t>
  </si>
  <si>
    <t>TOTAL</t>
  </si>
  <si>
    <t>CUB/MT</t>
  </si>
  <si>
    <t>Guanabara (R$/m²)</t>
  </si>
  <si>
    <t>Obras Similares</t>
  </si>
  <si>
    <t>10,00 - 50,00</t>
  </si>
  <si>
    <t>170,00 - 250,00</t>
  </si>
  <si>
    <t>320,00 - 380,00</t>
  </si>
  <si>
    <t>200,00 - 300,00</t>
  </si>
  <si>
    <t>300,00 - 400,00</t>
  </si>
  <si>
    <t>15,00 - 30,00</t>
  </si>
  <si>
    <t>110,00 - 170,00</t>
  </si>
  <si>
    <t>75,00 - 85,00</t>
  </si>
  <si>
    <t>160,00 - 270,00</t>
  </si>
  <si>
    <t>50,00 - 100,00</t>
  </si>
  <si>
    <t>160,00 - 250,00</t>
  </si>
  <si>
    <t>80,00 - 120,00</t>
  </si>
  <si>
    <t>180,00 - 270,00</t>
  </si>
  <si>
    <t>85,00 - 110,00</t>
  </si>
  <si>
    <t>50,00 - 80,00</t>
  </si>
  <si>
    <t>120,00 - 210,00</t>
  </si>
  <si>
    <t>2100,00 - 3100,00</t>
  </si>
  <si>
    <t>BELISSIMO</t>
  </si>
  <si>
    <t>HOMESET</t>
  </si>
  <si>
    <t>CARRARO</t>
  </si>
  <si>
    <t>Guanabara</t>
  </si>
  <si>
    <t>2643.16</t>
  </si>
  <si>
    <t>GERENCIAMENTO</t>
  </si>
  <si>
    <t>ESQUADRIAS</t>
  </si>
  <si>
    <t>DESPESAS INDIRETAS</t>
  </si>
  <si>
    <t>1223.46</t>
  </si>
  <si>
    <t>Obra</t>
  </si>
  <si>
    <t>18 - RESIDENCIAL GUANABARA</t>
  </si>
  <si>
    <t>Unidade construtiva</t>
  </si>
  <si>
    <t>2 - GERENCIAMENTO EXECUTIVO - EMBASAMENTO</t>
  </si>
  <si>
    <t>Código</t>
  </si>
  <si>
    <t>Descrição</t>
  </si>
  <si>
    <t>Preço total</t>
  </si>
  <si>
    <t>% Total</t>
  </si>
  <si>
    <t xml:space="preserve">01 </t>
  </si>
  <si>
    <t>MÃO DE OBRA TERCEIRIZADA</t>
  </si>
  <si>
    <t xml:space="preserve">02 </t>
  </si>
  <si>
    <t xml:space="preserve">03 </t>
  </si>
  <si>
    <t xml:space="preserve">04 </t>
  </si>
  <si>
    <t xml:space="preserve">05 </t>
  </si>
  <si>
    <t xml:space="preserve">06 </t>
  </si>
  <si>
    <t xml:space="preserve">07 </t>
  </si>
  <si>
    <t>SISTEMAS E INSTALAÇÕES ELÉTRICAS</t>
  </si>
  <si>
    <t xml:space="preserve">08 </t>
  </si>
  <si>
    <t>SISTEMAS E INSTALAÇÕES HIDROSSANITÁRIAS E DRENAGEM</t>
  </si>
  <si>
    <t xml:space="preserve">09 </t>
  </si>
  <si>
    <t xml:space="preserve">10 </t>
  </si>
  <si>
    <t>INSTALAÇÕES PREVENTIVAS E GLP</t>
  </si>
  <si>
    <t xml:space="preserve">11 </t>
  </si>
  <si>
    <t>EQUIPAMENTOS E SISTEMAS ESPECIAIS</t>
  </si>
  <si>
    <t xml:space="preserve">12 </t>
  </si>
  <si>
    <t>CLIMATIZAÇÃO, EXAUSTÃO MECÂNICA E PRESSURIZAÇÃO</t>
  </si>
  <si>
    <t xml:space="preserve">13 </t>
  </si>
  <si>
    <t>IMPERMEABILIZAÇÃO E TRATAMENTOS</t>
  </si>
  <si>
    <t xml:space="preserve">14 </t>
  </si>
  <si>
    <t xml:space="preserve">15 </t>
  </si>
  <si>
    <t xml:space="preserve">16 </t>
  </si>
  <si>
    <t xml:space="preserve">17 </t>
  </si>
  <si>
    <t>SISTEMAS DE PINTURA INTERNA</t>
  </si>
  <si>
    <t xml:space="preserve">18 </t>
  </si>
  <si>
    <t>ESQUADRIAS, VIDROS E FERRAGENS</t>
  </si>
  <si>
    <t xml:space="preserve">19 </t>
  </si>
  <si>
    <t>REVESTIMENTOS E ACABAMENTOS EM FACHADA</t>
  </si>
  <si>
    <t xml:space="preserve">20 </t>
  </si>
  <si>
    <t>SERVIÇOS COMPLEMENTARES E FINAIS</t>
  </si>
  <si>
    <t>Total da unidade construtiva</t>
  </si>
  <si>
    <t>3 - GERENCIAMENTO EXECUTIVO - TORRE A</t>
  </si>
  <si>
    <t>4 - GERENCIAMENTO EXECUTIVO - TORRE B</t>
  </si>
  <si>
    <t>5 - GERENCIAMENTO TÉCNICO E ADMINISTRATIVO</t>
  </si>
  <si>
    <t>GERENCIAMENTO TÉCNICO</t>
  </si>
  <si>
    <t>GERENCIAMENTO ADMINISTRATIVO</t>
  </si>
  <si>
    <t>Total da obra</t>
  </si>
  <si>
    <t xml:space="preserve">01.001 </t>
  </si>
  <si>
    <t xml:space="preserve">01.001.001 </t>
  </si>
  <si>
    <t>Infraestrutura</t>
  </si>
  <si>
    <t xml:space="preserve">01.001.002 </t>
  </si>
  <si>
    <t>Supraestrutura</t>
  </si>
  <si>
    <t xml:space="preserve">01.001.003 </t>
  </si>
  <si>
    <t>Alvenaria, vedações e divisórias</t>
  </si>
  <si>
    <t xml:space="preserve">01.001.004 </t>
  </si>
  <si>
    <t>Sistemas e instalações elétricas</t>
  </si>
  <si>
    <t xml:space="preserve">01.001.005 </t>
  </si>
  <si>
    <t>Sistemas e instalações hidrossanitárias e drenagem</t>
  </si>
  <si>
    <t xml:space="preserve">01.001.006 </t>
  </si>
  <si>
    <t>Instalações de GLP</t>
  </si>
  <si>
    <t xml:space="preserve">01.001.007 </t>
  </si>
  <si>
    <t>Climatização e exaustão</t>
  </si>
  <si>
    <t xml:space="preserve">01.001.008 </t>
  </si>
  <si>
    <t>Impermeabilização e tratamentos</t>
  </si>
  <si>
    <t xml:space="preserve">01.001.009 </t>
  </si>
  <si>
    <t>Revestimentos internos em piso e parede</t>
  </si>
  <si>
    <t xml:space="preserve">01.001.010 </t>
  </si>
  <si>
    <t>Revestimentos e acabamentos internos em teto</t>
  </si>
  <si>
    <t xml:space="preserve">01.001.011 </t>
  </si>
  <si>
    <t>Acabamentos em piso e parede</t>
  </si>
  <si>
    <t xml:space="preserve">01.001.012 </t>
  </si>
  <si>
    <t>Sistema de pintura interna</t>
  </si>
  <si>
    <t xml:space="preserve">01.001.013 </t>
  </si>
  <si>
    <t>Esquadrias, vidros e ferragens</t>
  </si>
  <si>
    <t xml:space="preserve">01.001.014 </t>
  </si>
  <si>
    <t>Revestimentos e acabamentos em fachada</t>
  </si>
  <si>
    <t>EMBASAMENTO</t>
  </si>
  <si>
    <t>TORRE A</t>
  </si>
  <si>
    <t>TORRE B</t>
  </si>
  <si>
    <t>MO</t>
  </si>
  <si>
    <t>GERENCIAMENTO TÉCNICO E ADIMINISTRATIVO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</si>
</sst>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#,##0.00"/>
    <numFmt numFmtId="165" formatCode="_-* #,##0.00_-;\-* #,##0.00_-;_-* &quot;-&quot;??_-;_-@"/>
    <numFmt numFmtId="166" formatCode="_-&quot;R$&quot;\ * #,##0.00_-;\-&quot;R$&quot;\ * #,##0.00_-;_-&quot;R$&quot;\ * &quot;-&quot;??_-;_-@"/>
    <numFmt numFmtId="167" formatCode="#,##0.000000000"/>
    <numFmt numFmtId="168" formatCode="#0.00"/>
    <numFmt numFmtId="169" formatCode="###,##0.00"/>
    <numFmt numFmtId="170" formatCode="##,##0.00"/>
    <numFmt numFmtId="171" formatCode="##0.00"/>
    <numFmt numFmtId="172" formatCode="##,###,##0.00"/>
  </numFmts>
  <fonts count="16" x14ac:knownFonts="1">
    <font>
      <sz val="10"/>
      <color rgb="FF000000"/>
      <name val="Arial"/>
      <scheme val="minor"/>
    </font>
    <font>
      <b/>
      <sz val="10"/>
      <color theme="0"/>
      <name val="Poppins"/>
    </font>
    <font>
      <sz val="10"/>
      <color theme="1"/>
      <name val="Poppins"/>
    </font>
    <font>
      <sz val="10"/>
      <color rgb="FF010000"/>
      <name val="Poppins"/>
    </font>
    <font>
      <sz val="10"/>
      <color rgb="FF121212"/>
      <name val="Poppins"/>
    </font>
    <font>
      <sz val="10"/>
      <color theme="1"/>
      <name val="Arial"/>
    </font>
    <font>
      <b/>
      <sz val="10"/>
      <color rgb="FFF5F5F5"/>
      <name val="Poppins"/>
    </font>
    <font>
      <sz val="10"/>
      <color rgb="FF000000"/>
      <name val="Arial"/>
    </font>
    <font>
      <sz val="11"/>
      <color rgb="FF000000"/>
      <name val="Arial"/>
    </font>
    <font>
      <sz val="10"/>
      <color rgb="FF19212D"/>
      <name val="Arial"/>
    </font>
    <font>
      <sz val="11"/>
      <color rgb="FF000000"/>
      <name val="Poppins"/>
    </font>
    <font>
      <sz val="8"/>
      <color rgb="FF202124"/>
      <name val="Arial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8"/>
      <color rgb="FF01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  <diagonal/>
    </border>
    <border>
      <left style="thin">
        <color rgb="FF7A7A7A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/>
      <top style="thin">
        <color rgb="FFB7B7B7"/>
      </top>
      <bottom style="thin">
        <color rgb="FF7A7A7A"/>
      </bottom>
      <diagonal/>
    </border>
    <border>
      <left/>
      <right/>
      <top/>
      <bottom/>
      <diagonal/>
    </border>
    <border>
      <left style="thin">
        <color rgb="FF9F9F9F"/>
      </left>
      <right style="thin">
        <color rgb="FF7A7A7A"/>
      </right>
      <top style="hair">
        <color rgb="FF7A7A7A"/>
      </top>
      <bottom style="hair">
        <color rgb="FF7A7A7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646464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/>
      <top/>
      <bottom style="hair">
        <color rgb="FF010000"/>
      </bottom>
      <diagonal/>
    </border>
  </borders>
  <cellStyleXfs count="7">
    <xf numFmtId="0" fontId="0" fillId="0" borderId="0"/>
    <xf numFmtId="0" fontId="15" fillId="0" borderId="9"/>
    <xf numFmtId="9" fontId="15" fillId="0" borderId="9" applyFont="0" applyFill="0" applyBorder="0" applyAlignment="0" applyProtection="0"/>
    <xf numFmtId="44" fontId="15" fillId="0" borderId="9" applyFont="0" applyFill="0" applyBorder="0" applyAlignment="0" applyProtection="0"/>
    <xf numFmtId="42" fontId="15" fillId="0" borderId="9" applyFont="0" applyFill="0" applyBorder="0" applyAlignment="0" applyProtection="0"/>
    <xf numFmtId="43" fontId="15" fillId="0" borderId="9" applyFont="0" applyFill="0" applyBorder="0" applyAlignment="0" applyProtection="0"/>
    <xf numFmtId="41" fontId="15" fillId="0" borderId="9" applyFont="0" applyFill="0" applyBorder="0" applyAlignment="0" applyProtection="0"/>
  </cellStyleXfs>
  <cellXfs count="9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right" vertical="center" wrapText="1"/>
    </xf>
    <xf numFmtId="10" fontId="2" fillId="3" borderId="3" xfId="0" applyNumberFormat="1" applyFont="1" applyFill="1" applyBorder="1" applyAlignment="1">
      <alignment vertical="center" wrapText="1"/>
    </xf>
    <xf numFmtId="165" fontId="2" fillId="3" borderId="3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10" fontId="2" fillId="4" borderId="3" xfId="0" applyNumberFormat="1" applyFont="1" applyFill="1" applyBorder="1" applyAlignment="1">
      <alignment vertical="center" wrapText="1"/>
    </xf>
    <xf numFmtId="165" fontId="2" fillId="4" borderId="3" xfId="0" applyNumberFormat="1" applyFont="1" applyFill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1" fillId="2" borderId="4" xfId="0" applyFont="1" applyFill="1" applyBorder="1" applyAlignment="1">
      <alignment horizontal="right" vertical="center" wrapText="1"/>
    </xf>
    <xf numFmtId="164" fontId="1" fillId="2" borderId="5" xfId="0" applyNumberFormat="1" applyFont="1" applyFill="1" applyBorder="1" applyAlignment="1">
      <alignment vertical="center" wrapText="1"/>
    </xf>
    <xf numFmtId="10" fontId="1" fillId="2" borderId="5" xfId="0" applyNumberFormat="1" applyFont="1" applyFill="1" applyBorder="1" applyAlignment="1">
      <alignment vertical="center" wrapText="1"/>
    </xf>
    <xf numFmtId="165" fontId="1" fillId="2" borderId="5" xfId="0" applyNumberFormat="1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right" vertical="center" wrapText="1"/>
    </xf>
    <xf numFmtId="164" fontId="1" fillId="2" borderId="7" xfId="0" applyNumberFormat="1" applyFont="1" applyFill="1" applyBorder="1" applyAlignment="1">
      <alignment vertical="center" wrapText="1"/>
    </xf>
    <xf numFmtId="17" fontId="1" fillId="2" borderId="7" xfId="0" applyNumberFormat="1" applyFont="1" applyFill="1" applyBorder="1" applyAlignment="1">
      <alignment vertical="center" wrapText="1"/>
    </xf>
    <xf numFmtId="165" fontId="1" fillId="2" borderId="8" xfId="0" applyNumberFormat="1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10" fontId="2" fillId="4" borderId="9" xfId="0" applyNumberFormat="1" applyFont="1" applyFill="1" applyBorder="1" applyAlignment="1">
      <alignment vertical="center" wrapText="1"/>
    </xf>
    <xf numFmtId="165" fontId="2" fillId="4" borderId="9" xfId="0" applyNumberFormat="1" applyFont="1" applyFill="1" applyBorder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left" vertical="center" wrapText="1"/>
    </xf>
    <xf numFmtId="165" fontId="2" fillId="4" borderId="1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2" fillId="3" borderId="3" xfId="0" applyNumberFormat="1" applyFont="1" applyFill="1" applyBorder="1" applyAlignment="1">
      <alignment horizontal="left" vertical="center" wrapText="1"/>
    </xf>
    <xf numFmtId="165" fontId="2" fillId="3" borderId="10" xfId="0" applyNumberFormat="1" applyFont="1" applyFill="1" applyBorder="1" applyAlignment="1">
      <alignment horizontal="center" vertical="center" wrapText="1"/>
    </xf>
    <xf numFmtId="166" fontId="1" fillId="2" borderId="5" xfId="0" applyNumberFormat="1" applyFont="1" applyFill="1" applyBorder="1" applyAlignment="1">
      <alignment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5" fillId="0" borderId="0" xfId="0" applyFont="1"/>
    <xf numFmtId="166" fontId="5" fillId="0" borderId="0" xfId="0" applyNumberFormat="1" applyFont="1"/>
    <xf numFmtId="0" fontId="5" fillId="0" borderId="0" xfId="0" applyFont="1" applyAlignment="1">
      <alignment horizontal="center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8" fillId="0" borderId="14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7" fillId="0" borderId="16" xfId="0" applyFont="1" applyBorder="1" applyAlignment="1">
      <alignment wrapText="1"/>
    </xf>
    <xf numFmtId="17" fontId="8" fillId="0" borderId="15" xfId="0" applyNumberFormat="1" applyFont="1" applyBorder="1" applyAlignment="1">
      <alignment horizontal="right" wrapText="1"/>
    </xf>
    <xf numFmtId="0" fontId="8" fillId="0" borderId="11" xfId="0" applyFont="1" applyBorder="1" applyAlignment="1">
      <alignment horizontal="right" wrapText="1"/>
    </xf>
    <xf numFmtId="0" fontId="9" fillId="0" borderId="11" xfId="0" applyFont="1" applyBorder="1" applyAlignment="1">
      <alignment horizontal="right" wrapText="1"/>
    </xf>
    <xf numFmtId="0" fontId="7" fillId="0" borderId="17" xfId="0" applyFont="1" applyBorder="1" applyAlignment="1">
      <alignment wrapText="1"/>
    </xf>
    <xf numFmtId="166" fontId="7" fillId="0" borderId="18" xfId="0" applyNumberFormat="1" applyFont="1" applyBorder="1" applyAlignment="1">
      <alignment horizontal="right" wrapText="1"/>
    </xf>
    <xf numFmtId="0" fontId="7" fillId="0" borderId="19" xfId="0" applyFont="1" applyBorder="1" applyAlignment="1">
      <alignment wrapText="1"/>
    </xf>
    <xf numFmtId="0" fontId="10" fillId="5" borderId="16" xfId="0" applyFont="1" applyFill="1" applyBorder="1" applyAlignment="1">
      <alignment vertical="center" wrapText="1"/>
    </xf>
    <xf numFmtId="0" fontId="10" fillId="6" borderId="16" xfId="0" applyFont="1" applyFill="1" applyBorder="1" applyAlignment="1">
      <alignment vertical="center" wrapText="1"/>
    </xf>
    <xf numFmtId="0" fontId="10" fillId="5" borderId="20" xfId="0" applyFont="1" applyFill="1" applyBorder="1" applyAlignment="1">
      <alignment vertical="center" wrapText="1"/>
    </xf>
    <xf numFmtId="166" fontId="7" fillId="0" borderId="21" xfId="0" applyNumberFormat="1" applyFont="1" applyBorder="1" applyAlignment="1">
      <alignment horizontal="right" wrapText="1"/>
    </xf>
    <xf numFmtId="166" fontId="8" fillId="0" borderId="11" xfId="0" applyNumberFormat="1" applyFont="1" applyBorder="1" applyAlignment="1">
      <alignment horizontal="right" wrapText="1"/>
    </xf>
    <xf numFmtId="0" fontId="9" fillId="0" borderId="19" xfId="0" applyFont="1" applyBorder="1" applyAlignment="1">
      <alignment horizontal="right" wrapText="1"/>
    </xf>
    <xf numFmtId="0" fontId="11" fillId="0" borderId="11" xfId="0" applyFont="1" applyBorder="1" applyAlignment="1">
      <alignment horizontal="right" wrapText="1"/>
    </xf>
    <xf numFmtId="17" fontId="8" fillId="0" borderId="11" xfId="0" applyNumberFormat="1" applyFont="1" applyBorder="1" applyAlignment="1">
      <alignment horizontal="right" wrapText="1"/>
    </xf>
    <xf numFmtId="17" fontId="7" fillId="0" borderId="11" xfId="0" applyNumberFormat="1" applyFont="1" applyBorder="1" applyAlignment="1">
      <alignment horizontal="right" wrapText="1"/>
    </xf>
    <xf numFmtId="0" fontId="7" fillId="0" borderId="11" xfId="0" applyFont="1" applyBorder="1" applyAlignment="1">
      <alignment horizontal="right" wrapText="1"/>
    </xf>
    <xf numFmtId="167" fontId="8" fillId="0" borderId="11" xfId="0" applyNumberFormat="1" applyFont="1" applyBorder="1" applyAlignment="1">
      <alignment horizontal="right" wrapText="1"/>
    </xf>
    <xf numFmtId="0" fontId="12" fillId="7" borderId="22" xfId="0" applyFont="1" applyFill="1" applyBorder="1" applyAlignment="1">
      <alignment horizontal="right" vertical="top" wrapText="1"/>
    </xf>
    <xf numFmtId="168" fontId="13" fillId="0" borderId="22" xfId="0" applyNumberFormat="1" applyFont="1" applyBorder="1" applyAlignment="1">
      <alignment horizontal="right" vertical="top" wrapText="1"/>
    </xf>
    <xf numFmtId="2" fontId="13" fillId="0" borderId="22" xfId="0" applyNumberFormat="1" applyFont="1" applyBorder="1" applyAlignment="1">
      <alignment horizontal="right" vertical="top" wrapText="1"/>
    </xf>
    <xf numFmtId="168" fontId="12" fillId="7" borderId="22" xfId="0" applyNumberFormat="1" applyFont="1" applyFill="1" applyBorder="1" applyAlignment="1">
      <alignment horizontal="right" vertical="top" wrapText="1"/>
    </xf>
    <xf numFmtId="2" fontId="12" fillId="7" borderId="22" xfId="0" applyNumberFormat="1" applyFont="1" applyFill="1" applyBorder="1" applyAlignment="1">
      <alignment horizontal="right" vertical="top" wrapText="1"/>
    </xf>
    <xf numFmtId="171" fontId="12" fillId="7" borderId="22" xfId="0" applyNumberFormat="1" applyFont="1" applyFill="1" applyBorder="1" applyAlignment="1">
      <alignment horizontal="right" vertical="top" wrapText="1"/>
    </xf>
    <xf numFmtId="164" fontId="13" fillId="0" borderId="22" xfId="0" applyNumberFormat="1" applyFont="1" applyBorder="1" applyAlignment="1">
      <alignment horizontal="right" vertical="top" wrapText="1"/>
    </xf>
    <xf numFmtId="169" fontId="13" fillId="0" borderId="22" xfId="0" applyNumberFormat="1" applyFont="1" applyBorder="1" applyAlignment="1">
      <alignment horizontal="right" vertical="top" wrapText="1"/>
    </xf>
    <xf numFmtId="4" fontId="13" fillId="0" borderId="22" xfId="0" applyNumberFormat="1" applyFont="1" applyBorder="1" applyAlignment="1">
      <alignment horizontal="right" vertical="top" wrapText="1"/>
    </xf>
    <xf numFmtId="170" fontId="13" fillId="0" borderId="22" xfId="0" applyNumberFormat="1" applyFont="1" applyBorder="1" applyAlignment="1">
      <alignment horizontal="right" vertical="top" wrapText="1"/>
    </xf>
    <xf numFmtId="171" fontId="13" fillId="0" borderId="22" xfId="0" applyNumberFormat="1" applyFont="1" applyBorder="1" applyAlignment="1">
      <alignment horizontal="right" vertical="top" wrapText="1"/>
    </xf>
    <xf numFmtId="164" fontId="12" fillId="7" borderId="22" xfId="0" applyNumberFormat="1" applyFont="1" applyFill="1" applyBorder="1" applyAlignment="1">
      <alignment horizontal="right" vertical="top" wrapText="1"/>
    </xf>
    <xf numFmtId="172" fontId="12" fillId="7" borderId="22" xfId="0" applyNumberFormat="1" applyFont="1" applyFill="1" applyBorder="1" applyAlignment="1">
      <alignment horizontal="right" vertical="top" wrapText="1"/>
    </xf>
    <xf numFmtId="0" fontId="12" fillId="7" borderId="22" xfId="1" applyFont="1" applyFill="1" applyBorder="1" applyAlignment="1">
      <alignment horizontal="right" vertical="top" wrapText="1"/>
    </xf>
    <xf numFmtId="168" fontId="12" fillId="0" borderId="22" xfId="1" applyNumberFormat="1" applyFont="1" applyBorder="1" applyAlignment="1">
      <alignment horizontal="right" vertical="top" wrapText="1"/>
    </xf>
    <xf numFmtId="2" fontId="13" fillId="0" borderId="22" xfId="1" applyNumberFormat="1" applyFont="1" applyBorder="1" applyAlignment="1">
      <alignment horizontal="right" vertical="top" wrapText="1"/>
    </xf>
    <xf numFmtId="168" fontId="13" fillId="0" borderId="22" xfId="1" applyNumberFormat="1" applyFont="1" applyBorder="1" applyAlignment="1">
      <alignment horizontal="right" vertical="top" wrapText="1"/>
    </xf>
    <xf numFmtId="164" fontId="12" fillId="0" borderId="22" xfId="1" applyNumberFormat="1" applyFont="1" applyBorder="1" applyAlignment="1">
      <alignment horizontal="right" vertical="top" wrapText="1"/>
    </xf>
    <xf numFmtId="169" fontId="13" fillId="0" borderId="22" xfId="1" applyNumberFormat="1" applyFont="1" applyBorder="1" applyAlignment="1">
      <alignment horizontal="right" vertical="top" wrapText="1"/>
    </xf>
    <xf numFmtId="170" fontId="13" fillId="0" borderId="22" xfId="1" applyNumberFormat="1" applyFont="1" applyBorder="1" applyAlignment="1">
      <alignment horizontal="right" vertical="top" wrapText="1"/>
    </xf>
    <xf numFmtId="2" fontId="0" fillId="0" borderId="0" xfId="0" applyNumberFormat="1"/>
    <xf numFmtId="0" fontId="12" fillId="7" borderId="22" xfId="0" applyFont="1" applyFill="1" applyBorder="1" applyAlignment="1">
      <alignment horizontal="right" vertical="top" wrapText="1"/>
    </xf>
    <xf numFmtId="0" fontId="13" fillId="0" borderId="22" xfId="1" applyFont="1" applyBorder="1" applyAlignment="1">
      <alignment horizontal="left" vertical="top" wrapText="1"/>
    </xf>
    <xf numFmtId="0" fontId="12" fillId="7" borderId="22" xfId="0" applyFont="1" applyFill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2" fillId="0" borderId="22" xfId="1" applyFont="1" applyBorder="1" applyAlignment="1">
      <alignment horizontal="left" vertical="top" wrapText="1"/>
    </xf>
    <xf numFmtId="0" fontId="12" fillId="7" borderId="22" xfId="1" applyFont="1" applyFill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</cellXfs>
  <cellStyles count="7">
    <cellStyle name="Comma" xfId="5" xr:uid="{1717E1E3-DEFB-4C53-BF0C-1C9D9C687992}"/>
    <cellStyle name="Comma [0]" xfId="6" xr:uid="{6009B672-0A91-46FA-962E-670E72808648}"/>
    <cellStyle name="Currency" xfId="3" xr:uid="{A72BE8E9-E96F-4EF6-9E53-3FA97BE2C1E7}"/>
    <cellStyle name="Currency [0]" xfId="4" xr:uid="{2A99AD11-E11E-4CFE-B679-E6CBC6C68864}"/>
    <cellStyle name="Normal" xfId="0" builtinId="0"/>
    <cellStyle name="Normal 2" xfId="1" xr:uid="{DB44C871-D99B-4968-895E-5AA64100F880}"/>
    <cellStyle name="Percent" xfId="2" xr:uid="{29F99352-1D7B-45D4-A957-3A3B00EC3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1"/>
  <sheetViews>
    <sheetView showGridLines="0" tabSelected="1" topLeftCell="A6" zoomScaleNormal="100" workbookViewId="0">
      <selection activeCell="B3" sqref="B3"/>
    </sheetView>
  </sheetViews>
  <sheetFormatPr defaultColWidth="12.5546875" defaultRowHeight="15" customHeight="1" x14ac:dyDescent="0.25"/>
  <cols>
    <col min="1" max="1" width="47.88671875" customWidth="1"/>
    <col min="2" max="2" width="19.5546875" customWidth="1"/>
    <col min="3" max="3" width="10.44140625" customWidth="1"/>
    <col min="4" max="4" width="13.88671875" customWidth="1"/>
    <col min="5" max="5" width="12.109375" customWidth="1"/>
    <col min="6" max="6" width="12.88671875" customWidth="1"/>
    <col min="7" max="7" width="9.109375" customWidth="1"/>
    <col min="8" max="8" width="11" customWidth="1"/>
    <col min="9" max="25" width="9.109375" customWidth="1"/>
  </cols>
  <sheetData>
    <row r="1" spans="1:25" ht="27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23.25" customHeight="1" x14ac:dyDescent="0.25">
      <c r="A2" s="5" t="s">
        <v>4</v>
      </c>
      <c r="B2" s="6">
        <v>1356858.91</v>
      </c>
      <c r="C2" s="7">
        <f t="shared" ref="C2:C19" si="0">+B2/$B$20</f>
        <v>9.463905507882274E-2</v>
      </c>
      <c r="D2" s="8">
        <f t="shared" ref="D2:D19" si="1">B2/$H$5</f>
        <v>305.56444319333406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3.25" customHeight="1" x14ac:dyDescent="0.25">
      <c r="A3" s="9" t="s">
        <v>5</v>
      </c>
      <c r="B3" s="10">
        <f>'Planilha2 (2)'!K7</f>
        <v>19982.120000000003</v>
      </c>
      <c r="C3" s="11">
        <f t="shared" si="0"/>
        <v>1.3937255681739571E-3</v>
      </c>
      <c r="D3" s="12">
        <f t="shared" si="1"/>
        <v>4.4999707240175661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23.25" customHeight="1" x14ac:dyDescent="0.25">
      <c r="A4" s="5" t="s">
        <v>6</v>
      </c>
      <c r="B4" s="6">
        <f>'Planilha2 (2)'!K8</f>
        <v>1068053.1300000001</v>
      </c>
      <c r="C4" s="7">
        <f t="shared" si="0"/>
        <v>7.4495246522852582E-2</v>
      </c>
      <c r="D4" s="8">
        <f t="shared" si="1"/>
        <v>240.5254205607477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3.25" customHeight="1" x14ac:dyDescent="0.25">
      <c r="A5" s="9" t="s">
        <v>7</v>
      </c>
      <c r="B5" s="10">
        <f>'Planilha2 (2)'!K9</f>
        <v>1410081.29</v>
      </c>
      <c r="C5" s="11">
        <f t="shared" si="0"/>
        <v>9.8351243365404475E-2</v>
      </c>
      <c r="D5" s="12">
        <f t="shared" si="1"/>
        <v>317.55011597793043</v>
      </c>
      <c r="E5" s="4"/>
      <c r="F5" s="4"/>
      <c r="G5" s="4"/>
      <c r="H5" s="13">
        <v>4440.5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3.25" customHeight="1" x14ac:dyDescent="0.25">
      <c r="A6" s="5" t="s">
        <v>8</v>
      </c>
      <c r="B6" s="6">
        <f>'Planilha2 (2)'!K10</f>
        <v>1423157.27</v>
      </c>
      <c r="C6" s="7">
        <f t="shared" si="0"/>
        <v>9.9263275104525803E-2</v>
      </c>
      <c r="D6" s="8">
        <f t="shared" si="1"/>
        <v>320.49482490710506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3.25" customHeight="1" x14ac:dyDescent="0.25">
      <c r="A7" s="9" t="s">
        <v>9</v>
      </c>
      <c r="B7" s="10">
        <f>'Planilha2 (2)'!K11+'Planilha2 (2)'!K12+'Planilha2 (2)'!K14</f>
        <v>1826248.5000000002</v>
      </c>
      <c r="C7" s="11">
        <f t="shared" si="0"/>
        <v>0.12737833764832443</v>
      </c>
      <c r="D7" s="12">
        <f t="shared" si="1"/>
        <v>411.27091543745081</v>
      </c>
      <c r="E7" s="4"/>
      <c r="F7" s="4"/>
      <c r="G7" s="4"/>
      <c r="H7" s="14">
        <v>64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3.25" customHeight="1" x14ac:dyDescent="0.25">
      <c r="A8" s="5" t="s">
        <v>10</v>
      </c>
      <c r="B8" s="6">
        <f>'Planilha2 (2)'!K13</f>
        <v>106062.57</v>
      </c>
      <c r="C8" s="7">
        <f t="shared" si="0"/>
        <v>7.3977193428545153E-3</v>
      </c>
      <c r="D8" s="8">
        <f t="shared" si="1"/>
        <v>23.885276432834143</v>
      </c>
      <c r="E8" s="4"/>
      <c r="F8" s="4"/>
      <c r="G8" s="4"/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3.25" customHeight="1" x14ac:dyDescent="0.25">
      <c r="A9" s="9" t="s">
        <v>11</v>
      </c>
      <c r="B9" s="10">
        <f>'Planilha2 (2)'!K15+'Planilha2 (2)'!K16</f>
        <v>1078142.75</v>
      </c>
      <c r="C9" s="11">
        <f t="shared" si="0"/>
        <v>7.5198983732275765E-2</v>
      </c>
      <c r="D9" s="12">
        <f t="shared" si="1"/>
        <v>242.79760162143901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3.25" customHeight="1" x14ac:dyDescent="0.25">
      <c r="A10" s="5" t="s">
        <v>12</v>
      </c>
      <c r="B10" s="6">
        <f>'Planilha2 (2)'!K17</f>
        <v>322448.32</v>
      </c>
      <c r="C10" s="7">
        <f t="shared" si="0"/>
        <v>2.2490329754737626E-2</v>
      </c>
      <c r="D10" s="8">
        <f t="shared" si="1"/>
        <v>72.61531809480914</v>
      </c>
      <c r="E10" s="4"/>
      <c r="F10" s="4"/>
      <c r="G10" s="4"/>
      <c r="H10" s="1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3.25" customHeight="1" x14ac:dyDescent="0.25">
      <c r="A11" s="9" t="s">
        <v>13</v>
      </c>
      <c r="B11" s="10">
        <f>'Planilha2 (2)'!K18</f>
        <v>1247304.6499999999</v>
      </c>
      <c r="C11" s="11">
        <f t="shared" si="0"/>
        <v>8.6997795129208924E-2</v>
      </c>
      <c r="D11" s="12">
        <f t="shared" si="1"/>
        <v>280.89283864429677</v>
      </c>
      <c r="E11" s="4"/>
      <c r="F11" s="4"/>
      <c r="G11" s="4"/>
      <c r="H11" s="4" t="s">
        <v>14</v>
      </c>
      <c r="I11" s="4">
        <v>57.65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23.25" customHeight="1" x14ac:dyDescent="0.25">
      <c r="A12" s="5" t="s">
        <v>15</v>
      </c>
      <c r="B12" s="6">
        <f>'Planilha2 (2)'!K19</f>
        <v>456659.62</v>
      </c>
      <c r="C12" s="7">
        <f t="shared" si="0"/>
        <v>3.1851384555122438E-2</v>
      </c>
      <c r="D12" s="8">
        <f t="shared" si="1"/>
        <v>102.83968472018917</v>
      </c>
      <c r="E12" s="4"/>
      <c r="F12" s="4"/>
      <c r="G12" s="4"/>
      <c r="H12" s="1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3.25" customHeight="1" x14ac:dyDescent="0.25">
      <c r="A13" s="9" t="s">
        <v>16</v>
      </c>
      <c r="B13" s="10">
        <f>'Planilha2 (2)'!K20</f>
        <v>1194226.7</v>
      </c>
      <c r="C13" s="11">
        <f t="shared" si="0"/>
        <v>8.3295680637790651E-2</v>
      </c>
      <c r="D13" s="12">
        <f t="shared" si="1"/>
        <v>268.93969147618509</v>
      </c>
      <c r="E13" s="4"/>
      <c r="F13" s="4">
        <f>180*1.1</f>
        <v>198.00000000000003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3.25" customHeight="1" x14ac:dyDescent="0.25">
      <c r="A14" s="5" t="s">
        <v>17</v>
      </c>
      <c r="B14" s="6">
        <f>'Planilha2 (2)'!K21</f>
        <v>460055.52</v>
      </c>
      <c r="C14" s="7">
        <f t="shared" si="0"/>
        <v>3.2088243940260851E-2</v>
      </c>
      <c r="D14" s="8">
        <f t="shared" si="1"/>
        <v>103.60444094133544</v>
      </c>
      <c r="E14" s="4"/>
      <c r="F14" s="4">
        <f>220*1.1</f>
        <v>242.00000000000003</v>
      </c>
      <c r="G14" s="4"/>
      <c r="H14" s="1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3.25" customHeight="1" x14ac:dyDescent="0.25">
      <c r="A15" s="9" t="s">
        <v>18</v>
      </c>
      <c r="B15" s="10">
        <f>'Planilha2 (2)'!K22</f>
        <v>1041740.04</v>
      </c>
      <c r="C15" s="11">
        <f t="shared" si="0"/>
        <v>7.2659944447263883E-2</v>
      </c>
      <c r="D15" s="12">
        <f t="shared" si="1"/>
        <v>234.59971624817027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23.25" customHeight="1" x14ac:dyDescent="0.25">
      <c r="A16" s="5" t="s">
        <v>19</v>
      </c>
      <c r="B16" s="6">
        <f>'Planilha2 (2)'!K23</f>
        <v>534054.65</v>
      </c>
      <c r="C16" s="7">
        <f t="shared" si="0"/>
        <v>3.7249582151803393E-2</v>
      </c>
      <c r="D16" s="8">
        <f t="shared" si="1"/>
        <v>120.26903501857899</v>
      </c>
      <c r="E16" s="4"/>
      <c r="F16" s="4"/>
      <c r="G16" s="4"/>
      <c r="H16" s="1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23.25" customHeight="1" x14ac:dyDescent="0.25">
      <c r="A17" s="9" t="s">
        <v>20</v>
      </c>
      <c r="B17" s="10">
        <f>'Planilha2 (2)'!K6</f>
        <v>363462</v>
      </c>
      <c r="C17" s="11">
        <f t="shared" si="0"/>
        <v>2.5350977897222252E-2</v>
      </c>
      <c r="D17" s="12">
        <f t="shared" si="1"/>
        <v>81.851593289044033</v>
      </c>
      <c r="E17" s="4"/>
      <c r="F17" s="4"/>
      <c r="G17" s="4"/>
      <c r="H17" s="4"/>
      <c r="I17" s="1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23.25" customHeight="1" x14ac:dyDescent="0.25">
      <c r="A18" s="5" t="s">
        <v>21</v>
      </c>
      <c r="B18" s="6">
        <f>'Planilha2 (2)'!K24-B19</f>
        <v>210941.5</v>
      </c>
      <c r="C18" s="7">
        <f t="shared" si="0"/>
        <v>1.4712881412931497E-2</v>
      </c>
      <c r="D18" s="8">
        <f t="shared" si="1"/>
        <v>47.503997297601622</v>
      </c>
      <c r="E18" s="4"/>
      <c r="F18" s="4"/>
      <c r="G18" s="4"/>
      <c r="H18" s="1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23.25" customHeight="1" x14ac:dyDescent="0.25">
      <c r="A19" s="9" t="s">
        <v>22</v>
      </c>
      <c r="B19" s="10">
        <v>217718.87</v>
      </c>
      <c r="C19" s="11">
        <f t="shared" si="0"/>
        <v>1.5185593710424211E-2</v>
      </c>
      <c r="D19" s="12">
        <f t="shared" si="1"/>
        <v>49.030260105843936</v>
      </c>
      <c r="E19" s="4"/>
      <c r="F19" s="4"/>
      <c r="G19" s="4"/>
      <c r="H19" s="4"/>
      <c r="I19" s="1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7.25" customHeight="1" x14ac:dyDescent="0.25">
      <c r="A20" s="15" t="s">
        <v>23</v>
      </c>
      <c r="B20" s="16">
        <f>SUM(B2:B19)</f>
        <v>14337198.41</v>
      </c>
      <c r="C20" s="17">
        <f t="shared" ref="C20:D20" si="2">SUM(C2:C19)</f>
        <v>1</v>
      </c>
      <c r="D20" s="18">
        <f t="shared" si="2"/>
        <v>3228.7351446909133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7.25" customHeight="1" x14ac:dyDescent="0.25">
      <c r="A21" s="19" t="s">
        <v>24</v>
      </c>
      <c r="B21" s="20">
        <v>2591.0100000000002</v>
      </c>
      <c r="C21" s="21">
        <v>44991</v>
      </c>
      <c r="D21" s="22">
        <f>+D20/B21</f>
        <v>1.2461299434162405</v>
      </c>
      <c r="E21" s="1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7.25" customHeight="1" x14ac:dyDescent="0.25">
      <c r="A22" s="23"/>
      <c r="B22" s="23"/>
      <c r="C22" s="24"/>
      <c r="D22" s="2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7.25" customHeight="1" x14ac:dyDescent="0.25">
      <c r="A23" s="23"/>
      <c r="B23" s="23"/>
      <c r="C23" s="24"/>
      <c r="D23" s="2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7.25" customHeight="1" x14ac:dyDescent="0.25">
      <c r="A24" s="23"/>
      <c r="B24" s="23"/>
      <c r="C24" s="26"/>
      <c r="D24" s="2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7.25" customHeight="1" x14ac:dyDescent="0.25">
      <c r="A25" s="23"/>
      <c r="B25" s="23"/>
      <c r="C25" s="24"/>
      <c r="D25" s="2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7.25" customHeight="1" x14ac:dyDescent="0.25">
      <c r="A26" s="23"/>
      <c r="B26" s="23"/>
      <c r="C26" s="24"/>
      <c r="D26" s="2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7.25" customHeight="1" x14ac:dyDescent="0.25">
      <c r="A27" s="23"/>
      <c r="B27" s="23"/>
      <c r="C27" s="24"/>
      <c r="D27" s="2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7.25" customHeight="1" x14ac:dyDescent="0.25">
      <c r="A28" s="23"/>
      <c r="B28" s="23"/>
      <c r="C28" s="24"/>
      <c r="D28" s="2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7.25" customHeight="1" x14ac:dyDescent="0.25">
      <c r="A29" s="23"/>
      <c r="B29" s="23"/>
      <c r="C29" s="24"/>
      <c r="D29" s="2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7.25" customHeight="1" x14ac:dyDescent="0.25">
      <c r="A30" s="23"/>
      <c r="B30" s="23"/>
      <c r="C30" s="24"/>
      <c r="D30" s="2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7.25" customHeight="1" x14ac:dyDescent="0.25">
      <c r="A31" s="23"/>
      <c r="B31" s="23"/>
      <c r="C31" s="24"/>
      <c r="D31" s="2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7.25" customHeight="1" x14ac:dyDescent="0.25">
      <c r="A32" s="23"/>
      <c r="B32" s="23"/>
      <c r="C32" s="24"/>
      <c r="D32" s="2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7.25" customHeight="1" x14ac:dyDescent="0.25">
      <c r="A33" s="23"/>
      <c r="B33" s="23"/>
      <c r="C33" s="24"/>
      <c r="D33" s="2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7.25" customHeight="1" x14ac:dyDescent="0.25">
      <c r="A34" s="23"/>
      <c r="B34" s="23"/>
      <c r="C34" s="24"/>
      <c r="D34" s="2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7.25" customHeight="1" x14ac:dyDescent="0.25">
      <c r="A35" s="23"/>
      <c r="B35" s="23"/>
      <c r="C35" s="24"/>
      <c r="D35" s="2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7.25" customHeight="1" x14ac:dyDescent="0.25">
      <c r="A36" s="23"/>
      <c r="B36" s="23"/>
      <c r="C36" s="24"/>
      <c r="D36" s="2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7.25" customHeight="1" x14ac:dyDescent="0.25">
      <c r="A37" s="23"/>
      <c r="B37" s="23"/>
      <c r="C37" s="24"/>
      <c r="D37" s="2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7.25" customHeight="1" x14ac:dyDescent="0.25">
      <c r="A38" s="23"/>
      <c r="B38" s="23"/>
      <c r="C38" s="24"/>
      <c r="D38" s="2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7.25" customHeight="1" x14ac:dyDescent="0.25">
      <c r="A39" s="23"/>
      <c r="B39" s="23"/>
      <c r="C39" s="24"/>
      <c r="D39" s="2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7.25" customHeight="1" x14ac:dyDescent="0.25">
      <c r="A40" s="23"/>
      <c r="B40" s="23"/>
      <c r="C40" s="24"/>
      <c r="D40" s="2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7.25" customHeight="1" x14ac:dyDescent="0.25">
      <c r="A41" s="23"/>
      <c r="B41" s="23"/>
      <c r="C41" s="24"/>
      <c r="D41" s="2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7.25" customHeight="1" x14ac:dyDescent="0.25">
      <c r="A42" s="23"/>
      <c r="B42" s="23"/>
      <c r="C42" s="24"/>
      <c r="D42" s="2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7.25" customHeight="1" x14ac:dyDescent="0.25">
      <c r="A43" s="23"/>
      <c r="B43" s="23"/>
      <c r="C43" s="24"/>
      <c r="D43" s="2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7.25" customHeight="1" x14ac:dyDescent="0.25">
      <c r="A44" s="23"/>
      <c r="B44" s="23"/>
      <c r="C44" s="24"/>
      <c r="D44" s="2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7.25" customHeight="1" x14ac:dyDescent="0.25">
      <c r="A45" s="23"/>
      <c r="B45" s="23"/>
      <c r="C45" s="24"/>
      <c r="D45" s="2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7.25" customHeight="1" x14ac:dyDescent="0.25">
      <c r="A46" s="23"/>
      <c r="B46" s="23"/>
      <c r="C46" s="24"/>
      <c r="D46" s="2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7.25" customHeight="1" x14ac:dyDescent="0.25">
      <c r="A47" s="4"/>
      <c r="B47" s="4"/>
      <c r="C47" s="2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7.25" customHeight="1" x14ac:dyDescent="0.25">
      <c r="A48" s="4"/>
      <c r="B48" s="4"/>
      <c r="C48" s="2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7.25" customHeight="1" x14ac:dyDescent="0.25">
      <c r="A49" s="4"/>
      <c r="B49" s="4"/>
      <c r="C49" s="2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7.25" customHeight="1" x14ac:dyDescent="0.25">
      <c r="A50" s="4"/>
      <c r="B50" s="4"/>
      <c r="C50" s="2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7.25" customHeight="1" x14ac:dyDescent="0.25">
      <c r="A51" s="4"/>
      <c r="B51" s="4"/>
      <c r="C51" s="2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7.25" customHeight="1" x14ac:dyDescent="0.25">
      <c r="A52" s="4"/>
      <c r="B52" s="4"/>
      <c r="C52" s="2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7.25" customHeight="1" x14ac:dyDescent="0.25">
      <c r="A53" s="4"/>
      <c r="B53" s="4"/>
      <c r="C53" s="2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7.25" customHeight="1" x14ac:dyDescent="0.25">
      <c r="A54" s="4"/>
      <c r="B54" s="4"/>
      <c r="C54" s="2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7.25" customHeight="1" x14ac:dyDescent="0.25">
      <c r="A55" s="4"/>
      <c r="B55" s="4"/>
      <c r="C55" s="2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7.25" customHeight="1" x14ac:dyDescent="0.25">
      <c r="A56" s="4"/>
      <c r="B56" s="4"/>
      <c r="C56" s="2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7.25" customHeight="1" x14ac:dyDescent="0.25">
      <c r="A57" s="4"/>
      <c r="B57" s="4"/>
      <c r="C57" s="2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7.25" customHeight="1" x14ac:dyDescent="0.25">
      <c r="A58" s="4"/>
      <c r="B58" s="4"/>
      <c r="C58" s="2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7.25" customHeight="1" x14ac:dyDescent="0.25">
      <c r="A59" s="4"/>
      <c r="B59" s="4"/>
      <c r="C59" s="2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7.25" customHeight="1" x14ac:dyDescent="0.25">
      <c r="A60" s="4"/>
      <c r="B60" s="4"/>
      <c r="C60" s="26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7.25" customHeight="1" x14ac:dyDescent="0.25">
      <c r="A61" s="4"/>
      <c r="B61" s="4"/>
      <c r="C61" s="2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7.25" customHeight="1" x14ac:dyDescent="0.25">
      <c r="A62" s="4"/>
      <c r="B62" s="4"/>
      <c r="C62" s="2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7.25" customHeight="1" x14ac:dyDescent="0.25">
      <c r="A63" s="4"/>
      <c r="B63" s="4"/>
      <c r="C63" s="2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7.25" customHeight="1" x14ac:dyDescent="0.25">
      <c r="A64" s="4"/>
      <c r="B64" s="4"/>
      <c r="C64" s="2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7.25" customHeight="1" x14ac:dyDescent="0.25">
      <c r="A65" s="4"/>
      <c r="B65" s="4"/>
      <c r="C65" s="2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7.25" customHeight="1" x14ac:dyDescent="0.25">
      <c r="A66" s="4"/>
      <c r="B66" s="4"/>
      <c r="C66" s="2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7.25" customHeight="1" x14ac:dyDescent="0.25">
      <c r="A67" s="4"/>
      <c r="B67" s="4"/>
      <c r="C67" s="2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7.25" customHeight="1" x14ac:dyDescent="0.25">
      <c r="A68" s="4"/>
      <c r="B68" s="4"/>
      <c r="C68" s="2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7.25" customHeight="1" x14ac:dyDescent="0.25">
      <c r="A69" s="4"/>
      <c r="B69" s="4"/>
      <c r="C69" s="2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7.25" customHeight="1" x14ac:dyDescent="0.25">
      <c r="A70" s="4"/>
      <c r="B70" s="4"/>
      <c r="C70" s="2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7.25" customHeight="1" x14ac:dyDescent="0.25">
      <c r="A71" s="4"/>
      <c r="B71" s="4"/>
      <c r="C71" s="2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7.25" customHeight="1" x14ac:dyDescent="0.25">
      <c r="A72" s="4"/>
      <c r="B72" s="4"/>
      <c r="C72" s="2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7.25" customHeight="1" x14ac:dyDescent="0.25">
      <c r="A73" s="4"/>
      <c r="B73" s="4"/>
      <c r="C73" s="2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7.25" customHeight="1" x14ac:dyDescent="0.25">
      <c r="A74" s="4"/>
      <c r="B74" s="4"/>
      <c r="C74" s="2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7.25" customHeight="1" x14ac:dyDescent="0.25">
      <c r="A75" s="4"/>
      <c r="B75" s="4"/>
      <c r="C75" s="2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7.25" customHeight="1" x14ac:dyDescent="0.25">
      <c r="A76" s="4"/>
      <c r="B76" s="4"/>
      <c r="C76" s="2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7.25" customHeight="1" x14ac:dyDescent="0.25">
      <c r="A77" s="4"/>
      <c r="B77" s="4"/>
      <c r="C77" s="2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7.25" customHeight="1" x14ac:dyDescent="0.25">
      <c r="A78" s="4"/>
      <c r="B78" s="4"/>
      <c r="C78" s="2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7.25" customHeight="1" x14ac:dyDescent="0.25">
      <c r="A79" s="4"/>
      <c r="B79" s="4"/>
      <c r="C79" s="2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7.25" customHeight="1" x14ac:dyDescent="0.25">
      <c r="A80" s="4"/>
      <c r="B80" s="4"/>
      <c r="C80" s="2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7.25" customHeight="1" x14ac:dyDescent="0.25">
      <c r="A81" s="4"/>
      <c r="B81" s="4"/>
      <c r="C81" s="2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7.25" customHeight="1" x14ac:dyDescent="0.25">
      <c r="A82" s="4"/>
      <c r="B82" s="4"/>
      <c r="C82" s="2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7.25" customHeight="1" x14ac:dyDescent="0.25">
      <c r="A83" s="4"/>
      <c r="B83" s="4"/>
      <c r="C83" s="2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7.25" customHeight="1" x14ac:dyDescent="0.25">
      <c r="A84" s="4"/>
      <c r="B84" s="4"/>
      <c r="C84" s="2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7.25" customHeight="1" x14ac:dyDescent="0.25">
      <c r="A85" s="4"/>
      <c r="B85" s="4"/>
      <c r="C85" s="2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7.25" customHeight="1" x14ac:dyDescent="0.25">
      <c r="A86" s="4"/>
      <c r="B86" s="4"/>
      <c r="C86" s="2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7.25" customHeight="1" x14ac:dyDescent="0.25">
      <c r="A87" s="4"/>
      <c r="B87" s="4"/>
      <c r="C87" s="2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7.25" customHeight="1" x14ac:dyDescent="0.25">
      <c r="A88" s="4"/>
      <c r="B88" s="4"/>
      <c r="C88" s="2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7.25" customHeight="1" x14ac:dyDescent="0.25">
      <c r="A89" s="4"/>
      <c r="B89" s="4"/>
      <c r="C89" s="2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7.25" customHeight="1" x14ac:dyDescent="0.25">
      <c r="A90" s="4"/>
      <c r="B90" s="4"/>
      <c r="C90" s="2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7.25" customHeight="1" x14ac:dyDescent="0.25">
      <c r="A91" s="4"/>
      <c r="B91" s="4"/>
      <c r="C91" s="2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7.25" customHeight="1" x14ac:dyDescent="0.25">
      <c r="A92" s="4"/>
      <c r="B92" s="4"/>
      <c r="C92" s="2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7.25" customHeight="1" x14ac:dyDescent="0.25">
      <c r="A93" s="4"/>
      <c r="B93" s="4"/>
      <c r="C93" s="2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7.25" customHeight="1" x14ac:dyDescent="0.25">
      <c r="A94" s="4"/>
      <c r="B94" s="4"/>
      <c r="C94" s="2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7.25" customHeight="1" x14ac:dyDescent="0.25">
      <c r="A95" s="4"/>
      <c r="B95" s="4"/>
      <c r="C95" s="2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7.25" customHeight="1" x14ac:dyDescent="0.25">
      <c r="A96" s="4"/>
      <c r="B96" s="4"/>
      <c r="C96" s="2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7.25" customHeight="1" x14ac:dyDescent="0.25">
      <c r="A97" s="4"/>
      <c r="B97" s="4"/>
      <c r="C97" s="2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7.25" customHeight="1" x14ac:dyDescent="0.25">
      <c r="A98" s="4"/>
      <c r="B98" s="4"/>
      <c r="C98" s="2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7.25" customHeight="1" x14ac:dyDescent="0.25">
      <c r="A99" s="4"/>
      <c r="B99" s="4"/>
      <c r="C99" s="2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7.25" customHeight="1" x14ac:dyDescent="0.25">
      <c r="A100" s="4"/>
      <c r="B100" s="4"/>
      <c r="C100" s="2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7.25" customHeight="1" x14ac:dyDescent="0.25">
      <c r="A101" s="4"/>
      <c r="B101" s="4"/>
      <c r="C101" s="2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7.25" customHeight="1" x14ac:dyDescent="0.25">
      <c r="A102" s="4"/>
      <c r="B102" s="4"/>
      <c r="C102" s="2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7.25" customHeight="1" x14ac:dyDescent="0.25">
      <c r="A103" s="4"/>
      <c r="B103" s="4"/>
      <c r="C103" s="2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7.25" customHeight="1" x14ac:dyDescent="0.25">
      <c r="A104" s="4"/>
      <c r="B104" s="4"/>
      <c r="C104" s="2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7.25" customHeight="1" x14ac:dyDescent="0.25">
      <c r="A105" s="4"/>
      <c r="B105" s="4"/>
      <c r="C105" s="2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7.25" customHeight="1" x14ac:dyDescent="0.25">
      <c r="A106" s="4"/>
      <c r="B106" s="4"/>
      <c r="C106" s="2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7.25" customHeight="1" x14ac:dyDescent="0.25">
      <c r="A107" s="4"/>
      <c r="B107" s="4"/>
      <c r="C107" s="2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7.25" customHeight="1" x14ac:dyDescent="0.25">
      <c r="A108" s="4"/>
      <c r="B108" s="4"/>
      <c r="C108" s="2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7.25" customHeight="1" x14ac:dyDescent="0.25">
      <c r="A109" s="4"/>
      <c r="B109" s="4"/>
      <c r="C109" s="2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7.25" customHeight="1" x14ac:dyDescent="0.25">
      <c r="A110" s="4"/>
      <c r="B110" s="4"/>
      <c r="C110" s="2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7.25" customHeight="1" x14ac:dyDescent="0.25">
      <c r="A111" s="4"/>
      <c r="B111" s="4"/>
      <c r="C111" s="2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7.25" customHeight="1" x14ac:dyDescent="0.25">
      <c r="A112" s="4"/>
      <c r="B112" s="4"/>
      <c r="C112" s="2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7.25" customHeight="1" x14ac:dyDescent="0.25">
      <c r="A113" s="4"/>
      <c r="B113" s="4"/>
      <c r="C113" s="2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7.25" customHeight="1" x14ac:dyDescent="0.25">
      <c r="A114" s="4"/>
      <c r="B114" s="4"/>
      <c r="C114" s="2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7.25" customHeight="1" x14ac:dyDescent="0.25">
      <c r="A115" s="4"/>
      <c r="B115" s="4"/>
      <c r="C115" s="2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7.25" customHeight="1" x14ac:dyDescent="0.25">
      <c r="A116" s="4"/>
      <c r="B116" s="4"/>
      <c r="C116" s="2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7.25" customHeight="1" x14ac:dyDescent="0.25">
      <c r="A117" s="4"/>
      <c r="B117" s="4"/>
      <c r="C117" s="2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7.25" customHeight="1" x14ac:dyDescent="0.25">
      <c r="A118" s="4"/>
      <c r="B118" s="4"/>
      <c r="C118" s="2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7.25" customHeight="1" x14ac:dyDescent="0.25">
      <c r="A119" s="4"/>
      <c r="B119" s="4"/>
      <c r="C119" s="2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7.25" customHeight="1" x14ac:dyDescent="0.25">
      <c r="A120" s="4"/>
      <c r="B120" s="4"/>
      <c r="C120" s="2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7.25" customHeight="1" x14ac:dyDescent="0.25">
      <c r="A121" s="4"/>
      <c r="B121" s="4"/>
      <c r="C121" s="2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7.25" customHeight="1" x14ac:dyDescent="0.25">
      <c r="A122" s="4"/>
      <c r="B122" s="4"/>
      <c r="C122" s="2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7.25" customHeight="1" x14ac:dyDescent="0.25">
      <c r="A123" s="4"/>
      <c r="B123" s="4"/>
      <c r="C123" s="2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7.25" customHeight="1" x14ac:dyDescent="0.25">
      <c r="A124" s="4"/>
      <c r="B124" s="4"/>
      <c r="C124" s="2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7.25" customHeight="1" x14ac:dyDescent="0.25">
      <c r="A125" s="4"/>
      <c r="B125" s="4"/>
      <c r="C125" s="2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7.25" customHeight="1" x14ac:dyDescent="0.25">
      <c r="A126" s="4"/>
      <c r="B126" s="4"/>
      <c r="C126" s="2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7.25" customHeight="1" x14ac:dyDescent="0.25">
      <c r="A127" s="4"/>
      <c r="B127" s="4"/>
      <c r="C127" s="2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7.25" customHeight="1" x14ac:dyDescent="0.25">
      <c r="A128" s="4"/>
      <c r="B128" s="4"/>
      <c r="C128" s="2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7.25" customHeight="1" x14ac:dyDescent="0.25">
      <c r="A129" s="4"/>
      <c r="B129" s="4"/>
      <c r="C129" s="2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7.25" customHeight="1" x14ac:dyDescent="0.25">
      <c r="A130" s="4"/>
      <c r="B130" s="4"/>
      <c r="C130" s="2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7.25" customHeight="1" x14ac:dyDescent="0.25">
      <c r="A131" s="4"/>
      <c r="B131" s="4"/>
      <c r="C131" s="2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7.25" customHeight="1" x14ac:dyDescent="0.25">
      <c r="A132" s="4"/>
      <c r="B132" s="4"/>
      <c r="C132" s="2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7.25" customHeight="1" x14ac:dyDescent="0.25">
      <c r="A133" s="4"/>
      <c r="B133" s="4"/>
      <c r="C133" s="2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7.25" customHeight="1" x14ac:dyDescent="0.25">
      <c r="A134" s="4"/>
      <c r="B134" s="4"/>
      <c r="C134" s="2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7.25" customHeight="1" x14ac:dyDescent="0.25">
      <c r="A135" s="4"/>
      <c r="B135" s="4"/>
      <c r="C135" s="2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7.25" customHeight="1" x14ac:dyDescent="0.25">
      <c r="A136" s="4"/>
      <c r="B136" s="4"/>
      <c r="C136" s="2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7.25" customHeight="1" x14ac:dyDescent="0.25">
      <c r="A137" s="4"/>
      <c r="B137" s="4"/>
      <c r="C137" s="2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7.25" customHeight="1" x14ac:dyDescent="0.25">
      <c r="A138" s="4"/>
      <c r="B138" s="4"/>
      <c r="C138" s="2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7.25" customHeight="1" x14ac:dyDescent="0.25">
      <c r="A139" s="4"/>
      <c r="B139" s="4"/>
      <c r="C139" s="2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7.25" customHeight="1" x14ac:dyDescent="0.25">
      <c r="A140" s="4"/>
      <c r="B140" s="4"/>
      <c r="C140" s="2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7.25" customHeight="1" x14ac:dyDescent="0.25">
      <c r="A141" s="4"/>
      <c r="B141" s="4"/>
      <c r="C141" s="2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7.25" customHeight="1" x14ac:dyDescent="0.25">
      <c r="A142" s="4"/>
      <c r="B142" s="4"/>
      <c r="C142" s="2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7.25" customHeight="1" x14ac:dyDescent="0.25">
      <c r="A143" s="4"/>
      <c r="B143" s="4"/>
      <c r="C143" s="2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7.25" customHeight="1" x14ac:dyDescent="0.25">
      <c r="A144" s="4"/>
      <c r="B144" s="4"/>
      <c r="C144" s="2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7.25" customHeight="1" x14ac:dyDescent="0.25">
      <c r="A145" s="4"/>
      <c r="B145" s="4"/>
      <c r="C145" s="2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7.25" customHeight="1" x14ac:dyDescent="0.25">
      <c r="A146" s="4"/>
      <c r="B146" s="4"/>
      <c r="C146" s="2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7.25" customHeight="1" x14ac:dyDescent="0.25">
      <c r="A147" s="4"/>
      <c r="B147" s="4"/>
      <c r="C147" s="2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7.25" customHeight="1" x14ac:dyDescent="0.25">
      <c r="A148" s="4"/>
      <c r="B148" s="4"/>
      <c r="C148" s="2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7.25" customHeight="1" x14ac:dyDescent="0.25">
      <c r="A149" s="4"/>
      <c r="B149" s="4"/>
      <c r="C149" s="2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7.25" customHeight="1" x14ac:dyDescent="0.25">
      <c r="A150" s="4"/>
      <c r="B150" s="4"/>
      <c r="C150" s="2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7.25" customHeight="1" x14ac:dyDescent="0.25">
      <c r="A151" s="4"/>
      <c r="B151" s="4"/>
      <c r="C151" s="2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7.25" customHeight="1" x14ac:dyDescent="0.25">
      <c r="A152" s="4"/>
      <c r="B152" s="4"/>
      <c r="C152" s="2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7.25" customHeight="1" x14ac:dyDescent="0.25">
      <c r="A153" s="4"/>
      <c r="B153" s="4"/>
      <c r="C153" s="2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7.25" customHeight="1" x14ac:dyDescent="0.25">
      <c r="A154" s="4"/>
      <c r="B154" s="4"/>
      <c r="C154" s="2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7.25" customHeight="1" x14ac:dyDescent="0.25">
      <c r="A155" s="4"/>
      <c r="B155" s="4"/>
      <c r="C155" s="2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7.25" customHeight="1" x14ac:dyDescent="0.25">
      <c r="A156" s="4"/>
      <c r="B156" s="4"/>
      <c r="C156" s="2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7.25" customHeight="1" x14ac:dyDescent="0.25">
      <c r="A157" s="4"/>
      <c r="B157" s="4"/>
      <c r="C157" s="2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7.25" customHeight="1" x14ac:dyDescent="0.25">
      <c r="A158" s="4"/>
      <c r="B158" s="4"/>
      <c r="C158" s="2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7.25" customHeight="1" x14ac:dyDescent="0.25">
      <c r="A159" s="4"/>
      <c r="B159" s="4"/>
      <c r="C159" s="2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7.25" customHeight="1" x14ac:dyDescent="0.25">
      <c r="A160" s="4"/>
      <c r="B160" s="4"/>
      <c r="C160" s="2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7.25" customHeight="1" x14ac:dyDescent="0.25">
      <c r="A161" s="4"/>
      <c r="B161" s="4"/>
      <c r="C161" s="2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7.25" customHeight="1" x14ac:dyDescent="0.25">
      <c r="A162" s="4"/>
      <c r="B162" s="4"/>
      <c r="C162" s="2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7.25" customHeight="1" x14ac:dyDescent="0.25">
      <c r="A163" s="4"/>
      <c r="B163" s="4"/>
      <c r="C163" s="2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7.25" customHeight="1" x14ac:dyDescent="0.25">
      <c r="A164" s="4"/>
      <c r="B164" s="4"/>
      <c r="C164" s="2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7.25" customHeight="1" x14ac:dyDescent="0.25">
      <c r="A165" s="4"/>
      <c r="B165" s="4"/>
      <c r="C165" s="2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7.25" customHeight="1" x14ac:dyDescent="0.25">
      <c r="A166" s="4"/>
      <c r="B166" s="4"/>
      <c r="C166" s="2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7.25" customHeight="1" x14ac:dyDescent="0.25">
      <c r="A167" s="4"/>
      <c r="B167" s="4"/>
      <c r="C167" s="2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7.25" customHeight="1" x14ac:dyDescent="0.25">
      <c r="A168" s="4"/>
      <c r="B168" s="4"/>
      <c r="C168" s="2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7.25" customHeight="1" x14ac:dyDescent="0.25">
      <c r="A169" s="4"/>
      <c r="B169" s="4"/>
      <c r="C169" s="2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7.25" customHeight="1" x14ac:dyDescent="0.25">
      <c r="A170" s="4"/>
      <c r="B170" s="4"/>
      <c r="C170" s="2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7.25" customHeight="1" x14ac:dyDescent="0.25">
      <c r="A171" s="4"/>
      <c r="B171" s="4"/>
      <c r="C171" s="2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7.25" customHeight="1" x14ac:dyDescent="0.25">
      <c r="A172" s="4"/>
      <c r="B172" s="4"/>
      <c r="C172" s="2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7.25" customHeight="1" x14ac:dyDescent="0.25">
      <c r="A173" s="4"/>
      <c r="B173" s="4"/>
      <c r="C173" s="2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7.25" customHeight="1" x14ac:dyDescent="0.25">
      <c r="A174" s="4"/>
      <c r="B174" s="4"/>
      <c r="C174" s="2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7.25" customHeight="1" x14ac:dyDescent="0.25">
      <c r="A175" s="4"/>
      <c r="B175" s="4"/>
      <c r="C175" s="2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7.25" customHeight="1" x14ac:dyDescent="0.25">
      <c r="A176" s="4"/>
      <c r="B176" s="4"/>
      <c r="C176" s="2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7.25" customHeight="1" x14ac:dyDescent="0.25">
      <c r="A177" s="4"/>
      <c r="B177" s="4"/>
      <c r="C177" s="2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7.25" customHeight="1" x14ac:dyDescent="0.25">
      <c r="A178" s="4"/>
      <c r="B178" s="4"/>
      <c r="C178" s="2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7.25" customHeight="1" x14ac:dyDescent="0.25">
      <c r="A179" s="4"/>
      <c r="B179" s="4"/>
      <c r="C179" s="2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7.25" customHeight="1" x14ac:dyDescent="0.25">
      <c r="A180" s="4"/>
      <c r="B180" s="4"/>
      <c r="C180" s="2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7.25" customHeight="1" x14ac:dyDescent="0.25">
      <c r="A181" s="4"/>
      <c r="B181" s="4"/>
      <c r="C181" s="2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7.25" customHeight="1" x14ac:dyDescent="0.25">
      <c r="A182" s="4"/>
      <c r="B182" s="4"/>
      <c r="C182" s="2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7.25" customHeight="1" x14ac:dyDescent="0.25">
      <c r="A183" s="4"/>
      <c r="B183" s="4"/>
      <c r="C183" s="2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7.25" customHeight="1" x14ac:dyDescent="0.25">
      <c r="A184" s="4"/>
      <c r="B184" s="4"/>
      <c r="C184" s="2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7.25" customHeight="1" x14ac:dyDescent="0.25">
      <c r="A185" s="4"/>
      <c r="B185" s="4"/>
      <c r="C185" s="2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7.25" customHeight="1" x14ac:dyDescent="0.25">
      <c r="A186" s="4"/>
      <c r="B186" s="4"/>
      <c r="C186" s="2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7.25" customHeight="1" x14ac:dyDescent="0.25">
      <c r="A187" s="4"/>
      <c r="B187" s="4"/>
      <c r="C187" s="2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7.25" customHeight="1" x14ac:dyDescent="0.25">
      <c r="A188" s="4"/>
      <c r="B188" s="4"/>
      <c r="C188" s="2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7.25" customHeight="1" x14ac:dyDescent="0.25">
      <c r="A189" s="4"/>
      <c r="B189" s="4"/>
      <c r="C189" s="2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7.25" customHeight="1" x14ac:dyDescent="0.25">
      <c r="A190" s="4"/>
      <c r="B190" s="4"/>
      <c r="C190" s="2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7.25" customHeight="1" x14ac:dyDescent="0.25">
      <c r="A191" s="4"/>
      <c r="B191" s="4"/>
      <c r="C191" s="2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7.25" customHeight="1" x14ac:dyDescent="0.25">
      <c r="A192" s="4"/>
      <c r="B192" s="4"/>
      <c r="C192" s="2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7.25" customHeight="1" x14ac:dyDescent="0.25">
      <c r="A193" s="4"/>
      <c r="B193" s="4"/>
      <c r="C193" s="2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7.25" customHeight="1" x14ac:dyDescent="0.25">
      <c r="A194" s="4"/>
      <c r="B194" s="4"/>
      <c r="C194" s="2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7.25" customHeight="1" x14ac:dyDescent="0.25">
      <c r="A195" s="4"/>
      <c r="B195" s="4"/>
      <c r="C195" s="2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7.25" customHeight="1" x14ac:dyDescent="0.25">
      <c r="A196" s="4"/>
      <c r="B196" s="4"/>
      <c r="C196" s="2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7.25" customHeight="1" x14ac:dyDescent="0.25">
      <c r="A197" s="4"/>
      <c r="B197" s="4"/>
      <c r="C197" s="2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7.25" customHeight="1" x14ac:dyDescent="0.25">
      <c r="A198" s="4"/>
      <c r="B198" s="4"/>
      <c r="C198" s="2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7.25" customHeight="1" x14ac:dyDescent="0.25">
      <c r="A199" s="4"/>
      <c r="B199" s="4"/>
      <c r="C199" s="2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7.25" customHeight="1" x14ac:dyDescent="0.25">
      <c r="A200" s="4"/>
      <c r="B200" s="4"/>
      <c r="C200" s="2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7.25" customHeight="1" x14ac:dyDescent="0.25">
      <c r="A201" s="4"/>
      <c r="B201" s="4"/>
      <c r="C201" s="2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7.25" customHeight="1" x14ac:dyDescent="0.25">
      <c r="A202" s="4"/>
      <c r="B202" s="4"/>
      <c r="C202" s="2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7.25" customHeight="1" x14ac:dyDescent="0.25">
      <c r="A203" s="4"/>
      <c r="B203" s="4"/>
      <c r="C203" s="2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7.25" customHeight="1" x14ac:dyDescent="0.25">
      <c r="A204" s="4"/>
      <c r="B204" s="4"/>
      <c r="C204" s="2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7.25" customHeight="1" x14ac:dyDescent="0.25">
      <c r="A205" s="4"/>
      <c r="B205" s="4"/>
      <c r="C205" s="2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7.25" customHeight="1" x14ac:dyDescent="0.25">
      <c r="A206" s="4"/>
      <c r="B206" s="4"/>
      <c r="C206" s="2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7.25" customHeight="1" x14ac:dyDescent="0.25">
      <c r="A207" s="4"/>
      <c r="B207" s="4"/>
      <c r="C207" s="2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7.25" customHeight="1" x14ac:dyDescent="0.25">
      <c r="A208" s="4"/>
      <c r="B208" s="4"/>
      <c r="C208" s="2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7.25" customHeight="1" x14ac:dyDescent="0.25">
      <c r="A209" s="4"/>
      <c r="B209" s="4"/>
      <c r="C209" s="2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7.25" customHeight="1" x14ac:dyDescent="0.25">
      <c r="A210" s="4"/>
      <c r="B210" s="4"/>
      <c r="C210" s="2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7.25" customHeight="1" x14ac:dyDescent="0.25">
      <c r="A211" s="4"/>
      <c r="B211" s="4"/>
      <c r="C211" s="2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7.25" customHeight="1" x14ac:dyDescent="0.25">
      <c r="A212" s="4"/>
      <c r="B212" s="4"/>
      <c r="C212" s="2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7.25" customHeight="1" x14ac:dyDescent="0.25">
      <c r="A213" s="4"/>
      <c r="B213" s="4"/>
      <c r="C213" s="2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7.25" customHeight="1" x14ac:dyDescent="0.25">
      <c r="A214" s="4"/>
      <c r="B214" s="4"/>
      <c r="C214" s="2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7.25" customHeight="1" x14ac:dyDescent="0.25">
      <c r="A215" s="4"/>
      <c r="B215" s="4"/>
      <c r="C215" s="2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7.25" customHeight="1" x14ac:dyDescent="0.25">
      <c r="A216" s="4"/>
      <c r="B216" s="4"/>
      <c r="C216" s="2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7.25" customHeight="1" x14ac:dyDescent="0.25">
      <c r="A217" s="4"/>
      <c r="B217" s="4"/>
      <c r="C217" s="2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7.25" customHeight="1" x14ac:dyDescent="0.25">
      <c r="A218" s="4"/>
      <c r="B218" s="4"/>
      <c r="C218" s="2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7.25" customHeight="1" x14ac:dyDescent="0.25">
      <c r="A219" s="4"/>
      <c r="B219" s="4"/>
      <c r="C219" s="2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7.25" customHeight="1" x14ac:dyDescent="0.25">
      <c r="A220" s="4"/>
      <c r="B220" s="4"/>
      <c r="C220" s="2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7.25" customHeight="1" x14ac:dyDescent="0.25">
      <c r="A221" s="4"/>
      <c r="B221" s="4"/>
      <c r="C221" s="2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7.25" customHeight="1" x14ac:dyDescent="0.25">
      <c r="A222" s="4"/>
      <c r="B222" s="4"/>
      <c r="C222" s="2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7.25" customHeight="1" x14ac:dyDescent="0.25">
      <c r="A223" s="4"/>
      <c r="B223" s="4"/>
      <c r="C223" s="2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7.25" customHeight="1" x14ac:dyDescent="0.25">
      <c r="A224" s="4"/>
      <c r="B224" s="4"/>
      <c r="C224" s="2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7.25" customHeight="1" x14ac:dyDescent="0.25">
      <c r="A225" s="4"/>
      <c r="B225" s="4"/>
      <c r="C225" s="2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7.25" customHeight="1" x14ac:dyDescent="0.25">
      <c r="A226" s="4"/>
      <c r="B226" s="4"/>
      <c r="C226" s="2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7.25" customHeight="1" x14ac:dyDescent="0.25">
      <c r="A227" s="4"/>
      <c r="B227" s="4"/>
      <c r="C227" s="2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7.25" customHeight="1" x14ac:dyDescent="0.25">
      <c r="A228" s="4"/>
      <c r="B228" s="4"/>
      <c r="C228" s="2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7.25" customHeight="1" x14ac:dyDescent="0.25">
      <c r="A229" s="4"/>
      <c r="B229" s="4"/>
      <c r="C229" s="2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7.25" customHeight="1" x14ac:dyDescent="0.25">
      <c r="A230" s="4"/>
      <c r="B230" s="4"/>
      <c r="C230" s="2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7.25" customHeight="1" x14ac:dyDescent="0.25">
      <c r="A231" s="4"/>
      <c r="B231" s="4"/>
      <c r="C231" s="2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7.25" customHeight="1" x14ac:dyDescent="0.25">
      <c r="A232" s="4"/>
      <c r="B232" s="4"/>
      <c r="C232" s="2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7.25" customHeight="1" x14ac:dyDescent="0.25">
      <c r="A233" s="4"/>
      <c r="B233" s="4"/>
      <c r="C233" s="2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7.25" customHeight="1" x14ac:dyDescent="0.25">
      <c r="A234" s="4"/>
      <c r="B234" s="4"/>
      <c r="C234" s="2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7.25" customHeight="1" x14ac:dyDescent="0.25">
      <c r="A235" s="4"/>
      <c r="B235" s="4"/>
      <c r="C235" s="2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7.25" customHeight="1" x14ac:dyDescent="0.25">
      <c r="A236" s="4"/>
      <c r="B236" s="4"/>
      <c r="C236" s="2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7.25" customHeight="1" x14ac:dyDescent="0.25">
      <c r="A237" s="4"/>
      <c r="B237" s="4"/>
      <c r="C237" s="2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7.25" customHeight="1" x14ac:dyDescent="0.25">
      <c r="A238" s="4"/>
      <c r="B238" s="4"/>
      <c r="C238" s="2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7.25" customHeight="1" x14ac:dyDescent="0.25">
      <c r="A239" s="4"/>
      <c r="B239" s="4"/>
      <c r="C239" s="2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7.25" customHeight="1" x14ac:dyDescent="0.25">
      <c r="A240" s="4"/>
      <c r="B240" s="4"/>
      <c r="C240" s="2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7.25" customHeight="1" x14ac:dyDescent="0.25">
      <c r="A241" s="4"/>
      <c r="B241" s="4"/>
      <c r="C241" s="2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7.25" customHeight="1" x14ac:dyDescent="0.25">
      <c r="A242" s="4"/>
      <c r="B242" s="4"/>
      <c r="C242" s="2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7.25" customHeight="1" x14ac:dyDescent="0.25">
      <c r="A243" s="4"/>
      <c r="B243" s="4"/>
      <c r="C243" s="2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7.25" customHeight="1" x14ac:dyDescent="0.25">
      <c r="A244" s="4"/>
      <c r="B244" s="4"/>
      <c r="C244" s="2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7.25" customHeight="1" x14ac:dyDescent="0.25">
      <c r="A245" s="4"/>
      <c r="B245" s="4"/>
      <c r="C245" s="2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7.25" customHeight="1" x14ac:dyDescent="0.25">
      <c r="A246" s="4"/>
      <c r="B246" s="4"/>
      <c r="C246" s="2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7.25" customHeight="1" x14ac:dyDescent="0.25">
      <c r="A247" s="4"/>
      <c r="B247" s="4"/>
      <c r="C247" s="2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7.25" customHeight="1" x14ac:dyDescent="0.25">
      <c r="A248" s="4"/>
      <c r="B248" s="4"/>
      <c r="C248" s="2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7.25" customHeight="1" x14ac:dyDescent="0.25">
      <c r="A249" s="4"/>
      <c r="B249" s="4"/>
      <c r="C249" s="2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7.25" customHeight="1" x14ac:dyDescent="0.25">
      <c r="A250" s="4"/>
      <c r="B250" s="4"/>
      <c r="C250" s="2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7.25" customHeight="1" x14ac:dyDescent="0.25">
      <c r="A251" s="4"/>
      <c r="B251" s="4"/>
      <c r="C251" s="2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7.25" customHeight="1" x14ac:dyDescent="0.25">
      <c r="A252" s="4"/>
      <c r="B252" s="4"/>
      <c r="C252" s="2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7.25" customHeight="1" x14ac:dyDescent="0.25">
      <c r="A253" s="4"/>
      <c r="B253" s="4"/>
      <c r="C253" s="2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7.25" customHeight="1" x14ac:dyDescent="0.25">
      <c r="A254" s="4"/>
      <c r="B254" s="4"/>
      <c r="C254" s="2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7.25" customHeight="1" x14ac:dyDescent="0.25">
      <c r="A255" s="4"/>
      <c r="B255" s="4"/>
      <c r="C255" s="2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7.25" customHeight="1" x14ac:dyDescent="0.25">
      <c r="A256" s="4"/>
      <c r="B256" s="4"/>
      <c r="C256" s="2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7.25" customHeight="1" x14ac:dyDescent="0.25">
      <c r="A257" s="4"/>
      <c r="B257" s="4"/>
      <c r="C257" s="2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7.25" customHeight="1" x14ac:dyDescent="0.25">
      <c r="A258" s="4"/>
      <c r="B258" s="4"/>
      <c r="C258" s="2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7.25" customHeight="1" x14ac:dyDescent="0.25">
      <c r="A259" s="4"/>
      <c r="B259" s="4"/>
      <c r="C259" s="2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7.25" customHeight="1" x14ac:dyDescent="0.25">
      <c r="A260" s="4"/>
      <c r="B260" s="4"/>
      <c r="C260" s="2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7.25" customHeight="1" x14ac:dyDescent="0.25">
      <c r="A261" s="4"/>
      <c r="B261" s="4"/>
      <c r="C261" s="2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7.25" customHeight="1" x14ac:dyDescent="0.25">
      <c r="A262" s="4"/>
      <c r="B262" s="4"/>
      <c r="C262" s="2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7.25" customHeight="1" x14ac:dyDescent="0.25">
      <c r="A263" s="4"/>
      <c r="B263" s="4"/>
      <c r="C263" s="2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7.25" customHeight="1" x14ac:dyDescent="0.25">
      <c r="A264" s="4"/>
      <c r="B264" s="4"/>
      <c r="C264" s="2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7.25" customHeight="1" x14ac:dyDescent="0.25">
      <c r="A265" s="4"/>
      <c r="B265" s="4"/>
      <c r="C265" s="2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7.25" customHeight="1" x14ac:dyDescent="0.25">
      <c r="A266" s="4"/>
      <c r="B266" s="4"/>
      <c r="C266" s="2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7.25" customHeight="1" x14ac:dyDescent="0.25">
      <c r="A267" s="4"/>
      <c r="B267" s="4"/>
      <c r="C267" s="2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7.25" customHeight="1" x14ac:dyDescent="0.25">
      <c r="A268" s="4"/>
      <c r="B268" s="4"/>
      <c r="C268" s="2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7.25" customHeight="1" x14ac:dyDescent="0.25">
      <c r="A269" s="4"/>
      <c r="B269" s="4"/>
      <c r="C269" s="2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7.25" customHeight="1" x14ac:dyDescent="0.25">
      <c r="A270" s="4"/>
      <c r="B270" s="4"/>
      <c r="C270" s="2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7.25" customHeight="1" x14ac:dyDescent="0.25">
      <c r="A271" s="4"/>
      <c r="B271" s="4"/>
      <c r="C271" s="2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7.25" customHeight="1" x14ac:dyDescent="0.25">
      <c r="A272" s="4"/>
      <c r="B272" s="4"/>
      <c r="C272" s="2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7.25" customHeight="1" x14ac:dyDescent="0.25">
      <c r="A273" s="4"/>
      <c r="B273" s="4"/>
      <c r="C273" s="2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7.25" customHeight="1" x14ac:dyDescent="0.25">
      <c r="A274" s="4"/>
      <c r="B274" s="4"/>
      <c r="C274" s="2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7.25" customHeight="1" x14ac:dyDescent="0.25">
      <c r="A275" s="4"/>
      <c r="B275" s="4"/>
      <c r="C275" s="2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7.25" customHeight="1" x14ac:dyDescent="0.25">
      <c r="A276" s="4"/>
      <c r="B276" s="4"/>
      <c r="C276" s="2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7.25" customHeight="1" x14ac:dyDescent="0.25">
      <c r="A277" s="4"/>
      <c r="B277" s="4"/>
      <c r="C277" s="2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7.25" customHeight="1" x14ac:dyDescent="0.25">
      <c r="A278" s="4"/>
      <c r="B278" s="4"/>
      <c r="C278" s="2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7.25" customHeight="1" x14ac:dyDescent="0.25">
      <c r="A279" s="4"/>
      <c r="B279" s="4"/>
      <c r="C279" s="2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7.25" customHeight="1" x14ac:dyDescent="0.25">
      <c r="A280" s="4"/>
      <c r="B280" s="4"/>
      <c r="C280" s="2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7.25" customHeight="1" x14ac:dyDescent="0.25">
      <c r="A281" s="4"/>
      <c r="B281" s="4"/>
      <c r="C281" s="2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7.25" customHeight="1" x14ac:dyDescent="0.25">
      <c r="A282" s="4"/>
      <c r="B282" s="4"/>
      <c r="C282" s="2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7.25" customHeight="1" x14ac:dyDescent="0.25">
      <c r="A283" s="4"/>
      <c r="B283" s="4"/>
      <c r="C283" s="2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7.25" customHeight="1" x14ac:dyDescent="0.25">
      <c r="A284" s="4"/>
      <c r="B284" s="4"/>
      <c r="C284" s="2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7.25" customHeight="1" x14ac:dyDescent="0.25">
      <c r="A285" s="4"/>
      <c r="B285" s="4"/>
      <c r="C285" s="2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7.25" customHeight="1" x14ac:dyDescent="0.25">
      <c r="A286" s="4"/>
      <c r="B286" s="4"/>
      <c r="C286" s="2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7.25" customHeight="1" x14ac:dyDescent="0.25">
      <c r="A287" s="4"/>
      <c r="B287" s="4"/>
      <c r="C287" s="2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7.25" customHeight="1" x14ac:dyDescent="0.25">
      <c r="A288" s="4"/>
      <c r="B288" s="4"/>
      <c r="C288" s="2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7.25" customHeight="1" x14ac:dyDescent="0.25">
      <c r="A289" s="4"/>
      <c r="B289" s="4"/>
      <c r="C289" s="2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7.25" customHeight="1" x14ac:dyDescent="0.25">
      <c r="A290" s="4"/>
      <c r="B290" s="4"/>
      <c r="C290" s="2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7.25" customHeight="1" x14ac:dyDescent="0.25">
      <c r="A291" s="4"/>
      <c r="B291" s="4"/>
      <c r="C291" s="2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7.25" customHeight="1" x14ac:dyDescent="0.25">
      <c r="A292" s="4"/>
      <c r="B292" s="4"/>
      <c r="C292" s="2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7.25" customHeight="1" x14ac:dyDescent="0.25">
      <c r="A293" s="4"/>
      <c r="B293" s="4"/>
      <c r="C293" s="2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7.25" customHeight="1" x14ac:dyDescent="0.25">
      <c r="A294" s="4"/>
      <c r="B294" s="4"/>
      <c r="C294" s="2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7.25" customHeight="1" x14ac:dyDescent="0.25">
      <c r="A295" s="4"/>
      <c r="B295" s="4"/>
      <c r="C295" s="2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7.25" customHeight="1" x14ac:dyDescent="0.25">
      <c r="A296" s="4"/>
      <c r="B296" s="4"/>
      <c r="C296" s="2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7.25" customHeight="1" x14ac:dyDescent="0.25">
      <c r="A297" s="4"/>
      <c r="B297" s="4"/>
      <c r="C297" s="2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7.25" customHeight="1" x14ac:dyDescent="0.25">
      <c r="A298" s="4"/>
      <c r="B298" s="4"/>
      <c r="C298" s="2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7.25" customHeight="1" x14ac:dyDescent="0.25">
      <c r="A299" s="4"/>
      <c r="B299" s="4"/>
      <c r="C299" s="2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7.25" customHeight="1" x14ac:dyDescent="0.25">
      <c r="A300" s="4"/>
      <c r="B300" s="4"/>
      <c r="C300" s="2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7.25" customHeight="1" x14ac:dyDescent="0.25">
      <c r="A301" s="4"/>
      <c r="B301" s="4"/>
      <c r="C301" s="2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7.25" customHeight="1" x14ac:dyDescent="0.25">
      <c r="A302" s="4"/>
      <c r="B302" s="4"/>
      <c r="C302" s="2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7.25" customHeight="1" x14ac:dyDescent="0.25">
      <c r="A303" s="4"/>
      <c r="B303" s="4"/>
      <c r="C303" s="2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7.25" customHeight="1" x14ac:dyDescent="0.25">
      <c r="A304" s="4"/>
      <c r="B304" s="4"/>
      <c r="C304" s="2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7.25" customHeight="1" x14ac:dyDescent="0.25">
      <c r="A305" s="4"/>
      <c r="B305" s="4"/>
      <c r="C305" s="2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7.25" customHeight="1" x14ac:dyDescent="0.25">
      <c r="A306" s="4"/>
      <c r="B306" s="4"/>
      <c r="C306" s="2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7.25" customHeight="1" x14ac:dyDescent="0.25">
      <c r="A307" s="4"/>
      <c r="B307" s="4"/>
      <c r="C307" s="2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7.25" customHeight="1" x14ac:dyDescent="0.25">
      <c r="A308" s="4"/>
      <c r="B308" s="4"/>
      <c r="C308" s="2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7.25" customHeight="1" x14ac:dyDescent="0.25">
      <c r="A309" s="4"/>
      <c r="B309" s="4"/>
      <c r="C309" s="2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7.25" customHeight="1" x14ac:dyDescent="0.25">
      <c r="A310" s="4"/>
      <c r="B310" s="4"/>
      <c r="C310" s="2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7.25" customHeight="1" x14ac:dyDescent="0.25">
      <c r="A311" s="4"/>
      <c r="B311" s="4"/>
      <c r="C311" s="2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7.25" customHeight="1" x14ac:dyDescent="0.25">
      <c r="A312" s="4"/>
      <c r="B312" s="4"/>
      <c r="C312" s="2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7.25" customHeight="1" x14ac:dyDescent="0.25">
      <c r="A313" s="4"/>
      <c r="B313" s="4"/>
      <c r="C313" s="2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7.25" customHeight="1" x14ac:dyDescent="0.25">
      <c r="A314" s="4"/>
      <c r="B314" s="4"/>
      <c r="C314" s="2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7.25" customHeight="1" x14ac:dyDescent="0.25">
      <c r="A315" s="4"/>
      <c r="B315" s="4"/>
      <c r="C315" s="2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7.25" customHeight="1" x14ac:dyDescent="0.25">
      <c r="A316" s="4"/>
      <c r="B316" s="4"/>
      <c r="C316" s="2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7.25" customHeight="1" x14ac:dyDescent="0.25">
      <c r="A317" s="4"/>
      <c r="B317" s="4"/>
      <c r="C317" s="2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7.25" customHeight="1" x14ac:dyDescent="0.25">
      <c r="A318" s="4"/>
      <c r="B318" s="4"/>
      <c r="C318" s="2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7.25" customHeight="1" x14ac:dyDescent="0.25">
      <c r="A319" s="4"/>
      <c r="B319" s="4"/>
      <c r="C319" s="2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7.25" customHeight="1" x14ac:dyDescent="0.25">
      <c r="A320" s="4"/>
      <c r="B320" s="4"/>
      <c r="C320" s="2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7.25" customHeight="1" x14ac:dyDescent="0.25">
      <c r="A321" s="4"/>
      <c r="B321" s="4"/>
      <c r="C321" s="2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7.25" customHeight="1" x14ac:dyDescent="0.25">
      <c r="A322" s="4"/>
      <c r="B322" s="4"/>
      <c r="C322" s="2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7.25" customHeight="1" x14ac:dyDescent="0.25">
      <c r="A323" s="4"/>
      <c r="B323" s="4"/>
      <c r="C323" s="2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7.25" customHeight="1" x14ac:dyDescent="0.25">
      <c r="A324" s="4"/>
      <c r="B324" s="4"/>
      <c r="C324" s="2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7.25" customHeight="1" x14ac:dyDescent="0.25">
      <c r="A325" s="4"/>
      <c r="B325" s="4"/>
      <c r="C325" s="2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7.25" customHeight="1" x14ac:dyDescent="0.25">
      <c r="A326" s="4"/>
      <c r="B326" s="4"/>
      <c r="C326" s="2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7.25" customHeight="1" x14ac:dyDescent="0.25">
      <c r="A327" s="4"/>
      <c r="B327" s="4"/>
      <c r="C327" s="2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7.25" customHeight="1" x14ac:dyDescent="0.25">
      <c r="A328" s="4"/>
      <c r="B328" s="4"/>
      <c r="C328" s="2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7.25" customHeight="1" x14ac:dyDescent="0.25">
      <c r="A329" s="4"/>
      <c r="B329" s="4"/>
      <c r="C329" s="2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7.25" customHeight="1" x14ac:dyDescent="0.25">
      <c r="A330" s="4"/>
      <c r="B330" s="4"/>
      <c r="C330" s="2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7.25" customHeight="1" x14ac:dyDescent="0.25">
      <c r="A331" s="4"/>
      <c r="B331" s="4"/>
      <c r="C331" s="2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7.25" customHeight="1" x14ac:dyDescent="0.25">
      <c r="A332" s="4"/>
      <c r="B332" s="4"/>
      <c r="C332" s="2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7.25" customHeight="1" x14ac:dyDescent="0.25">
      <c r="A333" s="4"/>
      <c r="B333" s="4"/>
      <c r="C333" s="2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7.25" customHeight="1" x14ac:dyDescent="0.25">
      <c r="A334" s="4"/>
      <c r="B334" s="4"/>
      <c r="C334" s="2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7.25" customHeight="1" x14ac:dyDescent="0.25">
      <c r="A335" s="4"/>
      <c r="B335" s="4"/>
      <c r="C335" s="2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7.25" customHeight="1" x14ac:dyDescent="0.25">
      <c r="A336" s="4"/>
      <c r="B336" s="4"/>
      <c r="C336" s="2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7.25" customHeight="1" x14ac:dyDescent="0.25">
      <c r="A337" s="4"/>
      <c r="B337" s="4"/>
      <c r="C337" s="2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7.25" customHeight="1" x14ac:dyDescent="0.25">
      <c r="A338" s="4"/>
      <c r="B338" s="4"/>
      <c r="C338" s="2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7.25" customHeight="1" x14ac:dyDescent="0.25">
      <c r="A339" s="4"/>
      <c r="B339" s="4"/>
      <c r="C339" s="2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7.25" customHeight="1" x14ac:dyDescent="0.25">
      <c r="A340" s="4"/>
      <c r="B340" s="4"/>
      <c r="C340" s="2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7.25" customHeight="1" x14ac:dyDescent="0.25">
      <c r="A341" s="4"/>
      <c r="B341" s="4"/>
      <c r="C341" s="2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7.25" customHeight="1" x14ac:dyDescent="0.25">
      <c r="A342" s="4"/>
      <c r="B342" s="4"/>
      <c r="C342" s="2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7.25" customHeight="1" x14ac:dyDescent="0.25">
      <c r="A343" s="4"/>
      <c r="B343" s="4"/>
      <c r="C343" s="2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7.25" customHeight="1" x14ac:dyDescent="0.25">
      <c r="A344" s="4"/>
      <c r="B344" s="4"/>
      <c r="C344" s="2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7.25" customHeight="1" x14ac:dyDescent="0.25">
      <c r="A345" s="4"/>
      <c r="B345" s="4"/>
      <c r="C345" s="2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7.25" customHeight="1" x14ac:dyDescent="0.25">
      <c r="A346" s="4"/>
      <c r="B346" s="4"/>
      <c r="C346" s="2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7.25" customHeight="1" x14ac:dyDescent="0.25">
      <c r="A347" s="4"/>
      <c r="B347" s="4"/>
      <c r="C347" s="2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7.25" customHeight="1" x14ac:dyDescent="0.25">
      <c r="A348" s="4"/>
      <c r="B348" s="4"/>
      <c r="C348" s="2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7.25" customHeight="1" x14ac:dyDescent="0.25">
      <c r="A349" s="4"/>
      <c r="B349" s="4"/>
      <c r="C349" s="2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7.25" customHeight="1" x14ac:dyDescent="0.25">
      <c r="A350" s="4"/>
      <c r="B350" s="4"/>
      <c r="C350" s="2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7.25" customHeight="1" x14ac:dyDescent="0.25">
      <c r="A351" s="4"/>
      <c r="B351" s="4"/>
      <c r="C351" s="2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7.25" customHeight="1" x14ac:dyDescent="0.25">
      <c r="A352" s="4"/>
      <c r="B352" s="4"/>
      <c r="C352" s="2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7.25" customHeight="1" x14ac:dyDescent="0.25">
      <c r="A353" s="4"/>
      <c r="B353" s="4"/>
      <c r="C353" s="2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7.25" customHeight="1" x14ac:dyDescent="0.25">
      <c r="A354" s="4"/>
      <c r="B354" s="4"/>
      <c r="C354" s="2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7.25" customHeight="1" x14ac:dyDescent="0.25">
      <c r="A355" s="4"/>
      <c r="B355" s="4"/>
      <c r="C355" s="2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7.25" customHeight="1" x14ac:dyDescent="0.25">
      <c r="A356" s="4"/>
      <c r="B356" s="4"/>
      <c r="C356" s="2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7.25" customHeight="1" x14ac:dyDescent="0.25">
      <c r="A357" s="4"/>
      <c r="B357" s="4"/>
      <c r="C357" s="2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7.25" customHeight="1" x14ac:dyDescent="0.25">
      <c r="A358" s="4"/>
      <c r="B358" s="4"/>
      <c r="C358" s="2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7.25" customHeight="1" x14ac:dyDescent="0.25">
      <c r="A359" s="4"/>
      <c r="B359" s="4"/>
      <c r="C359" s="2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7.25" customHeight="1" x14ac:dyDescent="0.25">
      <c r="A360" s="4"/>
      <c r="B360" s="4"/>
      <c r="C360" s="2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7.25" customHeight="1" x14ac:dyDescent="0.25">
      <c r="A361" s="4"/>
      <c r="B361" s="4"/>
      <c r="C361" s="2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7.25" customHeight="1" x14ac:dyDescent="0.25">
      <c r="A362" s="4"/>
      <c r="B362" s="4"/>
      <c r="C362" s="2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7.25" customHeight="1" x14ac:dyDescent="0.25">
      <c r="A363" s="4"/>
      <c r="B363" s="4"/>
      <c r="C363" s="2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7.25" customHeight="1" x14ac:dyDescent="0.25">
      <c r="A364" s="4"/>
      <c r="B364" s="4"/>
      <c r="C364" s="2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7.25" customHeight="1" x14ac:dyDescent="0.25">
      <c r="A365" s="4"/>
      <c r="B365" s="4"/>
      <c r="C365" s="2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7.25" customHeight="1" x14ac:dyDescent="0.25">
      <c r="A366" s="4"/>
      <c r="B366" s="4"/>
      <c r="C366" s="2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7.25" customHeight="1" x14ac:dyDescent="0.25">
      <c r="A367" s="4"/>
      <c r="B367" s="4"/>
      <c r="C367" s="2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7.25" customHeight="1" x14ac:dyDescent="0.25">
      <c r="A368" s="4"/>
      <c r="B368" s="4"/>
      <c r="C368" s="2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7.25" customHeight="1" x14ac:dyDescent="0.25">
      <c r="A369" s="4"/>
      <c r="B369" s="4"/>
      <c r="C369" s="2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7.25" customHeight="1" x14ac:dyDescent="0.25">
      <c r="A370" s="4"/>
      <c r="B370" s="4"/>
      <c r="C370" s="2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7.25" customHeight="1" x14ac:dyDescent="0.25">
      <c r="A371" s="4"/>
      <c r="B371" s="4"/>
      <c r="C371" s="2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7.25" customHeight="1" x14ac:dyDescent="0.25">
      <c r="A372" s="4"/>
      <c r="B372" s="4"/>
      <c r="C372" s="2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7.25" customHeight="1" x14ac:dyDescent="0.25">
      <c r="A373" s="4"/>
      <c r="B373" s="4"/>
      <c r="C373" s="2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7.25" customHeight="1" x14ac:dyDescent="0.25">
      <c r="A374" s="4"/>
      <c r="B374" s="4"/>
      <c r="C374" s="2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7.25" customHeight="1" x14ac:dyDescent="0.25">
      <c r="A375" s="4"/>
      <c r="B375" s="4"/>
      <c r="C375" s="2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7.25" customHeight="1" x14ac:dyDescent="0.25">
      <c r="A376" s="4"/>
      <c r="B376" s="4"/>
      <c r="C376" s="2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7.25" customHeight="1" x14ac:dyDescent="0.25">
      <c r="A377" s="4"/>
      <c r="B377" s="4"/>
      <c r="C377" s="2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7.25" customHeight="1" x14ac:dyDescent="0.25">
      <c r="A378" s="4"/>
      <c r="B378" s="4"/>
      <c r="C378" s="2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7.25" customHeight="1" x14ac:dyDescent="0.25">
      <c r="A379" s="4"/>
      <c r="B379" s="4"/>
      <c r="C379" s="2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7.25" customHeight="1" x14ac:dyDescent="0.25">
      <c r="A380" s="4"/>
      <c r="B380" s="4"/>
      <c r="C380" s="2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7.25" customHeight="1" x14ac:dyDescent="0.25">
      <c r="A381" s="4"/>
      <c r="B381" s="4"/>
      <c r="C381" s="2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7.25" customHeight="1" x14ac:dyDescent="0.25">
      <c r="A382" s="4"/>
      <c r="B382" s="4"/>
      <c r="C382" s="2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7.25" customHeight="1" x14ac:dyDescent="0.25">
      <c r="A383" s="4"/>
      <c r="B383" s="4"/>
      <c r="C383" s="2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7.25" customHeight="1" x14ac:dyDescent="0.25">
      <c r="A384" s="4"/>
      <c r="B384" s="4"/>
      <c r="C384" s="2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7.25" customHeight="1" x14ac:dyDescent="0.25">
      <c r="A385" s="4"/>
      <c r="B385" s="4"/>
      <c r="C385" s="2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7.25" customHeight="1" x14ac:dyDescent="0.25">
      <c r="A386" s="4"/>
      <c r="B386" s="4"/>
      <c r="C386" s="2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7.25" customHeight="1" x14ac:dyDescent="0.25">
      <c r="A387" s="4"/>
      <c r="B387" s="4"/>
      <c r="C387" s="2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7.25" customHeight="1" x14ac:dyDescent="0.25">
      <c r="A388" s="4"/>
      <c r="B388" s="4"/>
      <c r="C388" s="2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7.25" customHeight="1" x14ac:dyDescent="0.25">
      <c r="A389" s="4"/>
      <c r="B389" s="4"/>
      <c r="C389" s="2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7.25" customHeight="1" x14ac:dyDescent="0.25">
      <c r="A390" s="4"/>
      <c r="B390" s="4"/>
      <c r="C390" s="2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7.25" customHeight="1" x14ac:dyDescent="0.25">
      <c r="A391" s="4"/>
      <c r="B391" s="4"/>
      <c r="C391" s="2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7.25" customHeight="1" x14ac:dyDescent="0.25">
      <c r="A392" s="4"/>
      <c r="B392" s="4"/>
      <c r="C392" s="2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7.25" customHeight="1" x14ac:dyDescent="0.25">
      <c r="A393" s="4"/>
      <c r="B393" s="4"/>
      <c r="C393" s="2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7.25" customHeight="1" x14ac:dyDescent="0.25">
      <c r="A394" s="4"/>
      <c r="B394" s="4"/>
      <c r="C394" s="2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7.25" customHeight="1" x14ac:dyDescent="0.25">
      <c r="A395" s="4"/>
      <c r="B395" s="4"/>
      <c r="C395" s="2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7.25" customHeight="1" x14ac:dyDescent="0.25">
      <c r="A396" s="4"/>
      <c r="B396" s="4"/>
      <c r="C396" s="2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7.25" customHeight="1" x14ac:dyDescent="0.25">
      <c r="A397" s="4"/>
      <c r="B397" s="4"/>
      <c r="C397" s="2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7.25" customHeight="1" x14ac:dyDescent="0.25">
      <c r="A398" s="4"/>
      <c r="B398" s="4"/>
      <c r="C398" s="2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7.25" customHeight="1" x14ac:dyDescent="0.25">
      <c r="A399" s="4"/>
      <c r="B399" s="4"/>
      <c r="C399" s="2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7.25" customHeight="1" x14ac:dyDescent="0.25">
      <c r="A400" s="4"/>
      <c r="B400" s="4"/>
      <c r="C400" s="2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7.25" customHeight="1" x14ac:dyDescent="0.25">
      <c r="A401" s="4"/>
      <c r="B401" s="4"/>
      <c r="C401" s="2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7.25" customHeight="1" x14ac:dyDescent="0.25">
      <c r="A402" s="4"/>
      <c r="B402" s="4"/>
      <c r="C402" s="2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7.25" customHeight="1" x14ac:dyDescent="0.25">
      <c r="A403" s="4"/>
      <c r="B403" s="4"/>
      <c r="C403" s="2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7.25" customHeight="1" x14ac:dyDescent="0.25">
      <c r="A404" s="4"/>
      <c r="B404" s="4"/>
      <c r="C404" s="2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7.25" customHeight="1" x14ac:dyDescent="0.25">
      <c r="A405" s="4"/>
      <c r="B405" s="4"/>
      <c r="C405" s="2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7.25" customHeight="1" x14ac:dyDescent="0.25">
      <c r="A406" s="4"/>
      <c r="B406" s="4"/>
      <c r="C406" s="2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7.25" customHeight="1" x14ac:dyDescent="0.25">
      <c r="A407" s="4"/>
      <c r="B407" s="4"/>
      <c r="C407" s="2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7.25" customHeight="1" x14ac:dyDescent="0.25">
      <c r="A408" s="4"/>
      <c r="B408" s="4"/>
      <c r="C408" s="2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7.25" customHeight="1" x14ac:dyDescent="0.25">
      <c r="A409" s="4"/>
      <c r="B409" s="4"/>
      <c r="C409" s="2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7.25" customHeight="1" x14ac:dyDescent="0.25">
      <c r="A410" s="4"/>
      <c r="B410" s="4"/>
      <c r="C410" s="2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7.25" customHeight="1" x14ac:dyDescent="0.25">
      <c r="A411" s="4"/>
      <c r="B411" s="4"/>
      <c r="C411" s="2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7.25" customHeight="1" x14ac:dyDescent="0.25">
      <c r="A412" s="4"/>
      <c r="B412" s="4"/>
      <c r="C412" s="2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7.25" customHeight="1" x14ac:dyDescent="0.25">
      <c r="A413" s="4"/>
      <c r="B413" s="4"/>
      <c r="C413" s="2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7.25" customHeight="1" x14ac:dyDescent="0.25">
      <c r="A414" s="4"/>
      <c r="B414" s="4"/>
      <c r="C414" s="2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7.25" customHeight="1" x14ac:dyDescent="0.25">
      <c r="A415" s="4"/>
      <c r="B415" s="4"/>
      <c r="C415" s="2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7.25" customHeight="1" x14ac:dyDescent="0.25">
      <c r="A416" s="4"/>
      <c r="B416" s="4"/>
      <c r="C416" s="2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7.25" customHeight="1" x14ac:dyDescent="0.25">
      <c r="A417" s="4"/>
      <c r="B417" s="4"/>
      <c r="C417" s="2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7.25" customHeight="1" x14ac:dyDescent="0.25">
      <c r="A418" s="4"/>
      <c r="B418" s="4"/>
      <c r="C418" s="2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7.25" customHeight="1" x14ac:dyDescent="0.25">
      <c r="A419" s="4"/>
      <c r="B419" s="4"/>
      <c r="C419" s="2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7.25" customHeight="1" x14ac:dyDescent="0.25">
      <c r="A420" s="4"/>
      <c r="B420" s="4"/>
      <c r="C420" s="2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7.25" customHeight="1" x14ac:dyDescent="0.25">
      <c r="A421" s="4"/>
      <c r="B421" s="4"/>
      <c r="C421" s="2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7.25" customHeight="1" x14ac:dyDescent="0.25">
      <c r="A422" s="4"/>
      <c r="B422" s="4"/>
      <c r="C422" s="2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7.25" customHeight="1" x14ac:dyDescent="0.25">
      <c r="A423" s="4"/>
      <c r="B423" s="4"/>
      <c r="C423" s="2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7.25" customHeight="1" x14ac:dyDescent="0.25">
      <c r="A424" s="4"/>
      <c r="B424" s="4"/>
      <c r="C424" s="2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7.25" customHeight="1" x14ac:dyDescent="0.25">
      <c r="A425" s="4"/>
      <c r="B425" s="4"/>
      <c r="C425" s="2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7.25" customHeight="1" x14ac:dyDescent="0.25">
      <c r="A426" s="4"/>
      <c r="B426" s="4"/>
      <c r="C426" s="2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7.25" customHeight="1" x14ac:dyDescent="0.25">
      <c r="A427" s="4"/>
      <c r="B427" s="4"/>
      <c r="C427" s="2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7.25" customHeight="1" x14ac:dyDescent="0.25">
      <c r="A428" s="4"/>
      <c r="B428" s="4"/>
      <c r="C428" s="2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7.25" customHeight="1" x14ac:dyDescent="0.25">
      <c r="A429" s="4"/>
      <c r="B429" s="4"/>
      <c r="C429" s="2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7.25" customHeight="1" x14ac:dyDescent="0.25">
      <c r="A430" s="4"/>
      <c r="B430" s="4"/>
      <c r="C430" s="2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7.25" customHeight="1" x14ac:dyDescent="0.25">
      <c r="A431" s="4"/>
      <c r="B431" s="4"/>
      <c r="C431" s="2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7.25" customHeight="1" x14ac:dyDescent="0.25">
      <c r="A432" s="4"/>
      <c r="B432" s="4"/>
      <c r="C432" s="2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7.25" customHeight="1" x14ac:dyDescent="0.25">
      <c r="A433" s="4"/>
      <c r="B433" s="4"/>
      <c r="C433" s="2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7.25" customHeight="1" x14ac:dyDescent="0.25">
      <c r="A434" s="4"/>
      <c r="B434" s="4"/>
      <c r="C434" s="2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7.25" customHeight="1" x14ac:dyDescent="0.25">
      <c r="A435" s="4"/>
      <c r="B435" s="4"/>
      <c r="C435" s="2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7.25" customHeight="1" x14ac:dyDescent="0.25">
      <c r="A436" s="4"/>
      <c r="B436" s="4"/>
      <c r="C436" s="2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7.25" customHeight="1" x14ac:dyDescent="0.25">
      <c r="A437" s="4"/>
      <c r="B437" s="4"/>
      <c r="C437" s="2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7.25" customHeight="1" x14ac:dyDescent="0.25">
      <c r="A438" s="4"/>
      <c r="B438" s="4"/>
      <c r="C438" s="2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7.25" customHeight="1" x14ac:dyDescent="0.25">
      <c r="A439" s="4"/>
      <c r="B439" s="4"/>
      <c r="C439" s="2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7.25" customHeight="1" x14ac:dyDescent="0.25">
      <c r="A440" s="4"/>
      <c r="B440" s="4"/>
      <c r="C440" s="2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7.25" customHeight="1" x14ac:dyDescent="0.25">
      <c r="A441" s="4"/>
      <c r="B441" s="4"/>
      <c r="C441" s="2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7.25" customHeight="1" x14ac:dyDescent="0.25">
      <c r="A442" s="4"/>
      <c r="B442" s="4"/>
      <c r="C442" s="2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7.25" customHeight="1" x14ac:dyDescent="0.25">
      <c r="A443" s="4"/>
      <c r="B443" s="4"/>
      <c r="C443" s="2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7.25" customHeight="1" x14ac:dyDescent="0.25">
      <c r="A444" s="4"/>
      <c r="B444" s="4"/>
      <c r="C444" s="2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7.25" customHeight="1" x14ac:dyDescent="0.25">
      <c r="A445" s="4"/>
      <c r="B445" s="4"/>
      <c r="C445" s="2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7.25" customHeight="1" x14ac:dyDescent="0.25">
      <c r="A446" s="4"/>
      <c r="B446" s="4"/>
      <c r="C446" s="2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7.25" customHeight="1" x14ac:dyDescent="0.25">
      <c r="A447" s="4"/>
      <c r="B447" s="4"/>
      <c r="C447" s="2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7.25" customHeight="1" x14ac:dyDescent="0.25">
      <c r="A448" s="4"/>
      <c r="B448" s="4"/>
      <c r="C448" s="2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7.25" customHeight="1" x14ac:dyDescent="0.25">
      <c r="A449" s="4"/>
      <c r="B449" s="4"/>
      <c r="C449" s="2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7.25" customHeight="1" x14ac:dyDescent="0.25">
      <c r="A450" s="4"/>
      <c r="B450" s="4"/>
      <c r="C450" s="2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7.25" customHeight="1" x14ac:dyDescent="0.25">
      <c r="A451" s="4"/>
      <c r="B451" s="4"/>
      <c r="C451" s="2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7.25" customHeight="1" x14ac:dyDescent="0.25">
      <c r="A452" s="4"/>
      <c r="B452" s="4"/>
      <c r="C452" s="2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7.25" customHeight="1" x14ac:dyDescent="0.25">
      <c r="A453" s="4"/>
      <c r="B453" s="4"/>
      <c r="C453" s="2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7.25" customHeight="1" x14ac:dyDescent="0.25">
      <c r="A454" s="4"/>
      <c r="B454" s="4"/>
      <c r="C454" s="2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7.25" customHeight="1" x14ac:dyDescent="0.25">
      <c r="A455" s="4"/>
      <c r="B455" s="4"/>
      <c r="C455" s="2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7.25" customHeight="1" x14ac:dyDescent="0.25">
      <c r="A456" s="4"/>
      <c r="B456" s="4"/>
      <c r="C456" s="2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7.25" customHeight="1" x14ac:dyDescent="0.25">
      <c r="A457" s="4"/>
      <c r="B457" s="4"/>
      <c r="C457" s="2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7.25" customHeight="1" x14ac:dyDescent="0.25">
      <c r="A458" s="4"/>
      <c r="B458" s="4"/>
      <c r="C458" s="2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7.25" customHeight="1" x14ac:dyDescent="0.25">
      <c r="A459" s="4"/>
      <c r="B459" s="4"/>
      <c r="C459" s="2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7.25" customHeight="1" x14ac:dyDescent="0.25">
      <c r="A460" s="4"/>
      <c r="B460" s="4"/>
      <c r="C460" s="2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7.25" customHeight="1" x14ac:dyDescent="0.25">
      <c r="A461" s="4"/>
      <c r="B461" s="4"/>
      <c r="C461" s="2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7.25" customHeight="1" x14ac:dyDescent="0.25">
      <c r="A462" s="4"/>
      <c r="B462" s="4"/>
      <c r="C462" s="2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7.25" customHeight="1" x14ac:dyDescent="0.25">
      <c r="A463" s="4"/>
      <c r="B463" s="4"/>
      <c r="C463" s="2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7.25" customHeight="1" x14ac:dyDescent="0.25">
      <c r="A464" s="4"/>
      <c r="B464" s="4"/>
      <c r="C464" s="2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7.25" customHeight="1" x14ac:dyDescent="0.25">
      <c r="A465" s="4"/>
      <c r="B465" s="4"/>
      <c r="C465" s="2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7.25" customHeight="1" x14ac:dyDescent="0.25">
      <c r="A466" s="4"/>
      <c r="B466" s="4"/>
      <c r="C466" s="2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7.25" customHeight="1" x14ac:dyDescent="0.25">
      <c r="A467" s="4"/>
      <c r="B467" s="4"/>
      <c r="C467" s="2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7.25" customHeight="1" x14ac:dyDescent="0.25">
      <c r="A468" s="4"/>
      <c r="B468" s="4"/>
      <c r="C468" s="2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7.25" customHeight="1" x14ac:dyDescent="0.25">
      <c r="A469" s="4"/>
      <c r="B469" s="4"/>
      <c r="C469" s="2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7.25" customHeight="1" x14ac:dyDescent="0.25">
      <c r="A470" s="4"/>
      <c r="B470" s="4"/>
      <c r="C470" s="2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7.25" customHeight="1" x14ac:dyDescent="0.25">
      <c r="A471" s="4"/>
      <c r="B471" s="4"/>
      <c r="C471" s="2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7.25" customHeight="1" x14ac:dyDescent="0.25">
      <c r="A472" s="4"/>
      <c r="B472" s="4"/>
      <c r="C472" s="2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7.25" customHeight="1" x14ac:dyDescent="0.25">
      <c r="A473" s="4"/>
      <c r="B473" s="4"/>
      <c r="C473" s="2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7.25" customHeight="1" x14ac:dyDescent="0.25">
      <c r="A474" s="4"/>
      <c r="B474" s="4"/>
      <c r="C474" s="2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7.25" customHeight="1" x14ac:dyDescent="0.25">
      <c r="A475" s="4"/>
      <c r="B475" s="4"/>
      <c r="C475" s="2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7.25" customHeight="1" x14ac:dyDescent="0.25">
      <c r="A476" s="4"/>
      <c r="B476" s="4"/>
      <c r="C476" s="2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7.25" customHeight="1" x14ac:dyDescent="0.25">
      <c r="A477" s="4"/>
      <c r="B477" s="4"/>
      <c r="C477" s="2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7.25" customHeight="1" x14ac:dyDescent="0.25">
      <c r="A478" s="4"/>
      <c r="B478" s="4"/>
      <c r="C478" s="2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7.25" customHeight="1" x14ac:dyDescent="0.25">
      <c r="A479" s="4"/>
      <c r="B479" s="4"/>
      <c r="C479" s="2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7.25" customHeight="1" x14ac:dyDescent="0.25">
      <c r="A480" s="4"/>
      <c r="B480" s="4"/>
      <c r="C480" s="2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7.25" customHeight="1" x14ac:dyDescent="0.25">
      <c r="A481" s="4"/>
      <c r="B481" s="4"/>
      <c r="C481" s="2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7.25" customHeight="1" x14ac:dyDescent="0.25">
      <c r="A482" s="4"/>
      <c r="B482" s="4"/>
      <c r="C482" s="2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7.25" customHeight="1" x14ac:dyDescent="0.25">
      <c r="A483" s="4"/>
      <c r="B483" s="4"/>
      <c r="C483" s="2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7.25" customHeight="1" x14ac:dyDescent="0.25">
      <c r="A484" s="4"/>
      <c r="B484" s="4"/>
      <c r="C484" s="2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7.25" customHeight="1" x14ac:dyDescent="0.25">
      <c r="A485" s="4"/>
      <c r="B485" s="4"/>
      <c r="C485" s="2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7.25" customHeight="1" x14ac:dyDescent="0.25">
      <c r="A486" s="4"/>
      <c r="B486" s="4"/>
      <c r="C486" s="2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7.25" customHeight="1" x14ac:dyDescent="0.25">
      <c r="A487" s="4"/>
      <c r="B487" s="4"/>
      <c r="C487" s="2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7.25" customHeight="1" x14ac:dyDescent="0.25">
      <c r="A488" s="4"/>
      <c r="B488" s="4"/>
      <c r="C488" s="2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7.25" customHeight="1" x14ac:dyDescent="0.25">
      <c r="A489" s="4"/>
      <c r="B489" s="4"/>
      <c r="C489" s="2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7.25" customHeight="1" x14ac:dyDescent="0.25">
      <c r="A490" s="4"/>
      <c r="B490" s="4"/>
      <c r="C490" s="2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7.25" customHeight="1" x14ac:dyDescent="0.25">
      <c r="A491" s="4"/>
      <c r="B491" s="4"/>
      <c r="C491" s="2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7.25" customHeight="1" x14ac:dyDescent="0.25">
      <c r="A492" s="4"/>
      <c r="B492" s="4"/>
      <c r="C492" s="2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7.25" customHeight="1" x14ac:dyDescent="0.25">
      <c r="A493" s="4"/>
      <c r="B493" s="4"/>
      <c r="C493" s="2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7.25" customHeight="1" x14ac:dyDescent="0.25">
      <c r="A494" s="4"/>
      <c r="B494" s="4"/>
      <c r="C494" s="2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7.25" customHeight="1" x14ac:dyDescent="0.25">
      <c r="A495" s="4"/>
      <c r="B495" s="4"/>
      <c r="C495" s="2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7.25" customHeight="1" x14ac:dyDescent="0.25">
      <c r="A496" s="4"/>
      <c r="B496" s="4"/>
      <c r="C496" s="2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7.25" customHeight="1" x14ac:dyDescent="0.25">
      <c r="A497" s="4"/>
      <c r="B497" s="4"/>
      <c r="C497" s="2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7.25" customHeight="1" x14ac:dyDescent="0.25">
      <c r="A498" s="4"/>
      <c r="B498" s="4"/>
      <c r="C498" s="2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7.25" customHeight="1" x14ac:dyDescent="0.25">
      <c r="A499" s="4"/>
      <c r="B499" s="4"/>
      <c r="C499" s="2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7.25" customHeight="1" x14ac:dyDescent="0.25">
      <c r="A500" s="4"/>
      <c r="B500" s="4"/>
      <c r="C500" s="2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7.25" customHeight="1" x14ac:dyDescent="0.25">
      <c r="A501" s="4"/>
      <c r="B501" s="4"/>
      <c r="C501" s="2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7.25" customHeight="1" x14ac:dyDescent="0.25">
      <c r="A502" s="4"/>
      <c r="B502" s="4"/>
      <c r="C502" s="2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7.25" customHeight="1" x14ac:dyDescent="0.25">
      <c r="A503" s="4"/>
      <c r="B503" s="4"/>
      <c r="C503" s="2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7.25" customHeight="1" x14ac:dyDescent="0.25">
      <c r="A504" s="4"/>
      <c r="B504" s="4"/>
      <c r="C504" s="2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7.25" customHeight="1" x14ac:dyDescent="0.25">
      <c r="A505" s="4"/>
      <c r="B505" s="4"/>
      <c r="C505" s="2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7.25" customHeight="1" x14ac:dyDescent="0.25">
      <c r="A506" s="4"/>
      <c r="B506" s="4"/>
      <c r="C506" s="2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7.25" customHeight="1" x14ac:dyDescent="0.25">
      <c r="A507" s="4"/>
      <c r="B507" s="4"/>
      <c r="C507" s="2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7.25" customHeight="1" x14ac:dyDescent="0.25">
      <c r="A508" s="4"/>
      <c r="B508" s="4"/>
      <c r="C508" s="2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7.25" customHeight="1" x14ac:dyDescent="0.25">
      <c r="A509" s="4"/>
      <c r="B509" s="4"/>
      <c r="C509" s="2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7.25" customHeight="1" x14ac:dyDescent="0.25">
      <c r="A510" s="4"/>
      <c r="B510" s="4"/>
      <c r="C510" s="2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7.25" customHeight="1" x14ac:dyDescent="0.25">
      <c r="A511" s="4"/>
      <c r="B511" s="4"/>
      <c r="C511" s="2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7.25" customHeight="1" x14ac:dyDescent="0.25">
      <c r="A512" s="4"/>
      <c r="B512" s="4"/>
      <c r="C512" s="2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7.25" customHeight="1" x14ac:dyDescent="0.25">
      <c r="A513" s="4"/>
      <c r="B513" s="4"/>
      <c r="C513" s="2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7.25" customHeight="1" x14ac:dyDescent="0.25">
      <c r="A514" s="4"/>
      <c r="B514" s="4"/>
      <c r="C514" s="2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7.25" customHeight="1" x14ac:dyDescent="0.25">
      <c r="A515" s="4"/>
      <c r="B515" s="4"/>
      <c r="C515" s="2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7.25" customHeight="1" x14ac:dyDescent="0.25">
      <c r="A516" s="4"/>
      <c r="B516" s="4"/>
      <c r="C516" s="2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7.25" customHeight="1" x14ac:dyDescent="0.25">
      <c r="A517" s="4"/>
      <c r="B517" s="4"/>
      <c r="C517" s="2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7.25" customHeight="1" x14ac:dyDescent="0.25">
      <c r="A518" s="4"/>
      <c r="B518" s="4"/>
      <c r="C518" s="2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7.25" customHeight="1" x14ac:dyDescent="0.25">
      <c r="A519" s="4"/>
      <c r="B519" s="4"/>
      <c r="C519" s="2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7.25" customHeight="1" x14ac:dyDescent="0.25">
      <c r="A520" s="4"/>
      <c r="B520" s="4"/>
      <c r="C520" s="2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7.25" customHeight="1" x14ac:dyDescent="0.25">
      <c r="A521" s="4"/>
      <c r="B521" s="4"/>
      <c r="C521" s="2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7.25" customHeight="1" x14ac:dyDescent="0.25">
      <c r="A522" s="4"/>
      <c r="B522" s="4"/>
      <c r="C522" s="2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7.25" customHeight="1" x14ac:dyDescent="0.25">
      <c r="A523" s="4"/>
      <c r="B523" s="4"/>
      <c r="C523" s="2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7.25" customHeight="1" x14ac:dyDescent="0.25">
      <c r="A524" s="4"/>
      <c r="B524" s="4"/>
      <c r="C524" s="2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7.25" customHeight="1" x14ac:dyDescent="0.25">
      <c r="A525" s="4"/>
      <c r="B525" s="4"/>
      <c r="C525" s="2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7.25" customHeight="1" x14ac:dyDescent="0.25">
      <c r="A526" s="4"/>
      <c r="B526" s="4"/>
      <c r="C526" s="2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7.25" customHeight="1" x14ac:dyDescent="0.25">
      <c r="A527" s="4"/>
      <c r="B527" s="4"/>
      <c r="C527" s="2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7.25" customHeight="1" x14ac:dyDescent="0.25">
      <c r="A528" s="4"/>
      <c r="B528" s="4"/>
      <c r="C528" s="2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7.25" customHeight="1" x14ac:dyDescent="0.25">
      <c r="A529" s="4"/>
      <c r="B529" s="4"/>
      <c r="C529" s="2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7.25" customHeight="1" x14ac:dyDescent="0.25">
      <c r="A530" s="4"/>
      <c r="B530" s="4"/>
      <c r="C530" s="2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7.25" customHeight="1" x14ac:dyDescent="0.25">
      <c r="A531" s="4"/>
      <c r="B531" s="4"/>
      <c r="C531" s="2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7.25" customHeight="1" x14ac:dyDescent="0.25">
      <c r="A532" s="4"/>
      <c r="B532" s="4"/>
      <c r="C532" s="2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7.25" customHeight="1" x14ac:dyDescent="0.25">
      <c r="A533" s="4"/>
      <c r="B533" s="4"/>
      <c r="C533" s="2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7.25" customHeight="1" x14ac:dyDescent="0.25">
      <c r="A534" s="4"/>
      <c r="B534" s="4"/>
      <c r="C534" s="2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7.25" customHeight="1" x14ac:dyDescent="0.25">
      <c r="A535" s="4"/>
      <c r="B535" s="4"/>
      <c r="C535" s="2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7.25" customHeight="1" x14ac:dyDescent="0.25">
      <c r="A536" s="4"/>
      <c r="B536" s="4"/>
      <c r="C536" s="2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7.25" customHeight="1" x14ac:dyDescent="0.25">
      <c r="A537" s="4"/>
      <c r="B537" s="4"/>
      <c r="C537" s="2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7.25" customHeight="1" x14ac:dyDescent="0.25">
      <c r="A538" s="4"/>
      <c r="B538" s="4"/>
      <c r="C538" s="2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7.25" customHeight="1" x14ac:dyDescent="0.25">
      <c r="A539" s="4"/>
      <c r="B539" s="4"/>
      <c r="C539" s="2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7.25" customHeight="1" x14ac:dyDescent="0.25">
      <c r="A540" s="4"/>
      <c r="B540" s="4"/>
      <c r="C540" s="2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7.25" customHeight="1" x14ac:dyDescent="0.25">
      <c r="A541" s="4"/>
      <c r="B541" s="4"/>
      <c r="C541" s="2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7.25" customHeight="1" x14ac:dyDescent="0.25">
      <c r="A542" s="4"/>
      <c r="B542" s="4"/>
      <c r="C542" s="2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7.25" customHeight="1" x14ac:dyDescent="0.25">
      <c r="A543" s="4"/>
      <c r="B543" s="4"/>
      <c r="C543" s="2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7.25" customHeight="1" x14ac:dyDescent="0.25">
      <c r="A544" s="4"/>
      <c r="B544" s="4"/>
      <c r="C544" s="2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7.25" customHeight="1" x14ac:dyDescent="0.25">
      <c r="A545" s="4"/>
      <c r="B545" s="4"/>
      <c r="C545" s="2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7.25" customHeight="1" x14ac:dyDescent="0.25">
      <c r="A546" s="4"/>
      <c r="B546" s="4"/>
      <c r="C546" s="2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7.25" customHeight="1" x14ac:dyDescent="0.25">
      <c r="A547" s="4"/>
      <c r="B547" s="4"/>
      <c r="C547" s="2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7.25" customHeight="1" x14ac:dyDescent="0.25">
      <c r="A548" s="4"/>
      <c r="B548" s="4"/>
      <c r="C548" s="2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7.25" customHeight="1" x14ac:dyDescent="0.25">
      <c r="A549" s="4"/>
      <c r="B549" s="4"/>
      <c r="C549" s="2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7.25" customHeight="1" x14ac:dyDescent="0.25">
      <c r="A550" s="4"/>
      <c r="B550" s="4"/>
      <c r="C550" s="2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7.25" customHeight="1" x14ac:dyDescent="0.25">
      <c r="A551" s="4"/>
      <c r="B551" s="4"/>
      <c r="C551" s="2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7.25" customHeight="1" x14ac:dyDescent="0.25">
      <c r="A552" s="4"/>
      <c r="B552" s="4"/>
      <c r="C552" s="2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7.25" customHeight="1" x14ac:dyDescent="0.25">
      <c r="A553" s="4"/>
      <c r="B553" s="4"/>
      <c r="C553" s="2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7.25" customHeight="1" x14ac:dyDescent="0.25">
      <c r="A554" s="4"/>
      <c r="B554" s="4"/>
      <c r="C554" s="2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7.25" customHeight="1" x14ac:dyDescent="0.25">
      <c r="A555" s="4"/>
      <c r="B555" s="4"/>
      <c r="C555" s="2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7.25" customHeight="1" x14ac:dyDescent="0.25">
      <c r="A556" s="4"/>
      <c r="B556" s="4"/>
      <c r="C556" s="2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7.25" customHeight="1" x14ac:dyDescent="0.25">
      <c r="A557" s="4"/>
      <c r="B557" s="4"/>
      <c r="C557" s="2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7.25" customHeight="1" x14ac:dyDescent="0.25">
      <c r="A558" s="4"/>
      <c r="B558" s="4"/>
      <c r="C558" s="2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7.25" customHeight="1" x14ac:dyDescent="0.25">
      <c r="A559" s="4"/>
      <c r="B559" s="4"/>
      <c r="C559" s="2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7.25" customHeight="1" x14ac:dyDescent="0.25">
      <c r="A560" s="4"/>
      <c r="B560" s="4"/>
      <c r="C560" s="2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7.25" customHeight="1" x14ac:dyDescent="0.25">
      <c r="A561" s="4"/>
      <c r="B561" s="4"/>
      <c r="C561" s="2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7.25" customHeight="1" x14ac:dyDescent="0.25">
      <c r="A562" s="4"/>
      <c r="B562" s="4"/>
      <c r="C562" s="2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7.25" customHeight="1" x14ac:dyDescent="0.25">
      <c r="A563" s="4"/>
      <c r="B563" s="4"/>
      <c r="C563" s="2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7.25" customHeight="1" x14ac:dyDescent="0.25">
      <c r="A564" s="4"/>
      <c r="B564" s="4"/>
      <c r="C564" s="2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7.25" customHeight="1" x14ac:dyDescent="0.25">
      <c r="A565" s="4"/>
      <c r="B565" s="4"/>
      <c r="C565" s="2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7.25" customHeight="1" x14ac:dyDescent="0.25">
      <c r="A566" s="4"/>
      <c r="B566" s="4"/>
      <c r="C566" s="2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7.25" customHeight="1" x14ac:dyDescent="0.25">
      <c r="A567" s="4"/>
      <c r="B567" s="4"/>
      <c r="C567" s="2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7.25" customHeight="1" x14ac:dyDescent="0.25">
      <c r="A568" s="4"/>
      <c r="B568" s="4"/>
      <c r="C568" s="2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7.25" customHeight="1" x14ac:dyDescent="0.25">
      <c r="A569" s="4"/>
      <c r="B569" s="4"/>
      <c r="C569" s="2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7.25" customHeight="1" x14ac:dyDescent="0.25">
      <c r="A570" s="4"/>
      <c r="B570" s="4"/>
      <c r="C570" s="2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7.25" customHeight="1" x14ac:dyDescent="0.25">
      <c r="A571" s="4"/>
      <c r="B571" s="4"/>
      <c r="C571" s="2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7.25" customHeight="1" x14ac:dyDescent="0.25">
      <c r="A572" s="4"/>
      <c r="B572" s="4"/>
      <c r="C572" s="2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7.25" customHeight="1" x14ac:dyDescent="0.25">
      <c r="A573" s="4"/>
      <c r="B573" s="4"/>
      <c r="C573" s="2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7.25" customHeight="1" x14ac:dyDescent="0.25">
      <c r="A574" s="4"/>
      <c r="B574" s="4"/>
      <c r="C574" s="2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7.25" customHeight="1" x14ac:dyDescent="0.25">
      <c r="A575" s="4"/>
      <c r="B575" s="4"/>
      <c r="C575" s="2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7.25" customHeight="1" x14ac:dyDescent="0.25">
      <c r="A576" s="4"/>
      <c r="B576" s="4"/>
      <c r="C576" s="2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7.25" customHeight="1" x14ac:dyDescent="0.25">
      <c r="A577" s="4"/>
      <c r="B577" s="4"/>
      <c r="C577" s="2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7.25" customHeight="1" x14ac:dyDescent="0.25">
      <c r="A578" s="4"/>
      <c r="B578" s="4"/>
      <c r="C578" s="2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7.25" customHeight="1" x14ac:dyDescent="0.25">
      <c r="A579" s="4"/>
      <c r="B579" s="4"/>
      <c r="C579" s="2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7.25" customHeight="1" x14ac:dyDescent="0.25">
      <c r="A580" s="4"/>
      <c r="B580" s="4"/>
      <c r="C580" s="2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7.25" customHeight="1" x14ac:dyDescent="0.25">
      <c r="A581" s="4"/>
      <c r="B581" s="4"/>
      <c r="C581" s="2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7.25" customHeight="1" x14ac:dyDescent="0.25">
      <c r="A582" s="4"/>
      <c r="B582" s="4"/>
      <c r="C582" s="2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7.25" customHeight="1" x14ac:dyDescent="0.25">
      <c r="A583" s="4"/>
      <c r="B583" s="4"/>
      <c r="C583" s="2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7.25" customHeight="1" x14ac:dyDescent="0.25">
      <c r="A584" s="4"/>
      <c r="B584" s="4"/>
      <c r="C584" s="2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7.25" customHeight="1" x14ac:dyDescent="0.25">
      <c r="A585" s="4"/>
      <c r="B585" s="4"/>
      <c r="C585" s="2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7.25" customHeight="1" x14ac:dyDescent="0.25">
      <c r="A586" s="4"/>
      <c r="B586" s="4"/>
      <c r="C586" s="2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7.25" customHeight="1" x14ac:dyDescent="0.25">
      <c r="A587" s="4"/>
      <c r="B587" s="4"/>
      <c r="C587" s="2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7.25" customHeight="1" x14ac:dyDescent="0.25">
      <c r="A588" s="4"/>
      <c r="B588" s="4"/>
      <c r="C588" s="2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7.25" customHeight="1" x14ac:dyDescent="0.25">
      <c r="A589" s="4"/>
      <c r="B589" s="4"/>
      <c r="C589" s="2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7.25" customHeight="1" x14ac:dyDescent="0.25">
      <c r="A590" s="4"/>
      <c r="B590" s="4"/>
      <c r="C590" s="2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7.25" customHeight="1" x14ac:dyDescent="0.25">
      <c r="A591" s="4"/>
      <c r="B591" s="4"/>
      <c r="C591" s="2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7.25" customHeight="1" x14ac:dyDescent="0.25">
      <c r="A592" s="4"/>
      <c r="B592" s="4"/>
      <c r="C592" s="2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7.25" customHeight="1" x14ac:dyDescent="0.25">
      <c r="A593" s="4"/>
      <c r="B593" s="4"/>
      <c r="C593" s="2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7.25" customHeight="1" x14ac:dyDescent="0.25">
      <c r="A594" s="4"/>
      <c r="B594" s="4"/>
      <c r="C594" s="2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7.25" customHeight="1" x14ac:dyDescent="0.25">
      <c r="A595" s="4"/>
      <c r="B595" s="4"/>
      <c r="C595" s="2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7.25" customHeight="1" x14ac:dyDescent="0.25">
      <c r="A596" s="4"/>
      <c r="B596" s="4"/>
      <c r="C596" s="2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7.25" customHeight="1" x14ac:dyDescent="0.25">
      <c r="A597" s="4"/>
      <c r="B597" s="4"/>
      <c r="C597" s="2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7.25" customHeight="1" x14ac:dyDescent="0.25">
      <c r="A598" s="4"/>
      <c r="B598" s="4"/>
      <c r="C598" s="2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7.25" customHeight="1" x14ac:dyDescent="0.25">
      <c r="A599" s="4"/>
      <c r="B599" s="4"/>
      <c r="C599" s="2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7.25" customHeight="1" x14ac:dyDescent="0.25">
      <c r="A600" s="4"/>
      <c r="B600" s="4"/>
      <c r="C600" s="2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7.25" customHeight="1" x14ac:dyDescent="0.25">
      <c r="A601" s="4"/>
      <c r="B601" s="4"/>
      <c r="C601" s="2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7.25" customHeight="1" x14ac:dyDescent="0.25">
      <c r="A602" s="4"/>
      <c r="B602" s="4"/>
      <c r="C602" s="2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7.25" customHeight="1" x14ac:dyDescent="0.25">
      <c r="A603" s="4"/>
      <c r="B603" s="4"/>
      <c r="C603" s="2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7.25" customHeight="1" x14ac:dyDescent="0.25">
      <c r="A604" s="4"/>
      <c r="B604" s="4"/>
      <c r="C604" s="2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7.25" customHeight="1" x14ac:dyDescent="0.25">
      <c r="A605" s="4"/>
      <c r="B605" s="4"/>
      <c r="C605" s="2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7.25" customHeight="1" x14ac:dyDescent="0.25">
      <c r="A606" s="4"/>
      <c r="B606" s="4"/>
      <c r="C606" s="2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7.25" customHeight="1" x14ac:dyDescent="0.25">
      <c r="A607" s="4"/>
      <c r="B607" s="4"/>
      <c r="C607" s="2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7.25" customHeight="1" x14ac:dyDescent="0.25">
      <c r="A608" s="4"/>
      <c r="B608" s="4"/>
      <c r="C608" s="2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7.25" customHeight="1" x14ac:dyDescent="0.25">
      <c r="A609" s="4"/>
      <c r="B609" s="4"/>
      <c r="C609" s="2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7.25" customHeight="1" x14ac:dyDescent="0.25">
      <c r="A610" s="4"/>
      <c r="B610" s="4"/>
      <c r="C610" s="2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7.25" customHeight="1" x14ac:dyDescent="0.25">
      <c r="A611" s="4"/>
      <c r="B611" s="4"/>
      <c r="C611" s="2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7.25" customHeight="1" x14ac:dyDescent="0.25">
      <c r="A612" s="4"/>
      <c r="B612" s="4"/>
      <c r="C612" s="2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7.25" customHeight="1" x14ac:dyDescent="0.25">
      <c r="A613" s="4"/>
      <c r="B613" s="4"/>
      <c r="C613" s="2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7.25" customHeight="1" x14ac:dyDescent="0.25">
      <c r="A614" s="4"/>
      <c r="B614" s="4"/>
      <c r="C614" s="2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7.25" customHeight="1" x14ac:dyDescent="0.25">
      <c r="A615" s="4"/>
      <c r="B615" s="4"/>
      <c r="C615" s="2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7.25" customHeight="1" x14ac:dyDescent="0.25">
      <c r="A616" s="4"/>
      <c r="B616" s="4"/>
      <c r="C616" s="2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7.25" customHeight="1" x14ac:dyDescent="0.25">
      <c r="A617" s="4"/>
      <c r="B617" s="4"/>
      <c r="C617" s="2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7.25" customHeight="1" x14ac:dyDescent="0.25">
      <c r="A618" s="4"/>
      <c r="B618" s="4"/>
      <c r="C618" s="2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7.25" customHeight="1" x14ac:dyDescent="0.25">
      <c r="A619" s="4"/>
      <c r="B619" s="4"/>
      <c r="C619" s="2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7.25" customHeight="1" x14ac:dyDescent="0.25">
      <c r="A620" s="4"/>
      <c r="B620" s="4"/>
      <c r="C620" s="2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7.25" customHeight="1" x14ac:dyDescent="0.25">
      <c r="A621" s="4"/>
      <c r="B621" s="4"/>
      <c r="C621" s="2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7.25" customHeight="1" x14ac:dyDescent="0.25">
      <c r="A622" s="4"/>
      <c r="B622" s="4"/>
      <c r="C622" s="2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7.25" customHeight="1" x14ac:dyDescent="0.25">
      <c r="A623" s="4"/>
      <c r="B623" s="4"/>
      <c r="C623" s="2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7.25" customHeight="1" x14ac:dyDescent="0.25">
      <c r="A624" s="4"/>
      <c r="B624" s="4"/>
      <c r="C624" s="2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7.25" customHeight="1" x14ac:dyDescent="0.25">
      <c r="A625" s="4"/>
      <c r="B625" s="4"/>
      <c r="C625" s="2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7.25" customHeight="1" x14ac:dyDescent="0.25">
      <c r="A626" s="4"/>
      <c r="B626" s="4"/>
      <c r="C626" s="2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7.25" customHeight="1" x14ac:dyDescent="0.25">
      <c r="A627" s="4"/>
      <c r="B627" s="4"/>
      <c r="C627" s="2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7.25" customHeight="1" x14ac:dyDescent="0.25">
      <c r="A628" s="4"/>
      <c r="B628" s="4"/>
      <c r="C628" s="2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7.25" customHeight="1" x14ac:dyDescent="0.25">
      <c r="A629" s="4"/>
      <c r="B629" s="4"/>
      <c r="C629" s="2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7.25" customHeight="1" x14ac:dyDescent="0.25">
      <c r="A630" s="4"/>
      <c r="B630" s="4"/>
      <c r="C630" s="2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7.25" customHeight="1" x14ac:dyDescent="0.25">
      <c r="A631" s="4"/>
      <c r="B631" s="4"/>
      <c r="C631" s="2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7.25" customHeight="1" x14ac:dyDescent="0.25">
      <c r="A632" s="4"/>
      <c r="B632" s="4"/>
      <c r="C632" s="2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7.25" customHeight="1" x14ac:dyDescent="0.25">
      <c r="A633" s="4"/>
      <c r="B633" s="4"/>
      <c r="C633" s="2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7.25" customHeight="1" x14ac:dyDescent="0.25">
      <c r="A634" s="4"/>
      <c r="B634" s="4"/>
      <c r="C634" s="2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7.25" customHeight="1" x14ac:dyDescent="0.25">
      <c r="A635" s="4"/>
      <c r="B635" s="4"/>
      <c r="C635" s="2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7.25" customHeight="1" x14ac:dyDescent="0.25">
      <c r="A636" s="4"/>
      <c r="B636" s="4"/>
      <c r="C636" s="2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7.25" customHeight="1" x14ac:dyDescent="0.25">
      <c r="A637" s="4"/>
      <c r="B637" s="4"/>
      <c r="C637" s="2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7.25" customHeight="1" x14ac:dyDescent="0.25">
      <c r="A638" s="4"/>
      <c r="B638" s="4"/>
      <c r="C638" s="2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7.25" customHeight="1" x14ac:dyDescent="0.25">
      <c r="A639" s="4"/>
      <c r="B639" s="4"/>
      <c r="C639" s="2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7.25" customHeight="1" x14ac:dyDescent="0.25">
      <c r="A640" s="4"/>
      <c r="B640" s="4"/>
      <c r="C640" s="2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7.25" customHeight="1" x14ac:dyDescent="0.25">
      <c r="A641" s="4"/>
      <c r="B641" s="4"/>
      <c r="C641" s="2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7.25" customHeight="1" x14ac:dyDescent="0.25">
      <c r="A642" s="4"/>
      <c r="B642" s="4"/>
      <c r="C642" s="2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7.25" customHeight="1" x14ac:dyDescent="0.25">
      <c r="A643" s="4"/>
      <c r="B643" s="4"/>
      <c r="C643" s="2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7.25" customHeight="1" x14ac:dyDescent="0.25">
      <c r="A644" s="4"/>
      <c r="B644" s="4"/>
      <c r="C644" s="2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7.25" customHeight="1" x14ac:dyDescent="0.25">
      <c r="A645" s="4"/>
      <c r="B645" s="4"/>
      <c r="C645" s="2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7.25" customHeight="1" x14ac:dyDescent="0.25">
      <c r="A646" s="4"/>
      <c r="B646" s="4"/>
      <c r="C646" s="2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7.25" customHeight="1" x14ac:dyDescent="0.25">
      <c r="A647" s="4"/>
      <c r="B647" s="4"/>
      <c r="C647" s="2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7.25" customHeight="1" x14ac:dyDescent="0.25">
      <c r="A648" s="4"/>
      <c r="B648" s="4"/>
      <c r="C648" s="2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7.25" customHeight="1" x14ac:dyDescent="0.25">
      <c r="A649" s="4"/>
      <c r="B649" s="4"/>
      <c r="C649" s="2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7.25" customHeight="1" x14ac:dyDescent="0.25">
      <c r="A650" s="4"/>
      <c r="B650" s="4"/>
      <c r="C650" s="2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7.25" customHeight="1" x14ac:dyDescent="0.25">
      <c r="A651" s="4"/>
      <c r="B651" s="4"/>
      <c r="C651" s="2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7.25" customHeight="1" x14ac:dyDescent="0.25">
      <c r="A652" s="4"/>
      <c r="B652" s="4"/>
      <c r="C652" s="2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7.25" customHeight="1" x14ac:dyDescent="0.25">
      <c r="A653" s="4"/>
      <c r="B653" s="4"/>
      <c r="C653" s="2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7.25" customHeight="1" x14ac:dyDescent="0.25">
      <c r="A654" s="4"/>
      <c r="B654" s="4"/>
      <c r="C654" s="2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7.25" customHeight="1" x14ac:dyDescent="0.25">
      <c r="A655" s="4"/>
      <c r="B655" s="4"/>
      <c r="C655" s="2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7.25" customHeight="1" x14ac:dyDescent="0.25">
      <c r="A656" s="4"/>
      <c r="B656" s="4"/>
      <c r="C656" s="2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7.25" customHeight="1" x14ac:dyDescent="0.25">
      <c r="A657" s="4"/>
      <c r="B657" s="4"/>
      <c r="C657" s="2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7.25" customHeight="1" x14ac:dyDescent="0.25">
      <c r="A658" s="4"/>
      <c r="B658" s="4"/>
      <c r="C658" s="2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7.25" customHeight="1" x14ac:dyDescent="0.25">
      <c r="A659" s="4"/>
      <c r="B659" s="4"/>
      <c r="C659" s="2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7.25" customHeight="1" x14ac:dyDescent="0.25">
      <c r="A660" s="4"/>
      <c r="B660" s="4"/>
      <c r="C660" s="2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7.25" customHeight="1" x14ac:dyDescent="0.25">
      <c r="A661" s="4"/>
      <c r="B661" s="4"/>
      <c r="C661" s="2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7.25" customHeight="1" x14ac:dyDescent="0.25">
      <c r="A662" s="4"/>
      <c r="B662" s="4"/>
      <c r="C662" s="2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7.25" customHeight="1" x14ac:dyDescent="0.25">
      <c r="A663" s="4"/>
      <c r="B663" s="4"/>
      <c r="C663" s="2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7.25" customHeight="1" x14ac:dyDescent="0.25">
      <c r="A664" s="4"/>
      <c r="B664" s="4"/>
      <c r="C664" s="2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7.25" customHeight="1" x14ac:dyDescent="0.25">
      <c r="A665" s="4"/>
      <c r="B665" s="4"/>
      <c r="C665" s="2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7.25" customHeight="1" x14ac:dyDescent="0.25">
      <c r="A666" s="4"/>
      <c r="B666" s="4"/>
      <c r="C666" s="2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7.25" customHeight="1" x14ac:dyDescent="0.25">
      <c r="A667" s="4"/>
      <c r="B667" s="4"/>
      <c r="C667" s="2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7.25" customHeight="1" x14ac:dyDescent="0.25">
      <c r="A668" s="4"/>
      <c r="B668" s="4"/>
      <c r="C668" s="2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7.25" customHeight="1" x14ac:dyDescent="0.25">
      <c r="A669" s="4"/>
      <c r="B669" s="4"/>
      <c r="C669" s="2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7.25" customHeight="1" x14ac:dyDescent="0.25">
      <c r="A670" s="4"/>
      <c r="B670" s="4"/>
      <c r="C670" s="2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7.25" customHeight="1" x14ac:dyDescent="0.25">
      <c r="A671" s="4"/>
      <c r="B671" s="4"/>
      <c r="C671" s="2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7.25" customHeight="1" x14ac:dyDescent="0.25">
      <c r="A672" s="4"/>
      <c r="B672" s="4"/>
      <c r="C672" s="2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7.25" customHeight="1" x14ac:dyDescent="0.25">
      <c r="A673" s="4"/>
      <c r="B673" s="4"/>
      <c r="C673" s="2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7.25" customHeight="1" x14ac:dyDescent="0.25">
      <c r="A674" s="4"/>
      <c r="B674" s="4"/>
      <c r="C674" s="2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7.25" customHeight="1" x14ac:dyDescent="0.25">
      <c r="A675" s="4"/>
      <c r="B675" s="4"/>
      <c r="C675" s="2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7.25" customHeight="1" x14ac:dyDescent="0.25">
      <c r="A676" s="4"/>
      <c r="B676" s="4"/>
      <c r="C676" s="2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7.25" customHeight="1" x14ac:dyDescent="0.25">
      <c r="A677" s="4"/>
      <c r="B677" s="4"/>
      <c r="C677" s="2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7.25" customHeight="1" x14ac:dyDescent="0.25">
      <c r="A678" s="4"/>
      <c r="B678" s="4"/>
      <c r="C678" s="2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7.25" customHeight="1" x14ac:dyDescent="0.25">
      <c r="A679" s="4"/>
      <c r="B679" s="4"/>
      <c r="C679" s="2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7.25" customHeight="1" x14ac:dyDescent="0.25">
      <c r="A680" s="4"/>
      <c r="B680" s="4"/>
      <c r="C680" s="2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7.25" customHeight="1" x14ac:dyDescent="0.25">
      <c r="A681" s="4"/>
      <c r="B681" s="4"/>
      <c r="C681" s="2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7.25" customHeight="1" x14ac:dyDescent="0.25">
      <c r="A682" s="4"/>
      <c r="B682" s="4"/>
      <c r="C682" s="2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7.25" customHeight="1" x14ac:dyDescent="0.25">
      <c r="A683" s="4"/>
      <c r="B683" s="4"/>
      <c r="C683" s="2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7.25" customHeight="1" x14ac:dyDescent="0.25">
      <c r="A684" s="4"/>
      <c r="B684" s="4"/>
      <c r="C684" s="2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7.25" customHeight="1" x14ac:dyDescent="0.25">
      <c r="A685" s="4"/>
      <c r="B685" s="4"/>
      <c r="C685" s="2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7.25" customHeight="1" x14ac:dyDescent="0.25">
      <c r="A686" s="4"/>
      <c r="B686" s="4"/>
      <c r="C686" s="2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7.25" customHeight="1" x14ac:dyDescent="0.25">
      <c r="A687" s="4"/>
      <c r="B687" s="4"/>
      <c r="C687" s="2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7.25" customHeight="1" x14ac:dyDescent="0.25">
      <c r="A688" s="4"/>
      <c r="B688" s="4"/>
      <c r="C688" s="2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7.25" customHeight="1" x14ac:dyDescent="0.25">
      <c r="A689" s="4"/>
      <c r="B689" s="4"/>
      <c r="C689" s="2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7.25" customHeight="1" x14ac:dyDescent="0.25">
      <c r="A690" s="4"/>
      <c r="B690" s="4"/>
      <c r="C690" s="2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7.25" customHeight="1" x14ac:dyDescent="0.25">
      <c r="A691" s="4"/>
      <c r="B691" s="4"/>
      <c r="C691" s="2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7.25" customHeight="1" x14ac:dyDescent="0.25">
      <c r="A692" s="4"/>
      <c r="B692" s="4"/>
      <c r="C692" s="2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7.25" customHeight="1" x14ac:dyDescent="0.25">
      <c r="A693" s="4"/>
      <c r="B693" s="4"/>
      <c r="C693" s="2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7.25" customHeight="1" x14ac:dyDescent="0.25">
      <c r="A694" s="4"/>
      <c r="B694" s="4"/>
      <c r="C694" s="2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7.25" customHeight="1" x14ac:dyDescent="0.25">
      <c r="A695" s="4"/>
      <c r="B695" s="4"/>
      <c r="C695" s="2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7.25" customHeight="1" x14ac:dyDescent="0.25">
      <c r="A696" s="4"/>
      <c r="B696" s="4"/>
      <c r="C696" s="2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7.25" customHeight="1" x14ac:dyDescent="0.25">
      <c r="A697" s="4"/>
      <c r="B697" s="4"/>
      <c r="C697" s="2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7.25" customHeight="1" x14ac:dyDescent="0.25">
      <c r="A698" s="4"/>
      <c r="B698" s="4"/>
      <c r="C698" s="2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7.25" customHeight="1" x14ac:dyDescent="0.25">
      <c r="A699" s="4"/>
      <c r="B699" s="4"/>
      <c r="C699" s="2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7.25" customHeight="1" x14ac:dyDescent="0.25">
      <c r="A700" s="4"/>
      <c r="B700" s="4"/>
      <c r="C700" s="2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7.25" customHeight="1" x14ac:dyDescent="0.25">
      <c r="A701" s="4"/>
      <c r="B701" s="4"/>
      <c r="C701" s="2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7.25" customHeight="1" x14ac:dyDescent="0.25">
      <c r="A702" s="4"/>
      <c r="B702" s="4"/>
      <c r="C702" s="2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7.25" customHeight="1" x14ac:dyDescent="0.25">
      <c r="A703" s="4"/>
      <c r="B703" s="4"/>
      <c r="C703" s="2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7.25" customHeight="1" x14ac:dyDescent="0.25">
      <c r="A704" s="4"/>
      <c r="B704" s="4"/>
      <c r="C704" s="2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7.25" customHeight="1" x14ac:dyDescent="0.25">
      <c r="A705" s="4"/>
      <c r="B705" s="4"/>
      <c r="C705" s="2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7.25" customHeight="1" x14ac:dyDescent="0.25">
      <c r="A706" s="4"/>
      <c r="B706" s="4"/>
      <c r="C706" s="2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7.25" customHeight="1" x14ac:dyDescent="0.25">
      <c r="A707" s="4"/>
      <c r="B707" s="4"/>
      <c r="C707" s="2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7.25" customHeight="1" x14ac:dyDescent="0.25">
      <c r="A708" s="4"/>
      <c r="B708" s="4"/>
      <c r="C708" s="2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7.25" customHeight="1" x14ac:dyDescent="0.25">
      <c r="A709" s="4"/>
      <c r="B709" s="4"/>
      <c r="C709" s="2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7.25" customHeight="1" x14ac:dyDescent="0.25">
      <c r="A710" s="4"/>
      <c r="B710" s="4"/>
      <c r="C710" s="2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7.25" customHeight="1" x14ac:dyDescent="0.25">
      <c r="A711" s="4"/>
      <c r="B711" s="4"/>
      <c r="C711" s="2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7.25" customHeight="1" x14ac:dyDescent="0.25">
      <c r="A712" s="4"/>
      <c r="B712" s="4"/>
      <c r="C712" s="2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7.25" customHeight="1" x14ac:dyDescent="0.25">
      <c r="A713" s="4"/>
      <c r="B713" s="4"/>
      <c r="C713" s="2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7.25" customHeight="1" x14ac:dyDescent="0.25">
      <c r="A714" s="4"/>
      <c r="B714" s="4"/>
      <c r="C714" s="2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7.25" customHeight="1" x14ac:dyDescent="0.25">
      <c r="A715" s="4"/>
      <c r="B715" s="4"/>
      <c r="C715" s="2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7.25" customHeight="1" x14ac:dyDescent="0.25">
      <c r="A716" s="4"/>
      <c r="B716" s="4"/>
      <c r="C716" s="2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7.25" customHeight="1" x14ac:dyDescent="0.25">
      <c r="A717" s="4"/>
      <c r="B717" s="4"/>
      <c r="C717" s="2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7.25" customHeight="1" x14ac:dyDescent="0.25">
      <c r="A718" s="4"/>
      <c r="B718" s="4"/>
      <c r="C718" s="2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7.25" customHeight="1" x14ac:dyDescent="0.25">
      <c r="A719" s="4"/>
      <c r="B719" s="4"/>
      <c r="C719" s="2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7.25" customHeight="1" x14ac:dyDescent="0.25">
      <c r="A720" s="4"/>
      <c r="B720" s="4"/>
      <c r="C720" s="2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7.25" customHeight="1" x14ac:dyDescent="0.25">
      <c r="A721" s="4"/>
      <c r="B721" s="4"/>
      <c r="C721" s="2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7.25" customHeight="1" x14ac:dyDescent="0.25">
      <c r="A722" s="4"/>
      <c r="B722" s="4"/>
      <c r="C722" s="2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7.25" customHeight="1" x14ac:dyDescent="0.25">
      <c r="A723" s="4"/>
      <c r="B723" s="4"/>
      <c r="C723" s="2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7.25" customHeight="1" x14ac:dyDescent="0.25">
      <c r="A724" s="4"/>
      <c r="B724" s="4"/>
      <c r="C724" s="2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7.25" customHeight="1" x14ac:dyDescent="0.25">
      <c r="A725" s="4"/>
      <c r="B725" s="4"/>
      <c r="C725" s="2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7.25" customHeight="1" x14ac:dyDescent="0.25">
      <c r="A726" s="4"/>
      <c r="B726" s="4"/>
      <c r="C726" s="2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7.25" customHeight="1" x14ac:dyDescent="0.25">
      <c r="A727" s="4"/>
      <c r="B727" s="4"/>
      <c r="C727" s="2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7.25" customHeight="1" x14ac:dyDescent="0.25">
      <c r="A728" s="4"/>
      <c r="B728" s="4"/>
      <c r="C728" s="2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7.25" customHeight="1" x14ac:dyDescent="0.25">
      <c r="A729" s="4"/>
      <c r="B729" s="4"/>
      <c r="C729" s="2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7.25" customHeight="1" x14ac:dyDescent="0.25">
      <c r="A730" s="4"/>
      <c r="B730" s="4"/>
      <c r="C730" s="2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7.25" customHeight="1" x14ac:dyDescent="0.25">
      <c r="A731" s="4"/>
      <c r="B731" s="4"/>
      <c r="C731" s="2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7.25" customHeight="1" x14ac:dyDescent="0.25">
      <c r="A732" s="4"/>
      <c r="B732" s="4"/>
      <c r="C732" s="2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7.25" customHeight="1" x14ac:dyDescent="0.25">
      <c r="A733" s="4"/>
      <c r="B733" s="4"/>
      <c r="C733" s="2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7.25" customHeight="1" x14ac:dyDescent="0.25">
      <c r="A734" s="4"/>
      <c r="B734" s="4"/>
      <c r="C734" s="2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7.25" customHeight="1" x14ac:dyDescent="0.25">
      <c r="A735" s="4"/>
      <c r="B735" s="4"/>
      <c r="C735" s="2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7.25" customHeight="1" x14ac:dyDescent="0.25">
      <c r="A736" s="4"/>
      <c r="B736" s="4"/>
      <c r="C736" s="2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7.25" customHeight="1" x14ac:dyDescent="0.25">
      <c r="A737" s="4"/>
      <c r="B737" s="4"/>
      <c r="C737" s="2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7.25" customHeight="1" x14ac:dyDescent="0.25">
      <c r="A738" s="4"/>
      <c r="B738" s="4"/>
      <c r="C738" s="2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7.25" customHeight="1" x14ac:dyDescent="0.25">
      <c r="A739" s="4"/>
      <c r="B739" s="4"/>
      <c r="C739" s="2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7.25" customHeight="1" x14ac:dyDescent="0.25">
      <c r="A740" s="4"/>
      <c r="B740" s="4"/>
      <c r="C740" s="2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7.25" customHeight="1" x14ac:dyDescent="0.25">
      <c r="A741" s="4"/>
      <c r="B741" s="4"/>
      <c r="C741" s="2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7.25" customHeight="1" x14ac:dyDescent="0.25">
      <c r="A742" s="4"/>
      <c r="B742" s="4"/>
      <c r="C742" s="2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7.25" customHeight="1" x14ac:dyDescent="0.25">
      <c r="A743" s="4"/>
      <c r="B743" s="4"/>
      <c r="C743" s="2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7.25" customHeight="1" x14ac:dyDescent="0.25">
      <c r="A744" s="4"/>
      <c r="B744" s="4"/>
      <c r="C744" s="2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7.25" customHeight="1" x14ac:dyDescent="0.25">
      <c r="A745" s="4"/>
      <c r="B745" s="4"/>
      <c r="C745" s="2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7.25" customHeight="1" x14ac:dyDescent="0.25">
      <c r="A746" s="4"/>
      <c r="B746" s="4"/>
      <c r="C746" s="2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7.25" customHeight="1" x14ac:dyDescent="0.25">
      <c r="A747" s="4"/>
      <c r="B747" s="4"/>
      <c r="C747" s="2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7.25" customHeight="1" x14ac:dyDescent="0.25">
      <c r="A748" s="4"/>
      <c r="B748" s="4"/>
      <c r="C748" s="2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7.25" customHeight="1" x14ac:dyDescent="0.25">
      <c r="A749" s="4"/>
      <c r="B749" s="4"/>
      <c r="C749" s="2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7.25" customHeight="1" x14ac:dyDescent="0.25">
      <c r="A750" s="4"/>
      <c r="B750" s="4"/>
      <c r="C750" s="2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7.25" customHeight="1" x14ac:dyDescent="0.25">
      <c r="A751" s="4"/>
      <c r="B751" s="4"/>
      <c r="C751" s="2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7.25" customHeight="1" x14ac:dyDescent="0.25">
      <c r="A752" s="4"/>
      <c r="B752" s="4"/>
      <c r="C752" s="2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7.25" customHeight="1" x14ac:dyDescent="0.25">
      <c r="A753" s="4"/>
      <c r="B753" s="4"/>
      <c r="C753" s="2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7.25" customHeight="1" x14ac:dyDescent="0.25">
      <c r="A754" s="4"/>
      <c r="B754" s="4"/>
      <c r="C754" s="2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7.25" customHeight="1" x14ac:dyDescent="0.25">
      <c r="A755" s="4"/>
      <c r="B755" s="4"/>
      <c r="C755" s="2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7.25" customHeight="1" x14ac:dyDescent="0.25">
      <c r="A756" s="4"/>
      <c r="B756" s="4"/>
      <c r="C756" s="2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7.25" customHeight="1" x14ac:dyDescent="0.25">
      <c r="A757" s="4"/>
      <c r="B757" s="4"/>
      <c r="C757" s="2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7.25" customHeight="1" x14ac:dyDescent="0.25">
      <c r="A758" s="4"/>
      <c r="B758" s="4"/>
      <c r="C758" s="2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7.25" customHeight="1" x14ac:dyDescent="0.25">
      <c r="A759" s="4"/>
      <c r="B759" s="4"/>
      <c r="C759" s="2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7.25" customHeight="1" x14ac:dyDescent="0.25">
      <c r="A760" s="4"/>
      <c r="B760" s="4"/>
      <c r="C760" s="2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7.25" customHeight="1" x14ac:dyDescent="0.25">
      <c r="A761" s="4"/>
      <c r="B761" s="4"/>
      <c r="C761" s="2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7.25" customHeight="1" x14ac:dyDescent="0.25">
      <c r="A762" s="4"/>
      <c r="B762" s="4"/>
      <c r="C762" s="2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7.25" customHeight="1" x14ac:dyDescent="0.25">
      <c r="A763" s="4"/>
      <c r="B763" s="4"/>
      <c r="C763" s="2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7.25" customHeight="1" x14ac:dyDescent="0.25">
      <c r="A764" s="4"/>
      <c r="B764" s="4"/>
      <c r="C764" s="2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7.25" customHeight="1" x14ac:dyDescent="0.25">
      <c r="A765" s="4"/>
      <c r="B765" s="4"/>
      <c r="C765" s="2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7.25" customHeight="1" x14ac:dyDescent="0.25">
      <c r="A766" s="4"/>
      <c r="B766" s="4"/>
      <c r="C766" s="2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7.25" customHeight="1" x14ac:dyDescent="0.25">
      <c r="A767" s="4"/>
      <c r="B767" s="4"/>
      <c r="C767" s="2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7.25" customHeight="1" x14ac:dyDescent="0.25">
      <c r="A768" s="4"/>
      <c r="B768" s="4"/>
      <c r="C768" s="2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7.25" customHeight="1" x14ac:dyDescent="0.25">
      <c r="A769" s="4"/>
      <c r="B769" s="4"/>
      <c r="C769" s="2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7.25" customHeight="1" x14ac:dyDescent="0.25">
      <c r="A770" s="4"/>
      <c r="B770" s="4"/>
      <c r="C770" s="2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7.25" customHeight="1" x14ac:dyDescent="0.25">
      <c r="A771" s="4"/>
      <c r="B771" s="4"/>
      <c r="C771" s="2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7.25" customHeight="1" x14ac:dyDescent="0.25">
      <c r="A772" s="4"/>
      <c r="B772" s="4"/>
      <c r="C772" s="2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7.25" customHeight="1" x14ac:dyDescent="0.25">
      <c r="A773" s="4"/>
      <c r="B773" s="4"/>
      <c r="C773" s="2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7.25" customHeight="1" x14ac:dyDescent="0.25">
      <c r="A774" s="4"/>
      <c r="B774" s="4"/>
      <c r="C774" s="2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7.25" customHeight="1" x14ac:dyDescent="0.25">
      <c r="A775" s="4"/>
      <c r="B775" s="4"/>
      <c r="C775" s="2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7.25" customHeight="1" x14ac:dyDescent="0.25">
      <c r="A776" s="4"/>
      <c r="B776" s="4"/>
      <c r="C776" s="2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7.25" customHeight="1" x14ac:dyDescent="0.25">
      <c r="A777" s="4"/>
      <c r="B777" s="4"/>
      <c r="C777" s="2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7.25" customHeight="1" x14ac:dyDescent="0.25">
      <c r="A778" s="4"/>
      <c r="B778" s="4"/>
      <c r="C778" s="2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7.25" customHeight="1" x14ac:dyDescent="0.25">
      <c r="A779" s="4"/>
      <c r="B779" s="4"/>
      <c r="C779" s="2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7.25" customHeight="1" x14ac:dyDescent="0.25">
      <c r="A780" s="4"/>
      <c r="B780" s="4"/>
      <c r="C780" s="2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7.25" customHeight="1" x14ac:dyDescent="0.25">
      <c r="A781" s="4"/>
      <c r="B781" s="4"/>
      <c r="C781" s="2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7.25" customHeight="1" x14ac:dyDescent="0.25">
      <c r="A782" s="4"/>
      <c r="B782" s="4"/>
      <c r="C782" s="2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7.25" customHeight="1" x14ac:dyDescent="0.25">
      <c r="A783" s="4"/>
      <c r="B783" s="4"/>
      <c r="C783" s="2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7.25" customHeight="1" x14ac:dyDescent="0.25">
      <c r="A784" s="4"/>
      <c r="B784" s="4"/>
      <c r="C784" s="2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7.25" customHeight="1" x14ac:dyDescent="0.25">
      <c r="A785" s="4"/>
      <c r="B785" s="4"/>
      <c r="C785" s="2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7.25" customHeight="1" x14ac:dyDescent="0.25">
      <c r="A786" s="4"/>
      <c r="B786" s="4"/>
      <c r="C786" s="2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7.25" customHeight="1" x14ac:dyDescent="0.25">
      <c r="A787" s="4"/>
      <c r="B787" s="4"/>
      <c r="C787" s="2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7.25" customHeight="1" x14ac:dyDescent="0.25">
      <c r="A788" s="4"/>
      <c r="B788" s="4"/>
      <c r="C788" s="2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7.25" customHeight="1" x14ac:dyDescent="0.25">
      <c r="A789" s="4"/>
      <c r="B789" s="4"/>
      <c r="C789" s="2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7.25" customHeight="1" x14ac:dyDescent="0.25">
      <c r="A790" s="4"/>
      <c r="B790" s="4"/>
      <c r="C790" s="2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7.25" customHeight="1" x14ac:dyDescent="0.25">
      <c r="A791" s="4"/>
      <c r="B791" s="4"/>
      <c r="C791" s="2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7.25" customHeight="1" x14ac:dyDescent="0.25">
      <c r="A792" s="4"/>
      <c r="B792" s="4"/>
      <c r="C792" s="2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7.25" customHeight="1" x14ac:dyDescent="0.25">
      <c r="A793" s="4"/>
      <c r="B793" s="4"/>
      <c r="C793" s="2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7.25" customHeight="1" x14ac:dyDescent="0.25">
      <c r="A794" s="4"/>
      <c r="B794" s="4"/>
      <c r="C794" s="2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7.25" customHeight="1" x14ac:dyDescent="0.25">
      <c r="A795" s="4"/>
      <c r="B795" s="4"/>
      <c r="C795" s="2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7.25" customHeight="1" x14ac:dyDescent="0.25">
      <c r="A796" s="4"/>
      <c r="B796" s="4"/>
      <c r="C796" s="2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7.25" customHeight="1" x14ac:dyDescent="0.25">
      <c r="A797" s="4"/>
      <c r="B797" s="4"/>
      <c r="C797" s="2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7.25" customHeight="1" x14ac:dyDescent="0.25">
      <c r="A798" s="4"/>
      <c r="B798" s="4"/>
      <c r="C798" s="2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7.25" customHeight="1" x14ac:dyDescent="0.25">
      <c r="A799" s="4"/>
      <c r="B799" s="4"/>
      <c r="C799" s="2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7.25" customHeight="1" x14ac:dyDescent="0.25">
      <c r="A800" s="4"/>
      <c r="B800" s="4"/>
      <c r="C800" s="2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7.25" customHeight="1" x14ac:dyDescent="0.25">
      <c r="A801" s="4"/>
      <c r="B801" s="4"/>
      <c r="C801" s="2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7.25" customHeight="1" x14ac:dyDescent="0.25">
      <c r="A802" s="4"/>
      <c r="B802" s="4"/>
      <c r="C802" s="2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7.25" customHeight="1" x14ac:dyDescent="0.25">
      <c r="A803" s="4"/>
      <c r="B803" s="4"/>
      <c r="C803" s="2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7.25" customHeight="1" x14ac:dyDescent="0.25">
      <c r="A804" s="4"/>
      <c r="B804" s="4"/>
      <c r="C804" s="2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7.25" customHeight="1" x14ac:dyDescent="0.25">
      <c r="A805" s="4"/>
      <c r="B805" s="4"/>
      <c r="C805" s="2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7.25" customHeight="1" x14ac:dyDescent="0.25">
      <c r="A806" s="4"/>
      <c r="B806" s="4"/>
      <c r="C806" s="2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7.25" customHeight="1" x14ac:dyDescent="0.25">
      <c r="A807" s="4"/>
      <c r="B807" s="4"/>
      <c r="C807" s="2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7.25" customHeight="1" x14ac:dyDescent="0.25">
      <c r="A808" s="4"/>
      <c r="B808" s="4"/>
      <c r="C808" s="2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7.25" customHeight="1" x14ac:dyDescent="0.25">
      <c r="A809" s="4"/>
      <c r="B809" s="4"/>
      <c r="C809" s="2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7.25" customHeight="1" x14ac:dyDescent="0.25">
      <c r="A810" s="4"/>
      <c r="B810" s="4"/>
      <c r="C810" s="2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7.25" customHeight="1" x14ac:dyDescent="0.25">
      <c r="A811" s="4"/>
      <c r="B811" s="4"/>
      <c r="C811" s="2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7.25" customHeight="1" x14ac:dyDescent="0.25">
      <c r="A812" s="4"/>
      <c r="B812" s="4"/>
      <c r="C812" s="2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7.25" customHeight="1" x14ac:dyDescent="0.25">
      <c r="A813" s="4"/>
      <c r="B813" s="4"/>
      <c r="C813" s="2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7.25" customHeight="1" x14ac:dyDescent="0.25">
      <c r="A814" s="4"/>
      <c r="B814" s="4"/>
      <c r="C814" s="2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7.25" customHeight="1" x14ac:dyDescent="0.25">
      <c r="A815" s="4"/>
      <c r="B815" s="4"/>
      <c r="C815" s="2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7.25" customHeight="1" x14ac:dyDescent="0.25">
      <c r="A816" s="4"/>
      <c r="B816" s="4"/>
      <c r="C816" s="2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7.25" customHeight="1" x14ac:dyDescent="0.25">
      <c r="A817" s="4"/>
      <c r="B817" s="4"/>
      <c r="C817" s="2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7.25" customHeight="1" x14ac:dyDescent="0.25">
      <c r="A818" s="4"/>
      <c r="B818" s="4"/>
      <c r="C818" s="2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7.25" customHeight="1" x14ac:dyDescent="0.25">
      <c r="A819" s="4"/>
      <c r="B819" s="4"/>
      <c r="C819" s="2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7.25" customHeight="1" x14ac:dyDescent="0.25">
      <c r="A820" s="4"/>
      <c r="B820" s="4"/>
      <c r="C820" s="2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7.25" customHeight="1" x14ac:dyDescent="0.25">
      <c r="A821" s="4"/>
      <c r="B821" s="4"/>
      <c r="C821" s="2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7.25" customHeight="1" x14ac:dyDescent="0.25">
      <c r="A822" s="4"/>
      <c r="B822" s="4"/>
      <c r="C822" s="2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7.25" customHeight="1" x14ac:dyDescent="0.25">
      <c r="A823" s="4"/>
      <c r="B823" s="4"/>
      <c r="C823" s="2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7.25" customHeight="1" x14ac:dyDescent="0.25">
      <c r="A824" s="4"/>
      <c r="B824" s="4"/>
      <c r="C824" s="2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7.25" customHeight="1" x14ac:dyDescent="0.25">
      <c r="A825" s="4"/>
      <c r="B825" s="4"/>
      <c r="C825" s="2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7.25" customHeight="1" x14ac:dyDescent="0.25">
      <c r="A826" s="4"/>
      <c r="B826" s="4"/>
      <c r="C826" s="2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7.25" customHeight="1" x14ac:dyDescent="0.25">
      <c r="A827" s="4"/>
      <c r="B827" s="4"/>
      <c r="C827" s="2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7.25" customHeight="1" x14ac:dyDescent="0.25">
      <c r="A828" s="4"/>
      <c r="B828" s="4"/>
      <c r="C828" s="2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7.25" customHeight="1" x14ac:dyDescent="0.25">
      <c r="A829" s="4"/>
      <c r="B829" s="4"/>
      <c r="C829" s="2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7.25" customHeight="1" x14ac:dyDescent="0.25">
      <c r="A830" s="4"/>
      <c r="B830" s="4"/>
      <c r="C830" s="2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7.25" customHeight="1" x14ac:dyDescent="0.25">
      <c r="A831" s="4"/>
      <c r="B831" s="4"/>
      <c r="C831" s="2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7.25" customHeight="1" x14ac:dyDescent="0.25">
      <c r="A832" s="4"/>
      <c r="B832" s="4"/>
      <c r="C832" s="2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7.25" customHeight="1" x14ac:dyDescent="0.25">
      <c r="A833" s="4"/>
      <c r="B833" s="4"/>
      <c r="C833" s="2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7.25" customHeight="1" x14ac:dyDescent="0.25">
      <c r="A834" s="4"/>
      <c r="B834" s="4"/>
      <c r="C834" s="2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7.25" customHeight="1" x14ac:dyDescent="0.25">
      <c r="A835" s="4"/>
      <c r="B835" s="4"/>
      <c r="C835" s="2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7.25" customHeight="1" x14ac:dyDescent="0.25">
      <c r="A836" s="4"/>
      <c r="B836" s="4"/>
      <c r="C836" s="2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7.25" customHeight="1" x14ac:dyDescent="0.25">
      <c r="A837" s="4"/>
      <c r="B837" s="4"/>
      <c r="C837" s="2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7.25" customHeight="1" x14ac:dyDescent="0.25">
      <c r="A838" s="4"/>
      <c r="B838" s="4"/>
      <c r="C838" s="2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7.25" customHeight="1" x14ac:dyDescent="0.25">
      <c r="A839" s="4"/>
      <c r="B839" s="4"/>
      <c r="C839" s="2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7.25" customHeight="1" x14ac:dyDescent="0.25">
      <c r="A840" s="4"/>
      <c r="B840" s="4"/>
      <c r="C840" s="2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7.25" customHeight="1" x14ac:dyDescent="0.25">
      <c r="A841" s="4"/>
      <c r="B841" s="4"/>
      <c r="C841" s="2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7.25" customHeight="1" x14ac:dyDescent="0.25">
      <c r="A842" s="4"/>
      <c r="B842" s="4"/>
      <c r="C842" s="2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7.25" customHeight="1" x14ac:dyDescent="0.25">
      <c r="A843" s="4"/>
      <c r="B843" s="4"/>
      <c r="C843" s="2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7.25" customHeight="1" x14ac:dyDescent="0.25">
      <c r="A844" s="4"/>
      <c r="B844" s="4"/>
      <c r="C844" s="2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7.25" customHeight="1" x14ac:dyDescent="0.25">
      <c r="A845" s="4"/>
      <c r="B845" s="4"/>
      <c r="C845" s="2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7.25" customHeight="1" x14ac:dyDescent="0.25">
      <c r="A846" s="4"/>
      <c r="B846" s="4"/>
      <c r="C846" s="2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7.25" customHeight="1" x14ac:dyDescent="0.25">
      <c r="A847" s="4"/>
      <c r="B847" s="4"/>
      <c r="C847" s="2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7.25" customHeight="1" x14ac:dyDescent="0.25">
      <c r="A848" s="4"/>
      <c r="B848" s="4"/>
      <c r="C848" s="2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7.25" customHeight="1" x14ac:dyDescent="0.25">
      <c r="A849" s="4"/>
      <c r="B849" s="4"/>
      <c r="C849" s="2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7.25" customHeight="1" x14ac:dyDescent="0.25">
      <c r="A850" s="4"/>
      <c r="B850" s="4"/>
      <c r="C850" s="2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7.25" customHeight="1" x14ac:dyDescent="0.25">
      <c r="A851" s="4"/>
      <c r="B851" s="4"/>
      <c r="C851" s="2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7.25" customHeight="1" x14ac:dyDescent="0.25">
      <c r="A852" s="4"/>
      <c r="B852" s="4"/>
      <c r="C852" s="2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7.25" customHeight="1" x14ac:dyDescent="0.25">
      <c r="A853" s="4"/>
      <c r="B853" s="4"/>
      <c r="C853" s="2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7.25" customHeight="1" x14ac:dyDescent="0.25">
      <c r="A854" s="4"/>
      <c r="B854" s="4"/>
      <c r="C854" s="2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7.25" customHeight="1" x14ac:dyDescent="0.25">
      <c r="A855" s="4"/>
      <c r="B855" s="4"/>
      <c r="C855" s="2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7.25" customHeight="1" x14ac:dyDescent="0.25">
      <c r="A856" s="4"/>
      <c r="B856" s="4"/>
      <c r="C856" s="2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7.25" customHeight="1" x14ac:dyDescent="0.25">
      <c r="A857" s="4"/>
      <c r="B857" s="4"/>
      <c r="C857" s="2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7.25" customHeight="1" x14ac:dyDescent="0.25">
      <c r="A858" s="4"/>
      <c r="B858" s="4"/>
      <c r="C858" s="2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7.25" customHeight="1" x14ac:dyDescent="0.25">
      <c r="A859" s="4"/>
      <c r="B859" s="4"/>
      <c r="C859" s="2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7.25" customHeight="1" x14ac:dyDescent="0.25">
      <c r="A860" s="4"/>
      <c r="B860" s="4"/>
      <c r="C860" s="2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7.25" customHeight="1" x14ac:dyDescent="0.25">
      <c r="A861" s="4"/>
      <c r="B861" s="4"/>
      <c r="C861" s="2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7.25" customHeight="1" x14ac:dyDescent="0.25">
      <c r="A862" s="4"/>
      <c r="B862" s="4"/>
      <c r="C862" s="2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7.25" customHeight="1" x14ac:dyDescent="0.25">
      <c r="A863" s="4"/>
      <c r="B863" s="4"/>
      <c r="C863" s="2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7.25" customHeight="1" x14ac:dyDescent="0.25">
      <c r="A864" s="4"/>
      <c r="B864" s="4"/>
      <c r="C864" s="2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7.25" customHeight="1" x14ac:dyDescent="0.25">
      <c r="A865" s="4"/>
      <c r="B865" s="4"/>
      <c r="C865" s="2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7.25" customHeight="1" x14ac:dyDescent="0.25">
      <c r="A866" s="4"/>
      <c r="B866" s="4"/>
      <c r="C866" s="2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7.25" customHeight="1" x14ac:dyDescent="0.25">
      <c r="A867" s="4"/>
      <c r="B867" s="4"/>
      <c r="C867" s="2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7.25" customHeight="1" x14ac:dyDescent="0.25">
      <c r="A868" s="4"/>
      <c r="B868" s="4"/>
      <c r="C868" s="2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7.25" customHeight="1" x14ac:dyDescent="0.25">
      <c r="A869" s="4"/>
      <c r="B869" s="4"/>
      <c r="C869" s="2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7.25" customHeight="1" x14ac:dyDescent="0.25">
      <c r="A870" s="4"/>
      <c r="B870" s="4"/>
      <c r="C870" s="2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7.25" customHeight="1" x14ac:dyDescent="0.25">
      <c r="A871" s="4"/>
      <c r="B871" s="4"/>
      <c r="C871" s="2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7.25" customHeight="1" x14ac:dyDescent="0.25">
      <c r="A872" s="4"/>
      <c r="B872" s="4"/>
      <c r="C872" s="2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7.25" customHeight="1" x14ac:dyDescent="0.25">
      <c r="A873" s="4"/>
      <c r="B873" s="4"/>
      <c r="C873" s="2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7.25" customHeight="1" x14ac:dyDescent="0.25">
      <c r="A874" s="4"/>
      <c r="B874" s="4"/>
      <c r="C874" s="2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7.25" customHeight="1" x14ac:dyDescent="0.25">
      <c r="A875" s="4"/>
      <c r="B875" s="4"/>
      <c r="C875" s="2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7.25" customHeight="1" x14ac:dyDescent="0.25">
      <c r="A876" s="4"/>
      <c r="B876" s="4"/>
      <c r="C876" s="2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7.25" customHeight="1" x14ac:dyDescent="0.25">
      <c r="A877" s="4"/>
      <c r="B877" s="4"/>
      <c r="C877" s="2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7.25" customHeight="1" x14ac:dyDescent="0.25">
      <c r="A878" s="4"/>
      <c r="B878" s="4"/>
      <c r="C878" s="2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7.25" customHeight="1" x14ac:dyDescent="0.25">
      <c r="A879" s="4"/>
      <c r="B879" s="4"/>
      <c r="C879" s="2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7.25" customHeight="1" x14ac:dyDescent="0.25">
      <c r="A880" s="4"/>
      <c r="B880" s="4"/>
      <c r="C880" s="2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7.25" customHeight="1" x14ac:dyDescent="0.25">
      <c r="A881" s="4"/>
      <c r="B881" s="4"/>
      <c r="C881" s="2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7.25" customHeight="1" x14ac:dyDescent="0.25">
      <c r="A882" s="4"/>
      <c r="B882" s="4"/>
      <c r="C882" s="2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7.25" customHeight="1" x14ac:dyDescent="0.25">
      <c r="A883" s="4"/>
      <c r="B883" s="4"/>
      <c r="C883" s="2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7.25" customHeight="1" x14ac:dyDescent="0.25">
      <c r="A884" s="4"/>
      <c r="B884" s="4"/>
      <c r="C884" s="2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7.25" customHeight="1" x14ac:dyDescent="0.25">
      <c r="A885" s="4"/>
      <c r="B885" s="4"/>
      <c r="C885" s="2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7.25" customHeight="1" x14ac:dyDescent="0.25">
      <c r="A886" s="4"/>
      <c r="B886" s="4"/>
      <c r="C886" s="2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7.25" customHeight="1" x14ac:dyDescent="0.25">
      <c r="A887" s="4"/>
      <c r="B887" s="4"/>
      <c r="C887" s="2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7.25" customHeight="1" x14ac:dyDescent="0.25">
      <c r="A888" s="4"/>
      <c r="B888" s="4"/>
      <c r="C888" s="2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7.25" customHeight="1" x14ac:dyDescent="0.25">
      <c r="A889" s="4"/>
      <c r="B889" s="4"/>
      <c r="C889" s="2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7.25" customHeight="1" x14ac:dyDescent="0.25">
      <c r="A890" s="4"/>
      <c r="B890" s="4"/>
      <c r="C890" s="2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7.25" customHeight="1" x14ac:dyDescent="0.25">
      <c r="A891" s="4"/>
      <c r="B891" s="4"/>
      <c r="C891" s="2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7.25" customHeight="1" x14ac:dyDescent="0.25">
      <c r="A892" s="4"/>
      <c r="B892" s="4"/>
      <c r="C892" s="2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7.25" customHeight="1" x14ac:dyDescent="0.25">
      <c r="A893" s="4"/>
      <c r="B893" s="4"/>
      <c r="C893" s="2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7.25" customHeight="1" x14ac:dyDescent="0.25">
      <c r="A894" s="4"/>
      <c r="B894" s="4"/>
      <c r="C894" s="2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7.25" customHeight="1" x14ac:dyDescent="0.25">
      <c r="A895" s="4"/>
      <c r="B895" s="4"/>
      <c r="C895" s="2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7.25" customHeight="1" x14ac:dyDescent="0.25">
      <c r="A896" s="4"/>
      <c r="B896" s="4"/>
      <c r="C896" s="2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7.25" customHeight="1" x14ac:dyDescent="0.25">
      <c r="A897" s="4"/>
      <c r="B897" s="4"/>
      <c r="C897" s="2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7.25" customHeight="1" x14ac:dyDescent="0.25">
      <c r="A898" s="4"/>
      <c r="B898" s="4"/>
      <c r="C898" s="2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7.25" customHeight="1" x14ac:dyDescent="0.25">
      <c r="A899" s="4"/>
      <c r="B899" s="4"/>
      <c r="C899" s="2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7.25" customHeight="1" x14ac:dyDescent="0.25">
      <c r="A900" s="4"/>
      <c r="B900" s="4"/>
      <c r="C900" s="2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7.25" customHeight="1" x14ac:dyDescent="0.25">
      <c r="A901" s="4"/>
      <c r="B901" s="4"/>
      <c r="C901" s="2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7.25" customHeight="1" x14ac:dyDescent="0.25">
      <c r="A902" s="4"/>
      <c r="B902" s="4"/>
      <c r="C902" s="2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7.25" customHeight="1" x14ac:dyDescent="0.25">
      <c r="A903" s="4"/>
      <c r="B903" s="4"/>
      <c r="C903" s="2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7.25" customHeight="1" x14ac:dyDescent="0.25">
      <c r="A904" s="4"/>
      <c r="B904" s="4"/>
      <c r="C904" s="2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7.25" customHeight="1" x14ac:dyDescent="0.25">
      <c r="A905" s="4"/>
      <c r="B905" s="4"/>
      <c r="C905" s="2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7.25" customHeight="1" x14ac:dyDescent="0.25">
      <c r="A906" s="4"/>
      <c r="B906" s="4"/>
      <c r="C906" s="2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7.25" customHeight="1" x14ac:dyDescent="0.25">
      <c r="A907" s="4"/>
      <c r="B907" s="4"/>
      <c r="C907" s="2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7.25" customHeight="1" x14ac:dyDescent="0.25">
      <c r="A908" s="4"/>
      <c r="B908" s="4"/>
      <c r="C908" s="2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7.25" customHeight="1" x14ac:dyDescent="0.25">
      <c r="A909" s="4"/>
      <c r="B909" s="4"/>
      <c r="C909" s="2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7.25" customHeight="1" x14ac:dyDescent="0.25">
      <c r="A910" s="4"/>
      <c r="B910" s="4"/>
      <c r="C910" s="2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7.25" customHeight="1" x14ac:dyDescent="0.25">
      <c r="A911" s="4"/>
      <c r="B911" s="4"/>
      <c r="C911" s="2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7.25" customHeight="1" x14ac:dyDescent="0.25">
      <c r="A912" s="4"/>
      <c r="B912" s="4"/>
      <c r="C912" s="2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7.25" customHeight="1" x14ac:dyDescent="0.25">
      <c r="A913" s="4"/>
      <c r="B913" s="4"/>
      <c r="C913" s="2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7.25" customHeight="1" x14ac:dyDescent="0.25">
      <c r="A914" s="4"/>
      <c r="B914" s="4"/>
      <c r="C914" s="2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7.25" customHeight="1" x14ac:dyDescent="0.25">
      <c r="A915" s="4"/>
      <c r="B915" s="4"/>
      <c r="C915" s="2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7.25" customHeight="1" x14ac:dyDescent="0.25">
      <c r="A916" s="4"/>
      <c r="B916" s="4"/>
      <c r="C916" s="2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7.25" customHeight="1" x14ac:dyDescent="0.25">
      <c r="A917" s="4"/>
      <c r="B917" s="4"/>
      <c r="C917" s="2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7.25" customHeight="1" x14ac:dyDescent="0.25">
      <c r="A918" s="4"/>
      <c r="B918" s="4"/>
      <c r="C918" s="2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7.25" customHeight="1" x14ac:dyDescent="0.25">
      <c r="A919" s="4"/>
      <c r="B919" s="4"/>
      <c r="C919" s="2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7.25" customHeight="1" x14ac:dyDescent="0.25">
      <c r="A920" s="4"/>
      <c r="B920" s="4"/>
      <c r="C920" s="2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7.25" customHeight="1" x14ac:dyDescent="0.25">
      <c r="A921" s="4"/>
      <c r="B921" s="4"/>
      <c r="C921" s="2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7.25" customHeight="1" x14ac:dyDescent="0.25">
      <c r="A922" s="4"/>
      <c r="B922" s="4"/>
      <c r="C922" s="2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7.25" customHeight="1" x14ac:dyDescent="0.25">
      <c r="A923" s="4"/>
      <c r="B923" s="4"/>
      <c r="C923" s="2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7.25" customHeight="1" x14ac:dyDescent="0.25">
      <c r="A924" s="4"/>
      <c r="B924" s="4"/>
      <c r="C924" s="2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7.25" customHeight="1" x14ac:dyDescent="0.25">
      <c r="A925" s="4"/>
      <c r="B925" s="4"/>
      <c r="C925" s="2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7.25" customHeight="1" x14ac:dyDescent="0.25">
      <c r="A926" s="4"/>
      <c r="B926" s="4"/>
      <c r="C926" s="2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7.25" customHeight="1" x14ac:dyDescent="0.25">
      <c r="A927" s="4"/>
      <c r="B927" s="4"/>
      <c r="C927" s="2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7.25" customHeight="1" x14ac:dyDescent="0.25">
      <c r="A928" s="4"/>
      <c r="B928" s="4"/>
      <c r="C928" s="2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7.25" customHeight="1" x14ac:dyDescent="0.25">
      <c r="A929" s="4"/>
      <c r="B929" s="4"/>
      <c r="C929" s="2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7.25" customHeight="1" x14ac:dyDescent="0.25">
      <c r="A930" s="4"/>
      <c r="B930" s="4"/>
      <c r="C930" s="2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7.25" customHeight="1" x14ac:dyDescent="0.25">
      <c r="A931" s="4"/>
      <c r="B931" s="4"/>
      <c r="C931" s="2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7.25" customHeight="1" x14ac:dyDescent="0.25">
      <c r="A932" s="4"/>
      <c r="B932" s="4"/>
      <c r="C932" s="2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7.25" customHeight="1" x14ac:dyDescent="0.25">
      <c r="A933" s="4"/>
      <c r="B933" s="4"/>
      <c r="C933" s="2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7.25" customHeight="1" x14ac:dyDescent="0.25">
      <c r="A934" s="4"/>
      <c r="B934" s="4"/>
      <c r="C934" s="2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7.25" customHeight="1" x14ac:dyDescent="0.25">
      <c r="A935" s="4"/>
      <c r="B935" s="4"/>
      <c r="C935" s="2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7.25" customHeight="1" x14ac:dyDescent="0.25">
      <c r="A936" s="4"/>
      <c r="B936" s="4"/>
      <c r="C936" s="2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7.25" customHeight="1" x14ac:dyDescent="0.25">
      <c r="A937" s="4"/>
      <c r="B937" s="4"/>
      <c r="C937" s="2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7.25" customHeight="1" x14ac:dyDescent="0.25">
      <c r="A938" s="4"/>
      <c r="B938" s="4"/>
      <c r="C938" s="2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7.25" customHeight="1" x14ac:dyDescent="0.25">
      <c r="A939" s="4"/>
      <c r="B939" s="4"/>
      <c r="C939" s="2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7.25" customHeight="1" x14ac:dyDescent="0.25">
      <c r="A940" s="4"/>
      <c r="B940" s="4"/>
      <c r="C940" s="2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7.25" customHeight="1" x14ac:dyDescent="0.25">
      <c r="A941" s="4"/>
      <c r="B941" s="4"/>
      <c r="C941" s="2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7.25" customHeight="1" x14ac:dyDescent="0.25">
      <c r="A942" s="4"/>
      <c r="B942" s="4"/>
      <c r="C942" s="2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7.25" customHeight="1" x14ac:dyDescent="0.25">
      <c r="A943" s="4"/>
      <c r="B943" s="4"/>
      <c r="C943" s="2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7.25" customHeight="1" x14ac:dyDescent="0.25">
      <c r="A944" s="4"/>
      <c r="B944" s="4"/>
      <c r="C944" s="2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7.25" customHeight="1" x14ac:dyDescent="0.25">
      <c r="A945" s="4"/>
      <c r="B945" s="4"/>
      <c r="C945" s="2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7.25" customHeight="1" x14ac:dyDescent="0.25">
      <c r="A946" s="4"/>
      <c r="B946" s="4"/>
      <c r="C946" s="2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7.25" customHeight="1" x14ac:dyDescent="0.25">
      <c r="A947" s="4"/>
      <c r="B947" s="4"/>
      <c r="C947" s="2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7.25" customHeight="1" x14ac:dyDescent="0.25">
      <c r="A948" s="4"/>
      <c r="B948" s="4"/>
      <c r="C948" s="2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7.25" customHeight="1" x14ac:dyDescent="0.25">
      <c r="A949" s="4"/>
      <c r="B949" s="4"/>
      <c r="C949" s="2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7.25" customHeight="1" x14ac:dyDescent="0.25">
      <c r="A950" s="4"/>
      <c r="B950" s="4"/>
      <c r="C950" s="2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7.25" customHeight="1" x14ac:dyDescent="0.25">
      <c r="A951" s="4"/>
      <c r="B951" s="4"/>
      <c r="C951" s="2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7.25" customHeight="1" x14ac:dyDescent="0.25">
      <c r="A952" s="4"/>
      <c r="B952" s="4"/>
      <c r="C952" s="2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7.25" customHeight="1" x14ac:dyDescent="0.25">
      <c r="A953" s="4"/>
      <c r="B953" s="4"/>
      <c r="C953" s="2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7.25" customHeight="1" x14ac:dyDescent="0.25">
      <c r="A954" s="4"/>
      <c r="B954" s="4"/>
      <c r="C954" s="2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7.25" customHeight="1" x14ac:dyDescent="0.25">
      <c r="A955" s="4"/>
      <c r="B955" s="4"/>
      <c r="C955" s="2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7.25" customHeight="1" x14ac:dyDescent="0.25">
      <c r="A956" s="4"/>
      <c r="B956" s="4"/>
      <c r="C956" s="2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7.25" customHeight="1" x14ac:dyDescent="0.25">
      <c r="A957" s="4"/>
      <c r="B957" s="4"/>
      <c r="C957" s="2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7.25" customHeight="1" x14ac:dyDescent="0.25">
      <c r="A958" s="4"/>
      <c r="B958" s="4"/>
      <c r="C958" s="2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7.25" customHeight="1" x14ac:dyDescent="0.25">
      <c r="A959" s="4"/>
      <c r="B959" s="4"/>
      <c r="C959" s="2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7.25" customHeight="1" x14ac:dyDescent="0.25">
      <c r="A960" s="4"/>
      <c r="B960" s="4"/>
      <c r="C960" s="2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7.25" customHeight="1" x14ac:dyDescent="0.25">
      <c r="A961" s="4"/>
      <c r="B961" s="4"/>
      <c r="C961" s="2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7.25" customHeight="1" x14ac:dyDescent="0.25">
      <c r="A962" s="4"/>
      <c r="B962" s="4"/>
      <c r="C962" s="2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7.25" customHeight="1" x14ac:dyDescent="0.25">
      <c r="A963" s="4"/>
      <c r="B963" s="4"/>
      <c r="C963" s="2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7.25" customHeight="1" x14ac:dyDescent="0.25">
      <c r="A964" s="4"/>
      <c r="B964" s="4"/>
      <c r="C964" s="2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7.25" customHeight="1" x14ac:dyDescent="0.25">
      <c r="A965" s="4"/>
      <c r="B965" s="4"/>
      <c r="C965" s="2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7.25" customHeight="1" x14ac:dyDescent="0.25">
      <c r="A966" s="4"/>
      <c r="B966" s="4"/>
      <c r="C966" s="2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7.25" customHeight="1" x14ac:dyDescent="0.25">
      <c r="A967" s="4"/>
      <c r="B967" s="4"/>
      <c r="C967" s="2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7.25" customHeight="1" x14ac:dyDescent="0.25">
      <c r="A968" s="4"/>
      <c r="B968" s="4"/>
      <c r="C968" s="2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7.25" customHeight="1" x14ac:dyDescent="0.25">
      <c r="A969" s="4"/>
      <c r="B969" s="4"/>
      <c r="C969" s="2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7.25" customHeight="1" x14ac:dyDescent="0.25">
      <c r="A970" s="4"/>
      <c r="B970" s="4"/>
      <c r="C970" s="2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7.25" customHeight="1" x14ac:dyDescent="0.25">
      <c r="A971" s="4"/>
      <c r="B971" s="4"/>
      <c r="C971" s="2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7.25" customHeight="1" x14ac:dyDescent="0.25">
      <c r="A972" s="4"/>
      <c r="B972" s="4"/>
      <c r="C972" s="2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7.25" customHeight="1" x14ac:dyDescent="0.25">
      <c r="A973" s="4"/>
      <c r="B973" s="4"/>
      <c r="C973" s="2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7.25" customHeight="1" x14ac:dyDescent="0.25">
      <c r="A974" s="4"/>
      <c r="B974" s="4"/>
      <c r="C974" s="2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7.25" customHeight="1" x14ac:dyDescent="0.25">
      <c r="A975" s="4"/>
      <c r="B975" s="4"/>
      <c r="C975" s="2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7.25" customHeight="1" x14ac:dyDescent="0.25">
      <c r="A976" s="4"/>
      <c r="B976" s="4"/>
      <c r="C976" s="2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7.25" customHeight="1" x14ac:dyDescent="0.25">
      <c r="A977" s="4"/>
      <c r="B977" s="4"/>
      <c r="C977" s="2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7.25" customHeight="1" x14ac:dyDescent="0.25">
      <c r="A978" s="4"/>
      <c r="B978" s="4"/>
      <c r="C978" s="2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7.25" customHeight="1" x14ac:dyDescent="0.25">
      <c r="A979" s="4"/>
      <c r="B979" s="4"/>
      <c r="C979" s="2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7.25" customHeight="1" x14ac:dyDescent="0.25">
      <c r="A980" s="4"/>
      <c r="B980" s="4"/>
      <c r="C980" s="2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7.25" customHeight="1" x14ac:dyDescent="0.25">
      <c r="A981" s="4"/>
      <c r="B981" s="4"/>
      <c r="C981" s="2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7.25" customHeight="1" x14ac:dyDescent="0.25">
      <c r="A982" s="4"/>
      <c r="B982" s="4"/>
      <c r="C982" s="2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7.25" customHeight="1" x14ac:dyDescent="0.25">
      <c r="A983" s="4"/>
      <c r="B983" s="4"/>
      <c r="C983" s="2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7.25" customHeight="1" x14ac:dyDescent="0.25">
      <c r="A984" s="4"/>
      <c r="B984" s="4"/>
      <c r="C984" s="2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7.25" customHeight="1" x14ac:dyDescent="0.25">
      <c r="A985" s="4"/>
      <c r="B985" s="4"/>
      <c r="C985" s="2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7.25" customHeight="1" x14ac:dyDescent="0.25">
      <c r="A986" s="4"/>
      <c r="B986" s="4"/>
      <c r="C986" s="2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7.25" customHeight="1" x14ac:dyDescent="0.25">
      <c r="A987" s="4"/>
      <c r="B987" s="4"/>
      <c r="C987" s="2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7.25" customHeight="1" x14ac:dyDescent="0.25">
      <c r="A988" s="4"/>
      <c r="B988" s="4"/>
      <c r="C988" s="2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7.25" customHeight="1" x14ac:dyDescent="0.25">
      <c r="A989" s="4"/>
      <c r="B989" s="4"/>
      <c r="C989" s="2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7.25" customHeight="1" x14ac:dyDescent="0.25">
      <c r="A990" s="4"/>
      <c r="B990" s="4"/>
      <c r="C990" s="2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7.25" customHeight="1" x14ac:dyDescent="0.25">
      <c r="A991" s="4"/>
      <c r="B991" s="4"/>
      <c r="C991" s="2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7.25" customHeight="1" x14ac:dyDescent="0.25">
      <c r="A992" s="4"/>
      <c r="B992" s="4"/>
      <c r="C992" s="2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7.25" customHeight="1" x14ac:dyDescent="0.25">
      <c r="A993" s="4"/>
      <c r="B993" s="4"/>
      <c r="C993" s="2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7.25" customHeight="1" x14ac:dyDescent="0.25">
      <c r="A994" s="4"/>
      <c r="B994" s="4"/>
      <c r="C994" s="2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7.25" customHeight="1" x14ac:dyDescent="0.25">
      <c r="A995" s="4"/>
      <c r="B995" s="4"/>
      <c r="C995" s="2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7.25" customHeight="1" x14ac:dyDescent="0.25">
      <c r="A996" s="4"/>
      <c r="B996" s="4"/>
      <c r="C996" s="2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7.25" customHeight="1" x14ac:dyDescent="0.25">
      <c r="A997" s="4"/>
      <c r="B997" s="4"/>
      <c r="C997" s="2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7.25" customHeight="1" x14ac:dyDescent="0.25">
      <c r="A998" s="4"/>
      <c r="B998" s="4"/>
      <c r="C998" s="2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7.25" customHeight="1" x14ac:dyDescent="0.25">
      <c r="A999" s="4"/>
      <c r="B999" s="4"/>
      <c r="C999" s="2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7.25" customHeight="1" x14ac:dyDescent="0.25">
      <c r="A1000" s="4"/>
      <c r="B1000" s="4"/>
      <c r="C1000" s="2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spans="1:25" ht="17.25" customHeight="1" x14ac:dyDescent="0.25">
      <c r="A1001" s="4"/>
      <c r="B1001" s="4"/>
      <c r="C1001" s="26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</sheetData>
  <pageMargins left="0.51181102362204722" right="0.51181102362204722" top="0.78740157480314965" bottom="0.78740157480314965" header="0" footer="0"/>
  <pageSetup paperSize="9" scale="11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sqref="A1:C18"/>
    </sheetView>
  </sheetViews>
  <sheetFormatPr defaultColWidth="12.5546875" defaultRowHeight="15" customHeight="1" x14ac:dyDescent="0.25"/>
  <cols>
    <col min="1" max="1" width="69.44140625" customWidth="1"/>
    <col min="2" max="2" width="19.5546875" customWidth="1"/>
    <col min="3" max="3" width="23" customWidth="1"/>
    <col min="4" max="26" width="8.5546875" customWidth="1"/>
  </cols>
  <sheetData>
    <row r="1" spans="1:26" ht="39" customHeight="1" x14ac:dyDescent="0.25">
      <c r="A1" s="1" t="s">
        <v>0</v>
      </c>
      <c r="B1" s="27" t="s">
        <v>25</v>
      </c>
      <c r="C1" s="2" t="s">
        <v>26</v>
      </c>
    </row>
    <row r="2" spans="1:26" ht="23.25" customHeight="1" x14ac:dyDescent="0.25">
      <c r="A2" s="9" t="str">
        <f>'Orçamento Resumo'!A3</f>
        <v>MOVIMENTAÇÃO DE TERRA</v>
      </c>
      <c r="B2" s="28">
        <f>'Orçamento Resumo'!D3</f>
        <v>4.4999707240175661</v>
      </c>
      <c r="C2" s="29" t="s">
        <v>27</v>
      </c>
      <c r="D2" s="30">
        <v>10</v>
      </c>
      <c r="E2" s="30">
        <v>50</v>
      </c>
      <c r="F2" s="31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23.25" customHeight="1" x14ac:dyDescent="0.25">
      <c r="A3" s="5" t="str">
        <f>'Orçamento Resumo'!A4</f>
        <v>INFRAESTRUTURA</v>
      </c>
      <c r="B3" s="32">
        <f>'Orçamento Resumo'!D4</f>
        <v>240.5254205607477</v>
      </c>
      <c r="C3" s="33" t="s">
        <v>28</v>
      </c>
      <c r="D3" s="30">
        <v>170</v>
      </c>
      <c r="E3" s="30">
        <v>250</v>
      </c>
      <c r="F3" s="31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3.25" customHeight="1" x14ac:dyDescent="0.25">
      <c r="A4" s="9" t="str">
        <f>'Orçamento Resumo'!A5</f>
        <v>SUPRAESTRUTURA</v>
      </c>
      <c r="B4" s="28">
        <f>'Orçamento Resumo'!D5</f>
        <v>317.55011597793043</v>
      </c>
      <c r="C4" s="29" t="s">
        <v>29</v>
      </c>
      <c r="D4" s="30">
        <v>320</v>
      </c>
      <c r="E4" s="30">
        <v>380</v>
      </c>
      <c r="F4" s="31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23.25" customHeight="1" x14ac:dyDescent="0.25">
      <c r="A5" s="5" t="str">
        <f>'Orçamento Resumo'!A6</f>
        <v>ALVENARIA, VEDAÇÕES E DIVISÓRIAS</v>
      </c>
      <c r="B5" s="32">
        <f>'Orçamento Resumo'!D6</f>
        <v>320.49482490710506</v>
      </c>
      <c r="C5" s="33" t="s">
        <v>30</v>
      </c>
      <c r="D5" s="30">
        <v>200</v>
      </c>
      <c r="E5" s="30">
        <v>300</v>
      </c>
      <c r="F5" s="31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23.25" customHeight="1" x14ac:dyDescent="0.25">
      <c r="A6" s="9" t="str">
        <f>'Orçamento Resumo'!A7</f>
        <v>INSTALAÇÕES ELÉTRICAS, HIDROSSANITÁRIAS, PREVENTIVAS E GLP</v>
      </c>
      <c r="B6" s="28">
        <f>'Orçamento Resumo'!D7</f>
        <v>411.27091543745081</v>
      </c>
      <c r="C6" s="29" t="s">
        <v>31</v>
      </c>
      <c r="D6" s="30">
        <v>300</v>
      </c>
      <c r="E6" s="30">
        <v>400</v>
      </c>
      <c r="F6" s="3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3.25" customHeight="1" x14ac:dyDescent="0.25">
      <c r="A7" s="5" t="s">
        <v>10</v>
      </c>
      <c r="B7" s="32">
        <f>'Orçamento Resumo'!D8</f>
        <v>23.885276432834143</v>
      </c>
      <c r="C7" s="33" t="s">
        <v>32</v>
      </c>
      <c r="D7" s="30">
        <v>15</v>
      </c>
      <c r="E7" s="30">
        <v>30</v>
      </c>
      <c r="F7" s="31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23.25" customHeight="1" x14ac:dyDescent="0.25">
      <c r="A8" s="9" t="str">
        <f>'Orçamento Resumo'!A9</f>
        <v>SISTEMAS ESPECIAIS E EQUIPAMENTOS</v>
      </c>
      <c r="B8" s="28">
        <f>'Orçamento Resumo'!D9</f>
        <v>242.79760162143901</v>
      </c>
      <c r="C8" s="29" t="s">
        <v>33</v>
      </c>
      <c r="D8" s="30">
        <v>110</v>
      </c>
      <c r="E8" s="30">
        <v>170</v>
      </c>
      <c r="F8" s="31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23.25" customHeight="1" x14ac:dyDescent="0.25">
      <c r="A9" s="5" t="str">
        <f>'Orçamento Resumo'!A10</f>
        <v>IMPERMEABILIZAÇÃO</v>
      </c>
      <c r="B9" s="32">
        <f>'Orçamento Resumo'!D10</f>
        <v>72.61531809480914</v>
      </c>
      <c r="C9" s="33" t="s">
        <v>34</v>
      </c>
      <c r="D9" s="30">
        <v>75</v>
      </c>
      <c r="E9" s="30">
        <v>85</v>
      </c>
      <c r="F9" s="31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23.25" customHeight="1" x14ac:dyDescent="0.25">
      <c r="A10" s="9" t="str">
        <f>'Orçamento Resumo'!A11</f>
        <v>REVESTIMENTOS INTERNOS EM PISO E PAREDE</v>
      </c>
      <c r="B10" s="28">
        <f>'Orçamento Resumo'!D11</f>
        <v>280.89283864429677</v>
      </c>
      <c r="C10" s="29" t="s">
        <v>35</v>
      </c>
      <c r="D10" s="30">
        <v>160</v>
      </c>
      <c r="E10" s="30">
        <v>270</v>
      </c>
      <c r="F10" s="31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23.25" customHeight="1" x14ac:dyDescent="0.25">
      <c r="A11" s="5" t="str">
        <f>'Orçamento Resumo'!A12</f>
        <v>REVESTIMENTOS E ACABAMENTOS INTERNOS EM TETO</v>
      </c>
      <c r="B11" s="32">
        <f>'Orçamento Resumo'!D12</f>
        <v>102.83968472018917</v>
      </c>
      <c r="C11" s="33" t="s">
        <v>36</v>
      </c>
      <c r="D11" s="30">
        <v>50</v>
      </c>
      <c r="E11" s="30">
        <v>100</v>
      </c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23.25" customHeight="1" x14ac:dyDescent="0.25">
      <c r="A12" s="9" t="str">
        <f>'Orçamento Resumo'!A13</f>
        <v>ACABAMENTOS EM PISO E PAREDE</v>
      </c>
      <c r="B12" s="28">
        <f>'Orçamento Resumo'!D13</f>
        <v>268.93969147618509</v>
      </c>
      <c r="C12" s="29" t="s">
        <v>37</v>
      </c>
      <c r="D12" s="30">
        <v>160</v>
      </c>
      <c r="E12" s="30">
        <v>250</v>
      </c>
      <c r="F12" s="3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3.25" customHeight="1" x14ac:dyDescent="0.25">
      <c r="A13" s="5" t="str">
        <f>'Orçamento Resumo'!A14</f>
        <v>PINTURA INTERNA</v>
      </c>
      <c r="B13" s="32">
        <f>'Orçamento Resumo'!D14</f>
        <v>103.60444094133544</v>
      </c>
      <c r="C13" s="33" t="s">
        <v>38</v>
      </c>
      <c r="D13" s="30">
        <v>80</v>
      </c>
      <c r="E13" s="30">
        <v>120</v>
      </c>
      <c r="F13" s="31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23.25" customHeight="1" x14ac:dyDescent="0.25">
      <c r="A14" s="9" t="str">
        <f>'Orçamento Resumo'!A15</f>
        <v xml:space="preserve">ESQUADRIAS </v>
      </c>
      <c r="B14" s="28">
        <f>'Orçamento Resumo'!D15</f>
        <v>234.59971624817027</v>
      </c>
      <c r="C14" s="29" t="s">
        <v>39</v>
      </c>
      <c r="D14" s="30">
        <v>180</v>
      </c>
      <c r="E14" s="30">
        <v>270</v>
      </c>
      <c r="F14" s="31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23.25" customHeight="1" x14ac:dyDescent="0.25">
      <c r="A15" s="5" t="str">
        <f>'Orçamento Resumo'!A16</f>
        <v>REVESTIMENTOS E ACABAMENTOS DE FACHADA</v>
      </c>
      <c r="B15" s="32">
        <f>'Orçamento Resumo'!D16</f>
        <v>120.26903501857899</v>
      </c>
      <c r="C15" s="33" t="s">
        <v>40</v>
      </c>
      <c r="D15" s="30">
        <v>85</v>
      </c>
      <c r="E15" s="30">
        <v>110</v>
      </c>
      <c r="F15" s="31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23.25" customHeight="1" x14ac:dyDescent="0.25">
      <c r="A16" s="9" t="str">
        <f>'Orçamento Resumo'!A17</f>
        <v>MÃO DE OBRA PRÓPRIA</v>
      </c>
      <c r="B16" s="28">
        <f>'Orçamento Resumo'!D17</f>
        <v>81.851593289044033</v>
      </c>
      <c r="C16" s="29" t="s">
        <v>41</v>
      </c>
      <c r="D16" s="30">
        <v>50</v>
      </c>
      <c r="E16" s="30">
        <v>80</v>
      </c>
      <c r="F16" s="31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3.25" customHeight="1" x14ac:dyDescent="0.25">
      <c r="A17" s="5" t="str">
        <f>'Orçamento Resumo'!A18</f>
        <v>SERVIÇOS COMPLEMENTARES</v>
      </c>
      <c r="B17" s="32">
        <f>'Orçamento Resumo'!D18+'Orçamento Resumo'!D19</f>
        <v>96.534257403445565</v>
      </c>
      <c r="C17" s="33" t="s">
        <v>42</v>
      </c>
      <c r="D17" s="30">
        <v>120</v>
      </c>
      <c r="E17" s="30">
        <v>210</v>
      </c>
      <c r="F17" s="31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9.5" customHeight="1" x14ac:dyDescent="0.25">
      <c r="A18" s="15" t="s">
        <v>23</v>
      </c>
      <c r="B18" s="34">
        <f>SUM(B2:B17)</f>
        <v>2923.1707014975791</v>
      </c>
      <c r="C18" s="35" t="s">
        <v>43</v>
      </c>
      <c r="D18" s="36">
        <f t="shared" ref="D18:E18" si="0">SUM(D2:D17)</f>
        <v>2085</v>
      </c>
      <c r="E18" s="36">
        <f t="shared" si="0"/>
        <v>3075</v>
      </c>
    </row>
    <row r="19" spans="1:26" ht="21" customHeight="1" x14ac:dyDescent="0.25">
      <c r="B19" s="37"/>
      <c r="C19" s="38"/>
    </row>
    <row r="20" spans="1:26" ht="16.5" customHeight="1" x14ac:dyDescent="0.25">
      <c r="B20" s="37"/>
      <c r="C20" s="38"/>
    </row>
    <row r="21" spans="1:26" ht="16.5" customHeight="1" x14ac:dyDescent="0.25">
      <c r="B21" s="37"/>
      <c r="C21" s="38"/>
    </row>
    <row r="22" spans="1:26" ht="16.5" customHeight="1" x14ac:dyDescent="0.25">
      <c r="B22" s="37"/>
      <c r="C22" s="38"/>
    </row>
    <row r="23" spans="1:26" ht="16.5" customHeight="1" x14ac:dyDescent="0.25">
      <c r="B23" s="37"/>
      <c r="C23" s="38"/>
    </row>
    <row r="24" spans="1:26" ht="16.5" customHeight="1" x14ac:dyDescent="0.25">
      <c r="B24" s="37"/>
      <c r="C24" s="38"/>
    </row>
    <row r="25" spans="1:26" ht="16.5" customHeight="1" x14ac:dyDescent="0.25">
      <c r="B25" s="37"/>
      <c r="C25" s="38"/>
    </row>
    <row r="26" spans="1:26" ht="16.5" customHeight="1" x14ac:dyDescent="0.25">
      <c r="B26" s="37"/>
      <c r="C26" s="38"/>
    </row>
    <row r="27" spans="1:26" ht="16.5" customHeight="1" x14ac:dyDescent="0.25">
      <c r="B27" s="37"/>
      <c r="C27" s="38"/>
    </row>
    <row r="28" spans="1:26" ht="16.5" customHeight="1" x14ac:dyDescent="0.25">
      <c r="B28" s="37"/>
      <c r="C28" s="38"/>
    </row>
    <row r="29" spans="1:26" ht="16.5" customHeight="1" x14ac:dyDescent="0.25">
      <c r="B29" s="37"/>
      <c r="C29" s="38"/>
    </row>
    <row r="30" spans="1:26" ht="16.5" customHeight="1" x14ac:dyDescent="0.25">
      <c r="B30" s="37"/>
      <c r="C30" s="38"/>
    </row>
    <row r="31" spans="1:26" ht="16.5" customHeight="1" x14ac:dyDescent="0.25">
      <c r="B31" s="37"/>
      <c r="C31" s="38"/>
    </row>
    <row r="32" spans="1:26" ht="16.5" customHeight="1" x14ac:dyDescent="0.25">
      <c r="B32" s="37"/>
      <c r="C32" s="38"/>
    </row>
    <row r="33" spans="2:3" ht="16.5" customHeight="1" x14ac:dyDescent="0.25">
      <c r="B33" s="37"/>
      <c r="C33" s="38"/>
    </row>
    <row r="34" spans="2:3" ht="16.5" customHeight="1" x14ac:dyDescent="0.25">
      <c r="B34" s="37"/>
      <c r="C34" s="38"/>
    </row>
    <row r="35" spans="2:3" ht="16.5" customHeight="1" x14ac:dyDescent="0.25">
      <c r="B35" s="37"/>
      <c r="C35" s="38"/>
    </row>
    <row r="36" spans="2:3" ht="16.5" customHeight="1" x14ac:dyDescent="0.25">
      <c r="B36" s="37"/>
      <c r="C36" s="38"/>
    </row>
    <row r="37" spans="2:3" ht="16.5" customHeight="1" x14ac:dyDescent="0.25">
      <c r="B37" s="37"/>
      <c r="C37" s="38"/>
    </row>
    <row r="38" spans="2:3" ht="16.5" customHeight="1" x14ac:dyDescent="0.25">
      <c r="B38" s="37"/>
      <c r="C38" s="38"/>
    </row>
    <row r="39" spans="2:3" ht="16.5" customHeight="1" x14ac:dyDescent="0.25">
      <c r="B39" s="37"/>
      <c r="C39" s="38"/>
    </row>
    <row r="40" spans="2:3" ht="16.5" customHeight="1" x14ac:dyDescent="0.25">
      <c r="B40" s="37"/>
      <c r="C40" s="38"/>
    </row>
    <row r="41" spans="2:3" ht="16.5" customHeight="1" x14ac:dyDescent="0.25">
      <c r="B41" s="37"/>
      <c r="C41" s="38"/>
    </row>
    <row r="42" spans="2:3" ht="16.5" customHeight="1" x14ac:dyDescent="0.25">
      <c r="B42" s="37"/>
      <c r="C42" s="38"/>
    </row>
    <row r="43" spans="2:3" ht="16.5" customHeight="1" x14ac:dyDescent="0.25">
      <c r="B43" s="37"/>
      <c r="C43" s="38"/>
    </row>
    <row r="44" spans="2:3" ht="16.5" customHeight="1" x14ac:dyDescent="0.25">
      <c r="B44" s="37"/>
      <c r="C44" s="38"/>
    </row>
    <row r="45" spans="2:3" ht="16.5" customHeight="1" x14ac:dyDescent="0.25">
      <c r="B45" s="37"/>
      <c r="C45" s="38"/>
    </row>
    <row r="46" spans="2:3" ht="16.5" customHeight="1" x14ac:dyDescent="0.25">
      <c r="B46" s="37"/>
      <c r="C46" s="38"/>
    </row>
    <row r="47" spans="2:3" ht="16.5" customHeight="1" x14ac:dyDescent="0.25">
      <c r="B47" s="37"/>
      <c r="C47" s="38"/>
    </row>
    <row r="48" spans="2:3" ht="16.5" customHeight="1" x14ac:dyDescent="0.25">
      <c r="B48" s="37"/>
      <c r="C48" s="38"/>
    </row>
    <row r="49" spans="2:3" ht="16.5" customHeight="1" x14ac:dyDescent="0.25">
      <c r="B49" s="37"/>
      <c r="C49" s="38"/>
    </row>
    <row r="50" spans="2:3" ht="16.5" customHeight="1" x14ac:dyDescent="0.25">
      <c r="B50" s="37"/>
      <c r="C50" s="38"/>
    </row>
    <row r="51" spans="2:3" ht="16.5" customHeight="1" x14ac:dyDescent="0.25">
      <c r="B51" s="37"/>
      <c r="C51" s="38"/>
    </row>
    <row r="52" spans="2:3" ht="16.5" customHeight="1" x14ac:dyDescent="0.25">
      <c r="B52" s="37"/>
      <c r="C52" s="38"/>
    </row>
    <row r="53" spans="2:3" ht="16.5" customHeight="1" x14ac:dyDescent="0.25">
      <c r="B53" s="37"/>
      <c r="C53" s="38"/>
    </row>
    <row r="54" spans="2:3" ht="16.5" customHeight="1" x14ac:dyDescent="0.25">
      <c r="B54" s="37"/>
      <c r="C54" s="38"/>
    </row>
    <row r="55" spans="2:3" ht="16.5" customHeight="1" x14ac:dyDescent="0.25">
      <c r="B55" s="37"/>
      <c r="C55" s="38"/>
    </row>
    <row r="56" spans="2:3" ht="16.5" customHeight="1" x14ac:dyDescent="0.25">
      <c r="B56" s="37"/>
      <c r="C56" s="38"/>
    </row>
    <row r="57" spans="2:3" ht="16.5" customHeight="1" x14ac:dyDescent="0.25">
      <c r="B57" s="37"/>
      <c r="C57" s="38"/>
    </row>
    <row r="58" spans="2:3" ht="16.5" customHeight="1" x14ac:dyDescent="0.25">
      <c r="B58" s="37"/>
      <c r="C58" s="38"/>
    </row>
    <row r="59" spans="2:3" ht="16.5" customHeight="1" x14ac:dyDescent="0.25">
      <c r="B59" s="37"/>
      <c r="C59" s="38"/>
    </row>
    <row r="60" spans="2:3" ht="16.5" customHeight="1" x14ac:dyDescent="0.25">
      <c r="B60" s="37"/>
      <c r="C60" s="38"/>
    </row>
    <row r="61" spans="2:3" ht="16.5" customHeight="1" x14ac:dyDescent="0.25">
      <c r="B61" s="37"/>
      <c r="C61" s="38"/>
    </row>
    <row r="62" spans="2:3" ht="16.5" customHeight="1" x14ac:dyDescent="0.25">
      <c r="B62" s="37"/>
      <c r="C62" s="38"/>
    </row>
    <row r="63" spans="2:3" ht="16.5" customHeight="1" x14ac:dyDescent="0.25">
      <c r="B63" s="37"/>
      <c r="C63" s="38"/>
    </row>
    <row r="64" spans="2:3" ht="16.5" customHeight="1" x14ac:dyDescent="0.25">
      <c r="B64" s="37"/>
      <c r="C64" s="38"/>
    </row>
    <row r="65" spans="2:3" ht="16.5" customHeight="1" x14ac:dyDescent="0.25">
      <c r="B65" s="37"/>
      <c r="C65" s="38"/>
    </row>
    <row r="66" spans="2:3" ht="16.5" customHeight="1" x14ac:dyDescent="0.25">
      <c r="B66" s="37"/>
      <c r="C66" s="38"/>
    </row>
    <row r="67" spans="2:3" ht="16.5" customHeight="1" x14ac:dyDescent="0.25">
      <c r="B67" s="37"/>
      <c r="C67" s="38"/>
    </row>
    <row r="68" spans="2:3" ht="16.5" customHeight="1" x14ac:dyDescent="0.25">
      <c r="B68" s="37"/>
      <c r="C68" s="38"/>
    </row>
    <row r="69" spans="2:3" ht="16.5" customHeight="1" x14ac:dyDescent="0.25">
      <c r="B69" s="37"/>
      <c r="C69" s="38"/>
    </row>
    <row r="70" spans="2:3" ht="16.5" customHeight="1" x14ac:dyDescent="0.25">
      <c r="B70" s="37"/>
      <c r="C70" s="38"/>
    </row>
    <row r="71" spans="2:3" ht="16.5" customHeight="1" x14ac:dyDescent="0.25">
      <c r="B71" s="37"/>
      <c r="C71" s="38"/>
    </row>
    <row r="72" spans="2:3" ht="16.5" customHeight="1" x14ac:dyDescent="0.25">
      <c r="B72" s="37"/>
      <c r="C72" s="38"/>
    </row>
    <row r="73" spans="2:3" ht="16.5" customHeight="1" x14ac:dyDescent="0.25">
      <c r="B73" s="37"/>
      <c r="C73" s="38"/>
    </row>
    <row r="74" spans="2:3" ht="16.5" customHeight="1" x14ac:dyDescent="0.25">
      <c r="B74" s="37"/>
      <c r="C74" s="38"/>
    </row>
    <row r="75" spans="2:3" ht="16.5" customHeight="1" x14ac:dyDescent="0.25">
      <c r="B75" s="37"/>
      <c r="C75" s="38"/>
    </row>
    <row r="76" spans="2:3" ht="16.5" customHeight="1" x14ac:dyDescent="0.25">
      <c r="B76" s="37"/>
      <c r="C76" s="38"/>
    </row>
    <row r="77" spans="2:3" ht="16.5" customHeight="1" x14ac:dyDescent="0.25">
      <c r="B77" s="37"/>
      <c r="C77" s="38"/>
    </row>
    <row r="78" spans="2:3" ht="16.5" customHeight="1" x14ac:dyDescent="0.25">
      <c r="B78" s="37"/>
      <c r="C78" s="38"/>
    </row>
    <row r="79" spans="2:3" ht="16.5" customHeight="1" x14ac:dyDescent="0.25">
      <c r="B79" s="37"/>
      <c r="C79" s="38"/>
    </row>
    <row r="80" spans="2:3" ht="16.5" customHeight="1" x14ac:dyDescent="0.25">
      <c r="B80" s="37"/>
      <c r="C80" s="38"/>
    </row>
    <row r="81" spans="2:3" ht="16.5" customHeight="1" x14ac:dyDescent="0.25">
      <c r="B81" s="37"/>
      <c r="C81" s="38"/>
    </row>
    <row r="82" spans="2:3" ht="16.5" customHeight="1" x14ac:dyDescent="0.25">
      <c r="B82" s="37"/>
      <c r="C82" s="38"/>
    </row>
    <row r="83" spans="2:3" ht="16.5" customHeight="1" x14ac:dyDescent="0.25">
      <c r="B83" s="37"/>
      <c r="C83" s="38"/>
    </row>
    <row r="84" spans="2:3" ht="16.5" customHeight="1" x14ac:dyDescent="0.25">
      <c r="B84" s="37"/>
      <c r="C84" s="38"/>
    </row>
    <row r="85" spans="2:3" ht="16.5" customHeight="1" x14ac:dyDescent="0.25">
      <c r="B85" s="37"/>
      <c r="C85" s="38"/>
    </row>
    <row r="86" spans="2:3" ht="16.5" customHeight="1" x14ac:dyDescent="0.25">
      <c r="B86" s="37"/>
      <c r="C86" s="38"/>
    </row>
    <row r="87" spans="2:3" ht="16.5" customHeight="1" x14ac:dyDescent="0.25">
      <c r="B87" s="37"/>
      <c r="C87" s="38"/>
    </row>
    <row r="88" spans="2:3" ht="16.5" customHeight="1" x14ac:dyDescent="0.25">
      <c r="B88" s="37"/>
      <c r="C88" s="38"/>
    </row>
    <row r="89" spans="2:3" ht="16.5" customHeight="1" x14ac:dyDescent="0.25">
      <c r="B89" s="37"/>
      <c r="C89" s="38"/>
    </row>
    <row r="90" spans="2:3" ht="16.5" customHeight="1" x14ac:dyDescent="0.25">
      <c r="B90" s="37"/>
      <c r="C90" s="38"/>
    </row>
    <row r="91" spans="2:3" ht="16.5" customHeight="1" x14ac:dyDescent="0.25">
      <c r="B91" s="37"/>
      <c r="C91" s="38"/>
    </row>
    <row r="92" spans="2:3" ht="16.5" customHeight="1" x14ac:dyDescent="0.25">
      <c r="B92" s="37"/>
      <c r="C92" s="38"/>
    </row>
    <row r="93" spans="2:3" ht="16.5" customHeight="1" x14ac:dyDescent="0.25">
      <c r="B93" s="37"/>
      <c r="C93" s="38"/>
    </row>
    <row r="94" spans="2:3" ht="16.5" customHeight="1" x14ac:dyDescent="0.25">
      <c r="B94" s="37"/>
      <c r="C94" s="38"/>
    </row>
    <row r="95" spans="2:3" ht="16.5" customHeight="1" x14ac:dyDescent="0.25">
      <c r="B95" s="37"/>
      <c r="C95" s="38"/>
    </row>
    <row r="96" spans="2:3" ht="16.5" customHeight="1" x14ac:dyDescent="0.25">
      <c r="B96" s="37"/>
      <c r="C96" s="38"/>
    </row>
    <row r="97" spans="2:3" ht="16.5" customHeight="1" x14ac:dyDescent="0.25">
      <c r="B97" s="37"/>
      <c r="C97" s="38"/>
    </row>
    <row r="98" spans="2:3" ht="16.5" customHeight="1" x14ac:dyDescent="0.25">
      <c r="B98" s="37"/>
      <c r="C98" s="38"/>
    </row>
    <row r="99" spans="2:3" ht="16.5" customHeight="1" x14ac:dyDescent="0.25">
      <c r="B99" s="37"/>
      <c r="C99" s="38"/>
    </row>
    <row r="100" spans="2:3" ht="16.5" customHeight="1" x14ac:dyDescent="0.25">
      <c r="B100" s="37"/>
      <c r="C100" s="38"/>
    </row>
    <row r="101" spans="2:3" ht="16.5" customHeight="1" x14ac:dyDescent="0.25">
      <c r="B101" s="37"/>
      <c r="C101" s="38"/>
    </row>
    <row r="102" spans="2:3" ht="16.5" customHeight="1" x14ac:dyDescent="0.25">
      <c r="B102" s="37"/>
      <c r="C102" s="38"/>
    </row>
    <row r="103" spans="2:3" ht="16.5" customHeight="1" x14ac:dyDescent="0.25">
      <c r="B103" s="37"/>
      <c r="C103" s="38"/>
    </row>
    <row r="104" spans="2:3" ht="16.5" customHeight="1" x14ac:dyDescent="0.25">
      <c r="B104" s="37"/>
      <c r="C104" s="38"/>
    </row>
    <row r="105" spans="2:3" ht="16.5" customHeight="1" x14ac:dyDescent="0.25">
      <c r="B105" s="37"/>
      <c r="C105" s="38"/>
    </row>
    <row r="106" spans="2:3" ht="16.5" customHeight="1" x14ac:dyDescent="0.25">
      <c r="B106" s="37"/>
      <c r="C106" s="38"/>
    </row>
    <row r="107" spans="2:3" ht="16.5" customHeight="1" x14ac:dyDescent="0.25">
      <c r="B107" s="37"/>
      <c r="C107" s="38"/>
    </row>
    <row r="108" spans="2:3" ht="16.5" customHeight="1" x14ac:dyDescent="0.25">
      <c r="B108" s="37"/>
      <c r="C108" s="38"/>
    </row>
    <row r="109" spans="2:3" ht="16.5" customHeight="1" x14ac:dyDescent="0.25">
      <c r="B109" s="37"/>
      <c r="C109" s="38"/>
    </row>
    <row r="110" spans="2:3" ht="16.5" customHeight="1" x14ac:dyDescent="0.25">
      <c r="B110" s="37"/>
      <c r="C110" s="38"/>
    </row>
    <row r="111" spans="2:3" ht="16.5" customHeight="1" x14ac:dyDescent="0.25">
      <c r="B111" s="37"/>
      <c r="C111" s="38"/>
    </row>
    <row r="112" spans="2:3" ht="16.5" customHeight="1" x14ac:dyDescent="0.25">
      <c r="B112" s="37"/>
      <c r="C112" s="38"/>
    </row>
    <row r="113" spans="2:3" ht="16.5" customHeight="1" x14ac:dyDescent="0.25">
      <c r="B113" s="37"/>
      <c r="C113" s="38"/>
    </row>
    <row r="114" spans="2:3" ht="16.5" customHeight="1" x14ac:dyDescent="0.25">
      <c r="B114" s="37"/>
      <c r="C114" s="38"/>
    </row>
    <row r="115" spans="2:3" ht="16.5" customHeight="1" x14ac:dyDescent="0.25">
      <c r="B115" s="37"/>
      <c r="C115" s="38"/>
    </row>
    <row r="116" spans="2:3" ht="16.5" customHeight="1" x14ac:dyDescent="0.25">
      <c r="B116" s="37"/>
      <c r="C116" s="38"/>
    </row>
    <row r="117" spans="2:3" ht="16.5" customHeight="1" x14ac:dyDescent="0.25">
      <c r="B117" s="37"/>
      <c r="C117" s="38"/>
    </row>
    <row r="118" spans="2:3" ht="16.5" customHeight="1" x14ac:dyDescent="0.25">
      <c r="B118" s="37"/>
      <c r="C118" s="38"/>
    </row>
    <row r="119" spans="2:3" ht="16.5" customHeight="1" x14ac:dyDescent="0.25">
      <c r="B119" s="37"/>
      <c r="C119" s="38"/>
    </row>
    <row r="120" spans="2:3" ht="16.5" customHeight="1" x14ac:dyDescent="0.25">
      <c r="B120" s="37"/>
      <c r="C120" s="38"/>
    </row>
    <row r="121" spans="2:3" ht="16.5" customHeight="1" x14ac:dyDescent="0.25">
      <c r="B121" s="37"/>
      <c r="C121" s="38"/>
    </row>
    <row r="122" spans="2:3" ht="16.5" customHeight="1" x14ac:dyDescent="0.25">
      <c r="B122" s="37"/>
      <c r="C122" s="38"/>
    </row>
    <row r="123" spans="2:3" ht="16.5" customHeight="1" x14ac:dyDescent="0.25">
      <c r="B123" s="37"/>
      <c r="C123" s="38"/>
    </row>
    <row r="124" spans="2:3" ht="16.5" customHeight="1" x14ac:dyDescent="0.25">
      <c r="B124" s="37"/>
      <c r="C124" s="38"/>
    </row>
    <row r="125" spans="2:3" ht="16.5" customHeight="1" x14ac:dyDescent="0.25">
      <c r="B125" s="37"/>
      <c r="C125" s="38"/>
    </row>
    <row r="126" spans="2:3" ht="16.5" customHeight="1" x14ac:dyDescent="0.25">
      <c r="B126" s="37"/>
      <c r="C126" s="38"/>
    </row>
    <row r="127" spans="2:3" ht="16.5" customHeight="1" x14ac:dyDescent="0.25">
      <c r="B127" s="37"/>
      <c r="C127" s="38"/>
    </row>
    <row r="128" spans="2:3" ht="16.5" customHeight="1" x14ac:dyDescent="0.25">
      <c r="B128" s="37"/>
      <c r="C128" s="38"/>
    </row>
    <row r="129" spans="2:3" ht="16.5" customHeight="1" x14ac:dyDescent="0.25">
      <c r="B129" s="37"/>
      <c r="C129" s="38"/>
    </row>
    <row r="130" spans="2:3" ht="16.5" customHeight="1" x14ac:dyDescent="0.25">
      <c r="B130" s="37"/>
      <c r="C130" s="38"/>
    </row>
    <row r="131" spans="2:3" ht="16.5" customHeight="1" x14ac:dyDescent="0.25">
      <c r="B131" s="37"/>
      <c r="C131" s="38"/>
    </row>
    <row r="132" spans="2:3" ht="16.5" customHeight="1" x14ac:dyDescent="0.25">
      <c r="B132" s="37"/>
      <c r="C132" s="38"/>
    </row>
    <row r="133" spans="2:3" ht="16.5" customHeight="1" x14ac:dyDescent="0.25">
      <c r="B133" s="37"/>
      <c r="C133" s="38"/>
    </row>
    <row r="134" spans="2:3" ht="16.5" customHeight="1" x14ac:dyDescent="0.25">
      <c r="B134" s="37"/>
      <c r="C134" s="38"/>
    </row>
    <row r="135" spans="2:3" ht="16.5" customHeight="1" x14ac:dyDescent="0.25">
      <c r="B135" s="37"/>
      <c r="C135" s="38"/>
    </row>
    <row r="136" spans="2:3" ht="16.5" customHeight="1" x14ac:dyDescent="0.25">
      <c r="B136" s="37"/>
      <c r="C136" s="38"/>
    </row>
    <row r="137" spans="2:3" ht="16.5" customHeight="1" x14ac:dyDescent="0.25">
      <c r="B137" s="37"/>
      <c r="C137" s="38"/>
    </row>
    <row r="138" spans="2:3" ht="16.5" customHeight="1" x14ac:dyDescent="0.25">
      <c r="B138" s="37"/>
      <c r="C138" s="38"/>
    </row>
    <row r="139" spans="2:3" ht="16.5" customHeight="1" x14ac:dyDescent="0.25">
      <c r="B139" s="37"/>
      <c r="C139" s="38"/>
    </row>
    <row r="140" spans="2:3" ht="16.5" customHeight="1" x14ac:dyDescent="0.25">
      <c r="B140" s="37"/>
      <c r="C140" s="38"/>
    </row>
    <row r="141" spans="2:3" ht="16.5" customHeight="1" x14ac:dyDescent="0.25">
      <c r="B141" s="37"/>
      <c r="C141" s="38"/>
    </row>
    <row r="142" spans="2:3" ht="16.5" customHeight="1" x14ac:dyDescent="0.25">
      <c r="B142" s="37"/>
      <c r="C142" s="38"/>
    </row>
    <row r="143" spans="2:3" ht="16.5" customHeight="1" x14ac:dyDescent="0.25">
      <c r="B143" s="37"/>
      <c r="C143" s="38"/>
    </row>
    <row r="144" spans="2:3" ht="16.5" customHeight="1" x14ac:dyDescent="0.25">
      <c r="B144" s="37"/>
      <c r="C144" s="38"/>
    </row>
    <row r="145" spans="2:3" ht="16.5" customHeight="1" x14ac:dyDescent="0.25">
      <c r="B145" s="37"/>
      <c r="C145" s="38"/>
    </row>
    <row r="146" spans="2:3" ht="16.5" customHeight="1" x14ac:dyDescent="0.25">
      <c r="B146" s="37"/>
      <c r="C146" s="38"/>
    </row>
    <row r="147" spans="2:3" ht="16.5" customHeight="1" x14ac:dyDescent="0.25">
      <c r="B147" s="37"/>
      <c r="C147" s="38"/>
    </row>
    <row r="148" spans="2:3" ht="16.5" customHeight="1" x14ac:dyDescent="0.25">
      <c r="B148" s="37"/>
      <c r="C148" s="38"/>
    </row>
    <row r="149" spans="2:3" ht="16.5" customHeight="1" x14ac:dyDescent="0.25">
      <c r="B149" s="37"/>
      <c r="C149" s="38"/>
    </row>
    <row r="150" spans="2:3" ht="16.5" customHeight="1" x14ac:dyDescent="0.25">
      <c r="B150" s="37"/>
      <c r="C150" s="38"/>
    </row>
    <row r="151" spans="2:3" ht="16.5" customHeight="1" x14ac:dyDescent="0.25">
      <c r="B151" s="37"/>
      <c r="C151" s="38"/>
    </row>
    <row r="152" spans="2:3" ht="16.5" customHeight="1" x14ac:dyDescent="0.25">
      <c r="B152" s="37"/>
      <c r="C152" s="38"/>
    </row>
    <row r="153" spans="2:3" ht="16.5" customHeight="1" x14ac:dyDescent="0.25">
      <c r="B153" s="37"/>
      <c r="C153" s="38"/>
    </row>
    <row r="154" spans="2:3" ht="16.5" customHeight="1" x14ac:dyDescent="0.25">
      <c r="B154" s="37"/>
      <c r="C154" s="38"/>
    </row>
    <row r="155" spans="2:3" ht="16.5" customHeight="1" x14ac:dyDescent="0.25">
      <c r="B155" s="37"/>
      <c r="C155" s="38"/>
    </row>
    <row r="156" spans="2:3" ht="16.5" customHeight="1" x14ac:dyDescent="0.25">
      <c r="B156" s="37"/>
      <c r="C156" s="38"/>
    </row>
    <row r="157" spans="2:3" ht="16.5" customHeight="1" x14ac:dyDescent="0.25">
      <c r="B157" s="37"/>
      <c r="C157" s="38"/>
    </row>
    <row r="158" spans="2:3" ht="16.5" customHeight="1" x14ac:dyDescent="0.25">
      <c r="B158" s="37"/>
      <c r="C158" s="38"/>
    </row>
    <row r="159" spans="2:3" ht="16.5" customHeight="1" x14ac:dyDescent="0.25">
      <c r="B159" s="37"/>
      <c r="C159" s="38"/>
    </row>
    <row r="160" spans="2:3" ht="16.5" customHeight="1" x14ac:dyDescent="0.25">
      <c r="B160" s="37"/>
      <c r="C160" s="38"/>
    </row>
    <row r="161" spans="2:3" ht="16.5" customHeight="1" x14ac:dyDescent="0.25">
      <c r="B161" s="37"/>
      <c r="C161" s="38"/>
    </row>
    <row r="162" spans="2:3" ht="16.5" customHeight="1" x14ac:dyDescent="0.25">
      <c r="B162" s="37"/>
      <c r="C162" s="38"/>
    </row>
    <row r="163" spans="2:3" ht="16.5" customHeight="1" x14ac:dyDescent="0.25">
      <c r="B163" s="37"/>
      <c r="C163" s="38"/>
    </row>
    <row r="164" spans="2:3" ht="16.5" customHeight="1" x14ac:dyDescent="0.25">
      <c r="B164" s="37"/>
      <c r="C164" s="38"/>
    </row>
    <row r="165" spans="2:3" ht="16.5" customHeight="1" x14ac:dyDescent="0.25">
      <c r="B165" s="37"/>
      <c r="C165" s="38"/>
    </row>
    <row r="166" spans="2:3" ht="16.5" customHeight="1" x14ac:dyDescent="0.25">
      <c r="B166" s="37"/>
      <c r="C166" s="38"/>
    </row>
    <row r="167" spans="2:3" ht="16.5" customHeight="1" x14ac:dyDescent="0.25">
      <c r="B167" s="37"/>
      <c r="C167" s="38"/>
    </row>
    <row r="168" spans="2:3" ht="16.5" customHeight="1" x14ac:dyDescent="0.25">
      <c r="B168" s="37"/>
      <c r="C168" s="38"/>
    </row>
    <row r="169" spans="2:3" ht="16.5" customHeight="1" x14ac:dyDescent="0.25">
      <c r="B169" s="37"/>
      <c r="C169" s="38"/>
    </row>
    <row r="170" spans="2:3" ht="16.5" customHeight="1" x14ac:dyDescent="0.25">
      <c r="B170" s="37"/>
      <c r="C170" s="38"/>
    </row>
    <row r="171" spans="2:3" ht="16.5" customHeight="1" x14ac:dyDescent="0.25">
      <c r="B171" s="37"/>
      <c r="C171" s="38"/>
    </row>
    <row r="172" spans="2:3" ht="16.5" customHeight="1" x14ac:dyDescent="0.25">
      <c r="B172" s="37"/>
      <c r="C172" s="38"/>
    </row>
    <row r="173" spans="2:3" ht="16.5" customHeight="1" x14ac:dyDescent="0.25">
      <c r="B173" s="37"/>
      <c r="C173" s="38"/>
    </row>
    <row r="174" spans="2:3" ht="16.5" customHeight="1" x14ac:dyDescent="0.25">
      <c r="B174" s="37"/>
      <c r="C174" s="38"/>
    </row>
    <row r="175" spans="2:3" ht="16.5" customHeight="1" x14ac:dyDescent="0.25">
      <c r="B175" s="37"/>
      <c r="C175" s="38"/>
    </row>
    <row r="176" spans="2:3" ht="16.5" customHeight="1" x14ac:dyDescent="0.25">
      <c r="B176" s="37"/>
      <c r="C176" s="38"/>
    </row>
    <row r="177" spans="2:3" ht="16.5" customHeight="1" x14ac:dyDescent="0.25">
      <c r="B177" s="37"/>
      <c r="C177" s="38"/>
    </row>
    <row r="178" spans="2:3" ht="16.5" customHeight="1" x14ac:dyDescent="0.25">
      <c r="B178" s="37"/>
      <c r="C178" s="38"/>
    </row>
    <row r="179" spans="2:3" ht="16.5" customHeight="1" x14ac:dyDescent="0.25">
      <c r="B179" s="37"/>
      <c r="C179" s="38"/>
    </row>
    <row r="180" spans="2:3" ht="16.5" customHeight="1" x14ac:dyDescent="0.25">
      <c r="B180" s="37"/>
      <c r="C180" s="38"/>
    </row>
    <row r="181" spans="2:3" ht="16.5" customHeight="1" x14ac:dyDescent="0.25">
      <c r="B181" s="37"/>
      <c r="C181" s="38"/>
    </row>
    <row r="182" spans="2:3" ht="16.5" customHeight="1" x14ac:dyDescent="0.25">
      <c r="B182" s="37"/>
      <c r="C182" s="38"/>
    </row>
    <row r="183" spans="2:3" ht="16.5" customHeight="1" x14ac:dyDescent="0.25">
      <c r="B183" s="37"/>
      <c r="C183" s="38"/>
    </row>
    <row r="184" spans="2:3" ht="16.5" customHeight="1" x14ac:dyDescent="0.25">
      <c r="B184" s="37"/>
      <c r="C184" s="38"/>
    </row>
    <row r="185" spans="2:3" ht="16.5" customHeight="1" x14ac:dyDescent="0.25">
      <c r="B185" s="37"/>
      <c r="C185" s="38"/>
    </row>
    <row r="186" spans="2:3" ht="16.5" customHeight="1" x14ac:dyDescent="0.25">
      <c r="B186" s="37"/>
      <c r="C186" s="38"/>
    </row>
    <row r="187" spans="2:3" ht="16.5" customHeight="1" x14ac:dyDescent="0.25">
      <c r="B187" s="37"/>
      <c r="C187" s="38"/>
    </row>
    <row r="188" spans="2:3" ht="16.5" customHeight="1" x14ac:dyDescent="0.25">
      <c r="B188" s="37"/>
      <c r="C188" s="38"/>
    </row>
    <row r="189" spans="2:3" ht="16.5" customHeight="1" x14ac:dyDescent="0.25">
      <c r="B189" s="37"/>
      <c r="C189" s="38"/>
    </row>
    <row r="190" spans="2:3" ht="16.5" customHeight="1" x14ac:dyDescent="0.25">
      <c r="B190" s="37"/>
      <c r="C190" s="38"/>
    </row>
    <row r="191" spans="2:3" ht="16.5" customHeight="1" x14ac:dyDescent="0.25">
      <c r="B191" s="37"/>
      <c r="C191" s="38"/>
    </row>
    <row r="192" spans="2:3" ht="16.5" customHeight="1" x14ac:dyDescent="0.25">
      <c r="B192" s="37"/>
      <c r="C192" s="38"/>
    </row>
    <row r="193" spans="2:3" ht="16.5" customHeight="1" x14ac:dyDescent="0.25">
      <c r="B193" s="37"/>
      <c r="C193" s="38"/>
    </row>
    <row r="194" spans="2:3" ht="16.5" customHeight="1" x14ac:dyDescent="0.25">
      <c r="B194" s="37"/>
      <c r="C194" s="38"/>
    </row>
    <row r="195" spans="2:3" ht="16.5" customHeight="1" x14ac:dyDescent="0.25">
      <c r="B195" s="37"/>
      <c r="C195" s="38"/>
    </row>
    <row r="196" spans="2:3" ht="16.5" customHeight="1" x14ac:dyDescent="0.25">
      <c r="B196" s="37"/>
      <c r="C196" s="38"/>
    </row>
    <row r="197" spans="2:3" ht="16.5" customHeight="1" x14ac:dyDescent="0.25">
      <c r="B197" s="37"/>
      <c r="C197" s="38"/>
    </row>
    <row r="198" spans="2:3" ht="16.5" customHeight="1" x14ac:dyDescent="0.25">
      <c r="B198" s="37"/>
      <c r="C198" s="38"/>
    </row>
    <row r="199" spans="2:3" ht="16.5" customHeight="1" x14ac:dyDescent="0.25">
      <c r="B199" s="37"/>
      <c r="C199" s="38"/>
    </row>
    <row r="200" spans="2:3" ht="16.5" customHeight="1" x14ac:dyDescent="0.25">
      <c r="B200" s="37"/>
      <c r="C200" s="38"/>
    </row>
    <row r="201" spans="2:3" ht="16.5" customHeight="1" x14ac:dyDescent="0.25">
      <c r="B201" s="37"/>
      <c r="C201" s="38"/>
    </row>
    <row r="202" spans="2:3" ht="16.5" customHeight="1" x14ac:dyDescent="0.25">
      <c r="B202" s="37"/>
      <c r="C202" s="38"/>
    </row>
    <row r="203" spans="2:3" ht="16.5" customHeight="1" x14ac:dyDescent="0.25">
      <c r="B203" s="37"/>
      <c r="C203" s="38"/>
    </row>
    <row r="204" spans="2:3" ht="16.5" customHeight="1" x14ac:dyDescent="0.25">
      <c r="B204" s="37"/>
      <c r="C204" s="38"/>
    </row>
    <row r="205" spans="2:3" ht="16.5" customHeight="1" x14ac:dyDescent="0.25">
      <c r="B205" s="37"/>
      <c r="C205" s="38"/>
    </row>
    <row r="206" spans="2:3" ht="16.5" customHeight="1" x14ac:dyDescent="0.25">
      <c r="B206" s="37"/>
      <c r="C206" s="38"/>
    </row>
    <row r="207" spans="2:3" ht="16.5" customHeight="1" x14ac:dyDescent="0.25">
      <c r="B207" s="37"/>
      <c r="C207" s="38"/>
    </row>
    <row r="208" spans="2:3" ht="16.5" customHeight="1" x14ac:dyDescent="0.25">
      <c r="B208" s="37"/>
      <c r="C208" s="38"/>
    </row>
    <row r="209" spans="2:3" ht="16.5" customHeight="1" x14ac:dyDescent="0.25">
      <c r="B209" s="37"/>
      <c r="C209" s="38"/>
    </row>
    <row r="210" spans="2:3" ht="16.5" customHeight="1" x14ac:dyDescent="0.25">
      <c r="B210" s="37"/>
      <c r="C210" s="38"/>
    </row>
    <row r="211" spans="2:3" ht="16.5" customHeight="1" x14ac:dyDescent="0.25">
      <c r="B211" s="37"/>
      <c r="C211" s="38"/>
    </row>
    <row r="212" spans="2:3" ht="16.5" customHeight="1" x14ac:dyDescent="0.25">
      <c r="B212" s="37"/>
      <c r="C212" s="38"/>
    </row>
    <row r="213" spans="2:3" ht="16.5" customHeight="1" x14ac:dyDescent="0.25">
      <c r="B213" s="37"/>
      <c r="C213" s="38"/>
    </row>
    <row r="214" spans="2:3" ht="16.5" customHeight="1" x14ac:dyDescent="0.25">
      <c r="B214" s="37"/>
      <c r="C214" s="38"/>
    </row>
    <row r="215" spans="2:3" ht="16.5" customHeight="1" x14ac:dyDescent="0.25">
      <c r="B215" s="37"/>
      <c r="C215" s="38"/>
    </row>
    <row r="216" spans="2:3" ht="16.5" customHeight="1" x14ac:dyDescent="0.25">
      <c r="B216" s="37"/>
      <c r="C216" s="38"/>
    </row>
    <row r="217" spans="2:3" ht="16.5" customHeight="1" x14ac:dyDescent="0.25">
      <c r="B217" s="37"/>
      <c r="C217" s="38"/>
    </row>
    <row r="218" spans="2:3" ht="16.5" customHeight="1" x14ac:dyDescent="0.25">
      <c r="B218" s="37"/>
      <c r="C218" s="38"/>
    </row>
    <row r="219" spans="2:3" ht="16.5" customHeight="1" x14ac:dyDescent="0.25">
      <c r="B219" s="37"/>
      <c r="C219" s="38"/>
    </row>
    <row r="220" spans="2:3" ht="16.5" customHeight="1" x14ac:dyDescent="0.25">
      <c r="B220" s="37"/>
      <c r="C220" s="38"/>
    </row>
    <row r="221" spans="2:3" ht="16.5" customHeight="1" x14ac:dyDescent="0.25">
      <c r="B221" s="37"/>
      <c r="C221" s="38"/>
    </row>
    <row r="222" spans="2:3" ht="16.5" customHeight="1" x14ac:dyDescent="0.25">
      <c r="B222" s="37"/>
      <c r="C222" s="38"/>
    </row>
    <row r="223" spans="2:3" ht="16.5" customHeight="1" x14ac:dyDescent="0.25">
      <c r="B223" s="37"/>
      <c r="C223" s="38"/>
    </row>
    <row r="224" spans="2:3" ht="16.5" customHeight="1" x14ac:dyDescent="0.25">
      <c r="B224" s="37"/>
      <c r="C224" s="38"/>
    </row>
    <row r="225" spans="2:3" ht="16.5" customHeight="1" x14ac:dyDescent="0.25">
      <c r="B225" s="37"/>
      <c r="C225" s="38"/>
    </row>
    <row r="226" spans="2:3" ht="16.5" customHeight="1" x14ac:dyDescent="0.25">
      <c r="B226" s="37"/>
      <c r="C226" s="38"/>
    </row>
    <row r="227" spans="2:3" ht="16.5" customHeight="1" x14ac:dyDescent="0.25">
      <c r="B227" s="37"/>
      <c r="C227" s="38"/>
    </row>
    <row r="228" spans="2:3" ht="16.5" customHeight="1" x14ac:dyDescent="0.25">
      <c r="B228" s="37"/>
      <c r="C228" s="38"/>
    </row>
    <row r="229" spans="2:3" ht="16.5" customHeight="1" x14ac:dyDescent="0.25">
      <c r="B229" s="37"/>
      <c r="C229" s="38"/>
    </row>
    <row r="230" spans="2:3" ht="16.5" customHeight="1" x14ac:dyDescent="0.25">
      <c r="B230" s="37"/>
      <c r="C230" s="38"/>
    </row>
    <row r="231" spans="2:3" ht="16.5" customHeight="1" x14ac:dyDescent="0.25">
      <c r="B231" s="37"/>
      <c r="C231" s="38"/>
    </row>
    <row r="232" spans="2:3" ht="16.5" customHeight="1" x14ac:dyDescent="0.25">
      <c r="B232" s="37"/>
      <c r="C232" s="38"/>
    </row>
    <row r="233" spans="2:3" ht="16.5" customHeight="1" x14ac:dyDescent="0.25">
      <c r="B233" s="37"/>
      <c r="C233" s="38"/>
    </row>
    <row r="234" spans="2:3" ht="16.5" customHeight="1" x14ac:dyDescent="0.25">
      <c r="B234" s="37"/>
      <c r="C234" s="38"/>
    </row>
    <row r="235" spans="2:3" ht="16.5" customHeight="1" x14ac:dyDescent="0.25">
      <c r="B235" s="37"/>
      <c r="C235" s="38"/>
    </row>
    <row r="236" spans="2:3" ht="16.5" customHeight="1" x14ac:dyDescent="0.25">
      <c r="B236" s="37"/>
      <c r="C236" s="38"/>
    </row>
    <row r="237" spans="2:3" ht="16.5" customHeight="1" x14ac:dyDescent="0.25">
      <c r="B237" s="37"/>
      <c r="C237" s="38"/>
    </row>
    <row r="238" spans="2:3" ht="16.5" customHeight="1" x14ac:dyDescent="0.25">
      <c r="B238" s="37"/>
      <c r="C238" s="38"/>
    </row>
    <row r="239" spans="2:3" ht="16.5" customHeight="1" x14ac:dyDescent="0.25">
      <c r="B239" s="37"/>
      <c r="C239" s="38"/>
    </row>
    <row r="240" spans="2:3" ht="16.5" customHeight="1" x14ac:dyDescent="0.25">
      <c r="B240" s="37"/>
      <c r="C240" s="38"/>
    </row>
    <row r="241" spans="2:3" ht="16.5" customHeight="1" x14ac:dyDescent="0.25">
      <c r="B241" s="37"/>
      <c r="C241" s="38"/>
    </row>
    <row r="242" spans="2:3" ht="16.5" customHeight="1" x14ac:dyDescent="0.25">
      <c r="B242" s="37"/>
      <c r="C242" s="38"/>
    </row>
    <row r="243" spans="2:3" ht="16.5" customHeight="1" x14ac:dyDescent="0.25">
      <c r="B243" s="37"/>
      <c r="C243" s="38"/>
    </row>
    <row r="244" spans="2:3" ht="16.5" customHeight="1" x14ac:dyDescent="0.25">
      <c r="B244" s="37"/>
      <c r="C244" s="38"/>
    </row>
    <row r="245" spans="2:3" ht="16.5" customHeight="1" x14ac:dyDescent="0.25">
      <c r="B245" s="37"/>
      <c r="C245" s="38"/>
    </row>
    <row r="246" spans="2:3" ht="16.5" customHeight="1" x14ac:dyDescent="0.25">
      <c r="B246" s="37"/>
      <c r="C246" s="38"/>
    </row>
    <row r="247" spans="2:3" ht="16.5" customHeight="1" x14ac:dyDescent="0.25">
      <c r="B247" s="37"/>
      <c r="C247" s="38"/>
    </row>
    <row r="248" spans="2:3" ht="16.5" customHeight="1" x14ac:dyDescent="0.25">
      <c r="B248" s="37"/>
      <c r="C248" s="38"/>
    </row>
    <row r="249" spans="2:3" ht="16.5" customHeight="1" x14ac:dyDescent="0.25">
      <c r="B249" s="37"/>
      <c r="C249" s="38"/>
    </row>
    <row r="250" spans="2:3" ht="16.5" customHeight="1" x14ac:dyDescent="0.25">
      <c r="B250" s="37"/>
      <c r="C250" s="38"/>
    </row>
    <row r="251" spans="2:3" ht="16.5" customHeight="1" x14ac:dyDescent="0.25">
      <c r="B251" s="37"/>
      <c r="C251" s="38"/>
    </row>
    <row r="252" spans="2:3" ht="16.5" customHeight="1" x14ac:dyDescent="0.25">
      <c r="B252" s="37"/>
      <c r="C252" s="38"/>
    </row>
    <row r="253" spans="2:3" ht="16.5" customHeight="1" x14ac:dyDescent="0.25">
      <c r="B253" s="37"/>
      <c r="C253" s="38"/>
    </row>
    <row r="254" spans="2:3" ht="16.5" customHeight="1" x14ac:dyDescent="0.25">
      <c r="B254" s="37"/>
      <c r="C254" s="38"/>
    </row>
    <row r="255" spans="2:3" ht="16.5" customHeight="1" x14ac:dyDescent="0.25">
      <c r="B255" s="37"/>
      <c r="C255" s="38"/>
    </row>
    <row r="256" spans="2:3" ht="16.5" customHeight="1" x14ac:dyDescent="0.25">
      <c r="B256" s="37"/>
      <c r="C256" s="38"/>
    </row>
    <row r="257" spans="2:3" ht="16.5" customHeight="1" x14ac:dyDescent="0.25">
      <c r="B257" s="37"/>
      <c r="C257" s="38"/>
    </row>
    <row r="258" spans="2:3" ht="16.5" customHeight="1" x14ac:dyDescent="0.25">
      <c r="B258" s="37"/>
      <c r="C258" s="38"/>
    </row>
    <row r="259" spans="2:3" ht="16.5" customHeight="1" x14ac:dyDescent="0.25">
      <c r="B259" s="37"/>
      <c r="C259" s="38"/>
    </row>
    <row r="260" spans="2:3" ht="16.5" customHeight="1" x14ac:dyDescent="0.25">
      <c r="B260" s="37"/>
      <c r="C260" s="38"/>
    </row>
    <row r="261" spans="2:3" ht="16.5" customHeight="1" x14ac:dyDescent="0.25">
      <c r="B261" s="37"/>
      <c r="C261" s="38"/>
    </row>
    <row r="262" spans="2:3" ht="16.5" customHeight="1" x14ac:dyDescent="0.25">
      <c r="B262" s="37"/>
      <c r="C262" s="38"/>
    </row>
    <row r="263" spans="2:3" ht="16.5" customHeight="1" x14ac:dyDescent="0.25">
      <c r="B263" s="37"/>
      <c r="C263" s="38"/>
    </row>
    <row r="264" spans="2:3" ht="16.5" customHeight="1" x14ac:dyDescent="0.25">
      <c r="B264" s="37"/>
      <c r="C264" s="38"/>
    </row>
    <row r="265" spans="2:3" ht="16.5" customHeight="1" x14ac:dyDescent="0.25">
      <c r="B265" s="37"/>
      <c r="C265" s="38"/>
    </row>
    <row r="266" spans="2:3" ht="16.5" customHeight="1" x14ac:dyDescent="0.25">
      <c r="B266" s="37"/>
      <c r="C266" s="38"/>
    </row>
    <row r="267" spans="2:3" ht="16.5" customHeight="1" x14ac:dyDescent="0.25">
      <c r="B267" s="37"/>
      <c r="C267" s="38"/>
    </row>
    <row r="268" spans="2:3" ht="16.5" customHeight="1" x14ac:dyDescent="0.25">
      <c r="B268" s="37"/>
      <c r="C268" s="38"/>
    </row>
    <row r="269" spans="2:3" ht="16.5" customHeight="1" x14ac:dyDescent="0.25">
      <c r="B269" s="37"/>
      <c r="C269" s="38"/>
    </row>
    <row r="270" spans="2:3" ht="16.5" customHeight="1" x14ac:dyDescent="0.25">
      <c r="B270" s="37"/>
      <c r="C270" s="38"/>
    </row>
    <row r="271" spans="2:3" ht="16.5" customHeight="1" x14ac:dyDescent="0.25">
      <c r="B271" s="37"/>
      <c r="C271" s="38"/>
    </row>
    <row r="272" spans="2:3" ht="16.5" customHeight="1" x14ac:dyDescent="0.25">
      <c r="B272" s="37"/>
      <c r="C272" s="38"/>
    </row>
    <row r="273" spans="2:3" ht="16.5" customHeight="1" x14ac:dyDescent="0.25">
      <c r="B273" s="37"/>
      <c r="C273" s="38"/>
    </row>
    <row r="274" spans="2:3" ht="16.5" customHeight="1" x14ac:dyDescent="0.25">
      <c r="B274" s="37"/>
      <c r="C274" s="38"/>
    </row>
    <row r="275" spans="2:3" ht="16.5" customHeight="1" x14ac:dyDescent="0.25">
      <c r="B275" s="37"/>
      <c r="C275" s="38"/>
    </row>
    <row r="276" spans="2:3" ht="16.5" customHeight="1" x14ac:dyDescent="0.25">
      <c r="B276" s="37"/>
      <c r="C276" s="38"/>
    </row>
    <row r="277" spans="2:3" ht="16.5" customHeight="1" x14ac:dyDescent="0.25">
      <c r="B277" s="37"/>
      <c r="C277" s="38"/>
    </row>
    <row r="278" spans="2:3" ht="16.5" customHeight="1" x14ac:dyDescent="0.25">
      <c r="B278" s="37"/>
      <c r="C278" s="38"/>
    </row>
    <row r="279" spans="2:3" ht="16.5" customHeight="1" x14ac:dyDescent="0.25">
      <c r="B279" s="37"/>
      <c r="C279" s="38"/>
    </row>
    <row r="280" spans="2:3" ht="16.5" customHeight="1" x14ac:dyDescent="0.25">
      <c r="B280" s="37"/>
      <c r="C280" s="38"/>
    </row>
    <row r="281" spans="2:3" ht="16.5" customHeight="1" x14ac:dyDescent="0.25">
      <c r="B281" s="37"/>
      <c r="C281" s="38"/>
    </row>
    <row r="282" spans="2:3" ht="16.5" customHeight="1" x14ac:dyDescent="0.25">
      <c r="B282" s="37"/>
      <c r="C282" s="38"/>
    </row>
    <row r="283" spans="2:3" ht="16.5" customHeight="1" x14ac:dyDescent="0.25">
      <c r="B283" s="37"/>
      <c r="C283" s="38"/>
    </row>
    <row r="284" spans="2:3" ht="16.5" customHeight="1" x14ac:dyDescent="0.25">
      <c r="B284" s="37"/>
      <c r="C284" s="38"/>
    </row>
    <row r="285" spans="2:3" ht="16.5" customHeight="1" x14ac:dyDescent="0.25">
      <c r="B285" s="37"/>
      <c r="C285" s="38"/>
    </row>
    <row r="286" spans="2:3" ht="16.5" customHeight="1" x14ac:dyDescent="0.25">
      <c r="B286" s="37"/>
      <c r="C286" s="38"/>
    </row>
    <row r="287" spans="2:3" ht="16.5" customHeight="1" x14ac:dyDescent="0.25">
      <c r="B287" s="37"/>
      <c r="C287" s="38"/>
    </row>
    <row r="288" spans="2:3" ht="16.5" customHeight="1" x14ac:dyDescent="0.25">
      <c r="B288" s="37"/>
      <c r="C288" s="38"/>
    </row>
    <row r="289" spans="2:3" ht="16.5" customHeight="1" x14ac:dyDescent="0.25">
      <c r="B289" s="37"/>
      <c r="C289" s="38"/>
    </row>
    <row r="290" spans="2:3" ht="16.5" customHeight="1" x14ac:dyDescent="0.25">
      <c r="B290" s="37"/>
      <c r="C290" s="38"/>
    </row>
    <row r="291" spans="2:3" ht="16.5" customHeight="1" x14ac:dyDescent="0.25">
      <c r="B291" s="37"/>
      <c r="C291" s="38"/>
    </row>
    <row r="292" spans="2:3" ht="16.5" customHeight="1" x14ac:dyDescent="0.25">
      <c r="B292" s="37"/>
      <c r="C292" s="38"/>
    </row>
    <row r="293" spans="2:3" ht="16.5" customHeight="1" x14ac:dyDescent="0.25">
      <c r="B293" s="37"/>
      <c r="C293" s="38"/>
    </row>
    <row r="294" spans="2:3" ht="16.5" customHeight="1" x14ac:dyDescent="0.25">
      <c r="B294" s="37"/>
      <c r="C294" s="38"/>
    </row>
    <row r="295" spans="2:3" ht="16.5" customHeight="1" x14ac:dyDescent="0.25">
      <c r="B295" s="37"/>
      <c r="C295" s="38"/>
    </row>
    <row r="296" spans="2:3" ht="16.5" customHeight="1" x14ac:dyDescent="0.25">
      <c r="B296" s="37"/>
      <c r="C296" s="38"/>
    </row>
    <row r="297" spans="2:3" ht="16.5" customHeight="1" x14ac:dyDescent="0.25">
      <c r="B297" s="37"/>
      <c r="C297" s="38"/>
    </row>
    <row r="298" spans="2:3" ht="16.5" customHeight="1" x14ac:dyDescent="0.25">
      <c r="B298" s="37"/>
      <c r="C298" s="38"/>
    </row>
    <row r="299" spans="2:3" ht="16.5" customHeight="1" x14ac:dyDescent="0.25">
      <c r="B299" s="37"/>
      <c r="C299" s="38"/>
    </row>
    <row r="300" spans="2:3" ht="16.5" customHeight="1" x14ac:dyDescent="0.25">
      <c r="B300" s="37"/>
      <c r="C300" s="38"/>
    </row>
    <row r="301" spans="2:3" ht="16.5" customHeight="1" x14ac:dyDescent="0.25">
      <c r="B301" s="37"/>
      <c r="C301" s="38"/>
    </row>
    <row r="302" spans="2:3" ht="16.5" customHeight="1" x14ac:dyDescent="0.25">
      <c r="B302" s="37"/>
      <c r="C302" s="38"/>
    </row>
    <row r="303" spans="2:3" ht="16.5" customHeight="1" x14ac:dyDescent="0.25">
      <c r="B303" s="37"/>
      <c r="C303" s="38"/>
    </row>
    <row r="304" spans="2:3" ht="16.5" customHeight="1" x14ac:dyDescent="0.25">
      <c r="B304" s="37"/>
      <c r="C304" s="38"/>
    </row>
    <row r="305" spans="2:3" ht="16.5" customHeight="1" x14ac:dyDescent="0.25">
      <c r="B305" s="37"/>
      <c r="C305" s="38"/>
    </row>
    <row r="306" spans="2:3" ht="16.5" customHeight="1" x14ac:dyDescent="0.25">
      <c r="B306" s="37"/>
      <c r="C306" s="38"/>
    </row>
    <row r="307" spans="2:3" ht="16.5" customHeight="1" x14ac:dyDescent="0.25">
      <c r="B307" s="37"/>
      <c r="C307" s="38"/>
    </row>
    <row r="308" spans="2:3" ht="16.5" customHeight="1" x14ac:dyDescent="0.25">
      <c r="B308" s="37"/>
      <c r="C308" s="38"/>
    </row>
    <row r="309" spans="2:3" ht="16.5" customHeight="1" x14ac:dyDescent="0.25">
      <c r="B309" s="37"/>
      <c r="C309" s="38"/>
    </row>
    <row r="310" spans="2:3" ht="16.5" customHeight="1" x14ac:dyDescent="0.25">
      <c r="B310" s="37"/>
      <c r="C310" s="38"/>
    </row>
    <row r="311" spans="2:3" ht="16.5" customHeight="1" x14ac:dyDescent="0.25">
      <c r="B311" s="37"/>
      <c r="C311" s="38"/>
    </row>
    <row r="312" spans="2:3" ht="16.5" customHeight="1" x14ac:dyDescent="0.25">
      <c r="B312" s="37"/>
      <c r="C312" s="38"/>
    </row>
    <row r="313" spans="2:3" ht="16.5" customHeight="1" x14ac:dyDescent="0.25">
      <c r="B313" s="37"/>
      <c r="C313" s="38"/>
    </row>
    <row r="314" spans="2:3" ht="16.5" customHeight="1" x14ac:dyDescent="0.25">
      <c r="B314" s="37"/>
      <c r="C314" s="38"/>
    </row>
    <row r="315" spans="2:3" ht="16.5" customHeight="1" x14ac:dyDescent="0.25">
      <c r="B315" s="37"/>
      <c r="C315" s="38"/>
    </row>
    <row r="316" spans="2:3" ht="16.5" customHeight="1" x14ac:dyDescent="0.25">
      <c r="B316" s="37"/>
      <c r="C316" s="38"/>
    </row>
    <row r="317" spans="2:3" ht="16.5" customHeight="1" x14ac:dyDescent="0.25">
      <c r="B317" s="37"/>
      <c r="C317" s="38"/>
    </row>
    <row r="318" spans="2:3" ht="16.5" customHeight="1" x14ac:dyDescent="0.25">
      <c r="B318" s="37"/>
      <c r="C318" s="38"/>
    </row>
    <row r="319" spans="2:3" ht="16.5" customHeight="1" x14ac:dyDescent="0.25">
      <c r="B319" s="37"/>
      <c r="C319" s="38"/>
    </row>
    <row r="320" spans="2:3" ht="16.5" customHeight="1" x14ac:dyDescent="0.25">
      <c r="B320" s="37"/>
      <c r="C320" s="38"/>
    </row>
    <row r="321" spans="2:3" ht="16.5" customHeight="1" x14ac:dyDescent="0.25">
      <c r="B321" s="37"/>
      <c r="C321" s="38"/>
    </row>
    <row r="322" spans="2:3" ht="16.5" customHeight="1" x14ac:dyDescent="0.25">
      <c r="B322" s="37"/>
      <c r="C322" s="38"/>
    </row>
    <row r="323" spans="2:3" ht="16.5" customHeight="1" x14ac:dyDescent="0.25">
      <c r="B323" s="37"/>
      <c r="C323" s="38"/>
    </row>
    <row r="324" spans="2:3" ht="16.5" customHeight="1" x14ac:dyDescent="0.25">
      <c r="B324" s="37"/>
      <c r="C324" s="38"/>
    </row>
    <row r="325" spans="2:3" ht="16.5" customHeight="1" x14ac:dyDescent="0.25">
      <c r="B325" s="37"/>
      <c r="C325" s="38"/>
    </row>
    <row r="326" spans="2:3" ht="16.5" customHeight="1" x14ac:dyDescent="0.25">
      <c r="B326" s="37"/>
      <c r="C326" s="38"/>
    </row>
    <row r="327" spans="2:3" ht="16.5" customHeight="1" x14ac:dyDescent="0.25">
      <c r="B327" s="37"/>
      <c r="C327" s="38"/>
    </row>
    <row r="328" spans="2:3" ht="16.5" customHeight="1" x14ac:dyDescent="0.25">
      <c r="B328" s="37"/>
      <c r="C328" s="38"/>
    </row>
    <row r="329" spans="2:3" ht="16.5" customHeight="1" x14ac:dyDescent="0.25">
      <c r="B329" s="37"/>
      <c r="C329" s="38"/>
    </row>
    <row r="330" spans="2:3" ht="16.5" customHeight="1" x14ac:dyDescent="0.25">
      <c r="B330" s="37"/>
      <c r="C330" s="38"/>
    </row>
    <row r="331" spans="2:3" ht="16.5" customHeight="1" x14ac:dyDescent="0.25">
      <c r="B331" s="37"/>
      <c r="C331" s="38"/>
    </row>
    <row r="332" spans="2:3" ht="16.5" customHeight="1" x14ac:dyDescent="0.25">
      <c r="B332" s="37"/>
      <c r="C332" s="38"/>
    </row>
    <row r="333" spans="2:3" ht="16.5" customHeight="1" x14ac:dyDescent="0.25">
      <c r="B333" s="37"/>
      <c r="C333" s="38"/>
    </row>
    <row r="334" spans="2:3" ht="16.5" customHeight="1" x14ac:dyDescent="0.25">
      <c r="B334" s="37"/>
      <c r="C334" s="38"/>
    </row>
    <row r="335" spans="2:3" ht="16.5" customHeight="1" x14ac:dyDescent="0.25">
      <c r="B335" s="37"/>
      <c r="C335" s="38"/>
    </row>
    <row r="336" spans="2:3" ht="16.5" customHeight="1" x14ac:dyDescent="0.25">
      <c r="B336" s="37"/>
      <c r="C336" s="38"/>
    </row>
    <row r="337" spans="2:3" ht="16.5" customHeight="1" x14ac:dyDescent="0.25">
      <c r="B337" s="37"/>
      <c r="C337" s="38"/>
    </row>
    <row r="338" spans="2:3" ht="16.5" customHeight="1" x14ac:dyDescent="0.25">
      <c r="B338" s="37"/>
      <c r="C338" s="38"/>
    </row>
    <row r="339" spans="2:3" ht="16.5" customHeight="1" x14ac:dyDescent="0.25">
      <c r="B339" s="37"/>
      <c r="C339" s="38"/>
    </row>
    <row r="340" spans="2:3" ht="16.5" customHeight="1" x14ac:dyDescent="0.25">
      <c r="B340" s="37"/>
      <c r="C340" s="38"/>
    </row>
    <row r="341" spans="2:3" ht="16.5" customHeight="1" x14ac:dyDescent="0.25">
      <c r="B341" s="37"/>
      <c r="C341" s="38"/>
    </row>
    <row r="342" spans="2:3" ht="16.5" customHeight="1" x14ac:dyDescent="0.25">
      <c r="B342" s="37"/>
      <c r="C342" s="38"/>
    </row>
    <row r="343" spans="2:3" ht="16.5" customHeight="1" x14ac:dyDescent="0.25">
      <c r="B343" s="37"/>
      <c r="C343" s="38"/>
    </row>
    <row r="344" spans="2:3" ht="16.5" customHeight="1" x14ac:dyDescent="0.25">
      <c r="B344" s="37"/>
      <c r="C344" s="38"/>
    </row>
    <row r="345" spans="2:3" ht="16.5" customHeight="1" x14ac:dyDescent="0.25">
      <c r="B345" s="37"/>
      <c r="C345" s="38"/>
    </row>
    <row r="346" spans="2:3" ht="16.5" customHeight="1" x14ac:dyDescent="0.25">
      <c r="B346" s="37"/>
      <c r="C346" s="38"/>
    </row>
    <row r="347" spans="2:3" ht="16.5" customHeight="1" x14ac:dyDescent="0.25">
      <c r="B347" s="37"/>
      <c r="C347" s="38"/>
    </row>
    <row r="348" spans="2:3" ht="16.5" customHeight="1" x14ac:dyDescent="0.25">
      <c r="B348" s="37"/>
      <c r="C348" s="38"/>
    </row>
    <row r="349" spans="2:3" ht="16.5" customHeight="1" x14ac:dyDescent="0.25">
      <c r="B349" s="37"/>
      <c r="C349" s="38"/>
    </row>
    <row r="350" spans="2:3" ht="16.5" customHeight="1" x14ac:dyDescent="0.25">
      <c r="B350" s="37"/>
      <c r="C350" s="38"/>
    </row>
    <row r="351" spans="2:3" ht="16.5" customHeight="1" x14ac:dyDescent="0.25">
      <c r="B351" s="37"/>
      <c r="C351" s="38"/>
    </row>
    <row r="352" spans="2:3" ht="16.5" customHeight="1" x14ac:dyDescent="0.25">
      <c r="B352" s="37"/>
      <c r="C352" s="38"/>
    </row>
    <row r="353" spans="2:3" ht="16.5" customHeight="1" x14ac:dyDescent="0.25">
      <c r="B353" s="37"/>
      <c r="C353" s="38"/>
    </row>
    <row r="354" spans="2:3" ht="16.5" customHeight="1" x14ac:dyDescent="0.25">
      <c r="B354" s="37"/>
      <c r="C354" s="38"/>
    </row>
    <row r="355" spans="2:3" ht="16.5" customHeight="1" x14ac:dyDescent="0.25">
      <c r="B355" s="37"/>
      <c r="C355" s="38"/>
    </row>
    <row r="356" spans="2:3" ht="16.5" customHeight="1" x14ac:dyDescent="0.25">
      <c r="B356" s="37"/>
      <c r="C356" s="38"/>
    </row>
    <row r="357" spans="2:3" ht="16.5" customHeight="1" x14ac:dyDescent="0.25">
      <c r="B357" s="37"/>
      <c r="C357" s="38"/>
    </row>
    <row r="358" spans="2:3" ht="16.5" customHeight="1" x14ac:dyDescent="0.25">
      <c r="B358" s="37"/>
      <c r="C358" s="38"/>
    </row>
    <row r="359" spans="2:3" ht="16.5" customHeight="1" x14ac:dyDescent="0.25">
      <c r="B359" s="37"/>
      <c r="C359" s="38"/>
    </row>
    <row r="360" spans="2:3" ht="16.5" customHeight="1" x14ac:dyDescent="0.25">
      <c r="B360" s="37"/>
      <c r="C360" s="38"/>
    </row>
    <row r="361" spans="2:3" ht="16.5" customHeight="1" x14ac:dyDescent="0.25">
      <c r="B361" s="37"/>
      <c r="C361" s="38"/>
    </row>
    <row r="362" spans="2:3" ht="16.5" customHeight="1" x14ac:dyDescent="0.25">
      <c r="B362" s="37"/>
      <c r="C362" s="38"/>
    </row>
    <row r="363" spans="2:3" ht="16.5" customHeight="1" x14ac:dyDescent="0.25">
      <c r="B363" s="37"/>
      <c r="C363" s="38"/>
    </row>
    <row r="364" spans="2:3" ht="16.5" customHeight="1" x14ac:dyDescent="0.25">
      <c r="B364" s="37"/>
      <c r="C364" s="38"/>
    </row>
    <row r="365" spans="2:3" ht="16.5" customHeight="1" x14ac:dyDescent="0.25">
      <c r="B365" s="37"/>
      <c r="C365" s="38"/>
    </row>
    <row r="366" spans="2:3" ht="16.5" customHeight="1" x14ac:dyDescent="0.25">
      <c r="B366" s="37"/>
      <c r="C366" s="38"/>
    </row>
    <row r="367" spans="2:3" ht="16.5" customHeight="1" x14ac:dyDescent="0.25">
      <c r="B367" s="37"/>
      <c r="C367" s="38"/>
    </row>
    <row r="368" spans="2:3" ht="16.5" customHeight="1" x14ac:dyDescent="0.25">
      <c r="B368" s="37"/>
      <c r="C368" s="38"/>
    </row>
    <row r="369" spans="2:3" ht="16.5" customHeight="1" x14ac:dyDescent="0.25">
      <c r="B369" s="37"/>
      <c r="C369" s="38"/>
    </row>
    <row r="370" spans="2:3" ht="16.5" customHeight="1" x14ac:dyDescent="0.25">
      <c r="B370" s="37"/>
      <c r="C370" s="38"/>
    </row>
    <row r="371" spans="2:3" ht="16.5" customHeight="1" x14ac:dyDescent="0.25">
      <c r="B371" s="37"/>
      <c r="C371" s="38"/>
    </row>
    <row r="372" spans="2:3" ht="16.5" customHeight="1" x14ac:dyDescent="0.25">
      <c r="B372" s="37"/>
      <c r="C372" s="38"/>
    </row>
    <row r="373" spans="2:3" ht="16.5" customHeight="1" x14ac:dyDescent="0.25">
      <c r="B373" s="37"/>
      <c r="C373" s="38"/>
    </row>
    <row r="374" spans="2:3" ht="16.5" customHeight="1" x14ac:dyDescent="0.25">
      <c r="B374" s="37"/>
      <c r="C374" s="38"/>
    </row>
    <row r="375" spans="2:3" ht="16.5" customHeight="1" x14ac:dyDescent="0.25">
      <c r="B375" s="37"/>
      <c r="C375" s="38"/>
    </row>
    <row r="376" spans="2:3" ht="16.5" customHeight="1" x14ac:dyDescent="0.25">
      <c r="B376" s="37"/>
      <c r="C376" s="38"/>
    </row>
    <row r="377" spans="2:3" ht="16.5" customHeight="1" x14ac:dyDescent="0.25">
      <c r="B377" s="37"/>
      <c r="C377" s="38"/>
    </row>
    <row r="378" spans="2:3" ht="16.5" customHeight="1" x14ac:dyDescent="0.25">
      <c r="B378" s="37"/>
      <c r="C378" s="38"/>
    </row>
    <row r="379" spans="2:3" ht="16.5" customHeight="1" x14ac:dyDescent="0.25">
      <c r="B379" s="37"/>
      <c r="C379" s="38"/>
    </row>
    <row r="380" spans="2:3" ht="16.5" customHeight="1" x14ac:dyDescent="0.25">
      <c r="B380" s="37"/>
      <c r="C380" s="38"/>
    </row>
    <row r="381" spans="2:3" ht="16.5" customHeight="1" x14ac:dyDescent="0.25">
      <c r="B381" s="37"/>
      <c r="C381" s="38"/>
    </row>
    <row r="382" spans="2:3" ht="16.5" customHeight="1" x14ac:dyDescent="0.25">
      <c r="B382" s="37"/>
      <c r="C382" s="38"/>
    </row>
    <row r="383" spans="2:3" ht="16.5" customHeight="1" x14ac:dyDescent="0.25">
      <c r="B383" s="37"/>
      <c r="C383" s="38"/>
    </row>
    <row r="384" spans="2:3" ht="16.5" customHeight="1" x14ac:dyDescent="0.25">
      <c r="B384" s="37"/>
      <c r="C384" s="38"/>
    </row>
    <row r="385" spans="2:3" ht="16.5" customHeight="1" x14ac:dyDescent="0.25">
      <c r="B385" s="37"/>
      <c r="C385" s="38"/>
    </row>
    <row r="386" spans="2:3" ht="16.5" customHeight="1" x14ac:dyDescent="0.25">
      <c r="B386" s="37"/>
      <c r="C386" s="38"/>
    </row>
    <row r="387" spans="2:3" ht="16.5" customHeight="1" x14ac:dyDescent="0.25">
      <c r="B387" s="37"/>
      <c r="C387" s="38"/>
    </row>
    <row r="388" spans="2:3" ht="16.5" customHeight="1" x14ac:dyDescent="0.25">
      <c r="B388" s="37"/>
      <c r="C388" s="38"/>
    </row>
    <row r="389" spans="2:3" ht="16.5" customHeight="1" x14ac:dyDescent="0.25">
      <c r="B389" s="37"/>
      <c r="C389" s="38"/>
    </row>
    <row r="390" spans="2:3" ht="16.5" customHeight="1" x14ac:dyDescent="0.25">
      <c r="B390" s="37"/>
      <c r="C390" s="38"/>
    </row>
    <row r="391" spans="2:3" ht="16.5" customHeight="1" x14ac:dyDescent="0.25">
      <c r="B391" s="37"/>
      <c r="C391" s="38"/>
    </row>
    <row r="392" spans="2:3" ht="16.5" customHeight="1" x14ac:dyDescent="0.25">
      <c r="B392" s="37"/>
      <c r="C392" s="38"/>
    </row>
    <row r="393" spans="2:3" ht="16.5" customHeight="1" x14ac:dyDescent="0.25">
      <c r="B393" s="37"/>
      <c r="C393" s="38"/>
    </row>
    <row r="394" spans="2:3" ht="16.5" customHeight="1" x14ac:dyDescent="0.25">
      <c r="B394" s="37"/>
      <c r="C394" s="38"/>
    </row>
    <row r="395" spans="2:3" ht="16.5" customHeight="1" x14ac:dyDescent="0.25">
      <c r="B395" s="37"/>
      <c r="C395" s="38"/>
    </row>
    <row r="396" spans="2:3" ht="16.5" customHeight="1" x14ac:dyDescent="0.25">
      <c r="B396" s="37"/>
      <c r="C396" s="38"/>
    </row>
    <row r="397" spans="2:3" ht="16.5" customHeight="1" x14ac:dyDescent="0.25">
      <c r="B397" s="37"/>
      <c r="C397" s="38"/>
    </row>
    <row r="398" spans="2:3" ht="16.5" customHeight="1" x14ac:dyDescent="0.25">
      <c r="B398" s="37"/>
      <c r="C398" s="38"/>
    </row>
    <row r="399" spans="2:3" ht="16.5" customHeight="1" x14ac:dyDescent="0.25">
      <c r="B399" s="37"/>
      <c r="C399" s="38"/>
    </row>
    <row r="400" spans="2:3" ht="16.5" customHeight="1" x14ac:dyDescent="0.25">
      <c r="B400" s="37"/>
      <c r="C400" s="38"/>
    </row>
    <row r="401" spans="2:3" ht="16.5" customHeight="1" x14ac:dyDescent="0.25">
      <c r="B401" s="37"/>
      <c r="C401" s="38"/>
    </row>
    <row r="402" spans="2:3" ht="16.5" customHeight="1" x14ac:dyDescent="0.25">
      <c r="B402" s="37"/>
      <c r="C402" s="38"/>
    </row>
    <row r="403" spans="2:3" ht="16.5" customHeight="1" x14ac:dyDescent="0.25">
      <c r="B403" s="37"/>
      <c r="C403" s="38"/>
    </row>
    <row r="404" spans="2:3" ht="16.5" customHeight="1" x14ac:dyDescent="0.25">
      <c r="B404" s="37"/>
      <c r="C404" s="38"/>
    </row>
    <row r="405" spans="2:3" ht="16.5" customHeight="1" x14ac:dyDescent="0.25">
      <c r="B405" s="37"/>
      <c r="C405" s="38"/>
    </row>
    <row r="406" spans="2:3" ht="16.5" customHeight="1" x14ac:dyDescent="0.25">
      <c r="B406" s="37"/>
      <c r="C406" s="38"/>
    </row>
    <row r="407" spans="2:3" ht="16.5" customHeight="1" x14ac:dyDescent="0.25">
      <c r="B407" s="37"/>
      <c r="C407" s="38"/>
    </row>
    <row r="408" spans="2:3" ht="16.5" customHeight="1" x14ac:dyDescent="0.25">
      <c r="B408" s="37"/>
      <c r="C408" s="38"/>
    </row>
    <row r="409" spans="2:3" ht="16.5" customHeight="1" x14ac:dyDescent="0.25">
      <c r="B409" s="37"/>
      <c r="C409" s="38"/>
    </row>
    <row r="410" spans="2:3" ht="16.5" customHeight="1" x14ac:dyDescent="0.25">
      <c r="B410" s="37"/>
      <c r="C410" s="38"/>
    </row>
    <row r="411" spans="2:3" ht="16.5" customHeight="1" x14ac:dyDescent="0.25">
      <c r="B411" s="37"/>
      <c r="C411" s="38"/>
    </row>
    <row r="412" spans="2:3" ht="16.5" customHeight="1" x14ac:dyDescent="0.25">
      <c r="B412" s="37"/>
      <c r="C412" s="38"/>
    </row>
    <row r="413" spans="2:3" ht="16.5" customHeight="1" x14ac:dyDescent="0.25">
      <c r="B413" s="37"/>
      <c r="C413" s="38"/>
    </row>
    <row r="414" spans="2:3" ht="16.5" customHeight="1" x14ac:dyDescent="0.25">
      <c r="B414" s="37"/>
      <c r="C414" s="38"/>
    </row>
    <row r="415" spans="2:3" ht="16.5" customHeight="1" x14ac:dyDescent="0.25">
      <c r="B415" s="37"/>
      <c r="C415" s="38"/>
    </row>
    <row r="416" spans="2:3" ht="16.5" customHeight="1" x14ac:dyDescent="0.25">
      <c r="B416" s="37"/>
      <c r="C416" s="38"/>
    </row>
    <row r="417" spans="2:3" ht="16.5" customHeight="1" x14ac:dyDescent="0.25">
      <c r="B417" s="37"/>
      <c r="C417" s="38"/>
    </row>
    <row r="418" spans="2:3" ht="16.5" customHeight="1" x14ac:dyDescent="0.25">
      <c r="B418" s="37"/>
      <c r="C418" s="38"/>
    </row>
    <row r="419" spans="2:3" ht="16.5" customHeight="1" x14ac:dyDescent="0.25">
      <c r="B419" s="37"/>
      <c r="C419" s="38"/>
    </row>
    <row r="420" spans="2:3" ht="16.5" customHeight="1" x14ac:dyDescent="0.25">
      <c r="B420" s="37"/>
      <c r="C420" s="38"/>
    </row>
    <row r="421" spans="2:3" ht="16.5" customHeight="1" x14ac:dyDescent="0.25">
      <c r="B421" s="37"/>
      <c r="C421" s="38"/>
    </row>
    <row r="422" spans="2:3" ht="16.5" customHeight="1" x14ac:dyDescent="0.25">
      <c r="B422" s="37"/>
      <c r="C422" s="38"/>
    </row>
    <row r="423" spans="2:3" ht="16.5" customHeight="1" x14ac:dyDescent="0.25">
      <c r="B423" s="37"/>
      <c r="C423" s="38"/>
    </row>
    <row r="424" spans="2:3" ht="16.5" customHeight="1" x14ac:dyDescent="0.25">
      <c r="B424" s="37"/>
      <c r="C424" s="38"/>
    </row>
    <row r="425" spans="2:3" ht="16.5" customHeight="1" x14ac:dyDescent="0.25">
      <c r="B425" s="37"/>
      <c r="C425" s="38"/>
    </row>
    <row r="426" spans="2:3" ht="16.5" customHeight="1" x14ac:dyDescent="0.25">
      <c r="B426" s="37"/>
      <c r="C426" s="38"/>
    </row>
    <row r="427" spans="2:3" ht="16.5" customHeight="1" x14ac:dyDescent="0.25">
      <c r="B427" s="37"/>
      <c r="C427" s="38"/>
    </row>
    <row r="428" spans="2:3" ht="16.5" customHeight="1" x14ac:dyDescent="0.25">
      <c r="B428" s="37"/>
      <c r="C428" s="38"/>
    </row>
    <row r="429" spans="2:3" ht="16.5" customHeight="1" x14ac:dyDescent="0.25">
      <c r="B429" s="37"/>
      <c r="C429" s="38"/>
    </row>
    <row r="430" spans="2:3" ht="16.5" customHeight="1" x14ac:dyDescent="0.25">
      <c r="B430" s="37"/>
      <c r="C430" s="38"/>
    </row>
    <row r="431" spans="2:3" ht="16.5" customHeight="1" x14ac:dyDescent="0.25">
      <c r="B431" s="37"/>
      <c r="C431" s="38"/>
    </row>
    <row r="432" spans="2:3" ht="16.5" customHeight="1" x14ac:dyDescent="0.25">
      <c r="B432" s="37"/>
      <c r="C432" s="38"/>
    </row>
    <row r="433" spans="2:3" ht="16.5" customHeight="1" x14ac:dyDescent="0.25">
      <c r="B433" s="37"/>
      <c r="C433" s="38"/>
    </row>
    <row r="434" spans="2:3" ht="16.5" customHeight="1" x14ac:dyDescent="0.25">
      <c r="B434" s="37"/>
      <c r="C434" s="38"/>
    </row>
    <row r="435" spans="2:3" ht="16.5" customHeight="1" x14ac:dyDescent="0.25">
      <c r="B435" s="37"/>
      <c r="C435" s="38"/>
    </row>
    <row r="436" spans="2:3" ht="16.5" customHeight="1" x14ac:dyDescent="0.25">
      <c r="B436" s="37"/>
      <c r="C436" s="38"/>
    </row>
    <row r="437" spans="2:3" ht="16.5" customHeight="1" x14ac:dyDescent="0.25">
      <c r="B437" s="37"/>
      <c r="C437" s="38"/>
    </row>
    <row r="438" spans="2:3" ht="16.5" customHeight="1" x14ac:dyDescent="0.25">
      <c r="B438" s="37"/>
      <c r="C438" s="38"/>
    </row>
    <row r="439" spans="2:3" ht="16.5" customHeight="1" x14ac:dyDescent="0.25">
      <c r="B439" s="37"/>
      <c r="C439" s="38"/>
    </row>
    <row r="440" spans="2:3" ht="16.5" customHeight="1" x14ac:dyDescent="0.25">
      <c r="B440" s="37"/>
      <c r="C440" s="38"/>
    </row>
    <row r="441" spans="2:3" ht="16.5" customHeight="1" x14ac:dyDescent="0.25">
      <c r="B441" s="37"/>
      <c r="C441" s="38"/>
    </row>
    <row r="442" spans="2:3" ht="16.5" customHeight="1" x14ac:dyDescent="0.25">
      <c r="B442" s="37"/>
      <c r="C442" s="38"/>
    </row>
    <row r="443" spans="2:3" ht="16.5" customHeight="1" x14ac:dyDescent="0.25">
      <c r="B443" s="37"/>
      <c r="C443" s="38"/>
    </row>
    <row r="444" spans="2:3" ht="16.5" customHeight="1" x14ac:dyDescent="0.25">
      <c r="B444" s="37"/>
      <c r="C444" s="38"/>
    </row>
    <row r="445" spans="2:3" ht="16.5" customHeight="1" x14ac:dyDescent="0.25">
      <c r="B445" s="37"/>
      <c r="C445" s="38"/>
    </row>
    <row r="446" spans="2:3" ht="16.5" customHeight="1" x14ac:dyDescent="0.25">
      <c r="B446" s="37"/>
      <c r="C446" s="38"/>
    </row>
    <row r="447" spans="2:3" ht="16.5" customHeight="1" x14ac:dyDescent="0.25">
      <c r="B447" s="37"/>
      <c r="C447" s="38"/>
    </row>
    <row r="448" spans="2:3" ht="16.5" customHeight="1" x14ac:dyDescent="0.25">
      <c r="B448" s="37"/>
      <c r="C448" s="38"/>
    </row>
    <row r="449" spans="2:3" ht="16.5" customHeight="1" x14ac:dyDescent="0.25">
      <c r="B449" s="37"/>
      <c r="C449" s="38"/>
    </row>
    <row r="450" spans="2:3" ht="16.5" customHeight="1" x14ac:dyDescent="0.25">
      <c r="B450" s="37"/>
      <c r="C450" s="38"/>
    </row>
    <row r="451" spans="2:3" ht="16.5" customHeight="1" x14ac:dyDescent="0.25">
      <c r="B451" s="37"/>
      <c r="C451" s="38"/>
    </row>
    <row r="452" spans="2:3" ht="16.5" customHeight="1" x14ac:dyDescent="0.25">
      <c r="B452" s="37"/>
      <c r="C452" s="38"/>
    </row>
    <row r="453" spans="2:3" ht="16.5" customHeight="1" x14ac:dyDescent="0.25">
      <c r="B453" s="37"/>
      <c r="C453" s="38"/>
    </row>
    <row r="454" spans="2:3" ht="16.5" customHeight="1" x14ac:dyDescent="0.25">
      <c r="B454" s="37"/>
      <c r="C454" s="38"/>
    </row>
    <row r="455" spans="2:3" ht="16.5" customHeight="1" x14ac:dyDescent="0.25">
      <c r="B455" s="37"/>
      <c r="C455" s="38"/>
    </row>
    <row r="456" spans="2:3" ht="16.5" customHeight="1" x14ac:dyDescent="0.25">
      <c r="B456" s="37"/>
      <c r="C456" s="38"/>
    </row>
    <row r="457" spans="2:3" ht="16.5" customHeight="1" x14ac:dyDescent="0.25">
      <c r="B457" s="37"/>
      <c r="C457" s="38"/>
    </row>
    <row r="458" spans="2:3" ht="16.5" customHeight="1" x14ac:dyDescent="0.25">
      <c r="B458" s="37"/>
      <c r="C458" s="38"/>
    </row>
    <row r="459" spans="2:3" ht="16.5" customHeight="1" x14ac:dyDescent="0.25">
      <c r="B459" s="37"/>
      <c r="C459" s="38"/>
    </row>
    <row r="460" spans="2:3" ht="16.5" customHeight="1" x14ac:dyDescent="0.25">
      <c r="B460" s="37"/>
      <c r="C460" s="38"/>
    </row>
    <row r="461" spans="2:3" ht="16.5" customHeight="1" x14ac:dyDescent="0.25">
      <c r="B461" s="37"/>
      <c r="C461" s="38"/>
    </row>
    <row r="462" spans="2:3" ht="16.5" customHeight="1" x14ac:dyDescent="0.25">
      <c r="B462" s="37"/>
      <c r="C462" s="38"/>
    </row>
    <row r="463" spans="2:3" ht="16.5" customHeight="1" x14ac:dyDescent="0.25">
      <c r="B463" s="37"/>
      <c r="C463" s="38"/>
    </row>
    <row r="464" spans="2:3" ht="16.5" customHeight="1" x14ac:dyDescent="0.25">
      <c r="B464" s="37"/>
      <c r="C464" s="38"/>
    </row>
    <row r="465" spans="2:3" ht="16.5" customHeight="1" x14ac:dyDescent="0.25">
      <c r="B465" s="37"/>
      <c r="C465" s="38"/>
    </row>
    <row r="466" spans="2:3" ht="16.5" customHeight="1" x14ac:dyDescent="0.25">
      <c r="B466" s="37"/>
      <c r="C466" s="38"/>
    </row>
    <row r="467" spans="2:3" ht="16.5" customHeight="1" x14ac:dyDescent="0.25">
      <c r="B467" s="37"/>
      <c r="C467" s="38"/>
    </row>
    <row r="468" spans="2:3" ht="16.5" customHeight="1" x14ac:dyDescent="0.25">
      <c r="B468" s="37"/>
      <c r="C468" s="38"/>
    </row>
    <row r="469" spans="2:3" ht="16.5" customHeight="1" x14ac:dyDescent="0.25">
      <c r="B469" s="37"/>
      <c r="C469" s="38"/>
    </row>
    <row r="470" spans="2:3" ht="16.5" customHeight="1" x14ac:dyDescent="0.25">
      <c r="B470" s="37"/>
      <c r="C470" s="38"/>
    </row>
    <row r="471" spans="2:3" ht="16.5" customHeight="1" x14ac:dyDescent="0.25">
      <c r="B471" s="37"/>
      <c r="C471" s="38"/>
    </row>
    <row r="472" spans="2:3" ht="16.5" customHeight="1" x14ac:dyDescent="0.25">
      <c r="B472" s="37"/>
      <c r="C472" s="38"/>
    </row>
    <row r="473" spans="2:3" ht="16.5" customHeight="1" x14ac:dyDescent="0.25">
      <c r="B473" s="37"/>
      <c r="C473" s="38"/>
    </row>
    <row r="474" spans="2:3" ht="16.5" customHeight="1" x14ac:dyDescent="0.25">
      <c r="B474" s="37"/>
      <c r="C474" s="38"/>
    </row>
    <row r="475" spans="2:3" ht="16.5" customHeight="1" x14ac:dyDescent="0.25">
      <c r="B475" s="37"/>
      <c r="C475" s="38"/>
    </row>
    <row r="476" spans="2:3" ht="16.5" customHeight="1" x14ac:dyDescent="0.25">
      <c r="B476" s="37"/>
      <c r="C476" s="38"/>
    </row>
    <row r="477" spans="2:3" ht="16.5" customHeight="1" x14ac:dyDescent="0.25">
      <c r="B477" s="37"/>
      <c r="C477" s="38"/>
    </row>
    <row r="478" spans="2:3" ht="16.5" customHeight="1" x14ac:dyDescent="0.25">
      <c r="B478" s="37"/>
      <c r="C478" s="38"/>
    </row>
    <row r="479" spans="2:3" ht="16.5" customHeight="1" x14ac:dyDescent="0.25">
      <c r="B479" s="37"/>
      <c r="C479" s="38"/>
    </row>
    <row r="480" spans="2:3" ht="16.5" customHeight="1" x14ac:dyDescent="0.25">
      <c r="B480" s="37"/>
      <c r="C480" s="38"/>
    </row>
    <row r="481" spans="2:3" ht="16.5" customHeight="1" x14ac:dyDescent="0.25">
      <c r="B481" s="37"/>
      <c r="C481" s="38"/>
    </row>
    <row r="482" spans="2:3" ht="16.5" customHeight="1" x14ac:dyDescent="0.25">
      <c r="B482" s="37"/>
      <c r="C482" s="38"/>
    </row>
    <row r="483" spans="2:3" ht="16.5" customHeight="1" x14ac:dyDescent="0.25">
      <c r="B483" s="37"/>
      <c r="C483" s="38"/>
    </row>
    <row r="484" spans="2:3" ht="16.5" customHeight="1" x14ac:dyDescent="0.25">
      <c r="B484" s="37"/>
      <c r="C484" s="38"/>
    </row>
    <row r="485" spans="2:3" ht="16.5" customHeight="1" x14ac:dyDescent="0.25">
      <c r="B485" s="37"/>
      <c r="C485" s="38"/>
    </row>
    <row r="486" spans="2:3" ht="16.5" customHeight="1" x14ac:dyDescent="0.25">
      <c r="B486" s="37"/>
      <c r="C486" s="38"/>
    </row>
    <row r="487" spans="2:3" ht="16.5" customHeight="1" x14ac:dyDescent="0.25">
      <c r="B487" s="37"/>
      <c r="C487" s="38"/>
    </row>
    <row r="488" spans="2:3" ht="16.5" customHeight="1" x14ac:dyDescent="0.25">
      <c r="B488" s="37"/>
      <c r="C488" s="38"/>
    </row>
    <row r="489" spans="2:3" ht="16.5" customHeight="1" x14ac:dyDescent="0.25">
      <c r="B489" s="37"/>
      <c r="C489" s="38"/>
    </row>
    <row r="490" spans="2:3" ht="16.5" customHeight="1" x14ac:dyDescent="0.25">
      <c r="B490" s="37"/>
      <c r="C490" s="38"/>
    </row>
    <row r="491" spans="2:3" ht="16.5" customHeight="1" x14ac:dyDescent="0.25">
      <c r="B491" s="37"/>
      <c r="C491" s="38"/>
    </row>
    <row r="492" spans="2:3" ht="16.5" customHeight="1" x14ac:dyDescent="0.25">
      <c r="B492" s="37"/>
      <c r="C492" s="38"/>
    </row>
    <row r="493" spans="2:3" ht="16.5" customHeight="1" x14ac:dyDescent="0.25">
      <c r="B493" s="37"/>
      <c r="C493" s="38"/>
    </row>
    <row r="494" spans="2:3" ht="16.5" customHeight="1" x14ac:dyDescent="0.25">
      <c r="B494" s="37"/>
      <c r="C494" s="38"/>
    </row>
    <row r="495" spans="2:3" ht="16.5" customHeight="1" x14ac:dyDescent="0.25">
      <c r="B495" s="37"/>
      <c r="C495" s="38"/>
    </row>
    <row r="496" spans="2:3" ht="16.5" customHeight="1" x14ac:dyDescent="0.25">
      <c r="B496" s="37"/>
      <c r="C496" s="38"/>
    </row>
    <row r="497" spans="2:3" ht="16.5" customHeight="1" x14ac:dyDescent="0.25">
      <c r="B497" s="37"/>
      <c r="C497" s="38"/>
    </row>
    <row r="498" spans="2:3" ht="16.5" customHeight="1" x14ac:dyDescent="0.25">
      <c r="B498" s="37"/>
      <c r="C498" s="38"/>
    </row>
    <row r="499" spans="2:3" ht="16.5" customHeight="1" x14ac:dyDescent="0.25">
      <c r="B499" s="37"/>
      <c r="C499" s="38"/>
    </row>
    <row r="500" spans="2:3" ht="16.5" customHeight="1" x14ac:dyDescent="0.25">
      <c r="B500" s="37"/>
      <c r="C500" s="38"/>
    </row>
    <row r="501" spans="2:3" ht="16.5" customHeight="1" x14ac:dyDescent="0.25">
      <c r="B501" s="37"/>
      <c r="C501" s="38"/>
    </row>
    <row r="502" spans="2:3" ht="16.5" customHeight="1" x14ac:dyDescent="0.25">
      <c r="B502" s="37"/>
      <c r="C502" s="38"/>
    </row>
    <row r="503" spans="2:3" ht="16.5" customHeight="1" x14ac:dyDescent="0.25">
      <c r="B503" s="37"/>
      <c r="C503" s="38"/>
    </row>
    <row r="504" spans="2:3" ht="16.5" customHeight="1" x14ac:dyDescent="0.25">
      <c r="B504" s="37"/>
      <c r="C504" s="38"/>
    </row>
    <row r="505" spans="2:3" ht="16.5" customHeight="1" x14ac:dyDescent="0.25">
      <c r="B505" s="37"/>
      <c r="C505" s="38"/>
    </row>
    <row r="506" spans="2:3" ht="16.5" customHeight="1" x14ac:dyDescent="0.25">
      <c r="B506" s="37"/>
      <c r="C506" s="38"/>
    </row>
    <row r="507" spans="2:3" ht="16.5" customHeight="1" x14ac:dyDescent="0.25">
      <c r="B507" s="37"/>
      <c r="C507" s="38"/>
    </row>
    <row r="508" spans="2:3" ht="16.5" customHeight="1" x14ac:dyDescent="0.25">
      <c r="B508" s="37"/>
      <c r="C508" s="38"/>
    </row>
    <row r="509" spans="2:3" ht="16.5" customHeight="1" x14ac:dyDescent="0.25">
      <c r="B509" s="37"/>
      <c r="C509" s="38"/>
    </row>
    <row r="510" spans="2:3" ht="16.5" customHeight="1" x14ac:dyDescent="0.25">
      <c r="B510" s="37"/>
      <c r="C510" s="38"/>
    </row>
    <row r="511" spans="2:3" ht="16.5" customHeight="1" x14ac:dyDescent="0.25">
      <c r="B511" s="37"/>
      <c r="C511" s="38"/>
    </row>
    <row r="512" spans="2:3" ht="16.5" customHeight="1" x14ac:dyDescent="0.25">
      <c r="B512" s="37"/>
      <c r="C512" s="38"/>
    </row>
    <row r="513" spans="2:3" ht="16.5" customHeight="1" x14ac:dyDescent="0.25">
      <c r="B513" s="37"/>
      <c r="C513" s="38"/>
    </row>
    <row r="514" spans="2:3" ht="16.5" customHeight="1" x14ac:dyDescent="0.25">
      <c r="B514" s="37"/>
      <c r="C514" s="38"/>
    </row>
    <row r="515" spans="2:3" ht="16.5" customHeight="1" x14ac:dyDescent="0.25">
      <c r="B515" s="37"/>
      <c r="C515" s="38"/>
    </row>
    <row r="516" spans="2:3" ht="16.5" customHeight="1" x14ac:dyDescent="0.25">
      <c r="B516" s="37"/>
      <c r="C516" s="38"/>
    </row>
    <row r="517" spans="2:3" ht="16.5" customHeight="1" x14ac:dyDescent="0.25">
      <c r="B517" s="37"/>
      <c r="C517" s="38"/>
    </row>
    <row r="518" spans="2:3" ht="16.5" customHeight="1" x14ac:dyDescent="0.25">
      <c r="B518" s="37"/>
      <c r="C518" s="38"/>
    </row>
    <row r="519" spans="2:3" ht="16.5" customHeight="1" x14ac:dyDescent="0.25">
      <c r="B519" s="37"/>
      <c r="C519" s="38"/>
    </row>
    <row r="520" spans="2:3" ht="16.5" customHeight="1" x14ac:dyDescent="0.25">
      <c r="B520" s="37"/>
      <c r="C520" s="38"/>
    </row>
    <row r="521" spans="2:3" ht="16.5" customHeight="1" x14ac:dyDescent="0.25">
      <c r="B521" s="37"/>
      <c r="C521" s="38"/>
    </row>
    <row r="522" spans="2:3" ht="16.5" customHeight="1" x14ac:dyDescent="0.25">
      <c r="B522" s="37"/>
      <c r="C522" s="38"/>
    </row>
    <row r="523" spans="2:3" ht="16.5" customHeight="1" x14ac:dyDescent="0.25">
      <c r="B523" s="37"/>
      <c r="C523" s="38"/>
    </row>
    <row r="524" spans="2:3" ht="16.5" customHeight="1" x14ac:dyDescent="0.25">
      <c r="B524" s="37"/>
      <c r="C524" s="38"/>
    </row>
    <row r="525" spans="2:3" ht="16.5" customHeight="1" x14ac:dyDescent="0.25">
      <c r="B525" s="37"/>
      <c r="C525" s="38"/>
    </row>
    <row r="526" spans="2:3" ht="16.5" customHeight="1" x14ac:dyDescent="0.25">
      <c r="B526" s="37"/>
      <c r="C526" s="38"/>
    </row>
    <row r="527" spans="2:3" ht="16.5" customHeight="1" x14ac:dyDescent="0.25">
      <c r="B527" s="37"/>
      <c r="C527" s="38"/>
    </row>
    <row r="528" spans="2:3" ht="16.5" customHeight="1" x14ac:dyDescent="0.25">
      <c r="B528" s="37"/>
      <c r="C528" s="38"/>
    </row>
    <row r="529" spans="2:3" ht="16.5" customHeight="1" x14ac:dyDescent="0.25">
      <c r="B529" s="37"/>
      <c r="C529" s="38"/>
    </row>
    <row r="530" spans="2:3" ht="16.5" customHeight="1" x14ac:dyDescent="0.25">
      <c r="B530" s="37"/>
      <c r="C530" s="38"/>
    </row>
    <row r="531" spans="2:3" ht="16.5" customHeight="1" x14ac:dyDescent="0.25">
      <c r="B531" s="37"/>
      <c r="C531" s="38"/>
    </row>
    <row r="532" spans="2:3" ht="16.5" customHeight="1" x14ac:dyDescent="0.25">
      <c r="B532" s="37"/>
      <c r="C532" s="38"/>
    </row>
    <row r="533" spans="2:3" ht="16.5" customHeight="1" x14ac:dyDescent="0.25">
      <c r="B533" s="37"/>
      <c r="C533" s="38"/>
    </row>
    <row r="534" spans="2:3" ht="16.5" customHeight="1" x14ac:dyDescent="0.25">
      <c r="B534" s="37"/>
      <c r="C534" s="38"/>
    </row>
    <row r="535" spans="2:3" ht="16.5" customHeight="1" x14ac:dyDescent="0.25">
      <c r="B535" s="37"/>
      <c r="C535" s="38"/>
    </row>
    <row r="536" spans="2:3" ht="16.5" customHeight="1" x14ac:dyDescent="0.25">
      <c r="B536" s="37"/>
      <c r="C536" s="38"/>
    </row>
    <row r="537" spans="2:3" ht="16.5" customHeight="1" x14ac:dyDescent="0.25">
      <c r="B537" s="37"/>
      <c r="C537" s="38"/>
    </row>
    <row r="538" spans="2:3" ht="16.5" customHeight="1" x14ac:dyDescent="0.25">
      <c r="B538" s="37"/>
      <c r="C538" s="38"/>
    </row>
    <row r="539" spans="2:3" ht="16.5" customHeight="1" x14ac:dyDescent="0.25">
      <c r="B539" s="37"/>
      <c r="C539" s="38"/>
    </row>
    <row r="540" spans="2:3" ht="16.5" customHeight="1" x14ac:dyDescent="0.25">
      <c r="B540" s="37"/>
      <c r="C540" s="38"/>
    </row>
    <row r="541" spans="2:3" ht="16.5" customHeight="1" x14ac:dyDescent="0.25">
      <c r="B541" s="37"/>
      <c r="C541" s="38"/>
    </row>
    <row r="542" spans="2:3" ht="16.5" customHeight="1" x14ac:dyDescent="0.25">
      <c r="B542" s="37"/>
      <c r="C542" s="38"/>
    </row>
    <row r="543" spans="2:3" ht="16.5" customHeight="1" x14ac:dyDescent="0.25">
      <c r="B543" s="37"/>
      <c r="C543" s="38"/>
    </row>
    <row r="544" spans="2:3" ht="16.5" customHeight="1" x14ac:dyDescent="0.25">
      <c r="B544" s="37"/>
      <c r="C544" s="38"/>
    </row>
    <row r="545" spans="2:3" ht="16.5" customHeight="1" x14ac:dyDescent="0.25">
      <c r="B545" s="37"/>
      <c r="C545" s="38"/>
    </row>
    <row r="546" spans="2:3" ht="16.5" customHeight="1" x14ac:dyDescent="0.25">
      <c r="B546" s="37"/>
      <c r="C546" s="38"/>
    </row>
    <row r="547" spans="2:3" ht="16.5" customHeight="1" x14ac:dyDescent="0.25">
      <c r="B547" s="37"/>
      <c r="C547" s="38"/>
    </row>
    <row r="548" spans="2:3" ht="16.5" customHeight="1" x14ac:dyDescent="0.25">
      <c r="B548" s="37"/>
      <c r="C548" s="38"/>
    </row>
    <row r="549" spans="2:3" ht="16.5" customHeight="1" x14ac:dyDescent="0.25">
      <c r="B549" s="37"/>
      <c r="C549" s="38"/>
    </row>
    <row r="550" spans="2:3" ht="16.5" customHeight="1" x14ac:dyDescent="0.25">
      <c r="B550" s="37"/>
      <c r="C550" s="38"/>
    </row>
    <row r="551" spans="2:3" ht="16.5" customHeight="1" x14ac:dyDescent="0.25">
      <c r="B551" s="37"/>
      <c r="C551" s="38"/>
    </row>
    <row r="552" spans="2:3" ht="16.5" customHeight="1" x14ac:dyDescent="0.25">
      <c r="B552" s="37"/>
      <c r="C552" s="38"/>
    </row>
    <row r="553" spans="2:3" ht="16.5" customHeight="1" x14ac:dyDescent="0.25">
      <c r="B553" s="37"/>
      <c r="C553" s="38"/>
    </row>
    <row r="554" spans="2:3" ht="16.5" customHeight="1" x14ac:dyDescent="0.25">
      <c r="B554" s="37"/>
      <c r="C554" s="38"/>
    </row>
    <row r="555" spans="2:3" ht="16.5" customHeight="1" x14ac:dyDescent="0.25">
      <c r="B555" s="37"/>
      <c r="C555" s="38"/>
    </row>
    <row r="556" spans="2:3" ht="16.5" customHeight="1" x14ac:dyDescent="0.25">
      <c r="B556" s="37"/>
      <c r="C556" s="38"/>
    </row>
    <row r="557" spans="2:3" ht="16.5" customHeight="1" x14ac:dyDescent="0.25">
      <c r="B557" s="37"/>
      <c r="C557" s="38"/>
    </row>
    <row r="558" spans="2:3" ht="16.5" customHeight="1" x14ac:dyDescent="0.25">
      <c r="B558" s="37"/>
      <c r="C558" s="38"/>
    </row>
    <row r="559" spans="2:3" ht="16.5" customHeight="1" x14ac:dyDescent="0.25">
      <c r="B559" s="37"/>
      <c r="C559" s="38"/>
    </row>
    <row r="560" spans="2:3" ht="16.5" customHeight="1" x14ac:dyDescent="0.25">
      <c r="B560" s="37"/>
      <c r="C560" s="38"/>
    </row>
    <row r="561" spans="2:3" ht="16.5" customHeight="1" x14ac:dyDescent="0.25">
      <c r="B561" s="37"/>
      <c r="C561" s="38"/>
    </row>
    <row r="562" spans="2:3" ht="16.5" customHeight="1" x14ac:dyDescent="0.25">
      <c r="B562" s="37"/>
      <c r="C562" s="38"/>
    </row>
    <row r="563" spans="2:3" ht="16.5" customHeight="1" x14ac:dyDescent="0.25">
      <c r="B563" s="37"/>
      <c r="C563" s="38"/>
    </row>
    <row r="564" spans="2:3" ht="16.5" customHeight="1" x14ac:dyDescent="0.25">
      <c r="B564" s="37"/>
      <c r="C564" s="38"/>
    </row>
    <row r="565" spans="2:3" ht="16.5" customHeight="1" x14ac:dyDescent="0.25">
      <c r="B565" s="37"/>
      <c r="C565" s="38"/>
    </row>
    <row r="566" spans="2:3" ht="16.5" customHeight="1" x14ac:dyDescent="0.25">
      <c r="B566" s="37"/>
      <c r="C566" s="38"/>
    </row>
    <row r="567" spans="2:3" ht="16.5" customHeight="1" x14ac:dyDescent="0.25">
      <c r="B567" s="37"/>
      <c r="C567" s="38"/>
    </row>
    <row r="568" spans="2:3" ht="16.5" customHeight="1" x14ac:dyDescent="0.25">
      <c r="B568" s="37"/>
      <c r="C568" s="38"/>
    </row>
    <row r="569" spans="2:3" ht="16.5" customHeight="1" x14ac:dyDescent="0.25">
      <c r="B569" s="37"/>
      <c r="C569" s="38"/>
    </row>
    <row r="570" spans="2:3" ht="16.5" customHeight="1" x14ac:dyDescent="0.25">
      <c r="B570" s="37"/>
      <c r="C570" s="38"/>
    </row>
    <row r="571" spans="2:3" ht="16.5" customHeight="1" x14ac:dyDescent="0.25">
      <c r="B571" s="37"/>
      <c r="C571" s="38"/>
    </row>
    <row r="572" spans="2:3" ht="16.5" customHeight="1" x14ac:dyDescent="0.25">
      <c r="B572" s="37"/>
      <c r="C572" s="38"/>
    </row>
    <row r="573" spans="2:3" ht="16.5" customHeight="1" x14ac:dyDescent="0.25">
      <c r="B573" s="37"/>
      <c r="C573" s="38"/>
    </row>
    <row r="574" spans="2:3" ht="16.5" customHeight="1" x14ac:dyDescent="0.25">
      <c r="B574" s="37"/>
      <c r="C574" s="38"/>
    </row>
    <row r="575" spans="2:3" ht="16.5" customHeight="1" x14ac:dyDescent="0.25">
      <c r="B575" s="37"/>
      <c r="C575" s="38"/>
    </row>
    <row r="576" spans="2:3" ht="16.5" customHeight="1" x14ac:dyDescent="0.25">
      <c r="B576" s="37"/>
      <c r="C576" s="38"/>
    </row>
    <row r="577" spans="2:3" ht="16.5" customHeight="1" x14ac:dyDescent="0.25">
      <c r="B577" s="37"/>
      <c r="C577" s="38"/>
    </row>
    <row r="578" spans="2:3" ht="16.5" customHeight="1" x14ac:dyDescent="0.25">
      <c r="B578" s="37"/>
      <c r="C578" s="38"/>
    </row>
    <row r="579" spans="2:3" ht="16.5" customHeight="1" x14ac:dyDescent="0.25">
      <c r="B579" s="37"/>
      <c r="C579" s="38"/>
    </row>
    <row r="580" spans="2:3" ht="16.5" customHeight="1" x14ac:dyDescent="0.25">
      <c r="B580" s="37"/>
      <c r="C580" s="38"/>
    </row>
    <row r="581" spans="2:3" ht="16.5" customHeight="1" x14ac:dyDescent="0.25">
      <c r="B581" s="37"/>
      <c r="C581" s="38"/>
    </row>
    <row r="582" spans="2:3" ht="16.5" customHeight="1" x14ac:dyDescent="0.25">
      <c r="B582" s="37"/>
      <c r="C582" s="38"/>
    </row>
    <row r="583" spans="2:3" ht="16.5" customHeight="1" x14ac:dyDescent="0.25">
      <c r="B583" s="37"/>
      <c r="C583" s="38"/>
    </row>
    <row r="584" spans="2:3" ht="16.5" customHeight="1" x14ac:dyDescent="0.25">
      <c r="B584" s="37"/>
      <c r="C584" s="38"/>
    </row>
    <row r="585" spans="2:3" ht="16.5" customHeight="1" x14ac:dyDescent="0.25">
      <c r="B585" s="37"/>
      <c r="C585" s="38"/>
    </row>
    <row r="586" spans="2:3" ht="16.5" customHeight="1" x14ac:dyDescent="0.25">
      <c r="B586" s="37"/>
      <c r="C586" s="38"/>
    </row>
    <row r="587" spans="2:3" ht="16.5" customHeight="1" x14ac:dyDescent="0.25">
      <c r="B587" s="37"/>
      <c r="C587" s="38"/>
    </row>
    <row r="588" spans="2:3" ht="16.5" customHeight="1" x14ac:dyDescent="0.25">
      <c r="B588" s="37"/>
      <c r="C588" s="38"/>
    </row>
    <row r="589" spans="2:3" ht="16.5" customHeight="1" x14ac:dyDescent="0.25">
      <c r="B589" s="37"/>
      <c r="C589" s="38"/>
    </row>
    <row r="590" spans="2:3" ht="16.5" customHeight="1" x14ac:dyDescent="0.25">
      <c r="B590" s="37"/>
      <c r="C590" s="38"/>
    </row>
    <row r="591" spans="2:3" ht="16.5" customHeight="1" x14ac:dyDescent="0.25">
      <c r="B591" s="37"/>
      <c r="C591" s="38"/>
    </row>
    <row r="592" spans="2:3" ht="16.5" customHeight="1" x14ac:dyDescent="0.25">
      <c r="B592" s="37"/>
      <c r="C592" s="38"/>
    </row>
    <row r="593" spans="2:3" ht="16.5" customHeight="1" x14ac:dyDescent="0.25">
      <c r="B593" s="37"/>
      <c r="C593" s="38"/>
    </row>
    <row r="594" spans="2:3" ht="16.5" customHeight="1" x14ac:dyDescent="0.25">
      <c r="B594" s="37"/>
      <c r="C594" s="38"/>
    </row>
    <row r="595" spans="2:3" ht="16.5" customHeight="1" x14ac:dyDescent="0.25">
      <c r="B595" s="37"/>
      <c r="C595" s="38"/>
    </row>
    <row r="596" spans="2:3" ht="16.5" customHeight="1" x14ac:dyDescent="0.25">
      <c r="B596" s="37"/>
      <c r="C596" s="38"/>
    </row>
    <row r="597" spans="2:3" ht="16.5" customHeight="1" x14ac:dyDescent="0.25">
      <c r="B597" s="37"/>
      <c r="C597" s="38"/>
    </row>
    <row r="598" spans="2:3" ht="16.5" customHeight="1" x14ac:dyDescent="0.25">
      <c r="B598" s="37"/>
      <c r="C598" s="38"/>
    </row>
    <row r="599" spans="2:3" ht="16.5" customHeight="1" x14ac:dyDescent="0.25">
      <c r="B599" s="37"/>
      <c r="C599" s="38"/>
    </row>
    <row r="600" spans="2:3" ht="16.5" customHeight="1" x14ac:dyDescent="0.25">
      <c r="B600" s="37"/>
      <c r="C600" s="38"/>
    </row>
    <row r="601" spans="2:3" ht="16.5" customHeight="1" x14ac:dyDescent="0.25">
      <c r="B601" s="37"/>
      <c r="C601" s="38"/>
    </row>
    <row r="602" spans="2:3" ht="16.5" customHeight="1" x14ac:dyDescent="0.25">
      <c r="B602" s="37"/>
      <c r="C602" s="38"/>
    </row>
    <row r="603" spans="2:3" ht="16.5" customHeight="1" x14ac:dyDescent="0.25">
      <c r="B603" s="37"/>
      <c r="C603" s="38"/>
    </row>
    <row r="604" spans="2:3" ht="16.5" customHeight="1" x14ac:dyDescent="0.25">
      <c r="B604" s="37"/>
      <c r="C604" s="38"/>
    </row>
    <row r="605" spans="2:3" ht="16.5" customHeight="1" x14ac:dyDescent="0.25">
      <c r="B605" s="37"/>
      <c r="C605" s="38"/>
    </row>
    <row r="606" spans="2:3" ht="16.5" customHeight="1" x14ac:dyDescent="0.25">
      <c r="B606" s="37"/>
      <c r="C606" s="38"/>
    </row>
    <row r="607" spans="2:3" ht="16.5" customHeight="1" x14ac:dyDescent="0.25">
      <c r="B607" s="37"/>
      <c r="C607" s="38"/>
    </row>
    <row r="608" spans="2:3" ht="16.5" customHeight="1" x14ac:dyDescent="0.25">
      <c r="B608" s="37"/>
      <c r="C608" s="38"/>
    </row>
    <row r="609" spans="2:3" ht="16.5" customHeight="1" x14ac:dyDescent="0.25">
      <c r="B609" s="37"/>
      <c r="C609" s="38"/>
    </row>
    <row r="610" spans="2:3" ht="16.5" customHeight="1" x14ac:dyDescent="0.25">
      <c r="B610" s="37"/>
      <c r="C610" s="38"/>
    </row>
    <row r="611" spans="2:3" ht="16.5" customHeight="1" x14ac:dyDescent="0.25">
      <c r="B611" s="37"/>
      <c r="C611" s="38"/>
    </row>
    <row r="612" spans="2:3" ht="16.5" customHeight="1" x14ac:dyDescent="0.25">
      <c r="B612" s="37"/>
      <c r="C612" s="38"/>
    </row>
    <row r="613" spans="2:3" ht="16.5" customHeight="1" x14ac:dyDescent="0.25">
      <c r="B613" s="37"/>
      <c r="C613" s="38"/>
    </row>
    <row r="614" spans="2:3" ht="16.5" customHeight="1" x14ac:dyDescent="0.25">
      <c r="B614" s="37"/>
      <c r="C614" s="38"/>
    </row>
    <row r="615" spans="2:3" ht="16.5" customHeight="1" x14ac:dyDescent="0.25">
      <c r="B615" s="37"/>
      <c r="C615" s="38"/>
    </row>
    <row r="616" spans="2:3" ht="16.5" customHeight="1" x14ac:dyDescent="0.25">
      <c r="B616" s="37"/>
      <c r="C616" s="38"/>
    </row>
    <row r="617" spans="2:3" ht="16.5" customHeight="1" x14ac:dyDescent="0.25">
      <c r="B617" s="37"/>
      <c r="C617" s="38"/>
    </row>
    <row r="618" spans="2:3" ht="16.5" customHeight="1" x14ac:dyDescent="0.25">
      <c r="B618" s="37"/>
      <c r="C618" s="38"/>
    </row>
    <row r="619" spans="2:3" ht="16.5" customHeight="1" x14ac:dyDescent="0.25">
      <c r="B619" s="37"/>
      <c r="C619" s="38"/>
    </row>
    <row r="620" spans="2:3" ht="16.5" customHeight="1" x14ac:dyDescent="0.25">
      <c r="B620" s="37"/>
      <c r="C620" s="38"/>
    </row>
    <row r="621" spans="2:3" ht="16.5" customHeight="1" x14ac:dyDescent="0.25">
      <c r="B621" s="37"/>
      <c r="C621" s="38"/>
    </row>
    <row r="622" spans="2:3" ht="16.5" customHeight="1" x14ac:dyDescent="0.25">
      <c r="B622" s="37"/>
      <c r="C622" s="38"/>
    </row>
    <row r="623" spans="2:3" ht="16.5" customHeight="1" x14ac:dyDescent="0.25">
      <c r="B623" s="37"/>
      <c r="C623" s="38"/>
    </row>
    <row r="624" spans="2:3" ht="16.5" customHeight="1" x14ac:dyDescent="0.25">
      <c r="B624" s="37"/>
      <c r="C624" s="38"/>
    </row>
    <row r="625" spans="2:3" ht="16.5" customHeight="1" x14ac:dyDescent="0.25">
      <c r="B625" s="37"/>
      <c r="C625" s="38"/>
    </row>
    <row r="626" spans="2:3" ht="16.5" customHeight="1" x14ac:dyDescent="0.25">
      <c r="B626" s="37"/>
      <c r="C626" s="38"/>
    </row>
    <row r="627" spans="2:3" ht="16.5" customHeight="1" x14ac:dyDescent="0.25">
      <c r="B627" s="37"/>
      <c r="C627" s="38"/>
    </row>
    <row r="628" spans="2:3" ht="16.5" customHeight="1" x14ac:dyDescent="0.25">
      <c r="B628" s="37"/>
      <c r="C628" s="38"/>
    </row>
    <row r="629" spans="2:3" ht="16.5" customHeight="1" x14ac:dyDescent="0.25">
      <c r="B629" s="37"/>
      <c r="C629" s="38"/>
    </row>
    <row r="630" spans="2:3" ht="16.5" customHeight="1" x14ac:dyDescent="0.25">
      <c r="B630" s="37"/>
      <c r="C630" s="38"/>
    </row>
    <row r="631" spans="2:3" ht="16.5" customHeight="1" x14ac:dyDescent="0.25">
      <c r="B631" s="37"/>
      <c r="C631" s="38"/>
    </row>
    <row r="632" spans="2:3" ht="16.5" customHeight="1" x14ac:dyDescent="0.25">
      <c r="B632" s="37"/>
      <c r="C632" s="38"/>
    </row>
    <row r="633" spans="2:3" ht="16.5" customHeight="1" x14ac:dyDescent="0.25">
      <c r="B633" s="37"/>
      <c r="C633" s="38"/>
    </row>
    <row r="634" spans="2:3" ht="16.5" customHeight="1" x14ac:dyDescent="0.25">
      <c r="B634" s="37"/>
      <c r="C634" s="38"/>
    </row>
    <row r="635" spans="2:3" ht="16.5" customHeight="1" x14ac:dyDescent="0.25">
      <c r="B635" s="37"/>
      <c r="C635" s="38"/>
    </row>
    <row r="636" spans="2:3" ht="16.5" customHeight="1" x14ac:dyDescent="0.25">
      <c r="B636" s="37"/>
      <c r="C636" s="38"/>
    </row>
    <row r="637" spans="2:3" ht="16.5" customHeight="1" x14ac:dyDescent="0.25">
      <c r="B637" s="37"/>
      <c r="C637" s="38"/>
    </row>
    <row r="638" spans="2:3" ht="16.5" customHeight="1" x14ac:dyDescent="0.25">
      <c r="B638" s="37"/>
      <c r="C638" s="38"/>
    </row>
    <row r="639" spans="2:3" ht="16.5" customHeight="1" x14ac:dyDescent="0.25">
      <c r="B639" s="37"/>
      <c r="C639" s="38"/>
    </row>
    <row r="640" spans="2:3" ht="16.5" customHeight="1" x14ac:dyDescent="0.25">
      <c r="B640" s="37"/>
      <c r="C640" s="38"/>
    </row>
    <row r="641" spans="2:3" ht="16.5" customHeight="1" x14ac:dyDescent="0.25">
      <c r="B641" s="37"/>
      <c r="C641" s="38"/>
    </row>
    <row r="642" spans="2:3" ht="16.5" customHeight="1" x14ac:dyDescent="0.25">
      <c r="B642" s="37"/>
      <c r="C642" s="38"/>
    </row>
    <row r="643" spans="2:3" ht="16.5" customHeight="1" x14ac:dyDescent="0.25">
      <c r="B643" s="37"/>
      <c r="C643" s="38"/>
    </row>
    <row r="644" spans="2:3" ht="16.5" customHeight="1" x14ac:dyDescent="0.25">
      <c r="B644" s="37"/>
      <c r="C644" s="38"/>
    </row>
    <row r="645" spans="2:3" ht="16.5" customHeight="1" x14ac:dyDescent="0.25">
      <c r="B645" s="37"/>
      <c r="C645" s="38"/>
    </row>
    <row r="646" spans="2:3" ht="16.5" customHeight="1" x14ac:dyDescent="0.25">
      <c r="B646" s="37"/>
      <c r="C646" s="38"/>
    </row>
    <row r="647" spans="2:3" ht="16.5" customHeight="1" x14ac:dyDescent="0.25">
      <c r="B647" s="37"/>
      <c r="C647" s="38"/>
    </row>
    <row r="648" spans="2:3" ht="16.5" customHeight="1" x14ac:dyDescent="0.25">
      <c r="B648" s="37"/>
      <c r="C648" s="38"/>
    </row>
    <row r="649" spans="2:3" ht="16.5" customHeight="1" x14ac:dyDescent="0.25">
      <c r="B649" s="37"/>
      <c r="C649" s="38"/>
    </row>
    <row r="650" spans="2:3" ht="16.5" customHeight="1" x14ac:dyDescent="0.25">
      <c r="B650" s="37"/>
      <c r="C650" s="38"/>
    </row>
    <row r="651" spans="2:3" ht="16.5" customHeight="1" x14ac:dyDescent="0.25">
      <c r="B651" s="37"/>
      <c r="C651" s="38"/>
    </row>
    <row r="652" spans="2:3" ht="16.5" customHeight="1" x14ac:dyDescent="0.25">
      <c r="B652" s="37"/>
      <c r="C652" s="38"/>
    </row>
    <row r="653" spans="2:3" ht="16.5" customHeight="1" x14ac:dyDescent="0.25">
      <c r="B653" s="37"/>
      <c r="C653" s="38"/>
    </row>
    <row r="654" spans="2:3" ht="16.5" customHeight="1" x14ac:dyDescent="0.25">
      <c r="B654" s="37"/>
      <c r="C654" s="38"/>
    </row>
    <row r="655" spans="2:3" ht="16.5" customHeight="1" x14ac:dyDescent="0.25">
      <c r="B655" s="37"/>
      <c r="C655" s="38"/>
    </row>
    <row r="656" spans="2:3" ht="16.5" customHeight="1" x14ac:dyDescent="0.25">
      <c r="B656" s="37"/>
      <c r="C656" s="38"/>
    </row>
    <row r="657" spans="2:3" ht="16.5" customHeight="1" x14ac:dyDescent="0.25">
      <c r="B657" s="37"/>
      <c r="C657" s="38"/>
    </row>
    <row r="658" spans="2:3" ht="16.5" customHeight="1" x14ac:dyDescent="0.25">
      <c r="B658" s="37"/>
      <c r="C658" s="38"/>
    </row>
    <row r="659" spans="2:3" ht="16.5" customHeight="1" x14ac:dyDescent="0.25">
      <c r="B659" s="37"/>
      <c r="C659" s="38"/>
    </row>
    <row r="660" spans="2:3" ht="16.5" customHeight="1" x14ac:dyDescent="0.25">
      <c r="B660" s="37"/>
      <c r="C660" s="38"/>
    </row>
    <row r="661" spans="2:3" ht="16.5" customHeight="1" x14ac:dyDescent="0.25">
      <c r="B661" s="37"/>
      <c r="C661" s="38"/>
    </row>
    <row r="662" spans="2:3" ht="16.5" customHeight="1" x14ac:dyDescent="0.25">
      <c r="B662" s="37"/>
      <c r="C662" s="38"/>
    </row>
    <row r="663" spans="2:3" ht="16.5" customHeight="1" x14ac:dyDescent="0.25">
      <c r="B663" s="37"/>
      <c r="C663" s="38"/>
    </row>
    <row r="664" spans="2:3" ht="16.5" customHeight="1" x14ac:dyDescent="0.25">
      <c r="B664" s="37"/>
      <c r="C664" s="38"/>
    </row>
    <row r="665" spans="2:3" ht="16.5" customHeight="1" x14ac:dyDescent="0.25">
      <c r="B665" s="37"/>
      <c r="C665" s="38"/>
    </row>
    <row r="666" spans="2:3" ht="16.5" customHeight="1" x14ac:dyDescent="0.25">
      <c r="B666" s="37"/>
      <c r="C666" s="38"/>
    </row>
    <row r="667" spans="2:3" ht="16.5" customHeight="1" x14ac:dyDescent="0.25">
      <c r="B667" s="37"/>
      <c r="C667" s="38"/>
    </row>
    <row r="668" spans="2:3" ht="16.5" customHeight="1" x14ac:dyDescent="0.25">
      <c r="B668" s="37"/>
      <c r="C668" s="38"/>
    </row>
    <row r="669" spans="2:3" ht="16.5" customHeight="1" x14ac:dyDescent="0.25">
      <c r="B669" s="37"/>
      <c r="C669" s="38"/>
    </row>
    <row r="670" spans="2:3" ht="16.5" customHeight="1" x14ac:dyDescent="0.25">
      <c r="B670" s="37"/>
      <c r="C670" s="38"/>
    </row>
    <row r="671" spans="2:3" ht="16.5" customHeight="1" x14ac:dyDescent="0.25">
      <c r="B671" s="37"/>
      <c r="C671" s="38"/>
    </row>
    <row r="672" spans="2:3" ht="16.5" customHeight="1" x14ac:dyDescent="0.25">
      <c r="B672" s="37"/>
      <c r="C672" s="38"/>
    </row>
    <row r="673" spans="2:3" ht="16.5" customHeight="1" x14ac:dyDescent="0.25">
      <c r="B673" s="37"/>
      <c r="C673" s="38"/>
    </row>
    <row r="674" spans="2:3" ht="16.5" customHeight="1" x14ac:dyDescent="0.25">
      <c r="B674" s="37"/>
      <c r="C674" s="38"/>
    </row>
    <row r="675" spans="2:3" ht="16.5" customHeight="1" x14ac:dyDescent="0.25">
      <c r="B675" s="37"/>
      <c r="C675" s="38"/>
    </row>
    <row r="676" spans="2:3" ht="16.5" customHeight="1" x14ac:dyDescent="0.25">
      <c r="B676" s="37"/>
      <c r="C676" s="38"/>
    </row>
    <row r="677" spans="2:3" ht="16.5" customHeight="1" x14ac:dyDescent="0.25">
      <c r="B677" s="37"/>
      <c r="C677" s="38"/>
    </row>
    <row r="678" spans="2:3" ht="16.5" customHeight="1" x14ac:dyDescent="0.25">
      <c r="B678" s="37"/>
      <c r="C678" s="38"/>
    </row>
    <row r="679" spans="2:3" ht="16.5" customHeight="1" x14ac:dyDescent="0.25">
      <c r="B679" s="37"/>
      <c r="C679" s="38"/>
    </row>
    <row r="680" spans="2:3" ht="16.5" customHeight="1" x14ac:dyDescent="0.25">
      <c r="B680" s="37"/>
      <c r="C680" s="38"/>
    </row>
    <row r="681" spans="2:3" ht="16.5" customHeight="1" x14ac:dyDescent="0.25">
      <c r="B681" s="37"/>
      <c r="C681" s="38"/>
    </row>
    <row r="682" spans="2:3" ht="16.5" customHeight="1" x14ac:dyDescent="0.25">
      <c r="B682" s="37"/>
      <c r="C682" s="38"/>
    </row>
    <row r="683" spans="2:3" ht="16.5" customHeight="1" x14ac:dyDescent="0.25">
      <c r="B683" s="37"/>
      <c r="C683" s="38"/>
    </row>
    <row r="684" spans="2:3" ht="16.5" customHeight="1" x14ac:dyDescent="0.25">
      <c r="B684" s="37"/>
      <c r="C684" s="38"/>
    </row>
    <row r="685" spans="2:3" ht="16.5" customHeight="1" x14ac:dyDescent="0.25">
      <c r="B685" s="37"/>
      <c r="C685" s="38"/>
    </row>
    <row r="686" spans="2:3" ht="16.5" customHeight="1" x14ac:dyDescent="0.25">
      <c r="B686" s="37"/>
      <c r="C686" s="38"/>
    </row>
    <row r="687" spans="2:3" ht="16.5" customHeight="1" x14ac:dyDescent="0.25">
      <c r="B687" s="37"/>
      <c r="C687" s="38"/>
    </row>
    <row r="688" spans="2:3" ht="16.5" customHeight="1" x14ac:dyDescent="0.25">
      <c r="B688" s="37"/>
      <c r="C688" s="38"/>
    </row>
    <row r="689" spans="2:3" ht="16.5" customHeight="1" x14ac:dyDescent="0.25">
      <c r="B689" s="37"/>
      <c r="C689" s="38"/>
    </row>
    <row r="690" spans="2:3" ht="16.5" customHeight="1" x14ac:dyDescent="0.25">
      <c r="B690" s="37"/>
      <c r="C690" s="38"/>
    </row>
    <row r="691" spans="2:3" ht="16.5" customHeight="1" x14ac:dyDescent="0.25">
      <c r="B691" s="37"/>
      <c r="C691" s="38"/>
    </row>
    <row r="692" spans="2:3" ht="16.5" customHeight="1" x14ac:dyDescent="0.25">
      <c r="B692" s="37"/>
      <c r="C692" s="38"/>
    </row>
    <row r="693" spans="2:3" ht="16.5" customHeight="1" x14ac:dyDescent="0.25">
      <c r="B693" s="37"/>
      <c r="C693" s="38"/>
    </row>
    <row r="694" spans="2:3" ht="16.5" customHeight="1" x14ac:dyDescent="0.25">
      <c r="B694" s="37"/>
      <c r="C694" s="38"/>
    </row>
    <row r="695" spans="2:3" ht="16.5" customHeight="1" x14ac:dyDescent="0.25">
      <c r="B695" s="37"/>
      <c r="C695" s="38"/>
    </row>
    <row r="696" spans="2:3" ht="16.5" customHeight="1" x14ac:dyDescent="0.25">
      <c r="B696" s="37"/>
      <c r="C696" s="38"/>
    </row>
    <row r="697" spans="2:3" ht="16.5" customHeight="1" x14ac:dyDescent="0.25">
      <c r="B697" s="37"/>
      <c r="C697" s="38"/>
    </row>
    <row r="698" spans="2:3" ht="16.5" customHeight="1" x14ac:dyDescent="0.25">
      <c r="B698" s="37"/>
      <c r="C698" s="38"/>
    </row>
    <row r="699" spans="2:3" ht="16.5" customHeight="1" x14ac:dyDescent="0.25">
      <c r="B699" s="37"/>
      <c r="C699" s="38"/>
    </row>
    <row r="700" spans="2:3" ht="16.5" customHeight="1" x14ac:dyDescent="0.25">
      <c r="B700" s="37"/>
      <c r="C700" s="38"/>
    </row>
    <row r="701" spans="2:3" ht="16.5" customHeight="1" x14ac:dyDescent="0.25">
      <c r="B701" s="37"/>
      <c r="C701" s="38"/>
    </row>
    <row r="702" spans="2:3" ht="16.5" customHeight="1" x14ac:dyDescent="0.25">
      <c r="B702" s="37"/>
      <c r="C702" s="38"/>
    </row>
    <row r="703" spans="2:3" ht="16.5" customHeight="1" x14ac:dyDescent="0.25">
      <c r="B703" s="37"/>
      <c r="C703" s="38"/>
    </row>
    <row r="704" spans="2:3" ht="16.5" customHeight="1" x14ac:dyDescent="0.25">
      <c r="B704" s="37"/>
      <c r="C704" s="38"/>
    </row>
    <row r="705" spans="2:3" ht="16.5" customHeight="1" x14ac:dyDescent="0.25">
      <c r="B705" s="37"/>
      <c r="C705" s="38"/>
    </row>
    <row r="706" spans="2:3" ht="16.5" customHeight="1" x14ac:dyDescent="0.25">
      <c r="B706" s="37"/>
      <c r="C706" s="38"/>
    </row>
    <row r="707" spans="2:3" ht="16.5" customHeight="1" x14ac:dyDescent="0.25">
      <c r="B707" s="37"/>
      <c r="C707" s="38"/>
    </row>
    <row r="708" spans="2:3" ht="16.5" customHeight="1" x14ac:dyDescent="0.25">
      <c r="B708" s="37"/>
      <c r="C708" s="38"/>
    </row>
    <row r="709" spans="2:3" ht="16.5" customHeight="1" x14ac:dyDescent="0.25">
      <c r="B709" s="37"/>
      <c r="C709" s="38"/>
    </row>
    <row r="710" spans="2:3" ht="16.5" customHeight="1" x14ac:dyDescent="0.25">
      <c r="B710" s="37"/>
      <c r="C710" s="38"/>
    </row>
    <row r="711" spans="2:3" ht="16.5" customHeight="1" x14ac:dyDescent="0.25">
      <c r="B711" s="37"/>
      <c r="C711" s="38"/>
    </row>
    <row r="712" spans="2:3" ht="16.5" customHeight="1" x14ac:dyDescent="0.25">
      <c r="B712" s="37"/>
      <c r="C712" s="38"/>
    </row>
    <row r="713" spans="2:3" ht="16.5" customHeight="1" x14ac:dyDescent="0.25">
      <c r="B713" s="37"/>
      <c r="C713" s="38"/>
    </row>
    <row r="714" spans="2:3" ht="16.5" customHeight="1" x14ac:dyDescent="0.25">
      <c r="B714" s="37"/>
      <c r="C714" s="38"/>
    </row>
    <row r="715" spans="2:3" ht="16.5" customHeight="1" x14ac:dyDescent="0.25">
      <c r="B715" s="37"/>
      <c r="C715" s="38"/>
    </row>
    <row r="716" spans="2:3" ht="16.5" customHeight="1" x14ac:dyDescent="0.25">
      <c r="B716" s="37"/>
      <c r="C716" s="38"/>
    </row>
    <row r="717" spans="2:3" ht="16.5" customHeight="1" x14ac:dyDescent="0.25">
      <c r="B717" s="37"/>
      <c r="C717" s="38"/>
    </row>
    <row r="718" spans="2:3" ht="16.5" customHeight="1" x14ac:dyDescent="0.25">
      <c r="B718" s="37"/>
      <c r="C718" s="38"/>
    </row>
    <row r="719" spans="2:3" ht="16.5" customHeight="1" x14ac:dyDescent="0.25">
      <c r="B719" s="37"/>
      <c r="C719" s="38"/>
    </row>
    <row r="720" spans="2:3" ht="16.5" customHeight="1" x14ac:dyDescent="0.25">
      <c r="B720" s="37"/>
      <c r="C720" s="38"/>
    </row>
    <row r="721" spans="2:3" ht="16.5" customHeight="1" x14ac:dyDescent="0.25">
      <c r="B721" s="37"/>
      <c r="C721" s="38"/>
    </row>
    <row r="722" spans="2:3" ht="16.5" customHeight="1" x14ac:dyDescent="0.25">
      <c r="B722" s="37"/>
      <c r="C722" s="38"/>
    </row>
    <row r="723" spans="2:3" ht="16.5" customHeight="1" x14ac:dyDescent="0.25">
      <c r="B723" s="37"/>
      <c r="C723" s="38"/>
    </row>
    <row r="724" spans="2:3" ht="16.5" customHeight="1" x14ac:dyDescent="0.25">
      <c r="B724" s="37"/>
      <c r="C724" s="38"/>
    </row>
    <row r="725" spans="2:3" ht="16.5" customHeight="1" x14ac:dyDescent="0.25">
      <c r="B725" s="37"/>
      <c r="C725" s="38"/>
    </row>
    <row r="726" spans="2:3" ht="16.5" customHeight="1" x14ac:dyDescent="0.25">
      <c r="B726" s="37"/>
      <c r="C726" s="38"/>
    </row>
    <row r="727" spans="2:3" ht="16.5" customHeight="1" x14ac:dyDescent="0.25">
      <c r="B727" s="37"/>
      <c r="C727" s="38"/>
    </row>
    <row r="728" spans="2:3" ht="16.5" customHeight="1" x14ac:dyDescent="0.25">
      <c r="B728" s="37"/>
      <c r="C728" s="38"/>
    </row>
    <row r="729" spans="2:3" ht="16.5" customHeight="1" x14ac:dyDescent="0.25">
      <c r="B729" s="37"/>
      <c r="C729" s="38"/>
    </row>
    <row r="730" spans="2:3" ht="16.5" customHeight="1" x14ac:dyDescent="0.25">
      <c r="B730" s="37"/>
      <c r="C730" s="38"/>
    </row>
    <row r="731" spans="2:3" ht="16.5" customHeight="1" x14ac:dyDescent="0.25">
      <c r="B731" s="37"/>
      <c r="C731" s="38"/>
    </row>
    <row r="732" spans="2:3" ht="16.5" customHeight="1" x14ac:dyDescent="0.25">
      <c r="B732" s="37"/>
      <c r="C732" s="38"/>
    </row>
    <row r="733" spans="2:3" ht="16.5" customHeight="1" x14ac:dyDescent="0.25">
      <c r="B733" s="37"/>
      <c r="C733" s="38"/>
    </row>
    <row r="734" spans="2:3" ht="16.5" customHeight="1" x14ac:dyDescent="0.25">
      <c r="B734" s="37"/>
      <c r="C734" s="38"/>
    </row>
    <row r="735" spans="2:3" ht="16.5" customHeight="1" x14ac:dyDescent="0.25">
      <c r="B735" s="37"/>
      <c r="C735" s="38"/>
    </row>
    <row r="736" spans="2:3" ht="16.5" customHeight="1" x14ac:dyDescent="0.25">
      <c r="B736" s="37"/>
      <c r="C736" s="38"/>
    </row>
    <row r="737" spans="2:3" ht="16.5" customHeight="1" x14ac:dyDescent="0.25">
      <c r="B737" s="37"/>
      <c r="C737" s="38"/>
    </row>
    <row r="738" spans="2:3" ht="16.5" customHeight="1" x14ac:dyDescent="0.25">
      <c r="B738" s="37"/>
      <c r="C738" s="38"/>
    </row>
    <row r="739" spans="2:3" ht="16.5" customHeight="1" x14ac:dyDescent="0.25">
      <c r="B739" s="37"/>
      <c r="C739" s="38"/>
    </row>
    <row r="740" spans="2:3" ht="16.5" customHeight="1" x14ac:dyDescent="0.25">
      <c r="B740" s="37"/>
      <c r="C740" s="38"/>
    </row>
    <row r="741" spans="2:3" ht="16.5" customHeight="1" x14ac:dyDescent="0.25">
      <c r="B741" s="37"/>
      <c r="C741" s="38"/>
    </row>
    <row r="742" spans="2:3" ht="16.5" customHeight="1" x14ac:dyDescent="0.25">
      <c r="B742" s="37"/>
      <c r="C742" s="38"/>
    </row>
    <row r="743" spans="2:3" ht="16.5" customHeight="1" x14ac:dyDescent="0.25">
      <c r="B743" s="37"/>
      <c r="C743" s="38"/>
    </row>
    <row r="744" spans="2:3" ht="16.5" customHeight="1" x14ac:dyDescent="0.25">
      <c r="B744" s="37"/>
      <c r="C744" s="38"/>
    </row>
    <row r="745" spans="2:3" ht="16.5" customHeight="1" x14ac:dyDescent="0.25">
      <c r="B745" s="37"/>
      <c r="C745" s="38"/>
    </row>
    <row r="746" spans="2:3" ht="16.5" customHeight="1" x14ac:dyDescent="0.25">
      <c r="B746" s="37"/>
      <c r="C746" s="38"/>
    </row>
    <row r="747" spans="2:3" ht="16.5" customHeight="1" x14ac:dyDescent="0.25">
      <c r="B747" s="37"/>
      <c r="C747" s="38"/>
    </row>
    <row r="748" spans="2:3" ht="16.5" customHeight="1" x14ac:dyDescent="0.25">
      <c r="B748" s="37"/>
      <c r="C748" s="38"/>
    </row>
    <row r="749" spans="2:3" ht="16.5" customHeight="1" x14ac:dyDescent="0.25">
      <c r="B749" s="37"/>
      <c r="C749" s="38"/>
    </row>
    <row r="750" spans="2:3" ht="16.5" customHeight="1" x14ac:dyDescent="0.25">
      <c r="B750" s="37"/>
      <c r="C750" s="38"/>
    </row>
    <row r="751" spans="2:3" ht="16.5" customHeight="1" x14ac:dyDescent="0.25">
      <c r="B751" s="37"/>
      <c r="C751" s="38"/>
    </row>
    <row r="752" spans="2:3" ht="16.5" customHeight="1" x14ac:dyDescent="0.25">
      <c r="B752" s="37"/>
      <c r="C752" s="38"/>
    </row>
    <row r="753" spans="2:3" ht="16.5" customHeight="1" x14ac:dyDescent="0.25">
      <c r="B753" s="37"/>
      <c r="C753" s="38"/>
    </row>
    <row r="754" spans="2:3" ht="16.5" customHeight="1" x14ac:dyDescent="0.25">
      <c r="B754" s="37"/>
      <c r="C754" s="38"/>
    </row>
    <row r="755" spans="2:3" ht="16.5" customHeight="1" x14ac:dyDescent="0.25">
      <c r="B755" s="37"/>
      <c r="C755" s="38"/>
    </row>
    <row r="756" spans="2:3" ht="16.5" customHeight="1" x14ac:dyDescent="0.25">
      <c r="B756" s="37"/>
      <c r="C756" s="38"/>
    </row>
    <row r="757" spans="2:3" ht="16.5" customHeight="1" x14ac:dyDescent="0.25">
      <c r="B757" s="37"/>
      <c r="C757" s="38"/>
    </row>
    <row r="758" spans="2:3" ht="16.5" customHeight="1" x14ac:dyDescent="0.25">
      <c r="B758" s="37"/>
      <c r="C758" s="38"/>
    </row>
    <row r="759" spans="2:3" ht="16.5" customHeight="1" x14ac:dyDescent="0.25">
      <c r="B759" s="37"/>
      <c r="C759" s="38"/>
    </row>
    <row r="760" spans="2:3" ht="16.5" customHeight="1" x14ac:dyDescent="0.25">
      <c r="B760" s="37"/>
      <c r="C760" s="38"/>
    </row>
    <row r="761" spans="2:3" ht="16.5" customHeight="1" x14ac:dyDescent="0.25">
      <c r="B761" s="37"/>
      <c r="C761" s="38"/>
    </row>
    <row r="762" spans="2:3" ht="16.5" customHeight="1" x14ac:dyDescent="0.25">
      <c r="B762" s="37"/>
      <c r="C762" s="38"/>
    </row>
    <row r="763" spans="2:3" ht="16.5" customHeight="1" x14ac:dyDescent="0.25">
      <c r="B763" s="37"/>
      <c r="C763" s="38"/>
    </row>
    <row r="764" spans="2:3" ht="16.5" customHeight="1" x14ac:dyDescent="0.25">
      <c r="B764" s="37"/>
      <c r="C764" s="38"/>
    </row>
    <row r="765" spans="2:3" ht="16.5" customHeight="1" x14ac:dyDescent="0.25">
      <c r="B765" s="37"/>
      <c r="C765" s="38"/>
    </row>
    <row r="766" spans="2:3" ht="16.5" customHeight="1" x14ac:dyDescent="0.25">
      <c r="B766" s="37"/>
      <c r="C766" s="38"/>
    </row>
    <row r="767" spans="2:3" ht="16.5" customHeight="1" x14ac:dyDescent="0.25">
      <c r="B767" s="37"/>
      <c r="C767" s="38"/>
    </row>
    <row r="768" spans="2:3" ht="16.5" customHeight="1" x14ac:dyDescent="0.25">
      <c r="B768" s="37"/>
      <c r="C768" s="38"/>
    </row>
    <row r="769" spans="2:3" ht="16.5" customHeight="1" x14ac:dyDescent="0.25">
      <c r="B769" s="37"/>
      <c r="C769" s="38"/>
    </row>
    <row r="770" spans="2:3" ht="16.5" customHeight="1" x14ac:dyDescent="0.25">
      <c r="B770" s="37"/>
      <c r="C770" s="38"/>
    </row>
    <row r="771" spans="2:3" ht="16.5" customHeight="1" x14ac:dyDescent="0.25">
      <c r="B771" s="37"/>
      <c r="C771" s="38"/>
    </row>
    <row r="772" spans="2:3" ht="16.5" customHeight="1" x14ac:dyDescent="0.25">
      <c r="B772" s="37"/>
      <c r="C772" s="38"/>
    </row>
    <row r="773" spans="2:3" ht="16.5" customHeight="1" x14ac:dyDescent="0.25">
      <c r="B773" s="37"/>
      <c r="C773" s="38"/>
    </row>
    <row r="774" spans="2:3" ht="16.5" customHeight="1" x14ac:dyDescent="0.25">
      <c r="B774" s="37"/>
      <c r="C774" s="38"/>
    </row>
    <row r="775" spans="2:3" ht="16.5" customHeight="1" x14ac:dyDescent="0.25">
      <c r="B775" s="37"/>
      <c r="C775" s="38"/>
    </row>
    <row r="776" spans="2:3" ht="16.5" customHeight="1" x14ac:dyDescent="0.25">
      <c r="B776" s="37"/>
      <c r="C776" s="38"/>
    </row>
    <row r="777" spans="2:3" ht="16.5" customHeight="1" x14ac:dyDescent="0.25">
      <c r="B777" s="37"/>
      <c r="C777" s="38"/>
    </row>
    <row r="778" spans="2:3" ht="16.5" customHeight="1" x14ac:dyDescent="0.25">
      <c r="B778" s="37"/>
      <c r="C778" s="38"/>
    </row>
    <row r="779" spans="2:3" ht="16.5" customHeight="1" x14ac:dyDescent="0.25">
      <c r="B779" s="37"/>
      <c r="C779" s="38"/>
    </row>
    <row r="780" spans="2:3" ht="16.5" customHeight="1" x14ac:dyDescent="0.25">
      <c r="B780" s="37"/>
      <c r="C780" s="38"/>
    </row>
    <row r="781" spans="2:3" ht="16.5" customHeight="1" x14ac:dyDescent="0.25">
      <c r="B781" s="37"/>
      <c r="C781" s="38"/>
    </row>
    <row r="782" spans="2:3" ht="16.5" customHeight="1" x14ac:dyDescent="0.25">
      <c r="B782" s="37"/>
      <c r="C782" s="38"/>
    </row>
    <row r="783" spans="2:3" ht="16.5" customHeight="1" x14ac:dyDescent="0.25">
      <c r="B783" s="37"/>
      <c r="C783" s="38"/>
    </row>
    <row r="784" spans="2:3" ht="16.5" customHeight="1" x14ac:dyDescent="0.25">
      <c r="B784" s="37"/>
      <c r="C784" s="38"/>
    </row>
    <row r="785" spans="2:3" ht="16.5" customHeight="1" x14ac:dyDescent="0.25">
      <c r="B785" s="37"/>
      <c r="C785" s="38"/>
    </row>
    <row r="786" spans="2:3" ht="16.5" customHeight="1" x14ac:dyDescent="0.25">
      <c r="B786" s="37"/>
      <c r="C786" s="38"/>
    </row>
    <row r="787" spans="2:3" ht="16.5" customHeight="1" x14ac:dyDescent="0.25">
      <c r="B787" s="37"/>
      <c r="C787" s="38"/>
    </row>
    <row r="788" spans="2:3" ht="16.5" customHeight="1" x14ac:dyDescent="0.25">
      <c r="B788" s="37"/>
      <c r="C788" s="38"/>
    </row>
    <row r="789" spans="2:3" ht="16.5" customHeight="1" x14ac:dyDescent="0.25">
      <c r="B789" s="37"/>
      <c r="C789" s="38"/>
    </row>
    <row r="790" spans="2:3" ht="16.5" customHeight="1" x14ac:dyDescent="0.25">
      <c r="B790" s="37"/>
      <c r="C790" s="38"/>
    </row>
    <row r="791" spans="2:3" ht="16.5" customHeight="1" x14ac:dyDescent="0.25">
      <c r="B791" s="37"/>
      <c r="C791" s="38"/>
    </row>
    <row r="792" spans="2:3" ht="16.5" customHeight="1" x14ac:dyDescent="0.25">
      <c r="B792" s="37"/>
      <c r="C792" s="38"/>
    </row>
    <row r="793" spans="2:3" ht="16.5" customHeight="1" x14ac:dyDescent="0.25">
      <c r="B793" s="37"/>
      <c r="C793" s="38"/>
    </row>
    <row r="794" spans="2:3" ht="16.5" customHeight="1" x14ac:dyDescent="0.25">
      <c r="B794" s="37"/>
      <c r="C794" s="38"/>
    </row>
    <row r="795" spans="2:3" ht="16.5" customHeight="1" x14ac:dyDescent="0.25">
      <c r="B795" s="37"/>
      <c r="C795" s="38"/>
    </row>
    <row r="796" spans="2:3" ht="16.5" customHeight="1" x14ac:dyDescent="0.25">
      <c r="B796" s="37"/>
      <c r="C796" s="38"/>
    </row>
    <row r="797" spans="2:3" ht="16.5" customHeight="1" x14ac:dyDescent="0.25">
      <c r="B797" s="37"/>
      <c r="C797" s="38"/>
    </row>
    <row r="798" spans="2:3" ht="16.5" customHeight="1" x14ac:dyDescent="0.25">
      <c r="B798" s="37"/>
      <c r="C798" s="38"/>
    </row>
    <row r="799" spans="2:3" ht="16.5" customHeight="1" x14ac:dyDescent="0.25">
      <c r="B799" s="37"/>
      <c r="C799" s="38"/>
    </row>
    <row r="800" spans="2:3" ht="16.5" customHeight="1" x14ac:dyDescent="0.25">
      <c r="B800" s="37"/>
      <c r="C800" s="38"/>
    </row>
    <row r="801" spans="2:3" ht="16.5" customHeight="1" x14ac:dyDescent="0.25">
      <c r="B801" s="37"/>
      <c r="C801" s="38"/>
    </row>
    <row r="802" spans="2:3" ht="16.5" customHeight="1" x14ac:dyDescent="0.25">
      <c r="B802" s="37"/>
      <c r="C802" s="38"/>
    </row>
    <row r="803" spans="2:3" ht="16.5" customHeight="1" x14ac:dyDescent="0.25">
      <c r="B803" s="37"/>
      <c r="C803" s="38"/>
    </row>
    <row r="804" spans="2:3" ht="16.5" customHeight="1" x14ac:dyDescent="0.25">
      <c r="B804" s="37"/>
      <c r="C804" s="38"/>
    </row>
    <row r="805" spans="2:3" ht="16.5" customHeight="1" x14ac:dyDescent="0.25">
      <c r="B805" s="37"/>
      <c r="C805" s="38"/>
    </row>
    <row r="806" spans="2:3" ht="16.5" customHeight="1" x14ac:dyDescent="0.25">
      <c r="B806" s="37"/>
      <c r="C806" s="38"/>
    </row>
    <row r="807" spans="2:3" ht="16.5" customHeight="1" x14ac:dyDescent="0.25">
      <c r="B807" s="37"/>
      <c r="C807" s="38"/>
    </row>
    <row r="808" spans="2:3" ht="16.5" customHeight="1" x14ac:dyDescent="0.25">
      <c r="B808" s="37"/>
      <c r="C808" s="38"/>
    </row>
    <row r="809" spans="2:3" ht="16.5" customHeight="1" x14ac:dyDescent="0.25">
      <c r="B809" s="37"/>
      <c r="C809" s="38"/>
    </row>
    <row r="810" spans="2:3" ht="16.5" customHeight="1" x14ac:dyDescent="0.25">
      <c r="B810" s="37"/>
      <c r="C810" s="38"/>
    </row>
    <row r="811" spans="2:3" ht="16.5" customHeight="1" x14ac:dyDescent="0.25">
      <c r="B811" s="37"/>
      <c r="C811" s="38"/>
    </row>
    <row r="812" spans="2:3" ht="16.5" customHeight="1" x14ac:dyDescent="0.25">
      <c r="B812" s="37"/>
      <c r="C812" s="38"/>
    </row>
    <row r="813" spans="2:3" ht="16.5" customHeight="1" x14ac:dyDescent="0.25">
      <c r="B813" s="37"/>
      <c r="C813" s="38"/>
    </row>
    <row r="814" spans="2:3" ht="16.5" customHeight="1" x14ac:dyDescent="0.25">
      <c r="B814" s="37"/>
      <c r="C814" s="38"/>
    </row>
    <row r="815" spans="2:3" ht="16.5" customHeight="1" x14ac:dyDescent="0.25">
      <c r="B815" s="37"/>
      <c r="C815" s="38"/>
    </row>
    <row r="816" spans="2:3" ht="16.5" customHeight="1" x14ac:dyDescent="0.25">
      <c r="B816" s="37"/>
      <c r="C816" s="38"/>
    </row>
    <row r="817" spans="2:3" ht="16.5" customHeight="1" x14ac:dyDescent="0.25">
      <c r="B817" s="37"/>
      <c r="C817" s="38"/>
    </row>
    <row r="818" spans="2:3" ht="16.5" customHeight="1" x14ac:dyDescent="0.25">
      <c r="B818" s="37"/>
      <c r="C818" s="38"/>
    </row>
    <row r="819" spans="2:3" ht="16.5" customHeight="1" x14ac:dyDescent="0.25">
      <c r="B819" s="37"/>
      <c r="C819" s="38"/>
    </row>
    <row r="820" spans="2:3" ht="16.5" customHeight="1" x14ac:dyDescent="0.25">
      <c r="B820" s="37"/>
      <c r="C820" s="38"/>
    </row>
    <row r="821" spans="2:3" ht="16.5" customHeight="1" x14ac:dyDescent="0.25">
      <c r="B821" s="37"/>
      <c r="C821" s="38"/>
    </row>
    <row r="822" spans="2:3" ht="16.5" customHeight="1" x14ac:dyDescent="0.25">
      <c r="B822" s="37"/>
      <c r="C822" s="38"/>
    </row>
    <row r="823" spans="2:3" ht="16.5" customHeight="1" x14ac:dyDescent="0.25">
      <c r="B823" s="37"/>
      <c r="C823" s="38"/>
    </row>
    <row r="824" spans="2:3" ht="16.5" customHeight="1" x14ac:dyDescent="0.25">
      <c r="B824" s="37"/>
      <c r="C824" s="38"/>
    </row>
    <row r="825" spans="2:3" ht="16.5" customHeight="1" x14ac:dyDescent="0.25">
      <c r="B825" s="37"/>
      <c r="C825" s="38"/>
    </row>
    <row r="826" spans="2:3" ht="16.5" customHeight="1" x14ac:dyDescent="0.25">
      <c r="B826" s="37"/>
      <c r="C826" s="38"/>
    </row>
    <row r="827" spans="2:3" ht="16.5" customHeight="1" x14ac:dyDescent="0.25">
      <c r="B827" s="37"/>
      <c r="C827" s="38"/>
    </row>
    <row r="828" spans="2:3" ht="16.5" customHeight="1" x14ac:dyDescent="0.25">
      <c r="B828" s="37"/>
      <c r="C828" s="38"/>
    </row>
    <row r="829" spans="2:3" ht="16.5" customHeight="1" x14ac:dyDescent="0.25">
      <c r="B829" s="37"/>
      <c r="C829" s="38"/>
    </row>
    <row r="830" spans="2:3" ht="16.5" customHeight="1" x14ac:dyDescent="0.25">
      <c r="B830" s="37"/>
      <c r="C830" s="38"/>
    </row>
    <row r="831" spans="2:3" ht="16.5" customHeight="1" x14ac:dyDescent="0.25">
      <c r="B831" s="37"/>
      <c r="C831" s="38"/>
    </row>
    <row r="832" spans="2:3" ht="16.5" customHeight="1" x14ac:dyDescent="0.25">
      <c r="B832" s="37"/>
      <c r="C832" s="38"/>
    </row>
    <row r="833" spans="2:3" ht="16.5" customHeight="1" x14ac:dyDescent="0.25">
      <c r="B833" s="37"/>
      <c r="C833" s="38"/>
    </row>
    <row r="834" spans="2:3" ht="16.5" customHeight="1" x14ac:dyDescent="0.25">
      <c r="B834" s="37"/>
      <c r="C834" s="38"/>
    </row>
    <row r="835" spans="2:3" ht="16.5" customHeight="1" x14ac:dyDescent="0.25">
      <c r="B835" s="37"/>
      <c r="C835" s="38"/>
    </row>
    <row r="836" spans="2:3" ht="16.5" customHeight="1" x14ac:dyDescent="0.25">
      <c r="B836" s="37"/>
      <c r="C836" s="38"/>
    </row>
    <row r="837" spans="2:3" ht="16.5" customHeight="1" x14ac:dyDescent="0.25">
      <c r="B837" s="37"/>
      <c r="C837" s="38"/>
    </row>
    <row r="838" spans="2:3" ht="16.5" customHeight="1" x14ac:dyDescent="0.25">
      <c r="B838" s="37"/>
      <c r="C838" s="38"/>
    </row>
    <row r="839" spans="2:3" ht="16.5" customHeight="1" x14ac:dyDescent="0.25">
      <c r="B839" s="37"/>
      <c r="C839" s="38"/>
    </row>
    <row r="840" spans="2:3" ht="16.5" customHeight="1" x14ac:dyDescent="0.25">
      <c r="B840" s="37"/>
      <c r="C840" s="38"/>
    </row>
    <row r="841" spans="2:3" ht="16.5" customHeight="1" x14ac:dyDescent="0.25">
      <c r="B841" s="37"/>
      <c r="C841" s="38"/>
    </row>
    <row r="842" spans="2:3" ht="16.5" customHeight="1" x14ac:dyDescent="0.25">
      <c r="B842" s="37"/>
      <c r="C842" s="38"/>
    </row>
    <row r="843" spans="2:3" ht="16.5" customHeight="1" x14ac:dyDescent="0.25">
      <c r="B843" s="37"/>
      <c r="C843" s="38"/>
    </row>
    <row r="844" spans="2:3" ht="16.5" customHeight="1" x14ac:dyDescent="0.25">
      <c r="B844" s="37"/>
      <c r="C844" s="38"/>
    </row>
    <row r="845" spans="2:3" ht="16.5" customHeight="1" x14ac:dyDescent="0.25">
      <c r="B845" s="37"/>
      <c r="C845" s="38"/>
    </row>
    <row r="846" spans="2:3" ht="16.5" customHeight="1" x14ac:dyDescent="0.25">
      <c r="B846" s="37"/>
      <c r="C846" s="38"/>
    </row>
    <row r="847" spans="2:3" ht="16.5" customHeight="1" x14ac:dyDescent="0.25">
      <c r="B847" s="37"/>
      <c r="C847" s="38"/>
    </row>
    <row r="848" spans="2:3" ht="16.5" customHeight="1" x14ac:dyDescent="0.25">
      <c r="B848" s="37"/>
      <c r="C848" s="38"/>
    </row>
    <row r="849" spans="2:3" ht="16.5" customHeight="1" x14ac:dyDescent="0.25">
      <c r="B849" s="37"/>
      <c r="C849" s="38"/>
    </row>
    <row r="850" spans="2:3" ht="16.5" customHeight="1" x14ac:dyDescent="0.25">
      <c r="B850" s="37"/>
      <c r="C850" s="38"/>
    </row>
    <row r="851" spans="2:3" ht="16.5" customHeight="1" x14ac:dyDescent="0.25">
      <c r="B851" s="37"/>
      <c r="C851" s="38"/>
    </row>
    <row r="852" spans="2:3" ht="16.5" customHeight="1" x14ac:dyDescent="0.25">
      <c r="B852" s="37"/>
      <c r="C852" s="38"/>
    </row>
    <row r="853" spans="2:3" ht="16.5" customHeight="1" x14ac:dyDescent="0.25">
      <c r="B853" s="37"/>
      <c r="C853" s="38"/>
    </row>
    <row r="854" spans="2:3" ht="16.5" customHeight="1" x14ac:dyDescent="0.25">
      <c r="B854" s="37"/>
      <c r="C854" s="38"/>
    </row>
    <row r="855" spans="2:3" ht="16.5" customHeight="1" x14ac:dyDescent="0.25">
      <c r="B855" s="37"/>
      <c r="C855" s="38"/>
    </row>
    <row r="856" spans="2:3" ht="16.5" customHeight="1" x14ac:dyDescent="0.25">
      <c r="B856" s="37"/>
      <c r="C856" s="38"/>
    </row>
    <row r="857" spans="2:3" ht="16.5" customHeight="1" x14ac:dyDescent="0.25">
      <c r="B857" s="37"/>
      <c r="C857" s="38"/>
    </row>
    <row r="858" spans="2:3" ht="16.5" customHeight="1" x14ac:dyDescent="0.25">
      <c r="B858" s="37"/>
      <c r="C858" s="38"/>
    </row>
    <row r="859" spans="2:3" ht="16.5" customHeight="1" x14ac:dyDescent="0.25">
      <c r="B859" s="37"/>
      <c r="C859" s="38"/>
    </row>
    <row r="860" spans="2:3" ht="16.5" customHeight="1" x14ac:dyDescent="0.25">
      <c r="B860" s="37"/>
      <c r="C860" s="38"/>
    </row>
    <row r="861" spans="2:3" ht="16.5" customHeight="1" x14ac:dyDescent="0.25">
      <c r="B861" s="37"/>
      <c r="C861" s="38"/>
    </row>
    <row r="862" spans="2:3" ht="16.5" customHeight="1" x14ac:dyDescent="0.25">
      <c r="B862" s="37"/>
      <c r="C862" s="38"/>
    </row>
    <row r="863" spans="2:3" ht="16.5" customHeight="1" x14ac:dyDescent="0.25">
      <c r="B863" s="37"/>
      <c r="C863" s="38"/>
    </row>
    <row r="864" spans="2:3" ht="16.5" customHeight="1" x14ac:dyDescent="0.25">
      <c r="B864" s="37"/>
      <c r="C864" s="38"/>
    </row>
    <row r="865" spans="2:3" ht="16.5" customHeight="1" x14ac:dyDescent="0.25">
      <c r="B865" s="37"/>
      <c r="C865" s="38"/>
    </row>
    <row r="866" spans="2:3" ht="16.5" customHeight="1" x14ac:dyDescent="0.25">
      <c r="B866" s="37"/>
      <c r="C866" s="38"/>
    </row>
    <row r="867" spans="2:3" ht="16.5" customHeight="1" x14ac:dyDescent="0.25">
      <c r="B867" s="37"/>
      <c r="C867" s="38"/>
    </row>
    <row r="868" spans="2:3" ht="16.5" customHeight="1" x14ac:dyDescent="0.25">
      <c r="B868" s="37"/>
      <c r="C868" s="38"/>
    </row>
    <row r="869" spans="2:3" ht="16.5" customHeight="1" x14ac:dyDescent="0.25">
      <c r="B869" s="37"/>
      <c r="C869" s="38"/>
    </row>
    <row r="870" spans="2:3" ht="16.5" customHeight="1" x14ac:dyDescent="0.25">
      <c r="B870" s="37"/>
      <c r="C870" s="38"/>
    </row>
    <row r="871" spans="2:3" ht="16.5" customHeight="1" x14ac:dyDescent="0.25">
      <c r="B871" s="37"/>
      <c r="C871" s="38"/>
    </row>
    <row r="872" spans="2:3" ht="16.5" customHeight="1" x14ac:dyDescent="0.25">
      <c r="B872" s="37"/>
      <c r="C872" s="38"/>
    </row>
    <row r="873" spans="2:3" ht="16.5" customHeight="1" x14ac:dyDescent="0.25">
      <c r="B873" s="37"/>
      <c r="C873" s="38"/>
    </row>
    <row r="874" spans="2:3" ht="16.5" customHeight="1" x14ac:dyDescent="0.25">
      <c r="B874" s="37"/>
      <c r="C874" s="38"/>
    </row>
    <row r="875" spans="2:3" ht="16.5" customHeight="1" x14ac:dyDescent="0.25">
      <c r="B875" s="37"/>
      <c r="C875" s="38"/>
    </row>
    <row r="876" spans="2:3" ht="16.5" customHeight="1" x14ac:dyDescent="0.25">
      <c r="B876" s="37"/>
      <c r="C876" s="38"/>
    </row>
    <row r="877" spans="2:3" ht="16.5" customHeight="1" x14ac:dyDescent="0.25">
      <c r="B877" s="37"/>
      <c r="C877" s="38"/>
    </row>
    <row r="878" spans="2:3" ht="16.5" customHeight="1" x14ac:dyDescent="0.25">
      <c r="B878" s="37"/>
      <c r="C878" s="38"/>
    </row>
    <row r="879" spans="2:3" ht="16.5" customHeight="1" x14ac:dyDescent="0.25">
      <c r="B879" s="37"/>
      <c r="C879" s="38"/>
    </row>
    <row r="880" spans="2:3" ht="16.5" customHeight="1" x14ac:dyDescent="0.25">
      <c r="B880" s="37"/>
      <c r="C880" s="38"/>
    </row>
    <row r="881" spans="2:3" ht="16.5" customHeight="1" x14ac:dyDescent="0.25">
      <c r="B881" s="37"/>
      <c r="C881" s="38"/>
    </row>
    <row r="882" spans="2:3" ht="16.5" customHeight="1" x14ac:dyDescent="0.25">
      <c r="B882" s="37"/>
      <c r="C882" s="38"/>
    </row>
    <row r="883" spans="2:3" ht="16.5" customHeight="1" x14ac:dyDescent="0.25">
      <c r="B883" s="37"/>
      <c r="C883" s="38"/>
    </row>
    <row r="884" spans="2:3" ht="16.5" customHeight="1" x14ac:dyDescent="0.25">
      <c r="B884" s="37"/>
      <c r="C884" s="38"/>
    </row>
    <row r="885" spans="2:3" ht="16.5" customHeight="1" x14ac:dyDescent="0.25">
      <c r="B885" s="37"/>
      <c r="C885" s="38"/>
    </row>
    <row r="886" spans="2:3" ht="16.5" customHeight="1" x14ac:dyDescent="0.25">
      <c r="B886" s="37"/>
      <c r="C886" s="38"/>
    </row>
    <row r="887" spans="2:3" ht="16.5" customHeight="1" x14ac:dyDescent="0.25">
      <c r="B887" s="37"/>
      <c r="C887" s="38"/>
    </row>
    <row r="888" spans="2:3" ht="16.5" customHeight="1" x14ac:dyDescent="0.25">
      <c r="B888" s="37"/>
      <c r="C888" s="38"/>
    </row>
    <row r="889" spans="2:3" ht="16.5" customHeight="1" x14ac:dyDescent="0.25">
      <c r="B889" s="37"/>
      <c r="C889" s="38"/>
    </row>
    <row r="890" spans="2:3" ht="16.5" customHeight="1" x14ac:dyDescent="0.25">
      <c r="B890" s="37"/>
      <c r="C890" s="38"/>
    </row>
    <row r="891" spans="2:3" ht="16.5" customHeight="1" x14ac:dyDescent="0.25">
      <c r="B891" s="37"/>
      <c r="C891" s="38"/>
    </row>
    <row r="892" spans="2:3" ht="16.5" customHeight="1" x14ac:dyDescent="0.25">
      <c r="B892" s="37"/>
      <c r="C892" s="38"/>
    </row>
    <row r="893" spans="2:3" ht="16.5" customHeight="1" x14ac:dyDescent="0.25">
      <c r="B893" s="37"/>
      <c r="C893" s="38"/>
    </row>
    <row r="894" spans="2:3" ht="16.5" customHeight="1" x14ac:dyDescent="0.25">
      <c r="B894" s="37"/>
      <c r="C894" s="38"/>
    </row>
    <row r="895" spans="2:3" ht="16.5" customHeight="1" x14ac:dyDescent="0.25">
      <c r="B895" s="37"/>
      <c r="C895" s="38"/>
    </row>
    <row r="896" spans="2:3" ht="16.5" customHeight="1" x14ac:dyDescent="0.25">
      <c r="B896" s="37"/>
      <c r="C896" s="38"/>
    </row>
    <row r="897" spans="2:3" ht="16.5" customHeight="1" x14ac:dyDescent="0.25">
      <c r="B897" s="37"/>
      <c r="C897" s="38"/>
    </row>
    <row r="898" spans="2:3" ht="16.5" customHeight="1" x14ac:dyDescent="0.25">
      <c r="B898" s="37"/>
      <c r="C898" s="38"/>
    </row>
    <row r="899" spans="2:3" ht="16.5" customHeight="1" x14ac:dyDescent="0.25">
      <c r="B899" s="37"/>
      <c r="C899" s="38"/>
    </row>
    <row r="900" spans="2:3" ht="16.5" customHeight="1" x14ac:dyDescent="0.25">
      <c r="B900" s="37"/>
      <c r="C900" s="38"/>
    </row>
    <row r="901" spans="2:3" ht="16.5" customHeight="1" x14ac:dyDescent="0.25">
      <c r="B901" s="37"/>
      <c r="C901" s="38"/>
    </row>
    <row r="902" spans="2:3" ht="16.5" customHeight="1" x14ac:dyDescent="0.25">
      <c r="B902" s="37"/>
      <c r="C902" s="38"/>
    </row>
    <row r="903" spans="2:3" ht="16.5" customHeight="1" x14ac:dyDescent="0.25">
      <c r="B903" s="37"/>
      <c r="C903" s="38"/>
    </row>
    <row r="904" spans="2:3" ht="16.5" customHeight="1" x14ac:dyDescent="0.25">
      <c r="B904" s="37"/>
      <c r="C904" s="38"/>
    </row>
    <row r="905" spans="2:3" ht="16.5" customHeight="1" x14ac:dyDescent="0.25">
      <c r="B905" s="37"/>
      <c r="C905" s="38"/>
    </row>
    <row r="906" spans="2:3" ht="16.5" customHeight="1" x14ac:dyDescent="0.25">
      <c r="B906" s="37"/>
      <c r="C906" s="38"/>
    </row>
    <row r="907" spans="2:3" ht="16.5" customHeight="1" x14ac:dyDescent="0.25">
      <c r="B907" s="37"/>
      <c r="C907" s="38"/>
    </row>
    <row r="908" spans="2:3" ht="16.5" customHeight="1" x14ac:dyDescent="0.25">
      <c r="B908" s="37"/>
      <c r="C908" s="38"/>
    </row>
    <row r="909" spans="2:3" ht="16.5" customHeight="1" x14ac:dyDescent="0.25">
      <c r="B909" s="37"/>
      <c r="C909" s="38"/>
    </row>
    <row r="910" spans="2:3" ht="16.5" customHeight="1" x14ac:dyDescent="0.25">
      <c r="B910" s="37"/>
      <c r="C910" s="38"/>
    </row>
    <row r="911" spans="2:3" ht="16.5" customHeight="1" x14ac:dyDescent="0.25">
      <c r="B911" s="37"/>
      <c r="C911" s="38"/>
    </row>
    <row r="912" spans="2:3" ht="16.5" customHeight="1" x14ac:dyDescent="0.25">
      <c r="B912" s="37"/>
      <c r="C912" s="38"/>
    </row>
    <row r="913" spans="2:3" ht="16.5" customHeight="1" x14ac:dyDescent="0.25">
      <c r="B913" s="37"/>
      <c r="C913" s="38"/>
    </row>
    <row r="914" spans="2:3" ht="16.5" customHeight="1" x14ac:dyDescent="0.25">
      <c r="B914" s="37"/>
      <c r="C914" s="38"/>
    </row>
    <row r="915" spans="2:3" ht="16.5" customHeight="1" x14ac:dyDescent="0.25">
      <c r="B915" s="37"/>
      <c r="C915" s="38"/>
    </row>
    <row r="916" spans="2:3" ht="16.5" customHeight="1" x14ac:dyDescent="0.25">
      <c r="B916" s="37"/>
      <c r="C916" s="38"/>
    </row>
    <row r="917" spans="2:3" ht="16.5" customHeight="1" x14ac:dyDescent="0.25">
      <c r="B917" s="37"/>
      <c r="C917" s="38"/>
    </row>
    <row r="918" spans="2:3" ht="16.5" customHeight="1" x14ac:dyDescent="0.25">
      <c r="B918" s="37"/>
      <c r="C918" s="38"/>
    </row>
    <row r="919" spans="2:3" ht="16.5" customHeight="1" x14ac:dyDescent="0.25">
      <c r="B919" s="37"/>
      <c r="C919" s="38"/>
    </row>
    <row r="920" spans="2:3" ht="16.5" customHeight="1" x14ac:dyDescent="0.25">
      <c r="B920" s="37"/>
      <c r="C920" s="38"/>
    </row>
    <row r="921" spans="2:3" ht="16.5" customHeight="1" x14ac:dyDescent="0.25">
      <c r="B921" s="37"/>
      <c r="C921" s="38"/>
    </row>
    <row r="922" spans="2:3" ht="16.5" customHeight="1" x14ac:dyDescent="0.25">
      <c r="B922" s="37"/>
      <c r="C922" s="38"/>
    </row>
    <row r="923" spans="2:3" ht="16.5" customHeight="1" x14ac:dyDescent="0.25">
      <c r="B923" s="37"/>
      <c r="C923" s="38"/>
    </row>
    <row r="924" spans="2:3" ht="16.5" customHeight="1" x14ac:dyDescent="0.25">
      <c r="B924" s="37"/>
      <c r="C924" s="38"/>
    </row>
    <row r="925" spans="2:3" ht="16.5" customHeight="1" x14ac:dyDescent="0.25">
      <c r="B925" s="37"/>
      <c r="C925" s="38"/>
    </row>
    <row r="926" spans="2:3" ht="16.5" customHeight="1" x14ac:dyDescent="0.25">
      <c r="B926" s="37"/>
      <c r="C926" s="38"/>
    </row>
    <row r="927" spans="2:3" ht="16.5" customHeight="1" x14ac:dyDescent="0.25">
      <c r="B927" s="37"/>
      <c r="C927" s="38"/>
    </row>
    <row r="928" spans="2:3" ht="16.5" customHeight="1" x14ac:dyDescent="0.25">
      <c r="B928" s="37"/>
      <c r="C928" s="38"/>
    </row>
    <row r="929" spans="2:3" ht="16.5" customHeight="1" x14ac:dyDescent="0.25">
      <c r="B929" s="37"/>
      <c r="C929" s="38"/>
    </row>
    <row r="930" spans="2:3" ht="16.5" customHeight="1" x14ac:dyDescent="0.25">
      <c r="B930" s="37"/>
      <c r="C930" s="38"/>
    </row>
    <row r="931" spans="2:3" ht="16.5" customHeight="1" x14ac:dyDescent="0.25">
      <c r="B931" s="37"/>
      <c r="C931" s="38"/>
    </row>
    <row r="932" spans="2:3" ht="16.5" customHeight="1" x14ac:dyDescent="0.25">
      <c r="B932" s="37"/>
      <c r="C932" s="38"/>
    </row>
    <row r="933" spans="2:3" ht="16.5" customHeight="1" x14ac:dyDescent="0.25">
      <c r="B933" s="37"/>
      <c r="C933" s="38"/>
    </row>
    <row r="934" spans="2:3" ht="16.5" customHeight="1" x14ac:dyDescent="0.25">
      <c r="B934" s="37"/>
      <c r="C934" s="38"/>
    </row>
    <row r="935" spans="2:3" ht="16.5" customHeight="1" x14ac:dyDescent="0.25">
      <c r="B935" s="37"/>
      <c r="C935" s="38"/>
    </row>
    <row r="936" spans="2:3" ht="16.5" customHeight="1" x14ac:dyDescent="0.25">
      <c r="B936" s="37"/>
      <c r="C936" s="38"/>
    </row>
    <row r="937" spans="2:3" ht="16.5" customHeight="1" x14ac:dyDescent="0.25">
      <c r="B937" s="37"/>
      <c r="C937" s="38"/>
    </row>
    <row r="938" spans="2:3" ht="16.5" customHeight="1" x14ac:dyDescent="0.25">
      <c r="B938" s="37"/>
      <c r="C938" s="38"/>
    </row>
    <row r="939" spans="2:3" ht="16.5" customHeight="1" x14ac:dyDescent="0.25">
      <c r="B939" s="37"/>
      <c r="C939" s="38"/>
    </row>
    <row r="940" spans="2:3" ht="16.5" customHeight="1" x14ac:dyDescent="0.25">
      <c r="B940" s="37"/>
      <c r="C940" s="38"/>
    </row>
    <row r="941" spans="2:3" ht="16.5" customHeight="1" x14ac:dyDescent="0.25">
      <c r="B941" s="37"/>
      <c r="C941" s="38"/>
    </row>
    <row r="942" spans="2:3" ht="16.5" customHeight="1" x14ac:dyDescent="0.25">
      <c r="B942" s="37"/>
      <c r="C942" s="38"/>
    </row>
    <row r="943" spans="2:3" ht="16.5" customHeight="1" x14ac:dyDescent="0.25">
      <c r="B943" s="37"/>
      <c r="C943" s="38"/>
    </row>
    <row r="944" spans="2:3" ht="16.5" customHeight="1" x14ac:dyDescent="0.25">
      <c r="B944" s="37"/>
      <c r="C944" s="38"/>
    </row>
    <row r="945" spans="2:3" ht="16.5" customHeight="1" x14ac:dyDescent="0.25">
      <c r="B945" s="37"/>
      <c r="C945" s="38"/>
    </row>
    <row r="946" spans="2:3" ht="16.5" customHeight="1" x14ac:dyDescent="0.25">
      <c r="B946" s="37"/>
      <c r="C946" s="38"/>
    </row>
    <row r="947" spans="2:3" ht="16.5" customHeight="1" x14ac:dyDescent="0.25">
      <c r="B947" s="37"/>
      <c r="C947" s="38"/>
    </row>
    <row r="948" spans="2:3" ht="16.5" customHeight="1" x14ac:dyDescent="0.25">
      <c r="B948" s="37"/>
      <c r="C948" s="38"/>
    </row>
    <row r="949" spans="2:3" ht="16.5" customHeight="1" x14ac:dyDescent="0.25">
      <c r="B949" s="37"/>
      <c r="C949" s="38"/>
    </row>
    <row r="950" spans="2:3" ht="16.5" customHeight="1" x14ac:dyDescent="0.25">
      <c r="B950" s="37"/>
      <c r="C950" s="38"/>
    </row>
    <row r="951" spans="2:3" ht="16.5" customHeight="1" x14ac:dyDescent="0.25">
      <c r="B951" s="37"/>
      <c r="C951" s="38"/>
    </row>
    <row r="952" spans="2:3" ht="16.5" customHeight="1" x14ac:dyDescent="0.25">
      <c r="B952" s="37"/>
      <c r="C952" s="38"/>
    </row>
    <row r="953" spans="2:3" ht="16.5" customHeight="1" x14ac:dyDescent="0.25">
      <c r="B953" s="37"/>
      <c r="C953" s="38"/>
    </row>
    <row r="954" spans="2:3" ht="16.5" customHeight="1" x14ac:dyDescent="0.25">
      <c r="B954" s="37"/>
      <c r="C954" s="38"/>
    </row>
    <row r="955" spans="2:3" ht="16.5" customHeight="1" x14ac:dyDescent="0.25">
      <c r="B955" s="37"/>
      <c r="C955" s="38"/>
    </row>
    <row r="956" spans="2:3" ht="16.5" customHeight="1" x14ac:dyDescent="0.25">
      <c r="B956" s="37"/>
      <c r="C956" s="38"/>
    </row>
    <row r="957" spans="2:3" ht="16.5" customHeight="1" x14ac:dyDescent="0.25">
      <c r="B957" s="37"/>
      <c r="C957" s="38"/>
    </row>
    <row r="958" spans="2:3" ht="16.5" customHeight="1" x14ac:dyDescent="0.25">
      <c r="B958" s="37"/>
      <c r="C958" s="38"/>
    </row>
    <row r="959" spans="2:3" ht="16.5" customHeight="1" x14ac:dyDescent="0.25">
      <c r="B959" s="37"/>
      <c r="C959" s="38"/>
    </row>
    <row r="960" spans="2:3" ht="16.5" customHeight="1" x14ac:dyDescent="0.25">
      <c r="B960" s="37"/>
      <c r="C960" s="38"/>
    </row>
    <row r="961" spans="2:3" ht="16.5" customHeight="1" x14ac:dyDescent="0.25">
      <c r="B961" s="37"/>
      <c r="C961" s="38"/>
    </row>
    <row r="962" spans="2:3" ht="16.5" customHeight="1" x14ac:dyDescent="0.25">
      <c r="B962" s="37"/>
      <c r="C962" s="38"/>
    </row>
    <row r="963" spans="2:3" ht="16.5" customHeight="1" x14ac:dyDescent="0.25">
      <c r="B963" s="37"/>
      <c r="C963" s="38"/>
    </row>
    <row r="964" spans="2:3" ht="16.5" customHeight="1" x14ac:dyDescent="0.25">
      <c r="B964" s="37"/>
      <c r="C964" s="38"/>
    </row>
    <row r="965" spans="2:3" ht="16.5" customHeight="1" x14ac:dyDescent="0.25">
      <c r="B965" s="37"/>
      <c r="C965" s="38"/>
    </row>
    <row r="966" spans="2:3" ht="16.5" customHeight="1" x14ac:dyDescent="0.25">
      <c r="B966" s="37"/>
      <c r="C966" s="38"/>
    </row>
    <row r="967" spans="2:3" ht="16.5" customHeight="1" x14ac:dyDescent="0.25">
      <c r="B967" s="37"/>
      <c r="C967" s="38"/>
    </row>
    <row r="968" spans="2:3" ht="16.5" customHeight="1" x14ac:dyDescent="0.25">
      <c r="B968" s="37"/>
      <c r="C968" s="38"/>
    </row>
    <row r="969" spans="2:3" ht="16.5" customHeight="1" x14ac:dyDescent="0.25">
      <c r="B969" s="37"/>
      <c r="C969" s="38"/>
    </row>
    <row r="970" spans="2:3" ht="16.5" customHeight="1" x14ac:dyDescent="0.25">
      <c r="B970" s="37"/>
      <c r="C970" s="38"/>
    </row>
    <row r="971" spans="2:3" ht="16.5" customHeight="1" x14ac:dyDescent="0.25">
      <c r="B971" s="37"/>
      <c r="C971" s="38"/>
    </row>
    <row r="972" spans="2:3" ht="16.5" customHeight="1" x14ac:dyDescent="0.25">
      <c r="B972" s="37"/>
      <c r="C972" s="38"/>
    </row>
    <row r="973" spans="2:3" ht="16.5" customHeight="1" x14ac:dyDescent="0.25">
      <c r="B973" s="37"/>
      <c r="C973" s="38"/>
    </row>
    <row r="974" spans="2:3" ht="16.5" customHeight="1" x14ac:dyDescent="0.25">
      <c r="B974" s="37"/>
      <c r="C974" s="38"/>
    </row>
    <row r="975" spans="2:3" ht="16.5" customHeight="1" x14ac:dyDescent="0.25">
      <c r="B975" s="37"/>
      <c r="C975" s="38"/>
    </row>
    <row r="976" spans="2:3" ht="16.5" customHeight="1" x14ac:dyDescent="0.25">
      <c r="B976" s="37"/>
      <c r="C976" s="38"/>
    </row>
    <row r="977" spans="2:3" ht="16.5" customHeight="1" x14ac:dyDescent="0.25">
      <c r="B977" s="37"/>
      <c r="C977" s="38"/>
    </row>
    <row r="978" spans="2:3" ht="16.5" customHeight="1" x14ac:dyDescent="0.25">
      <c r="B978" s="37"/>
      <c r="C978" s="38"/>
    </row>
    <row r="979" spans="2:3" ht="16.5" customHeight="1" x14ac:dyDescent="0.25">
      <c r="B979" s="37"/>
      <c r="C979" s="38"/>
    </row>
    <row r="980" spans="2:3" ht="16.5" customHeight="1" x14ac:dyDescent="0.25">
      <c r="B980" s="37"/>
      <c r="C980" s="38"/>
    </row>
    <row r="981" spans="2:3" ht="16.5" customHeight="1" x14ac:dyDescent="0.25">
      <c r="B981" s="37"/>
      <c r="C981" s="38"/>
    </row>
    <row r="982" spans="2:3" ht="16.5" customHeight="1" x14ac:dyDescent="0.25">
      <c r="B982" s="37"/>
      <c r="C982" s="38"/>
    </row>
    <row r="983" spans="2:3" ht="16.5" customHeight="1" x14ac:dyDescent="0.25">
      <c r="B983" s="37"/>
      <c r="C983" s="38"/>
    </row>
    <row r="984" spans="2:3" ht="16.5" customHeight="1" x14ac:dyDescent="0.25">
      <c r="B984" s="37"/>
      <c r="C984" s="38"/>
    </row>
    <row r="985" spans="2:3" ht="16.5" customHeight="1" x14ac:dyDescent="0.25">
      <c r="B985" s="37"/>
      <c r="C985" s="38"/>
    </row>
    <row r="986" spans="2:3" ht="16.5" customHeight="1" x14ac:dyDescent="0.25">
      <c r="B986" s="37"/>
      <c r="C986" s="38"/>
    </row>
    <row r="987" spans="2:3" ht="16.5" customHeight="1" x14ac:dyDescent="0.25">
      <c r="B987" s="37"/>
      <c r="C987" s="38"/>
    </row>
    <row r="988" spans="2:3" ht="16.5" customHeight="1" x14ac:dyDescent="0.25">
      <c r="B988" s="37"/>
      <c r="C988" s="38"/>
    </row>
    <row r="989" spans="2:3" ht="16.5" customHeight="1" x14ac:dyDescent="0.25">
      <c r="B989" s="37"/>
      <c r="C989" s="38"/>
    </row>
    <row r="990" spans="2:3" ht="16.5" customHeight="1" x14ac:dyDescent="0.25">
      <c r="B990" s="37"/>
      <c r="C990" s="38"/>
    </row>
    <row r="991" spans="2:3" ht="16.5" customHeight="1" x14ac:dyDescent="0.25">
      <c r="B991" s="37"/>
      <c r="C991" s="38"/>
    </row>
    <row r="992" spans="2:3" ht="16.5" customHeight="1" x14ac:dyDescent="0.25">
      <c r="B992" s="37"/>
      <c r="C992" s="38"/>
    </row>
    <row r="993" spans="2:3" ht="16.5" customHeight="1" x14ac:dyDescent="0.25">
      <c r="B993" s="37"/>
      <c r="C993" s="38"/>
    </row>
    <row r="994" spans="2:3" ht="16.5" customHeight="1" x14ac:dyDescent="0.25">
      <c r="B994" s="37"/>
      <c r="C994" s="38"/>
    </row>
    <row r="995" spans="2:3" ht="16.5" customHeight="1" x14ac:dyDescent="0.25">
      <c r="B995" s="37"/>
      <c r="C995" s="38"/>
    </row>
    <row r="996" spans="2:3" ht="16.5" customHeight="1" x14ac:dyDescent="0.25">
      <c r="B996" s="37"/>
      <c r="C996" s="38"/>
    </row>
    <row r="997" spans="2:3" ht="16.5" customHeight="1" x14ac:dyDescent="0.25">
      <c r="B997" s="37"/>
      <c r="C997" s="38"/>
    </row>
    <row r="998" spans="2:3" ht="16.5" customHeight="1" x14ac:dyDescent="0.25">
      <c r="B998" s="37"/>
      <c r="C998" s="38"/>
    </row>
    <row r="999" spans="2:3" ht="16.5" customHeight="1" x14ac:dyDescent="0.25">
      <c r="B999" s="37"/>
      <c r="C999" s="38"/>
    </row>
    <row r="1000" spans="2:3" ht="16.5" customHeight="1" x14ac:dyDescent="0.25">
      <c r="B1000" s="37"/>
      <c r="C1000" s="38"/>
    </row>
    <row r="1001" spans="2:3" ht="16.5" customHeight="1" x14ac:dyDescent="0.25">
      <c r="B1001" s="37"/>
      <c r="C1001" s="38"/>
    </row>
  </sheetData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/>
  </sheetViews>
  <sheetFormatPr defaultColWidth="12.5546875" defaultRowHeight="15" customHeight="1" x14ac:dyDescent="0.25"/>
  <cols>
    <col min="1" max="1" width="8.5546875" customWidth="1"/>
    <col min="2" max="2" width="65.6640625" customWidth="1"/>
    <col min="3" max="3" width="16.44140625" customWidth="1"/>
    <col min="4" max="5" width="14.5546875" customWidth="1"/>
    <col min="6" max="6" width="8.33203125" customWidth="1"/>
    <col min="7" max="7" width="10.33203125" customWidth="1"/>
    <col min="8" max="8" width="7.6640625" customWidth="1"/>
    <col min="9" max="9" width="14.109375" customWidth="1"/>
    <col min="10" max="10" width="8.5546875" customWidth="1"/>
    <col min="11" max="12" width="7.33203125" customWidth="1"/>
    <col min="13" max="26" width="8.5546875" customWidth="1"/>
  </cols>
  <sheetData>
    <row r="1" spans="1:24" ht="12.75" customHeight="1" x14ac:dyDescent="0.25">
      <c r="A1" s="39"/>
      <c r="B1" s="39"/>
      <c r="C1" s="40"/>
      <c r="D1" s="40"/>
      <c r="E1" s="40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24" ht="12.75" customHeight="1" x14ac:dyDescent="0.25">
      <c r="A2" s="39"/>
      <c r="B2" s="41"/>
      <c r="C2" s="42" t="s">
        <v>44</v>
      </c>
      <c r="D2" s="43" t="s">
        <v>45</v>
      </c>
      <c r="E2" s="42" t="s">
        <v>46</v>
      </c>
      <c r="F2" s="44"/>
      <c r="G2" s="39" t="s">
        <v>47</v>
      </c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</row>
    <row r="3" spans="1:24" ht="12.75" customHeight="1" x14ac:dyDescent="0.25">
      <c r="A3" s="39"/>
      <c r="B3" s="45"/>
      <c r="C3" s="46">
        <v>44835</v>
      </c>
      <c r="D3" s="46">
        <v>44896</v>
      </c>
      <c r="E3" s="46">
        <v>44805</v>
      </c>
      <c r="F3" s="47"/>
      <c r="G3" s="39"/>
      <c r="H3" s="48" t="s">
        <v>48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</row>
    <row r="4" spans="1:24" ht="12.75" customHeight="1" x14ac:dyDescent="0.25">
      <c r="A4" s="49"/>
      <c r="B4" s="45" t="s">
        <v>49</v>
      </c>
      <c r="C4" s="50">
        <f>228.97*B24</f>
        <v>225.37154958630595</v>
      </c>
      <c r="D4" s="50">
        <f>384.24*D24</f>
        <v>376.65887891765919</v>
      </c>
      <c r="E4" s="50">
        <f>185.03*E24</f>
        <v>251.40517284235477</v>
      </c>
      <c r="F4" s="47"/>
      <c r="G4" s="39">
        <v>230</v>
      </c>
      <c r="H4" s="48">
        <v>380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</row>
    <row r="5" spans="1:24" ht="12.75" customHeight="1" x14ac:dyDescent="0.25">
      <c r="A5" s="51"/>
      <c r="B5" s="52" t="s">
        <v>5</v>
      </c>
      <c r="C5" s="50">
        <f>10.06*B24</f>
        <v>9.9018988899778915</v>
      </c>
      <c r="D5" s="50">
        <f>13.74*D24</f>
        <v>13.468907444119919</v>
      </c>
      <c r="E5" s="50">
        <f>38.04*E24</f>
        <v>51.685957817235987</v>
      </c>
      <c r="F5" s="39"/>
      <c r="G5" s="47">
        <v>10</v>
      </c>
      <c r="H5" s="47">
        <v>50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</row>
    <row r="6" spans="1:24" ht="12.75" customHeight="1" x14ac:dyDescent="0.25">
      <c r="A6" s="51"/>
      <c r="B6" s="53" t="s">
        <v>6</v>
      </c>
      <c r="C6" s="50">
        <f>167.14*B24</f>
        <v>164.51325849611379</v>
      </c>
      <c r="D6" s="50">
        <f>326.81*D24</f>
        <v>320.36198266468926</v>
      </c>
      <c r="E6" s="50">
        <f>222.62*E24</f>
        <v>302.47970371380325</v>
      </c>
      <c r="F6" s="39"/>
      <c r="G6" s="47">
        <v>170</v>
      </c>
      <c r="H6" s="47">
        <v>250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</row>
    <row r="7" spans="1:24" ht="12.75" customHeight="1" x14ac:dyDescent="0.25">
      <c r="A7" s="51"/>
      <c r="B7" s="54" t="s">
        <v>7</v>
      </c>
      <c r="C7" s="50">
        <f>350.59*B24</f>
        <v>345.08019203154561</v>
      </c>
      <c r="D7" s="50">
        <f>213.27*D24</f>
        <v>209.06214633242033</v>
      </c>
      <c r="E7" s="50">
        <f>697.81*E24</f>
        <v>948.13297119993285</v>
      </c>
      <c r="F7" s="47"/>
      <c r="G7" s="47">
        <v>320</v>
      </c>
      <c r="H7" s="47">
        <v>380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 spans="1:24" ht="12.75" customHeight="1" x14ac:dyDescent="0.25">
      <c r="A8" s="51"/>
      <c r="B8" s="53" t="s">
        <v>8</v>
      </c>
      <c r="C8" s="50">
        <f>180.14*B24</f>
        <v>177.30895288674128</v>
      </c>
      <c r="D8" s="50">
        <f>340.65*D24</f>
        <v>333.92891709166304</v>
      </c>
      <c r="E8" s="50">
        <f>233.95*E24</f>
        <v>317.87407548218613</v>
      </c>
      <c r="F8" s="39"/>
      <c r="G8" s="47">
        <v>200</v>
      </c>
      <c r="H8" s="47">
        <v>300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 spans="1:24" ht="21.75" customHeight="1" x14ac:dyDescent="0.25">
      <c r="A9" s="51"/>
      <c r="B9" s="54" t="s">
        <v>9</v>
      </c>
      <c r="C9" s="50">
        <f>208.77*B24</f>
        <v>205.48900907163863</v>
      </c>
      <c r="D9" s="50">
        <f>344.24*D24</f>
        <v>337.4480857761165</v>
      </c>
      <c r="E9" s="50">
        <f>787.22*E24</f>
        <v>1069.6167116951767</v>
      </c>
      <c r="F9" s="39"/>
      <c r="G9" s="47">
        <v>330</v>
      </c>
      <c r="H9" s="47">
        <v>400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</row>
    <row r="10" spans="1:24" ht="12.75" customHeight="1" x14ac:dyDescent="0.25">
      <c r="A10" s="51"/>
      <c r="B10" s="53" t="s">
        <v>11</v>
      </c>
      <c r="C10" s="50">
        <f>111.63*B24</f>
        <v>109.8756434481344</v>
      </c>
      <c r="D10" s="50">
        <f>111.13*D24</f>
        <v>108.93738604549101</v>
      </c>
      <c r="E10" s="50">
        <f>126.32*E24</f>
        <v>171.63433731527996</v>
      </c>
      <c r="F10" s="39"/>
      <c r="G10" s="47">
        <v>110</v>
      </c>
      <c r="H10" s="47">
        <v>170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</row>
    <row r="11" spans="1:24" ht="12.75" customHeight="1" x14ac:dyDescent="0.25">
      <c r="A11" s="51"/>
      <c r="B11" s="54" t="s">
        <v>12</v>
      </c>
      <c r="C11" s="50">
        <f>16.63*B24</f>
        <v>16.368645978164249</v>
      </c>
      <c r="D11" s="50">
        <f>89.56*D24</f>
        <v>87.792965843914118</v>
      </c>
      <c r="E11" s="50">
        <f>91.99*E24</f>
        <v>124.9892549844253</v>
      </c>
      <c r="F11" s="39"/>
      <c r="G11" s="47">
        <v>75</v>
      </c>
      <c r="H11" s="47">
        <v>85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2" spans="1:24" ht="12.75" customHeight="1" x14ac:dyDescent="0.25">
      <c r="A12" s="51"/>
      <c r="B12" s="53" t="s">
        <v>13</v>
      </c>
      <c r="C12" s="50">
        <f>99.62*B24</f>
        <v>98.054390399562394</v>
      </c>
      <c r="D12" s="50">
        <f>137.62*D24</f>
        <v>134.90473380347768</v>
      </c>
      <c r="E12" s="50">
        <f>162.02*E24</f>
        <v>220.14087501442103</v>
      </c>
      <c r="F12" s="39"/>
      <c r="G12" s="47">
        <v>100</v>
      </c>
      <c r="H12" s="47">
        <v>220</v>
      </c>
      <c r="I12" s="39"/>
      <c r="J12" s="39"/>
      <c r="K12" s="47"/>
      <c r="L12" s="47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</row>
    <row r="13" spans="1:24" ht="12.75" customHeight="1" x14ac:dyDescent="0.25">
      <c r="A13" s="51"/>
      <c r="B13" s="54" t="s">
        <v>15</v>
      </c>
      <c r="C13" s="50">
        <f>25.64*B24</f>
        <v>25.237046475052995</v>
      </c>
      <c r="D13" s="50">
        <f>33.42*D24</f>
        <v>32.760617669758929</v>
      </c>
      <c r="E13" s="50">
        <f>74.69*E24</f>
        <v>101.48328573526173</v>
      </c>
      <c r="F13" s="39"/>
      <c r="G13" s="47">
        <v>40</v>
      </c>
      <c r="H13" s="47">
        <v>100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</row>
    <row r="14" spans="1:24" ht="12.75" customHeight="1" x14ac:dyDescent="0.25">
      <c r="A14" s="51"/>
      <c r="B14" s="53" t="s">
        <v>16</v>
      </c>
      <c r="C14" s="50">
        <f>143.31*B24</f>
        <v>141.0577663939097</v>
      </c>
      <c r="D14" s="50">
        <f>258.2*D24</f>
        <v>253.10566972865814</v>
      </c>
      <c r="E14" s="50">
        <f>178.08*E24</f>
        <v>241.96202334630351</v>
      </c>
      <c r="F14" s="39"/>
      <c r="G14" s="47">
        <v>140</v>
      </c>
      <c r="H14" s="47">
        <v>250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</row>
    <row r="15" spans="1:24" ht="12.75" customHeight="1" x14ac:dyDescent="0.25">
      <c r="A15" s="51"/>
      <c r="B15" s="54" t="s">
        <v>17</v>
      </c>
      <c r="C15" s="50">
        <f>78.87*B24</f>
        <v>77.630493583753122</v>
      </c>
      <c r="D15" s="50">
        <f>120.94*D24</f>
        <v>118.55383306345436</v>
      </c>
      <c r="E15" s="50">
        <f>79.38*E24</f>
        <v>107.85571323691359</v>
      </c>
      <c r="F15" s="39"/>
      <c r="G15" s="47">
        <v>80</v>
      </c>
      <c r="H15" s="47">
        <v>120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</row>
    <row r="16" spans="1:24" ht="12.75" customHeight="1" x14ac:dyDescent="0.25">
      <c r="A16" s="51"/>
      <c r="B16" s="53" t="s">
        <v>50</v>
      </c>
      <c r="C16" s="50">
        <f>135.31*B24</f>
        <v>133.18349292275434</v>
      </c>
      <c r="D16" s="50">
        <f>204.3*D24</f>
        <v>200.26912597042937</v>
      </c>
      <c r="E16" s="50">
        <f>195.99*E24</f>
        <v>266.29681578864569</v>
      </c>
      <c r="F16" s="39"/>
      <c r="G16" s="47">
        <v>130</v>
      </c>
      <c r="H16" s="47">
        <v>270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</row>
    <row r="17" spans="1:24" ht="12.75" customHeight="1" x14ac:dyDescent="0.25">
      <c r="A17" s="51"/>
      <c r="B17" s="54" t="s">
        <v>19</v>
      </c>
      <c r="C17" s="50">
        <f>87.43*B24</f>
        <v>86.055966197889376</v>
      </c>
      <c r="D17" s="50">
        <f>105.37*D24</f>
        <v>103.29103183310887</v>
      </c>
      <c r="E17" s="50">
        <f>78.02*E24</f>
        <v>106.00784513408917</v>
      </c>
      <c r="F17" s="39"/>
      <c r="G17" s="47">
        <v>85</v>
      </c>
      <c r="H17" s="47">
        <v>110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</row>
    <row r="18" spans="1:24" ht="12.75" customHeight="1" x14ac:dyDescent="0.25">
      <c r="A18" s="51"/>
      <c r="B18" s="52" t="s">
        <v>21</v>
      </c>
      <c r="C18" s="50">
        <f>105.35*B24</f>
        <v>103.69433877327742</v>
      </c>
      <c r="D18" s="55">
        <f>60.06*D24</f>
        <v>58.875005902026373</v>
      </c>
      <c r="E18" s="55">
        <f>201.17*E24</f>
        <v>273.33501929793277</v>
      </c>
      <c r="F18" s="39"/>
      <c r="G18" s="47">
        <v>60</v>
      </c>
      <c r="H18" s="47">
        <v>270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</row>
    <row r="19" spans="1:24" ht="12.75" customHeight="1" x14ac:dyDescent="0.25">
      <c r="A19" s="39"/>
      <c r="B19" s="39"/>
      <c r="C19" s="56">
        <f t="shared" ref="C19:E19" si="0">SUM(C5:C18)</f>
        <v>1693.4510955485152</v>
      </c>
      <c r="D19" s="56">
        <f t="shared" si="0"/>
        <v>2312.7604091693274</v>
      </c>
      <c r="E19" s="56">
        <f t="shared" si="0"/>
        <v>4303.4945897616071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</row>
    <row r="20" spans="1:24" ht="12.75" customHeight="1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</row>
    <row r="21" spans="1:24" ht="12.75" customHeight="1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</row>
    <row r="22" spans="1:24" ht="12.75" customHeight="1" x14ac:dyDescent="0.25">
      <c r="A22" s="39"/>
      <c r="B22" s="57">
        <v>2632.38</v>
      </c>
      <c r="C22" s="39"/>
      <c r="D22" s="48">
        <v>2643.16</v>
      </c>
      <c r="E22" s="47">
        <v>1906.94</v>
      </c>
      <c r="F22" s="58"/>
      <c r="G22" s="48"/>
      <c r="H22" s="5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</row>
    <row r="23" spans="1:24" ht="12.75" customHeight="1" x14ac:dyDescent="0.25">
      <c r="A23" s="39"/>
      <c r="B23" s="47">
        <v>2591.0100000000002</v>
      </c>
      <c r="C23" s="39"/>
      <c r="D23" s="47">
        <v>2591.0100000000002</v>
      </c>
      <c r="E23" s="47">
        <v>2591.0100000000002</v>
      </c>
      <c r="F23" s="60"/>
      <c r="G23" s="61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</row>
    <row r="24" spans="1:24" ht="12.75" customHeight="1" x14ac:dyDescent="0.25">
      <c r="A24" s="39"/>
      <c r="B24" s="62">
        <f>B23/B22</f>
        <v>0.98428418389442263</v>
      </c>
      <c r="C24" s="39"/>
      <c r="D24" s="62">
        <f t="shared" ref="D24:E24" si="1">D23/D22</f>
        <v>0.98026982853856759</v>
      </c>
      <c r="E24" s="62">
        <f t="shared" si="1"/>
        <v>1.3587265461944267</v>
      </c>
      <c r="F24" s="39"/>
      <c r="G24" s="47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</row>
    <row r="25" spans="1:24" ht="12.75" customHeight="1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</row>
    <row r="26" spans="1:24" ht="12.75" customHeight="1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</row>
    <row r="27" spans="1:24" ht="12.75" customHeight="1" x14ac:dyDescent="0.25">
      <c r="A27" s="39"/>
      <c r="B27" s="39" t="s">
        <v>51</v>
      </c>
      <c r="C27" s="47" t="s">
        <v>52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</row>
    <row r="28" spans="1:24" ht="12.75" customHeight="1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</row>
    <row r="29" spans="1:24" ht="12.75" customHeight="1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</row>
    <row r="30" spans="1:24" ht="12.75" customHeight="1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</row>
    <row r="31" spans="1:24" ht="12.75" customHeight="1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</row>
    <row r="32" spans="1:24" ht="12.75" customHeight="1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</row>
    <row r="33" spans="1:24" ht="12.75" customHeight="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</row>
    <row r="34" spans="1:24" ht="12.75" customHeight="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</row>
    <row r="35" spans="1:24" ht="12.75" customHeight="1" x14ac:dyDescent="0.2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spans="1:24" ht="12.75" customHeight="1" x14ac:dyDescent="0.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 spans="1:24" ht="12.75" customHeight="1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 spans="1:24" ht="12.75" customHeight="1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spans="1:24" ht="12.75" customHeight="1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 spans="1:24" ht="12.75" customHeight="1" x14ac:dyDescent="0.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</row>
    <row r="41" spans="1:24" ht="12.75" customHeight="1" x14ac:dyDescent="0.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spans="1:24" ht="12.75" customHeight="1" x14ac:dyDescent="0.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</row>
    <row r="43" spans="1:24" ht="12.75" customHeight="1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spans="1:24" ht="12.75" customHeight="1" x14ac:dyDescent="0.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</row>
    <row r="45" spans="1:24" ht="12.75" customHeight="1" x14ac:dyDescent="0.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spans="1:24" ht="12.75" customHeight="1" x14ac:dyDescent="0.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</row>
    <row r="47" spans="1:24" ht="12.75" customHeight="1" x14ac:dyDescent="0.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</row>
    <row r="48" spans="1:24" ht="12.75" customHeight="1" x14ac:dyDescent="0.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</row>
    <row r="49" spans="1:24" ht="12.75" customHeight="1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spans="1:24" ht="12.75" customHeight="1" x14ac:dyDescent="0.25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</row>
    <row r="51" spans="1:24" ht="12.75" customHeight="1" x14ac:dyDescent="0.2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spans="1:24" ht="12.75" customHeight="1" x14ac:dyDescent="0.25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spans="1:24" ht="12.75" customHeight="1" x14ac:dyDescent="0.25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spans="1:24" ht="12.75" customHeight="1" x14ac:dyDescent="0.2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</row>
    <row r="55" spans="1:24" ht="12.75" customHeight="1" x14ac:dyDescent="0.2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spans="1:24" ht="12.75" customHeight="1" x14ac:dyDescent="0.25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</row>
    <row r="57" spans="1:24" ht="12.75" customHeight="1" x14ac:dyDescent="0.25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spans="1:24" ht="12.75" customHeight="1" x14ac:dyDescent="0.2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spans="1:24" ht="12.75" customHeight="1" x14ac:dyDescent="0.25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spans="1:24" ht="12.75" customHeight="1" x14ac:dyDescent="0.25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spans="1:24" ht="12.75" customHeight="1" x14ac:dyDescent="0.2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spans="1:24" ht="12.75" customHeight="1" x14ac:dyDescent="0.25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 spans="1:24" ht="12.75" customHeight="1" x14ac:dyDescent="0.25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spans="1:24" ht="12.75" customHeight="1" x14ac:dyDescent="0.25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 spans="1:24" ht="12.75" customHeight="1" x14ac:dyDescent="0.2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spans="1:24" ht="12.75" customHeight="1" x14ac:dyDescent="0.25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 spans="1:24" ht="12.75" customHeight="1" x14ac:dyDescent="0.25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spans="1:24" ht="12.75" customHeight="1" x14ac:dyDescent="0.2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spans="1:24" ht="12.75" customHeight="1" x14ac:dyDescent="0.25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spans="1:24" ht="12.75" customHeight="1" x14ac:dyDescent="0.25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spans="1:24" ht="12.75" customHeight="1" x14ac:dyDescent="0.25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spans="1:24" ht="12.75" customHeight="1" x14ac:dyDescent="0.2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spans="1:24" ht="12.75" customHeight="1" x14ac:dyDescent="0.25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spans="1:24" ht="12.75" customHeight="1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spans="1:24" ht="12.75" customHeight="1" x14ac:dyDescent="0.2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spans="1:24" ht="12.75" customHeight="1" x14ac:dyDescent="0.25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 spans="1:24" ht="12.75" customHeight="1" x14ac:dyDescent="0.25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spans="1:24" ht="12.75" customHeight="1" x14ac:dyDescent="0.25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 spans="1:24" ht="12.75" customHeight="1" x14ac:dyDescent="0.25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spans="1:24" ht="12.75" customHeight="1" x14ac:dyDescent="0.25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 spans="1:24" ht="12.75" customHeight="1" x14ac:dyDescent="0.25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spans="1:24" ht="12.75" customHeight="1" x14ac:dyDescent="0.25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 spans="1:24" ht="12.75" customHeight="1" x14ac:dyDescent="0.25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 spans="1:24" ht="12.75" customHeight="1" x14ac:dyDescent="0.25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 spans="1:24" ht="12.75" customHeight="1" x14ac:dyDescent="0.2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</row>
    <row r="86" spans="1:24" ht="12.75" customHeight="1" x14ac:dyDescent="0.25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</row>
    <row r="87" spans="1:24" ht="12.75" customHeight="1" x14ac:dyDescent="0.25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 spans="1:24" ht="12.75" customHeight="1" x14ac:dyDescent="0.25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</row>
    <row r="89" spans="1:24" ht="12.75" customHeight="1" x14ac:dyDescent="0.25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 spans="1:24" ht="12.75" customHeight="1" x14ac:dyDescent="0.25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</row>
    <row r="91" spans="1:24" ht="12.75" customHeight="1" x14ac:dyDescent="0.25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</row>
    <row r="92" spans="1:24" ht="12.75" customHeight="1" x14ac:dyDescent="0.25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</row>
    <row r="93" spans="1:24" ht="12.75" customHeight="1" x14ac:dyDescent="0.25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</row>
    <row r="94" spans="1:24" ht="12.75" customHeight="1" x14ac:dyDescent="0.25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</row>
    <row r="95" spans="1:24" ht="12.75" customHeight="1" x14ac:dyDescent="0.2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</row>
    <row r="96" spans="1:24" ht="12.75" customHeight="1" x14ac:dyDescent="0.25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</row>
    <row r="97" spans="1:24" ht="12.75" customHeight="1" x14ac:dyDescent="0.25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</row>
    <row r="98" spans="1:24" ht="12.75" customHeight="1" x14ac:dyDescent="0.25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</row>
    <row r="99" spans="1:24" ht="12.75" customHeight="1" x14ac:dyDescent="0.25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</row>
    <row r="100" spans="1:24" ht="12.75" customHeight="1" x14ac:dyDescent="0.25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</row>
    <row r="101" spans="1:24" ht="12.75" customHeight="1" x14ac:dyDescent="0.25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</row>
    <row r="102" spans="1:24" ht="12.75" customHeight="1" x14ac:dyDescent="0.25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</row>
    <row r="103" spans="1:24" ht="12.75" customHeight="1" x14ac:dyDescent="0.25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</row>
    <row r="104" spans="1:24" ht="12.75" customHeight="1" x14ac:dyDescent="0.25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</row>
    <row r="105" spans="1:24" ht="12.75" customHeight="1" x14ac:dyDescent="0.2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</row>
    <row r="106" spans="1:24" ht="12.75" customHeight="1" x14ac:dyDescent="0.25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</row>
    <row r="107" spans="1:24" ht="12.75" customHeight="1" x14ac:dyDescent="0.25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</row>
    <row r="108" spans="1:24" ht="12.75" customHeight="1" x14ac:dyDescent="0.25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</row>
    <row r="109" spans="1:24" ht="12.75" customHeight="1" x14ac:dyDescent="0.25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</row>
    <row r="110" spans="1:24" ht="12.75" customHeight="1" x14ac:dyDescent="0.25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</row>
    <row r="111" spans="1:24" ht="12.75" customHeight="1" x14ac:dyDescent="0.25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</row>
    <row r="112" spans="1:24" ht="12.75" customHeight="1" x14ac:dyDescent="0.25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</row>
    <row r="113" spans="1:24" ht="12.75" customHeight="1" x14ac:dyDescent="0.25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</row>
    <row r="114" spans="1:24" ht="12.75" customHeight="1" x14ac:dyDescent="0.25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</row>
    <row r="115" spans="1:24" ht="12.75" customHeight="1" x14ac:dyDescent="0.2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</row>
    <row r="116" spans="1:24" ht="12.75" customHeight="1" x14ac:dyDescent="0.25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</row>
    <row r="117" spans="1:24" ht="12.75" customHeight="1" x14ac:dyDescent="0.25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</row>
    <row r="118" spans="1:24" ht="12.75" customHeight="1" x14ac:dyDescent="0.25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</row>
    <row r="119" spans="1:24" ht="12.75" customHeight="1" x14ac:dyDescent="0.25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</row>
    <row r="120" spans="1:24" ht="12.75" customHeight="1" x14ac:dyDescent="0.25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</row>
    <row r="121" spans="1:24" ht="12.75" customHeight="1" x14ac:dyDescent="0.25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</row>
    <row r="122" spans="1:24" ht="12.75" customHeight="1" x14ac:dyDescent="0.25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</row>
    <row r="123" spans="1:24" ht="12.75" customHeight="1" x14ac:dyDescent="0.25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</row>
    <row r="124" spans="1:24" ht="12.75" customHeight="1" x14ac:dyDescent="0.25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</row>
    <row r="125" spans="1:24" ht="12.75" customHeight="1" x14ac:dyDescent="0.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</row>
    <row r="126" spans="1:24" ht="12.75" customHeight="1" x14ac:dyDescent="0.25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</row>
    <row r="127" spans="1:24" ht="12.75" customHeight="1" x14ac:dyDescent="0.25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</row>
    <row r="128" spans="1:24" ht="12.75" customHeight="1" x14ac:dyDescent="0.25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</row>
    <row r="129" spans="1:24" ht="12.75" customHeight="1" x14ac:dyDescent="0.25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</row>
    <row r="130" spans="1:24" ht="12.75" customHeight="1" x14ac:dyDescent="0.25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</row>
    <row r="131" spans="1:24" ht="12.75" customHeight="1" x14ac:dyDescent="0.25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</row>
    <row r="132" spans="1:24" ht="12.75" customHeight="1" x14ac:dyDescent="0.25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</row>
    <row r="133" spans="1:24" ht="12.75" customHeight="1" x14ac:dyDescent="0.25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</row>
    <row r="134" spans="1:24" ht="12.75" customHeight="1" x14ac:dyDescent="0.25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</row>
    <row r="135" spans="1:24" ht="12.75" customHeight="1" x14ac:dyDescent="0.2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</row>
    <row r="136" spans="1:24" ht="12.75" customHeight="1" x14ac:dyDescent="0.25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</row>
    <row r="137" spans="1:24" ht="12.75" customHeight="1" x14ac:dyDescent="0.25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</row>
    <row r="138" spans="1:24" ht="12.75" customHeight="1" x14ac:dyDescent="0.25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</row>
    <row r="139" spans="1:24" ht="12.75" customHeight="1" x14ac:dyDescent="0.25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</row>
    <row r="140" spans="1:24" ht="12.75" customHeight="1" x14ac:dyDescent="0.25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</row>
    <row r="141" spans="1:24" ht="12.75" customHeight="1" x14ac:dyDescent="0.25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</row>
    <row r="142" spans="1:24" ht="12.75" customHeight="1" x14ac:dyDescent="0.25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</row>
    <row r="143" spans="1:24" ht="12.75" customHeight="1" x14ac:dyDescent="0.25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</row>
    <row r="144" spans="1:24" ht="12.75" customHeight="1" x14ac:dyDescent="0.25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</row>
    <row r="145" spans="1:24" ht="12.75" customHeight="1" x14ac:dyDescent="0.2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</row>
    <row r="146" spans="1:24" ht="12.75" customHeight="1" x14ac:dyDescent="0.2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</row>
    <row r="147" spans="1:24" ht="12.75" customHeight="1" x14ac:dyDescent="0.25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</row>
    <row r="148" spans="1:24" ht="12.75" customHeight="1" x14ac:dyDescent="0.25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</row>
    <row r="149" spans="1:24" ht="12.75" customHeight="1" x14ac:dyDescent="0.25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</row>
    <row r="150" spans="1:24" ht="12.75" customHeight="1" x14ac:dyDescent="0.25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</row>
    <row r="151" spans="1:24" ht="12.75" customHeight="1" x14ac:dyDescent="0.25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</row>
    <row r="152" spans="1:24" ht="12.75" customHeight="1" x14ac:dyDescent="0.25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</row>
    <row r="153" spans="1:24" ht="12.75" customHeight="1" x14ac:dyDescent="0.25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</row>
    <row r="154" spans="1:24" ht="12.75" customHeight="1" x14ac:dyDescent="0.25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</row>
    <row r="155" spans="1:24" ht="12.75" customHeight="1" x14ac:dyDescent="0.2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</row>
    <row r="156" spans="1:24" ht="12.75" customHeight="1" x14ac:dyDescent="0.25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</row>
    <row r="157" spans="1:24" ht="12.75" customHeight="1" x14ac:dyDescent="0.25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</row>
    <row r="158" spans="1:24" ht="12.75" customHeight="1" x14ac:dyDescent="0.25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</row>
    <row r="159" spans="1:24" ht="12.75" customHeight="1" x14ac:dyDescent="0.25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1:24" ht="12.75" customHeight="1" x14ac:dyDescent="0.25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1:24" ht="12.75" customHeight="1" x14ac:dyDescent="0.2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</row>
    <row r="162" spans="1:24" ht="12.75" customHeight="1" x14ac:dyDescent="0.2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</row>
    <row r="163" spans="1:24" ht="12.75" customHeight="1" x14ac:dyDescent="0.2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</row>
    <row r="164" spans="1:24" ht="12.75" customHeight="1" x14ac:dyDescent="0.2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</row>
    <row r="165" spans="1:24" ht="12.75" customHeight="1" x14ac:dyDescent="0.2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</row>
    <row r="166" spans="1:24" ht="12.75" customHeight="1" x14ac:dyDescent="0.2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</row>
    <row r="167" spans="1:24" ht="12.75" customHeight="1" x14ac:dyDescent="0.2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</row>
    <row r="168" spans="1:24" ht="12.75" customHeight="1" x14ac:dyDescent="0.2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1:24" ht="12.75" customHeight="1" x14ac:dyDescent="0.2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1:24" ht="12.75" customHeight="1" x14ac:dyDescent="0.2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</row>
    <row r="171" spans="1:24" ht="12.75" customHeight="1" x14ac:dyDescent="0.2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</row>
    <row r="172" spans="1:24" ht="12.75" customHeight="1" x14ac:dyDescent="0.2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</row>
    <row r="173" spans="1:24" ht="12.75" customHeight="1" x14ac:dyDescent="0.2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</row>
    <row r="174" spans="1:24" ht="12.75" customHeight="1" x14ac:dyDescent="0.2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</row>
    <row r="175" spans="1:24" ht="12.75" customHeight="1" x14ac:dyDescent="0.2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</row>
    <row r="176" spans="1:24" ht="12.75" customHeight="1" x14ac:dyDescent="0.2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</row>
    <row r="177" spans="1:24" ht="12.75" customHeight="1" x14ac:dyDescent="0.2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</row>
    <row r="178" spans="1:24" ht="12.75" customHeight="1" x14ac:dyDescent="0.2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</row>
    <row r="179" spans="1:24" ht="12.75" customHeight="1" x14ac:dyDescent="0.2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</row>
    <row r="180" spans="1:24" ht="12.75" customHeight="1" x14ac:dyDescent="0.2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</row>
    <row r="181" spans="1:24" ht="12.75" customHeight="1" x14ac:dyDescent="0.2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</row>
    <row r="182" spans="1:24" ht="12.75" customHeight="1" x14ac:dyDescent="0.2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</row>
    <row r="183" spans="1:24" ht="12.75" customHeight="1" x14ac:dyDescent="0.2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</row>
    <row r="184" spans="1:24" ht="12.75" customHeight="1" x14ac:dyDescent="0.2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</row>
    <row r="185" spans="1:24" ht="12.75" customHeight="1" x14ac:dyDescent="0.2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</row>
    <row r="186" spans="1:24" ht="12.75" customHeight="1" x14ac:dyDescent="0.2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</row>
    <row r="187" spans="1:24" ht="12.75" customHeight="1" x14ac:dyDescent="0.2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</row>
    <row r="188" spans="1:24" ht="12.75" customHeight="1" x14ac:dyDescent="0.2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</row>
    <row r="189" spans="1:24" ht="12.75" customHeight="1" x14ac:dyDescent="0.2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</row>
    <row r="190" spans="1:24" ht="12.75" customHeight="1" x14ac:dyDescent="0.2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</row>
    <row r="191" spans="1:24" ht="12.75" customHeight="1" x14ac:dyDescent="0.2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</row>
    <row r="192" spans="1:24" ht="12.75" customHeight="1" x14ac:dyDescent="0.2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</row>
    <row r="193" spans="1:24" ht="12.75" customHeight="1" x14ac:dyDescent="0.2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</row>
    <row r="194" spans="1:24" ht="12.75" customHeight="1" x14ac:dyDescent="0.2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</row>
    <row r="195" spans="1:24" ht="12.75" customHeight="1" x14ac:dyDescent="0.2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</row>
    <row r="196" spans="1:24" ht="12.75" customHeight="1" x14ac:dyDescent="0.2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</row>
    <row r="197" spans="1:24" ht="12.75" customHeight="1" x14ac:dyDescent="0.2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</row>
    <row r="198" spans="1:24" ht="12.75" customHeight="1" x14ac:dyDescent="0.2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</row>
    <row r="199" spans="1:24" ht="12.75" customHeight="1" x14ac:dyDescent="0.2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</row>
    <row r="200" spans="1:24" ht="12.75" customHeight="1" x14ac:dyDescent="0.2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</row>
    <row r="201" spans="1:24" ht="12.75" customHeight="1" x14ac:dyDescent="0.2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</row>
    <row r="202" spans="1:24" ht="12.75" customHeight="1" x14ac:dyDescent="0.2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</row>
    <row r="203" spans="1:24" ht="12.75" customHeight="1" x14ac:dyDescent="0.2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</row>
    <row r="204" spans="1:24" ht="12.75" customHeight="1" x14ac:dyDescent="0.2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</row>
    <row r="205" spans="1:24" ht="12.75" customHeight="1" x14ac:dyDescent="0.2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</row>
    <row r="206" spans="1:24" ht="12.75" customHeight="1" x14ac:dyDescent="0.2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</row>
    <row r="207" spans="1:24" ht="12.75" customHeight="1" x14ac:dyDescent="0.2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</row>
    <row r="208" spans="1:24" ht="12.75" customHeight="1" x14ac:dyDescent="0.2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</row>
    <row r="209" spans="1:24" ht="12.75" customHeight="1" x14ac:dyDescent="0.2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</row>
    <row r="210" spans="1:24" ht="12.75" customHeight="1" x14ac:dyDescent="0.2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</row>
    <row r="211" spans="1:24" ht="12.75" customHeight="1" x14ac:dyDescent="0.2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</row>
    <row r="212" spans="1:24" ht="12.75" customHeight="1" x14ac:dyDescent="0.2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</row>
    <row r="213" spans="1:24" ht="12.75" customHeight="1" x14ac:dyDescent="0.2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</row>
    <row r="214" spans="1:24" ht="12.75" customHeight="1" x14ac:dyDescent="0.2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</row>
    <row r="215" spans="1:24" ht="12.75" customHeight="1" x14ac:dyDescent="0.2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</row>
    <row r="216" spans="1:24" ht="12.75" customHeight="1" x14ac:dyDescent="0.2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</row>
    <row r="217" spans="1:24" ht="12.75" customHeight="1" x14ac:dyDescent="0.2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</row>
    <row r="218" spans="1:24" ht="12.75" customHeight="1" x14ac:dyDescent="0.2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</row>
    <row r="219" spans="1:24" ht="12.75" customHeight="1" x14ac:dyDescent="0.2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</row>
    <row r="220" spans="1:24" ht="12.75" customHeight="1" x14ac:dyDescent="0.2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</row>
    <row r="221" spans="1:24" ht="12.75" customHeight="1" x14ac:dyDescent="0.2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</row>
    <row r="222" spans="1:24" ht="12.75" customHeight="1" x14ac:dyDescent="0.2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</row>
    <row r="223" spans="1:24" ht="12.75" customHeight="1" x14ac:dyDescent="0.2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</row>
    <row r="224" spans="1:24" ht="12.75" customHeight="1" x14ac:dyDescent="0.2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</row>
    <row r="225" spans="1:24" ht="12.75" customHeight="1" x14ac:dyDescent="0.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</row>
    <row r="226" spans="1:24" ht="12.75" customHeight="1" x14ac:dyDescent="0.2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</row>
    <row r="227" spans="1:24" ht="12.75" customHeight="1" x14ac:dyDescent="0.2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</row>
    <row r="228" spans="1:24" ht="12.75" customHeight="1" x14ac:dyDescent="0.25"/>
    <row r="229" spans="1:24" ht="12.75" customHeight="1" x14ac:dyDescent="0.25"/>
    <row r="230" spans="1:24" ht="12.75" customHeight="1" x14ac:dyDescent="0.25"/>
    <row r="231" spans="1:24" ht="12.75" customHeight="1" x14ac:dyDescent="0.25"/>
    <row r="232" spans="1:24" ht="12.75" customHeight="1" x14ac:dyDescent="0.25"/>
    <row r="233" spans="1:24" ht="12.75" customHeight="1" x14ac:dyDescent="0.25"/>
    <row r="234" spans="1:24" ht="12.75" customHeight="1" x14ac:dyDescent="0.25"/>
    <row r="235" spans="1:24" ht="12.75" customHeight="1" x14ac:dyDescent="0.25"/>
    <row r="236" spans="1:24" ht="12.75" customHeight="1" x14ac:dyDescent="0.25"/>
    <row r="237" spans="1:24" ht="12.75" customHeight="1" x14ac:dyDescent="0.25"/>
    <row r="238" spans="1:24" ht="12.75" customHeight="1" x14ac:dyDescent="0.25"/>
    <row r="239" spans="1:24" ht="12.75" customHeight="1" x14ac:dyDescent="0.25"/>
    <row r="240" spans="1:24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BC237-D0A2-4D9E-8B6E-E543736004DD}">
  <dimension ref="C2:J95"/>
  <sheetViews>
    <sheetView topLeftCell="A73" workbookViewId="0">
      <selection activeCell="E82" sqref="E82:G95"/>
    </sheetView>
  </sheetViews>
  <sheetFormatPr defaultRowHeight="13.2" x14ac:dyDescent="0.25"/>
  <cols>
    <col min="6" max="6" width="43.6640625" customWidth="1"/>
    <col min="7" max="7" width="12.33203125" customWidth="1"/>
    <col min="8" max="8" width="9.5546875" customWidth="1"/>
    <col min="10" max="10" width="11.5546875" bestFit="1" customWidth="1"/>
  </cols>
  <sheetData>
    <row r="2" spans="3:8" x14ac:dyDescent="0.25">
      <c r="C2" s="84" t="s">
        <v>53</v>
      </c>
      <c r="D2" s="84"/>
      <c r="E2" s="84"/>
      <c r="F2" s="87" t="s">
        <v>54</v>
      </c>
      <c r="G2" s="87"/>
      <c r="H2" s="87"/>
    </row>
    <row r="3" spans="3:8" x14ac:dyDescent="0.25">
      <c r="C3" s="84" t="s">
        <v>55</v>
      </c>
      <c r="D3" s="84"/>
      <c r="E3" s="84"/>
      <c r="F3" s="87" t="s">
        <v>56</v>
      </c>
      <c r="G3" s="87"/>
      <c r="H3" s="87"/>
    </row>
    <row r="4" spans="3:8" x14ac:dyDescent="0.25">
      <c r="C4" s="86" t="s">
        <v>57</v>
      </c>
      <c r="D4" s="86"/>
      <c r="E4" s="86" t="s">
        <v>58</v>
      </c>
      <c r="F4" s="86"/>
      <c r="G4" s="63" t="s">
        <v>59</v>
      </c>
      <c r="H4" s="63" t="s">
        <v>60</v>
      </c>
    </row>
    <row r="5" spans="3:8" x14ac:dyDescent="0.25">
      <c r="C5" s="87" t="s">
        <v>61</v>
      </c>
      <c r="D5" s="87"/>
      <c r="E5" s="87" t="s">
        <v>62</v>
      </c>
      <c r="F5" s="87"/>
      <c r="G5" s="69">
        <v>3819542.42</v>
      </c>
      <c r="H5" s="64">
        <v>26.73</v>
      </c>
    </row>
    <row r="6" spans="3:8" x14ac:dyDescent="0.25">
      <c r="C6" s="87" t="s">
        <v>63</v>
      </c>
      <c r="D6" s="87"/>
      <c r="E6" s="87" t="s">
        <v>20</v>
      </c>
      <c r="F6" s="87"/>
      <c r="G6" s="70">
        <v>363462</v>
      </c>
      <c r="H6" s="65">
        <v>2.54</v>
      </c>
    </row>
    <row r="7" spans="3:8" x14ac:dyDescent="0.25">
      <c r="C7" s="87" t="s">
        <v>64</v>
      </c>
      <c r="D7" s="87"/>
      <c r="E7" s="87" t="s">
        <v>5</v>
      </c>
      <c r="F7" s="87"/>
      <c r="G7" s="71">
        <v>9030.44</v>
      </c>
      <c r="H7" s="65">
        <v>0.06</v>
      </c>
    </row>
    <row r="8" spans="3:8" x14ac:dyDescent="0.25">
      <c r="C8" s="87" t="s">
        <v>65</v>
      </c>
      <c r="D8" s="87"/>
      <c r="E8" s="87" t="s">
        <v>6</v>
      </c>
      <c r="F8" s="87"/>
      <c r="G8" s="72">
        <v>44507.37</v>
      </c>
      <c r="H8" s="65">
        <v>0.31</v>
      </c>
    </row>
    <row r="9" spans="3:8" x14ac:dyDescent="0.25">
      <c r="C9" s="87" t="s">
        <v>66</v>
      </c>
      <c r="D9" s="87"/>
      <c r="E9" s="87" t="s">
        <v>7</v>
      </c>
      <c r="F9" s="87"/>
      <c r="G9" s="72">
        <v>40467.57</v>
      </c>
      <c r="H9" s="65">
        <v>0.28000000000000003</v>
      </c>
    </row>
    <row r="10" spans="3:8" x14ac:dyDescent="0.25">
      <c r="C10" s="87" t="s">
        <v>67</v>
      </c>
      <c r="D10" s="87"/>
      <c r="E10" s="87" t="s">
        <v>8</v>
      </c>
      <c r="F10" s="87"/>
      <c r="G10" s="72">
        <v>61225.95</v>
      </c>
      <c r="H10" s="65">
        <v>0.43</v>
      </c>
    </row>
    <row r="11" spans="3:8" x14ac:dyDescent="0.25">
      <c r="C11" s="87" t="s">
        <v>68</v>
      </c>
      <c r="D11" s="87"/>
      <c r="E11" s="87" t="s">
        <v>69</v>
      </c>
      <c r="F11" s="87"/>
      <c r="G11" s="72">
        <v>61315.12</v>
      </c>
      <c r="H11" s="65">
        <v>0.43</v>
      </c>
    </row>
    <row r="12" spans="3:8" x14ac:dyDescent="0.25">
      <c r="C12" s="87" t="s">
        <v>70</v>
      </c>
      <c r="D12" s="87"/>
      <c r="E12" s="87" t="s">
        <v>71</v>
      </c>
      <c r="F12" s="87"/>
      <c r="G12" s="72">
        <v>75165.48</v>
      </c>
      <c r="H12" s="65">
        <v>0.53</v>
      </c>
    </row>
    <row r="13" spans="3:8" x14ac:dyDescent="0.25">
      <c r="C13" s="87" t="s">
        <v>72</v>
      </c>
      <c r="D13" s="87"/>
      <c r="E13" s="87" t="s">
        <v>10</v>
      </c>
      <c r="F13" s="87"/>
      <c r="G13" s="72">
        <v>11518.19</v>
      </c>
      <c r="H13" s="65">
        <v>0.08</v>
      </c>
    </row>
    <row r="14" spans="3:8" x14ac:dyDescent="0.25">
      <c r="C14" s="87" t="s">
        <v>73</v>
      </c>
      <c r="D14" s="87"/>
      <c r="E14" s="87" t="s">
        <v>74</v>
      </c>
      <c r="F14" s="87"/>
      <c r="G14" s="73">
        <v>383.08</v>
      </c>
      <c r="H14" s="65">
        <v>0</v>
      </c>
    </row>
    <row r="15" spans="3:8" x14ac:dyDescent="0.25">
      <c r="C15" s="87" t="s">
        <v>75</v>
      </c>
      <c r="D15" s="87"/>
      <c r="E15" s="87" t="s">
        <v>76</v>
      </c>
      <c r="F15" s="87"/>
      <c r="G15" s="70">
        <v>100389.19</v>
      </c>
      <c r="H15" s="65">
        <v>0.7</v>
      </c>
    </row>
    <row r="16" spans="3:8" x14ac:dyDescent="0.25">
      <c r="C16" s="87" t="s">
        <v>77</v>
      </c>
      <c r="D16" s="87"/>
      <c r="E16" s="87" t="s">
        <v>78</v>
      </c>
      <c r="F16" s="87"/>
      <c r="G16" s="72">
        <v>15229.02</v>
      </c>
      <c r="H16" s="65">
        <v>0.11</v>
      </c>
    </row>
    <row r="17" spans="3:8" x14ac:dyDescent="0.25">
      <c r="C17" s="87" t="s">
        <v>79</v>
      </c>
      <c r="D17" s="87"/>
      <c r="E17" s="87" t="s">
        <v>80</v>
      </c>
      <c r="F17" s="87"/>
      <c r="G17" s="71">
        <v>8468.8799999999992</v>
      </c>
      <c r="H17" s="65">
        <v>0.06</v>
      </c>
    </row>
    <row r="18" spans="3:8" x14ac:dyDescent="0.25">
      <c r="C18" s="87" t="s">
        <v>81</v>
      </c>
      <c r="D18" s="87"/>
      <c r="E18" s="87" t="s">
        <v>13</v>
      </c>
      <c r="F18" s="87"/>
      <c r="G18" s="72">
        <v>42280.56</v>
      </c>
      <c r="H18" s="65">
        <v>0.3</v>
      </c>
    </row>
    <row r="19" spans="3:8" x14ac:dyDescent="0.25">
      <c r="C19" s="87" t="s">
        <v>82</v>
      </c>
      <c r="D19" s="87"/>
      <c r="E19" s="87" t="s">
        <v>15</v>
      </c>
      <c r="F19" s="87"/>
      <c r="G19" s="71">
        <v>4030.94</v>
      </c>
      <c r="H19" s="65">
        <v>0.03</v>
      </c>
    </row>
    <row r="20" spans="3:8" x14ac:dyDescent="0.25">
      <c r="C20" s="87" t="s">
        <v>83</v>
      </c>
      <c r="D20" s="87"/>
      <c r="E20" s="87" t="s">
        <v>16</v>
      </c>
      <c r="F20" s="87"/>
      <c r="G20" s="72">
        <v>84575.65</v>
      </c>
      <c r="H20" s="65">
        <v>0.59</v>
      </c>
    </row>
    <row r="21" spans="3:8" x14ac:dyDescent="0.25">
      <c r="C21" s="87" t="s">
        <v>84</v>
      </c>
      <c r="D21" s="87"/>
      <c r="E21" s="87" t="s">
        <v>85</v>
      </c>
      <c r="F21" s="87"/>
      <c r="G21" s="71">
        <v>6579.54</v>
      </c>
      <c r="H21" s="65">
        <v>0.05</v>
      </c>
    </row>
    <row r="22" spans="3:8" x14ac:dyDescent="0.25">
      <c r="C22" s="87" t="s">
        <v>86</v>
      </c>
      <c r="D22" s="87"/>
      <c r="E22" s="87" t="s">
        <v>87</v>
      </c>
      <c r="F22" s="87"/>
      <c r="G22" s="72">
        <v>87890.48</v>
      </c>
      <c r="H22" s="65">
        <v>0.62</v>
      </c>
    </row>
    <row r="23" spans="3:8" x14ac:dyDescent="0.25">
      <c r="C23" s="87" t="s">
        <v>88</v>
      </c>
      <c r="D23" s="87"/>
      <c r="E23" s="87" t="s">
        <v>89</v>
      </c>
      <c r="F23" s="87"/>
      <c r="G23" s="72">
        <v>28267.85</v>
      </c>
      <c r="H23" s="65">
        <v>0.2</v>
      </c>
    </row>
    <row r="24" spans="3:8" x14ac:dyDescent="0.25">
      <c r="C24" s="87" t="s">
        <v>90</v>
      </c>
      <c r="D24" s="87"/>
      <c r="E24" s="87" t="s">
        <v>91</v>
      </c>
      <c r="F24" s="87"/>
      <c r="G24" s="70">
        <v>428660.37</v>
      </c>
      <c r="H24" s="65">
        <v>3</v>
      </c>
    </row>
    <row r="25" spans="3:8" x14ac:dyDescent="0.25">
      <c r="C25" s="84" t="s">
        <v>92</v>
      </c>
      <c r="D25" s="84"/>
      <c r="E25" s="84"/>
      <c r="F25" s="84"/>
      <c r="G25" s="74">
        <v>5292990.0999999996</v>
      </c>
      <c r="H25" s="66">
        <v>37.049999999999997</v>
      </c>
    </row>
    <row r="26" spans="3:8" x14ac:dyDescent="0.25">
      <c r="C26" s="90"/>
      <c r="D26" s="90"/>
      <c r="E26" s="90"/>
      <c r="F26" s="90"/>
      <c r="G26" s="90"/>
      <c r="H26" s="90"/>
    </row>
    <row r="27" spans="3:8" x14ac:dyDescent="0.25">
      <c r="C27" s="84" t="s">
        <v>55</v>
      </c>
      <c r="D27" s="84"/>
      <c r="E27" s="84"/>
      <c r="F27" s="87" t="s">
        <v>93</v>
      </c>
      <c r="G27" s="87"/>
      <c r="H27" s="87"/>
    </row>
    <row r="28" spans="3:8" x14ac:dyDescent="0.25">
      <c r="C28" s="86" t="s">
        <v>57</v>
      </c>
      <c r="D28" s="86"/>
      <c r="E28" s="86" t="s">
        <v>58</v>
      </c>
      <c r="F28" s="86"/>
      <c r="G28" s="63" t="s">
        <v>59</v>
      </c>
      <c r="H28" s="63" t="s">
        <v>60</v>
      </c>
    </row>
    <row r="29" spans="3:8" x14ac:dyDescent="0.25">
      <c r="C29" s="87" t="s">
        <v>61</v>
      </c>
      <c r="D29" s="87"/>
      <c r="E29" s="87" t="s">
        <v>5</v>
      </c>
      <c r="F29" s="87"/>
      <c r="G29" s="71">
        <v>5475.84</v>
      </c>
      <c r="H29" s="65">
        <v>0.04</v>
      </c>
    </row>
    <row r="30" spans="3:8" x14ac:dyDescent="0.25">
      <c r="C30" s="87" t="s">
        <v>63</v>
      </c>
      <c r="D30" s="87"/>
      <c r="E30" s="87" t="s">
        <v>6</v>
      </c>
      <c r="F30" s="87"/>
      <c r="G30" s="70">
        <v>402817.08</v>
      </c>
      <c r="H30" s="65">
        <v>2.82</v>
      </c>
    </row>
    <row r="31" spans="3:8" x14ac:dyDescent="0.25">
      <c r="C31" s="87" t="s">
        <v>64</v>
      </c>
      <c r="D31" s="87"/>
      <c r="E31" s="87" t="s">
        <v>7</v>
      </c>
      <c r="F31" s="87"/>
      <c r="G31" s="70">
        <v>418376.86</v>
      </c>
      <c r="H31" s="65">
        <v>2.93</v>
      </c>
    </row>
    <row r="32" spans="3:8" x14ac:dyDescent="0.25">
      <c r="C32" s="87" t="s">
        <v>65</v>
      </c>
      <c r="D32" s="87"/>
      <c r="E32" s="87" t="s">
        <v>8</v>
      </c>
      <c r="F32" s="87"/>
      <c r="G32" s="70">
        <v>487495.09</v>
      </c>
      <c r="H32" s="65">
        <v>3.41</v>
      </c>
    </row>
    <row r="33" spans="3:8" x14ac:dyDescent="0.25">
      <c r="C33" s="87" t="s">
        <v>66</v>
      </c>
      <c r="D33" s="87"/>
      <c r="E33" s="87" t="s">
        <v>69</v>
      </c>
      <c r="F33" s="87"/>
      <c r="G33" s="70">
        <v>215220.16</v>
      </c>
      <c r="H33" s="65">
        <v>1.51</v>
      </c>
    </row>
    <row r="34" spans="3:8" x14ac:dyDescent="0.25">
      <c r="C34" s="87" t="s">
        <v>67</v>
      </c>
      <c r="D34" s="87"/>
      <c r="E34" s="87" t="s">
        <v>71</v>
      </c>
      <c r="F34" s="87"/>
      <c r="G34" s="70">
        <v>298080.39</v>
      </c>
      <c r="H34" s="65">
        <v>2.09</v>
      </c>
    </row>
    <row r="35" spans="3:8" x14ac:dyDescent="0.25">
      <c r="C35" s="87" t="s">
        <v>68</v>
      </c>
      <c r="D35" s="87"/>
      <c r="E35" s="87" t="s">
        <v>10</v>
      </c>
      <c r="F35" s="87"/>
      <c r="G35" s="72">
        <v>47272.19</v>
      </c>
      <c r="H35" s="65">
        <v>0.33</v>
      </c>
    </row>
    <row r="36" spans="3:8" x14ac:dyDescent="0.25">
      <c r="C36" s="87" t="s">
        <v>70</v>
      </c>
      <c r="D36" s="87"/>
      <c r="E36" s="87" t="s">
        <v>74</v>
      </c>
      <c r="F36" s="87"/>
      <c r="G36" s="72">
        <v>61991.86</v>
      </c>
      <c r="H36" s="65">
        <v>0.43</v>
      </c>
    </row>
    <row r="37" spans="3:8" x14ac:dyDescent="0.25">
      <c r="C37" s="87" t="s">
        <v>72</v>
      </c>
      <c r="D37" s="87"/>
      <c r="E37" s="87" t="s">
        <v>76</v>
      </c>
      <c r="F37" s="87"/>
      <c r="G37" s="70">
        <v>451772.36</v>
      </c>
      <c r="H37" s="65">
        <v>3.16</v>
      </c>
    </row>
    <row r="38" spans="3:8" x14ac:dyDescent="0.25">
      <c r="C38" s="87" t="s">
        <v>73</v>
      </c>
      <c r="D38" s="87"/>
      <c r="E38" s="87" t="s">
        <v>78</v>
      </c>
      <c r="F38" s="87"/>
      <c r="G38" s="72">
        <v>15649.91</v>
      </c>
      <c r="H38" s="65">
        <v>0.11</v>
      </c>
    </row>
    <row r="39" spans="3:8" x14ac:dyDescent="0.25">
      <c r="C39" s="87" t="s">
        <v>75</v>
      </c>
      <c r="D39" s="87"/>
      <c r="E39" s="87" t="s">
        <v>80</v>
      </c>
      <c r="F39" s="87"/>
      <c r="G39" s="72">
        <v>92500.05</v>
      </c>
      <c r="H39" s="65">
        <v>0.65</v>
      </c>
    </row>
    <row r="40" spans="3:8" x14ac:dyDescent="0.25">
      <c r="C40" s="87" t="s">
        <v>77</v>
      </c>
      <c r="D40" s="87"/>
      <c r="E40" s="87" t="s">
        <v>13</v>
      </c>
      <c r="F40" s="87"/>
      <c r="G40" s="70">
        <v>258270.29</v>
      </c>
      <c r="H40" s="65">
        <v>1.81</v>
      </c>
    </row>
    <row r="41" spans="3:8" x14ac:dyDescent="0.25">
      <c r="C41" s="87" t="s">
        <v>79</v>
      </c>
      <c r="D41" s="87"/>
      <c r="E41" s="87" t="s">
        <v>15</v>
      </c>
      <c r="F41" s="87"/>
      <c r="G41" s="70">
        <v>149341.37</v>
      </c>
      <c r="H41" s="65">
        <v>1.05</v>
      </c>
    </row>
    <row r="42" spans="3:8" x14ac:dyDescent="0.25">
      <c r="C42" s="87" t="s">
        <v>81</v>
      </c>
      <c r="D42" s="87"/>
      <c r="E42" s="87" t="s">
        <v>16</v>
      </c>
      <c r="F42" s="87"/>
      <c r="G42" s="70">
        <v>347804.67</v>
      </c>
      <c r="H42" s="65">
        <v>2.4300000000000002</v>
      </c>
    </row>
    <row r="43" spans="3:8" x14ac:dyDescent="0.25">
      <c r="C43" s="87" t="s">
        <v>82</v>
      </c>
      <c r="D43" s="87"/>
      <c r="E43" s="87" t="s">
        <v>85</v>
      </c>
      <c r="F43" s="87"/>
      <c r="G43" s="72">
        <v>52545.75</v>
      </c>
      <c r="H43" s="65">
        <v>0.37</v>
      </c>
    </row>
    <row r="44" spans="3:8" x14ac:dyDescent="0.25">
      <c r="C44" s="87" t="s">
        <v>83</v>
      </c>
      <c r="D44" s="87"/>
      <c r="E44" s="87" t="s">
        <v>87</v>
      </c>
      <c r="F44" s="87"/>
      <c r="G44" s="70">
        <v>443295.03</v>
      </c>
      <c r="H44" s="65">
        <v>3.1</v>
      </c>
    </row>
    <row r="45" spans="3:8" x14ac:dyDescent="0.25">
      <c r="C45" s="87" t="s">
        <v>84</v>
      </c>
      <c r="D45" s="87"/>
      <c r="E45" s="87" t="s">
        <v>89</v>
      </c>
      <c r="F45" s="87"/>
      <c r="G45" s="72">
        <v>95765.8</v>
      </c>
      <c r="H45" s="65">
        <v>0.67</v>
      </c>
    </row>
    <row r="46" spans="3:8" x14ac:dyDescent="0.25">
      <c r="C46" s="84" t="s">
        <v>92</v>
      </c>
      <c r="D46" s="84"/>
      <c r="E46" s="84"/>
      <c r="F46" s="84"/>
      <c r="G46" s="74">
        <v>3843674.7</v>
      </c>
      <c r="H46" s="66">
        <v>26.9</v>
      </c>
    </row>
    <row r="47" spans="3:8" x14ac:dyDescent="0.25">
      <c r="C47" s="90"/>
      <c r="D47" s="90"/>
      <c r="E47" s="90"/>
      <c r="F47" s="90"/>
      <c r="G47" s="90"/>
      <c r="H47" s="90"/>
    </row>
    <row r="48" spans="3:8" x14ac:dyDescent="0.25">
      <c r="C48" s="84" t="s">
        <v>53</v>
      </c>
      <c r="D48" s="84"/>
      <c r="E48" s="84"/>
      <c r="F48" s="87" t="s">
        <v>54</v>
      </c>
      <c r="G48" s="87"/>
      <c r="H48" s="87"/>
    </row>
    <row r="49" spans="3:8" x14ac:dyDescent="0.25">
      <c r="C49" s="84" t="s">
        <v>55</v>
      </c>
      <c r="D49" s="84"/>
      <c r="E49" s="84"/>
      <c r="F49" s="87" t="s">
        <v>94</v>
      </c>
      <c r="G49" s="87"/>
      <c r="H49" s="87"/>
    </row>
    <row r="50" spans="3:8" x14ac:dyDescent="0.25">
      <c r="C50" s="86" t="s">
        <v>57</v>
      </c>
      <c r="D50" s="86"/>
      <c r="E50" s="86" t="s">
        <v>58</v>
      </c>
      <c r="F50" s="86"/>
      <c r="G50" s="63" t="s">
        <v>59</v>
      </c>
      <c r="H50" s="63" t="s">
        <v>60</v>
      </c>
    </row>
    <row r="51" spans="3:8" x14ac:dyDescent="0.25">
      <c r="C51" s="87" t="s">
        <v>61</v>
      </c>
      <c r="D51" s="87"/>
      <c r="E51" s="87" t="s">
        <v>5</v>
      </c>
      <c r="F51" s="87"/>
      <c r="G51" s="71">
        <v>5475.84</v>
      </c>
      <c r="H51" s="65">
        <v>0.04</v>
      </c>
    </row>
    <row r="52" spans="3:8" x14ac:dyDescent="0.25">
      <c r="C52" s="87" t="s">
        <v>63</v>
      </c>
      <c r="D52" s="87"/>
      <c r="E52" s="87" t="s">
        <v>6</v>
      </c>
      <c r="F52" s="87"/>
      <c r="G52" s="70">
        <v>402817.08</v>
      </c>
      <c r="H52" s="65">
        <v>2.82</v>
      </c>
    </row>
    <row r="53" spans="3:8" x14ac:dyDescent="0.25">
      <c r="C53" s="87" t="s">
        <v>64</v>
      </c>
      <c r="D53" s="87"/>
      <c r="E53" s="87" t="s">
        <v>7</v>
      </c>
      <c r="F53" s="87"/>
      <c r="G53" s="70">
        <v>418376.86</v>
      </c>
      <c r="H53" s="65">
        <v>2.93</v>
      </c>
    </row>
    <row r="54" spans="3:8" x14ac:dyDescent="0.25">
      <c r="C54" s="87" t="s">
        <v>65</v>
      </c>
      <c r="D54" s="87"/>
      <c r="E54" s="87" t="s">
        <v>8</v>
      </c>
      <c r="F54" s="87"/>
      <c r="G54" s="70">
        <v>487495.09</v>
      </c>
      <c r="H54" s="65">
        <v>3.41</v>
      </c>
    </row>
    <row r="55" spans="3:8" x14ac:dyDescent="0.25">
      <c r="C55" s="87" t="s">
        <v>66</v>
      </c>
      <c r="D55" s="87"/>
      <c r="E55" s="87" t="s">
        <v>69</v>
      </c>
      <c r="F55" s="87"/>
      <c r="G55" s="70">
        <v>215220.16</v>
      </c>
      <c r="H55" s="65">
        <v>1.51</v>
      </c>
    </row>
    <row r="56" spans="3:8" x14ac:dyDescent="0.25">
      <c r="C56" s="87" t="s">
        <v>67</v>
      </c>
      <c r="D56" s="87"/>
      <c r="E56" s="87" t="s">
        <v>71</v>
      </c>
      <c r="F56" s="87"/>
      <c r="G56" s="70">
        <v>298080.39</v>
      </c>
      <c r="H56" s="65">
        <v>2.09</v>
      </c>
    </row>
    <row r="57" spans="3:8" x14ac:dyDescent="0.25">
      <c r="C57" s="87" t="s">
        <v>68</v>
      </c>
      <c r="D57" s="87"/>
      <c r="E57" s="87" t="s">
        <v>10</v>
      </c>
      <c r="F57" s="87"/>
      <c r="G57" s="72">
        <v>47272.19</v>
      </c>
      <c r="H57" s="65">
        <v>0.33</v>
      </c>
    </row>
    <row r="58" spans="3:8" x14ac:dyDescent="0.25">
      <c r="C58" s="87" t="s">
        <v>70</v>
      </c>
      <c r="D58" s="87"/>
      <c r="E58" s="87" t="s">
        <v>74</v>
      </c>
      <c r="F58" s="87"/>
      <c r="G58" s="72">
        <v>61991.86</v>
      </c>
      <c r="H58" s="65">
        <v>0.43</v>
      </c>
    </row>
    <row r="59" spans="3:8" x14ac:dyDescent="0.25">
      <c r="C59" s="87" t="s">
        <v>72</v>
      </c>
      <c r="D59" s="87"/>
      <c r="E59" s="87" t="s">
        <v>76</v>
      </c>
      <c r="F59" s="87"/>
      <c r="G59" s="70">
        <v>451772.36</v>
      </c>
      <c r="H59" s="65">
        <v>3.16</v>
      </c>
    </row>
    <row r="60" spans="3:8" x14ac:dyDescent="0.25">
      <c r="C60" s="87" t="s">
        <v>73</v>
      </c>
      <c r="D60" s="87"/>
      <c r="E60" s="87" t="s">
        <v>78</v>
      </c>
      <c r="F60" s="87"/>
      <c r="G60" s="72">
        <v>15649.91</v>
      </c>
      <c r="H60" s="65">
        <v>0.11</v>
      </c>
    </row>
    <row r="61" spans="3:8" x14ac:dyDescent="0.25">
      <c r="C61" s="87" t="s">
        <v>75</v>
      </c>
      <c r="D61" s="87"/>
      <c r="E61" s="87" t="s">
        <v>80</v>
      </c>
      <c r="F61" s="87"/>
      <c r="G61" s="72">
        <v>92500.05</v>
      </c>
      <c r="H61" s="65">
        <v>0.65</v>
      </c>
    </row>
    <row r="62" spans="3:8" x14ac:dyDescent="0.25">
      <c r="C62" s="87" t="s">
        <v>77</v>
      </c>
      <c r="D62" s="87"/>
      <c r="E62" s="87" t="s">
        <v>13</v>
      </c>
      <c r="F62" s="87"/>
      <c r="G62" s="70">
        <v>258270.29</v>
      </c>
      <c r="H62" s="65">
        <v>1.81</v>
      </c>
    </row>
    <row r="63" spans="3:8" x14ac:dyDescent="0.25">
      <c r="C63" s="87" t="s">
        <v>79</v>
      </c>
      <c r="D63" s="87"/>
      <c r="E63" s="87" t="s">
        <v>15</v>
      </c>
      <c r="F63" s="87"/>
      <c r="G63" s="70">
        <v>149341.37</v>
      </c>
      <c r="H63" s="65">
        <v>1.05</v>
      </c>
    </row>
    <row r="64" spans="3:8" x14ac:dyDescent="0.25">
      <c r="C64" s="87" t="s">
        <v>81</v>
      </c>
      <c r="D64" s="87"/>
      <c r="E64" s="87" t="s">
        <v>16</v>
      </c>
      <c r="F64" s="87"/>
      <c r="G64" s="70">
        <v>347804.67</v>
      </c>
      <c r="H64" s="65">
        <v>2.4300000000000002</v>
      </c>
    </row>
    <row r="65" spans="3:10" x14ac:dyDescent="0.25">
      <c r="C65" s="87" t="s">
        <v>82</v>
      </c>
      <c r="D65" s="87"/>
      <c r="E65" s="87" t="s">
        <v>85</v>
      </c>
      <c r="F65" s="87"/>
      <c r="G65" s="72">
        <v>52545.75</v>
      </c>
      <c r="H65" s="65">
        <v>0.37</v>
      </c>
    </row>
    <row r="66" spans="3:10" x14ac:dyDescent="0.25">
      <c r="C66" s="87" t="s">
        <v>83</v>
      </c>
      <c r="D66" s="87"/>
      <c r="E66" s="87" t="s">
        <v>87</v>
      </c>
      <c r="F66" s="87"/>
      <c r="G66" s="70">
        <v>443295.03</v>
      </c>
      <c r="H66" s="65">
        <v>3.1</v>
      </c>
    </row>
    <row r="67" spans="3:10" x14ac:dyDescent="0.25">
      <c r="C67" s="87" t="s">
        <v>84</v>
      </c>
      <c r="D67" s="87"/>
      <c r="E67" s="87" t="s">
        <v>89</v>
      </c>
      <c r="F67" s="87"/>
      <c r="G67" s="72">
        <v>95765.8</v>
      </c>
      <c r="H67" s="65">
        <v>0.67</v>
      </c>
    </row>
    <row r="68" spans="3:10" x14ac:dyDescent="0.25">
      <c r="C68" s="84" t="s">
        <v>92</v>
      </c>
      <c r="D68" s="84"/>
      <c r="E68" s="84"/>
      <c r="F68" s="84"/>
      <c r="G68" s="74">
        <v>3843674.7</v>
      </c>
      <c r="H68" s="66">
        <v>26.9</v>
      </c>
    </row>
    <row r="69" spans="3:10" x14ac:dyDescent="0.25">
      <c r="C69" s="90"/>
      <c r="D69" s="90"/>
      <c r="E69" s="90"/>
      <c r="F69" s="90"/>
      <c r="G69" s="90"/>
      <c r="H69" s="90"/>
    </row>
    <row r="70" spans="3:10" x14ac:dyDescent="0.25">
      <c r="C70" s="84" t="s">
        <v>53</v>
      </c>
      <c r="D70" s="84"/>
      <c r="E70" s="84"/>
      <c r="F70" s="87" t="s">
        <v>54</v>
      </c>
      <c r="G70" s="87"/>
      <c r="H70" s="87"/>
    </row>
    <row r="71" spans="3:10" x14ac:dyDescent="0.25">
      <c r="C71" s="84" t="s">
        <v>55</v>
      </c>
      <c r="D71" s="84"/>
      <c r="E71" s="84"/>
      <c r="F71" s="87" t="s">
        <v>95</v>
      </c>
      <c r="G71" s="87"/>
      <c r="H71" s="87"/>
    </row>
    <row r="72" spans="3:10" x14ac:dyDescent="0.25">
      <c r="C72" s="86" t="s">
        <v>57</v>
      </c>
      <c r="D72" s="86"/>
      <c r="E72" s="86" t="s">
        <v>58</v>
      </c>
      <c r="F72" s="86"/>
      <c r="G72" s="63" t="s">
        <v>59</v>
      </c>
      <c r="H72" s="63" t="s">
        <v>60</v>
      </c>
    </row>
    <row r="73" spans="3:10" x14ac:dyDescent="0.25">
      <c r="C73" s="87" t="s">
        <v>61</v>
      </c>
      <c r="D73" s="87"/>
      <c r="E73" s="87" t="s">
        <v>96</v>
      </c>
      <c r="F73" s="87"/>
      <c r="G73" s="70">
        <v>430558</v>
      </c>
      <c r="H73" s="65">
        <v>3.01</v>
      </c>
    </row>
    <row r="74" spans="3:10" x14ac:dyDescent="0.25">
      <c r="C74" s="87" t="s">
        <v>63</v>
      </c>
      <c r="D74" s="87"/>
      <c r="E74" s="87" t="s">
        <v>97</v>
      </c>
      <c r="F74" s="87"/>
      <c r="G74" s="70">
        <v>876300.91</v>
      </c>
      <c r="H74" s="65">
        <v>6.13</v>
      </c>
    </row>
    <row r="75" spans="3:10" x14ac:dyDescent="0.25">
      <c r="C75" s="84" t="s">
        <v>92</v>
      </c>
      <c r="D75" s="84"/>
      <c r="E75" s="84"/>
      <c r="F75" s="84"/>
      <c r="G75" s="74">
        <v>1306858.9099999999</v>
      </c>
      <c r="H75" s="67">
        <v>9.15</v>
      </c>
    </row>
    <row r="76" spans="3:10" x14ac:dyDescent="0.25">
      <c r="C76" s="84" t="s">
        <v>98</v>
      </c>
      <c r="D76" s="84"/>
      <c r="E76" s="84"/>
      <c r="F76" s="84"/>
      <c r="G76" s="75">
        <v>14287198.41</v>
      </c>
      <c r="H76" s="68">
        <v>100</v>
      </c>
      <c r="J76" s="83"/>
    </row>
    <row r="79" spans="3:10" x14ac:dyDescent="0.25">
      <c r="C79" s="89" t="s">
        <v>57</v>
      </c>
      <c r="D79" s="89"/>
      <c r="E79" s="89" t="s">
        <v>58</v>
      </c>
      <c r="F79" s="89"/>
      <c r="G79" s="76" t="s">
        <v>59</v>
      </c>
      <c r="H79" s="76" t="s">
        <v>60</v>
      </c>
    </row>
    <row r="80" spans="3:10" x14ac:dyDescent="0.25">
      <c r="C80" s="88" t="s">
        <v>61</v>
      </c>
      <c r="D80" s="88"/>
      <c r="E80" s="88" t="s">
        <v>62</v>
      </c>
      <c r="F80" s="88"/>
      <c r="G80" s="80">
        <v>3819542.42</v>
      </c>
      <c r="H80" s="77">
        <v>72.16</v>
      </c>
    </row>
    <row r="81" spans="3:8" x14ac:dyDescent="0.25">
      <c r="C81" s="88" t="s">
        <v>99</v>
      </c>
      <c r="D81" s="88"/>
      <c r="E81" s="88" t="s">
        <v>62</v>
      </c>
      <c r="F81" s="88"/>
      <c r="G81" s="80">
        <v>3819542.42</v>
      </c>
      <c r="H81" s="77">
        <v>72.16</v>
      </c>
    </row>
    <row r="82" spans="3:8" x14ac:dyDescent="0.25">
      <c r="C82" s="85" t="s">
        <v>100</v>
      </c>
      <c r="D82" s="85"/>
      <c r="E82" s="85" t="s">
        <v>101</v>
      </c>
      <c r="F82" s="85"/>
      <c r="G82" s="81">
        <v>217911.6</v>
      </c>
      <c r="H82" s="78">
        <v>4.12</v>
      </c>
    </row>
    <row r="83" spans="3:8" x14ac:dyDescent="0.25">
      <c r="C83" s="85" t="s">
        <v>102</v>
      </c>
      <c r="D83" s="85"/>
      <c r="E83" s="85" t="s">
        <v>103</v>
      </c>
      <c r="F83" s="85"/>
      <c r="G83" s="81">
        <v>532860</v>
      </c>
      <c r="H83" s="79">
        <v>10.07</v>
      </c>
    </row>
    <row r="84" spans="3:8" x14ac:dyDescent="0.25">
      <c r="C84" s="85" t="s">
        <v>104</v>
      </c>
      <c r="D84" s="85"/>
      <c r="E84" s="85" t="s">
        <v>105</v>
      </c>
      <c r="F84" s="85"/>
      <c r="G84" s="81">
        <v>386941.14</v>
      </c>
      <c r="H84" s="78">
        <v>7.31</v>
      </c>
    </row>
    <row r="85" spans="3:8" x14ac:dyDescent="0.25">
      <c r="C85" s="85" t="s">
        <v>106</v>
      </c>
      <c r="D85" s="85"/>
      <c r="E85" s="85" t="s">
        <v>107</v>
      </c>
      <c r="F85" s="85"/>
      <c r="G85" s="81">
        <v>252000</v>
      </c>
      <c r="H85" s="78">
        <v>4.76</v>
      </c>
    </row>
    <row r="86" spans="3:8" x14ac:dyDescent="0.25">
      <c r="C86" s="85" t="s">
        <v>108</v>
      </c>
      <c r="D86" s="85"/>
      <c r="E86" s="85" t="s">
        <v>109</v>
      </c>
      <c r="F86" s="85"/>
      <c r="G86" s="81">
        <v>252000</v>
      </c>
      <c r="H86" s="78">
        <v>4.76</v>
      </c>
    </row>
    <row r="87" spans="3:8" x14ac:dyDescent="0.25">
      <c r="C87" s="85" t="s">
        <v>110</v>
      </c>
      <c r="D87" s="85"/>
      <c r="E87" s="85" t="s">
        <v>111</v>
      </c>
      <c r="F87" s="85"/>
      <c r="G87" s="82">
        <v>34800</v>
      </c>
      <c r="H87" s="78">
        <v>0.66</v>
      </c>
    </row>
    <row r="88" spans="3:8" x14ac:dyDescent="0.25">
      <c r="C88" s="85" t="s">
        <v>112</v>
      </c>
      <c r="D88" s="85"/>
      <c r="E88" s="85" t="s">
        <v>113</v>
      </c>
      <c r="F88" s="85"/>
      <c r="G88" s="82">
        <v>27680</v>
      </c>
      <c r="H88" s="78">
        <v>0.52</v>
      </c>
    </row>
    <row r="89" spans="3:8" x14ac:dyDescent="0.25">
      <c r="C89" s="85" t="s">
        <v>114</v>
      </c>
      <c r="D89" s="85"/>
      <c r="E89" s="85" t="s">
        <v>115</v>
      </c>
      <c r="F89" s="85"/>
      <c r="G89" s="81">
        <v>128979.34</v>
      </c>
      <c r="H89" s="78">
        <v>2.44</v>
      </c>
    </row>
    <row r="90" spans="3:8" x14ac:dyDescent="0.25">
      <c r="C90" s="85" t="s">
        <v>116</v>
      </c>
      <c r="D90" s="85"/>
      <c r="E90" s="85" t="s">
        <v>117</v>
      </c>
      <c r="F90" s="85"/>
      <c r="G90" s="81">
        <v>688483.51</v>
      </c>
      <c r="H90" s="79">
        <v>13.01</v>
      </c>
    </row>
    <row r="91" spans="3:8" x14ac:dyDescent="0.25">
      <c r="C91" s="85" t="s">
        <v>118</v>
      </c>
      <c r="D91" s="85"/>
      <c r="E91" s="85" t="s">
        <v>119</v>
      </c>
      <c r="F91" s="85"/>
      <c r="G91" s="81">
        <v>153945.94</v>
      </c>
      <c r="H91" s="78">
        <v>2.91</v>
      </c>
    </row>
    <row r="92" spans="3:8" x14ac:dyDescent="0.25">
      <c r="C92" s="85" t="s">
        <v>120</v>
      </c>
      <c r="D92" s="85"/>
      <c r="E92" s="85" t="s">
        <v>121</v>
      </c>
      <c r="F92" s="85"/>
      <c r="G92" s="81">
        <v>414041.71</v>
      </c>
      <c r="H92" s="78">
        <v>7.82</v>
      </c>
    </row>
    <row r="93" spans="3:8" x14ac:dyDescent="0.25">
      <c r="C93" s="85" t="s">
        <v>122</v>
      </c>
      <c r="D93" s="85"/>
      <c r="E93" s="85" t="s">
        <v>123</v>
      </c>
      <c r="F93" s="85"/>
      <c r="G93" s="81">
        <v>348384.48</v>
      </c>
      <c r="H93" s="78">
        <v>6.58</v>
      </c>
    </row>
    <row r="94" spans="3:8" x14ac:dyDescent="0.25">
      <c r="C94" s="85" t="s">
        <v>124</v>
      </c>
      <c r="D94" s="85"/>
      <c r="E94" s="85" t="s">
        <v>125</v>
      </c>
      <c r="F94" s="85"/>
      <c r="G94" s="82">
        <v>67259.5</v>
      </c>
      <c r="H94" s="78">
        <v>1.27</v>
      </c>
    </row>
    <row r="95" spans="3:8" x14ac:dyDescent="0.25">
      <c r="C95" s="85" t="s">
        <v>126</v>
      </c>
      <c r="D95" s="85"/>
      <c r="E95" s="85" t="s">
        <v>127</v>
      </c>
      <c r="F95" s="85"/>
      <c r="G95" s="81">
        <v>314255.2</v>
      </c>
      <c r="H95" s="78">
        <v>5.94</v>
      </c>
    </row>
  </sheetData>
  <mergeCells count="176">
    <mergeCell ref="C2:E2"/>
    <mergeCell ref="F2:H2"/>
    <mergeCell ref="C3:E3"/>
    <mergeCell ref="F3:H3"/>
    <mergeCell ref="C8:D8"/>
    <mergeCell ref="E8:F8"/>
    <mergeCell ref="C9:D9"/>
    <mergeCell ref="E9:F9"/>
    <mergeCell ref="C6:D6"/>
    <mergeCell ref="E6:F6"/>
    <mergeCell ref="C7:D7"/>
    <mergeCell ref="E7:F7"/>
    <mergeCell ref="C4:D4"/>
    <mergeCell ref="E4:F4"/>
    <mergeCell ref="C5:D5"/>
    <mergeCell ref="E5:F5"/>
    <mergeCell ref="C14:D14"/>
    <mergeCell ref="E14:F14"/>
    <mergeCell ref="C15:D15"/>
    <mergeCell ref="E15:F15"/>
    <mergeCell ref="C12:D12"/>
    <mergeCell ref="E12:F12"/>
    <mergeCell ref="C13:D13"/>
    <mergeCell ref="E13:F13"/>
    <mergeCell ref="C10:D10"/>
    <mergeCell ref="E10:F10"/>
    <mergeCell ref="C11:D11"/>
    <mergeCell ref="E11:F11"/>
    <mergeCell ref="C20:D20"/>
    <mergeCell ref="E20:F20"/>
    <mergeCell ref="C21:D21"/>
    <mergeCell ref="E21:F21"/>
    <mergeCell ref="C18:D18"/>
    <mergeCell ref="E18:F18"/>
    <mergeCell ref="C19:D19"/>
    <mergeCell ref="E19:F19"/>
    <mergeCell ref="C16:D16"/>
    <mergeCell ref="E16:F16"/>
    <mergeCell ref="C17:D17"/>
    <mergeCell ref="E17:F17"/>
    <mergeCell ref="C27:E27"/>
    <mergeCell ref="F27:H27"/>
    <mergeCell ref="C24:D24"/>
    <mergeCell ref="E24:F24"/>
    <mergeCell ref="C25:F25"/>
    <mergeCell ref="C26:H26"/>
    <mergeCell ref="C22:D22"/>
    <mergeCell ref="E22:F22"/>
    <mergeCell ref="C23:D23"/>
    <mergeCell ref="E23:F23"/>
    <mergeCell ref="C32:D32"/>
    <mergeCell ref="E32:F32"/>
    <mergeCell ref="C33:D33"/>
    <mergeCell ref="E33:F33"/>
    <mergeCell ref="C30:D30"/>
    <mergeCell ref="E30:F30"/>
    <mergeCell ref="C31:D31"/>
    <mergeCell ref="E31:F31"/>
    <mergeCell ref="C28:D28"/>
    <mergeCell ref="E28:F28"/>
    <mergeCell ref="C29:D29"/>
    <mergeCell ref="E29:F29"/>
    <mergeCell ref="C38:D38"/>
    <mergeCell ref="E38:F38"/>
    <mergeCell ref="C39:D39"/>
    <mergeCell ref="E39:F39"/>
    <mergeCell ref="C36:D36"/>
    <mergeCell ref="E36:F36"/>
    <mergeCell ref="C37:D37"/>
    <mergeCell ref="E37:F37"/>
    <mergeCell ref="C34:D34"/>
    <mergeCell ref="E34:F34"/>
    <mergeCell ref="C35:D35"/>
    <mergeCell ref="E35:F35"/>
    <mergeCell ref="C44:D44"/>
    <mergeCell ref="E44:F44"/>
    <mergeCell ref="C45:D45"/>
    <mergeCell ref="E45:F45"/>
    <mergeCell ref="C42:D42"/>
    <mergeCell ref="E42:F42"/>
    <mergeCell ref="C43:D43"/>
    <mergeCell ref="E43:F43"/>
    <mergeCell ref="C40:D40"/>
    <mergeCell ref="E40:F40"/>
    <mergeCell ref="C41:D41"/>
    <mergeCell ref="E41:F41"/>
    <mergeCell ref="C52:D52"/>
    <mergeCell ref="E52:F52"/>
    <mergeCell ref="C53:D53"/>
    <mergeCell ref="E53:F53"/>
    <mergeCell ref="C50:D50"/>
    <mergeCell ref="E50:F50"/>
    <mergeCell ref="C51:D51"/>
    <mergeCell ref="E51:F51"/>
    <mergeCell ref="C46:F46"/>
    <mergeCell ref="C47:H47"/>
    <mergeCell ref="C48:E48"/>
    <mergeCell ref="F48:H48"/>
    <mergeCell ref="C49:E49"/>
    <mergeCell ref="F49:H49"/>
    <mergeCell ref="C58:D58"/>
    <mergeCell ref="E58:F58"/>
    <mergeCell ref="C59:D59"/>
    <mergeCell ref="E59:F59"/>
    <mergeCell ref="C56:D56"/>
    <mergeCell ref="E56:F56"/>
    <mergeCell ref="C57:D57"/>
    <mergeCell ref="E57:F57"/>
    <mergeCell ref="C54:D54"/>
    <mergeCell ref="E54:F54"/>
    <mergeCell ref="C55:D55"/>
    <mergeCell ref="E55:F55"/>
    <mergeCell ref="C64:D64"/>
    <mergeCell ref="E64:F64"/>
    <mergeCell ref="C65:D65"/>
    <mergeCell ref="E65:F65"/>
    <mergeCell ref="C62:D62"/>
    <mergeCell ref="E62:F62"/>
    <mergeCell ref="C63:D63"/>
    <mergeCell ref="E63:F63"/>
    <mergeCell ref="C60:D60"/>
    <mergeCell ref="E60:F60"/>
    <mergeCell ref="C61:D61"/>
    <mergeCell ref="E61:F61"/>
    <mergeCell ref="C68:F68"/>
    <mergeCell ref="C69:H69"/>
    <mergeCell ref="C70:E70"/>
    <mergeCell ref="F70:H70"/>
    <mergeCell ref="C71:E71"/>
    <mergeCell ref="F71:H71"/>
    <mergeCell ref="C66:D66"/>
    <mergeCell ref="E66:F66"/>
    <mergeCell ref="C67:D67"/>
    <mergeCell ref="E67:F67"/>
    <mergeCell ref="C72:D72"/>
    <mergeCell ref="E72:F72"/>
    <mergeCell ref="C73:D73"/>
    <mergeCell ref="E73:F73"/>
    <mergeCell ref="E87:F87"/>
    <mergeCell ref="C88:D88"/>
    <mergeCell ref="E88:F88"/>
    <mergeCell ref="C83:D83"/>
    <mergeCell ref="E83:F83"/>
    <mergeCell ref="C84:D84"/>
    <mergeCell ref="E84:F84"/>
    <mergeCell ref="C85:D85"/>
    <mergeCell ref="E85:F85"/>
    <mergeCell ref="C80:D80"/>
    <mergeCell ref="E80:F80"/>
    <mergeCell ref="C81:D81"/>
    <mergeCell ref="E81:F81"/>
    <mergeCell ref="C82:D82"/>
    <mergeCell ref="E82:F82"/>
    <mergeCell ref="C79:D79"/>
    <mergeCell ref="E79:F79"/>
    <mergeCell ref="C74:D74"/>
    <mergeCell ref="E74:F74"/>
    <mergeCell ref="C75:F75"/>
    <mergeCell ref="C76:F76"/>
    <mergeCell ref="C95:D95"/>
    <mergeCell ref="E95:F95"/>
    <mergeCell ref="C92:D92"/>
    <mergeCell ref="E92:F92"/>
    <mergeCell ref="C93:D93"/>
    <mergeCell ref="E93:F93"/>
    <mergeCell ref="C94:D94"/>
    <mergeCell ref="E94:F94"/>
    <mergeCell ref="C89:D89"/>
    <mergeCell ref="E89:F89"/>
    <mergeCell ref="C90:D90"/>
    <mergeCell ref="E90:F90"/>
    <mergeCell ref="C91:D91"/>
    <mergeCell ref="E91:F91"/>
    <mergeCell ref="C86:D86"/>
    <mergeCell ref="E86:F86"/>
    <mergeCell ref="C87:D8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5314-3853-4E4F-8FC3-C61FB5538880}">
  <dimension ref="C2:K26"/>
  <sheetViews>
    <sheetView workbookViewId="0">
      <selection activeCell="J10" sqref="J10"/>
    </sheetView>
  </sheetViews>
  <sheetFormatPr defaultRowHeight="13.2" x14ac:dyDescent="0.25"/>
  <cols>
    <col min="6" max="6" width="43.6640625" customWidth="1"/>
    <col min="7" max="10" width="12.33203125" customWidth="1"/>
    <col min="11" max="11" width="13" customWidth="1"/>
    <col min="13" max="13" width="11.5546875" bestFit="1" customWidth="1"/>
  </cols>
  <sheetData>
    <row r="2" spans="3:11" x14ac:dyDescent="0.25">
      <c r="C2" s="84" t="s">
        <v>53</v>
      </c>
      <c r="D2" s="84"/>
      <c r="E2" s="84"/>
      <c r="F2" s="87" t="s">
        <v>54</v>
      </c>
      <c r="G2" s="87"/>
      <c r="H2" s="87"/>
      <c r="I2" s="87"/>
      <c r="J2" s="87"/>
      <c r="K2" s="87"/>
    </row>
    <row r="3" spans="3:11" x14ac:dyDescent="0.25">
      <c r="C3" s="84" t="s">
        <v>55</v>
      </c>
      <c r="D3" s="84"/>
      <c r="E3" s="84"/>
      <c r="F3" s="87" t="s">
        <v>56</v>
      </c>
      <c r="G3" s="87"/>
      <c r="H3" s="87"/>
      <c r="I3" s="87"/>
      <c r="J3" s="87"/>
      <c r="K3" s="87"/>
    </row>
    <row r="4" spans="3:11" x14ac:dyDescent="0.25">
      <c r="C4" s="86" t="s">
        <v>57</v>
      </c>
      <c r="D4" s="86"/>
      <c r="E4" s="86" t="s">
        <v>58</v>
      </c>
      <c r="F4" s="86"/>
      <c r="G4" s="63" t="s">
        <v>128</v>
      </c>
      <c r="H4" s="63" t="s">
        <v>129</v>
      </c>
      <c r="I4" s="63" t="s">
        <v>130</v>
      </c>
      <c r="J4" s="63" t="s">
        <v>131</v>
      </c>
      <c r="K4" s="63" t="s">
        <v>23</v>
      </c>
    </row>
    <row r="5" spans="3:11" x14ac:dyDescent="0.25">
      <c r="C5" s="87" t="s">
        <v>61</v>
      </c>
      <c r="D5" s="87"/>
      <c r="E5" s="87" t="s">
        <v>132</v>
      </c>
      <c r="F5" s="87"/>
      <c r="G5" s="64">
        <v>1306858.9099999999</v>
      </c>
      <c r="H5" s="69"/>
      <c r="I5" s="69"/>
      <c r="J5" s="69"/>
      <c r="K5" s="64">
        <f>G5</f>
        <v>1306858.9099999999</v>
      </c>
    </row>
    <row r="6" spans="3:11" x14ac:dyDescent="0.25">
      <c r="C6" s="87" t="s">
        <v>63</v>
      </c>
      <c r="D6" s="87"/>
      <c r="E6" s="87" t="s">
        <v>20</v>
      </c>
      <c r="F6" s="87"/>
      <c r="G6" s="70">
        <v>363462</v>
      </c>
      <c r="H6" s="70"/>
      <c r="I6" s="70"/>
      <c r="J6" s="70"/>
      <c r="K6" s="64">
        <f t="shared" ref="K6:K24" si="0">SUM(G6:J6)</f>
        <v>363462</v>
      </c>
    </row>
    <row r="7" spans="3:11" x14ac:dyDescent="0.25">
      <c r="C7" s="87" t="s">
        <v>64</v>
      </c>
      <c r="D7" s="87"/>
      <c r="E7" s="87" t="s">
        <v>5</v>
      </c>
      <c r="F7" s="87"/>
      <c r="G7" s="71">
        <v>9030.44</v>
      </c>
      <c r="H7" s="71">
        <v>5475.84</v>
      </c>
      <c r="I7" s="71">
        <v>5475.84</v>
      </c>
      <c r="J7" s="71"/>
      <c r="K7" s="64">
        <f t="shared" si="0"/>
        <v>19982.120000000003</v>
      </c>
    </row>
    <row r="8" spans="3:11" x14ac:dyDescent="0.25">
      <c r="C8" s="87" t="s">
        <v>65</v>
      </c>
      <c r="D8" s="87"/>
      <c r="E8" s="87" t="s">
        <v>6</v>
      </c>
      <c r="F8" s="87"/>
      <c r="G8" s="72">
        <v>44507.37</v>
      </c>
      <c r="H8" s="72">
        <v>402817.08</v>
      </c>
      <c r="I8" s="72">
        <v>402817.08</v>
      </c>
      <c r="J8" s="72">
        <v>217911.6</v>
      </c>
      <c r="K8" s="64">
        <f t="shared" si="0"/>
        <v>1068053.1300000001</v>
      </c>
    </row>
    <row r="9" spans="3:11" x14ac:dyDescent="0.25">
      <c r="C9" s="87" t="s">
        <v>66</v>
      </c>
      <c r="D9" s="87"/>
      <c r="E9" s="87" t="s">
        <v>7</v>
      </c>
      <c r="F9" s="87"/>
      <c r="G9" s="72">
        <v>40467.57</v>
      </c>
      <c r="H9" s="72">
        <v>418376.86</v>
      </c>
      <c r="I9" s="72">
        <v>418376.86</v>
      </c>
      <c r="J9" s="72">
        <v>532860</v>
      </c>
      <c r="K9" s="64">
        <f t="shared" si="0"/>
        <v>1410081.29</v>
      </c>
    </row>
    <row r="10" spans="3:11" x14ac:dyDescent="0.25">
      <c r="C10" s="87" t="s">
        <v>67</v>
      </c>
      <c r="D10" s="87"/>
      <c r="E10" s="87" t="s">
        <v>8</v>
      </c>
      <c r="F10" s="87"/>
      <c r="G10" s="72">
        <v>61225.95</v>
      </c>
      <c r="H10" s="72">
        <v>487495.09</v>
      </c>
      <c r="I10" s="72">
        <v>487495.09</v>
      </c>
      <c r="J10" s="72">
        <v>386941.14</v>
      </c>
      <c r="K10" s="64">
        <f t="shared" si="0"/>
        <v>1423157.27</v>
      </c>
    </row>
    <row r="11" spans="3:11" x14ac:dyDescent="0.25">
      <c r="C11" s="87" t="s">
        <v>68</v>
      </c>
      <c r="D11" s="87"/>
      <c r="E11" s="87" t="s">
        <v>69</v>
      </c>
      <c r="F11" s="87"/>
      <c r="G11" s="72">
        <v>61315.12</v>
      </c>
      <c r="H11" s="72">
        <v>215220.16</v>
      </c>
      <c r="I11" s="72">
        <v>215220.16</v>
      </c>
      <c r="J11" s="72">
        <v>252000</v>
      </c>
      <c r="K11" s="64">
        <f t="shared" si="0"/>
        <v>743755.44000000006</v>
      </c>
    </row>
    <row r="12" spans="3:11" x14ac:dyDescent="0.25">
      <c r="C12" s="87" t="s">
        <v>70</v>
      </c>
      <c r="D12" s="87"/>
      <c r="E12" s="87" t="s">
        <v>71</v>
      </c>
      <c r="F12" s="87"/>
      <c r="G12" s="72">
        <v>75165.48</v>
      </c>
      <c r="H12" s="72">
        <v>298080.39</v>
      </c>
      <c r="I12" s="72">
        <v>298080.39</v>
      </c>
      <c r="J12" s="72">
        <v>252000</v>
      </c>
      <c r="K12" s="64">
        <f t="shared" si="0"/>
        <v>923326.26</v>
      </c>
    </row>
    <row r="13" spans="3:11" x14ac:dyDescent="0.25">
      <c r="C13" s="87" t="s">
        <v>72</v>
      </c>
      <c r="D13" s="87"/>
      <c r="E13" s="87" t="s">
        <v>10</v>
      </c>
      <c r="F13" s="87"/>
      <c r="G13" s="72">
        <v>11518.19</v>
      </c>
      <c r="H13" s="72">
        <v>47272.19</v>
      </c>
      <c r="I13" s="72">
        <v>47272.19</v>
      </c>
      <c r="J13" s="72"/>
      <c r="K13" s="64">
        <f t="shared" si="0"/>
        <v>106062.57</v>
      </c>
    </row>
    <row r="14" spans="3:11" x14ac:dyDescent="0.25">
      <c r="C14" s="87" t="s">
        <v>73</v>
      </c>
      <c r="D14" s="87"/>
      <c r="E14" s="87" t="s">
        <v>74</v>
      </c>
      <c r="F14" s="87"/>
      <c r="G14" s="73">
        <v>383.08</v>
      </c>
      <c r="H14" s="73">
        <v>61991.86</v>
      </c>
      <c r="I14" s="73">
        <v>61991.86</v>
      </c>
      <c r="J14" s="73">
        <v>34800</v>
      </c>
      <c r="K14" s="64">
        <f t="shared" si="0"/>
        <v>159166.79999999999</v>
      </c>
    </row>
    <row r="15" spans="3:11" x14ac:dyDescent="0.25">
      <c r="C15" s="87" t="s">
        <v>75</v>
      </c>
      <c r="D15" s="87"/>
      <c r="E15" s="87" t="s">
        <v>76</v>
      </c>
      <c r="F15" s="87"/>
      <c r="G15" s="70">
        <v>100389.19</v>
      </c>
      <c r="H15" s="70">
        <v>451772.36</v>
      </c>
      <c r="I15" s="70">
        <v>451772.36</v>
      </c>
      <c r="J15" s="70"/>
      <c r="K15" s="64">
        <f t="shared" si="0"/>
        <v>1003933.91</v>
      </c>
    </row>
    <row r="16" spans="3:11" x14ac:dyDescent="0.25">
      <c r="C16" s="87" t="s">
        <v>77</v>
      </c>
      <c r="D16" s="87"/>
      <c r="E16" s="87" t="s">
        <v>78</v>
      </c>
      <c r="F16" s="87"/>
      <c r="G16" s="72">
        <v>15229.02</v>
      </c>
      <c r="H16" s="72">
        <v>15649.91</v>
      </c>
      <c r="I16" s="72">
        <v>15649.91</v>
      </c>
      <c r="J16" s="72">
        <v>27680</v>
      </c>
      <c r="K16" s="64">
        <f t="shared" si="0"/>
        <v>74208.84</v>
      </c>
    </row>
    <row r="17" spans="3:11" x14ac:dyDescent="0.25">
      <c r="C17" s="87" t="s">
        <v>79</v>
      </c>
      <c r="D17" s="87"/>
      <c r="E17" s="87" t="s">
        <v>80</v>
      </c>
      <c r="F17" s="87"/>
      <c r="G17" s="71">
        <v>8468.8799999999992</v>
      </c>
      <c r="H17" s="71">
        <v>92500.05</v>
      </c>
      <c r="I17" s="71">
        <v>92500.05</v>
      </c>
      <c r="J17" s="71">
        <v>128979.34</v>
      </c>
      <c r="K17" s="64">
        <f t="shared" si="0"/>
        <v>322448.32</v>
      </c>
    </row>
    <row r="18" spans="3:11" x14ac:dyDescent="0.25">
      <c r="C18" s="87" t="s">
        <v>81</v>
      </c>
      <c r="D18" s="87"/>
      <c r="E18" s="87" t="s">
        <v>13</v>
      </c>
      <c r="F18" s="87"/>
      <c r="G18" s="72">
        <v>42280.56</v>
      </c>
      <c r="H18" s="72">
        <v>258270.29</v>
      </c>
      <c r="I18" s="72">
        <v>258270.29</v>
      </c>
      <c r="J18" s="72">
        <v>688483.51</v>
      </c>
      <c r="K18" s="64">
        <f t="shared" si="0"/>
        <v>1247304.6499999999</v>
      </c>
    </row>
    <row r="19" spans="3:11" x14ac:dyDescent="0.25">
      <c r="C19" s="87" t="s">
        <v>82</v>
      </c>
      <c r="D19" s="87"/>
      <c r="E19" s="87" t="s">
        <v>15</v>
      </c>
      <c r="F19" s="87"/>
      <c r="G19" s="71">
        <v>4030.94</v>
      </c>
      <c r="H19" s="71">
        <v>149341.37</v>
      </c>
      <c r="I19" s="71">
        <v>149341.37</v>
      </c>
      <c r="J19" s="71">
        <v>153945.94</v>
      </c>
      <c r="K19" s="64">
        <f t="shared" si="0"/>
        <v>456659.62</v>
      </c>
    </row>
    <row r="20" spans="3:11" x14ac:dyDescent="0.25">
      <c r="C20" s="87" t="s">
        <v>83</v>
      </c>
      <c r="D20" s="87"/>
      <c r="E20" s="87" t="s">
        <v>16</v>
      </c>
      <c r="F20" s="87"/>
      <c r="G20" s="72">
        <v>84575.65</v>
      </c>
      <c r="H20" s="72">
        <v>347804.67</v>
      </c>
      <c r="I20" s="72">
        <v>347804.67</v>
      </c>
      <c r="J20" s="72">
        <v>414041.71</v>
      </c>
      <c r="K20" s="64">
        <f t="shared" si="0"/>
        <v>1194226.7</v>
      </c>
    </row>
    <row r="21" spans="3:11" x14ac:dyDescent="0.25">
      <c r="C21" s="87" t="s">
        <v>84</v>
      </c>
      <c r="D21" s="87"/>
      <c r="E21" s="87" t="s">
        <v>85</v>
      </c>
      <c r="F21" s="87"/>
      <c r="G21" s="71">
        <v>6579.54</v>
      </c>
      <c r="H21" s="71">
        <v>52545.75</v>
      </c>
      <c r="I21" s="71">
        <v>52545.75</v>
      </c>
      <c r="J21" s="71">
        <v>348384.48</v>
      </c>
      <c r="K21" s="64">
        <f t="shared" si="0"/>
        <v>460055.52</v>
      </c>
    </row>
    <row r="22" spans="3:11" x14ac:dyDescent="0.25">
      <c r="C22" s="87" t="s">
        <v>86</v>
      </c>
      <c r="D22" s="87"/>
      <c r="E22" s="87" t="s">
        <v>87</v>
      </c>
      <c r="F22" s="87"/>
      <c r="G22" s="72">
        <v>87890.48</v>
      </c>
      <c r="H22" s="72">
        <v>443295.03</v>
      </c>
      <c r="I22" s="72">
        <v>443295.03</v>
      </c>
      <c r="J22" s="72">
        <v>67259.5</v>
      </c>
      <c r="K22" s="64">
        <f t="shared" si="0"/>
        <v>1041740.04</v>
      </c>
    </row>
    <row r="23" spans="3:11" x14ac:dyDescent="0.25">
      <c r="C23" s="87" t="s">
        <v>88</v>
      </c>
      <c r="D23" s="87"/>
      <c r="E23" s="87" t="s">
        <v>89</v>
      </c>
      <c r="F23" s="87"/>
      <c r="G23" s="72">
        <v>28267.85</v>
      </c>
      <c r="H23" s="72">
        <v>95765.8</v>
      </c>
      <c r="I23" s="72">
        <v>95765.8</v>
      </c>
      <c r="J23" s="72">
        <v>314255.2</v>
      </c>
      <c r="K23" s="64">
        <f t="shared" si="0"/>
        <v>534054.65</v>
      </c>
    </row>
    <row r="24" spans="3:11" x14ac:dyDescent="0.25">
      <c r="C24" s="87" t="s">
        <v>90</v>
      </c>
      <c r="D24" s="87"/>
      <c r="E24" s="87" t="s">
        <v>91</v>
      </c>
      <c r="F24" s="87"/>
      <c r="G24" s="70">
        <v>428660.37</v>
      </c>
      <c r="H24" s="70"/>
      <c r="I24" s="70"/>
      <c r="J24" s="70"/>
      <c r="K24" s="64">
        <f t="shared" si="0"/>
        <v>428660.37</v>
      </c>
    </row>
    <row r="25" spans="3:11" x14ac:dyDescent="0.25">
      <c r="C25" s="84" t="s">
        <v>92</v>
      </c>
      <c r="D25" s="84"/>
      <c r="E25" s="84"/>
      <c r="F25" s="84"/>
      <c r="G25" s="74">
        <v>5292990.0999999996</v>
      </c>
      <c r="H25" s="74">
        <f>SUM(H7:H23)</f>
        <v>3843674.7</v>
      </c>
      <c r="I25" s="74">
        <f>SUM(I7:I23)</f>
        <v>3843674.7</v>
      </c>
      <c r="J25" s="74">
        <f t="shared" ref="J25" si="1">SUM(J7:J23)</f>
        <v>3819542.42</v>
      </c>
      <c r="K25" s="74">
        <f>SUM(K5:K24)</f>
        <v>14287198.41</v>
      </c>
    </row>
    <row r="26" spans="3:11" x14ac:dyDescent="0.25">
      <c r="C26" s="90"/>
      <c r="D26" s="90"/>
      <c r="E26" s="90"/>
      <c r="F26" s="90"/>
      <c r="G26" s="90"/>
      <c r="H26" s="90"/>
      <c r="I26" s="90"/>
      <c r="J26" s="90"/>
      <c r="K26" s="90"/>
    </row>
  </sheetData>
  <mergeCells count="48">
    <mergeCell ref="C6:D6"/>
    <mergeCell ref="E6:F6"/>
    <mergeCell ref="C7:D7"/>
    <mergeCell ref="E7:F7"/>
    <mergeCell ref="C2:E2"/>
    <mergeCell ref="F2:K2"/>
    <mergeCell ref="C3:E3"/>
    <mergeCell ref="F3:K3"/>
    <mergeCell ref="C4:D4"/>
    <mergeCell ref="E4:F4"/>
    <mergeCell ref="C5:D5"/>
    <mergeCell ref="E5:F5"/>
    <mergeCell ref="C8:D8"/>
    <mergeCell ref="E8:F8"/>
    <mergeCell ref="C9:D9"/>
    <mergeCell ref="E9:F9"/>
    <mergeCell ref="C10:D10"/>
    <mergeCell ref="E10:F10"/>
    <mergeCell ref="C16:D16"/>
    <mergeCell ref="E16:F16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25:F25"/>
    <mergeCell ref="C26:K26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17:D17"/>
    <mergeCell ref="E17:F17"/>
    <mergeCell ref="C18:D18"/>
    <mergeCell ref="E18:F18"/>
    <mergeCell ref="C19:D19"/>
    <mergeCell ref="E19:F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Orçamento Resumo</vt:lpstr>
      <vt:lpstr>Análise custos</vt:lpstr>
      <vt:lpstr>Planilha1</vt:lpstr>
      <vt:lpstr>Planilha2</vt:lpstr>
      <vt:lpstr>Planilha2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Luisa Romaniello</cp:lastModifiedBy>
  <dcterms:created xsi:type="dcterms:W3CDTF">2020-06-25T16:50:19Z</dcterms:created>
  <dcterms:modified xsi:type="dcterms:W3CDTF">2023-05-30T12:54:43Z</dcterms:modified>
</cp:coreProperties>
</file>