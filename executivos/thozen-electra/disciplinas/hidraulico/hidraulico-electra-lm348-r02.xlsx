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disciplinas\hidraulico\"/>
    </mc:Choice>
  </mc:AlternateContent>
  <xr:revisionPtr revIDLastSave="0" documentId="8_{46DD3997-03D8-4C0F-82DB-10ACED00BD6F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HIDROSSANITÁRIO" sheetId="1" r:id="rId1"/>
    <sheet name="HIDROSSANITÁRIO v2" sheetId="2" r:id="rId2"/>
    <sheet name="Por Pavimento" sheetId="3" r:id="rId3"/>
    <sheet name="Flat por PDF" sheetId="4" r:id="rId4"/>
    <sheet name="Rateio" sheetId="5" r:id="rId5"/>
    <sheet name="Resumo" sheetId="6" r:id="rId6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7" i="2" l="1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8" i="2"/>
  <c r="I107" i="2"/>
  <c r="I106" i="2"/>
  <c r="I105" i="2"/>
  <c r="I104" i="2"/>
  <c r="I103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2" i="2"/>
  <c r="I31" i="2"/>
  <c r="I30" i="2"/>
  <c r="I29" i="2"/>
  <c r="I28" i="2"/>
  <c r="I26" i="2"/>
  <c r="I25" i="2"/>
  <c r="I24" i="2"/>
  <c r="I23" i="2"/>
  <c r="I22" i="2"/>
  <c r="I20" i="2"/>
  <c r="I19" i="2"/>
  <c r="I18" i="2"/>
  <c r="I17" i="2"/>
  <c r="I16" i="2"/>
  <c r="I14" i="2"/>
  <c r="I219" i="2" s="1"/>
  <c r="I13" i="2"/>
  <c r="I12" i="2"/>
  <c r="I11" i="2"/>
  <c r="I10" i="2"/>
  <c r="I9" i="2"/>
  <c r="I8" i="2"/>
  <c r="I154" i="1"/>
  <c r="L154" i="1" s="1"/>
  <c r="I153" i="1"/>
  <c r="L153" i="1" s="1"/>
  <c r="I152" i="1"/>
  <c r="L152" i="1" s="1"/>
  <c r="I151" i="1"/>
  <c r="L151" i="1" s="1"/>
  <c r="I150" i="1"/>
  <c r="L150" i="1" s="1"/>
  <c r="I149" i="1"/>
  <c r="L149" i="1" s="1"/>
  <c r="I148" i="1"/>
  <c r="L148" i="1" s="1"/>
  <c r="I147" i="1"/>
  <c r="L147" i="1" s="1"/>
  <c r="I146" i="1"/>
  <c r="L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L140" i="1" s="1"/>
  <c r="I139" i="1"/>
  <c r="L139" i="1" s="1"/>
  <c r="I138" i="1"/>
  <c r="L138" i="1" s="1"/>
  <c r="I137" i="1"/>
  <c r="L137" i="1" s="1"/>
  <c r="I136" i="1"/>
  <c r="L136" i="1" s="1"/>
  <c r="I133" i="1"/>
  <c r="L133" i="1" s="1"/>
  <c r="I132" i="1"/>
  <c r="L132" i="1" s="1"/>
  <c r="I131" i="1"/>
  <c r="L131" i="1" s="1"/>
  <c r="I130" i="1"/>
  <c r="L130" i="1" s="1"/>
  <c r="I129" i="1"/>
  <c r="L129" i="1" s="1"/>
  <c r="I128" i="1"/>
  <c r="L128" i="1" s="1"/>
  <c r="I127" i="1"/>
  <c r="L127" i="1" s="1"/>
  <c r="I126" i="1"/>
  <c r="L126" i="1" s="1"/>
  <c r="I125" i="1"/>
  <c r="L125" i="1" s="1"/>
  <c r="I124" i="1"/>
  <c r="L124" i="1" s="1"/>
  <c r="I123" i="1"/>
  <c r="L123" i="1" s="1"/>
  <c r="I122" i="1"/>
  <c r="L122" i="1" s="1"/>
  <c r="L121" i="1"/>
  <c r="I121" i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2" i="1"/>
  <c r="L112" i="1" s="1"/>
  <c r="I111" i="1"/>
  <c r="L111" i="1" s="1"/>
  <c r="I110" i="1"/>
  <c r="L110" i="1" s="1"/>
  <c r="I109" i="1"/>
  <c r="L109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I95" i="1"/>
  <c r="L95" i="1" s="1"/>
  <c r="I94" i="1"/>
  <c r="L94" i="1" s="1"/>
  <c r="I93" i="1"/>
  <c r="L93" i="1" s="1"/>
  <c r="I91" i="1"/>
  <c r="L91" i="1" s="1"/>
  <c r="I90" i="1"/>
  <c r="L90" i="1" s="1"/>
  <c r="I89" i="1"/>
  <c r="L89" i="1" s="1"/>
  <c r="L88" i="1"/>
  <c r="I88" i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4" i="1"/>
  <c r="L74" i="1" s="1"/>
  <c r="I73" i="1"/>
  <c r="L73" i="1" s="1"/>
  <c r="L72" i="1"/>
  <c r="I72" i="1"/>
  <c r="I71" i="1"/>
  <c r="L71" i="1" s="1"/>
  <c r="I70" i="1"/>
  <c r="L70" i="1" s="1"/>
  <c r="I69" i="1"/>
  <c r="L69" i="1" s="1"/>
  <c r="I68" i="1"/>
  <c r="L68" i="1" s="1"/>
  <c r="I67" i="1"/>
  <c r="L67" i="1" s="1"/>
  <c r="I66" i="1"/>
  <c r="L66" i="1" s="1"/>
  <c r="I65" i="1"/>
  <c r="L65" i="1" s="1"/>
  <c r="I64" i="1"/>
  <c r="L64" i="1" s="1"/>
  <c r="I63" i="1"/>
  <c r="L63" i="1" s="1"/>
  <c r="I62" i="1"/>
  <c r="L62" i="1" s="1"/>
  <c r="I61" i="1"/>
  <c r="L61" i="1" s="1"/>
  <c r="I60" i="1"/>
  <c r="L60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L52" i="1" s="1"/>
  <c r="I50" i="1"/>
  <c r="L50" i="1" s="1"/>
  <c r="I49" i="1"/>
  <c r="L49" i="1" s="1"/>
  <c r="I48" i="1"/>
  <c r="L48" i="1" s="1"/>
  <c r="I47" i="1"/>
  <c r="L47" i="1" s="1"/>
  <c r="I46" i="1"/>
  <c r="L46" i="1" s="1"/>
  <c r="I44" i="1"/>
  <c r="L44" i="1" s="1"/>
  <c r="I43" i="1"/>
  <c r="L43" i="1" s="1"/>
  <c r="I42" i="1"/>
  <c r="L42" i="1" s="1"/>
  <c r="I41" i="1"/>
  <c r="L41" i="1" s="1"/>
  <c r="L40" i="1"/>
  <c r="I40" i="1"/>
  <c r="I38" i="1"/>
  <c r="L38" i="1" s="1"/>
  <c r="I37" i="1"/>
  <c r="L37" i="1" s="1"/>
  <c r="I36" i="1"/>
  <c r="L36" i="1" s="1"/>
  <c r="I35" i="1"/>
  <c r="L35" i="1" s="1"/>
  <c r="I34" i="1"/>
  <c r="L34" i="1" s="1"/>
  <c r="I33" i="1"/>
  <c r="L33" i="1" s="1"/>
  <c r="I32" i="1"/>
  <c r="L32" i="1" s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I10" i="1"/>
  <c r="L10" i="1" s="1"/>
  <c r="I9" i="1"/>
  <c r="L9" i="1" s="1"/>
</calcChain>
</file>

<file path=xl/sharedStrings.xml><?xml version="1.0" encoding="utf-8"?>
<sst xmlns="http://schemas.openxmlformats.org/spreadsheetml/2006/main" count="9202" uniqueCount="1013">
  <si>
    <t>Projeto</t>
  </si>
  <si>
    <t>Electra Towers</t>
  </si>
  <si>
    <t>Empresa</t>
  </si>
  <si>
    <t>Thozen</t>
  </si>
  <si>
    <t>Origem</t>
  </si>
  <si>
    <t>CTN-TZN_HID-R00</t>
  </si>
  <si>
    <t>Revisão</t>
  </si>
  <si>
    <t>R00 — IFC H00 + DWG, separado Emb/T.A/T.B — 25/mar/2026</t>
  </si>
  <si>
    <t>Hidrossanitário</t>
  </si>
  <si>
    <t>TORRE</t>
  </si>
  <si>
    <t>PAVIMENTO</t>
  </si>
  <si>
    <t>GRUPO/EAP</t>
  </si>
  <si>
    <t>SUBGRUPO</t>
  </si>
  <si>
    <t>Descrição</t>
  </si>
  <si>
    <t>Quantidade</t>
  </si>
  <si>
    <t>Repetição</t>
  </si>
  <si>
    <t>Perda</t>
  </si>
  <si>
    <t>Qte com perda</t>
  </si>
  <si>
    <t>Unidade</t>
  </si>
  <si>
    <t>Custo unitário</t>
  </si>
  <si>
    <t>Custo Total</t>
  </si>
  <si>
    <t>EMBASAMENTO</t>
  </si>
  <si>
    <t>COMPARTILHADO (T.A + T.B)</t>
  </si>
  <si>
    <t>TÉRREO</t>
  </si>
  <si>
    <t>INST. HIDROSSANITÁRIAS</t>
  </si>
  <si>
    <t>TUBULAÇÕES</t>
  </si>
  <si>
    <t>Tubo PVC Soldável DN63 (25mm)</t>
  </si>
  <si>
    <t>m</t>
  </si>
  <si>
    <t>Tubo PVC Soldável DN81 (32mm)</t>
  </si>
  <si>
    <t>Tubo PVC Soldável DN101 (40mm)</t>
  </si>
  <si>
    <t>Tubo PVC Soldável DN152 (60mm)</t>
  </si>
  <si>
    <t>Tubo PVC Soldável DN190 (75mm) — entrada geral</t>
  </si>
  <si>
    <t>Tubo PPR PN25 DN228 (90mm) — prumada recalque</t>
  </si>
  <si>
    <t>CONEXÕES</t>
  </si>
  <si>
    <t>Adaptador Curto PVC Soldável</t>
  </si>
  <si>
    <t>un</t>
  </si>
  <si>
    <t>Adaptador PPR</t>
  </si>
  <si>
    <t>Bucha de Redução PVC</t>
  </si>
  <si>
    <t>Flange p/ Limpeza</t>
  </si>
  <si>
    <t>Hidrômetro</t>
  </si>
  <si>
    <t>Joelho PPR</t>
  </si>
  <si>
    <t>Joelho PVC Soldável</t>
  </si>
  <si>
    <t>Joelho c/ Bucha Latão PVC Soldável</t>
  </si>
  <si>
    <t>Luva LR PVC Soldável</t>
  </si>
  <si>
    <t>Registro de Esfera Metálico</t>
  </si>
  <si>
    <t>Tê PPR</t>
  </si>
  <si>
    <t>Tê PVC Soldável</t>
  </si>
  <si>
    <t>União PVC Soldável</t>
  </si>
  <si>
    <t>Válvula</t>
  </si>
  <si>
    <t>EQUIPAMENTOS</t>
  </si>
  <si>
    <t>Hidrômetro multijato 3/4"</t>
  </si>
  <si>
    <t>Válvula esfera DN75 (3")</t>
  </si>
  <si>
    <t>GARAGEM 01</t>
  </si>
  <si>
    <t>GARAGEM 02</t>
  </si>
  <si>
    <t>GARAGEM 03</t>
  </si>
  <si>
    <t>GARAGEM 04</t>
  </si>
  <si>
    <t>GARAGEM 05</t>
  </si>
  <si>
    <t>Tubo PVC Soldável DN127 (50mm)</t>
  </si>
  <si>
    <t>Curva PVC Soldável</t>
  </si>
  <si>
    <t>Reservatório polietileno 7.500L A'Melo</t>
  </si>
  <si>
    <t>Torneira bóia 1/2"</t>
  </si>
  <si>
    <t>LAZER</t>
  </si>
  <si>
    <t>Tubo CPVC FlowGuard DN55 (22mm)</t>
  </si>
  <si>
    <t>Tubo CPVC FlowGuard DN71 (28mm)</t>
  </si>
  <si>
    <t>Tubo CPVC FlowGuard DN38 (15mm)</t>
  </si>
  <si>
    <t>Joelho 45° CPVC FlowGuard</t>
  </si>
  <si>
    <t>Joelho 90° CPVC FlowGuard</t>
  </si>
  <si>
    <t>Joelho CPVC FlowGuard</t>
  </si>
  <si>
    <t>CASA DE MÁQUINAS</t>
  </si>
  <si>
    <t>Tubo PPR PN25 DN228 (90mm) — pressurização</t>
  </si>
  <si>
    <t>Pressurizador Schneider VFD BC-92 (2CV)</t>
  </si>
  <si>
    <t>cj</t>
  </si>
  <si>
    <t>Válvula retenção horiz. 1.1/2"</t>
  </si>
  <si>
    <t>Válvula ventosa combinada DN50</t>
  </si>
  <si>
    <t>Filtro tipo T 2"</t>
  </si>
  <si>
    <t>RESERVATÓRIO</t>
  </si>
  <si>
    <t>Tubo PVC Soldável DN190 (75mm) — extravasor</t>
  </si>
  <si>
    <t>Flange cobre p/ limpeza</t>
  </si>
  <si>
    <t>TORRE A</t>
  </si>
  <si>
    <t>PAVIMENTO TIPO (x24)</t>
  </si>
  <si>
    <t>PAVIMENTO TIPO</t>
  </si>
  <si>
    <t>TORRE B</t>
  </si>
  <si>
    <t>CTN-TZN_HID-LM348-R01</t>
  </si>
  <si>
    <t>R02 — Lista geral precificada (LM348 PDFs Eletrowatts) — 16/abr/2026</t>
  </si>
  <si>
    <t>Hidrossanitário v2 — Lista Geral Precificada</t>
  </si>
  <si>
    <t>Dimensões</t>
  </si>
  <si>
    <t>Marca</t>
  </si>
  <si>
    <t>Qtd</t>
  </si>
  <si>
    <t>Unid</t>
  </si>
  <si>
    <t>Custo unit.</t>
  </si>
  <si>
    <t>Fonte PU</t>
  </si>
  <si>
    <t>TUBULAÇÕES ÁGUA FRIA</t>
  </si>
  <si>
    <t>Tubo PVC rígido, cor marrom, linha soldável (Tubo de 6m)</t>
  </si>
  <si>
    <t>ø25mm</t>
  </si>
  <si>
    <t>AMANCO/SIMILAR</t>
  </si>
  <si>
    <t>Belle Ville</t>
  </si>
  <si>
    <t>ø32mm</t>
  </si>
  <si>
    <t>ø40mm</t>
  </si>
  <si>
    <t>ø50mm</t>
  </si>
  <si>
    <t>ø60mm</t>
  </si>
  <si>
    <t>ø75mm</t>
  </si>
  <si>
    <t>SUBTOTAL TUBULAÇÕES ÁGUA FRIA</t>
  </si>
  <si>
    <t>TUBULAÇÕES ÁGUA QUENTE</t>
  </si>
  <si>
    <t>Tubo CPVC FlowGuard, cor branca, linha soldável (Tubo de 3m)</t>
  </si>
  <si>
    <t>ø15mm</t>
  </si>
  <si>
    <t>ø22mm</t>
  </si>
  <si>
    <t>ø28mm</t>
  </si>
  <si>
    <t>Tubo PPR PN 25, linha soldável (Tubo de 3m)</t>
  </si>
  <si>
    <t>ø90mm</t>
  </si>
  <si>
    <t>SUBTOTAL TUBULAÇÕES ÁGUA QUENTE</t>
  </si>
  <si>
    <t>TUBULAÇÕES ESGOTO NORMAL</t>
  </si>
  <si>
    <t>Tubo PVC rígido, cor branca, linha Esgoto Série Normal (Tubo de 6m)</t>
  </si>
  <si>
    <t>Santa Maria</t>
  </si>
  <si>
    <t>ø100mm</t>
  </si>
  <si>
    <t>SUBTOTAL TUBULAÇÕES ESGOTO NORMAL</t>
  </si>
  <si>
    <t>TUBULAÇÕES ESGOTO REFORÇADA</t>
  </si>
  <si>
    <t>Tubo PVC rígido, cor branca, linha Esgoto Série Reforçada (Tubo de 6m)</t>
  </si>
  <si>
    <t>ø150mm</t>
  </si>
  <si>
    <t>SUBTOTAL TUBULAÇÕES ESGOTO REFORÇADA</t>
  </si>
  <si>
    <t>CONEXÕES ÁGUA FRIA</t>
  </si>
  <si>
    <t>Adaptador Soldável Curto, PVC Marrom, Água Fria</t>
  </si>
  <si>
    <t>25ø-3/4"</t>
  </si>
  <si>
    <t>32ø-1"</t>
  </si>
  <si>
    <t>50ø-1 1/2"</t>
  </si>
  <si>
    <t>Bucha de Redução Soldável Curta, PVC Marrom, Água Fria</t>
  </si>
  <si>
    <t>32ø-25ø</t>
  </si>
  <si>
    <t>40ø-32ø</t>
  </si>
  <si>
    <t>Bucha de Redução Soldável Longa, PVC Marrom, Água Fria</t>
  </si>
  <si>
    <t>50ø-40ø</t>
  </si>
  <si>
    <t>50ø-32ø</t>
  </si>
  <si>
    <t>Curva de Transposição Soldável, PVC Marrom, Água Fria</t>
  </si>
  <si>
    <t>25ø-25ø</t>
  </si>
  <si>
    <t>32ø-32ø</t>
  </si>
  <si>
    <t>Joelho 45º Soldável, PVC Marrom, Água Fria</t>
  </si>
  <si>
    <t>40ø-40ø</t>
  </si>
  <si>
    <t>50ø-50ø</t>
  </si>
  <si>
    <t>60ø-60ø</t>
  </si>
  <si>
    <t>75ø-75ø</t>
  </si>
  <si>
    <t>Joelho 90° Redução Soldável, PVC Marrom, Água Fria</t>
  </si>
  <si>
    <t>Joelho 90° Roscável, PVC Marrom, Água Fria</t>
  </si>
  <si>
    <t>Joelho 90º Soldável - Bucha Latão, PVC Marrom, Água Fria</t>
  </si>
  <si>
    <t>25ø-1/2"</t>
  </si>
  <si>
    <t>Joelho 90º Soldável, PVC Marrom, Água Fria</t>
  </si>
  <si>
    <t>Joelho 90º Soldável/Roscável, PVC Marrom, Água Fria</t>
  </si>
  <si>
    <t>Luva Soldável, PVC Marrom, Água Fria</t>
  </si>
  <si>
    <t>Luva Soldável/Roscável, PVC Marrom, Água Fria</t>
  </si>
  <si>
    <t>40ø-1 1/4"</t>
  </si>
  <si>
    <t>Registro Esfera Soldável, PVC Marrom, Água Fria</t>
  </si>
  <si>
    <t>Terminal de Ventilação</t>
  </si>
  <si>
    <t>50ø</t>
  </si>
  <si>
    <t>Estimativa</t>
  </si>
  <si>
    <t>100ø</t>
  </si>
  <si>
    <t>Tê Soldável - Bucha Latão, PVC Marrom, Água Fria</t>
  </si>
  <si>
    <t>Tê Soldável, PVC Marrom, Água Fria</t>
  </si>
  <si>
    <t>25ø-25ø-25ø</t>
  </si>
  <si>
    <t>32ø-32ø-32ø</t>
  </si>
  <si>
    <t>40ø-40ø-40ø</t>
  </si>
  <si>
    <t>50ø-50ø-50ø</t>
  </si>
  <si>
    <t>60ø-60ø-60ø</t>
  </si>
  <si>
    <t>75ø-75ø-75ø</t>
  </si>
  <si>
    <t>Tê Soldável/Roscável, PVC Marrom, Água Fria</t>
  </si>
  <si>
    <t>Tê de Redução Soldável, PVC Marrom, Água Fria</t>
  </si>
  <si>
    <t>40ø-25ø</t>
  </si>
  <si>
    <t>União Soldável, PVC Marrom, Água Fria</t>
  </si>
  <si>
    <t>SUBTOTAL CONEXÕES ÁGUA FRIA</t>
  </si>
  <si>
    <t>CONEXÕES ÁGUA QUENTE</t>
  </si>
  <si>
    <t>Bucha de Redução MF, Super CPVC FlowGuard, Água Quente</t>
  </si>
  <si>
    <t>28ø-22ø</t>
  </si>
  <si>
    <t>Conector de Transição FM, Super CPVC FlowGuard, Água Quente</t>
  </si>
  <si>
    <t>22ø-3/4"</t>
  </si>
  <si>
    <t>Curva Transposição FF, Super CPVC FlowGuard, Água Quente</t>
  </si>
  <si>
    <t>22ø-22ø</t>
  </si>
  <si>
    <t>Joelho 45º FF, SuperCPVC FlowGuard, Água Quente</t>
  </si>
  <si>
    <t>28ø-28ø</t>
  </si>
  <si>
    <t>Joelho 90º FF, SuperCPVC FlowGuard, Água Quente</t>
  </si>
  <si>
    <t>Joelho 90º Transição FF, Super CPVC FlowGuard, Água Quente</t>
  </si>
  <si>
    <t>15ø-1/2"</t>
  </si>
  <si>
    <t>22ø-1/2"</t>
  </si>
  <si>
    <t>28ø-1"</t>
  </si>
  <si>
    <t>Luva Transição FF, Super CPVC FlowGuard, Água Quente</t>
  </si>
  <si>
    <t>22ø-25ø</t>
  </si>
  <si>
    <t>Tê FFF, Super CPVC FlowGuard, Água Quente</t>
  </si>
  <si>
    <t>Tê Misturador FFF, Super CPVC FlowGuard, Água Quente</t>
  </si>
  <si>
    <t>Tê Redução FFF, Super CPVC FlowGuard, Água Quente</t>
  </si>
  <si>
    <t>SUBTOTAL CONEXÕES ÁGUA QUENTE</t>
  </si>
  <si>
    <t>CONEXÕES PPR</t>
  </si>
  <si>
    <t>Adaptador Transição Fêmea, PPR PN25</t>
  </si>
  <si>
    <t>90ø-3"</t>
  </si>
  <si>
    <t>Adaptador Transição Macho, PPR PN25</t>
  </si>
  <si>
    <t>Joelho 45°, PPR PN25</t>
  </si>
  <si>
    <t>90ø-90ø</t>
  </si>
  <si>
    <t>Joelho 90°, PPR PN25</t>
  </si>
  <si>
    <t>Tê, PPR PN25</t>
  </si>
  <si>
    <t>SUBTOTAL CONEXÕES PPR</t>
  </si>
  <si>
    <t>CONEXÕES ESGOTO NORMAL</t>
  </si>
  <si>
    <t>Bucha de Redução, Esgoto Série Normal</t>
  </si>
  <si>
    <t>Curva 90º Curta, Esgoto Série Normal</t>
  </si>
  <si>
    <t>150ø-150ø</t>
  </si>
  <si>
    <t>Curva 90º, Esgoto Série Normal</t>
  </si>
  <si>
    <t>Joelho 45º, Esgoto Série Normal</t>
  </si>
  <si>
    <t>100ø-100ø</t>
  </si>
  <si>
    <t>Joelho 90º, Esgoto Série Normal</t>
  </si>
  <si>
    <t>Junção Simples com Redução, Esgoto Série Normal</t>
  </si>
  <si>
    <t>75ø-50ø</t>
  </si>
  <si>
    <t>100ø-50ø</t>
  </si>
  <si>
    <t>Santa Maria (est.)</t>
  </si>
  <si>
    <t>Junção Simples, Esgoto Série Normal</t>
  </si>
  <si>
    <t>150ø-100ø</t>
  </si>
  <si>
    <t>Luva Simples, Esgoto Série Normal</t>
  </si>
  <si>
    <t>Redução Excêntrica, Esgoto Série Normal</t>
  </si>
  <si>
    <t>100ø-75ø</t>
  </si>
  <si>
    <t>Tê de Inspeção, Esgoto Série Normal</t>
  </si>
  <si>
    <t>SUBTOTAL CONEXÕES ESGOTO NORMAL</t>
  </si>
  <si>
    <t>CONEXÕES ESGOTO REFORÇADA</t>
  </si>
  <si>
    <t>Bucha de Redução, Esgoto Série Reforçada</t>
  </si>
  <si>
    <t>Joelho 45º, Esgoto Série Reforçada</t>
  </si>
  <si>
    <t>Joelho 90º, Esgoto Série Reforçada</t>
  </si>
  <si>
    <t>Junção Simples com Redução, Esgoto Série Reforçada</t>
  </si>
  <si>
    <t>Junção Simples, Esgoto Série Reforçada</t>
  </si>
  <si>
    <t>Luva Simples, Esgoto Série Reforçada</t>
  </si>
  <si>
    <t>Redução Excêntrica, Esgoto Série Reforçada</t>
  </si>
  <si>
    <t>SUBTOTAL CONEXÕES ESGOTO REFORÇADA</t>
  </si>
  <si>
    <t>ACESSÓRIOS</t>
  </si>
  <si>
    <t>Adaptador Longo com Flanges Livres</t>
  </si>
  <si>
    <t>60ø</t>
  </si>
  <si>
    <t>75ø</t>
  </si>
  <si>
    <t>90ø</t>
  </si>
  <si>
    <t>Anel de Vedação Oring</t>
  </si>
  <si>
    <t>150ø</t>
  </si>
  <si>
    <t>Anel de Vedação P/ Vaso Sanitário</t>
  </si>
  <si>
    <t>Caixa Sifonada Branca</t>
  </si>
  <si>
    <t>100ø-100ø-50ø</t>
  </si>
  <si>
    <t>150ø-150ø-50ø</t>
  </si>
  <si>
    <t>Ralo Seco Cilíndrico</t>
  </si>
  <si>
    <t>100ø-40ø</t>
  </si>
  <si>
    <t>SUBTOTAL ACESSÓRIOS</t>
  </si>
  <si>
    <t>Caixa D'Água de Polietileno (7500L)</t>
  </si>
  <si>
    <t>FORTLEV/SIMILAR</t>
  </si>
  <si>
    <t>Chave de Fluxo - Modelo com Palheta</t>
  </si>
  <si>
    <t>Mercado</t>
  </si>
  <si>
    <t>Filtro Pluvial Fabricante - Modelo: VF1</t>
  </si>
  <si>
    <t>3P TECHNIK</t>
  </si>
  <si>
    <t>Filtro tipo "T" Compact de 2"</t>
  </si>
  <si>
    <t>BERMAD</t>
  </si>
  <si>
    <t>Hidrômetro Multijato</t>
  </si>
  <si>
    <t>3/4"</t>
  </si>
  <si>
    <t>Hidrômetro Unijato</t>
  </si>
  <si>
    <t>Skid com 01 Pressurizador da Schneider (SP 12 C - 1/2cv)</t>
  </si>
  <si>
    <t>HYDROSYSTEM</t>
  </si>
  <si>
    <t>Skid com 02 Motobombas de recalque da Schneider (135/18 (C1) - AQUA-UP H02 - 12,5CV)</t>
  </si>
  <si>
    <t>Skid com 02 Pressurizadores da Schneider (CA PLUS-H02 - 1.1/2 HP)</t>
  </si>
  <si>
    <t>Ventosa Tríplice Função (C30 de 1")</t>
  </si>
  <si>
    <t>Ventosa Tríplice Função (C30 de 2")</t>
  </si>
  <si>
    <t>Válvula Controladora de Bomba (740Q de 2")</t>
  </si>
  <si>
    <t>Válvula Controladora de Nível (210-3W de 1 1/2") + Controladora + Micro Chave Bóia</t>
  </si>
  <si>
    <t>Válvula Pé de Crivo (3")</t>
  </si>
  <si>
    <t>DOCOL</t>
  </si>
  <si>
    <t>Válvula Redutora de Pressão - Modelo: Pilotada 420 - 2"</t>
  </si>
  <si>
    <t>Válvula Redutora de Pressão de Ação Direta (42 LP de 1 1/4")</t>
  </si>
  <si>
    <t>Válvula de Alívio e Segurança (430 de 2")</t>
  </si>
  <si>
    <t>Válvula de Retenção (VA 407-W de 2 1/2")</t>
  </si>
  <si>
    <t>SUBTOTAL EQUIPAMENTOS</t>
  </si>
  <si>
    <t>ETE / TRATAMENTO EFLUENTES</t>
  </si>
  <si>
    <t>ETE / TRATAMENTO</t>
  </si>
  <si>
    <t>Bomba Retorno de Lodo (BCS-220 - 1/3CV)</t>
  </si>
  <si>
    <t>Caixa de Distribuição, Concreto armado (C: 0,80m x L: 0,80m x P: 0,80m)</t>
  </si>
  <si>
    <t>Caixa de Gordura, Concreto armado - (C: 0,60m x L: 0,60m x P: 0,60m)</t>
  </si>
  <si>
    <t>Caixa de Gordura, Concreto armado - (C: 1,00m x L: 2,00m x P: 0,60m)</t>
  </si>
  <si>
    <t>Compressor Radial/Soprador (CR-6 - 4CV)</t>
  </si>
  <si>
    <t>Contactora (7.5CV)</t>
  </si>
  <si>
    <t>Difusor de Ar, Tubular (T-60/800)</t>
  </si>
  <si>
    <t>Medidor de Vazão de Recirculação - Modelo: MTLC-B</t>
  </si>
  <si>
    <t>Painel de Controle - disjuntor 20A</t>
  </si>
  <si>
    <t>Tampa de Inspeção, Ferro Fundido - Caixa de Distriuição - (0,80m x 0,80m)</t>
  </si>
  <si>
    <t>Tampa de Inspeção, Ferro Fundido - Caixa de Gordura - (0,60m x 0,60m)</t>
  </si>
  <si>
    <t>Tampa de Inspeção, Ferro Fundido - Caixa de Gordura - (1,0m x 1,0m)</t>
  </si>
  <si>
    <t>Tampa de Inspeção, Ferro Fundido - Tanques - (0,60m x 0,60m)</t>
  </si>
  <si>
    <t>Tanque Aeróbio, Concreto armado - (ø útil: 3,0m x altura útil: 2,10m)</t>
  </si>
  <si>
    <t>Tanque Anaeróbio, Concreto armado - (ø útil: 2,70m x altura útil: 2,0m)</t>
  </si>
  <si>
    <t>Tanque Anóxico, Concreto armado - (ø útil: 3,0m x altura útil: 2,10m)</t>
  </si>
  <si>
    <t>Tanque Decantador, Concreto armado - (ø útil: 3,0m x altura útil: 1,5m)</t>
  </si>
  <si>
    <t>Tanque Descarte de Lodo, Concreto armado - (ø útil: 3,0m x altura útil: 2,20m)</t>
  </si>
  <si>
    <t>Tanque Desinfecção, Concreto armado - (ø útil: 2,0m x altura útil: 1,8m)</t>
  </si>
  <si>
    <t>Timer digitar, 16 funções</t>
  </si>
  <si>
    <t>SUBTOTAL ETE / TRATAMENTO</t>
  </si>
  <si>
    <t>TOTAL GERAL HIDROSSANITÁRIO (LM348)</t>
  </si>
  <si>
    <t>Itens: 187 | Precificados: 187 | A precificar: 0</t>
  </si>
  <si>
    <t>AC Total: 36,092 m² | Fontes: Belle Ville, Santa Maria, Estimativa, Mercado</t>
  </si>
  <si>
    <t>THOZEN - RES. ELECTRA TOWERS</t>
  </si>
  <si>
    <t>05 HIDRAULICO - Instalacoes Hidrossanitarias (complemento LM 348)</t>
  </si>
  <si>
    <t>Revisao: LM348-R01 | Data: 2026-04-15 | AC Total: 36092 m2</t>
  </si>
  <si>
    <t>Fonte: PDFs 348_LM da Eletrowatts, extracao Gemma local + rateio heuristico por sistema</t>
  </si>
  <si>
    <t>PDFs processados: 4 | Itens flat: 187</t>
  </si>
  <si>
    <t>Pavimento</t>
  </si>
  <si>
    <t>Torre</t>
  </si>
  <si>
    <t>PDF origem</t>
  </si>
  <si>
    <t>Numero</t>
  </si>
  <si>
    <t>Codigo</t>
  </si>
  <si>
    <t>Descricao</t>
  </si>
  <si>
    <t>Dimensoes</t>
  </si>
  <si>
    <t>Origem rateio</t>
  </si>
  <si>
    <t>01º Térreo | Torre: AMBAS</t>
  </si>
  <si>
    <t>TERREO</t>
  </si>
  <si>
    <t>AMBAS</t>
  </si>
  <si>
    <t>hidro-conexoes</t>
  </si>
  <si>
    <t>rateio Gemma: Joelhos de conexão em prumadas principais no subsolo.</t>
  </si>
  <si>
    <t>rateio Gemma: Conexões em ramais de distribuição no subsolo.</t>
  </si>
  <si>
    <t>rateio Gemma: Distribuição principal de água fria nos ramais de subsolo.</t>
  </si>
  <si>
    <t>rateio Gemma: Conexões de ramais de água fria no subsolo.</t>
  </si>
  <si>
    <t>rateio Gemma: Conexões em ramais de água fria no subsolo.</t>
  </si>
  <si>
    <t>rateio Gemma: Conexões de redução de diâmetro em prumadas principais no subsolo.</t>
  </si>
  <si>
    <t>rateio Gemma: Conexões de redução em ramais de água fria no subsolo.</t>
  </si>
  <si>
    <t>rateio Gemma: Registros de serviço no térreo (hidrômetros/ramais)</t>
  </si>
  <si>
    <t>rateio Gemma: Conexões de serviço no térreo</t>
  </si>
  <si>
    <t>rateio Gemma: Curvas de transposição em áreas de serviço e subsolo</t>
  </si>
  <si>
    <t>rateio Gemma: Luvas de conexão em prumadas e serviços no térreo</t>
  </si>
  <si>
    <t>rateio Gemma: Joelhos de esgoto para prumadas principais e caixas de inspeção no térreo.</t>
  </si>
  <si>
    <t>rateio Gemma: Joelho de conexão na prumada principal do térreo.</t>
  </si>
  <si>
    <t>rateio Gemma: Conexões de prumadas e ramais no nível do térreo.</t>
  </si>
  <si>
    <t>rateio Gemma: Conexões reforçadas na prumada principal do térreo.</t>
  </si>
  <si>
    <t>rateio Gemma: Conexões de deságue de prumada no subsolo.</t>
  </si>
  <si>
    <t>rateio Gemma: Junção simples de ramal de esgoto no subsolo.</t>
  </si>
  <si>
    <t>rateio Gemma: Junções simples na prumada principal do térreo.</t>
  </si>
  <si>
    <t>rateio Gemma: Junções simples reforçadas na prumada principal do térreo.</t>
  </si>
  <si>
    <t>rateio Gemma: Junções críticas na entrada principal do sistema de esgoto no térreo.</t>
  </si>
  <si>
    <t>rateio Gemma: Conexões de ramais de esgoto no subsolo/térreo.</t>
  </si>
  <si>
    <t>rateio Gemma: Conexões reforçadas em pontos críticos de transição no subsolo.</t>
  </si>
  <si>
    <t>rateio Gemma: Conexões de esgoto reforçadas no subsolo/térreo.</t>
  </si>
  <si>
    <t>rateio Gemma: Conexões reforçadas em pontos de transição no subsolo.</t>
  </si>
  <si>
    <t>rateio Gemma: Pontos de inspeção obrigatórios na rede coletora no subsolo.</t>
  </si>
  <si>
    <t>rateio Gemma: Conexões de luva em pontos de transição no subsolo/térreo.</t>
  </si>
  <si>
    <t>rateio Gemma: Luvas de conexão em prumadas e ramais prediais no térreo.</t>
  </si>
  <si>
    <t>rateio Gemma: Luvas de conexão em ramais prediais e caixas de inspeção no térreo.</t>
  </si>
  <si>
    <t>rateio Gemma: Luvas de conexão em prumadas principais no subsolo.</t>
  </si>
  <si>
    <t>rateio Gemma: Curva de transição em caixas de inspeção no térreo.</t>
  </si>
  <si>
    <t>rateio Gemma: Vedação em caixas de inspeção e ramais prediais no térreo.</t>
  </si>
  <si>
    <t>rateio Gemma: Vedação de conexões em caixas de inspeção e ramais prediais no subsolo.</t>
  </si>
  <si>
    <t>rateio Gemma: Redução de diâmetro em caixas de inspeção principais no subsolo.</t>
  </si>
  <si>
    <t>rateio Gemma: Redução de diâmetro em pontos críticos de transição de rede no subsolo.</t>
  </si>
  <si>
    <t>rateio Gemma: Bucha de redução em caixas de inspeção e ramais prediais no subsolo.</t>
  </si>
  <si>
    <t>rateio Gemma: Bucha de redução em pontos críticos de transição de rede no subsolo.</t>
  </si>
  <si>
    <t>rateio Gemma: Distribuição em áreas comuns do térreo (hall, recepção).</t>
  </si>
  <si>
    <t>rateio Gemma: Conexões principais no nível do térreo.</t>
  </si>
  <si>
    <t>rateio Gemma: Conexões em prumadas e caixas de inspeção no térreo.</t>
  </si>
  <si>
    <t>rateio Gemma: Joelhos em caixas de inspeção e ramais de serviço no térreo.</t>
  </si>
  <si>
    <t>rateio Gemma: Joelhos em conexões de serviço no térreo.</t>
  </si>
  <si>
    <t>rateio Gemma: Transições em caixas de inspeção e ramais de serviço no térreo.</t>
  </si>
  <si>
    <t>rateio Gemma: Conexões de serviço em prumadas no térreo.</t>
  </si>
  <si>
    <t>hidro-ete</t>
  </si>
  <si>
    <t>rateio Gemma: Caixas de gordura de grande porte e coletor principal, localizados no subsolo/nível térreo.</t>
  </si>
  <si>
    <t>rateio Gemma: Caixa de gordura de pequeno porte, localizada no subsolo/nível térreo.</t>
  </si>
  <si>
    <t>rateio Gemma: Caixas de distribuição e coleta primária, localizadas no subsolo/nível térreo.</t>
  </si>
  <si>
    <t>rateio Gemma: Tampa de inspeção para caixas de gordura, localizada no subsolo/nível térreo.</t>
  </si>
  <si>
    <t>rateio Gemma: Tampas de inspeção para caixas de gordura, localizadas no subsolo/nível térreo.</t>
  </si>
  <si>
    <t>rateio Gemma: Tampas de inspeção para caixas de distribuição, localizadas no subsolo/nível térreo.</t>
  </si>
  <si>
    <t>rateio Gemma: Tampas de inspeção para os tanques do sistema ETE, localizadas no subsolo/nível térreo.</t>
  </si>
  <si>
    <t>rateio Gemma: Tanque principal do sistema ETE, localizado no subsolo/nível térreo.</t>
  </si>
  <si>
    <t>rateio Gemma: Tanques de tratamento aeróbio, parte do sistema ETE, localizados no subsolo/nível térreo.</t>
  </si>
  <si>
    <t>rateio Gemma: Tanques decantadores, parte do sistema ETE, localizados no subsolo/nível térreo.</t>
  </si>
  <si>
    <t>rateio Gemma: Tanque final de desinfecção, parte do sistema ETE, localizado no subsolo/nível térreo.</t>
  </si>
  <si>
    <t>rateio Gemma: Tanque de descarte de lodo é parte da infraestrutura de ETE compartilhada no subsolo/térreo.</t>
  </si>
  <si>
    <t>rateio Gemma: Difusores de ar fazem parte do sistema de aeração da ETE, localizado no subsolo/térreo.</t>
  </si>
  <si>
    <t>rateio Gemma: O compressor principal da ETE é um equipamento de sistema compartilhado, instalado no subsolo/térreo.</t>
  </si>
  <si>
    <t>rateio Gemma: Medidores de vazão são equipamentos de medição da infraestrutura de ETE, localizados no subsolo/térreo.</t>
  </si>
  <si>
    <t>rateio Gemma: Painel de controle elétrico para o sistema ETE, instalado na área de serviço/subsolo.</t>
  </si>
  <si>
    <t>rateio Gemma: Componente elétrico de controle para o sistema ETE, instalado no subsolo/térreo.</t>
  </si>
  <si>
    <t>rateio Gemma: Timer de controle para o sistema ETE, instalado no subsolo/térreo.</t>
  </si>
  <si>
    <t>rateio Gemma: Bombas de retorno de lodo são equipamentos de sistema compartilhado, instalados no subsolo/térreo.</t>
  </si>
  <si>
    <t>hidro-tubulacoes</t>
  </si>
  <si>
    <t>rateio Gemma: 10% do total para caixas de inspeção e ramais de ligação no térreo.</t>
  </si>
  <si>
    <t>rateio Gemma: Ramal de ligação no térreo.</t>
  </si>
  <si>
    <t>rateio Gemma: Rateio de esgoto para caixas de inspeção e ramais no térreo.</t>
  </si>
  <si>
    <t>rateio Gemma: Alimentação e ramais de água fria no térreo (10% do total).</t>
  </si>
  <si>
    <t>rateio Gemma: Ramal de água quente no térreo (20% do total).</t>
  </si>
  <si>
    <t>hidro-valvulas</t>
  </si>
  <si>
    <t>rateio Gemma: Medição de consumo em áreas comuns e shafts no subsolo.</t>
  </si>
  <si>
    <t>rateio Gemma: Filtros de drenagem pluvial no nível do subsolo.</t>
  </si>
  <si>
    <t>rateio Gemma: Instalação em pontos de medição ou controle de fluxo no subsolo.</t>
  </si>
  <si>
    <t>rateio Gemma: Controle de pressão na entrada principal do edifício.</t>
  </si>
  <si>
    <t>rateio Gemma: Controle de pressão em ramais principais no subsolo.</t>
  </si>
  <si>
    <t>rateio Gemma: Dispositivos de segurança em pontos de alta pressão no subsolo.</t>
  </si>
  <si>
    <t>Subtotal TERREO AMBAS: 98 itens</t>
  </si>
  <si>
    <t>02º G1 | Torre: A</t>
  </si>
  <si>
    <t>G1</t>
  </si>
  <si>
    <t>A</t>
  </si>
  <si>
    <t>rateio Gemma: Ramal vertical de água fria (20% do total) para a garagem G1, Torre A.</t>
  </si>
  <si>
    <t>rateio Gemma: Ramal de água quente (20% do total) para a garagem G1, Torre A.</t>
  </si>
  <si>
    <t>Subtotal G1 A: 4 itens</t>
  </si>
  <si>
    <t>02º G1 | Torre: B</t>
  </si>
  <si>
    <t>B</t>
  </si>
  <si>
    <t>rateio Gemma: Ramal vertical de água fria (20% do total) para a garagem G1, Torre B.</t>
  </si>
  <si>
    <t>rateio Gemma: Ramal de água quente (20% do total) para a garagem G1, Torre B.</t>
  </si>
  <si>
    <t>Subtotal G1 B: 4 itens</t>
  </si>
  <si>
    <t>02º G1 | Torre: AMBAS</t>
  </si>
  <si>
    <t>rateio Gemma: Conexões em ramais de distribuição na garagem 1.</t>
  </si>
  <si>
    <t>rateio Gemma: Distribuição de água fria na garagem 1.</t>
  </si>
  <si>
    <t>rateio Gemma: Joelhos de esgoto para drenagem de garagem no pavimento G1.</t>
  </si>
  <si>
    <t>rateio Gemma: Conexões de esgoto na garagem do primeiro pavimento.</t>
  </si>
  <si>
    <t>rateio Gemma: Conexões reforçadas na garagem do primeiro pavimento.</t>
  </si>
  <si>
    <t>rateio Gemma: Junções simples na garagem do primeiro pavimento.</t>
  </si>
  <si>
    <t>rateio Gemma: Luvas de conexão na rede de esgoto do pavimento de garagem 1.</t>
  </si>
  <si>
    <t>rateio Gemma: Luvas de conexão na rede de esgoto reforçada do pavimento de garagem 1.</t>
  </si>
  <si>
    <t>rateio Gemma: Curvas de direção na rede de esgoto do pavimento de garagem 1.</t>
  </si>
  <si>
    <t>Subtotal G1 AMBAS: 14 itens</t>
  </si>
  <si>
    <t>03º G2 | Torre: A</t>
  </si>
  <si>
    <t>G2</t>
  </si>
  <si>
    <t>rateio Gemma: Ramal vertical de água fria (20% do total) para a garagem G2, Torre A.</t>
  </si>
  <si>
    <t>rateio Gemma: Ramal de água quente (20% do total) para a garagem G2, Torre A.</t>
  </si>
  <si>
    <t>Subtotal G2 A: 4 itens</t>
  </si>
  <si>
    <t>03º G2 | Torre: B</t>
  </si>
  <si>
    <t>rateio Gemma: Ramal vertical de água fria (20% do total) para a garagem G2, Torre B.</t>
  </si>
  <si>
    <t>rateio Gemma: Ramal de água quente (20% do total) para a garagem G2, Torre B.</t>
  </si>
  <si>
    <t>Subtotal G2 B: 4 itens</t>
  </si>
  <si>
    <t>03º G2 | Torre: AMBAS</t>
  </si>
  <si>
    <t>rateio Gemma: Conexões em ramais de distribuição na garagem 2.</t>
  </si>
  <si>
    <t>rateio Gemma: Joelhos de esgoto para drenagem de garagem no pavimento G2.</t>
  </si>
  <si>
    <t>rateio Gemma: Conexões de esgoto na garagem do segundo pavimento.</t>
  </si>
  <si>
    <t>rateio Gemma: Luvas de conexão na rede de esgoto do pavimento de garagem 2.</t>
  </si>
  <si>
    <t>rateio Gemma: Luvas de conexão na rede de esgoto reforçada do pavimento de garagem 2.</t>
  </si>
  <si>
    <t>rateio Gemma: Curvas de direção na rede de esgoto do pavimento de garagem 2.</t>
  </si>
  <si>
    <t>Subtotal G2 AMBAS: 9 itens</t>
  </si>
  <si>
    <t>04º G3 | Torre: A</t>
  </si>
  <si>
    <t>G3</t>
  </si>
  <si>
    <t>rateio Gemma: Ramal vertical de água fria (20% do total) para a garagem G3, Torre A.</t>
  </si>
  <si>
    <t>rateio Gemma: Ramal de água quente (20% do total) para a garagem G3, Torre A.</t>
  </si>
  <si>
    <t>Subtotal G3 A: 4 itens</t>
  </si>
  <si>
    <t>04º G3 | Torre: B</t>
  </si>
  <si>
    <t>rateio Gemma: Ramal vertical de água fria (20% do total) para a garagem G3, Torre B.</t>
  </si>
  <si>
    <t>rateio Gemma: Ramal de água quente (20% do total) para a garagem G3, Torre B.</t>
  </si>
  <si>
    <t>Subtotal G3 B: 4 itens</t>
  </si>
  <si>
    <t>04º G3 | Torre: AMBAS</t>
  </si>
  <si>
    <t>rateio Gemma: Conexões em ramais de distribuição na garagem 3.</t>
  </si>
  <si>
    <t>rateio Gemma: Joelhos de esgoto para drenagem de garagem no pavimento G3.</t>
  </si>
  <si>
    <t>rateio Gemma: Conexões de esgoto na garagem do terceiro pavimento.</t>
  </si>
  <si>
    <t>rateio Gemma: Luvas de conexão na rede de esgoto do pavimento de garagem 3.</t>
  </si>
  <si>
    <t>rateio Gemma: Luvas de conexão na rede de esgoto reforçada do pavimento de garagem 3.</t>
  </si>
  <si>
    <t>rateio Gemma: Curvas de direção na rede de esgoto do pavimento de garagem 3.</t>
  </si>
  <si>
    <t>Subtotal G3 AMBAS: 8 itens</t>
  </si>
  <si>
    <t>05º G4 | Torre: A</t>
  </si>
  <si>
    <t>G4</t>
  </si>
  <si>
    <t>rateio Gemma: Ramal vertical de água fria (20% do total) para a garagem G4, Torre A.</t>
  </si>
  <si>
    <t>rateio Gemma: Ramal de água quente (20% do total) para a garagem G4, Torre A.</t>
  </si>
  <si>
    <t>Subtotal G4 A: 4 itens</t>
  </si>
  <si>
    <t>05º G4 | Torre: B</t>
  </si>
  <si>
    <t>rateio Gemma: Ramal vertical de água fria (20% do total) para a garagem G4, Torre B.</t>
  </si>
  <si>
    <t>rateio Gemma: Ramal de água quente (20% do total) para a garagem G4, Torre B.</t>
  </si>
  <si>
    <t>Subtotal G4 B: 4 itens</t>
  </si>
  <si>
    <t>05º G4 | Torre: AMBAS</t>
  </si>
  <si>
    <t>rateio Gemma: Conexões em ramais de distribuição na garagem 4.</t>
  </si>
  <si>
    <t>rateio Gemma: Joelhos de esgoto para drenagem de garagem no pavimento G4.</t>
  </si>
  <si>
    <t>rateio Gemma: Luvas de conexão na rede de esgoto do pavimento de garagem 4.</t>
  </si>
  <si>
    <t>rateio Gemma: Luvas de conexão na rede de esgoto reforçada do pavimento de garagem 4.</t>
  </si>
  <si>
    <t>rateio Gemma: Curvas de direção na rede de esgoto do pavimento de garagem 4.</t>
  </si>
  <si>
    <t>Subtotal G4 AMBAS: 7 itens</t>
  </si>
  <si>
    <t>06º G5 | Torre: A</t>
  </si>
  <si>
    <t>G5</t>
  </si>
  <si>
    <t>rateio Gemma: Ramal vertical de água fria (20% do total) para a garagem G5, Torre A.</t>
  </si>
  <si>
    <t>rateio Gemma: Ramal de água quente (20% do total) para a garagem G5, Torre A.</t>
  </si>
  <si>
    <t>Subtotal G5 A: 4 itens</t>
  </si>
  <si>
    <t>06º G5 | Torre: B</t>
  </si>
  <si>
    <t>rateio Gemma: Ramal vertical de água fria (20% do total) para a garagem G5, Torre B.</t>
  </si>
  <si>
    <t>rateio Gemma: Ramal de água quente (20% do total) para a garagem G5, Torre B.</t>
  </si>
  <si>
    <t>Subtotal G5 B: 4 itens</t>
  </si>
  <si>
    <t>06º G5 | Torre: AMBAS</t>
  </si>
  <si>
    <t>rateio Gemma: Conexões em ramais de distribuição na garagem 5.</t>
  </si>
  <si>
    <t>rateio Gemma: Joelhos de esgoto para drenagem de garagem no pavimento G5.</t>
  </si>
  <si>
    <t>rateio Gemma: Luvas de conexão na rede de esgoto do pavimento de garagem 5.</t>
  </si>
  <si>
    <t>rateio Gemma: Luvas de conexão na rede de esgoto reforçada do pavimento de garagem 5.</t>
  </si>
  <si>
    <t>rateio Gemma: Curvas de direção na rede de esgoto do pavimento de garagem 5.</t>
  </si>
  <si>
    <t>Subtotal G5 AMBAS: 7 itens</t>
  </si>
  <si>
    <t>07º Lazer | Torre: AMBAS</t>
  </si>
  <si>
    <t>rateio Gemma: Conexões em áreas sociais e lazer.</t>
  </si>
  <si>
    <t>rateio Gemma: Conexões em áreas de lazer e piscina.</t>
  </si>
  <si>
    <t>rateio Gemma: Conexões de redução de diâmetro em áreas sociais e lazer.</t>
  </si>
  <si>
    <t>rateio Gemma: Conexões de redução em áreas sociais e lazer.</t>
  </si>
  <si>
    <t>rateio Gemma: Conexões em áreas sociais e piscina</t>
  </si>
  <si>
    <t>rateio Gemma: Curvas em áreas sociais e lazer</t>
  </si>
  <si>
    <t>rateio Gemma: Luvas de conexão em áreas sociais e lazer</t>
  </si>
  <si>
    <t>rateio Gemma: Joelhos de esgoto para drenagem de áreas sociais e piscina.</t>
  </si>
  <si>
    <t>rateio Gemma: Joelhos de esgoto para drenagem de áreas comuns e piscina no pavimento lazer.</t>
  </si>
  <si>
    <t>rateio Gemma: Luvas de conexão em áreas sociais e de lazer.</t>
  </si>
  <si>
    <t>rateio Gemma: Curvas de direção em áreas sociais e de lazer.</t>
  </si>
  <si>
    <t>rateio Gemma: Distribuição em áreas sociais e lazer.</t>
  </si>
  <si>
    <t>rateio Gemma: Distribuição em áreas sociais e lazer (piscina, academia, etc.).</t>
  </si>
  <si>
    <t>rateio Gemma: Conexões em áreas de lazer.</t>
  </si>
  <si>
    <t>rateio Gemma: Joelhos em áreas sociais e de lazer.</t>
  </si>
  <si>
    <t>rateio Gemma: Ramais de alimentação em áreas de lazer.</t>
  </si>
  <si>
    <t>rateio Gemma: Transições em áreas comuns de lazer.</t>
  </si>
  <si>
    <t>rateio Gemma: Conexões em áreas comuns de lazer.</t>
  </si>
  <si>
    <t>rateio Gemma: Distribuição de água quente para áreas sociais e lazer.</t>
  </si>
  <si>
    <t>rateio Gemma: Medição de consumo em áreas sociais e lazer.</t>
  </si>
  <si>
    <t>Subtotal LAZER AMBAS: 30 itens</t>
  </si>
  <si>
    <t>08º-31º Tipo (×24) | Torre: A</t>
  </si>
  <si>
    <t>TIPO</t>
  </si>
  <si>
    <t>rateio Gemma: Distribuição 50% para a rede interna da Torre A (TIPO).</t>
  </si>
  <si>
    <t>rateio Gemma: Distribuição ligeiramente maior para Torre A (TIPO).</t>
  </si>
  <si>
    <t>rateio Gemma: Conexões em pontos de água fria do apartamento tipo A.</t>
  </si>
  <si>
    <t>rateio Gemma: Distribuição de água fria nos ramais verticais e horizontais dos apartamentos tipo A.</t>
  </si>
  <si>
    <t>rateio Gemma: Conexão em ponto de água fria do apartamento tipo A.</t>
  </si>
  <si>
    <t>rateio Gemma: Conexões de redução de diâmetro nos ramais verticais e horizontais dos apartamentos tipo A.</t>
  </si>
  <si>
    <t>rateio Gemma: Distribuição em TIPO (Torre A) para conexões de ramais e prumadas.</t>
  </si>
  <si>
    <t>rateio Gemma: Alta concentração em TIPO (Torre A) para conexões de ramais e pontos de consumo.</t>
  </si>
  <si>
    <t>rateio Gemma: Distribuição em TIPO (Torre A) para conexões de ramais e pontos de consumo.</t>
  </si>
  <si>
    <t>rateio Gemma: Alto volume de conexões em TIPO (Torre A) para distribuição de água fria.</t>
  </si>
  <si>
    <t>rateio Gemma: Distribuição em TIPO (Torre A) para conexões de diferentes diâmetros em ramais e prumadas.</t>
  </si>
  <si>
    <t>rateio Gemma: Distribuição residencial (metade da demanda em TIPO A)</t>
  </si>
  <si>
    <t>rateio Gemma: Adaptadores para ramais e conexões internas em TIPO A</t>
  </si>
  <si>
    <t>rateio Gemma: Curvas de transposição em TIPO A (risers e ramais)</t>
  </si>
  <si>
    <t>rateio Gemma: Curvas de transposição em TIPO A</t>
  </si>
  <si>
    <t>rateio Gemma: Luvas de conexão em TIPO A (banheiros/cozinha)</t>
  </si>
  <si>
    <t>rateio Gemma: Bucha de conexão principal para a Torre A, distribuída nos pavimentos tipo.</t>
  </si>
  <si>
    <t>rateio Gemma: Conector de transição para a Torre A, usado em pontos de derivação e conexões principais nos apartamentos.</t>
  </si>
  <si>
    <t>rateio Gemma: Curvas de transposição para a Torre A, seguindo o traçado das tubulações internas.</t>
  </si>
  <si>
    <t>rateio Gemma: Joelho 90º para a Torre A, utilizado em curvas de bancadas e paredes dos apartamentos tipo.</t>
  </si>
  <si>
    <t>rateio Gemma: Joelho 90º para a Torre A, distribuído em pontos de mudança de direção nos apartamentos tipo.</t>
  </si>
  <si>
    <t>rateio Gemma: Joelho 45º para a Torre A, usado em curvas suaves de distribuição interna.</t>
  </si>
  <si>
    <t>rateio Gemma: Joelho de transição para a Torre A, usado em mudanças de direção nas redes internas.</t>
  </si>
  <si>
    <t>rateio Gemma: Joelho de transição para a Torre A, usado em mudanças de direção nas redes principais.</t>
  </si>
  <si>
    <t>rateio Gemma: Joelho de transição para a Torre A, usado em conexões de derivação.</t>
  </si>
  <si>
    <t>rateio Gemma: Tê para a Torre A, usado em pontos de derivação de ramais de água quente nos apartamentos tipo.</t>
  </si>
  <si>
    <t>rateio Gemma: Conexões de água quente em banheiros e cozinhas da Torre A.</t>
  </si>
  <si>
    <t>rateio Gemma: Conexões de redução de água quente em pontos de consumo da Torre A.</t>
  </si>
  <si>
    <t>rateio Gemma: Luvas de transição para água quente em pontos de consumo da Torre A.</t>
  </si>
  <si>
    <t>rateio Gemma: Joelhos de esgoto em banheiros e áreas molhadas da Torre A.</t>
  </si>
  <si>
    <t>rateio Gemma: Joelhos de esgoto em ramais e conexões secundárias da Torre A.</t>
  </si>
  <si>
    <t>rateio Gemma: Joelhos de 45º para transições de esgoto em ramais e linhas principais da Torre A.</t>
  </si>
  <si>
    <t>rateio Gemma: Distribuição em pontos de conexão nos apartamentos da Torre A.</t>
  </si>
  <si>
    <t>rateio Gemma: Maior parte das conexões de esgoto nos apartamentos da Torre A (96 aptos).</t>
  </si>
  <si>
    <t>rateio Gemma: Junções reforçadas nas prumadas principais da Torre A.</t>
  </si>
  <si>
    <t>rateio Gemma: Pontos de inspeção distribuídos nos ramais de esgoto da Torre A.</t>
  </si>
  <si>
    <t>rateio Gemma: Luvas de conexão em todos os ramais de esgoto dos 96 apartamentos da Torre A.</t>
  </si>
  <si>
    <t>rateio Gemma: Anéis de vedação para vasos sanitários na Torre A.</t>
  </si>
  <si>
    <t>rateio Gemma: Vedação de conexões em prumadas e ramais de apartamentos (Torre A).</t>
  </si>
  <si>
    <t>rateio Gemma: Redução de diâmetro em ramais de apartamentos (Torre A).</t>
  </si>
  <si>
    <t>rateio Gemma: Redução de diâmetro em ramais de apartamentos (Torre A) em pontos de alta carga.</t>
  </si>
  <si>
    <t>rateio Gemma: Bucha de redução em ramais de apartamentos (Torre A).</t>
  </si>
  <si>
    <t>rateio Gemma: Caixa sifonada em banheiros e áreas molhadas dos apartamentos (Torre A).</t>
  </si>
  <si>
    <t>rateio Gemma: Ralo de piso em áreas molhadas (banheiros/lavanderias) dos apartamentos (Torre A).</t>
  </si>
  <si>
    <t>rateio Gemma: Distribuição em apartamentos tipo da Torre A.</t>
  </si>
  <si>
    <t>rateio Gemma: Joelhos em prumadas e ramais da Torre A.</t>
  </si>
  <si>
    <t>rateio Gemma: Joelhos em ramais de apartamentos tipo da Torre A.</t>
  </si>
  <si>
    <t>rateio Gemma: Ramais de alimentação em apartamentos tipo da Torre A.</t>
  </si>
  <si>
    <t>rateio Gemma: Transições de ramais principais em apartamentos tipo da Torre A.</t>
  </si>
  <si>
    <t>rateio Gemma: 80% do total de esgoto para a prumada vertical da Torre A.</t>
  </si>
  <si>
    <t>rateio Gemma: Prumada vertical de água fria (70% do total) para a Torre A.</t>
  </si>
  <si>
    <t>rateio Gemma: Distribuição de água quente (60% do total) para a Torre A.</t>
  </si>
  <si>
    <t>rateio Gemma: Distribuição de medidores por apartamento (4 aptos/pav x 18 pav)</t>
  </si>
  <si>
    <t>Subtotal TIPO A: 92 itens</t>
  </si>
  <si>
    <t>08º-31º Tipo (×24) | Torre: B</t>
  </si>
  <si>
    <t>rateio Gemma: Distribuição 50% para a rede interna da Torre B (TIPO).</t>
  </si>
  <si>
    <t>rateio Gemma: Distribuição ligeiramente menor para Torre B (TIPO).</t>
  </si>
  <si>
    <t>rateio Gemma: Conexão em ponto de água fria do apartamento tipo B.</t>
  </si>
  <si>
    <t>rateio Gemma: Conexões em pontos de água fria do apartamento tipo B.</t>
  </si>
  <si>
    <t>rateio Gemma: Distribuição de água fria nos ramais verticais e horizontais dos apartamentos tipo B.</t>
  </si>
  <si>
    <t>rateio Gemma: Conexões de redução de diâmetro nos ramais verticais e horizontais dos apartamentos tipo B.</t>
  </si>
  <si>
    <t>rateio Gemma: Distribuição em TIPO (Torre B) para conexões de ramais e prumadas.</t>
  </si>
  <si>
    <t>rateio Gemma: Alta concentração em TIPO (Torre B) para conexões de ramais e pontos de consumo.</t>
  </si>
  <si>
    <t>rateio Gemma: Distribuição em TIPO (Torre B) para conexões de ramais e pontos de consumo.</t>
  </si>
  <si>
    <t>rateio Gemma: Alto volume de conexões em TIPO (Torre B) para distribuição de água fria.</t>
  </si>
  <si>
    <t>rateio Gemma: Distribuição em TIPO (Torre B) para conexões de diferentes diâmetros em ramais e prumadas.</t>
  </si>
  <si>
    <t>rateio Gemma: Distribuição residencial (metade da demanda em TIPO B)</t>
  </si>
  <si>
    <t>rateio Gemma: Adaptadores para ramais e conexões internas em TIPO B</t>
  </si>
  <si>
    <t>rateio Gemma: Curvas de transposição em TIPO B (risers e ramais)</t>
  </si>
  <si>
    <t>rateio Gemma: Curvas de transposição em TIPO B</t>
  </si>
  <si>
    <t>rateio Gemma: Luvas de conexão em TIPO B (banheiros/cozinha)</t>
  </si>
  <si>
    <t>rateio Gemma: Bucha de conexão principal para a Torre B, distribuída nos pavimentos tipo.</t>
  </si>
  <si>
    <t>rateio Gemma: Conector de transição para a Torre B, usado em pontos de derivação e conexões principais nos apartamentos.</t>
  </si>
  <si>
    <t>rateio Gemma: Curvas de transposição para a Torre B, seguindo o traçado das tubulações internas.</t>
  </si>
  <si>
    <t>rateio Gemma: Joelho 90º para a Torre B, utilizado em curvas de bancadas e paredes dos apartamentos tipo.</t>
  </si>
  <si>
    <t>rateio Gemma: Joelho 90º para a Torre B, distribuído em pontos de mudança de direção nos apartamentos tipo.</t>
  </si>
  <si>
    <t>rateio Gemma: Joelho 45º para a Torre B, usado em curvas suaves de distribuição interna.</t>
  </si>
  <si>
    <t>rateio Gemma: Joelho de transição para a Torre B, usado em mudanças de direção nas redes internas.</t>
  </si>
  <si>
    <t>rateio Gemma: Joelho de transição para a Torre B, usado em mudanças de direção nas redes principais.</t>
  </si>
  <si>
    <t>rateio Gemma: Joelho de transição para a Torre B, usado em conexões de derivação.</t>
  </si>
  <si>
    <t>rateio Gemma: Tê para a Torre B, usado em pontos de derivação de ramais de água quente nos apartamentos tipo.</t>
  </si>
  <si>
    <t>rateio Gemma: Conexões de água quente em banheiros e cozinhas da Torre B.</t>
  </si>
  <si>
    <t>rateio Gemma: Conexões de redução de água quente em pontos de consumo da Torre B.</t>
  </si>
  <si>
    <t>rateio Gemma: Luvas de transição para água quente em pontos de consumo da Torre B.</t>
  </si>
  <si>
    <t>rateio Gemma: Joelhos de esgoto em banheiros e áreas molhadas da Torre B.</t>
  </si>
  <si>
    <t>rateio Gemma: Joelhos de esgoto em ramais e conexões secundárias da Torre B.</t>
  </si>
  <si>
    <t>rateio Gemma: Joelhos de 45º para transições de esgoto em ramais e linhas principais da Torre B.</t>
  </si>
  <si>
    <t>rateio Gemma: Distribuição em pontos de conexão nos apartamentos da Torre B.</t>
  </si>
  <si>
    <t>rateio Gemma: Maior parte das conexões de esgoto nos apartamentos da Torre B (96 aptos).</t>
  </si>
  <si>
    <t>rateio Gemma: Junções reforçadas nas prumadas principais da Torre B.</t>
  </si>
  <si>
    <t>rateio Gemma: Pontos de inspeção distribuídos nos ramais de esgoto da Torre B.</t>
  </si>
  <si>
    <t>rateio Gemma: Luvas de conexão em todos os ramais de esgoto dos 96 apartamentos da Torre B.</t>
  </si>
  <si>
    <t>rateio Gemma: Anéis de vedação para vasos sanitários na Torre B.</t>
  </si>
  <si>
    <t>rateio Gemma: Vedação de conexões em prumadas e ramais de apartamentos (Torre B).</t>
  </si>
  <si>
    <t>rateio Gemma: Redução de diâmetro em ramais de apartamentos (Torre B).</t>
  </si>
  <si>
    <t>rateio Gemma: Redução de diâmetro em ramais de apartamentos (Torre B) em pontos de alta carga.</t>
  </si>
  <si>
    <t>rateio Gemma: Bucha de redução em ramais de apartamentos (Torre B).</t>
  </si>
  <si>
    <t>rateio Gemma: Caixa sifonada em banheiros e áreas molhadas dos apartamentos (Torre B).</t>
  </si>
  <si>
    <t>rateio Gemma: Ralo de piso em áreas molhadas (banheiros/lavanderias) dos apartamentos (Torre B).</t>
  </si>
  <si>
    <t>rateio Gemma: Distribuição em apartamentos tipo da Torre B.</t>
  </si>
  <si>
    <t>rateio Gemma: Joelhos em prumadas e ramais da Torre B.</t>
  </si>
  <si>
    <t>rateio Gemma: Joelhos em ramais de apartamentos tipo da Torre B.</t>
  </si>
  <si>
    <t>rateio Gemma: Ramais de alimentação em apartamentos tipo da Torre B.</t>
  </si>
  <si>
    <t>rateio Gemma: Transições de ramais principais em apartamentos tipo da Torre B.</t>
  </si>
  <si>
    <t>rateio Gemma: 80% do total de esgoto para a prumada vertical da Torre B.</t>
  </si>
  <si>
    <t>rateio Gemma: Prumada vertical de água fria (70% do total) para a Torre B.</t>
  </si>
  <si>
    <t>rateio Gemma: Distribuição de água quente (60% do total) para a Torre B.</t>
  </si>
  <si>
    <t>Subtotal TIPO B: 91 itens</t>
  </si>
  <si>
    <t>08º-31º Tipo (×24) | Torre: AMBAS</t>
  </si>
  <si>
    <t>rateio Gemma: Conexões de ramais principais em TIPO (metade para A, metade para B).</t>
  </si>
  <si>
    <t>rateio Gemma: Conexões de sistema em TIPO, servindo ambas as torres (ramais principais).</t>
  </si>
  <si>
    <t>rateio Gemma: Conexões de ramais principais em TIPO, servindo ambas as torres.</t>
  </si>
  <si>
    <t>rateio Gemma: Registros de isolamento em TIPO (ramais principais, servindo ambas as torres).</t>
  </si>
  <si>
    <t>rateio Gemma: Conexões gerais nos pavimentos tipo (risers e ramais)</t>
  </si>
  <si>
    <t>rateio Gemma: Maior concentração em unidades tipo (banheiros/cozinhas) dos 96 apartamentos.</t>
  </si>
  <si>
    <t>rateio Gemma: Conexões reforçadas em unidades tipo (banheiros/cozinhas).</t>
  </si>
  <si>
    <t>rateio Gemma: Junções simples em unidades tipo (banheiros/cozinhas).</t>
  </si>
  <si>
    <t>rateio Gemma: Junções simples reforçadas em unidades tipo (banheiros/cozinhas).</t>
  </si>
  <si>
    <t>rateio Gemma: Luvas de conexão em banheiros e áreas molhadas dos apartamentos tipo.</t>
  </si>
  <si>
    <t>rateio Gemma: Curvas de direção em banheiros e áreas molhadas dos apartamentos tipo.</t>
  </si>
  <si>
    <t>rateio Gemma: Anéis de vedação para conexões de esgoto em todos os apartamentos tipo (conexões de alta frequência).</t>
  </si>
  <si>
    <t>rateio Gemma: Vedação em conexões de esgoto em banheiros e áreas molhadas dos apartamentos tipo.</t>
  </si>
  <si>
    <t>rateio Gemma: Distribuição em apartamentos tipo (TIPO) em ambas as torres.</t>
  </si>
  <si>
    <t>rateio Gemma: Conexões internas nos apartamentos tipo.</t>
  </si>
  <si>
    <t>rateio Gemma: Maior parte do material para ramais e prumadas tipo.</t>
  </si>
  <si>
    <t>rateio Gemma: Rateio de esgoto principal (80% do total) para os pavimentos tipo.</t>
  </si>
  <si>
    <t>rateio Gemma: Controle de pressão em shafts verticais de distribuição por pavimento.</t>
  </si>
  <si>
    <t>Subtotal TIPO AMBAS: 28 itens</t>
  </si>
  <si>
    <t>Casa de Máquinas | Torre: AMBAS</t>
  </si>
  <si>
    <t>C_MAQ</t>
  </si>
  <si>
    <t>rateio Gemma: Conexões em equipamentos e reservatórios na casa de máquinas.</t>
  </si>
  <si>
    <t>rateio Gemma: Conexões de redução de diâmetro em equipamentos e reservatórios na casa de máquinas.</t>
  </si>
  <si>
    <t>rateio Gemma: Conexão de redução em equipamentos ou ramais de serviço na casa de máquinas.</t>
  </si>
  <si>
    <t>rateio Gemma: Conexões de sistema em C_MAQ (barrilete/reservatório).</t>
  </si>
  <si>
    <t>rateio Gemma: Conexões de sistema em C_MAQ (barrilete, reservatórios e alimentação principal).</t>
  </si>
  <si>
    <t>rateio Gemma: Localização em C_MAQ para conexões de equipamentos e sistemas de reserva.</t>
  </si>
  <si>
    <t>rateio Gemma: Conexões de sistema em C_MAQ (alimentação principal).</t>
  </si>
  <si>
    <t>rateio Gemma: Registros de isolamento em C_MAQ (alimentação geral e barrilete).</t>
  </si>
  <si>
    <t>rateio Gemma: Registros principais na Casa de Máquinas (barrilete)</t>
  </si>
  <si>
    <t>rateio Gemma: Conexões principais na Casa de Máquinas</t>
  </si>
  <si>
    <t>rateio Gemma: Luvas de conexão em equipamentos principais na Casa de Máquinas</t>
  </si>
  <si>
    <t>rateio Gemma: Joelho de esgoto para conexão do barrilete e prumada principal na casa de máquinas.</t>
  </si>
  <si>
    <t>rateio Gemma: Joelho de conexão na saída do barrilete/casa de máquinas.</t>
  </si>
  <si>
    <t>rateio Gemma: Conexões e desvios na casa de máquinas e barrilete.</t>
  </si>
  <si>
    <t>rateio Gemma: Conexões reforçadas na casa de máquinas e barrilete.</t>
  </si>
  <si>
    <t>rateio Gemma: Conexões de deságue na casa de máquinas.</t>
  </si>
  <si>
    <t>rateio Gemma: Junções simples na casa de máquinas e barrilete.</t>
  </si>
  <si>
    <t>rateio Gemma: Junções simples reforçadas na casa de máquinas e barrilete.</t>
  </si>
  <si>
    <t>rateio Gemma: Junções em pontos de coleta ou transição no sistema de reservatórios/máquinas.</t>
  </si>
  <si>
    <t>rateio Gemma: Conexões reforçadas na área de máquinas/reservatórios.</t>
  </si>
  <si>
    <t>rateio Gemma: Luvas de conexão em caixas de inspeção e descarte de equipamentos na casa de máquinas.</t>
  </si>
  <si>
    <t>rateio Gemma: Vedação em conexões de equipamentos na casa de máquinas.</t>
  </si>
  <si>
    <t>rateio Gemma: Vedação de conexões em reservatórios e caixas de passagem de equipamentos.</t>
  </si>
  <si>
    <t>rateio Gemma: Redução de diâmetro na saída de equipamentos ou caixas de passagem em C_MAQ.</t>
  </si>
  <si>
    <t>rateio Gemma: Bucha de redução em conexões de equipamentos ou caixas de passagem em C_MAQ.</t>
  </si>
  <si>
    <t>rateio Gemma: Localização em área de máquinas/reservatórios.</t>
  </si>
  <si>
    <t>rateio Gemma: Conexões em área de máquinas e reservatórios.</t>
  </si>
  <si>
    <t>rateio Gemma: Joelhos em conexões de equipamentos e reservatórios.</t>
  </si>
  <si>
    <t>rateio Gemma: 10% do total para ventilação e medição em casa de máquinas.</t>
  </si>
  <si>
    <t>rateio Gemma: Ventilação ou ramal de inspeção em casa de máquinas.</t>
  </si>
  <si>
    <t>rateio Gemma: Rateio de esgoto para ventilação de prumadas em casa de máquinas.</t>
  </si>
  <si>
    <t>rateio Gemma: Equipamento de pressurização principal na casa de máquinas.</t>
  </si>
  <si>
    <t>rateio Gemma: Pressurizador auxiliar ou específico na casa de máquinas.</t>
  </si>
  <si>
    <t>rateio Gemma: Sistema principal de recalque de água na casa de máquinas.</t>
  </si>
  <si>
    <t>rateio Gemma: Controle de pressão na saída do sistema de bombeamento.</t>
  </si>
  <si>
    <t>rateio Gemma: Controle de acionamento das bombas na casa de máquinas.</t>
  </si>
  <si>
    <t>rateio Gemma: Monitoramento de nível em reservatórios e caixas d'água na casa de máquinas.</t>
  </si>
  <si>
    <t>rateio Gemma: Dispositivos de segurança e alívio no sistema de bombeamento.</t>
  </si>
  <si>
    <t>rateio Gemma: Filtros de linha principal, localizados na casa de máquinas (C_MAQ) para tratamento de água.</t>
  </si>
  <si>
    <t>rateio Gemma: Dispositivos de proteção e controle de fluxo instalados na casa de máquinas (C_MAQ) ou shafts principais.</t>
  </si>
  <si>
    <t>rateio Gemma: Válvulas de retenção em pontos críticos de interconexão ou na casa de máquinas (C_MAQ) para evitar refluxo.</t>
  </si>
  <si>
    <t>rateio Gemma: Válvulas de proteção e filtragem de grandes diâmetros, localizadas na casa de máquinas (C_MAQ) ou subsolo.</t>
  </si>
  <si>
    <t>Subtotal C_MAQ AMBAS: 64 itens</t>
  </si>
  <si>
    <t>Cobertura | Torre: AMBAS</t>
  </si>
  <si>
    <t>COBERTURA</t>
  </si>
  <si>
    <t>rateio Gemma: Vedação de conexões de drenagem e SPDA na laje de cobertura.</t>
  </si>
  <si>
    <t>Subtotal COBERTURA AMBAS: 2 itens</t>
  </si>
  <si>
    <t>Flat (ordem original do PDF) - 187 itens</t>
  </si>
  <si>
    <t>PDF slug</t>
  </si>
  <si>
    <t>PDF original</t>
  </si>
  <si>
    <t>Doc cod QT-MAT</t>
  </si>
  <si>
    <t>Doc localizacao</t>
  </si>
  <si>
    <t>Formato</t>
  </si>
  <si>
    <t>348_LM - HIDRO - rev.00_ELC - CONEXÕES TUBOS.pdf</t>
  </si>
  <si>
    <t>348_LM - HIDRO - rev.00_ELC - ETE e CX. GORDURA.pdf</t>
  </si>
  <si>
    <t>348_LM - HIDRO - rev.00_ELC - TUBULAÇÕES.pdf</t>
  </si>
  <si>
    <t>348_LM - HIDRO - rev.00_ELC - VÁLVULAS, MOTOBOMBAS.pdf</t>
  </si>
  <si>
    <t>Rateio por pavimento (format A) - 490 distribuicoes</t>
  </si>
  <si>
    <t>Gerado por Gemma usando heuristica tecnica por sistema (ver gemma_rateio_pavimento.py)</t>
  </si>
  <si>
    <t>Num</t>
  </si>
  <si>
    <t>Qtd total</t>
  </si>
  <si>
    <t>Qtd rateada</t>
  </si>
  <si>
    <t>%</t>
  </si>
  <si>
    <t>Justificativa</t>
  </si>
  <si>
    <t>Distribuição 50% para a rede interna da Torre A (TIPO).</t>
  </si>
  <si>
    <t>Distribuição 50% para a rede interna da Torre B (TIPO).</t>
  </si>
  <si>
    <t>Distribuição ligeiramente maior para Torre A (TIPO).</t>
  </si>
  <si>
    <t>Distribuição ligeiramente menor para Torre B (TIPO).</t>
  </si>
  <si>
    <t>Joelhos de conexão em prumadas principais no subsolo.</t>
  </si>
  <si>
    <t>Conexões em áreas sociais e lazer.</t>
  </si>
  <si>
    <t>Conexões em pontos de água fria do apartamento tipo A.</t>
  </si>
  <si>
    <t>Conexão em ponto de água fria do apartamento tipo B.</t>
  </si>
  <si>
    <t>Conexões em ramais de distribuição no subsolo.</t>
  </si>
  <si>
    <t>Conexões em pontos de água fria do apartamento tipo B.</t>
  </si>
  <si>
    <t>Conexões em ramais de distribuição na garagem 1.</t>
  </si>
  <si>
    <t>Conexões em ramais de distribuição na garagem 2.</t>
  </si>
  <si>
    <t>Conexões em áreas de lazer e piscina.</t>
  </si>
  <si>
    <t>Distribuição principal de água fria nos ramais de subsolo.</t>
  </si>
  <si>
    <t>Distribuição de água fria na garagem 1.</t>
  </si>
  <si>
    <t>Conexões em equipamentos e reservatórios na casa de máquinas.</t>
  </si>
  <si>
    <t>Distribuição de água fria nos ramais verticais e horizontais dos apartamentos tipo A.</t>
  </si>
  <si>
    <t>Distribuição de água fria nos ramais verticais e horizontais dos apartamentos tipo B.</t>
  </si>
  <si>
    <t>Conexões de ramais de água fria no subsolo.</t>
  </si>
  <si>
    <t>Conexões em ramais de água fria no subsolo.</t>
  </si>
  <si>
    <t>Conexão em ponto de água fria do apartamento tipo A.</t>
  </si>
  <si>
    <t>Conexões em ramais de distribuição na garagem 3.</t>
  </si>
  <si>
    <t>Conexões em ramais de distribuição na garagem 4.</t>
  </si>
  <si>
    <t>Conexões em ramais de distribuição na garagem 5.</t>
  </si>
  <si>
    <t>Conexões de redução de diâmetro em prumadas principais no subsolo.</t>
  </si>
  <si>
    <t>Conexões de redução de diâmetro em áreas sociais e lazer.</t>
  </si>
  <si>
    <t>Conexões de redução de diâmetro em equipamentos e reservatórios na casa de máquinas.</t>
  </si>
  <si>
    <t>Conexões de redução de diâmetro nos ramais verticais e horizontais dos apartamentos tipo A.</t>
  </si>
  <si>
    <t>Conexões de redução de diâmetro nos ramais verticais e horizontais dos apartamentos tipo B.</t>
  </si>
  <si>
    <t>Conexões de redução em ramais de água fria no subsolo.</t>
  </si>
  <si>
    <t>Conexões de redução em áreas sociais e lazer.</t>
  </si>
  <si>
    <t>Conexão de redução em equipamentos ou ramais de serviço na casa de máquinas.</t>
  </si>
  <si>
    <t>Distribuição em TIPO (Torre A) para conexões de ramais e prumadas.</t>
  </si>
  <si>
    <t>Distribuição em TIPO (Torre B) para conexões de ramais e prumadas.</t>
  </si>
  <si>
    <t>Alta concentração em TIPO (Torre A) para conexões de ramais e pontos de consumo.</t>
  </si>
  <si>
    <t>Alta concentração em TIPO (Torre B) para conexões de ramais e pontos de consumo.</t>
  </si>
  <si>
    <t>Distribuição em TIPO (Torre A) para conexões de ramais e pontos de consumo.</t>
  </si>
  <si>
    <t>Distribuição em TIPO (Torre B) para conexões de ramais e pontos de consumo.</t>
  </si>
  <si>
    <t>Conexões de ramais principais em TIPO (metade para A, metade para B).</t>
  </si>
  <si>
    <t>Conexões de sistema em C_MAQ (barrilete/reservatório).</t>
  </si>
  <si>
    <t>Alto volume de conexões em TIPO (Torre A) para distribuição de água fria.</t>
  </si>
  <si>
    <t>Alto volume de conexões em TIPO (Torre B) para distribuição de água fria.</t>
  </si>
  <si>
    <t>Conexões de sistema em C_MAQ (barrilete, reservatórios e alimentação principal).</t>
  </si>
  <si>
    <t>Conexões de sistema em TIPO, servindo ambas as torres (ramais principais).</t>
  </si>
  <si>
    <t>Distribuição em TIPO (Torre A) para conexões de diferentes diâmetros em ramais e prumadas.</t>
  </si>
  <si>
    <t>Distribuição em TIPO (Torre B) para conexões de diferentes diâmetros em ramais e prumadas.</t>
  </si>
  <si>
    <t>Localização em C_MAQ para conexões de equipamentos e sistemas de reserva.</t>
  </si>
  <si>
    <t>Conexões de ramais principais em TIPO, servindo ambas as torres.</t>
  </si>
  <si>
    <t>Conexões de sistema em C_MAQ (alimentação principal).</t>
  </si>
  <si>
    <t>Registros de isolamento em TIPO (ramais principais, servindo ambas as torres).</t>
  </si>
  <si>
    <t>Registros de isolamento em C_MAQ (alimentação geral e barrilete).</t>
  </si>
  <si>
    <t>Distribuição residencial (metade da demanda em TIPO A)</t>
  </si>
  <si>
    <t>Distribuição residencial (metade da demanda em TIPO B)</t>
  </si>
  <si>
    <t>Registros principais na Casa de Máquinas (barrilete)</t>
  </si>
  <si>
    <t>Registros de serviço no térreo (hidrômetros/ramais)</t>
  </si>
  <si>
    <t>Adaptadores para ramais e conexões internas em TIPO A</t>
  </si>
  <si>
    <t>Adaptadores para ramais e conexões internas em TIPO B</t>
  </si>
  <si>
    <t>Conexões gerais nos pavimentos tipo (risers e ramais)</t>
  </si>
  <si>
    <t>Conexões em áreas sociais e piscina</t>
  </si>
  <si>
    <t>Conexões de serviço no térreo</t>
  </si>
  <si>
    <t>Conexões principais na Casa de Máquinas</t>
  </si>
  <si>
    <t>Curvas de transposição em TIPO A (risers e ramais)</t>
  </si>
  <si>
    <t>Curvas de transposição em TIPO B (risers e ramais)</t>
  </si>
  <si>
    <t>Curvas em áreas sociais e lazer</t>
  </si>
  <si>
    <t>Curvas de transposição em áreas de serviço e subsolo</t>
  </si>
  <si>
    <t>Curvas de transposição em TIPO A</t>
  </si>
  <si>
    <t>Curvas de transposição em TIPO B</t>
  </si>
  <si>
    <t>Luvas de conexão em equipamentos principais na Casa de Máquinas</t>
  </si>
  <si>
    <t>Luvas de conexão em prumadas e serviços no térreo</t>
  </si>
  <si>
    <t>Luvas de conexão em TIPO A (banheiros/cozinha)</t>
  </si>
  <si>
    <t>Luvas de conexão em TIPO B (banheiros/cozinha)</t>
  </si>
  <si>
    <t>Luvas de conexão em áreas sociais e lazer</t>
  </si>
  <si>
    <t>Bucha de conexão principal para a Torre A, distribuída nos pavimentos tipo.</t>
  </si>
  <si>
    <t>Bucha de conexão principal para a Torre B, distribuída nos pavimentos tipo.</t>
  </si>
  <si>
    <t>Conector de transição para a Torre A, usado em pontos de derivação e conexões principais nos apartamentos.</t>
  </si>
  <si>
    <t>Conector de transição para a Torre B, usado em pontos de derivação e conexões principais nos apartamentos.</t>
  </si>
  <si>
    <t>Curvas de transposição para a Torre A, seguindo o traçado das tubulações internas.</t>
  </si>
  <si>
    <t>Curvas de transposição para a Torre B, seguindo o traçado das tubulações internas.</t>
  </si>
  <si>
    <t>Joelho 90º para a Torre A, utilizado em curvas de bancadas e paredes dos apartamentos tipo.</t>
  </si>
  <si>
    <t>Joelho 90º para a Torre B, utilizado em curvas de bancadas e paredes dos apartamentos tipo.</t>
  </si>
  <si>
    <t>Joelho 90º para a Torre A, distribuído em pontos de mudança de direção nos apartamentos tipo.</t>
  </si>
  <si>
    <t>Joelho 90º para a Torre B, distribuído em pontos de mudança de direção nos apartamentos tipo.</t>
  </si>
  <si>
    <t>Joelho 45º para a Torre A, usado em curvas suaves de distribuição interna.</t>
  </si>
  <si>
    <t>Joelho 45º para a Torre B, usado em curvas suaves de distribuição interna.</t>
  </si>
  <si>
    <t>Joelho de transição para a Torre A, usado em mudanças de direção nas redes internas.</t>
  </si>
  <si>
    <t>Joelho de transição para a Torre B, usado em mudanças de direção nas redes internas.</t>
  </si>
  <si>
    <t>Joelho de transição para a Torre A, usado em mudanças de direção nas redes principais.</t>
  </si>
  <si>
    <t>Joelho de transição para a Torre B, usado em mudanças de direção nas redes principais.</t>
  </si>
  <si>
    <t>Joelho de transição para a Torre A, usado em conexões de derivação.</t>
  </si>
  <si>
    <t>Joelho de transição para a Torre B, usado em conexões de derivação.</t>
  </si>
  <si>
    <t>Tê para a Torre A, usado em pontos de derivação de ramais de água quente nos apartamentos tipo.</t>
  </si>
  <si>
    <t>Tê para a Torre B, usado em pontos de derivação de ramais de água quente nos apartamentos tipo.</t>
  </si>
  <si>
    <t>Conexões de água quente em banheiros e cozinhas da Torre A.</t>
  </si>
  <si>
    <t>Conexões de água quente em banheiros e cozinhas da Torre B.</t>
  </si>
  <si>
    <t>Conexões de redução de água quente em pontos de consumo da Torre A.</t>
  </si>
  <si>
    <t>Conexões de redução de água quente em pontos de consumo da Torre B.</t>
  </si>
  <si>
    <t>Luvas de transição para água quente em pontos de consumo da Torre A.</t>
  </si>
  <si>
    <t>Luvas de transição para água quente em pontos de consumo da Torre B.</t>
  </si>
  <si>
    <t>Joelhos de esgoto em banheiros e áreas molhadas da Torre A.</t>
  </si>
  <si>
    <t>Joelhos de esgoto em banheiros e áreas molhadas da Torre B.</t>
  </si>
  <si>
    <t>Joelhos de esgoto para drenagem de garagem no pavimento G1.</t>
  </si>
  <si>
    <t>Joelhos de esgoto para drenagem de garagem no pavimento G2.</t>
  </si>
  <si>
    <t>Joelhos de esgoto para drenagem de garagem no pavimento G3.</t>
  </si>
  <si>
    <t>Joelhos de esgoto para drenagem de garagem no pavimento G4.</t>
  </si>
  <si>
    <t>Joelhos de esgoto para drenagem de garagem no pavimento G5.</t>
  </si>
  <si>
    <t>Joelhos de esgoto para drenagem de áreas sociais e piscina.</t>
  </si>
  <si>
    <t>Joelhos de esgoto em ramais e conexões secundárias da Torre A.</t>
  </si>
  <si>
    <t>Joelhos de esgoto em ramais e conexões secundárias da Torre B.</t>
  </si>
  <si>
    <t>Joelhos de esgoto para prumadas principais e caixas de inspeção no térreo.</t>
  </si>
  <si>
    <t>Joelho de esgoto para conexão do barrilete e prumada principal na casa de máquinas.</t>
  </si>
  <si>
    <t>Joelhos de esgoto para drenagem de áreas comuns e piscina no pavimento lazer.</t>
  </si>
  <si>
    <t>Joelhos de 45º para transições de esgoto em ramais e linhas principais da Torre A.</t>
  </si>
  <si>
    <t>Joelhos de 45º para transições de esgoto em ramais e linhas principais da Torre B.</t>
  </si>
  <si>
    <t>Joelho de conexão na prumada principal do térreo.</t>
  </si>
  <si>
    <t>Joelho de conexão na saída do barrilete/casa de máquinas.</t>
  </si>
  <si>
    <t>Maior concentração em unidades tipo (banheiros/cozinhas) dos 96 apartamentos.</t>
  </si>
  <si>
    <t>Conexões de prumadas e ramais no nível do térreo.</t>
  </si>
  <si>
    <t>Conexões e desvios na casa de máquinas e barrilete.</t>
  </si>
  <si>
    <t>Conexões de esgoto na garagem do primeiro pavimento.</t>
  </si>
  <si>
    <t>Conexões de esgoto na garagem do segundo pavimento.</t>
  </si>
  <si>
    <t>Conexões de esgoto na garagem do terceiro pavimento.</t>
  </si>
  <si>
    <t>Conexões reforçadas em unidades tipo (banheiros/cozinhas).</t>
  </si>
  <si>
    <t>Conexões reforçadas na prumada principal do térreo.</t>
  </si>
  <si>
    <t>Conexões reforçadas na casa de máquinas e barrilete.</t>
  </si>
  <si>
    <t>Conexões reforçadas na garagem do primeiro pavimento.</t>
  </si>
  <si>
    <t>Conexões de deságue de prumada no subsolo.</t>
  </si>
  <si>
    <t>Conexões de deságue na casa de máquinas.</t>
  </si>
  <si>
    <t>Junção simples de ramal de esgoto no subsolo.</t>
  </si>
  <si>
    <t>Junções simples em unidades tipo (banheiros/cozinhas).</t>
  </si>
  <si>
    <t>Junções simples na prumada principal do térreo.</t>
  </si>
  <si>
    <t>Junções simples na casa de máquinas e barrilete.</t>
  </si>
  <si>
    <t>Junções simples na garagem do primeiro pavimento.</t>
  </si>
  <si>
    <t>Junções simples reforçadas em unidades tipo (banheiros/cozinhas).</t>
  </si>
  <si>
    <t>Junções simples reforçadas na prumada principal do térreo.</t>
  </si>
  <si>
    <t>Junções simples reforçadas na casa de máquinas e barrilete.</t>
  </si>
  <si>
    <t>Junções críticas na entrada principal do sistema de esgoto no térreo.</t>
  </si>
  <si>
    <t>Junções em pontos de coleta ou transição no sistema de reservatórios/máquinas.</t>
  </si>
  <si>
    <t>Distribuição em pontos de conexão nos apartamentos da Torre A.</t>
  </si>
  <si>
    <t>Distribuição em pontos de conexão nos apartamentos da Torre B.</t>
  </si>
  <si>
    <t>Conexões de ramais de esgoto no subsolo/térreo.</t>
  </si>
  <si>
    <t>Maior parte das conexões de esgoto nos apartamentos da Torre A (96 aptos).</t>
  </si>
  <si>
    <t>Maior parte das conexões de esgoto nos apartamentos da Torre B (96 aptos).</t>
  </si>
  <si>
    <t>Conexões reforçadas em pontos críticos de transição no subsolo.</t>
  </si>
  <si>
    <t>Conexões reforçadas na área de máquinas/reservatórios.</t>
  </si>
  <si>
    <t>Junções reforçadas nas prumadas principais da Torre A.</t>
  </si>
  <si>
    <t>Junções reforçadas nas prumadas principais da Torre B.</t>
  </si>
  <si>
    <t>Conexões de esgoto reforçadas no subsolo/térreo.</t>
  </si>
  <si>
    <t>Conexões reforçadas em pontos de transição no subsolo.</t>
  </si>
  <si>
    <t>Pontos de inspeção obrigatórios na rede coletora no subsolo.</t>
  </si>
  <si>
    <t>Pontos de inspeção distribuídos nos ramais de esgoto da Torre A.</t>
  </si>
  <si>
    <t>Pontos de inspeção distribuídos nos ramais de esgoto da Torre B.</t>
  </si>
  <si>
    <t>Conexões de luva em pontos de transição no subsolo/térreo.</t>
  </si>
  <si>
    <t>Luvas de conexão em todos os ramais de esgoto dos 96 apartamentos da Torre A.</t>
  </si>
  <si>
    <t>Luvas de conexão em todos os ramais de esgoto dos 96 apartamentos da Torre B.</t>
  </si>
  <si>
    <t>Luvas de conexão em prumadas e ramais prediais no térreo.</t>
  </si>
  <si>
    <t>Luvas de conexão em áreas sociais e de lazer.</t>
  </si>
  <si>
    <t>Luvas de conexão em banheiros e áreas molhadas dos apartamentos tipo.</t>
  </si>
  <si>
    <t>Luvas de conexão na rede de esgoto do pavimento de garagem 1.</t>
  </si>
  <si>
    <t>Luvas de conexão na rede de esgoto do pavimento de garagem 2.</t>
  </si>
  <si>
    <t>Luvas de conexão na rede de esgoto do pavimento de garagem 3.</t>
  </si>
  <si>
    <t>Luvas de conexão na rede de esgoto do pavimento de garagem 4.</t>
  </si>
  <si>
    <t>Luvas de conexão na rede de esgoto do pavimento de garagem 5.</t>
  </si>
  <si>
    <t>Luvas de conexão em ramais prediais e caixas de inspeção no térreo.</t>
  </si>
  <si>
    <t>Luvas de conexão na rede de esgoto reforçada do pavimento de garagem 1.</t>
  </si>
  <si>
    <t>Luvas de conexão na rede de esgoto reforçada do pavimento de garagem 2.</t>
  </si>
  <si>
    <t>Luvas de conexão na rede de esgoto reforçada do pavimento de garagem 3.</t>
  </si>
  <si>
    <t>Luvas de conexão na rede de esgoto reforçada do pavimento de garagem 4.</t>
  </si>
  <si>
    <t>Luvas de conexão na rede de esgoto reforçada do pavimento de garagem 5.</t>
  </si>
  <si>
    <t>Luvas de conexão em prumadas principais no subsolo.</t>
  </si>
  <si>
    <t>Luvas de conexão em caixas de inspeção e descarte de equipamentos na casa de máquinas.</t>
  </si>
  <si>
    <t>Curvas de direção na rede de esgoto do pavimento de garagem 1.</t>
  </si>
  <si>
    <t>Curvas de direção na rede de esgoto do pavimento de garagem 2.</t>
  </si>
  <si>
    <t>Curvas de direção na rede de esgoto do pavimento de garagem 3.</t>
  </si>
  <si>
    <t>Curvas de direção na rede de esgoto do pavimento de garagem 4.</t>
  </si>
  <si>
    <t>Curvas de direção na rede de esgoto do pavimento de garagem 5.</t>
  </si>
  <si>
    <t>Curvas de direção em áreas sociais e de lazer.</t>
  </si>
  <si>
    <t>Curvas de direção em banheiros e áreas molhadas dos apartamentos tipo.</t>
  </si>
  <si>
    <t>Curva de transição em caixas de inspeção no térreo.</t>
  </si>
  <si>
    <t>Anéis de vedação para vasos sanitários na Torre A.</t>
  </si>
  <si>
    <t>Anéis de vedação para vasos sanitários na Torre B.</t>
  </si>
  <si>
    <t>Anéis de vedação para conexões de esgoto em todos os apartamentos tipo (conexões de alta frequência).</t>
  </si>
  <si>
    <t>Vedação em caixas de inspeção e ramais prediais no térreo.</t>
  </si>
  <si>
    <t>Vedação em conexões de equipamentos na casa de máquinas.</t>
  </si>
  <si>
    <t>Vedação em conexões de esgoto em banheiros e áreas molhadas dos apartamentos tipo.</t>
  </si>
  <si>
    <t>Vedação de conexões em prumadas e ramais de apartamentos (Torre A).</t>
  </si>
  <si>
    <t>Vedação de conexões em prumadas e ramais de apartamentos (Torre B).</t>
  </si>
  <si>
    <t>Vedação de conexões em caixas de inspeção e ramais prediais no subsolo.</t>
  </si>
  <si>
    <t>Vedação de conexões em reservatórios e caixas de passagem de equipamentos.</t>
  </si>
  <si>
    <t>Vedação de conexões de drenagem e SPDA na laje de cobertura.</t>
  </si>
  <si>
    <t>Redução de diâmetro em caixas de inspeção principais no subsolo.</t>
  </si>
  <si>
    <t>Redução de diâmetro em ramais de apartamentos (Torre A).</t>
  </si>
  <si>
    <t>Redução de diâmetro em ramais de apartamentos (Torre B).</t>
  </si>
  <si>
    <t>Redução de diâmetro na saída de equipamentos ou caixas de passagem em C_MAQ.</t>
  </si>
  <si>
    <t>Redução de diâmetro em pontos críticos de transição de rede no subsolo.</t>
  </si>
  <si>
    <t>Redução de diâmetro em ramais de apartamentos (Torre A) em pontos de alta carga.</t>
  </si>
  <si>
    <t>Redução de diâmetro em ramais de apartamentos (Torre B) em pontos de alta carga.</t>
  </si>
  <si>
    <t>Bucha de redução em ramais de apartamentos (Torre A).</t>
  </si>
  <si>
    <t>Bucha de redução em ramais de apartamentos (Torre B).</t>
  </si>
  <si>
    <t>Bucha de redução em caixas de inspeção e ramais prediais no subsolo.</t>
  </si>
  <si>
    <t>Bucha de redução em pontos críticos de transição de rede no subsolo.</t>
  </si>
  <si>
    <t>Bucha de redução em conexões de equipamentos ou caixas de passagem em C_MAQ.</t>
  </si>
  <si>
    <t>Caixa sifonada em banheiros e áreas molhadas dos apartamentos (Torre A).</t>
  </si>
  <si>
    <t>Caixa sifonada em banheiros e áreas molhadas dos apartamentos (Torre B).</t>
  </si>
  <si>
    <t>Ralo de piso em áreas molhadas (banheiros/lavanderias) dos apartamentos (Torre A).</t>
  </si>
  <si>
    <t>Ralo de piso em áreas molhadas (banheiros/lavanderias) dos apartamentos (Torre B).</t>
  </si>
  <si>
    <t>Distribuição em apartamentos tipo (TIPO) em ambas as torres.</t>
  </si>
  <si>
    <t>Distribuição em áreas sociais e lazer.</t>
  </si>
  <si>
    <t>Distribuição em apartamentos tipo da Torre A.</t>
  </si>
  <si>
    <t>Distribuição em apartamentos tipo da Torre B.</t>
  </si>
  <si>
    <t>Distribuição em áreas sociais e lazer (piscina, academia, etc.).</t>
  </si>
  <si>
    <t>Distribuição em áreas comuns do térreo (hall, recepção).</t>
  </si>
  <si>
    <t>Localização em área de máquinas/reservatórios.</t>
  </si>
  <si>
    <t>Conexões principais no nível do térreo.</t>
  </si>
  <si>
    <t>Conexões em áreas de lazer.</t>
  </si>
  <si>
    <t>Conexões internas nos apartamentos tipo.</t>
  </si>
  <si>
    <t>Conexões em prumadas e caixas de inspeção no térreo.</t>
  </si>
  <si>
    <t>Conexões em área de máquinas e reservatórios.</t>
  </si>
  <si>
    <t>Joelhos em prumadas e ramais da Torre A.</t>
  </si>
  <si>
    <t>Joelhos em prumadas e ramais da Torre B.</t>
  </si>
  <si>
    <t>Joelhos em áreas sociais e de lazer.</t>
  </si>
  <si>
    <t>Joelhos em caixas de inspeção e ramais de serviço no térreo.</t>
  </si>
  <si>
    <t>Joelhos em conexões de equipamentos e reservatórios.</t>
  </si>
  <si>
    <t>Joelhos em ramais de apartamentos tipo da Torre A.</t>
  </si>
  <si>
    <t>Joelhos em ramais de apartamentos tipo da Torre B.</t>
  </si>
  <si>
    <t>Joelhos em conexões de serviço no térreo.</t>
  </si>
  <si>
    <t>Ramais de alimentação em apartamentos tipo da Torre A.</t>
  </si>
  <si>
    <t>Ramais de alimentação em apartamentos tipo da Torre B.</t>
  </si>
  <si>
    <t>Ramais de alimentação em áreas de lazer.</t>
  </si>
  <si>
    <t>Transições de ramais principais em apartamentos tipo da Torre A.</t>
  </si>
  <si>
    <t>Transições de ramais principais em apartamentos tipo da Torre B.</t>
  </si>
  <si>
    <t>Transições em áreas comuns de lazer.</t>
  </si>
  <si>
    <t>Transições em caixas de inspeção e ramais de serviço no térreo.</t>
  </si>
  <si>
    <t>Conexões de serviço em prumadas no térreo.</t>
  </si>
  <si>
    <t>Conexões em áreas comuns de lazer.</t>
  </si>
  <si>
    <t>Caixas de gordura de grande porte e coletor principal, localizados no subsolo/nível térreo.</t>
  </si>
  <si>
    <t>Caixa de gordura de pequeno porte, localizada no subsolo/nível térreo.</t>
  </si>
  <si>
    <t>Caixas de distribuição e coleta primária, localizadas no subsolo/nível térreo.</t>
  </si>
  <si>
    <t>Tampa de inspeção para caixas de gordura, localizada no subsolo/nível térreo.</t>
  </si>
  <si>
    <t>Tampas de inspeção para caixas de gordura, localizadas no subsolo/nível térreo.</t>
  </si>
  <si>
    <t>Tampas de inspeção para caixas de distribuição, localizadas no subsolo/nível térreo.</t>
  </si>
  <si>
    <t>Tampas de inspeção para os tanques do sistema ETE, localizadas no subsolo/nível térreo.</t>
  </si>
  <si>
    <t>Tanque principal do sistema ETE, localizado no subsolo/nível térreo.</t>
  </si>
  <si>
    <t>Tanques de tratamento aeróbio, parte do sistema ETE, localizados no subsolo/nível térreo.</t>
  </si>
  <si>
    <t>Tanques decantadores, parte do sistema ETE, localizados no subsolo/nível térreo.</t>
  </si>
  <si>
    <t>Tanque final de desinfecção, parte do sistema ETE, localizado no subsolo/nível térreo.</t>
  </si>
  <si>
    <t>Tanque de descarte de lodo é parte da infraestrutura de ETE compartilhada no subsolo/térreo.</t>
  </si>
  <si>
    <t>Difusores de ar fazem parte do sistema de aeração da ETE, localizado no subsolo/térreo.</t>
  </si>
  <si>
    <t>O compressor principal da ETE é um equipamento de sistema compartilhado, instalado no subsolo/térreo.</t>
  </si>
  <si>
    <t>Medidores de vazão são equipamentos de medição da infraestrutura de ETE, localizados no subsolo/térreo.</t>
  </si>
  <si>
    <t>Painel de controle elétrico para o sistema ETE, instalado na área de serviço/subsolo.</t>
  </si>
  <si>
    <t>Componente elétrico de controle para o sistema ETE, instalado no subsolo/térreo.</t>
  </si>
  <si>
    <t>Timer de controle para o sistema ETE, instalado no subsolo/térreo.</t>
  </si>
  <si>
    <t>Bombas de retorno de lodo são equipamentos de sistema compartilhado, instalados no subsolo/térreo.</t>
  </si>
  <si>
    <t>80% do total de esgoto para a prumada vertical da Torre A.</t>
  </si>
  <si>
    <t>80% do total de esgoto para a prumada vertical da Torre B.</t>
  </si>
  <si>
    <t>10% do total para caixas de inspeção e ramais de ligação no térreo.</t>
  </si>
  <si>
    <t>10% do total para ventilação e medição em casa de máquinas.</t>
  </si>
  <si>
    <t>Maior parte do material para ramais e prumadas tipo.</t>
  </si>
  <si>
    <t>Ramal de ligação no térreo.</t>
  </si>
  <si>
    <t>Ventilação ou ramal de inspeção em casa de máquinas.</t>
  </si>
  <si>
    <t>Rateio de esgoto principal (80% do total) para os pavimentos tipo.</t>
  </si>
  <si>
    <t>Rateio de esgoto para caixas de inspeção e ramais no térreo.</t>
  </si>
  <si>
    <t>Rateio de esgoto para ventilação de prumadas em casa de máquinas.</t>
  </si>
  <si>
    <t>Prumada vertical de água fria (70% do total) para a Torre A.</t>
  </si>
  <si>
    <t>Prumada vertical de água fria (70% do total) para a Torre B.</t>
  </si>
  <si>
    <t>Ramal vertical de água fria (20% do total) para a garagem G1, Torre A.</t>
  </si>
  <si>
    <t>Ramal vertical de água fria (20% do total) para a garagem G2, Torre A.</t>
  </si>
  <si>
    <t>Ramal vertical de água fria (20% do total) para a garagem G3, Torre A.</t>
  </si>
  <si>
    <t>Ramal vertical de água fria (20% do total) para a garagem G4, Torre A.</t>
  </si>
  <si>
    <t>Ramal vertical de água fria (20% do total) para a garagem G5, Torre A.</t>
  </si>
  <si>
    <t>Ramal vertical de água fria (20% do total) para a garagem G1, Torre B.</t>
  </si>
  <si>
    <t>Ramal vertical de água fria (20% do total) para a garagem G2, Torre B.</t>
  </si>
  <si>
    <t>Ramal vertical de água fria (20% do total) para a garagem G3, Torre B.</t>
  </si>
  <si>
    <t>Ramal vertical de água fria (20% do total) para a garagem G4, Torre B.</t>
  </si>
  <si>
    <t>Ramal vertical de água fria (20% do total) para a garagem G5, Torre B.</t>
  </si>
  <si>
    <t>Alimentação e ramais de água fria no térreo (10% do total).</t>
  </si>
  <si>
    <t>Distribuição de água quente (60% do total) para a Torre A.</t>
  </si>
  <si>
    <t>Distribuição de água quente (60% do total) para a Torre B.</t>
  </si>
  <si>
    <t>Ramal de água quente (20% do total) para a garagem G1, Torre A.</t>
  </si>
  <si>
    <t>Ramal de água quente (20% do total) para a garagem G2, Torre A.</t>
  </si>
  <si>
    <t>Ramal de água quente (20% do total) para a garagem G3, Torre A.</t>
  </si>
  <si>
    <t>Ramal de água quente (20% do total) para a garagem G4, Torre A.</t>
  </si>
  <si>
    <t>Ramal de água quente (20% do total) para a garagem G5, Torre A.</t>
  </si>
  <si>
    <t>Ramal de água quente (20% do total) para a garagem G1, Torre B.</t>
  </si>
  <si>
    <t>Ramal de água quente (20% do total) para a garagem G2, Torre B.</t>
  </si>
  <si>
    <t>Ramal de água quente (20% do total) para a garagem G3, Torre B.</t>
  </si>
  <si>
    <t>Ramal de água quente (20% do total) para a garagem G4, Torre B.</t>
  </si>
  <si>
    <t>Ramal de água quente (20% do total) para a garagem G5, Torre B.</t>
  </si>
  <si>
    <t>Ramal de água quente no térreo (20% do total).</t>
  </si>
  <si>
    <t>Distribuição de água quente para áreas sociais e lazer.</t>
  </si>
  <si>
    <t>Distribuição de medidores por apartamento (4 aptos/pav x 18 pav)</t>
  </si>
  <si>
    <t>Medição de consumo em áreas comuns e shafts no subsolo.</t>
  </si>
  <si>
    <t>Medição de consumo em áreas sociais e lazer.</t>
  </si>
  <si>
    <t>Filtros de drenagem pluvial no nível do subsolo.</t>
  </si>
  <si>
    <t>Instalação em pontos de medição ou controle de fluxo no subsolo.</t>
  </si>
  <si>
    <t>Equipamento de pressurização principal na casa de máquinas.</t>
  </si>
  <si>
    <t>Pressurizador auxiliar ou específico na casa de máquinas.</t>
  </si>
  <si>
    <t>Sistema principal de recalque de água na casa de máquinas.</t>
  </si>
  <si>
    <t>Controle de pressão na entrada principal do edifício.</t>
  </si>
  <si>
    <t>Controle de pressão na saída do sistema de bombeamento.</t>
  </si>
  <si>
    <t>Controle de pressão em ramais principais no subsolo.</t>
  </si>
  <si>
    <t>Controle de pressão em shafts verticais de distribuição por pavimento.</t>
  </si>
  <si>
    <t>Controle de acionamento das bombas na casa de máquinas.</t>
  </si>
  <si>
    <t>Monitoramento de nível em reservatórios e caixas d'água na casa de máquinas.</t>
  </si>
  <si>
    <t>Dispositivos de segurança em pontos de alta pressão no subsolo.</t>
  </si>
  <si>
    <t>Dispositivos de segurança e alívio no sistema de bombeamento.</t>
  </si>
  <si>
    <t>Filtros de linha principal, localizados na casa de máquinas (C_MAQ) para tratamento de água.</t>
  </si>
  <si>
    <t>Dispositivos de proteção e controle de fluxo instalados na casa de máquinas (C_MAQ) ou shafts principais.</t>
  </si>
  <si>
    <t>Válvulas de retenção em pontos críticos de interconexão ou na casa de máquinas (C_MAQ) para evitar refluxo.</t>
  </si>
  <si>
    <t>Válvulas de proteção e filtragem de grandes diâmetros, localizadas na casa de máquinas (C_MAQ) ou subsolo.</t>
  </si>
  <si>
    <t>RESUMO - 05 HIDRAULICO - Instalacoes Hidrossanitarias (complemento LM 348)</t>
  </si>
  <si>
    <t>Lote LM348 - processado em 2026-04-15 03:33</t>
  </si>
  <si>
    <t>Metrica</t>
  </si>
  <si>
    <t>Valor</t>
  </si>
  <si>
    <t>PDFs processados</t>
  </si>
  <si>
    <t>Total itens extraidos (flat)</t>
  </si>
  <si>
    <t>Itens distribuidos por pavimento</t>
  </si>
  <si>
    <t>Rateios detalhados (format A)</t>
  </si>
  <si>
    <t>AC Total Torre A+B (m2)</t>
  </si>
  <si>
    <t>Benchmark mediana disciplina (R$/m2)</t>
  </si>
  <si>
    <t>Benchmark estimado (R$)</t>
  </si>
  <si>
    <t>Distribuicao por pavimento</t>
  </si>
  <si>
    <t>Itens</t>
  </si>
  <si>
    <t>Slug</t>
  </si>
  <si>
    <t>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</si>
</sst>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2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10"/>
      <color rgb="FF666666"/>
      <name val="Calibri"/>
    </font>
    <font>
      <sz val="11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scheme val="minor"/>
    </font>
    <font>
      <sz val="9.5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sz val="1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i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851D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19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6" fillId="0" borderId="0" xfId="0" applyFont="1"/>
    <xf numFmtId="164" fontId="0" fillId="0" borderId="1" xfId="0" applyNumberFormat="1" applyBorder="1"/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4" fillId="2" borderId="0" xfId="0" applyFont="1" applyFill="1"/>
    <xf numFmtId="0" fontId="0" fillId="0" borderId="0" xfId="0" applyAlignment="1">
      <alignment horizontal="center" vertical="center"/>
    </xf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12" fillId="0" borderId="0" xfId="2"/>
    <xf numFmtId="0" fontId="11" fillId="0" borderId="6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 wrapText="1"/>
    </xf>
    <xf numFmtId="0" fontId="8" fillId="0" borderId="8" xfId="1" applyBorder="1"/>
    <xf numFmtId="0" fontId="11" fillId="0" borderId="9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0" fontId="14" fillId="4" borderId="10" xfId="1" applyFont="1" applyFill="1" applyBorder="1" applyAlignment="1">
      <alignment horizontal="center" vertical="center"/>
    </xf>
    <xf numFmtId="0" fontId="8" fillId="0" borderId="11" xfId="1" applyBorder="1"/>
    <xf numFmtId="0" fontId="4" fillId="5" borderId="12" xfId="1" applyFont="1" applyFill="1" applyBorder="1" applyAlignment="1">
      <alignment horizontal="center" vertical="center" wrapText="1"/>
    </xf>
    <xf numFmtId="0" fontId="15" fillId="6" borderId="0" xfId="1" applyFont="1" applyFill="1"/>
    <xf numFmtId="0" fontId="16" fillId="7" borderId="0" xfId="1" applyFont="1" applyFill="1"/>
    <xf numFmtId="0" fontId="8" fillId="0" borderId="13" xfId="1" applyBorder="1" applyAlignment="1">
      <alignment vertical="center"/>
    </xf>
    <xf numFmtId="43" fontId="8" fillId="0" borderId="13" xfId="1" applyNumberFormat="1" applyBorder="1" applyAlignment="1">
      <alignment vertical="center"/>
    </xf>
    <xf numFmtId="43" fontId="8" fillId="0" borderId="14" xfId="1" applyNumberFormat="1" applyBorder="1" applyAlignment="1">
      <alignment vertical="center"/>
    </xf>
    <xf numFmtId="43" fontId="17" fillId="0" borderId="13" xfId="1" applyNumberFormat="1" applyFont="1" applyBorder="1" applyAlignment="1">
      <alignment vertical="center"/>
    </xf>
    <xf numFmtId="44" fontId="8" fillId="0" borderId="13" xfId="1" applyNumberFormat="1" applyBorder="1" applyAlignment="1">
      <alignment vertical="center"/>
    </xf>
    <xf numFmtId="43" fontId="8" fillId="8" borderId="15" xfId="1" applyNumberFormat="1" applyFill="1" applyBorder="1" applyAlignment="1">
      <alignment vertical="center"/>
    </xf>
    <xf numFmtId="0" fontId="8" fillId="0" borderId="0" xfId="1"/>
    <xf numFmtId="0" fontId="18" fillId="9" borderId="0" xfId="0" applyFont="1" applyFill="1"/>
    <xf numFmtId="0" fontId="0" fillId="9" borderId="0" xfId="0" applyFill="1"/>
    <xf numFmtId="0" fontId="19" fillId="10" borderId="0" xfId="0" applyFont="1" applyFill="1" applyAlignment="1">
      <alignment horizontal="center" wrapText="1"/>
    </xf>
    <xf numFmtId="0" fontId="20" fillId="11" borderId="0" xfId="0" applyFont="1" applyFill="1"/>
    <xf numFmtId="0" fontId="21" fillId="0" borderId="18" xfId="0" applyFont="1" applyBorder="1"/>
    <xf numFmtId="43" fontId="21" fillId="0" borderId="18" xfId="0" applyNumberFormat="1" applyFont="1" applyBorder="1"/>
    <xf numFmtId="44" fontId="21" fillId="0" borderId="18" xfId="0" applyNumberFormat="1" applyFont="1" applyBorder="1"/>
    <xf numFmtId="0" fontId="22" fillId="12" borderId="0" xfId="0" applyFont="1" applyFill="1"/>
    <xf numFmtId="44" fontId="22" fillId="12" borderId="0" xfId="0" applyNumberFormat="1" applyFont="1" applyFill="1"/>
    <xf numFmtId="44" fontId="6" fillId="0" borderId="0" xfId="0" applyNumberFormat="1" applyFont="1"/>
    <xf numFmtId="0" fontId="23" fillId="0" borderId="0" xfId="0" applyFont="1"/>
    <xf numFmtId="0" fontId="5" fillId="3" borderId="1" xfId="0" applyFont="1" applyFill="1" applyBorder="1"/>
    <xf numFmtId="0" fontId="0" fillId="0" borderId="16" xfId="0" applyBorder="1"/>
    <xf numFmtId="0" fontId="0" fillId="0" borderId="17" xfId="0" applyBorder="1"/>
    <xf numFmtId="0" fontId="2" fillId="3" borderId="1" xfId="0" applyFont="1" applyFill="1" applyBorder="1"/>
  </cellXfs>
  <cellStyles count="3">
    <cellStyle name="Normal" xfId="0" builtinId="0"/>
    <cellStyle name="Normal 16" xfId="1" xr:uid="{00000000-0005-0000-0000-000001000000}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L5154"/>
  <sheetViews>
    <sheetView zoomScale="85" zoomScaleNormal="85" workbookViewId="0">
      <pane ySplit="6" topLeftCell="A7" activePane="bottomLeft" state="frozen"/>
      <selection pane="bottomLeft" activeCell="E28" sqref="E28"/>
    </sheetView>
  </sheetViews>
  <sheetFormatPr defaultRowHeight="15" x14ac:dyDescent="0.25"/>
  <cols>
    <col min="1" max="1" width="14" style="41" customWidth="1"/>
    <col min="2" max="2" width="25.28515625" style="41" customWidth="1"/>
    <col min="3" max="3" width="56.85546875" style="41" customWidth="1"/>
    <col min="4" max="4" width="21.42578125" style="41" customWidth="1"/>
    <col min="5" max="5" width="117.7109375" style="41" customWidth="1"/>
    <col min="6" max="6" width="13.42578125" style="41" customWidth="1"/>
    <col min="7" max="7" width="16.42578125" style="41" customWidth="1"/>
    <col min="8" max="8" width="8.42578125" style="41" customWidth="1"/>
    <col min="9" max="9" width="13.28515625" style="41" customWidth="1"/>
    <col min="10" max="10" width="11.5703125" style="41" customWidth="1"/>
    <col min="11" max="11" width="13.28515625" style="41" customWidth="1"/>
    <col min="12" max="12" width="21.85546875" style="41" customWidth="1"/>
    <col min="13" max="38" width="9.140625" style="41" customWidth="1"/>
    <col min="39" max="39" width="9.140625" style="22" customWidth="1"/>
    <col min="40" max="16384" width="9.140625" style="22"/>
  </cols>
  <sheetData>
    <row r="1" spans="1:38" ht="12.75" customHeight="1" x14ac:dyDescent="0.2">
      <c r="A1" s="17"/>
      <c r="B1" s="18"/>
      <c r="C1" s="19" t="s">
        <v>0</v>
      </c>
      <c r="D1" s="20" t="s">
        <v>1</v>
      </c>
      <c r="E1" s="20"/>
      <c r="F1" s="21"/>
      <c r="G1" s="21"/>
      <c r="H1" s="21"/>
      <c r="I1" s="21"/>
      <c r="J1" s="21"/>
      <c r="K1" s="21"/>
      <c r="L1" s="21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ht="12.75" customHeight="1" x14ac:dyDescent="0.2">
      <c r="A2" s="23"/>
      <c r="B2" s="24"/>
      <c r="C2" s="19" t="s">
        <v>2</v>
      </c>
      <c r="D2" s="25" t="s">
        <v>3</v>
      </c>
      <c r="E2" s="25"/>
      <c r="F2" s="20"/>
      <c r="G2" s="20"/>
      <c r="H2" s="20"/>
      <c r="I2" s="20"/>
      <c r="J2" s="20"/>
      <c r="K2" s="20"/>
      <c r="L2" s="2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38" x14ac:dyDescent="0.25">
      <c r="A3" s="23"/>
      <c r="B3" s="24"/>
      <c r="C3" s="19" t="s">
        <v>4</v>
      </c>
      <c r="D3" s="26" t="s">
        <v>5</v>
      </c>
      <c r="E3" s="27"/>
      <c r="F3" s="20"/>
      <c r="G3" s="20"/>
      <c r="H3" s="20"/>
      <c r="I3" s="20"/>
      <c r="J3" s="20"/>
      <c r="K3" s="20"/>
      <c r="L3" s="20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ht="12.75" customHeight="1" x14ac:dyDescent="0.2">
      <c r="A4" s="28"/>
      <c r="B4" s="29"/>
      <c r="C4" s="19" t="s">
        <v>6</v>
      </c>
      <c r="D4" s="20" t="s">
        <v>7</v>
      </c>
      <c r="E4" s="20"/>
      <c r="F4" s="20"/>
      <c r="G4" s="20"/>
      <c r="H4" s="20"/>
      <c r="I4" s="20"/>
      <c r="J4" s="20"/>
      <c r="K4" s="20"/>
      <c r="L4" s="20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8" ht="16.5" customHeight="1" thickBot="1" x14ac:dyDescent="0.3">
      <c r="A5" s="30" t="s">
        <v>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2.75" customHeight="1" x14ac:dyDescent="0.2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 t="s">
        <v>17</v>
      </c>
      <c r="J6" s="32" t="s">
        <v>18</v>
      </c>
      <c r="K6" s="32" t="s">
        <v>19</v>
      </c>
      <c r="L6" s="32" t="s">
        <v>20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spans="1:38" x14ac:dyDescent="0.25">
      <c r="A7" s="33" t="s">
        <v>21</v>
      </c>
      <c r="B7" s="33" t="s">
        <v>22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2.75" customHeight="1" x14ac:dyDescent="0.2">
      <c r="A8" s="34" t="s">
        <v>21</v>
      </c>
      <c r="B8" s="34" t="s">
        <v>23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spans="1:38" x14ac:dyDescent="0.2">
      <c r="A9" s="35" t="s">
        <v>21</v>
      </c>
      <c r="B9" s="35" t="s">
        <v>23</v>
      </c>
      <c r="C9" s="35" t="s">
        <v>24</v>
      </c>
      <c r="D9" s="35" t="s">
        <v>25</v>
      </c>
      <c r="E9" s="35" t="s">
        <v>26</v>
      </c>
      <c r="F9" s="36">
        <v>20000</v>
      </c>
      <c r="G9" s="36">
        <v>1</v>
      </c>
      <c r="H9" s="37">
        <v>0</v>
      </c>
      <c r="I9" s="38">
        <f t="shared" ref="I9:I30" si="0">(F9+H9*F9)*G9</f>
        <v>20000</v>
      </c>
      <c r="J9" s="36" t="s">
        <v>27</v>
      </c>
      <c r="K9" s="39"/>
      <c r="L9" s="40">
        <f t="shared" ref="L9:L30" si="1">I9*K9</f>
        <v>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x14ac:dyDescent="0.2">
      <c r="A10" s="35" t="s">
        <v>21</v>
      </c>
      <c r="B10" s="35" t="s">
        <v>23</v>
      </c>
      <c r="C10" s="35" t="s">
        <v>24</v>
      </c>
      <c r="D10" s="35" t="s">
        <v>25</v>
      </c>
      <c r="E10" s="35" t="s">
        <v>28</v>
      </c>
      <c r="F10" s="36">
        <v>8000</v>
      </c>
      <c r="G10" s="36">
        <v>1</v>
      </c>
      <c r="H10" s="37">
        <v>0</v>
      </c>
      <c r="I10" s="38">
        <f t="shared" si="0"/>
        <v>8000</v>
      </c>
      <c r="J10" s="36" t="s">
        <v>27</v>
      </c>
      <c r="K10" s="39"/>
      <c r="L10" s="40">
        <f t="shared" si="1"/>
        <v>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x14ac:dyDescent="0.2">
      <c r="A11" s="35" t="s">
        <v>21</v>
      </c>
      <c r="B11" s="35" t="s">
        <v>23</v>
      </c>
      <c r="C11" s="35" t="s">
        <v>24</v>
      </c>
      <c r="D11" s="35" t="s">
        <v>25</v>
      </c>
      <c r="E11" s="35" t="s">
        <v>29</v>
      </c>
      <c r="F11" s="36">
        <v>3000</v>
      </c>
      <c r="G11" s="36">
        <v>1</v>
      </c>
      <c r="H11" s="37">
        <v>0</v>
      </c>
      <c r="I11" s="38">
        <f t="shared" si="0"/>
        <v>3000</v>
      </c>
      <c r="J11" s="36" t="s">
        <v>27</v>
      </c>
      <c r="K11" s="39"/>
      <c r="L11" s="40">
        <f t="shared" si="1"/>
        <v>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x14ac:dyDescent="0.2">
      <c r="A12" s="35" t="s">
        <v>21</v>
      </c>
      <c r="B12" s="35" t="s">
        <v>23</v>
      </c>
      <c r="C12" s="35" t="s">
        <v>24</v>
      </c>
      <c r="D12" s="35" t="s">
        <v>25</v>
      </c>
      <c r="E12" s="35" t="s">
        <v>30</v>
      </c>
      <c r="F12" s="36">
        <v>1200</v>
      </c>
      <c r="G12" s="36">
        <v>1</v>
      </c>
      <c r="H12" s="37">
        <v>0</v>
      </c>
      <c r="I12" s="38">
        <f t="shared" si="0"/>
        <v>1200</v>
      </c>
      <c r="J12" s="36" t="s">
        <v>27</v>
      </c>
      <c r="K12" s="39"/>
      <c r="L12" s="40">
        <f t="shared" si="1"/>
        <v>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x14ac:dyDescent="0.2">
      <c r="A13" s="35" t="s">
        <v>21</v>
      </c>
      <c r="B13" s="35" t="s">
        <v>23</v>
      </c>
      <c r="C13" s="35" t="s">
        <v>24</v>
      </c>
      <c r="D13" s="35" t="s">
        <v>25</v>
      </c>
      <c r="E13" s="35" t="s">
        <v>31</v>
      </c>
      <c r="F13" s="36">
        <v>922</v>
      </c>
      <c r="G13" s="36">
        <v>1</v>
      </c>
      <c r="H13" s="37">
        <v>0</v>
      </c>
      <c r="I13" s="38">
        <f t="shared" si="0"/>
        <v>922</v>
      </c>
      <c r="J13" s="36" t="s">
        <v>27</v>
      </c>
      <c r="K13" s="39"/>
      <c r="L13" s="40">
        <f t="shared" si="1"/>
        <v>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x14ac:dyDescent="0.2">
      <c r="A14" s="35" t="s">
        <v>21</v>
      </c>
      <c r="B14" s="35" t="s">
        <v>23</v>
      </c>
      <c r="C14" s="35" t="s">
        <v>24</v>
      </c>
      <c r="D14" s="35" t="s">
        <v>25</v>
      </c>
      <c r="E14" s="35" t="s">
        <v>32</v>
      </c>
      <c r="F14" s="36">
        <v>15323</v>
      </c>
      <c r="G14" s="36">
        <v>1</v>
      </c>
      <c r="H14" s="37">
        <v>0</v>
      </c>
      <c r="I14" s="38">
        <f t="shared" si="0"/>
        <v>15323</v>
      </c>
      <c r="J14" s="36" t="s">
        <v>27</v>
      </c>
      <c r="K14" s="39"/>
      <c r="L14" s="40">
        <f t="shared" si="1"/>
        <v>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x14ac:dyDescent="0.2">
      <c r="A15" s="35" t="s">
        <v>21</v>
      </c>
      <c r="B15" s="35" t="s">
        <v>23</v>
      </c>
      <c r="C15" s="35" t="s">
        <v>24</v>
      </c>
      <c r="D15" s="35" t="s">
        <v>33</v>
      </c>
      <c r="E15" s="35" t="s">
        <v>34</v>
      </c>
      <c r="F15" s="36">
        <v>30</v>
      </c>
      <c r="G15" s="36">
        <v>1</v>
      </c>
      <c r="H15" s="37">
        <v>0</v>
      </c>
      <c r="I15" s="38">
        <f t="shared" si="0"/>
        <v>30</v>
      </c>
      <c r="J15" s="36" t="s">
        <v>35</v>
      </c>
      <c r="K15" s="39"/>
      <c r="L15" s="40">
        <f t="shared" si="1"/>
        <v>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x14ac:dyDescent="0.2">
      <c r="A16" s="35" t="s">
        <v>21</v>
      </c>
      <c r="B16" s="35" t="s">
        <v>23</v>
      </c>
      <c r="C16" s="35" t="s">
        <v>24</v>
      </c>
      <c r="D16" s="35" t="s">
        <v>33</v>
      </c>
      <c r="E16" s="35" t="s">
        <v>36</v>
      </c>
      <c r="F16" s="36">
        <v>52</v>
      </c>
      <c r="G16" s="36">
        <v>1</v>
      </c>
      <c r="H16" s="37">
        <v>0</v>
      </c>
      <c r="I16" s="38">
        <f t="shared" si="0"/>
        <v>52</v>
      </c>
      <c r="J16" s="36" t="s">
        <v>35</v>
      </c>
      <c r="K16" s="39"/>
      <c r="L16" s="40">
        <f t="shared" si="1"/>
        <v>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x14ac:dyDescent="0.2">
      <c r="A17" s="35" t="s">
        <v>21</v>
      </c>
      <c r="B17" s="35" t="s">
        <v>23</v>
      </c>
      <c r="C17" s="35" t="s">
        <v>24</v>
      </c>
      <c r="D17" s="35" t="s">
        <v>33</v>
      </c>
      <c r="E17" s="35" t="s">
        <v>37</v>
      </c>
      <c r="F17" s="36">
        <v>14</v>
      </c>
      <c r="G17" s="36">
        <v>1</v>
      </c>
      <c r="H17" s="37">
        <v>0</v>
      </c>
      <c r="I17" s="38">
        <f t="shared" si="0"/>
        <v>14</v>
      </c>
      <c r="J17" s="36" t="s">
        <v>35</v>
      </c>
      <c r="K17" s="39"/>
      <c r="L17" s="40">
        <f t="shared" si="1"/>
        <v>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x14ac:dyDescent="0.2">
      <c r="A18" s="35" t="s">
        <v>21</v>
      </c>
      <c r="B18" s="35" t="s">
        <v>23</v>
      </c>
      <c r="C18" s="35" t="s">
        <v>24</v>
      </c>
      <c r="D18" s="35" t="s">
        <v>33</v>
      </c>
      <c r="E18" s="35" t="s">
        <v>38</v>
      </c>
      <c r="F18" s="36">
        <v>6</v>
      </c>
      <c r="G18" s="36">
        <v>1</v>
      </c>
      <c r="H18" s="37">
        <v>0</v>
      </c>
      <c r="I18" s="38">
        <f t="shared" si="0"/>
        <v>6</v>
      </c>
      <c r="J18" s="36" t="s">
        <v>35</v>
      </c>
      <c r="K18" s="39"/>
      <c r="L18" s="40">
        <f t="shared" si="1"/>
        <v>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x14ac:dyDescent="0.2">
      <c r="A19" s="35" t="s">
        <v>21</v>
      </c>
      <c r="B19" s="35" t="s">
        <v>23</v>
      </c>
      <c r="C19" s="35" t="s">
        <v>24</v>
      </c>
      <c r="D19" s="35" t="s">
        <v>33</v>
      </c>
      <c r="E19" s="35" t="s">
        <v>39</v>
      </c>
      <c r="F19" s="36">
        <v>8</v>
      </c>
      <c r="G19" s="36">
        <v>1</v>
      </c>
      <c r="H19" s="37">
        <v>0</v>
      </c>
      <c r="I19" s="38">
        <f t="shared" si="0"/>
        <v>8</v>
      </c>
      <c r="J19" s="36" t="s">
        <v>35</v>
      </c>
      <c r="K19" s="39"/>
      <c r="L19" s="40">
        <f t="shared" si="1"/>
        <v>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x14ac:dyDescent="0.2">
      <c r="A20" s="35" t="s">
        <v>21</v>
      </c>
      <c r="B20" s="35" t="s">
        <v>23</v>
      </c>
      <c r="C20" s="35" t="s">
        <v>24</v>
      </c>
      <c r="D20" s="35" t="s">
        <v>33</v>
      </c>
      <c r="E20" s="35" t="s">
        <v>40</v>
      </c>
      <c r="F20" s="36">
        <v>64</v>
      </c>
      <c r="G20" s="36">
        <v>1</v>
      </c>
      <c r="H20" s="37">
        <v>0</v>
      </c>
      <c r="I20" s="38">
        <f t="shared" si="0"/>
        <v>64</v>
      </c>
      <c r="J20" s="36" t="s">
        <v>35</v>
      </c>
      <c r="K20" s="39"/>
      <c r="L20" s="40">
        <f t="shared" si="1"/>
        <v>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x14ac:dyDescent="0.2">
      <c r="A21" s="35" t="s">
        <v>21</v>
      </c>
      <c r="B21" s="35" t="s">
        <v>23</v>
      </c>
      <c r="C21" s="35" t="s">
        <v>24</v>
      </c>
      <c r="D21" s="35" t="s">
        <v>33</v>
      </c>
      <c r="E21" s="35" t="s">
        <v>41</v>
      </c>
      <c r="F21" s="36">
        <v>166</v>
      </c>
      <c r="G21" s="36">
        <v>1</v>
      </c>
      <c r="H21" s="37">
        <v>0</v>
      </c>
      <c r="I21" s="38">
        <f t="shared" si="0"/>
        <v>166</v>
      </c>
      <c r="J21" s="36" t="s">
        <v>35</v>
      </c>
      <c r="K21" s="39"/>
      <c r="L21" s="40">
        <f t="shared" si="1"/>
        <v>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x14ac:dyDescent="0.2">
      <c r="A22" s="35" t="s">
        <v>21</v>
      </c>
      <c r="B22" s="35" t="s">
        <v>23</v>
      </c>
      <c r="C22" s="35" t="s">
        <v>24</v>
      </c>
      <c r="D22" s="35" t="s">
        <v>33</v>
      </c>
      <c r="E22" s="35" t="s">
        <v>42</v>
      </c>
      <c r="F22" s="36">
        <v>21</v>
      </c>
      <c r="G22" s="36">
        <v>1</v>
      </c>
      <c r="H22" s="37">
        <v>0</v>
      </c>
      <c r="I22" s="38">
        <f t="shared" si="0"/>
        <v>21</v>
      </c>
      <c r="J22" s="36" t="s">
        <v>35</v>
      </c>
      <c r="K22" s="39"/>
      <c r="L22" s="40">
        <f t="shared" si="1"/>
        <v>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x14ac:dyDescent="0.2">
      <c r="A23" s="35" t="s">
        <v>21</v>
      </c>
      <c r="B23" s="35" t="s">
        <v>23</v>
      </c>
      <c r="C23" s="35" t="s">
        <v>24</v>
      </c>
      <c r="D23" s="35" t="s">
        <v>33</v>
      </c>
      <c r="E23" s="35" t="s">
        <v>43</v>
      </c>
      <c r="F23" s="36">
        <v>1</v>
      </c>
      <c r="G23" s="36">
        <v>1</v>
      </c>
      <c r="H23" s="37">
        <v>0</v>
      </c>
      <c r="I23" s="38">
        <f t="shared" si="0"/>
        <v>1</v>
      </c>
      <c r="J23" s="36" t="s">
        <v>35</v>
      </c>
      <c r="K23" s="39"/>
      <c r="L23" s="40">
        <f t="shared" si="1"/>
        <v>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x14ac:dyDescent="0.2">
      <c r="A24" s="35" t="s">
        <v>21</v>
      </c>
      <c r="B24" s="35" t="s">
        <v>23</v>
      </c>
      <c r="C24" s="35" t="s">
        <v>24</v>
      </c>
      <c r="D24" s="35" t="s">
        <v>33</v>
      </c>
      <c r="E24" s="35" t="s">
        <v>44</v>
      </c>
      <c r="F24" s="36">
        <v>39</v>
      </c>
      <c r="G24" s="36">
        <v>1</v>
      </c>
      <c r="H24" s="37">
        <v>0</v>
      </c>
      <c r="I24" s="38">
        <f t="shared" si="0"/>
        <v>39</v>
      </c>
      <c r="J24" s="36" t="s">
        <v>35</v>
      </c>
      <c r="K24" s="39"/>
      <c r="L24" s="40">
        <f t="shared" si="1"/>
        <v>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x14ac:dyDescent="0.2">
      <c r="A25" s="35" t="s">
        <v>21</v>
      </c>
      <c r="B25" s="35" t="s">
        <v>23</v>
      </c>
      <c r="C25" s="35" t="s">
        <v>24</v>
      </c>
      <c r="D25" s="35" t="s">
        <v>33</v>
      </c>
      <c r="E25" s="35" t="s">
        <v>45</v>
      </c>
      <c r="F25" s="36">
        <v>6</v>
      </c>
      <c r="G25" s="36">
        <v>1</v>
      </c>
      <c r="H25" s="37">
        <v>0</v>
      </c>
      <c r="I25" s="38">
        <f t="shared" si="0"/>
        <v>6</v>
      </c>
      <c r="J25" s="36" t="s">
        <v>35</v>
      </c>
      <c r="K25" s="39"/>
      <c r="L25" s="40">
        <f t="shared" si="1"/>
        <v>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x14ac:dyDescent="0.2">
      <c r="A26" s="35" t="s">
        <v>21</v>
      </c>
      <c r="B26" s="35" t="s">
        <v>23</v>
      </c>
      <c r="C26" s="35" t="s">
        <v>24</v>
      </c>
      <c r="D26" s="35" t="s">
        <v>33</v>
      </c>
      <c r="E26" s="35" t="s">
        <v>46</v>
      </c>
      <c r="F26" s="36">
        <v>1</v>
      </c>
      <c r="G26" s="36">
        <v>1</v>
      </c>
      <c r="H26" s="37">
        <v>0</v>
      </c>
      <c r="I26" s="38">
        <f t="shared" si="0"/>
        <v>1</v>
      </c>
      <c r="J26" s="36" t="s">
        <v>35</v>
      </c>
      <c r="K26" s="39"/>
      <c r="L26" s="40">
        <f t="shared" si="1"/>
        <v>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x14ac:dyDescent="0.2">
      <c r="A27" s="35" t="s">
        <v>21</v>
      </c>
      <c r="B27" s="35" t="s">
        <v>23</v>
      </c>
      <c r="C27" s="35" t="s">
        <v>24</v>
      </c>
      <c r="D27" s="35" t="s">
        <v>33</v>
      </c>
      <c r="E27" s="35" t="s">
        <v>47</v>
      </c>
      <c r="F27" s="36">
        <v>7</v>
      </c>
      <c r="G27" s="36">
        <v>1</v>
      </c>
      <c r="H27" s="37">
        <v>0</v>
      </c>
      <c r="I27" s="38">
        <f t="shared" si="0"/>
        <v>7</v>
      </c>
      <c r="J27" s="36" t="s">
        <v>35</v>
      </c>
      <c r="K27" s="39"/>
      <c r="L27" s="40">
        <f t="shared" si="1"/>
        <v>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x14ac:dyDescent="0.2">
      <c r="A28" s="35" t="s">
        <v>21</v>
      </c>
      <c r="B28" s="35" t="s">
        <v>23</v>
      </c>
      <c r="C28" s="35" t="s">
        <v>24</v>
      </c>
      <c r="D28" s="35" t="s">
        <v>33</v>
      </c>
      <c r="E28" s="35" t="s">
        <v>48</v>
      </c>
      <c r="F28" s="36">
        <v>20</v>
      </c>
      <c r="G28" s="36">
        <v>1</v>
      </c>
      <c r="H28" s="37">
        <v>0</v>
      </c>
      <c r="I28" s="38">
        <f t="shared" si="0"/>
        <v>20</v>
      </c>
      <c r="J28" s="36" t="s">
        <v>35</v>
      </c>
      <c r="K28" s="39"/>
      <c r="L28" s="40">
        <f t="shared" si="1"/>
        <v>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x14ac:dyDescent="0.2">
      <c r="A29" s="35" t="s">
        <v>21</v>
      </c>
      <c r="B29" s="35" t="s">
        <v>23</v>
      </c>
      <c r="C29" s="35" t="s">
        <v>24</v>
      </c>
      <c r="D29" s="35" t="s">
        <v>49</v>
      </c>
      <c r="E29" s="35" t="s">
        <v>50</v>
      </c>
      <c r="F29" s="36">
        <v>30</v>
      </c>
      <c r="G29" s="36">
        <v>1</v>
      </c>
      <c r="H29" s="37">
        <v>0</v>
      </c>
      <c r="I29" s="38">
        <f t="shared" si="0"/>
        <v>30</v>
      </c>
      <c r="J29" s="36" t="s">
        <v>35</v>
      </c>
      <c r="K29" s="39"/>
      <c r="L29" s="40">
        <f t="shared" si="1"/>
        <v>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x14ac:dyDescent="0.2">
      <c r="A30" s="35" t="s">
        <v>21</v>
      </c>
      <c r="B30" s="35" t="s">
        <v>23</v>
      </c>
      <c r="C30" s="35" t="s">
        <v>24</v>
      </c>
      <c r="D30" s="35" t="s">
        <v>49</v>
      </c>
      <c r="E30" s="35" t="s">
        <v>51</v>
      </c>
      <c r="F30" s="36">
        <v>16</v>
      </c>
      <c r="G30" s="36">
        <v>1</v>
      </c>
      <c r="H30" s="37">
        <v>0</v>
      </c>
      <c r="I30" s="38">
        <f t="shared" si="0"/>
        <v>16</v>
      </c>
      <c r="J30" s="36" t="s">
        <v>35</v>
      </c>
      <c r="K30" s="39"/>
      <c r="L30" s="40">
        <f t="shared" si="1"/>
        <v>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ht="12.75" customHeight="1" x14ac:dyDescent="0.2">
      <c r="A31" s="34" t="s">
        <v>21</v>
      </c>
      <c r="B31" s="34" t="s">
        <v>52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x14ac:dyDescent="0.2">
      <c r="A32" s="35" t="s">
        <v>21</v>
      </c>
      <c r="B32" s="35" t="s">
        <v>52</v>
      </c>
      <c r="C32" s="35" t="s">
        <v>24</v>
      </c>
      <c r="D32" s="35" t="s">
        <v>25</v>
      </c>
      <c r="E32" s="35" t="s">
        <v>26</v>
      </c>
      <c r="F32" s="36">
        <v>500</v>
      </c>
      <c r="G32" s="36">
        <v>1</v>
      </c>
      <c r="H32" s="37">
        <v>0</v>
      </c>
      <c r="I32" s="38">
        <f t="shared" ref="I32:I38" si="2">(F32+H32*F32)*G32</f>
        <v>500</v>
      </c>
      <c r="J32" s="36" t="s">
        <v>27</v>
      </c>
      <c r="K32" s="39"/>
      <c r="L32" s="40">
        <f t="shared" ref="L32:L38" si="3">I32*K32</f>
        <v>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x14ac:dyDescent="0.2">
      <c r="A33" s="35" t="s">
        <v>21</v>
      </c>
      <c r="B33" s="35" t="s">
        <v>52</v>
      </c>
      <c r="C33" s="35" t="s">
        <v>24</v>
      </c>
      <c r="D33" s="35" t="s">
        <v>25</v>
      </c>
      <c r="E33" s="35" t="s">
        <v>28</v>
      </c>
      <c r="F33" s="36">
        <v>315</v>
      </c>
      <c r="G33" s="36">
        <v>1</v>
      </c>
      <c r="H33" s="37">
        <v>0</v>
      </c>
      <c r="I33" s="38">
        <f t="shared" si="2"/>
        <v>315</v>
      </c>
      <c r="J33" s="36" t="s">
        <v>27</v>
      </c>
      <c r="K33" s="39"/>
      <c r="L33" s="40">
        <f t="shared" si="3"/>
        <v>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x14ac:dyDescent="0.2">
      <c r="A34" s="35" t="s">
        <v>21</v>
      </c>
      <c r="B34" s="35" t="s">
        <v>52</v>
      </c>
      <c r="C34" s="35" t="s">
        <v>24</v>
      </c>
      <c r="D34" s="35" t="s">
        <v>33</v>
      </c>
      <c r="E34" s="35" t="s">
        <v>34</v>
      </c>
      <c r="F34" s="36">
        <v>3</v>
      </c>
      <c r="G34" s="36">
        <v>1</v>
      </c>
      <c r="H34" s="37">
        <v>0</v>
      </c>
      <c r="I34" s="38">
        <f t="shared" si="2"/>
        <v>3</v>
      </c>
      <c r="J34" s="36" t="s">
        <v>35</v>
      </c>
      <c r="K34" s="39"/>
      <c r="L34" s="40">
        <f t="shared" si="3"/>
        <v>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x14ac:dyDescent="0.2">
      <c r="A35" s="35" t="s">
        <v>21</v>
      </c>
      <c r="B35" s="35" t="s">
        <v>52</v>
      </c>
      <c r="C35" s="35" t="s">
        <v>24</v>
      </c>
      <c r="D35" s="35" t="s">
        <v>33</v>
      </c>
      <c r="E35" s="35" t="s">
        <v>37</v>
      </c>
      <c r="F35" s="36">
        <v>1</v>
      </c>
      <c r="G35" s="36">
        <v>1</v>
      </c>
      <c r="H35" s="37">
        <v>0</v>
      </c>
      <c r="I35" s="38">
        <f t="shared" si="2"/>
        <v>1</v>
      </c>
      <c r="J35" s="36" t="s">
        <v>35</v>
      </c>
      <c r="K35" s="39"/>
      <c r="L35" s="40">
        <f t="shared" si="3"/>
        <v>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x14ac:dyDescent="0.2">
      <c r="A36" s="35" t="s">
        <v>21</v>
      </c>
      <c r="B36" s="35" t="s">
        <v>52</v>
      </c>
      <c r="C36" s="35" t="s">
        <v>24</v>
      </c>
      <c r="D36" s="35" t="s">
        <v>33</v>
      </c>
      <c r="E36" s="35" t="s">
        <v>41</v>
      </c>
      <c r="F36" s="36">
        <v>7</v>
      </c>
      <c r="G36" s="36">
        <v>1</v>
      </c>
      <c r="H36" s="37">
        <v>0</v>
      </c>
      <c r="I36" s="38">
        <f t="shared" si="2"/>
        <v>7</v>
      </c>
      <c r="J36" s="36" t="s">
        <v>35</v>
      </c>
      <c r="K36" s="39"/>
      <c r="L36" s="40">
        <f t="shared" si="3"/>
        <v>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x14ac:dyDescent="0.2">
      <c r="A37" s="35" t="s">
        <v>21</v>
      </c>
      <c r="B37" s="35" t="s">
        <v>52</v>
      </c>
      <c r="C37" s="35" t="s">
        <v>24</v>
      </c>
      <c r="D37" s="35" t="s">
        <v>33</v>
      </c>
      <c r="E37" s="35" t="s">
        <v>42</v>
      </c>
      <c r="F37" s="36">
        <v>2</v>
      </c>
      <c r="G37" s="36">
        <v>1</v>
      </c>
      <c r="H37" s="37">
        <v>0</v>
      </c>
      <c r="I37" s="38">
        <f t="shared" si="2"/>
        <v>2</v>
      </c>
      <c r="J37" s="36" t="s">
        <v>35</v>
      </c>
      <c r="K37" s="39"/>
      <c r="L37" s="40">
        <f t="shared" si="3"/>
        <v>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x14ac:dyDescent="0.2">
      <c r="A38" s="35" t="s">
        <v>21</v>
      </c>
      <c r="B38" s="35" t="s">
        <v>52</v>
      </c>
      <c r="C38" s="35" t="s">
        <v>24</v>
      </c>
      <c r="D38" s="35" t="s">
        <v>33</v>
      </c>
      <c r="E38" s="35" t="s">
        <v>44</v>
      </c>
      <c r="F38" s="36">
        <v>4</v>
      </c>
      <c r="G38" s="36">
        <v>1</v>
      </c>
      <c r="H38" s="37">
        <v>0</v>
      </c>
      <c r="I38" s="38">
        <f t="shared" si="2"/>
        <v>4</v>
      </c>
      <c r="J38" s="36" t="s">
        <v>35</v>
      </c>
      <c r="K38" s="39"/>
      <c r="L38" s="40">
        <f t="shared" si="3"/>
        <v>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ht="12.75" customHeight="1" x14ac:dyDescent="0.2">
      <c r="A39" s="34" t="s">
        <v>21</v>
      </c>
      <c r="B39" s="34" t="s">
        <v>53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x14ac:dyDescent="0.2">
      <c r="A40" s="35" t="s">
        <v>21</v>
      </c>
      <c r="B40" s="35" t="s">
        <v>53</v>
      </c>
      <c r="C40" s="35" t="s">
        <v>24</v>
      </c>
      <c r="D40" s="35" t="s">
        <v>25</v>
      </c>
      <c r="E40" s="35" t="s">
        <v>26</v>
      </c>
      <c r="F40" s="36">
        <v>1829</v>
      </c>
      <c r="G40" s="36">
        <v>1</v>
      </c>
      <c r="H40" s="37">
        <v>0</v>
      </c>
      <c r="I40" s="38">
        <f>(F40+H40*F40)*G40</f>
        <v>1829</v>
      </c>
      <c r="J40" s="36" t="s">
        <v>27</v>
      </c>
      <c r="K40" s="39"/>
      <c r="L40" s="40">
        <f>I40*K40</f>
        <v>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x14ac:dyDescent="0.2">
      <c r="A41" s="35" t="s">
        <v>21</v>
      </c>
      <c r="B41" s="35" t="s">
        <v>53</v>
      </c>
      <c r="C41" s="35" t="s">
        <v>24</v>
      </c>
      <c r="D41" s="35" t="s">
        <v>33</v>
      </c>
      <c r="E41" s="35" t="s">
        <v>34</v>
      </c>
      <c r="F41" s="36">
        <v>4</v>
      </c>
      <c r="G41" s="36">
        <v>1</v>
      </c>
      <c r="H41" s="37">
        <v>0</v>
      </c>
      <c r="I41" s="38">
        <f>(F41+H41*F41)*G41</f>
        <v>4</v>
      </c>
      <c r="J41" s="36" t="s">
        <v>35</v>
      </c>
      <c r="K41" s="39"/>
      <c r="L41" s="40">
        <f>I41*K41</f>
        <v>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x14ac:dyDescent="0.2">
      <c r="A42" s="35" t="s">
        <v>21</v>
      </c>
      <c r="B42" s="35" t="s">
        <v>53</v>
      </c>
      <c r="C42" s="35" t="s">
        <v>24</v>
      </c>
      <c r="D42" s="35" t="s">
        <v>33</v>
      </c>
      <c r="E42" s="35" t="s">
        <v>41</v>
      </c>
      <c r="F42" s="36">
        <v>8</v>
      </c>
      <c r="G42" s="36">
        <v>1</v>
      </c>
      <c r="H42" s="37">
        <v>0</v>
      </c>
      <c r="I42" s="38">
        <f>(F42+H42*F42)*G42</f>
        <v>8</v>
      </c>
      <c r="J42" s="36" t="s">
        <v>35</v>
      </c>
      <c r="K42" s="39"/>
      <c r="L42" s="40">
        <f>I42*K42</f>
        <v>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x14ac:dyDescent="0.2">
      <c r="A43" s="35" t="s">
        <v>21</v>
      </c>
      <c r="B43" s="35" t="s">
        <v>53</v>
      </c>
      <c r="C43" s="35" t="s">
        <v>24</v>
      </c>
      <c r="D43" s="35" t="s">
        <v>33</v>
      </c>
      <c r="E43" s="35" t="s">
        <v>42</v>
      </c>
      <c r="F43" s="36">
        <v>4</v>
      </c>
      <c r="G43" s="36">
        <v>1</v>
      </c>
      <c r="H43" s="37">
        <v>0</v>
      </c>
      <c r="I43" s="38">
        <f>(F43+H43*F43)*G43</f>
        <v>4</v>
      </c>
      <c r="J43" s="36" t="s">
        <v>35</v>
      </c>
      <c r="K43" s="39"/>
      <c r="L43" s="40">
        <f>I43*K43</f>
        <v>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x14ac:dyDescent="0.2">
      <c r="A44" s="35" t="s">
        <v>21</v>
      </c>
      <c r="B44" s="35" t="s">
        <v>53</v>
      </c>
      <c r="C44" s="35" t="s">
        <v>24</v>
      </c>
      <c r="D44" s="35" t="s">
        <v>33</v>
      </c>
      <c r="E44" s="35" t="s">
        <v>44</v>
      </c>
      <c r="F44" s="36">
        <v>4</v>
      </c>
      <c r="G44" s="36">
        <v>1</v>
      </c>
      <c r="H44" s="37">
        <v>0</v>
      </c>
      <c r="I44" s="38">
        <f>(F44+H44*F44)*G44</f>
        <v>4</v>
      </c>
      <c r="J44" s="36" t="s">
        <v>35</v>
      </c>
      <c r="K44" s="39"/>
      <c r="L44" s="40">
        <f>I44*K44</f>
        <v>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t="12.75" customHeight="1" x14ac:dyDescent="0.2">
      <c r="A45" s="34" t="s">
        <v>21</v>
      </c>
      <c r="B45" s="34" t="s">
        <v>54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x14ac:dyDescent="0.2">
      <c r="A46" s="35" t="s">
        <v>21</v>
      </c>
      <c r="B46" s="35" t="s">
        <v>54</v>
      </c>
      <c r="C46" s="35" t="s">
        <v>24</v>
      </c>
      <c r="D46" s="35" t="s">
        <v>25</v>
      </c>
      <c r="E46" s="35" t="s">
        <v>26</v>
      </c>
      <c r="F46" s="36">
        <v>513</v>
      </c>
      <c r="G46" s="36">
        <v>1</v>
      </c>
      <c r="H46" s="37">
        <v>0</v>
      </c>
      <c r="I46" s="38">
        <f>(F46+H46*F46)*G46</f>
        <v>513</v>
      </c>
      <c r="J46" s="36" t="s">
        <v>27</v>
      </c>
      <c r="K46" s="39"/>
      <c r="L46" s="40">
        <f>I46*K46</f>
        <v>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x14ac:dyDescent="0.2">
      <c r="A47" s="35" t="s">
        <v>21</v>
      </c>
      <c r="B47" s="35" t="s">
        <v>54</v>
      </c>
      <c r="C47" s="35" t="s">
        <v>24</v>
      </c>
      <c r="D47" s="35" t="s">
        <v>33</v>
      </c>
      <c r="E47" s="35" t="s">
        <v>34</v>
      </c>
      <c r="F47" s="36">
        <v>4</v>
      </c>
      <c r="G47" s="36">
        <v>1</v>
      </c>
      <c r="H47" s="37">
        <v>0</v>
      </c>
      <c r="I47" s="38">
        <f>(F47+H47*F47)*G47</f>
        <v>4</v>
      </c>
      <c r="J47" s="36" t="s">
        <v>35</v>
      </c>
      <c r="K47" s="39"/>
      <c r="L47" s="40">
        <f>I47*K47</f>
        <v>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x14ac:dyDescent="0.2">
      <c r="A48" s="35" t="s">
        <v>21</v>
      </c>
      <c r="B48" s="35" t="s">
        <v>54</v>
      </c>
      <c r="C48" s="35" t="s">
        <v>24</v>
      </c>
      <c r="D48" s="35" t="s">
        <v>33</v>
      </c>
      <c r="E48" s="35" t="s">
        <v>41</v>
      </c>
      <c r="F48" s="36">
        <v>4</v>
      </c>
      <c r="G48" s="36">
        <v>1</v>
      </c>
      <c r="H48" s="37">
        <v>0</v>
      </c>
      <c r="I48" s="38">
        <f>(F48+H48*F48)*G48</f>
        <v>4</v>
      </c>
      <c r="J48" s="36" t="s">
        <v>35</v>
      </c>
      <c r="K48" s="39"/>
      <c r="L48" s="40">
        <f>I48*K48</f>
        <v>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x14ac:dyDescent="0.2">
      <c r="A49" s="35" t="s">
        <v>21</v>
      </c>
      <c r="B49" s="35" t="s">
        <v>54</v>
      </c>
      <c r="C49" s="35" t="s">
        <v>24</v>
      </c>
      <c r="D49" s="35" t="s">
        <v>33</v>
      </c>
      <c r="E49" s="35" t="s">
        <v>42</v>
      </c>
      <c r="F49" s="36">
        <v>4</v>
      </c>
      <c r="G49" s="36">
        <v>1</v>
      </c>
      <c r="H49" s="37">
        <v>0</v>
      </c>
      <c r="I49" s="38">
        <f>(F49+H49*F49)*G49</f>
        <v>4</v>
      </c>
      <c r="J49" s="36" t="s">
        <v>35</v>
      </c>
      <c r="K49" s="39"/>
      <c r="L49" s="40">
        <f>I49*K49</f>
        <v>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x14ac:dyDescent="0.2">
      <c r="A50" s="35" t="s">
        <v>21</v>
      </c>
      <c r="B50" s="35" t="s">
        <v>54</v>
      </c>
      <c r="C50" s="35" t="s">
        <v>24</v>
      </c>
      <c r="D50" s="35" t="s">
        <v>33</v>
      </c>
      <c r="E50" s="35" t="s">
        <v>44</v>
      </c>
      <c r="F50" s="36">
        <v>4</v>
      </c>
      <c r="G50" s="36">
        <v>1</v>
      </c>
      <c r="H50" s="37">
        <v>0</v>
      </c>
      <c r="I50" s="38">
        <f>(F50+H50*F50)*G50</f>
        <v>4</v>
      </c>
      <c r="J50" s="36" t="s">
        <v>35</v>
      </c>
      <c r="K50" s="39"/>
      <c r="L50" s="40">
        <f>I50*K50</f>
        <v>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ht="12.75" customHeight="1" x14ac:dyDescent="0.2">
      <c r="A51" s="34" t="s">
        <v>21</v>
      </c>
      <c r="B51" s="34" t="s">
        <v>55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x14ac:dyDescent="0.2">
      <c r="A52" s="35" t="s">
        <v>21</v>
      </c>
      <c r="B52" s="35" t="s">
        <v>55</v>
      </c>
      <c r="C52" s="35" t="s">
        <v>24</v>
      </c>
      <c r="D52" s="35" t="s">
        <v>25</v>
      </c>
      <c r="E52" s="35" t="s">
        <v>26</v>
      </c>
      <c r="F52" s="36">
        <v>700</v>
      </c>
      <c r="G52" s="36">
        <v>1</v>
      </c>
      <c r="H52" s="37">
        <v>0</v>
      </c>
      <c r="I52" s="38">
        <f t="shared" ref="I52:I58" si="4">(F52+H52*F52)*G52</f>
        <v>700</v>
      </c>
      <c r="J52" s="36" t="s">
        <v>27</v>
      </c>
      <c r="K52" s="39"/>
      <c r="L52" s="40">
        <f t="shared" ref="L52:L58" si="5">I52*K52</f>
        <v>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x14ac:dyDescent="0.2">
      <c r="A53" s="35" t="s">
        <v>21</v>
      </c>
      <c r="B53" s="35" t="s">
        <v>55</v>
      </c>
      <c r="C53" s="35" t="s">
        <v>24</v>
      </c>
      <c r="D53" s="35" t="s">
        <v>25</v>
      </c>
      <c r="E53" s="35" t="s">
        <v>28</v>
      </c>
      <c r="F53" s="36">
        <v>401</v>
      </c>
      <c r="G53" s="36">
        <v>1</v>
      </c>
      <c r="H53" s="37">
        <v>0</v>
      </c>
      <c r="I53" s="38">
        <f t="shared" si="4"/>
        <v>401</v>
      </c>
      <c r="J53" s="36" t="s">
        <v>27</v>
      </c>
      <c r="K53" s="39"/>
      <c r="L53" s="40">
        <f t="shared" si="5"/>
        <v>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x14ac:dyDescent="0.2">
      <c r="A54" s="35" t="s">
        <v>21</v>
      </c>
      <c r="B54" s="35" t="s">
        <v>55</v>
      </c>
      <c r="C54" s="35" t="s">
        <v>24</v>
      </c>
      <c r="D54" s="35" t="s">
        <v>33</v>
      </c>
      <c r="E54" s="35" t="s">
        <v>34</v>
      </c>
      <c r="F54" s="36">
        <v>4</v>
      </c>
      <c r="G54" s="36">
        <v>1</v>
      </c>
      <c r="H54" s="37">
        <v>0</v>
      </c>
      <c r="I54" s="38">
        <f t="shared" si="4"/>
        <v>4</v>
      </c>
      <c r="J54" s="36" t="s">
        <v>35</v>
      </c>
      <c r="K54" s="39"/>
      <c r="L54" s="40">
        <f t="shared" si="5"/>
        <v>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x14ac:dyDescent="0.2">
      <c r="A55" s="35" t="s">
        <v>21</v>
      </c>
      <c r="B55" s="35" t="s">
        <v>55</v>
      </c>
      <c r="C55" s="35" t="s">
        <v>24</v>
      </c>
      <c r="D55" s="35" t="s">
        <v>33</v>
      </c>
      <c r="E55" s="35" t="s">
        <v>41</v>
      </c>
      <c r="F55" s="36">
        <v>5</v>
      </c>
      <c r="G55" s="36">
        <v>1</v>
      </c>
      <c r="H55" s="37">
        <v>0</v>
      </c>
      <c r="I55" s="38">
        <f t="shared" si="4"/>
        <v>5</v>
      </c>
      <c r="J55" s="36" t="s">
        <v>35</v>
      </c>
      <c r="K55" s="39"/>
      <c r="L55" s="40">
        <f t="shared" si="5"/>
        <v>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x14ac:dyDescent="0.2">
      <c r="A56" s="35" t="s">
        <v>21</v>
      </c>
      <c r="B56" s="35" t="s">
        <v>55</v>
      </c>
      <c r="C56" s="35" t="s">
        <v>24</v>
      </c>
      <c r="D56" s="35" t="s">
        <v>33</v>
      </c>
      <c r="E56" s="35" t="s">
        <v>42</v>
      </c>
      <c r="F56" s="36">
        <v>4</v>
      </c>
      <c r="G56" s="36">
        <v>1</v>
      </c>
      <c r="H56" s="37">
        <v>0</v>
      </c>
      <c r="I56" s="38">
        <f t="shared" si="4"/>
        <v>4</v>
      </c>
      <c r="J56" s="36" t="s">
        <v>35</v>
      </c>
      <c r="K56" s="39"/>
      <c r="L56" s="40">
        <f t="shared" si="5"/>
        <v>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1:38" x14ac:dyDescent="0.2">
      <c r="A57" s="35" t="s">
        <v>21</v>
      </c>
      <c r="B57" s="35" t="s">
        <v>55</v>
      </c>
      <c r="C57" s="35" t="s">
        <v>24</v>
      </c>
      <c r="D57" s="35" t="s">
        <v>33</v>
      </c>
      <c r="E57" s="35" t="s">
        <v>44</v>
      </c>
      <c r="F57" s="36">
        <v>4</v>
      </c>
      <c r="G57" s="36">
        <v>1</v>
      </c>
      <c r="H57" s="37">
        <v>0</v>
      </c>
      <c r="I57" s="38">
        <f t="shared" si="4"/>
        <v>4</v>
      </c>
      <c r="J57" s="36" t="s">
        <v>35</v>
      </c>
      <c r="K57" s="39"/>
      <c r="L57" s="40">
        <f t="shared" si="5"/>
        <v>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1:38" x14ac:dyDescent="0.2">
      <c r="A58" s="35" t="s">
        <v>21</v>
      </c>
      <c r="B58" s="35" t="s">
        <v>55</v>
      </c>
      <c r="C58" s="35" t="s">
        <v>24</v>
      </c>
      <c r="D58" s="35" t="s">
        <v>49</v>
      </c>
      <c r="E58" s="35" t="s">
        <v>50</v>
      </c>
      <c r="F58" s="36">
        <v>8</v>
      </c>
      <c r="G58" s="36">
        <v>1</v>
      </c>
      <c r="H58" s="37">
        <v>0</v>
      </c>
      <c r="I58" s="38">
        <f t="shared" si="4"/>
        <v>8</v>
      </c>
      <c r="J58" s="36" t="s">
        <v>35</v>
      </c>
      <c r="K58" s="39"/>
      <c r="L58" s="40">
        <f t="shared" si="5"/>
        <v>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1:38" ht="12.75" customHeight="1" x14ac:dyDescent="0.2">
      <c r="A59" s="34" t="s">
        <v>21</v>
      </c>
      <c r="B59" s="34" t="s">
        <v>56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1:38" x14ac:dyDescent="0.2">
      <c r="A60" s="35" t="s">
        <v>21</v>
      </c>
      <c r="B60" s="35" t="s">
        <v>56</v>
      </c>
      <c r="C60" s="35" t="s">
        <v>24</v>
      </c>
      <c r="D60" s="35" t="s">
        <v>25</v>
      </c>
      <c r="E60" s="35" t="s">
        <v>26</v>
      </c>
      <c r="F60" s="36">
        <v>12000</v>
      </c>
      <c r="G60" s="36">
        <v>1</v>
      </c>
      <c r="H60" s="37">
        <v>0</v>
      </c>
      <c r="I60" s="38">
        <f t="shared" ref="I60:I74" si="6">(F60+H60*F60)*G60</f>
        <v>12000</v>
      </c>
      <c r="J60" s="36" t="s">
        <v>27</v>
      </c>
      <c r="K60" s="39"/>
      <c r="L60" s="40">
        <f t="shared" ref="L60:L74" si="7">I60*K60</f>
        <v>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1:38" x14ac:dyDescent="0.2">
      <c r="A61" s="35" t="s">
        <v>21</v>
      </c>
      <c r="B61" s="35" t="s">
        <v>56</v>
      </c>
      <c r="C61" s="35" t="s">
        <v>24</v>
      </c>
      <c r="D61" s="35" t="s">
        <v>25</v>
      </c>
      <c r="E61" s="35" t="s">
        <v>28</v>
      </c>
      <c r="F61" s="36">
        <v>8000</v>
      </c>
      <c r="G61" s="36">
        <v>1</v>
      </c>
      <c r="H61" s="37">
        <v>0</v>
      </c>
      <c r="I61" s="38">
        <f t="shared" si="6"/>
        <v>8000</v>
      </c>
      <c r="J61" s="36" t="s">
        <v>27</v>
      </c>
      <c r="K61" s="39"/>
      <c r="L61" s="40">
        <f t="shared" si="7"/>
        <v>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1:38" x14ac:dyDescent="0.2">
      <c r="A62" s="35" t="s">
        <v>21</v>
      </c>
      <c r="B62" s="35" t="s">
        <v>56</v>
      </c>
      <c r="C62" s="35" t="s">
        <v>24</v>
      </c>
      <c r="D62" s="35" t="s">
        <v>25</v>
      </c>
      <c r="E62" s="35" t="s">
        <v>29</v>
      </c>
      <c r="F62" s="36">
        <v>3500</v>
      </c>
      <c r="G62" s="36">
        <v>1</v>
      </c>
      <c r="H62" s="37">
        <v>0</v>
      </c>
      <c r="I62" s="38">
        <f t="shared" si="6"/>
        <v>3500</v>
      </c>
      <c r="J62" s="36" t="s">
        <v>27</v>
      </c>
      <c r="K62" s="39"/>
      <c r="L62" s="40">
        <f t="shared" si="7"/>
        <v>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1:38" x14ac:dyDescent="0.2">
      <c r="A63" s="35" t="s">
        <v>21</v>
      </c>
      <c r="B63" s="35" t="s">
        <v>56</v>
      </c>
      <c r="C63" s="35" t="s">
        <v>24</v>
      </c>
      <c r="D63" s="35" t="s">
        <v>25</v>
      </c>
      <c r="E63" s="35" t="s">
        <v>57</v>
      </c>
      <c r="F63" s="36">
        <v>4078</v>
      </c>
      <c r="G63" s="36">
        <v>1</v>
      </c>
      <c r="H63" s="37">
        <v>0</v>
      </c>
      <c r="I63" s="38">
        <f t="shared" si="6"/>
        <v>4078</v>
      </c>
      <c r="J63" s="36" t="s">
        <v>27</v>
      </c>
      <c r="K63" s="39"/>
      <c r="L63" s="40">
        <f t="shared" si="7"/>
        <v>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1:38" x14ac:dyDescent="0.2">
      <c r="A64" s="35" t="s">
        <v>21</v>
      </c>
      <c r="B64" s="35" t="s">
        <v>56</v>
      </c>
      <c r="C64" s="35" t="s">
        <v>24</v>
      </c>
      <c r="D64" s="35" t="s">
        <v>25</v>
      </c>
      <c r="E64" s="35" t="s">
        <v>32</v>
      </c>
      <c r="F64" s="36">
        <v>18299</v>
      </c>
      <c r="G64" s="36">
        <v>1</v>
      </c>
      <c r="H64" s="37">
        <v>0</v>
      </c>
      <c r="I64" s="38">
        <f t="shared" si="6"/>
        <v>18299</v>
      </c>
      <c r="J64" s="36" t="s">
        <v>27</v>
      </c>
      <c r="K64" s="39"/>
      <c r="L64" s="40">
        <f t="shared" si="7"/>
        <v>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1:38" x14ac:dyDescent="0.2">
      <c r="A65" s="35" t="s">
        <v>21</v>
      </c>
      <c r="B65" s="35" t="s">
        <v>56</v>
      </c>
      <c r="C65" s="35" t="s">
        <v>24</v>
      </c>
      <c r="D65" s="35" t="s">
        <v>33</v>
      </c>
      <c r="E65" s="35" t="s">
        <v>34</v>
      </c>
      <c r="F65" s="36">
        <v>4</v>
      </c>
      <c r="G65" s="36">
        <v>1</v>
      </c>
      <c r="H65" s="37">
        <v>0</v>
      </c>
      <c r="I65" s="38">
        <f t="shared" si="6"/>
        <v>4</v>
      </c>
      <c r="J65" s="36" t="s">
        <v>35</v>
      </c>
      <c r="K65" s="39"/>
      <c r="L65" s="40">
        <f t="shared" si="7"/>
        <v>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1:38" x14ac:dyDescent="0.2">
      <c r="A66" s="35" t="s">
        <v>21</v>
      </c>
      <c r="B66" s="35" t="s">
        <v>56</v>
      </c>
      <c r="C66" s="35" t="s">
        <v>24</v>
      </c>
      <c r="D66" s="35" t="s">
        <v>33</v>
      </c>
      <c r="E66" s="35" t="s">
        <v>37</v>
      </c>
      <c r="F66" s="36">
        <v>1</v>
      </c>
      <c r="G66" s="36">
        <v>1</v>
      </c>
      <c r="H66" s="37">
        <v>0</v>
      </c>
      <c r="I66" s="38">
        <f t="shared" si="6"/>
        <v>1</v>
      </c>
      <c r="J66" s="36" t="s">
        <v>35</v>
      </c>
      <c r="K66" s="39"/>
      <c r="L66" s="40">
        <f t="shared" si="7"/>
        <v>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1:38" x14ac:dyDescent="0.2">
      <c r="A67" s="35" t="s">
        <v>21</v>
      </c>
      <c r="B67" s="35" t="s">
        <v>56</v>
      </c>
      <c r="C67" s="35" t="s">
        <v>24</v>
      </c>
      <c r="D67" s="35" t="s">
        <v>33</v>
      </c>
      <c r="E67" s="35" t="s">
        <v>58</v>
      </c>
      <c r="F67" s="36">
        <v>2</v>
      </c>
      <c r="G67" s="36">
        <v>1</v>
      </c>
      <c r="H67" s="37">
        <v>0</v>
      </c>
      <c r="I67" s="38">
        <f t="shared" si="6"/>
        <v>2</v>
      </c>
      <c r="J67" s="36" t="s">
        <v>35</v>
      </c>
      <c r="K67" s="39"/>
      <c r="L67" s="40">
        <f t="shared" si="7"/>
        <v>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 spans="1:38" x14ac:dyDescent="0.2">
      <c r="A68" s="35" t="s">
        <v>21</v>
      </c>
      <c r="B68" s="35" t="s">
        <v>56</v>
      </c>
      <c r="C68" s="35" t="s">
        <v>24</v>
      </c>
      <c r="D68" s="35" t="s">
        <v>33</v>
      </c>
      <c r="E68" s="35" t="s">
        <v>40</v>
      </c>
      <c r="F68" s="36">
        <v>4</v>
      </c>
      <c r="G68" s="36">
        <v>1</v>
      </c>
      <c r="H68" s="37">
        <v>0</v>
      </c>
      <c r="I68" s="38">
        <f t="shared" si="6"/>
        <v>4</v>
      </c>
      <c r="J68" s="36" t="s">
        <v>35</v>
      </c>
      <c r="K68" s="39"/>
      <c r="L68" s="40">
        <f t="shared" si="7"/>
        <v>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 spans="1:38" x14ac:dyDescent="0.2">
      <c r="A69" s="35" t="s">
        <v>21</v>
      </c>
      <c r="B69" s="35" t="s">
        <v>56</v>
      </c>
      <c r="C69" s="35" t="s">
        <v>24</v>
      </c>
      <c r="D69" s="35" t="s">
        <v>33</v>
      </c>
      <c r="E69" s="35" t="s">
        <v>41</v>
      </c>
      <c r="F69" s="36">
        <v>42</v>
      </c>
      <c r="G69" s="36">
        <v>1</v>
      </c>
      <c r="H69" s="37">
        <v>0</v>
      </c>
      <c r="I69" s="38">
        <f t="shared" si="6"/>
        <v>42</v>
      </c>
      <c r="J69" s="36" t="s">
        <v>35</v>
      </c>
      <c r="K69" s="39"/>
      <c r="L69" s="40">
        <f t="shared" si="7"/>
        <v>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 spans="1:38" x14ac:dyDescent="0.2">
      <c r="A70" s="35" t="s">
        <v>21</v>
      </c>
      <c r="B70" s="35" t="s">
        <v>56</v>
      </c>
      <c r="C70" s="35" t="s">
        <v>24</v>
      </c>
      <c r="D70" s="35" t="s">
        <v>33</v>
      </c>
      <c r="E70" s="35" t="s">
        <v>42</v>
      </c>
      <c r="F70" s="36">
        <v>4</v>
      </c>
      <c r="G70" s="36">
        <v>1</v>
      </c>
      <c r="H70" s="37">
        <v>0</v>
      </c>
      <c r="I70" s="38">
        <f t="shared" si="6"/>
        <v>4</v>
      </c>
      <c r="J70" s="36" t="s">
        <v>35</v>
      </c>
      <c r="K70" s="39"/>
      <c r="L70" s="40">
        <f t="shared" si="7"/>
        <v>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  <row r="71" spans="1:38" x14ac:dyDescent="0.2">
      <c r="A71" s="35" t="s">
        <v>21</v>
      </c>
      <c r="B71" s="35" t="s">
        <v>56</v>
      </c>
      <c r="C71" s="35" t="s">
        <v>24</v>
      </c>
      <c r="D71" s="35" t="s">
        <v>33</v>
      </c>
      <c r="E71" s="35" t="s">
        <v>43</v>
      </c>
      <c r="F71" s="36">
        <v>2</v>
      </c>
      <c r="G71" s="36">
        <v>1</v>
      </c>
      <c r="H71" s="37">
        <v>0</v>
      </c>
      <c r="I71" s="38">
        <f t="shared" si="6"/>
        <v>2</v>
      </c>
      <c r="J71" s="36" t="s">
        <v>35</v>
      </c>
      <c r="K71" s="39"/>
      <c r="L71" s="40">
        <f t="shared" si="7"/>
        <v>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</row>
    <row r="72" spans="1:38" x14ac:dyDescent="0.2">
      <c r="A72" s="35" t="s">
        <v>21</v>
      </c>
      <c r="B72" s="35" t="s">
        <v>56</v>
      </c>
      <c r="C72" s="35" t="s">
        <v>24</v>
      </c>
      <c r="D72" s="35" t="s">
        <v>33</v>
      </c>
      <c r="E72" s="35" t="s">
        <v>44</v>
      </c>
      <c r="F72" s="36">
        <v>6</v>
      </c>
      <c r="G72" s="36">
        <v>1</v>
      </c>
      <c r="H72" s="37">
        <v>0</v>
      </c>
      <c r="I72" s="38">
        <f t="shared" si="6"/>
        <v>6</v>
      </c>
      <c r="J72" s="36" t="s">
        <v>35</v>
      </c>
      <c r="K72" s="39"/>
      <c r="L72" s="40">
        <f t="shared" si="7"/>
        <v>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</row>
    <row r="73" spans="1:38" x14ac:dyDescent="0.2">
      <c r="A73" s="35" t="s">
        <v>21</v>
      </c>
      <c r="B73" s="35" t="s">
        <v>56</v>
      </c>
      <c r="C73" s="35" t="s">
        <v>24</v>
      </c>
      <c r="D73" s="35" t="s">
        <v>49</v>
      </c>
      <c r="E73" s="35" t="s">
        <v>59</v>
      </c>
      <c r="F73" s="36">
        <v>2</v>
      </c>
      <c r="G73" s="36">
        <v>1</v>
      </c>
      <c r="H73" s="37">
        <v>0</v>
      </c>
      <c r="I73" s="38">
        <f t="shared" si="6"/>
        <v>2</v>
      </c>
      <c r="J73" s="36" t="s">
        <v>35</v>
      </c>
      <c r="K73" s="39"/>
      <c r="L73" s="40">
        <f t="shared" si="7"/>
        <v>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 spans="1:38" x14ac:dyDescent="0.2">
      <c r="A74" s="35" t="s">
        <v>21</v>
      </c>
      <c r="B74" s="35" t="s">
        <v>56</v>
      </c>
      <c r="C74" s="35" t="s">
        <v>24</v>
      </c>
      <c r="D74" s="35" t="s">
        <v>49</v>
      </c>
      <c r="E74" s="35" t="s">
        <v>60</v>
      </c>
      <c r="F74" s="36">
        <v>2</v>
      </c>
      <c r="G74" s="36">
        <v>1</v>
      </c>
      <c r="H74" s="37">
        <v>0</v>
      </c>
      <c r="I74" s="38">
        <f t="shared" si="6"/>
        <v>2</v>
      </c>
      <c r="J74" s="36" t="s">
        <v>35</v>
      </c>
      <c r="K74" s="39"/>
      <c r="L74" s="40">
        <f t="shared" si="7"/>
        <v>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 spans="1:38" ht="12.75" customHeight="1" x14ac:dyDescent="0.2">
      <c r="A75" s="34" t="s">
        <v>21</v>
      </c>
      <c r="B75" s="34" t="s">
        <v>61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 spans="1:38" x14ac:dyDescent="0.2">
      <c r="A76" s="35" t="s">
        <v>21</v>
      </c>
      <c r="B76" s="35" t="s">
        <v>61</v>
      </c>
      <c r="C76" s="35" t="s">
        <v>24</v>
      </c>
      <c r="D76" s="35" t="s">
        <v>25</v>
      </c>
      <c r="E76" s="35" t="s">
        <v>26</v>
      </c>
      <c r="F76" s="36">
        <v>25000</v>
      </c>
      <c r="G76" s="36">
        <v>1</v>
      </c>
      <c r="H76" s="37">
        <v>0</v>
      </c>
      <c r="I76" s="38">
        <f t="shared" ref="I76:I91" si="8">(F76+H76*F76)*G76</f>
        <v>25000</v>
      </c>
      <c r="J76" s="36" t="s">
        <v>27</v>
      </c>
      <c r="K76" s="39"/>
      <c r="L76" s="40">
        <f t="shared" ref="L76:L91" si="9">I76*K76</f>
        <v>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 spans="1:38" x14ac:dyDescent="0.2">
      <c r="A77" s="35" t="s">
        <v>21</v>
      </c>
      <c r="B77" s="35" t="s">
        <v>61</v>
      </c>
      <c r="C77" s="35" t="s">
        <v>24</v>
      </c>
      <c r="D77" s="35" t="s">
        <v>25</v>
      </c>
      <c r="E77" s="35" t="s">
        <v>28</v>
      </c>
      <c r="F77" s="36">
        <v>12000</v>
      </c>
      <c r="G77" s="36">
        <v>1</v>
      </c>
      <c r="H77" s="37">
        <v>0</v>
      </c>
      <c r="I77" s="38">
        <f t="shared" si="8"/>
        <v>12000</v>
      </c>
      <c r="J77" s="36" t="s">
        <v>27</v>
      </c>
      <c r="K77" s="39"/>
      <c r="L77" s="40">
        <f t="shared" si="9"/>
        <v>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x14ac:dyDescent="0.2">
      <c r="A78" s="35" t="s">
        <v>21</v>
      </c>
      <c r="B78" s="35" t="s">
        <v>61</v>
      </c>
      <c r="C78" s="35" t="s">
        <v>24</v>
      </c>
      <c r="D78" s="35" t="s">
        <v>25</v>
      </c>
      <c r="E78" s="35" t="s">
        <v>29</v>
      </c>
      <c r="F78" s="36">
        <v>5207</v>
      </c>
      <c r="G78" s="36">
        <v>1</v>
      </c>
      <c r="H78" s="37">
        <v>0</v>
      </c>
      <c r="I78" s="38">
        <f t="shared" si="8"/>
        <v>5207</v>
      </c>
      <c r="J78" s="36" t="s">
        <v>27</v>
      </c>
      <c r="K78" s="39"/>
      <c r="L78" s="40">
        <f t="shared" si="9"/>
        <v>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</row>
    <row r="79" spans="1:38" x14ac:dyDescent="0.2">
      <c r="A79" s="35" t="s">
        <v>21</v>
      </c>
      <c r="B79" s="35" t="s">
        <v>61</v>
      </c>
      <c r="C79" s="35" t="s">
        <v>24</v>
      </c>
      <c r="D79" s="35" t="s">
        <v>25</v>
      </c>
      <c r="E79" s="35" t="s">
        <v>62</v>
      </c>
      <c r="F79" s="36">
        <v>10000</v>
      </c>
      <c r="G79" s="36">
        <v>1</v>
      </c>
      <c r="H79" s="37">
        <v>0</v>
      </c>
      <c r="I79" s="38">
        <f t="shared" si="8"/>
        <v>10000</v>
      </c>
      <c r="J79" s="36" t="s">
        <v>27</v>
      </c>
      <c r="K79" s="39"/>
      <c r="L79" s="40">
        <f t="shared" si="9"/>
        <v>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 spans="1:38" x14ac:dyDescent="0.2">
      <c r="A80" s="35" t="s">
        <v>21</v>
      </c>
      <c r="B80" s="35" t="s">
        <v>61</v>
      </c>
      <c r="C80" s="35" t="s">
        <v>24</v>
      </c>
      <c r="D80" s="35" t="s">
        <v>25</v>
      </c>
      <c r="E80" s="35" t="s">
        <v>63</v>
      </c>
      <c r="F80" s="36">
        <v>5000</v>
      </c>
      <c r="G80" s="36">
        <v>1</v>
      </c>
      <c r="H80" s="37">
        <v>0</v>
      </c>
      <c r="I80" s="38">
        <f t="shared" si="8"/>
        <v>5000</v>
      </c>
      <c r="J80" s="36" t="s">
        <v>27</v>
      </c>
      <c r="K80" s="39"/>
      <c r="L80" s="40">
        <f t="shared" si="9"/>
        <v>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</row>
    <row r="81" spans="1:38" x14ac:dyDescent="0.2">
      <c r="A81" s="35" t="s">
        <v>21</v>
      </c>
      <c r="B81" s="35" t="s">
        <v>61</v>
      </c>
      <c r="C81" s="35" t="s">
        <v>24</v>
      </c>
      <c r="D81" s="35" t="s">
        <v>25</v>
      </c>
      <c r="E81" s="35" t="s">
        <v>64</v>
      </c>
      <c r="F81" s="36">
        <v>2487</v>
      </c>
      <c r="G81" s="36">
        <v>1</v>
      </c>
      <c r="H81" s="37">
        <v>0</v>
      </c>
      <c r="I81" s="38">
        <f t="shared" si="8"/>
        <v>2487</v>
      </c>
      <c r="J81" s="36" t="s">
        <v>27</v>
      </c>
      <c r="K81" s="39"/>
      <c r="L81" s="40">
        <f t="shared" si="9"/>
        <v>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 spans="1:38" x14ac:dyDescent="0.2">
      <c r="A82" s="35" t="s">
        <v>21</v>
      </c>
      <c r="B82" s="35" t="s">
        <v>61</v>
      </c>
      <c r="C82" s="35" t="s">
        <v>24</v>
      </c>
      <c r="D82" s="35" t="s">
        <v>33</v>
      </c>
      <c r="E82" s="35" t="s">
        <v>34</v>
      </c>
      <c r="F82" s="36">
        <v>40</v>
      </c>
      <c r="G82" s="36">
        <v>1</v>
      </c>
      <c r="H82" s="37">
        <v>0</v>
      </c>
      <c r="I82" s="38">
        <f t="shared" si="8"/>
        <v>40</v>
      </c>
      <c r="J82" s="36" t="s">
        <v>35</v>
      </c>
      <c r="K82" s="39"/>
      <c r="L82" s="40">
        <f t="shared" si="9"/>
        <v>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</row>
    <row r="83" spans="1:38" x14ac:dyDescent="0.2">
      <c r="A83" s="35" t="s">
        <v>21</v>
      </c>
      <c r="B83" s="35" t="s">
        <v>61</v>
      </c>
      <c r="C83" s="35" t="s">
        <v>24</v>
      </c>
      <c r="D83" s="35" t="s">
        <v>33</v>
      </c>
      <c r="E83" s="35" t="s">
        <v>37</v>
      </c>
      <c r="F83" s="36">
        <v>19</v>
      </c>
      <c r="G83" s="36">
        <v>1</v>
      </c>
      <c r="H83" s="37">
        <v>0</v>
      </c>
      <c r="I83" s="38">
        <f t="shared" si="8"/>
        <v>19</v>
      </c>
      <c r="J83" s="36" t="s">
        <v>35</v>
      </c>
      <c r="K83" s="39"/>
      <c r="L83" s="40">
        <f t="shared" si="9"/>
        <v>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</row>
    <row r="84" spans="1:38" x14ac:dyDescent="0.2">
      <c r="A84" s="35" t="s">
        <v>21</v>
      </c>
      <c r="B84" s="35" t="s">
        <v>61</v>
      </c>
      <c r="C84" s="35" t="s">
        <v>24</v>
      </c>
      <c r="D84" s="35" t="s">
        <v>33</v>
      </c>
      <c r="E84" s="35" t="s">
        <v>58</v>
      </c>
      <c r="F84" s="36">
        <v>28</v>
      </c>
      <c r="G84" s="36">
        <v>1</v>
      </c>
      <c r="H84" s="37">
        <v>0</v>
      </c>
      <c r="I84" s="38">
        <f t="shared" si="8"/>
        <v>28</v>
      </c>
      <c r="J84" s="36" t="s">
        <v>35</v>
      </c>
      <c r="K84" s="39"/>
      <c r="L84" s="40">
        <f t="shared" si="9"/>
        <v>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</row>
    <row r="85" spans="1:38" x14ac:dyDescent="0.2">
      <c r="A85" s="35" t="s">
        <v>21</v>
      </c>
      <c r="B85" s="35" t="s">
        <v>61</v>
      </c>
      <c r="C85" s="35" t="s">
        <v>24</v>
      </c>
      <c r="D85" s="35" t="s">
        <v>33</v>
      </c>
      <c r="E85" s="35" t="s">
        <v>65</v>
      </c>
      <c r="F85" s="36">
        <v>2</v>
      </c>
      <c r="G85" s="36">
        <v>1</v>
      </c>
      <c r="H85" s="37">
        <v>0</v>
      </c>
      <c r="I85" s="38">
        <f t="shared" si="8"/>
        <v>2</v>
      </c>
      <c r="J85" s="36" t="s">
        <v>35</v>
      </c>
      <c r="K85" s="39"/>
      <c r="L85" s="40">
        <f t="shared" si="9"/>
        <v>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</row>
    <row r="86" spans="1:38" x14ac:dyDescent="0.2">
      <c r="A86" s="35" t="s">
        <v>21</v>
      </c>
      <c r="B86" s="35" t="s">
        <v>61</v>
      </c>
      <c r="C86" s="35" t="s">
        <v>24</v>
      </c>
      <c r="D86" s="35" t="s">
        <v>33</v>
      </c>
      <c r="E86" s="35" t="s">
        <v>66</v>
      </c>
      <c r="F86" s="36">
        <v>3</v>
      </c>
      <c r="G86" s="36">
        <v>1</v>
      </c>
      <c r="H86" s="37">
        <v>0</v>
      </c>
      <c r="I86" s="38">
        <f t="shared" si="8"/>
        <v>3</v>
      </c>
      <c r="J86" s="36" t="s">
        <v>35</v>
      </c>
      <c r="K86" s="39"/>
      <c r="L86" s="40">
        <f t="shared" si="9"/>
        <v>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 spans="1:38" x14ac:dyDescent="0.2">
      <c r="A87" s="35" t="s">
        <v>21</v>
      </c>
      <c r="B87" s="35" t="s">
        <v>61</v>
      </c>
      <c r="C87" s="35" t="s">
        <v>24</v>
      </c>
      <c r="D87" s="35" t="s">
        <v>33</v>
      </c>
      <c r="E87" s="35" t="s">
        <v>67</v>
      </c>
      <c r="F87" s="36">
        <v>115</v>
      </c>
      <c r="G87" s="36">
        <v>1</v>
      </c>
      <c r="H87" s="37">
        <v>0</v>
      </c>
      <c r="I87" s="38">
        <f t="shared" si="8"/>
        <v>115</v>
      </c>
      <c r="J87" s="36" t="s">
        <v>35</v>
      </c>
      <c r="K87" s="39"/>
      <c r="L87" s="40">
        <f t="shared" si="9"/>
        <v>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</row>
    <row r="88" spans="1:38" x14ac:dyDescent="0.2">
      <c r="A88" s="35" t="s">
        <v>21</v>
      </c>
      <c r="B88" s="35" t="s">
        <v>61</v>
      </c>
      <c r="C88" s="35" t="s">
        <v>24</v>
      </c>
      <c r="D88" s="35" t="s">
        <v>33</v>
      </c>
      <c r="E88" s="35" t="s">
        <v>40</v>
      </c>
      <c r="F88" s="36">
        <v>2</v>
      </c>
      <c r="G88" s="36">
        <v>1</v>
      </c>
      <c r="H88" s="37">
        <v>0</v>
      </c>
      <c r="I88" s="38">
        <f t="shared" si="8"/>
        <v>2</v>
      </c>
      <c r="J88" s="36" t="s">
        <v>35</v>
      </c>
      <c r="K88" s="39"/>
      <c r="L88" s="40">
        <f t="shared" si="9"/>
        <v>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</row>
    <row r="89" spans="1:38" x14ac:dyDescent="0.2">
      <c r="A89" s="35" t="s">
        <v>21</v>
      </c>
      <c r="B89" s="35" t="s">
        <v>61</v>
      </c>
      <c r="C89" s="35" t="s">
        <v>24</v>
      </c>
      <c r="D89" s="35" t="s">
        <v>33</v>
      </c>
      <c r="E89" s="35" t="s">
        <v>41</v>
      </c>
      <c r="F89" s="36">
        <v>261</v>
      </c>
      <c r="G89" s="36">
        <v>1</v>
      </c>
      <c r="H89" s="37">
        <v>0</v>
      </c>
      <c r="I89" s="38">
        <f t="shared" si="8"/>
        <v>261</v>
      </c>
      <c r="J89" s="36" t="s">
        <v>35</v>
      </c>
      <c r="K89" s="39"/>
      <c r="L89" s="40">
        <f t="shared" si="9"/>
        <v>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x14ac:dyDescent="0.2">
      <c r="A90" s="35" t="s">
        <v>21</v>
      </c>
      <c r="B90" s="35" t="s">
        <v>61</v>
      </c>
      <c r="C90" s="35" t="s">
        <v>24</v>
      </c>
      <c r="D90" s="35" t="s">
        <v>33</v>
      </c>
      <c r="E90" s="35" t="s">
        <v>42</v>
      </c>
      <c r="F90" s="36">
        <v>38</v>
      </c>
      <c r="G90" s="36">
        <v>1</v>
      </c>
      <c r="H90" s="37">
        <v>0</v>
      </c>
      <c r="I90" s="38">
        <f t="shared" si="8"/>
        <v>38</v>
      </c>
      <c r="J90" s="36" t="s">
        <v>35</v>
      </c>
      <c r="K90" s="39"/>
      <c r="L90" s="40">
        <f t="shared" si="9"/>
        <v>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  <row r="91" spans="1:38" x14ac:dyDescent="0.2">
      <c r="A91" s="35" t="s">
        <v>21</v>
      </c>
      <c r="B91" s="35" t="s">
        <v>61</v>
      </c>
      <c r="C91" s="35" t="s">
        <v>24</v>
      </c>
      <c r="D91" s="35" t="s">
        <v>33</v>
      </c>
      <c r="E91" s="35" t="s">
        <v>44</v>
      </c>
      <c r="F91" s="36">
        <v>53</v>
      </c>
      <c r="G91" s="36">
        <v>1</v>
      </c>
      <c r="H91" s="37">
        <v>0</v>
      </c>
      <c r="I91" s="38">
        <f t="shared" si="8"/>
        <v>53</v>
      </c>
      <c r="J91" s="36" t="s">
        <v>35</v>
      </c>
      <c r="K91" s="39"/>
      <c r="L91" s="40">
        <f t="shared" si="9"/>
        <v>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</row>
    <row r="92" spans="1:38" ht="12.75" customHeight="1" x14ac:dyDescent="0.2">
      <c r="A92" s="34" t="s">
        <v>21</v>
      </c>
      <c r="B92" s="34" t="s">
        <v>68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 spans="1:38" x14ac:dyDescent="0.2">
      <c r="A93" s="35" t="s">
        <v>21</v>
      </c>
      <c r="B93" s="35" t="s">
        <v>68</v>
      </c>
      <c r="C93" s="35" t="s">
        <v>24</v>
      </c>
      <c r="D93" s="35" t="s">
        <v>25</v>
      </c>
      <c r="E93" s="35" t="s">
        <v>26</v>
      </c>
      <c r="F93" s="36">
        <v>3000</v>
      </c>
      <c r="G93" s="36">
        <v>1</v>
      </c>
      <c r="H93" s="37">
        <v>0</v>
      </c>
      <c r="I93" s="38">
        <f t="shared" ref="I93:I107" si="10">(F93+H93*F93)*G93</f>
        <v>3000</v>
      </c>
      <c r="J93" s="36" t="s">
        <v>27</v>
      </c>
      <c r="K93" s="39"/>
      <c r="L93" s="40">
        <f t="shared" ref="L93:L107" si="11">I93*K93</f>
        <v>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  <row r="94" spans="1:38" x14ac:dyDescent="0.2">
      <c r="A94" s="35" t="s">
        <v>21</v>
      </c>
      <c r="B94" s="35" t="s">
        <v>68</v>
      </c>
      <c r="C94" s="35" t="s">
        <v>24</v>
      </c>
      <c r="D94" s="35" t="s">
        <v>25</v>
      </c>
      <c r="E94" s="35" t="s">
        <v>57</v>
      </c>
      <c r="F94" s="36">
        <v>3070</v>
      </c>
      <c r="G94" s="36">
        <v>1</v>
      </c>
      <c r="H94" s="37">
        <v>0</v>
      </c>
      <c r="I94" s="38">
        <f t="shared" si="10"/>
        <v>3070</v>
      </c>
      <c r="J94" s="36" t="s">
        <v>27</v>
      </c>
      <c r="K94" s="39"/>
      <c r="L94" s="40">
        <f t="shared" si="11"/>
        <v>0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</row>
    <row r="95" spans="1:38" x14ac:dyDescent="0.2">
      <c r="A95" s="35" t="s">
        <v>21</v>
      </c>
      <c r="B95" s="35" t="s">
        <v>68</v>
      </c>
      <c r="C95" s="35" t="s">
        <v>24</v>
      </c>
      <c r="D95" s="35" t="s">
        <v>25</v>
      </c>
      <c r="E95" s="35" t="s">
        <v>30</v>
      </c>
      <c r="F95" s="36">
        <v>2000</v>
      </c>
      <c r="G95" s="36">
        <v>1</v>
      </c>
      <c r="H95" s="37">
        <v>0</v>
      </c>
      <c r="I95" s="38">
        <f t="shared" si="10"/>
        <v>2000</v>
      </c>
      <c r="J95" s="36" t="s">
        <v>27</v>
      </c>
      <c r="K95" s="39"/>
      <c r="L95" s="40">
        <f t="shared" si="11"/>
        <v>0</v>
      </c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</row>
    <row r="96" spans="1:38" x14ac:dyDescent="0.2">
      <c r="A96" s="35" t="s">
        <v>21</v>
      </c>
      <c r="B96" s="35" t="s">
        <v>68</v>
      </c>
      <c r="C96" s="35" t="s">
        <v>24</v>
      </c>
      <c r="D96" s="35" t="s">
        <v>25</v>
      </c>
      <c r="E96" s="35" t="s">
        <v>69</v>
      </c>
      <c r="F96" s="36">
        <v>2030</v>
      </c>
      <c r="G96" s="36">
        <v>1</v>
      </c>
      <c r="H96" s="37">
        <v>0</v>
      </c>
      <c r="I96" s="38">
        <f t="shared" si="10"/>
        <v>2030</v>
      </c>
      <c r="J96" s="36" t="s">
        <v>27</v>
      </c>
      <c r="K96" s="39"/>
      <c r="L96" s="40">
        <f t="shared" si="11"/>
        <v>0</v>
      </c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</row>
    <row r="97" spans="1:38" x14ac:dyDescent="0.2">
      <c r="A97" s="35" t="s">
        <v>21</v>
      </c>
      <c r="B97" s="35" t="s">
        <v>68</v>
      </c>
      <c r="C97" s="35" t="s">
        <v>24</v>
      </c>
      <c r="D97" s="35" t="s">
        <v>33</v>
      </c>
      <c r="E97" s="35" t="s">
        <v>34</v>
      </c>
      <c r="F97" s="36">
        <v>32</v>
      </c>
      <c r="G97" s="36">
        <v>1</v>
      </c>
      <c r="H97" s="37">
        <v>0</v>
      </c>
      <c r="I97" s="38">
        <f t="shared" si="10"/>
        <v>32</v>
      </c>
      <c r="J97" s="36" t="s">
        <v>35</v>
      </c>
      <c r="K97" s="39"/>
      <c r="L97" s="40">
        <f t="shared" si="11"/>
        <v>0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</row>
    <row r="98" spans="1:38" x14ac:dyDescent="0.2">
      <c r="A98" s="35" t="s">
        <v>21</v>
      </c>
      <c r="B98" s="35" t="s">
        <v>68</v>
      </c>
      <c r="C98" s="35" t="s">
        <v>24</v>
      </c>
      <c r="D98" s="35" t="s">
        <v>33</v>
      </c>
      <c r="E98" s="35" t="s">
        <v>40</v>
      </c>
      <c r="F98" s="36">
        <v>2</v>
      </c>
      <c r="G98" s="36">
        <v>1</v>
      </c>
      <c r="H98" s="37">
        <v>0</v>
      </c>
      <c r="I98" s="38">
        <f t="shared" si="10"/>
        <v>2</v>
      </c>
      <c r="J98" s="36" t="s">
        <v>35</v>
      </c>
      <c r="K98" s="39"/>
      <c r="L98" s="40">
        <f t="shared" si="11"/>
        <v>0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</row>
    <row r="99" spans="1:38" x14ac:dyDescent="0.2">
      <c r="A99" s="35" t="s">
        <v>21</v>
      </c>
      <c r="B99" s="35" t="s">
        <v>68</v>
      </c>
      <c r="C99" s="35" t="s">
        <v>24</v>
      </c>
      <c r="D99" s="35" t="s">
        <v>33</v>
      </c>
      <c r="E99" s="35" t="s">
        <v>41</v>
      </c>
      <c r="F99" s="36">
        <v>18</v>
      </c>
      <c r="G99" s="36">
        <v>1</v>
      </c>
      <c r="H99" s="37">
        <v>0</v>
      </c>
      <c r="I99" s="38">
        <f t="shared" si="10"/>
        <v>18</v>
      </c>
      <c r="J99" s="36" t="s">
        <v>35</v>
      </c>
      <c r="K99" s="39"/>
      <c r="L99" s="40">
        <f t="shared" si="11"/>
        <v>0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</row>
    <row r="100" spans="1:38" x14ac:dyDescent="0.2">
      <c r="A100" s="35" t="s">
        <v>21</v>
      </c>
      <c r="B100" s="35" t="s">
        <v>68</v>
      </c>
      <c r="C100" s="35" t="s">
        <v>24</v>
      </c>
      <c r="D100" s="35" t="s">
        <v>33</v>
      </c>
      <c r="E100" s="35" t="s">
        <v>43</v>
      </c>
      <c r="F100" s="36">
        <v>4</v>
      </c>
      <c r="G100" s="36">
        <v>1</v>
      </c>
      <c r="H100" s="37">
        <v>0</v>
      </c>
      <c r="I100" s="38">
        <f t="shared" si="10"/>
        <v>4</v>
      </c>
      <c r="J100" s="36" t="s">
        <v>35</v>
      </c>
      <c r="K100" s="39"/>
      <c r="L100" s="40">
        <f t="shared" si="11"/>
        <v>0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</row>
    <row r="101" spans="1:38" x14ac:dyDescent="0.2">
      <c r="A101" s="35" t="s">
        <v>21</v>
      </c>
      <c r="B101" s="35" t="s">
        <v>68</v>
      </c>
      <c r="C101" s="35" t="s">
        <v>24</v>
      </c>
      <c r="D101" s="35" t="s">
        <v>33</v>
      </c>
      <c r="E101" s="35" t="s">
        <v>44</v>
      </c>
      <c r="F101" s="36">
        <v>10</v>
      </c>
      <c r="G101" s="36">
        <v>1</v>
      </c>
      <c r="H101" s="37">
        <v>0</v>
      </c>
      <c r="I101" s="38">
        <f t="shared" si="10"/>
        <v>10</v>
      </c>
      <c r="J101" s="36" t="s">
        <v>35</v>
      </c>
      <c r="K101" s="39"/>
      <c r="L101" s="40">
        <f t="shared" si="11"/>
        <v>0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 spans="1:38" x14ac:dyDescent="0.2">
      <c r="A102" s="35" t="s">
        <v>21</v>
      </c>
      <c r="B102" s="35" t="s">
        <v>68</v>
      </c>
      <c r="C102" s="35" t="s">
        <v>24</v>
      </c>
      <c r="D102" s="35" t="s">
        <v>33</v>
      </c>
      <c r="E102" s="35" t="s">
        <v>47</v>
      </c>
      <c r="F102" s="36">
        <v>4</v>
      </c>
      <c r="G102" s="36">
        <v>1</v>
      </c>
      <c r="H102" s="37">
        <v>0</v>
      </c>
      <c r="I102" s="38">
        <f t="shared" si="10"/>
        <v>4</v>
      </c>
      <c r="J102" s="36" t="s">
        <v>35</v>
      </c>
      <c r="K102" s="39"/>
      <c r="L102" s="40">
        <f t="shared" si="11"/>
        <v>0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</row>
    <row r="103" spans="1:38" x14ac:dyDescent="0.2">
      <c r="A103" s="35" t="s">
        <v>21</v>
      </c>
      <c r="B103" s="35" t="s">
        <v>68</v>
      </c>
      <c r="C103" s="35" t="s">
        <v>24</v>
      </c>
      <c r="D103" s="35" t="s">
        <v>33</v>
      </c>
      <c r="E103" s="35" t="s">
        <v>48</v>
      </c>
      <c r="F103" s="36">
        <v>8</v>
      </c>
      <c r="G103" s="36">
        <v>1</v>
      </c>
      <c r="H103" s="37">
        <v>0</v>
      </c>
      <c r="I103" s="38">
        <f t="shared" si="10"/>
        <v>8</v>
      </c>
      <c r="J103" s="36" t="s">
        <v>35</v>
      </c>
      <c r="K103" s="39"/>
      <c r="L103" s="40">
        <f t="shared" si="11"/>
        <v>0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</row>
    <row r="104" spans="1:38" x14ac:dyDescent="0.2">
      <c r="A104" s="35" t="s">
        <v>21</v>
      </c>
      <c r="B104" s="35" t="s">
        <v>68</v>
      </c>
      <c r="C104" s="35" t="s">
        <v>24</v>
      </c>
      <c r="D104" s="35" t="s">
        <v>49</v>
      </c>
      <c r="E104" s="35" t="s">
        <v>70</v>
      </c>
      <c r="F104" s="36">
        <v>4</v>
      </c>
      <c r="G104" s="36">
        <v>1</v>
      </c>
      <c r="H104" s="37">
        <v>0</v>
      </c>
      <c r="I104" s="38">
        <f t="shared" si="10"/>
        <v>4</v>
      </c>
      <c r="J104" s="36" t="s">
        <v>71</v>
      </c>
      <c r="K104" s="39"/>
      <c r="L104" s="40">
        <f t="shared" si="11"/>
        <v>0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</row>
    <row r="105" spans="1:38" x14ac:dyDescent="0.2">
      <c r="A105" s="35" t="s">
        <v>21</v>
      </c>
      <c r="B105" s="35" t="s">
        <v>68</v>
      </c>
      <c r="C105" s="35" t="s">
        <v>24</v>
      </c>
      <c r="D105" s="35" t="s">
        <v>49</v>
      </c>
      <c r="E105" s="35" t="s">
        <v>72</v>
      </c>
      <c r="F105" s="36">
        <v>6</v>
      </c>
      <c r="G105" s="36">
        <v>1</v>
      </c>
      <c r="H105" s="37">
        <v>0</v>
      </c>
      <c r="I105" s="38">
        <f t="shared" si="10"/>
        <v>6</v>
      </c>
      <c r="J105" s="36" t="s">
        <v>35</v>
      </c>
      <c r="K105" s="39"/>
      <c r="L105" s="40">
        <f t="shared" si="11"/>
        <v>0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</row>
    <row r="106" spans="1:38" x14ac:dyDescent="0.2">
      <c r="A106" s="35" t="s">
        <v>21</v>
      </c>
      <c r="B106" s="35" t="s">
        <v>68</v>
      </c>
      <c r="C106" s="35" t="s">
        <v>24</v>
      </c>
      <c r="D106" s="35" t="s">
        <v>49</v>
      </c>
      <c r="E106" s="35" t="s">
        <v>73</v>
      </c>
      <c r="F106" s="36">
        <v>2</v>
      </c>
      <c r="G106" s="36">
        <v>1</v>
      </c>
      <c r="H106" s="37">
        <v>0</v>
      </c>
      <c r="I106" s="38">
        <f t="shared" si="10"/>
        <v>2</v>
      </c>
      <c r="J106" s="36" t="s">
        <v>35</v>
      </c>
      <c r="K106" s="39"/>
      <c r="L106" s="40">
        <f t="shared" si="11"/>
        <v>0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</row>
    <row r="107" spans="1:38" x14ac:dyDescent="0.2">
      <c r="A107" s="35" t="s">
        <v>21</v>
      </c>
      <c r="B107" s="35" t="s">
        <v>68</v>
      </c>
      <c r="C107" s="35" t="s">
        <v>24</v>
      </c>
      <c r="D107" s="35" t="s">
        <v>49</v>
      </c>
      <c r="E107" s="35" t="s">
        <v>74</v>
      </c>
      <c r="F107" s="36">
        <v>2</v>
      </c>
      <c r="G107" s="36">
        <v>1</v>
      </c>
      <c r="H107" s="37">
        <v>0</v>
      </c>
      <c r="I107" s="38">
        <f t="shared" si="10"/>
        <v>2</v>
      </c>
      <c r="J107" s="36" t="s">
        <v>35</v>
      </c>
      <c r="K107" s="39"/>
      <c r="L107" s="40">
        <f t="shared" si="11"/>
        <v>0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</row>
    <row r="108" spans="1:38" ht="12.75" customHeight="1" x14ac:dyDescent="0.2">
      <c r="A108" s="34" t="s">
        <v>21</v>
      </c>
      <c r="B108" s="34" t="s">
        <v>75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 spans="1:38" x14ac:dyDescent="0.2">
      <c r="A109" s="35" t="s">
        <v>21</v>
      </c>
      <c r="B109" s="35" t="s">
        <v>75</v>
      </c>
      <c r="C109" s="35" t="s">
        <v>24</v>
      </c>
      <c r="D109" s="35" t="s">
        <v>25</v>
      </c>
      <c r="E109" s="35" t="s">
        <v>57</v>
      </c>
      <c r="F109" s="36">
        <v>800</v>
      </c>
      <c r="G109" s="36">
        <v>1</v>
      </c>
      <c r="H109" s="37">
        <v>0</v>
      </c>
      <c r="I109" s="38">
        <f>(F109+H109*F109)*G109</f>
        <v>800</v>
      </c>
      <c r="J109" s="36" t="s">
        <v>27</v>
      </c>
      <c r="K109" s="39"/>
      <c r="L109" s="40">
        <f>I109*K109</f>
        <v>0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</row>
    <row r="110" spans="1:38" x14ac:dyDescent="0.2">
      <c r="A110" s="35" t="s">
        <v>21</v>
      </c>
      <c r="B110" s="35" t="s">
        <v>75</v>
      </c>
      <c r="C110" s="35" t="s">
        <v>24</v>
      </c>
      <c r="D110" s="35" t="s">
        <v>25</v>
      </c>
      <c r="E110" s="35" t="s">
        <v>30</v>
      </c>
      <c r="F110" s="36">
        <v>1000</v>
      </c>
      <c r="G110" s="36">
        <v>1</v>
      </c>
      <c r="H110" s="37">
        <v>0</v>
      </c>
      <c r="I110" s="38">
        <f>(F110+H110*F110)*G110</f>
        <v>1000</v>
      </c>
      <c r="J110" s="36" t="s">
        <v>27</v>
      </c>
      <c r="K110" s="39"/>
      <c r="L110" s="40">
        <f>I110*K110</f>
        <v>0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</row>
    <row r="111" spans="1:38" x14ac:dyDescent="0.2">
      <c r="A111" s="35" t="s">
        <v>21</v>
      </c>
      <c r="B111" s="35" t="s">
        <v>75</v>
      </c>
      <c r="C111" s="35" t="s">
        <v>24</v>
      </c>
      <c r="D111" s="35" t="s">
        <v>25</v>
      </c>
      <c r="E111" s="35" t="s">
        <v>76</v>
      </c>
      <c r="F111" s="36">
        <v>735</v>
      </c>
      <c r="G111" s="36">
        <v>1</v>
      </c>
      <c r="H111" s="37">
        <v>0</v>
      </c>
      <c r="I111" s="38">
        <f>(F111+H111*F111)*G111</f>
        <v>735</v>
      </c>
      <c r="J111" s="36" t="s">
        <v>27</v>
      </c>
      <c r="K111" s="39"/>
      <c r="L111" s="40">
        <f>I111*K111</f>
        <v>0</v>
      </c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</row>
    <row r="112" spans="1:38" x14ac:dyDescent="0.2">
      <c r="A112" s="35" t="s">
        <v>21</v>
      </c>
      <c r="B112" s="35" t="s">
        <v>75</v>
      </c>
      <c r="C112" s="35" t="s">
        <v>24</v>
      </c>
      <c r="D112" s="35" t="s">
        <v>49</v>
      </c>
      <c r="E112" s="35" t="s">
        <v>77</v>
      </c>
      <c r="F112" s="36">
        <v>11</v>
      </c>
      <c r="G112" s="36">
        <v>1</v>
      </c>
      <c r="H112" s="37">
        <v>0</v>
      </c>
      <c r="I112" s="38">
        <f>(F112+H112*F112)*G112</f>
        <v>11</v>
      </c>
      <c r="J112" s="36" t="s">
        <v>35</v>
      </c>
      <c r="K112" s="39"/>
      <c r="L112" s="40">
        <f>I112*K112</f>
        <v>0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</row>
    <row r="113" spans="1:38" x14ac:dyDescent="0.25">
      <c r="A113" s="33" t="s">
        <v>78</v>
      </c>
      <c r="B113" s="33" t="s">
        <v>79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38" ht="12.75" customHeight="1" x14ac:dyDescent="0.2">
      <c r="A114" s="34" t="s">
        <v>78</v>
      </c>
      <c r="B114" s="34" t="s">
        <v>80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</row>
    <row r="115" spans="1:38" x14ac:dyDescent="0.2">
      <c r="A115" s="35" t="s">
        <v>78</v>
      </c>
      <c r="B115" s="35" t="s">
        <v>80</v>
      </c>
      <c r="C115" s="35" t="s">
        <v>24</v>
      </c>
      <c r="D115" s="35" t="s">
        <v>25</v>
      </c>
      <c r="E115" s="35" t="s">
        <v>26</v>
      </c>
      <c r="F115" s="36">
        <v>23225.3</v>
      </c>
      <c r="G115" s="36">
        <v>24</v>
      </c>
      <c r="H115" s="37">
        <v>0</v>
      </c>
      <c r="I115" s="38">
        <f t="shared" ref="I115:I133" si="12">(F115+H115*F115)*G115</f>
        <v>557407.19999999995</v>
      </c>
      <c r="J115" s="36" t="s">
        <v>27</v>
      </c>
      <c r="K115" s="39"/>
      <c r="L115" s="40">
        <f t="shared" ref="L115:L133" si="13">I115*K115</f>
        <v>0</v>
      </c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</row>
    <row r="116" spans="1:38" x14ac:dyDescent="0.2">
      <c r="A116" s="35" t="s">
        <v>78</v>
      </c>
      <c r="B116" s="35" t="s">
        <v>80</v>
      </c>
      <c r="C116" s="35" t="s">
        <v>24</v>
      </c>
      <c r="D116" s="35" t="s">
        <v>25</v>
      </c>
      <c r="E116" s="35" t="s">
        <v>28</v>
      </c>
      <c r="F116" s="36">
        <v>10322.4</v>
      </c>
      <c r="G116" s="36">
        <v>24</v>
      </c>
      <c r="H116" s="37">
        <v>0</v>
      </c>
      <c r="I116" s="38">
        <f t="shared" si="12"/>
        <v>247737.59999999998</v>
      </c>
      <c r="J116" s="36" t="s">
        <v>27</v>
      </c>
      <c r="K116" s="39"/>
      <c r="L116" s="40">
        <f t="shared" si="13"/>
        <v>0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 spans="1:38" x14ac:dyDescent="0.2">
      <c r="A117" s="35" t="s">
        <v>78</v>
      </c>
      <c r="B117" s="35" t="s">
        <v>80</v>
      </c>
      <c r="C117" s="35" t="s">
        <v>24</v>
      </c>
      <c r="D117" s="35" t="s">
        <v>25</v>
      </c>
      <c r="E117" s="35" t="s">
        <v>57</v>
      </c>
      <c r="F117" s="36">
        <v>3404.3</v>
      </c>
      <c r="G117" s="36">
        <v>24</v>
      </c>
      <c r="H117" s="37">
        <v>0</v>
      </c>
      <c r="I117" s="38">
        <f t="shared" si="12"/>
        <v>81703.200000000012</v>
      </c>
      <c r="J117" s="36" t="s">
        <v>27</v>
      </c>
      <c r="K117" s="39"/>
      <c r="L117" s="40">
        <f t="shared" si="13"/>
        <v>0</v>
      </c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 spans="1:38" x14ac:dyDescent="0.2">
      <c r="A118" s="35" t="s">
        <v>78</v>
      </c>
      <c r="B118" s="35" t="s">
        <v>80</v>
      </c>
      <c r="C118" s="35" t="s">
        <v>24</v>
      </c>
      <c r="D118" s="35" t="s">
        <v>25</v>
      </c>
      <c r="E118" s="35" t="s">
        <v>30</v>
      </c>
      <c r="F118" s="36">
        <v>2064.5</v>
      </c>
      <c r="G118" s="36">
        <v>24</v>
      </c>
      <c r="H118" s="37">
        <v>0</v>
      </c>
      <c r="I118" s="38">
        <f t="shared" si="12"/>
        <v>49548</v>
      </c>
      <c r="J118" s="36" t="s">
        <v>27</v>
      </c>
      <c r="K118" s="39"/>
      <c r="L118" s="40">
        <f t="shared" si="13"/>
        <v>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 spans="1:38" x14ac:dyDescent="0.2">
      <c r="A119" s="35" t="s">
        <v>78</v>
      </c>
      <c r="B119" s="35" t="s">
        <v>80</v>
      </c>
      <c r="C119" s="35" t="s">
        <v>24</v>
      </c>
      <c r="D119" s="35" t="s">
        <v>25</v>
      </c>
      <c r="E119" s="35" t="s">
        <v>62</v>
      </c>
      <c r="F119" s="36">
        <v>11354.6</v>
      </c>
      <c r="G119" s="36">
        <v>24</v>
      </c>
      <c r="H119" s="37">
        <v>0</v>
      </c>
      <c r="I119" s="38">
        <f t="shared" si="12"/>
        <v>272510.40000000002</v>
      </c>
      <c r="J119" s="36" t="s">
        <v>27</v>
      </c>
      <c r="K119" s="39"/>
      <c r="L119" s="40">
        <f t="shared" si="13"/>
        <v>0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</row>
    <row r="120" spans="1:38" x14ac:dyDescent="0.2">
      <c r="A120" s="35" t="s">
        <v>78</v>
      </c>
      <c r="B120" s="35" t="s">
        <v>80</v>
      </c>
      <c r="C120" s="35" t="s">
        <v>24</v>
      </c>
      <c r="D120" s="35" t="s">
        <v>25</v>
      </c>
      <c r="E120" s="35" t="s">
        <v>63</v>
      </c>
      <c r="F120" s="36">
        <v>7225.7</v>
      </c>
      <c r="G120" s="36">
        <v>24</v>
      </c>
      <c r="H120" s="37">
        <v>0</v>
      </c>
      <c r="I120" s="38">
        <f t="shared" si="12"/>
        <v>173416.8</v>
      </c>
      <c r="J120" s="36" t="s">
        <v>27</v>
      </c>
      <c r="K120" s="39"/>
      <c r="L120" s="40">
        <f t="shared" si="13"/>
        <v>0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</row>
    <row r="121" spans="1:38" x14ac:dyDescent="0.2">
      <c r="A121" s="35" t="s">
        <v>78</v>
      </c>
      <c r="B121" s="35" t="s">
        <v>80</v>
      </c>
      <c r="C121" s="35" t="s">
        <v>24</v>
      </c>
      <c r="D121" s="35" t="s">
        <v>25</v>
      </c>
      <c r="E121" s="35" t="s">
        <v>64</v>
      </c>
      <c r="F121" s="36">
        <v>4662.1000000000004</v>
      </c>
      <c r="G121" s="36">
        <v>24</v>
      </c>
      <c r="H121" s="37">
        <v>0</v>
      </c>
      <c r="I121" s="38">
        <f t="shared" si="12"/>
        <v>111890.40000000001</v>
      </c>
      <c r="J121" s="36" t="s">
        <v>27</v>
      </c>
      <c r="K121" s="39"/>
      <c r="L121" s="40">
        <f t="shared" si="13"/>
        <v>0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</row>
    <row r="122" spans="1:38" x14ac:dyDescent="0.2">
      <c r="A122" s="35" t="s">
        <v>78</v>
      </c>
      <c r="B122" s="35" t="s">
        <v>80</v>
      </c>
      <c r="C122" s="35" t="s">
        <v>24</v>
      </c>
      <c r="D122" s="35" t="s">
        <v>33</v>
      </c>
      <c r="E122" s="35" t="s">
        <v>34</v>
      </c>
      <c r="F122" s="36">
        <v>39</v>
      </c>
      <c r="G122" s="36">
        <v>24</v>
      </c>
      <c r="H122" s="37">
        <v>0</v>
      </c>
      <c r="I122" s="38">
        <f t="shared" si="12"/>
        <v>936</v>
      </c>
      <c r="J122" s="36" t="s">
        <v>35</v>
      </c>
      <c r="K122" s="39"/>
      <c r="L122" s="40">
        <f t="shared" si="13"/>
        <v>0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</row>
    <row r="123" spans="1:38" x14ac:dyDescent="0.2">
      <c r="A123" s="35" t="s">
        <v>78</v>
      </c>
      <c r="B123" s="35" t="s">
        <v>80</v>
      </c>
      <c r="C123" s="35" t="s">
        <v>24</v>
      </c>
      <c r="D123" s="35" t="s">
        <v>33</v>
      </c>
      <c r="E123" s="35" t="s">
        <v>37</v>
      </c>
      <c r="F123" s="36">
        <v>19</v>
      </c>
      <c r="G123" s="36">
        <v>24</v>
      </c>
      <c r="H123" s="37">
        <v>0</v>
      </c>
      <c r="I123" s="38">
        <f t="shared" si="12"/>
        <v>456</v>
      </c>
      <c r="J123" s="36" t="s">
        <v>35</v>
      </c>
      <c r="K123" s="39"/>
      <c r="L123" s="40">
        <f t="shared" si="13"/>
        <v>0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</row>
    <row r="124" spans="1:38" x14ac:dyDescent="0.2">
      <c r="A124" s="35" t="s">
        <v>78</v>
      </c>
      <c r="B124" s="35" t="s">
        <v>80</v>
      </c>
      <c r="C124" s="35" t="s">
        <v>24</v>
      </c>
      <c r="D124" s="35" t="s">
        <v>33</v>
      </c>
      <c r="E124" s="35" t="s">
        <v>58</v>
      </c>
      <c r="F124" s="36">
        <v>36</v>
      </c>
      <c r="G124" s="36">
        <v>24</v>
      </c>
      <c r="H124" s="37">
        <v>0</v>
      </c>
      <c r="I124" s="38">
        <f t="shared" si="12"/>
        <v>864</v>
      </c>
      <c r="J124" s="36" t="s">
        <v>35</v>
      </c>
      <c r="K124" s="39"/>
      <c r="L124" s="40">
        <f t="shared" si="13"/>
        <v>0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</row>
    <row r="125" spans="1:38" x14ac:dyDescent="0.2">
      <c r="A125" s="35" t="s">
        <v>78</v>
      </c>
      <c r="B125" s="35" t="s">
        <v>80</v>
      </c>
      <c r="C125" s="35" t="s">
        <v>24</v>
      </c>
      <c r="D125" s="35" t="s">
        <v>33</v>
      </c>
      <c r="E125" s="35" t="s">
        <v>39</v>
      </c>
      <c r="F125" s="36">
        <v>4</v>
      </c>
      <c r="G125" s="36">
        <v>24</v>
      </c>
      <c r="H125" s="37">
        <v>0</v>
      </c>
      <c r="I125" s="38">
        <f t="shared" si="12"/>
        <v>96</v>
      </c>
      <c r="J125" s="36" t="s">
        <v>35</v>
      </c>
      <c r="K125" s="39"/>
      <c r="L125" s="40">
        <f t="shared" si="13"/>
        <v>0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</row>
    <row r="126" spans="1:38" x14ac:dyDescent="0.2">
      <c r="A126" s="35" t="s">
        <v>78</v>
      </c>
      <c r="B126" s="35" t="s">
        <v>80</v>
      </c>
      <c r="C126" s="35" t="s">
        <v>24</v>
      </c>
      <c r="D126" s="35" t="s">
        <v>33</v>
      </c>
      <c r="E126" s="35" t="s">
        <v>65</v>
      </c>
      <c r="F126" s="36">
        <v>7</v>
      </c>
      <c r="G126" s="36">
        <v>24</v>
      </c>
      <c r="H126" s="37">
        <v>0</v>
      </c>
      <c r="I126" s="38">
        <f t="shared" si="12"/>
        <v>168</v>
      </c>
      <c r="J126" s="36" t="s">
        <v>35</v>
      </c>
      <c r="K126" s="39"/>
      <c r="L126" s="40">
        <f t="shared" si="13"/>
        <v>0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</row>
    <row r="127" spans="1:38" x14ac:dyDescent="0.2">
      <c r="A127" s="35" t="s">
        <v>78</v>
      </c>
      <c r="B127" s="35" t="s">
        <v>80</v>
      </c>
      <c r="C127" s="35" t="s">
        <v>24</v>
      </c>
      <c r="D127" s="35" t="s">
        <v>33</v>
      </c>
      <c r="E127" s="35" t="s">
        <v>66</v>
      </c>
      <c r="F127" s="36">
        <v>1</v>
      </c>
      <c r="G127" s="36">
        <v>24</v>
      </c>
      <c r="H127" s="37">
        <v>0</v>
      </c>
      <c r="I127" s="38">
        <f t="shared" si="12"/>
        <v>24</v>
      </c>
      <c r="J127" s="36" t="s">
        <v>35</v>
      </c>
      <c r="K127" s="39"/>
      <c r="L127" s="40">
        <f t="shared" si="13"/>
        <v>0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</row>
    <row r="128" spans="1:38" x14ac:dyDescent="0.2">
      <c r="A128" s="35" t="s">
        <v>78</v>
      </c>
      <c r="B128" s="35" t="s">
        <v>80</v>
      </c>
      <c r="C128" s="35" t="s">
        <v>24</v>
      </c>
      <c r="D128" s="35" t="s">
        <v>33</v>
      </c>
      <c r="E128" s="35" t="s">
        <v>67</v>
      </c>
      <c r="F128" s="36">
        <v>140</v>
      </c>
      <c r="G128" s="36">
        <v>24</v>
      </c>
      <c r="H128" s="37">
        <v>0</v>
      </c>
      <c r="I128" s="38">
        <f t="shared" si="12"/>
        <v>3360</v>
      </c>
      <c r="J128" s="36" t="s">
        <v>35</v>
      </c>
      <c r="K128" s="39"/>
      <c r="L128" s="40">
        <f t="shared" si="13"/>
        <v>0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</row>
    <row r="129" spans="1:38" x14ac:dyDescent="0.2">
      <c r="A129" s="35" t="s">
        <v>78</v>
      </c>
      <c r="B129" s="35" t="s">
        <v>80</v>
      </c>
      <c r="C129" s="35" t="s">
        <v>24</v>
      </c>
      <c r="D129" s="35" t="s">
        <v>33</v>
      </c>
      <c r="E129" s="35" t="s">
        <v>41</v>
      </c>
      <c r="F129" s="36">
        <v>197</v>
      </c>
      <c r="G129" s="36">
        <v>24</v>
      </c>
      <c r="H129" s="37">
        <v>0</v>
      </c>
      <c r="I129" s="38">
        <f t="shared" si="12"/>
        <v>4728</v>
      </c>
      <c r="J129" s="36" t="s">
        <v>35</v>
      </c>
      <c r="K129" s="39"/>
      <c r="L129" s="40">
        <f t="shared" si="13"/>
        <v>0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</row>
    <row r="130" spans="1:38" x14ac:dyDescent="0.2">
      <c r="A130" s="35" t="s">
        <v>78</v>
      </c>
      <c r="B130" s="35" t="s">
        <v>80</v>
      </c>
      <c r="C130" s="35" t="s">
        <v>24</v>
      </c>
      <c r="D130" s="35" t="s">
        <v>33</v>
      </c>
      <c r="E130" s="35" t="s">
        <v>42</v>
      </c>
      <c r="F130" s="36">
        <v>61</v>
      </c>
      <c r="G130" s="36">
        <v>24</v>
      </c>
      <c r="H130" s="37">
        <v>0</v>
      </c>
      <c r="I130" s="38">
        <f t="shared" si="12"/>
        <v>1464</v>
      </c>
      <c r="J130" s="36" t="s">
        <v>35</v>
      </c>
      <c r="K130" s="39"/>
      <c r="L130" s="40">
        <f t="shared" si="13"/>
        <v>0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</row>
    <row r="131" spans="1:38" x14ac:dyDescent="0.2">
      <c r="A131" s="35" t="s">
        <v>78</v>
      </c>
      <c r="B131" s="35" t="s">
        <v>80</v>
      </c>
      <c r="C131" s="35" t="s">
        <v>24</v>
      </c>
      <c r="D131" s="35" t="s">
        <v>33</v>
      </c>
      <c r="E131" s="35" t="s">
        <v>43</v>
      </c>
      <c r="F131" s="36">
        <v>13</v>
      </c>
      <c r="G131" s="36">
        <v>24</v>
      </c>
      <c r="H131" s="37">
        <v>0</v>
      </c>
      <c r="I131" s="38">
        <f t="shared" si="12"/>
        <v>312</v>
      </c>
      <c r="J131" s="36" t="s">
        <v>35</v>
      </c>
      <c r="K131" s="39"/>
      <c r="L131" s="40">
        <f t="shared" si="13"/>
        <v>0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2" spans="1:38" x14ac:dyDescent="0.2">
      <c r="A132" s="35" t="s">
        <v>78</v>
      </c>
      <c r="B132" s="35" t="s">
        <v>80</v>
      </c>
      <c r="C132" s="35" t="s">
        <v>24</v>
      </c>
      <c r="D132" s="35" t="s">
        <v>33</v>
      </c>
      <c r="E132" s="35" t="s">
        <v>44</v>
      </c>
      <c r="F132" s="36">
        <v>57</v>
      </c>
      <c r="G132" s="36">
        <v>24</v>
      </c>
      <c r="H132" s="37">
        <v>0</v>
      </c>
      <c r="I132" s="38">
        <f t="shared" si="12"/>
        <v>1368</v>
      </c>
      <c r="J132" s="36" t="s">
        <v>35</v>
      </c>
      <c r="K132" s="39"/>
      <c r="L132" s="40">
        <f t="shared" si="13"/>
        <v>0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</row>
    <row r="133" spans="1:38" x14ac:dyDescent="0.2">
      <c r="A133" s="35" t="s">
        <v>78</v>
      </c>
      <c r="B133" s="35" t="s">
        <v>80</v>
      </c>
      <c r="C133" s="35" t="s">
        <v>24</v>
      </c>
      <c r="D133" s="35" t="s">
        <v>33</v>
      </c>
      <c r="E133" s="35" t="s">
        <v>47</v>
      </c>
      <c r="F133" s="36">
        <v>4</v>
      </c>
      <c r="G133" s="36">
        <v>24</v>
      </c>
      <c r="H133" s="37">
        <v>0</v>
      </c>
      <c r="I133" s="38">
        <f t="shared" si="12"/>
        <v>96</v>
      </c>
      <c r="J133" s="36" t="s">
        <v>35</v>
      </c>
      <c r="K133" s="39"/>
      <c r="L133" s="40">
        <f t="shared" si="13"/>
        <v>0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</row>
    <row r="134" spans="1:38" x14ac:dyDescent="0.25">
      <c r="A134" s="33" t="s">
        <v>81</v>
      </c>
      <c r="B134" s="33" t="s">
        <v>79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</row>
    <row r="135" spans="1:38" ht="12.75" customHeight="1" x14ac:dyDescent="0.2">
      <c r="A135" s="34" t="s">
        <v>81</v>
      </c>
      <c r="B135" s="34" t="s">
        <v>80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 spans="1:38" x14ac:dyDescent="0.2">
      <c r="A136" s="35" t="s">
        <v>81</v>
      </c>
      <c r="B136" s="35" t="s">
        <v>80</v>
      </c>
      <c r="C136" s="35" t="s">
        <v>24</v>
      </c>
      <c r="D136" s="35" t="s">
        <v>25</v>
      </c>
      <c r="E136" s="35" t="s">
        <v>26</v>
      </c>
      <c r="F136" s="36">
        <v>21774.7</v>
      </c>
      <c r="G136" s="36">
        <v>24</v>
      </c>
      <c r="H136" s="37">
        <v>0</v>
      </c>
      <c r="I136" s="38">
        <f t="shared" ref="I136:I154" si="14">(F136+H136*F136)*G136</f>
        <v>522592.80000000005</v>
      </c>
      <c r="J136" s="36" t="s">
        <v>27</v>
      </c>
      <c r="K136" s="39"/>
      <c r="L136" s="40">
        <f t="shared" ref="L136:L154" si="15">I136*K136</f>
        <v>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</row>
    <row r="137" spans="1:38" x14ac:dyDescent="0.2">
      <c r="A137" s="35" t="s">
        <v>81</v>
      </c>
      <c r="B137" s="35" t="s">
        <v>80</v>
      </c>
      <c r="C137" s="35" t="s">
        <v>24</v>
      </c>
      <c r="D137" s="35" t="s">
        <v>25</v>
      </c>
      <c r="E137" s="35" t="s">
        <v>28</v>
      </c>
      <c r="F137" s="36">
        <v>9677.6</v>
      </c>
      <c r="G137" s="36">
        <v>24</v>
      </c>
      <c r="H137" s="37">
        <v>0</v>
      </c>
      <c r="I137" s="38">
        <f t="shared" si="14"/>
        <v>232262.40000000002</v>
      </c>
      <c r="J137" s="36" t="s">
        <v>27</v>
      </c>
      <c r="K137" s="39"/>
      <c r="L137" s="40">
        <f t="shared" si="15"/>
        <v>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 spans="1:38" x14ac:dyDescent="0.2">
      <c r="A138" s="35" t="s">
        <v>81</v>
      </c>
      <c r="B138" s="35" t="s">
        <v>80</v>
      </c>
      <c r="C138" s="35" t="s">
        <v>24</v>
      </c>
      <c r="D138" s="35" t="s">
        <v>25</v>
      </c>
      <c r="E138" s="35" t="s">
        <v>57</v>
      </c>
      <c r="F138" s="36">
        <v>3191.7</v>
      </c>
      <c r="G138" s="36">
        <v>24</v>
      </c>
      <c r="H138" s="37">
        <v>0</v>
      </c>
      <c r="I138" s="38">
        <f t="shared" si="14"/>
        <v>76600.799999999988</v>
      </c>
      <c r="J138" s="36" t="s">
        <v>27</v>
      </c>
      <c r="K138" s="39"/>
      <c r="L138" s="40">
        <f t="shared" si="15"/>
        <v>0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</row>
    <row r="139" spans="1:38" x14ac:dyDescent="0.2">
      <c r="A139" s="35" t="s">
        <v>81</v>
      </c>
      <c r="B139" s="35" t="s">
        <v>80</v>
      </c>
      <c r="C139" s="35" t="s">
        <v>24</v>
      </c>
      <c r="D139" s="35" t="s">
        <v>25</v>
      </c>
      <c r="E139" s="35" t="s">
        <v>30</v>
      </c>
      <c r="F139" s="36">
        <v>1935.5</v>
      </c>
      <c r="G139" s="36">
        <v>24</v>
      </c>
      <c r="H139" s="37">
        <v>0</v>
      </c>
      <c r="I139" s="38">
        <f t="shared" si="14"/>
        <v>46452</v>
      </c>
      <c r="J139" s="36" t="s">
        <v>27</v>
      </c>
      <c r="K139" s="39"/>
      <c r="L139" s="40">
        <f t="shared" si="15"/>
        <v>0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</row>
    <row r="140" spans="1:38" x14ac:dyDescent="0.2">
      <c r="A140" s="35" t="s">
        <v>81</v>
      </c>
      <c r="B140" s="35" t="s">
        <v>80</v>
      </c>
      <c r="C140" s="35" t="s">
        <v>24</v>
      </c>
      <c r="D140" s="35" t="s">
        <v>25</v>
      </c>
      <c r="E140" s="35" t="s">
        <v>62</v>
      </c>
      <c r="F140" s="36">
        <v>10645.4</v>
      </c>
      <c r="G140" s="36">
        <v>24</v>
      </c>
      <c r="H140" s="37">
        <v>0</v>
      </c>
      <c r="I140" s="38">
        <f t="shared" si="14"/>
        <v>255489.59999999998</v>
      </c>
      <c r="J140" s="36" t="s">
        <v>27</v>
      </c>
      <c r="K140" s="39"/>
      <c r="L140" s="40">
        <f t="shared" si="15"/>
        <v>0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 spans="1:38" x14ac:dyDescent="0.2">
      <c r="A141" s="35" t="s">
        <v>81</v>
      </c>
      <c r="B141" s="35" t="s">
        <v>80</v>
      </c>
      <c r="C141" s="35" t="s">
        <v>24</v>
      </c>
      <c r="D141" s="35" t="s">
        <v>25</v>
      </c>
      <c r="E141" s="35" t="s">
        <v>63</v>
      </c>
      <c r="F141" s="36">
        <v>6774.3</v>
      </c>
      <c r="G141" s="36">
        <v>24</v>
      </c>
      <c r="H141" s="37">
        <v>0</v>
      </c>
      <c r="I141" s="38">
        <f t="shared" si="14"/>
        <v>162583.20000000001</v>
      </c>
      <c r="J141" s="36" t="s">
        <v>27</v>
      </c>
      <c r="K141" s="39"/>
      <c r="L141" s="40">
        <f t="shared" si="15"/>
        <v>0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</row>
    <row r="142" spans="1:38" x14ac:dyDescent="0.2">
      <c r="A142" s="35" t="s">
        <v>81</v>
      </c>
      <c r="B142" s="35" t="s">
        <v>80</v>
      </c>
      <c r="C142" s="35" t="s">
        <v>24</v>
      </c>
      <c r="D142" s="35" t="s">
        <v>25</v>
      </c>
      <c r="E142" s="35" t="s">
        <v>64</v>
      </c>
      <c r="F142" s="36">
        <v>4370.8999999999996</v>
      </c>
      <c r="G142" s="36">
        <v>24</v>
      </c>
      <c r="H142" s="37">
        <v>0</v>
      </c>
      <c r="I142" s="38">
        <f t="shared" si="14"/>
        <v>104901.59999999999</v>
      </c>
      <c r="J142" s="36" t="s">
        <v>27</v>
      </c>
      <c r="K142" s="39"/>
      <c r="L142" s="40">
        <f t="shared" si="15"/>
        <v>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 spans="1:38" x14ac:dyDescent="0.2">
      <c r="A143" s="35" t="s">
        <v>81</v>
      </c>
      <c r="B143" s="35" t="s">
        <v>80</v>
      </c>
      <c r="C143" s="35" t="s">
        <v>24</v>
      </c>
      <c r="D143" s="35" t="s">
        <v>33</v>
      </c>
      <c r="E143" s="35" t="s">
        <v>34</v>
      </c>
      <c r="F143" s="36">
        <v>41</v>
      </c>
      <c r="G143" s="36">
        <v>24</v>
      </c>
      <c r="H143" s="37">
        <v>0</v>
      </c>
      <c r="I143" s="38">
        <f t="shared" si="14"/>
        <v>984</v>
      </c>
      <c r="J143" s="36" t="s">
        <v>35</v>
      </c>
      <c r="K143" s="39"/>
      <c r="L143" s="40">
        <f t="shared" si="15"/>
        <v>0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</row>
    <row r="144" spans="1:38" x14ac:dyDescent="0.2">
      <c r="A144" s="35" t="s">
        <v>81</v>
      </c>
      <c r="B144" s="35" t="s">
        <v>80</v>
      </c>
      <c r="C144" s="35" t="s">
        <v>24</v>
      </c>
      <c r="D144" s="35" t="s">
        <v>33</v>
      </c>
      <c r="E144" s="35" t="s">
        <v>37</v>
      </c>
      <c r="F144" s="36">
        <v>16</v>
      </c>
      <c r="G144" s="36">
        <v>24</v>
      </c>
      <c r="H144" s="37">
        <v>0</v>
      </c>
      <c r="I144" s="38">
        <f t="shared" si="14"/>
        <v>384</v>
      </c>
      <c r="J144" s="36" t="s">
        <v>35</v>
      </c>
      <c r="K144" s="39"/>
      <c r="L144" s="40">
        <f t="shared" si="15"/>
        <v>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</row>
    <row r="145" spans="1:38" x14ac:dyDescent="0.2">
      <c r="A145" s="35" t="s">
        <v>81</v>
      </c>
      <c r="B145" s="35" t="s">
        <v>80</v>
      </c>
      <c r="C145" s="35" t="s">
        <v>24</v>
      </c>
      <c r="D145" s="35" t="s">
        <v>33</v>
      </c>
      <c r="E145" s="35" t="s">
        <v>58</v>
      </c>
      <c r="F145" s="36">
        <v>31</v>
      </c>
      <c r="G145" s="36">
        <v>24</v>
      </c>
      <c r="H145" s="37">
        <v>0</v>
      </c>
      <c r="I145" s="38">
        <f t="shared" si="14"/>
        <v>744</v>
      </c>
      <c r="J145" s="36" t="s">
        <v>35</v>
      </c>
      <c r="K145" s="39"/>
      <c r="L145" s="40">
        <f t="shared" si="15"/>
        <v>0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</row>
    <row r="146" spans="1:38" x14ac:dyDescent="0.2">
      <c r="A146" s="35" t="s">
        <v>81</v>
      </c>
      <c r="B146" s="35" t="s">
        <v>80</v>
      </c>
      <c r="C146" s="35" t="s">
        <v>24</v>
      </c>
      <c r="D146" s="35" t="s">
        <v>33</v>
      </c>
      <c r="E146" s="35" t="s">
        <v>39</v>
      </c>
      <c r="F146" s="36">
        <v>4</v>
      </c>
      <c r="G146" s="36">
        <v>24</v>
      </c>
      <c r="H146" s="37">
        <v>0</v>
      </c>
      <c r="I146" s="38">
        <f t="shared" si="14"/>
        <v>96</v>
      </c>
      <c r="J146" s="36" t="s">
        <v>35</v>
      </c>
      <c r="K146" s="39"/>
      <c r="L146" s="40">
        <f t="shared" si="15"/>
        <v>0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 spans="1:38" x14ac:dyDescent="0.2">
      <c r="A147" s="35" t="s">
        <v>81</v>
      </c>
      <c r="B147" s="35" t="s">
        <v>80</v>
      </c>
      <c r="C147" s="35" t="s">
        <v>24</v>
      </c>
      <c r="D147" s="35" t="s">
        <v>33</v>
      </c>
      <c r="E147" s="35" t="s">
        <v>65</v>
      </c>
      <c r="F147" s="36">
        <v>4</v>
      </c>
      <c r="G147" s="36">
        <v>24</v>
      </c>
      <c r="H147" s="37">
        <v>0</v>
      </c>
      <c r="I147" s="38">
        <f t="shared" si="14"/>
        <v>96</v>
      </c>
      <c r="J147" s="36" t="s">
        <v>35</v>
      </c>
      <c r="K147" s="39"/>
      <c r="L147" s="40">
        <f t="shared" si="15"/>
        <v>0</v>
      </c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</row>
    <row r="148" spans="1:38" x14ac:dyDescent="0.2">
      <c r="A148" s="35" t="s">
        <v>81</v>
      </c>
      <c r="B148" s="35" t="s">
        <v>80</v>
      </c>
      <c r="C148" s="35" t="s">
        <v>24</v>
      </c>
      <c r="D148" s="35" t="s">
        <v>33</v>
      </c>
      <c r="E148" s="35" t="s">
        <v>66</v>
      </c>
      <c r="F148" s="36">
        <v>5</v>
      </c>
      <c r="G148" s="36">
        <v>24</v>
      </c>
      <c r="H148" s="37">
        <v>0</v>
      </c>
      <c r="I148" s="38">
        <f t="shared" si="14"/>
        <v>120</v>
      </c>
      <c r="J148" s="36" t="s">
        <v>35</v>
      </c>
      <c r="K148" s="39"/>
      <c r="L148" s="40">
        <f t="shared" si="15"/>
        <v>0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</row>
    <row r="149" spans="1:38" x14ac:dyDescent="0.2">
      <c r="A149" s="35" t="s">
        <v>81</v>
      </c>
      <c r="B149" s="35" t="s">
        <v>80</v>
      </c>
      <c r="C149" s="35" t="s">
        <v>24</v>
      </c>
      <c r="D149" s="35" t="s">
        <v>33</v>
      </c>
      <c r="E149" s="35" t="s">
        <v>67</v>
      </c>
      <c r="F149" s="36">
        <v>133</v>
      </c>
      <c r="G149" s="36">
        <v>24</v>
      </c>
      <c r="H149" s="37">
        <v>0</v>
      </c>
      <c r="I149" s="38">
        <f t="shared" si="14"/>
        <v>3192</v>
      </c>
      <c r="J149" s="36" t="s">
        <v>35</v>
      </c>
      <c r="K149" s="39"/>
      <c r="L149" s="40">
        <f t="shared" si="15"/>
        <v>0</v>
      </c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</row>
    <row r="150" spans="1:38" x14ac:dyDescent="0.2">
      <c r="A150" s="35" t="s">
        <v>81</v>
      </c>
      <c r="B150" s="35" t="s">
        <v>80</v>
      </c>
      <c r="C150" s="35" t="s">
        <v>24</v>
      </c>
      <c r="D150" s="35" t="s">
        <v>33</v>
      </c>
      <c r="E150" s="35" t="s">
        <v>41</v>
      </c>
      <c r="F150" s="36">
        <v>237</v>
      </c>
      <c r="G150" s="36">
        <v>24</v>
      </c>
      <c r="H150" s="37">
        <v>0</v>
      </c>
      <c r="I150" s="38">
        <f t="shared" si="14"/>
        <v>5688</v>
      </c>
      <c r="J150" s="36" t="s">
        <v>35</v>
      </c>
      <c r="K150" s="39"/>
      <c r="L150" s="40">
        <f t="shared" si="15"/>
        <v>0</v>
      </c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</row>
    <row r="151" spans="1:38" x14ac:dyDescent="0.2">
      <c r="A151" s="35" t="s">
        <v>81</v>
      </c>
      <c r="B151" s="35" t="s">
        <v>80</v>
      </c>
      <c r="C151" s="35" t="s">
        <v>24</v>
      </c>
      <c r="D151" s="35" t="s">
        <v>33</v>
      </c>
      <c r="E151" s="35" t="s">
        <v>42</v>
      </c>
      <c r="F151" s="36">
        <v>56</v>
      </c>
      <c r="G151" s="36">
        <v>24</v>
      </c>
      <c r="H151" s="37">
        <v>0</v>
      </c>
      <c r="I151" s="38">
        <f t="shared" si="14"/>
        <v>1344</v>
      </c>
      <c r="J151" s="36" t="s">
        <v>35</v>
      </c>
      <c r="K151" s="39"/>
      <c r="L151" s="40">
        <f t="shared" si="15"/>
        <v>0</v>
      </c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</row>
    <row r="152" spans="1:38" x14ac:dyDescent="0.2">
      <c r="A152" s="35" t="s">
        <v>81</v>
      </c>
      <c r="B152" s="35" t="s">
        <v>80</v>
      </c>
      <c r="C152" s="35" t="s">
        <v>24</v>
      </c>
      <c r="D152" s="35" t="s">
        <v>33</v>
      </c>
      <c r="E152" s="35" t="s">
        <v>43</v>
      </c>
      <c r="F152" s="36">
        <v>5</v>
      </c>
      <c r="G152" s="36">
        <v>24</v>
      </c>
      <c r="H152" s="37">
        <v>0</v>
      </c>
      <c r="I152" s="38">
        <f t="shared" si="14"/>
        <v>120</v>
      </c>
      <c r="J152" s="36" t="s">
        <v>35</v>
      </c>
      <c r="K152" s="39"/>
      <c r="L152" s="40">
        <f t="shared" si="15"/>
        <v>0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 spans="1:38" x14ac:dyDescent="0.2">
      <c r="A153" s="35" t="s">
        <v>81</v>
      </c>
      <c r="B153" s="35" t="s">
        <v>80</v>
      </c>
      <c r="C153" s="35" t="s">
        <v>24</v>
      </c>
      <c r="D153" s="35" t="s">
        <v>33</v>
      </c>
      <c r="E153" s="35" t="s">
        <v>44</v>
      </c>
      <c r="F153" s="36">
        <v>57</v>
      </c>
      <c r="G153" s="36">
        <v>24</v>
      </c>
      <c r="H153" s="37">
        <v>0</v>
      </c>
      <c r="I153" s="38">
        <f t="shared" si="14"/>
        <v>1368</v>
      </c>
      <c r="J153" s="36" t="s">
        <v>35</v>
      </c>
      <c r="K153" s="39"/>
      <c r="L153" s="40">
        <f t="shared" si="15"/>
        <v>0</v>
      </c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 spans="1:38" x14ac:dyDescent="0.2">
      <c r="A154" s="35" t="s">
        <v>81</v>
      </c>
      <c r="B154" s="35" t="s">
        <v>80</v>
      </c>
      <c r="C154" s="35" t="s">
        <v>24</v>
      </c>
      <c r="D154" s="35" t="s">
        <v>33</v>
      </c>
      <c r="E154" s="35" t="s">
        <v>47</v>
      </c>
      <c r="F154" s="36">
        <v>4</v>
      </c>
      <c r="G154" s="36">
        <v>24</v>
      </c>
      <c r="H154" s="37">
        <v>0</v>
      </c>
      <c r="I154" s="38">
        <f t="shared" si="14"/>
        <v>96</v>
      </c>
      <c r="J154" s="36" t="s">
        <v>35</v>
      </c>
      <c r="K154" s="39"/>
      <c r="L154" s="40">
        <f t="shared" si="15"/>
        <v>0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ht="12.75" customHeight="1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</row>
    <row r="156" spans="1:38" ht="12.75" customHeight="1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 spans="1:38" ht="12.75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</row>
    <row r="158" spans="1:38" ht="12.75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 spans="1:38" ht="12.75" customHeigh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</row>
    <row r="160" spans="1:38" ht="12.75" customHeight="1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 s="22" customFormat="1" ht="12.75" customHeight="1" x14ac:dyDescent="0.2"/>
    <row r="162" s="22" customFormat="1" ht="12.75" customHeight="1" x14ac:dyDescent="0.2"/>
    <row r="163" s="22" customFormat="1" ht="12.75" customHeight="1" x14ac:dyDescent="0.2"/>
    <row r="164" s="22" customFormat="1" ht="12.75" customHeight="1" x14ac:dyDescent="0.2"/>
    <row r="165" s="22" customFormat="1" ht="12.75" customHeight="1" x14ac:dyDescent="0.2"/>
    <row r="166" s="22" customFormat="1" ht="12.75" customHeight="1" x14ac:dyDescent="0.2"/>
    <row r="167" s="22" customFormat="1" ht="12.75" customHeight="1" x14ac:dyDescent="0.2"/>
    <row r="168" s="22" customFormat="1" ht="12.75" customHeight="1" x14ac:dyDescent="0.2"/>
    <row r="169" s="22" customFormat="1" ht="12.75" customHeight="1" x14ac:dyDescent="0.2"/>
    <row r="170" s="22" customFormat="1" ht="12.75" customHeight="1" x14ac:dyDescent="0.2"/>
    <row r="171" s="22" customFormat="1" ht="12.75" customHeight="1" x14ac:dyDescent="0.2"/>
    <row r="172" s="22" customFormat="1" ht="12.75" customHeight="1" x14ac:dyDescent="0.2"/>
    <row r="173" s="22" customFormat="1" ht="12.75" customHeight="1" x14ac:dyDescent="0.2"/>
    <row r="174" s="22" customFormat="1" ht="12.75" customHeight="1" x14ac:dyDescent="0.2"/>
    <row r="175" s="22" customFormat="1" ht="12.75" customHeight="1" x14ac:dyDescent="0.2"/>
    <row r="176" s="22" customFormat="1" ht="12.75" customHeight="1" x14ac:dyDescent="0.2"/>
    <row r="177" s="22" customFormat="1" ht="12.75" customHeight="1" x14ac:dyDescent="0.2"/>
    <row r="178" s="22" customFormat="1" ht="12.75" customHeight="1" x14ac:dyDescent="0.2"/>
    <row r="179" s="22" customFormat="1" ht="12.75" customHeight="1" x14ac:dyDescent="0.2"/>
    <row r="180" s="22" customFormat="1" ht="12.75" customHeight="1" x14ac:dyDescent="0.2"/>
    <row r="181" s="22" customFormat="1" ht="12.75" customHeight="1" x14ac:dyDescent="0.2"/>
    <row r="182" s="22" customFormat="1" ht="12.75" customHeight="1" x14ac:dyDescent="0.2"/>
    <row r="183" s="22" customFormat="1" ht="12.75" customHeight="1" x14ac:dyDescent="0.2"/>
    <row r="184" s="22" customFormat="1" ht="12.75" customHeight="1" x14ac:dyDescent="0.2"/>
    <row r="185" s="22" customFormat="1" ht="12.75" customHeight="1" x14ac:dyDescent="0.2"/>
    <row r="186" s="22" customFormat="1" ht="12.75" customHeight="1" x14ac:dyDescent="0.2"/>
    <row r="187" s="22" customFormat="1" ht="12.75" customHeight="1" x14ac:dyDescent="0.2"/>
    <row r="188" s="22" customFormat="1" ht="12.75" customHeight="1" x14ac:dyDescent="0.2"/>
    <row r="189" s="22" customFormat="1" ht="12.75" customHeight="1" x14ac:dyDescent="0.2"/>
    <row r="190" s="22" customFormat="1" ht="12.75" customHeight="1" x14ac:dyDescent="0.2"/>
    <row r="191" s="22" customFormat="1" ht="12.75" customHeight="1" x14ac:dyDescent="0.2"/>
    <row r="192" s="22" customFormat="1" ht="12.75" customHeight="1" x14ac:dyDescent="0.2"/>
    <row r="193" s="22" customFormat="1" ht="12.75" customHeight="1" x14ac:dyDescent="0.2"/>
    <row r="194" s="22" customFormat="1" ht="12.75" customHeight="1" x14ac:dyDescent="0.2"/>
    <row r="195" s="22" customFormat="1" ht="12.75" customHeight="1" x14ac:dyDescent="0.2"/>
    <row r="196" s="22" customFormat="1" ht="12.75" customHeight="1" x14ac:dyDescent="0.2"/>
    <row r="197" s="22" customFormat="1" ht="12.75" customHeight="1" x14ac:dyDescent="0.2"/>
    <row r="198" s="22" customFormat="1" ht="12.75" customHeight="1" x14ac:dyDescent="0.2"/>
    <row r="199" s="22" customFormat="1" ht="12.75" customHeight="1" x14ac:dyDescent="0.2"/>
    <row r="200" s="22" customFormat="1" ht="12.75" customHeight="1" x14ac:dyDescent="0.2"/>
    <row r="201" s="22" customFormat="1" ht="12.75" customHeight="1" x14ac:dyDescent="0.2"/>
    <row r="202" s="22" customFormat="1" ht="12.75" customHeight="1" x14ac:dyDescent="0.2"/>
    <row r="203" s="22" customFormat="1" ht="12.75" customHeight="1" x14ac:dyDescent="0.2"/>
    <row r="204" s="22" customFormat="1" ht="12.75" customHeight="1" x14ac:dyDescent="0.2"/>
    <row r="205" s="22" customFormat="1" ht="12.75" customHeight="1" x14ac:dyDescent="0.2"/>
    <row r="206" s="22" customFormat="1" ht="12.75" customHeight="1" x14ac:dyDescent="0.2"/>
    <row r="207" s="22" customFormat="1" ht="12.75" customHeight="1" x14ac:dyDescent="0.2"/>
    <row r="208" s="22" customFormat="1" ht="12.75" customHeight="1" x14ac:dyDescent="0.2"/>
    <row r="209" s="22" customFormat="1" ht="12.75" customHeight="1" x14ac:dyDescent="0.2"/>
    <row r="210" s="22" customFormat="1" ht="12.75" customHeight="1" x14ac:dyDescent="0.2"/>
    <row r="211" s="22" customFormat="1" ht="12.75" customHeight="1" x14ac:dyDescent="0.2"/>
    <row r="212" s="22" customFormat="1" ht="12.75" customHeight="1" x14ac:dyDescent="0.2"/>
    <row r="213" s="22" customFormat="1" ht="12.75" customHeight="1" x14ac:dyDescent="0.2"/>
    <row r="214" s="22" customFormat="1" ht="12.75" customHeight="1" x14ac:dyDescent="0.2"/>
    <row r="215" s="22" customFormat="1" ht="12.75" customHeight="1" x14ac:dyDescent="0.2"/>
    <row r="216" s="22" customFormat="1" ht="12.75" customHeight="1" x14ac:dyDescent="0.2"/>
    <row r="217" s="22" customFormat="1" ht="12.75" customHeight="1" x14ac:dyDescent="0.2"/>
    <row r="218" s="22" customFormat="1" ht="12.75" customHeight="1" x14ac:dyDescent="0.2"/>
    <row r="219" s="22" customFormat="1" ht="12.75" customHeight="1" x14ac:dyDescent="0.2"/>
    <row r="220" s="22" customFormat="1" ht="12.75" customHeight="1" x14ac:dyDescent="0.2"/>
    <row r="221" s="22" customFormat="1" ht="12.75" customHeight="1" x14ac:dyDescent="0.2"/>
    <row r="222" s="22" customFormat="1" ht="12.75" customHeight="1" x14ac:dyDescent="0.2"/>
    <row r="223" s="22" customFormat="1" ht="12.75" customHeight="1" x14ac:dyDescent="0.2"/>
    <row r="224" s="22" customFormat="1" ht="12.75" customHeight="1" x14ac:dyDescent="0.2"/>
    <row r="225" s="22" customFormat="1" ht="12.75" customHeight="1" x14ac:dyDescent="0.2"/>
    <row r="226" s="22" customFormat="1" ht="12.75" customHeight="1" x14ac:dyDescent="0.2"/>
    <row r="227" s="22" customFormat="1" ht="12.75" customHeight="1" x14ac:dyDescent="0.2"/>
    <row r="228" s="22" customFormat="1" ht="12.75" customHeight="1" x14ac:dyDescent="0.2"/>
    <row r="229" s="22" customFormat="1" ht="12.75" customHeight="1" x14ac:dyDescent="0.2"/>
    <row r="230" s="22" customFormat="1" ht="12.75" customHeight="1" x14ac:dyDescent="0.2"/>
    <row r="231" s="22" customFormat="1" ht="12.75" customHeight="1" x14ac:dyDescent="0.2"/>
    <row r="232" s="22" customFormat="1" ht="12.75" customHeight="1" x14ac:dyDescent="0.2"/>
    <row r="233" s="22" customFormat="1" ht="12.75" customHeight="1" x14ac:dyDescent="0.2"/>
    <row r="234" s="22" customFormat="1" ht="12.75" customHeight="1" x14ac:dyDescent="0.2"/>
    <row r="235" s="22" customFormat="1" ht="12.75" customHeight="1" x14ac:dyDescent="0.2"/>
    <row r="236" s="22" customFormat="1" ht="12.75" customHeight="1" x14ac:dyDescent="0.2"/>
    <row r="237" s="22" customFormat="1" ht="12.75" customHeight="1" x14ac:dyDescent="0.2"/>
    <row r="238" s="22" customFormat="1" ht="12.75" customHeight="1" x14ac:dyDescent="0.2"/>
    <row r="239" s="22" customFormat="1" ht="12.75" customHeight="1" x14ac:dyDescent="0.2"/>
    <row r="240" s="22" customFormat="1" ht="12.75" customHeight="1" x14ac:dyDescent="0.2"/>
    <row r="241" s="22" customFormat="1" ht="12.75" customHeight="1" x14ac:dyDescent="0.2"/>
    <row r="242" s="22" customFormat="1" ht="12.75" customHeight="1" x14ac:dyDescent="0.2"/>
    <row r="243" s="22" customFormat="1" ht="12.75" customHeight="1" x14ac:dyDescent="0.2"/>
    <row r="244" s="22" customFormat="1" ht="12.75" customHeight="1" x14ac:dyDescent="0.2"/>
    <row r="245" s="22" customFormat="1" ht="12.75" customHeight="1" x14ac:dyDescent="0.2"/>
    <row r="246" s="22" customFormat="1" ht="12.75" customHeight="1" x14ac:dyDescent="0.2"/>
    <row r="247" s="22" customFormat="1" ht="12.75" customHeight="1" x14ac:dyDescent="0.2"/>
    <row r="248" s="22" customFormat="1" ht="12.75" customHeight="1" x14ac:dyDescent="0.2"/>
    <row r="249" s="22" customFormat="1" ht="12.75" customHeight="1" x14ac:dyDescent="0.2"/>
    <row r="250" s="22" customFormat="1" ht="12.75" customHeight="1" x14ac:dyDescent="0.2"/>
    <row r="251" s="22" customFormat="1" ht="12.75" customHeight="1" x14ac:dyDescent="0.2"/>
    <row r="252" s="22" customFormat="1" ht="12.75" customHeight="1" x14ac:dyDescent="0.2"/>
    <row r="253" s="22" customFormat="1" ht="12.75" customHeight="1" x14ac:dyDescent="0.2"/>
    <row r="254" s="22" customFormat="1" ht="12.75" customHeight="1" x14ac:dyDescent="0.2"/>
    <row r="255" s="22" customFormat="1" ht="12.75" customHeight="1" x14ac:dyDescent="0.2"/>
    <row r="256" s="22" customFormat="1" ht="12.75" customHeight="1" x14ac:dyDescent="0.2"/>
    <row r="257" s="22" customFormat="1" ht="12.75" customHeight="1" x14ac:dyDescent="0.2"/>
    <row r="258" s="22" customFormat="1" ht="12.75" customHeight="1" x14ac:dyDescent="0.2"/>
    <row r="259" s="22" customFormat="1" ht="12.75" customHeight="1" x14ac:dyDescent="0.2"/>
    <row r="260" s="22" customFormat="1" ht="12.75" customHeight="1" x14ac:dyDescent="0.2"/>
    <row r="261" s="22" customFormat="1" ht="12.75" customHeight="1" x14ac:dyDescent="0.2"/>
    <row r="262" s="22" customFormat="1" ht="12.75" customHeight="1" x14ac:dyDescent="0.2"/>
    <row r="263" s="22" customFormat="1" ht="12.75" customHeight="1" x14ac:dyDescent="0.2"/>
    <row r="264" s="22" customFormat="1" ht="12.75" customHeight="1" x14ac:dyDescent="0.2"/>
    <row r="265" s="22" customFormat="1" ht="12.75" customHeight="1" x14ac:dyDescent="0.2"/>
    <row r="266" s="22" customFormat="1" ht="12.75" customHeight="1" x14ac:dyDescent="0.2"/>
    <row r="267" s="22" customFormat="1" ht="12.75" customHeight="1" x14ac:dyDescent="0.2"/>
    <row r="268" s="22" customFormat="1" ht="12.75" customHeight="1" x14ac:dyDescent="0.2"/>
    <row r="269" s="22" customFormat="1" ht="12.75" customHeight="1" x14ac:dyDescent="0.2"/>
    <row r="270" s="22" customFormat="1" ht="12.75" customHeight="1" x14ac:dyDescent="0.2"/>
    <row r="271" s="22" customFormat="1" ht="12.75" customHeight="1" x14ac:dyDescent="0.2"/>
    <row r="272" s="22" customFormat="1" ht="12.75" customHeight="1" x14ac:dyDescent="0.2"/>
    <row r="273" s="22" customFormat="1" ht="12.75" customHeight="1" x14ac:dyDescent="0.2"/>
    <row r="274" s="22" customFormat="1" ht="12.75" customHeight="1" x14ac:dyDescent="0.2"/>
    <row r="275" s="22" customFormat="1" ht="12.75" customHeight="1" x14ac:dyDescent="0.2"/>
    <row r="276" s="22" customFormat="1" ht="12.75" customHeight="1" x14ac:dyDescent="0.2"/>
    <row r="277" s="22" customFormat="1" ht="12.75" customHeight="1" x14ac:dyDescent="0.2"/>
    <row r="278" s="22" customFormat="1" ht="12.75" customHeight="1" x14ac:dyDescent="0.2"/>
    <row r="279" s="22" customFormat="1" ht="12.75" customHeight="1" x14ac:dyDescent="0.2"/>
    <row r="280" s="22" customFormat="1" ht="12.75" customHeight="1" x14ac:dyDescent="0.2"/>
    <row r="281" s="22" customFormat="1" ht="12.75" customHeight="1" x14ac:dyDescent="0.2"/>
    <row r="282" s="22" customFormat="1" ht="12.75" customHeight="1" x14ac:dyDescent="0.2"/>
    <row r="283" s="22" customFormat="1" ht="12.75" customHeight="1" x14ac:dyDescent="0.2"/>
    <row r="284" s="22" customFormat="1" ht="12.75" customHeight="1" x14ac:dyDescent="0.2"/>
    <row r="285" s="22" customFormat="1" ht="12.75" customHeight="1" x14ac:dyDescent="0.2"/>
    <row r="286" s="22" customFormat="1" ht="12.75" customHeight="1" x14ac:dyDescent="0.2"/>
    <row r="287" s="22" customFormat="1" ht="12.75" customHeight="1" x14ac:dyDescent="0.2"/>
    <row r="288" s="22" customFormat="1" ht="12.75" customHeight="1" x14ac:dyDescent="0.2"/>
    <row r="289" s="22" customFormat="1" ht="12.75" customHeight="1" x14ac:dyDescent="0.2"/>
    <row r="290" s="22" customFormat="1" ht="12.75" customHeight="1" x14ac:dyDescent="0.2"/>
    <row r="291" s="22" customFormat="1" ht="12.75" customHeight="1" x14ac:dyDescent="0.2"/>
    <row r="292" s="22" customFormat="1" ht="12.75" customHeight="1" x14ac:dyDescent="0.2"/>
    <row r="293" s="22" customFormat="1" ht="12.75" customHeight="1" x14ac:dyDescent="0.2"/>
    <row r="294" s="22" customFormat="1" ht="12.75" customHeight="1" x14ac:dyDescent="0.2"/>
    <row r="295" s="22" customFormat="1" ht="12.75" customHeight="1" x14ac:dyDescent="0.2"/>
    <row r="296" s="22" customFormat="1" ht="12.75" customHeight="1" x14ac:dyDescent="0.2"/>
    <row r="297" s="22" customFormat="1" ht="12.75" customHeight="1" x14ac:dyDescent="0.2"/>
    <row r="298" s="22" customFormat="1" ht="12.75" customHeight="1" x14ac:dyDescent="0.2"/>
    <row r="299" s="22" customFormat="1" ht="12.75" customHeight="1" x14ac:dyDescent="0.2"/>
    <row r="300" s="22" customFormat="1" ht="12.75" customHeight="1" x14ac:dyDescent="0.2"/>
    <row r="301" s="22" customFormat="1" ht="12.75" customHeight="1" x14ac:dyDescent="0.2"/>
    <row r="302" s="22" customFormat="1" ht="12.75" customHeight="1" x14ac:dyDescent="0.2"/>
    <row r="303" s="22" customFormat="1" ht="12.75" customHeight="1" x14ac:dyDescent="0.2"/>
    <row r="304" s="22" customFormat="1" ht="12.75" customHeight="1" x14ac:dyDescent="0.2"/>
    <row r="305" s="22" customFormat="1" ht="12.75" customHeight="1" x14ac:dyDescent="0.2"/>
    <row r="306" s="22" customFormat="1" ht="12.75" customHeight="1" x14ac:dyDescent="0.2"/>
    <row r="307" s="22" customFormat="1" ht="12.75" customHeight="1" x14ac:dyDescent="0.2"/>
    <row r="308" s="22" customFormat="1" ht="12.75" customHeight="1" x14ac:dyDescent="0.2"/>
    <row r="309" s="22" customFormat="1" ht="12.75" customHeight="1" x14ac:dyDescent="0.2"/>
    <row r="310" s="22" customFormat="1" ht="12.75" customHeight="1" x14ac:dyDescent="0.2"/>
    <row r="311" s="22" customFormat="1" ht="12.75" customHeight="1" x14ac:dyDescent="0.2"/>
    <row r="312" s="22" customFormat="1" ht="12.75" customHeight="1" x14ac:dyDescent="0.2"/>
    <row r="313" s="22" customFormat="1" ht="12.75" customHeight="1" x14ac:dyDescent="0.2"/>
    <row r="314" s="22" customFormat="1" ht="12.75" customHeight="1" x14ac:dyDescent="0.2"/>
    <row r="315" s="22" customFormat="1" ht="12.75" customHeight="1" x14ac:dyDescent="0.2"/>
    <row r="316" s="22" customFormat="1" ht="12.75" customHeight="1" x14ac:dyDescent="0.2"/>
    <row r="317" s="22" customFormat="1" ht="12.75" customHeight="1" x14ac:dyDescent="0.2"/>
    <row r="318" s="22" customFormat="1" ht="12.75" customHeight="1" x14ac:dyDescent="0.2"/>
    <row r="319" s="22" customFormat="1" ht="12.75" customHeight="1" x14ac:dyDescent="0.2"/>
    <row r="320" s="22" customFormat="1" ht="12.75" customHeight="1" x14ac:dyDescent="0.2"/>
    <row r="321" s="22" customFormat="1" ht="12.75" customHeight="1" x14ac:dyDescent="0.2"/>
    <row r="322" s="22" customFormat="1" ht="12.75" customHeight="1" x14ac:dyDescent="0.2"/>
    <row r="323" s="22" customFormat="1" ht="12.75" customHeight="1" x14ac:dyDescent="0.2"/>
    <row r="324" s="22" customFormat="1" ht="12.75" customHeight="1" x14ac:dyDescent="0.2"/>
    <row r="325" s="22" customFormat="1" ht="12.75" customHeight="1" x14ac:dyDescent="0.2"/>
    <row r="326" s="22" customFormat="1" ht="12.75" customHeight="1" x14ac:dyDescent="0.2"/>
    <row r="327" s="22" customFormat="1" ht="12.75" customHeight="1" x14ac:dyDescent="0.2"/>
    <row r="328" s="22" customFormat="1" ht="12.75" customHeight="1" x14ac:dyDescent="0.2"/>
    <row r="329" s="22" customFormat="1" ht="12.75" customHeight="1" x14ac:dyDescent="0.2"/>
    <row r="330" s="22" customFormat="1" ht="12.75" customHeight="1" x14ac:dyDescent="0.2"/>
    <row r="331" s="22" customFormat="1" ht="12.75" customHeight="1" x14ac:dyDescent="0.2"/>
    <row r="332" s="22" customFormat="1" ht="12.75" customHeight="1" x14ac:dyDescent="0.2"/>
    <row r="333" s="22" customFormat="1" ht="12.75" customHeight="1" x14ac:dyDescent="0.2"/>
    <row r="334" s="22" customFormat="1" ht="12.75" customHeight="1" x14ac:dyDescent="0.2"/>
    <row r="335" s="22" customFormat="1" ht="12.75" customHeight="1" x14ac:dyDescent="0.2"/>
    <row r="336" s="22" customFormat="1" ht="12.75" customHeight="1" x14ac:dyDescent="0.2"/>
    <row r="337" s="22" customFormat="1" ht="12.75" customHeight="1" x14ac:dyDescent="0.2"/>
    <row r="338" s="22" customFormat="1" ht="12.75" customHeight="1" x14ac:dyDescent="0.2"/>
    <row r="339" s="22" customFormat="1" ht="12.75" customHeight="1" x14ac:dyDescent="0.2"/>
    <row r="340" s="22" customFormat="1" ht="12.75" customHeight="1" x14ac:dyDescent="0.2"/>
    <row r="341" s="22" customFormat="1" ht="12.75" customHeight="1" x14ac:dyDescent="0.2"/>
    <row r="342" s="22" customFormat="1" ht="12.75" customHeight="1" x14ac:dyDescent="0.2"/>
    <row r="343" s="22" customFormat="1" ht="12.75" customHeight="1" x14ac:dyDescent="0.2"/>
    <row r="344" s="22" customFormat="1" ht="12.75" customHeight="1" x14ac:dyDescent="0.2"/>
    <row r="345" s="22" customFormat="1" ht="12.75" customHeight="1" x14ac:dyDescent="0.2"/>
    <row r="346" s="22" customFormat="1" ht="12.75" customHeight="1" x14ac:dyDescent="0.2"/>
    <row r="347" s="22" customFormat="1" ht="12.75" customHeight="1" x14ac:dyDescent="0.2"/>
    <row r="348" s="22" customFormat="1" ht="12.75" customHeight="1" x14ac:dyDescent="0.2"/>
    <row r="349" s="22" customFormat="1" ht="12.75" customHeight="1" x14ac:dyDescent="0.2"/>
    <row r="350" s="22" customFormat="1" ht="12.75" customHeight="1" x14ac:dyDescent="0.2"/>
    <row r="351" s="22" customFormat="1" ht="12.75" customHeight="1" x14ac:dyDescent="0.2"/>
    <row r="352" s="22" customFormat="1" ht="12.75" customHeight="1" x14ac:dyDescent="0.2"/>
    <row r="353" s="22" customFormat="1" ht="12.75" customHeight="1" x14ac:dyDescent="0.2"/>
    <row r="354" s="22" customFormat="1" ht="12.75" customHeight="1" x14ac:dyDescent="0.2"/>
    <row r="355" s="22" customFormat="1" ht="12.75" customHeight="1" x14ac:dyDescent="0.2"/>
    <row r="356" s="22" customFormat="1" ht="12.75" customHeight="1" x14ac:dyDescent="0.2"/>
    <row r="357" s="22" customFormat="1" ht="12.75" customHeight="1" x14ac:dyDescent="0.2"/>
    <row r="358" s="22" customFormat="1" ht="12.75" customHeight="1" x14ac:dyDescent="0.2"/>
    <row r="359" s="22" customFormat="1" ht="12.75" customHeight="1" x14ac:dyDescent="0.2"/>
    <row r="360" s="22" customFormat="1" ht="12.75" customHeight="1" x14ac:dyDescent="0.2"/>
    <row r="361" s="22" customFormat="1" ht="12.75" customHeight="1" x14ac:dyDescent="0.2"/>
    <row r="362" s="22" customFormat="1" ht="12.75" customHeight="1" x14ac:dyDescent="0.2"/>
    <row r="363" s="22" customFormat="1" ht="12.75" customHeight="1" x14ac:dyDescent="0.2"/>
    <row r="364" s="22" customFormat="1" ht="12.75" customHeight="1" x14ac:dyDescent="0.2"/>
    <row r="365" s="22" customFormat="1" ht="12.75" customHeight="1" x14ac:dyDescent="0.2"/>
    <row r="366" s="22" customFormat="1" ht="12.75" customHeight="1" x14ac:dyDescent="0.2"/>
    <row r="367" s="22" customFormat="1" ht="12.75" customHeight="1" x14ac:dyDescent="0.2"/>
    <row r="368" s="22" customFormat="1" ht="12.75" customHeight="1" x14ac:dyDescent="0.2"/>
    <row r="369" s="22" customFormat="1" ht="12.75" customHeight="1" x14ac:dyDescent="0.2"/>
    <row r="370" s="22" customFormat="1" ht="12.75" customHeight="1" x14ac:dyDescent="0.2"/>
    <row r="371" s="22" customFormat="1" ht="12.75" customHeight="1" x14ac:dyDescent="0.2"/>
    <row r="372" s="22" customFormat="1" ht="12.75" customHeight="1" x14ac:dyDescent="0.2"/>
    <row r="373" s="22" customFormat="1" ht="12.75" customHeight="1" x14ac:dyDescent="0.2"/>
    <row r="374" s="22" customFormat="1" ht="12.75" customHeight="1" x14ac:dyDescent="0.2"/>
    <row r="375" s="22" customFormat="1" ht="12.75" customHeight="1" x14ac:dyDescent="0.2"/>
    <row r="376" s="22" customFormat="1" ht="12.75" customHeight="1" x14ac:dyDescent="0.2"/>
    <row r="377" s="22" customFormat="1" ht="12.75" customHeight="1" x14ac:dyDescent="0.2"/>
    <row r="378" s="22" customFormat="1" ht="12.75" customHeight="1" x14ac:dyDescent="0.2"/>
    <row r="379" s="22" customFormat="1" ht="12.75" customHeight="1" x14ac:dyDescent="0.2"/>
    <row r="380" s="22" customFormat="1" ht="12.75" customHeight="1" x14ac:dyDescent="0.2"/>
    <row r="381" s="22" customFormat="1" ht="12.75" customHeight="1" x14ac:dyDescent="0.2"/>
    <row r="382" s="22" customFormat="1" ht="12.75" customHeight="1" x14ac:dyDescent="0.2"/>
    <row r="383" s="22" customFormat="1" ht="12.75" customHeight="1" x14ac:dyDescent="0.2"/>
    <row r="384" s="22" customFormat="1" ht="12.75" customHeight="1" x14ac:dyDescent="0.2"/>
    <row r="385" s="22" customFormat="1" ht="12.75" customHeight="1" x14ac:dyDescent="0.2"/>
    <row r="386" s="22" customFormat="1" ht="12.75" customHeight="1" x14ac:dyDescent="0.2"/>
    <row r="387" s="22" customFormat="1" ht="12.75" customHeight="1" x14ac:dyDescent="0.2"/>
    <row r="388" s="22" customFormat="1" ht="12.75" customHeight="1" x14ac:dyDescent="0.2"/>
    <row r="389" s="22" customFormat="1" ht="12.75" customHeight="1" x14ac:dyDescent="0.2"/>
    <row r="390" s="22" customFormat="1" ht="12.75" customHeight="1" x14ac:dyDescent="0.2"/>
    <row r="391" s="22" customFormat="1" ht="12.75" customHeight="1" x14ac:dyDescent="0.2"/>
    <row r="392" s="22" customFormat="1" ht="12.75" customHeight="1" x14ac:dyDescent="0.2"/>
    <row r="393" s="22" customFormat="1" ht="12.75" customHeight="1" x14ac:dyDescent="0.2"/>
    <row r="394" s="22" customFormat="1" ht="12.75" customHeight="1" x14ac:dyDescent="0.2"/>
    <row r="395" s="22" customFormat="1" ht="12.75" customHeight="1" x14ac:dyDescent="0.2"/>
    <row r="396" s="22" customFormat="1" ht="12.75" customHeight="1" x14ac:dyDescent="0.2"/>
    <row r="397" s="22" customFormat="1" ht="12.75" customHeight="1" x14ac:dyDescent="0.2"/>
    <row r="398" s="22" customFormat="1" ht="12.75" customHeight="1" x14ac:dyDescent="0.2"/>
    <row r="399" s="22" customFormat="1" ht="12.75" customHeight="1" x14ac:dyDescent="0.2"/>
    <row r="400" s="22" customFormat="1" ht="12.75" customHeight="1" x14ac:dyDescent="0.2"/>
    <row r="401" s="22" customFormat="1" ht="12.75" customHeight="1" x14ac:dyDescent="0.2"/>
    <row r="402" s="22" customFormat="1" ht="12.75" customHeight="1" x14ac:dyDescent="0.2"/>
    <row r="403" s="22" customFormat="1" ht="12.75" customHeight="1" x14ac:dyDescent="0.2"/>
    <row r="404" s="22" customFormat="1" ht="12.75" customHeight="1" x14ac:dyDescent="0.2"/>
    <row r="405" s="22" customFormat="1" ht="12.75" customHeight="1" x14ac:dyDescent="0.2"/>
    <row r="406" s="22" customFormat="1" ht="12.75" customHeight="1" x14ac:dyDescent="0.2"/>
    <row r="407" s="22" customFormat="1" ht="12.75" customHeight="1" x14ac:dyDescent="0.2"/>
    <row r="408" s="22" customFormat="1" ht="12.75" customHeight="1" x14ac:dyDescent="0.2"/>
    <row r="409" s="22" customFormat="1" ht="12.75" customHeight="1" x14ac:dyDescent="0.2"/>
    <row r="410" s="22" customFormat="1" ht="12.75" customHeight="1" x14ac:dyDescent="0.2"/>
    <row r="411" s="22" customFormat="1" ht="12.75" customHeight="1" x14ac:dyDescent="0.2"/>
    <row r="412" s="22" customFormat="1" ht="12.75" customHeight="1" x14ac:dyDescent="0.2"/>
    <row r="413" s="22" customFormat="1" ht="12.75" customHeight="1" x14ac:dyDescent="0.2"/>
    <row r="414" s="22" customFormat="1" ht="12.75" customHeight="1" x14ac:dyDescent="0.2"/>
    <row r="415" s="22" customFormat="1" ht="12.75" customHeight="1" x14ac:dyDescent="0.2"/>
    <row r="416" s="22" customFormat="1" ht="12.75" customHeight="1" x14ac:dyDescent="0.2"/>
    <row r="417" s="22" customFormat="1" ht="12.75" customHeight="1" x14ac:dyDescent="0.2"/>
    <row r="418" s="22" customFormat="1" ht="12.75" customHeight="1" x14ac:dyDescent="0.2"/>
    <row r="419" s="22" customFormat="1" ht="12.75" customHeight="1" x14ac:dyDescent="0.2"/>
    <row r="420" s="22" customFormat="1" ht="12.75" customHeight="1" x14ac:dyDescent="0.2"/>
    <row r="421" s="22" customFormat="1" ht="12.75" customHeight="1" x14ac:dyDescent="0.2"/>
    <row r="422" s="22" customFormat="1" ht="12.75" customHeight="1" x14ac:dyDescent="0.2"/>
    <row r="423" s="22" customFormat="1" ht="12.75" customHeight="1" x14ac:dyDescent="0.2"/>
    <row r="424" s="22" customFormat="1" ht="12.75" customHeight="1" x14ac:dyDescent="0.2"/>
    <row r="425" s="22" customFormat="1" ht="12.75" customHeight="1" x14ac:dyDescent="0.2"/>
    <row r="426" s="22" customFormat="1" ht="12.75" customHeight="1" x14ac:dyDescent="0.2"/>
    <row r="427" s="22" customFormat="1" ht="12.75" customHeight="1" x14ac:dyDescent="0.2"/>
    <row r="428" s="22" customFormat="1" ht="12.75" customHeight="1" x14ac:dyDescent="0.2"/>
    <row r="429" s="22" customFormat="1" ht="12.75" customHeight="1" x14ac:dyDescent="0.2"/>
    <row r="430" s="22" customFormat="1" ht="12.75" customHeight="1" x14ac:dyDescent="0.2"/>
    <row r="431" s="22" customFormat="1" ht="12.75" customHeight="1" x14ac:dyDescent="0.2"/>
    <row r="432" s="22" customFormat="1" ht="12.75" customHeight="1" x14ac:dyDescent="0.2"/>
    <row r="433" s="22" customFormat="1" ht="12.75" customHeight="1" x14ac:dyDescent="0.2"/>
    <row r="434" s="22" customFormat="1" ht="12.75" customHeight="1" x14ac:dyDescent="0.2"/>
    <row r="435" s="22" customFormat="1" ht="12.75" customHeight="1" x14ac:dyDescent="0.2"/>
    <row r="436" s="22" customFormat="1" ht="12.75" customHeight="1" x14ac:dyDescent="0.2"/>
    <row r="437" s="22" customFormat="1" ht="12.75" customHeight="1" x14ac:dyDescent="0.2"/>
    <row r="438" s="22" customFormat="1" ht="12.75" customHeight="1" x14ac:dyDescent="0.2"/>
    <row r="439" s="22" customFormat="1" ht="12.75" customHeight="1" x14ac:dyDescent="0.2"/>
    <row r="440" s="22" customFormat="1" ht="12.75" customHeight="1" x14ac:dyDescent="0.2"/>
    <row r="441" s="22" customFormat="1" ht="12.75" customHeight="1" x14ac:dyDescent="0.2"/>
    <row r="442" s="22" customFormat="1" ht="12.75" customHeight="1" x14ac:dyDescent="0.2"/>
    <row r="443" s="22" customFormat="1" ht="12.75" customHeight="1" x14ac:dyDescent="0.2"/>
    <row r="444" s="22" customFormat="1" ht="12.75" customHeight="1" x14ac:dyDescent="0.2"/>
    <row r="445" s="22" customFormat="1" ht="12.75" customHeight="1" x14ac:dyDescent="0.2"/>
    <row r="446" s="22" customFormat="1" ht="12.75" customHeight="1" x14ac:dyDescent="0.2"/>
    <row r="447" s="22" customFormat="1" ht="12.75" customHeight="1" x14ac:dyDescent="0.2"/>
    <row r="448" s="22" customFormat="1" ht="12.75" customHeight="1" x14ac:dyDescent="0.2"/>
    <row r="449" s="22" customFormat="1" ht="12.75" customHeight="1" x14ac:dyDescent="0.2"/>
    <row r="450" s="22" customFormat="1" ht="12.75" customHeight="1" x14ac:dyDescent="0.2"/>
    <row r="451" s="22" customFormat="1" ht="12.75" customHeight="1" x14ac:dyDescent="0.2"/>
    <row r="452" s="22" customFormat="1" ht="12.75" customHeight="1" x14ac:dyDescent="0.2"/>
    <row r="453" s="22" customFormat="1" ht="12.75" customHeight="1" x14ac:dyDescent="0.2"/>
    <row r="454" s="22" customFormat="1" ht="12.75" customHeight="1" x14ac:dyDescent="0.2"/>
    <row r="455" s="22" customFormat="1" ht="12.75" customHeight="1" x14ac:dyDescent="0.2"/>
    <row r="456" s="22" customFormat="1" ht="12.75" customHeight="1" x14ac:dyDescent="0.2"/>
    <row r="457" s="22" customFormat="1" ht="12.75" customHeight="1" x14ac:dyDescent="0.2"/>
    <row r="458" s="22" customFormat="1" ht="12.75" customHeight="1" x14ac:dyDescent="0.2"/>
    <row r="459" s="22" customFormat="1" ht="12.75" customHeight="1" x14ac:dyDescent="0.2"/>
    <row r="460" s="22" customFormat="1" ht="12.75" customHeight="1" x14ac:dyDescent="0.2"/>
    <row r="461" s="22" customFormat="1" ht="12.75" customHeight="1" x14ac:dyDescent="0.2"/>
    <row r="462" s="22" customFormat="1" ht="12.75" customHeight="1" x14ac:dyDescent="0.2"/>
    <row r="463" s="22" customFormat="1" ht="12.75" customHeight="1" x14ac:dyDescent="0.2"/>
    <row r="464" s="22" customFormat="1" ht="12.75" customHeight="1" x14ac:dyDescent="0.2"/>
    <row r="465" s="22" customFormat="1" ht="12.75" customHeight="1" x14ac:dyDescent="0.2"/>
    <row r="466" s="22" customFormat="1" ht="12.75" customHeight="1" x14ac:dyDescent="0.2"/>
    <row r="467" s="22" customFormat="1" ht="12.75" customHeight="1" x14ac:dyDescent="0.2"/>
    <row r="468" s="22" customFormat="1" ht="12.75" customHeight="1" x14ac:dyDescent="0.2"/>
    <row r="469" s="22" customFormat="1" ht="12.75" customHeight="1" x14ac:dyDescent="0.2"/>
    <row r="470" s="22" customFormat="1" ht="12.75" customHeight="1" x14ac:dyDescent="0.2"/>
    <row r="471" s="22" customFormat="1" ht="12.75" customHeight="1" x14ac:dyDescent="0.2"/>
    <row r="472" s="22" customFormat="1" ht="12.75" customHeight="1" x14ac:dyDescent="0.2"/>
    <row r="473" s="22" customFormat="1" ht="12.75" customHeight="1" x14ac:dyDescent="0.2"/>
    <row r="474" s="22" customFormat="1" ht="12.75" customHeight="1" x14ac:dyDescent="0.2"/>
    <row r="475" s="22" customFormat="1" ht="12.75" customHeight="1" x14ac:dyDescent="0.2"/>
    <row r="476" s="22" customFormat="1" ht="12.75" customHeight="1" x14ac:dyDescent="0.2"/>
    <row r="477" s="22" customFormat="1" ht="12.75" customHeight="1" x14ac:dyDescent="0.2"/>
    <row r="478" s="22" customFormat="1" ht="12.75" customHeight="1" x14ac:dyDescent="0.2"/>
    <row r="479" s="22" customFormat="1" ht="12.75" customHeight="1" x14ac:dyDescent="0.2"/>
    <row r="480" s="22" customFormat="1" ht="12.75" customHeight="1" x14ac:dyDescent="0.2"/>
    <row r="481" s="22" customFormat="1" ht="12.75" customHeight="1" x14ac:dyDescent="0.2"/>
    <row r="482" s="22" customFormat="1" ht="12.75" customHeight="1" x14ac:dyDescent="0.2"/>
    <row r="483" s="22" customFormat="1" ht="12.75" customHeight="1" x14ac:dyDescent="0.2"/>
    <row r="484" s="22" customFormat="1" ht="12.75" customHeight="1" x14ac:dyDescent="0.2"/>
    <row r="485" s="22" customFormat="1" ht="12.75" customHeight="1" x14ac:dyDescent="0.2"/>
    <row r="486" s="22" customFormat="1" ht="12.75" customHeight="1" x14ac:dyDescent="0.2"/>
    <row r="487" s="22" customFormat="1" ht="12.75" customHeight="1" x14ac:dyDescent="0.2"/>
    <row r="488" s="22" customFormat="1" ht="12.75" customHeight="1" x14ac:dyDescent="0.2"/>
    <row r="489" s="22" customFormat="1" ht="12.75" customHeight="1" x14ac:dyDescent="0.2"/>
    <row r="490" s="22" customFormat="1" ht="12.75" customHeight="1" x14ac:dyDescent="0.2"/>
    <row r="491" s="22" customFormat="1" ht="12.75" customHeight="1" x14ac:dyDescent="0.2"/>
    <row r="492" s="22" customFormat="1" ht="12.75" customHeight="1" x14ac:dyDescent="0.2"/>
    <row r="493" s="22" customFormat="1" ht="12.75" customHeight="1" x14ac:dyDescent="0.2"/>
    <row r="494" s="22" customFormat="1" ht="12.75" customHeight="1" x14ac:dyDescent="0.2"/>
    <row r="495" s="22" customFormat="1" ht="12.75" customHeight="1" x14ac:dyDescent="0.2"/>
    <row r="496" s="22" customFormat="1" ht="12.75" customHeight="1" x14ac:dyDescent="0.2"/>
    <row r="497" s="22" customFormat="1" ht="12.75" customHeight="1" x14ac:dyDescent="0.2"/>
    <row r="498" s="22" customFormat="1" ht="12.75" customHeight="1" x14ac:dyDescent="0.2"/>
    <row r="499" s="22" customFormat="1" ht="12.75" customHeight="1" x14ac:dyDescent="0.2"/>
    <row r="500" s="22" customFormat="1" ht="12.75" customHeight="1" x14ac:dyDescent="0.2"/>
    <row r="501" s="22" customFormat="1" ht="12.75" customHeight="1" x14ac:dyDescent="0.2"/>
    <row r="502" s="22" customFormat="1" ht="12.75" customHeight="1" x14ac:dyDescent="0.2"/>
    <row r="503" s="22" customFormat="1" ht="12.75" customHeight="1" x14ac:dyDescent="0.2"/>
    <row r="504" s="22" customFormat="1" ht="12.75" customHeight="1" x14ac:dyDescent="0.2"/>
    <row r="505" s="22" customFormat="1" ht="12.75" customHeight="1" x14ac:dyDescent="0.2"/>
    <row r="506" s="22" customFormat="1" ht="12.75" customHeight="1" x14ac:dyDescent="0.2"/>
    <row r="507" s="22" customFormat="1" ht="12.75" customHeight="1" x14ac:dyDescent="0.2"/>
    <row r="508" s="22" customFormat="1" ht="12.75" customHeight="1" x14ac:dyDescent="0.2"/>
    <row r="509" s="22" customFormat="1" ht="12.75" customHeight="1" x14ac:dyDescent="0.2"/>
    <row r="510" s="22" customFormat="1" ht="12.75" customHeight="1" x14ac:dyDescent="0.2"/>
    <row r="511" s="22" customFormat="1" ht="12.75" customHeight="1" x14ac:dyDescent="0.2"/>
    <row r="512" s="22" customFormat="1" ht="12.75" customHeight="1" x14ac:dyDescent="0.2"/>
    <row r="513" s="22" customFormat="1" ht="12.75" customHeight="1" x14ac:dyDescent="0.2"/>
    <row r="514" s="22" customFormat="1" ht="12.75" customHeight="1" x14ac:dyDescent="0.2"/>
    <row r="515" s="22" customFormat="1" ht="12.75" customHeight="1" x14ac:dyDescent="0.2"/>
    <row r="516" s="22" customFormat="1" ht="12.75" customHeight="1" x14ac:dyDescent="0.2"/>
    <row r="517" s="22" customFormat="1" ht="12.75" customHeight="1" x14ac:dyDescent="0.2"/>
    <row r="518" s="22" customFormat="1" ht="12.75" customHeight="1" x14ac:dyDescent="0.2"/>
    <row r="519" s="22" customFormat="1" ht="12.75" customHeight="1" x14ac:dyDescent="0.2"/>
    <row r="520" s="22" customFormat="1" ht="12.75" customHeight="1" x14ac:dyDescent="0.2"/>
    <row r="521" s="22" customFormat="1" ht="12.75" customHeight="1" x14ac:dyDescent="0.2"/>
    <row r="522" s="22" customFormat="1" ht="12.75" customHeight="1" x14ac:dyDescent="0.2"/>
    <row r="523" s="22" customFormat="1" ht="12.75" customHeight="1" x14ac:dyDescent="0.2"/>
    <row r="524" s="22" customFormat="1" ht="12.75" customHeight="1" x14ac:dyDescent="0.2"/>
    <row r="525" s="22" customFormat="1" ht="12.75" customHeight="1" x14ac:dyDescent="0.2"/>
    <row r="526" s="22" customFormat="1" ht="12.75" customHeight="1" x14ac:dyDescent="0.2"/>
    <row r="527" s="22" customFormat="1" ht="12.75" customHeight="1" x14ac:dyDescent="0.2"/>
    <row r="528" s="22" customFormat="1" ht="12.75" customHeight="1" x14ac:dyDescent="0.2"/>
    <row r="529" s="22" customFormat="1" ht="12.75" customHeight="1" x14ac:dyDescent="0.2"/>
    <row r="530" s="22" customFormat="1" ht="12.75" customHeight="1" x14ac:dyDescent="0.2"/>
    <row r="531" s="22" customFormat="1" ht="12.75" customHeight="1" x14ac:dyDescent="0.2"/>
    <row r="532" s="22" customFormat="1" ht="12.75" customHeight="1" x14ac:dyDescent="0.2"/>
    <row r="533" s="22" customFormat="1" ht="12.75" customHeight="1" x14ac:dyDescent="0.2"/>
    <row r="534" s="22" customFormat="1" ht="12.75" customHeight="1" x14ac:dyDescent="0.2"/>
    <row r="535" s="22" customFormat="1" ht="12.75" customHeight="1" x14ac:dyDescent="0.2"/>
    <row r="536" s="22" customFormat="1" ht="12.75" customHeight="1" x14ac:dyDescent="0.2"/>
    <row r="537" s="22" customFormat="1" ht="12.75" customHeight="1" x14ac:dyDescent="0.2"/>
    <row r="538" s="22" customFormat="1" ht="12.75" customHeight="1" x14ac:dyDescent="0.2"/>
    <row r="539" s="22" customFormat="1" ht="12.75" customHeight="1" x14ac:dyDescent="0.2"/>
    <row r="540" s="22" customFormat="1" ht="12.75" customHeight="1" x14ac:dyDescent="0.2"/>
    <row r="541" s="22" customFormat="1" ht="12.75" customHeight="1" x14ac:dyDescent="0.2"/>
    <row r="542" s="22" customFormat="1" ht="12.75" customHeight="1" x14ac:dyDescent="0.2"/>
    <row r="543" s="22" customFormat="1" ht="12.75" customHeight="1" x14ac:dyDescent="0.2"/>
    <row r="544" s="22" customFormat="1" ht="12.75" customHeight="1" x14ac:dyDescent="0.2"/>
    <row r="545" s="22" customFormat="1" ht="12.75" customHeight="1" x14ac:dyDescent="0.2"/>
    <row r="546" s="22" customFormat="1" ht="12.75" customHeight="1" x14ac:dyDescent="0.2"/>
    <row r="547" s="22" customFormat="1" ht="12.75" customHeight="1" x14ac:dyDescent="0.2"/>
    <row r="548" s="22" customFormat="1" ht="12.75" customHeight="1" x14ac:dyDescent="0.2"/>
    <row r="549" s="22" customFormat="1" ht="12.75" customHeight="1" x14ac:dyDescent="0.2"/>
    <row r="550" s="22" customFormat="1" ht="12.75" customHeight="1" x14ac:dyDescent="0.2"/>
    <row r="551" s="22" customFormat="1" ht="12.75" customHeight="1" x14ac:dyDescent="0.2"/>
    <row r="552" s="22" customFormat="1" ht="12.75" customHeight="1" x14ac:dyDescent="0.2"/>
    <row r="553" s="22" customFormat="1" ht="12.75" customHeight="1" x14ac:dyDescent="0.2"/>
    <row r="554" s="22" customFormat="1" ht="12.75" customHeight="1" x14ac:dyDescent="0.2"/>
    <row r="555" s="22" customFormat="1" ht="12.75" customHeight="1" x14ac:dyDescent="0.2"/>
    <row r="556" s="22" customFormat="1" ht="12.75" customHeight="1" x14ac:dyDescent="0.2"/>
    <row r="557" s="22" customFormat="1" ht="12.75" customHeight="1" x14ac:dyDescent="0.2"/>
    <row r="558" s="22" customFormat="1" ht="12.75" customHeight="1" x14ac:dyDescent="0.2"/>
    <row r="559" s="22" customFormat="1" ht="12.75" customHeight="1" x14ac:dyDescent="0.2"/>
    <row r="560" s="22" customFormat="1" ht="12.75" customHeight="1" x14ac:dyDescent="0.2"/>
    <row r="561" s="22" customFormat="1" ht="12.75" customHeight="1" x14ac:dyDescent="0.2"/>
    <row r="562" s="22" customFormat="1" ht="12.75" customHeight="1" x14ac:dyDescent="0.2"/>
    <row r="563" s="22" customFormat="1" ht="12.75" customHeight="1" x14ac:dyDescent="0.2"/>
    <row r="564" s="22" customFormat="1" ht="12.75" customHeight="1" x14ac:dyDescent="0.2"/>
    <row r="565" s="22" customFormat="1" ht="12.75" customHeight="1" x14ac:dyDescent="0.2"/>
    <row r="566" s="22" customFormat="1" ht="12.75" customHeight="1" x14ac:dyDescent="0.2"/>
    <row r="567" s="22" customFormat="1" ht="12.75" customHeight="1" x14ac:dyDescent="0.2"/>
    <row r="568" s="22" customFormat="1" ht="12.75" customHeight="1" x14ac:dyDescent="0.2"/>
    <row r="569" s="22" customFormat="1" ht="12.75" customHeight="1" x14ac:dyDescent="0.2"/>
    <row r="570" s="22" customFormat="1" ht="12.75" customHeight="1" x14ac:dyDescent="0.2"/>
    <row r="571" s="22" customFormat="1" ht="12.75" customHeight="1" x14ac:dyDescent="0.2"/>
    <row r="572" s="22" customFormat="1" ht="12.75" customHeight="1" x14ac:dyDescent="0.2"/>
    <row r="573" s="22" customFormat="1" ht="12.75" customHeight="1" x14ac:dyDescent="0.2"/>
    <row r="574" s="22" customFormat="1" ht="12.75" customHeight="1" x14ac:dyDescent="0.2"/>
    <row r="575" s="22" customFormat="1" ht="12.75" customHeight="1" x14ac:dyDescent="0.2"/>
    <row r="576" s="22" customFormat="1" ht="12.75" customHeight="1" x14ac:dyDescent="0.2"/>
    <row r="577" s="22" customFormat="1" ht="12.75" customHeight="1" x14ac:dyDescent="0.2"/>
    <row r="578" s="22" customFormat="1" ht="12.75" customHeight="1" x14ac:dyDescent="0.2"/>
    <row r="579" s="22" customFormat="1" ht="12.75" customHeight="1" x14ac:dyDescent="0.2"/>
    <row r="580" s="22" customFormat="1" ht="12.75" customHeight="1" x14ac:dyDescent="0.2"/>
    <row r="581" s="22" customFormat="1" ht="12.75" customHeight="1" x14ac:dyDescent="0.2"/>
    <row r="582" s="22" customFormat="1" ht="12.75" customHeight="1" x14ac:dyDescent="0.2"/>
    <row r="583" s="22" customFormat="1" ht="12.75" customHeight="1" x14ac:dyDescent="0.2"/>
    <row r="584" s="22" customFormat="1" ht="12.75" customHeight="1" x14ac:dyDescent="0.2"/>
    <row r="585" s="22" customFormat="1" ht="12.75" customHeight="1" x14ac:dyDescent="0.2"/>
    <row r="586" s="22" customFormat="1" ht="12.75" customHeight="1" x14ac:dyDescent="0.2"/>
    <row r="587" s="22" customFormat="1" ht="12.75" customHeight="1" x14ac:dyDescent="0.2"/>
    <row r="588" s="22" customFormat="1" ht="12.75" customHeight="1" x14ac:dyDescent="0.2"/>
    <row r="589" s="22" customFormat="1" ht="12.75" customHeight="1" x14ac:dyDescent="0.2"/>
    <row r="590" s="22" customFormat="1" ht="12.75" customHeight="1" x14ac:dyDescent="0.2"/>
    <row r="591" s="22" customFormat="1" ht="12.75" customHeight="1" x14ac:dyDescent="0.2"/>
    <row r="592" s="22" customFormat="1" ht="12.75" customHeight="1" x14ac:dyDescent="0.2"/>
    <row r="593" s="22" customFormat="1" ht="12.75" customHeight="1" x14ac:dyDescent="0.2"/>
    <row r="594" s="22" customFormat="1" ht="12.75" customHeight="1" x14ac:dyDescent="0.2"/>
    <row r="595" s="22" customFormat="1" ht="12.75" customHeight="1" x14ac:dyDescent="0.2"/>
    <row r="596" s="22" customFormat="1" ht="12.75" customHeight="1" x14ac:dyDescent="0.2"/>
    <row r="597" s="22" customFormat="1" ht="12.75" customHeight="1" x14ac:dyDescent="0.2"/>
    <row r="598" s="22" customFormat="1" ht="12.75" customHeight="1" x14ac:dyDescent="0.2"/>
    <row r="599" s="22" customFormat="1" ht="12.75" customHeight="1" x14ac:dyDescent="0.2"/>
    <row r="600" s="22" customFormat="1" ht="12.75" customHeight="1" x14ac:dyDescent="0.2"/>
    <row r="601" s="22" customFormat="1" ht="12.75" customHeight="1" x14ac:dyDescent="0.2"/>
    <row r="602" s="22" customFormat="1" ht="12.75" customHeight="1" x14ac:dyDescent="0.2"/>
    <row r="603" s="22" customFormat="1" ht="12.75" customHeight="1" x14ac:dyDescent="0.2"/>
    <row r="604" s="22" customFormat="1" ht="12.75" customHeight="1" x14ac:dyDescent="0.2"/>
    <row r="605" s="22" customFormat="1" ht="12.75" customHeight="1" x14ac:dyDescent="0.2"/>
    <row r="606" s="22" customFormat="1" ht="12.75" customHeight="1" x14ac:dyDescent="0.2"/>
    <row r="607" s="22" customFormat="1" ht="12.75" customHeight="1" x14ac:dyDescent="0.2"/>
    <row r="608" s="22" customFormat="1" ht="12.75" customHeight="1" x14ac:dyDescent="0.2"/>
    <row r="609" s="22" customFormat="1" ht="12.75" customHeight="1" x14ac:dyDescent="0.2"/>
    <row r="610" s="22" customFormat="1" ht="12.75" customHeight="1" x14ac:dyDescent="0.2"/>
    <row r="611" s="22" customFormat="1" ht="12.75" customHeight="1" x14ac:dyDescent="0.2"/>
    <row r="612" s="22" customFormat="1" ht="12.75" customHeight="1" x14ac:dyDescent="0.2"/>
    <row r="613" s="22" customFormat="1" ht="12.75" customHeight="1" x14ac:dyDescent="0.2"/>
    <row r="614" s="22" customFormat="1" ht="12.75" customHeight="1" x14ac:dyDescent="0.2"/>
    <row r="615" s="22" customFormat="1" ht="12.75" customHeight="1" x14ac:dyDescent="0.2"/>
    <row r="616" s="22" customFormat="1" ht="12.75" customHeight="1" x14ac:dyDescent="0.2"/>
    <row r="617" s="22" customFormat="1" ht="12.75" customHeight="1" x14ac:dyDescent="0.2"/>
    <row r="618" s="22" customFormat="1" ht="12.75" customHeight="1" x14ac:dyDescent="0.2"/>
    <row r="619" s="22" customFormat="1" ht="12.75" customHeight="1" x14ac:dyDescent="0.2"/>
    <row r="620" s="22" customFormat="1" ht="12.75" customHeight="1" x14ac:dyDescent="0.2"/>
    <row r="621" s="22" customFormat="1" ht="12.75" customHeight="1" x14ac:dyDescent="0.2"/>
    <row r="622" s="22" customFormat="1" ht="12.75" customHeight="1" x14ac:dyDescent="0.2"/>
    <row r="623" s="22" customFormat="1" ht="12.75" customHeight="1" x14ac:dyDescent="0.2"/>
    <row r="624" s="22" customFormat="1" ht="12.75" customHeight="1" x14ac:dyDescent="0.2"/>
    <row r="625" s="22" customFormat="1" ht="12.75" customHeight="1" x14ac:dyDescent="0.2"/>
    <row r="626" s="22" customFormat="1" ht="12.75" customHeight="1" x14ac:dyDescent="0.2"/>
    <row r="627" s="22" customFormat="1" ht="12.75" customHeight="1" x14ac:dyDescent="0.2"/>
    <row r="628" s="22" customFormat="1" ht="12.75" customHeight="1" x14ac:dyDescent="0.2"/>
    <row r="629" s="22" customFormat="1" ht="12.75" customHeight="1" x14ac:dyDescent="0.2"/>
    <row r="630" s="22" customFormat="1" ht="12.75" customHeight="1" x14ac:dyDescent="0.2"/>
    <row r="631" s="22" customFormat="1" ht="12.75" customHeight="1" x14ac:dyDescent="0.2"/>
    <row r="632" s="22" customFormat="1" ht="12.75" customHeight="1" x14ac:dyDescent="0.2"/>
    <row r="633" s="22" customFormat="1" ht="12.75" customHeight="1" x14ac:dyDescent="0.2"/>
    <row r="634" s="22" customFormat="1" ht="12.75" customHeight="1" x14ac:dyDescent="0.2"/>
    <row r="635" s="22" customFormat="1" ht="12.75" customHeight="1" x14ac:dyDescent="0.2"/>
    <row r="636" s="22" customFormat="1" ht="12.75" customHeight="1" x14ac:dyDescent="0.2"/>
    <row r="637" s="22" customFormat="1" ht="12.75" customHeight="1" x14ac:dyDescent="0.2"/>
    <row r="638" s="22" customFormat="1" ht="12.75" customHeight="1" x14ac:dyDescent="0.2"/>
    <row r="639" s="22" customFormat="1" ht="12.75" customHeight="1" x14ac:dyDescent="0.2"/>
    <row r="640" s="22" customFormat="1" ht="12.75" customHeight="1" x14ac:dyDescent="0.2"/>
    <row r="641" s="22" customFormat="1" ht="12.75" customHeight="1" x14ac:dyDescent="0.2"/>
    <row r="642" s="22" customFormat="1" ht="12.75" customHeight="1" x14ac:dyDescent="0.2"/>
    <row r="643" s="22" customFormat="1" ht="12.75" customHeight="1" x14ac:dyDescent="0.2"/>
    <row r="644" s="22" customFormat="1" ht="12.75" customHeight="1" x14ac:dyDescent="0.2"/>
    <row r="645" s="22" customFormat="1" ht="12.75" customHeight="1" x14ac:dyDescent="0.2"/>
    <row r="646" s="22" customFormat="1" ht="12.75" customHeight="1" x14ac:dyDescent="0.2"/>
    <row r="647" s="22" customFormat="1" ht="12.75" customHeight="1" x14ac:dyDescent="0.2"/>
    <row r="648" s="22" customFormat="1" ht="12.75" customHeight="1" x14ac:dyDescent="0.2"/>
    <row r="649" s="22" customFormat="1" ht="12.75" customHeight="1" x14ac:dyDescent="0.2"/>
    <row r="650" s="22" customFormat="1" ht="12.75" customHeight="1" x14ac:dyDescent="0.2"/>
    <row r="651" s="22" customFormat="1" ht="12.75" customHeight="1" x14ac:dyDescent="0.2"/>
    <row r="652" s="22" customFormat="1" ht="12.75" customHeight="1" x14ac:dyDescent="0.2"/>
    <row r="653" s="22" customFormat="1" ht="12.75" customHeight="1" x14ac:dyDescent="0.2"/>
    <row r="654" s="22" customFormat="1" ht="12.75" customHeight="1" x14ac:dyDescent="0.2"/>
    <row r="655" s="22" customFormat="1" ht="12.75" customHeight="1" x14ac:dyDescent="0.2"/>
    <row r="656" s="22" customFormat="1" ht="12.75" customHeight="1" x14ac:dyDescent="0.2"/>
    <row r="657" s="22" customFormat="1" ht="12.75" customHeight="1" x14ac:dyDescent="0.2"/>
    <row r="658" s="22" customFormat="1" ht="12.75" customHeight="1" x14ac:dyDescent="0.2"/>
    <row r="659" s="22" customFormat="1" ht="12.75" customHeight="1" x14ac:dyDescent="0.2"/>
    <row r="660" s="22" customFormat="1" ht="12.75" customHeight="1" x14ac:dyDescent="0.2"/>
    <row r="661" s="22" customFormat="1" ht="12.75" customHeight="1" x14ac:dyDescent="0.2"/>
    <row r="662" s="22" customFormat="1" ht="12.75" customHeight="1" x14ac:dyDescent="0.2"/>
    <row r="663" s="22" customFormat="1" ht="12.75" customHeight="1" x14ac:dyDescent="0.2"/>
    <row r="664" s="22" customFormat="1" ht="12.75" customHeight="1" x14ac:dyDescent="0.2"/>
    <row r="665" s="22" customFormat="1" ht="12.75" customHeight="1" x14ac:dyDescent="0.2"/>
    <row r="666" s="22" customFormat="1" ht="12.75" customHeight="1" x14ac:dyDescent="0.2"/>
    <row r="667" s="22" customFormat="1" ht="12.75" customHeight="1" x14ac:dyDescent="0.2"/>
    <row r="668" s="22" customFormat="1" ht="12.75" customHeight="1" x14ac:dyDescent="0.2"/>
    <row r="669" s="22" customFormat="1" ht="12.75" customHeight="1" x14ac:dyDescent="0.2"/>
    <row r="670" s="22" customFormat="1" ht="12.75" customHeight="1" x14ac:dyDescent="0.2"/>
    <row r="671" s="22" customFormat="1" ht="12.75" customHeight="1" x14ac:dyDescent="0.2"/>
    <row r="672" s="22" customFormat="1" ht="12.75" customHeight="1" x14ac:dyDescent="0.2"/>
    <row r="673" s="22" customFormat="1" ht="12.75" customHeight="1" x14ac:dyDescent="0.2"/>
    <row r="674" s="22" customFormat="1" ht="12.75" customHeight="1" x14ac:dyDescent="0.2"/>
    <row r="675" s="22" customFormat="1" ht="12.75" customHeight="1" x14ac:dyDescent="0.2"/>
    <row r="676" s="22" customFormat="1" ht="12.75" customHeight="1" x14ac:dyDescent="0.2"/>
    <row r="677" s="22" customFormat="1" ht="12.75" customHeight="1" x14ac:dyDescent="0.2"/>
    <row r="678" s="22" customFormat="1" ht="12.75" customHeight="1" x14ac:dyDescent="0.2"/>
    <row r="679" s="22" customFormat="1" ht="12.75" customHeight="1" x14ac:dyDescent="0.2"/>
    <row r="680" s="22" customFormat="1" ht="12.75" customHeight="1" x14ac:dyDescent="0.2"/>
    <row r="681" s="22" customFormat="1" ht="12.75" customHeight="1" x14ac:dyDescent="0.2"/>
    <row r="682" s="22" customFormat="1" ht="12.75" customHeight="1" x14ac:dyDescent="0.2"/>
    <row r="683" s="22" customFormat="1" ht="12.75" customHeight="1" x14ac:dyDescent="0.2"/>
    <row r="684" s="22" customFormat="1" ht="12.75" customHeight="1" x14ac:dyDescent="0.2"/>
    <row r="685" s="22" customFormat="1" ht="12.75" customHeight="1" x14ac:dyDescent="0.2"/>
    <row r="686" s="22" customFormat="1" ht="12.75" customHeight="1" x14ac:dyDescent="0.2"/>
    <row r="687" s="22" customFormat="1" ht="12.75" customHeight="1" x14ac:dyDescent="0.2"/>
    <row r="688" s="22" customFormat="1" ht="12.75" customHeight="1" x14ac:dyDescent="0.2"/>
    <row r="689" s="22" customFormat="1" ht="12.75" customHeight="1" x14ac:dyDescent="0.2"/>
    <row r="690" s="22" customFormat="1" ht="12.75" customHeight="1" x14ac:dyDescent="0.2"/>
    <row r="691" s="22" customFormat="1" ht="12.75" customHeight="1" x14ac:dyDescent="0.2"/>
    <row r="692" s="22" customFormat="1" ht="12.75" customHeight="1" x14ac:dyDescent="0.2"/>
    <row r="693" s="22" customFormat="1" ht="12.75" customHeight="1" x14ac:dyDescent="0.2"/>
    <row r="694" s="22" customFormat="1" ht="12.75" customHeight="1" x14ac:dyDescent="0.2"/>
    <row r="695" s="22" customFormat="1" ht="12.75" customHeight="1" x14ac:dyDescent="0.2"/>
    <row r="696" s="22" customFormat="1" ht="12.75" customHeight="1" x14ac:dyDescent="0.2"/>
    <row r="697" s="22" customFormat="1" ht="12.75" customHeight="1" x14ac:dyDescent="0.2"/>
    <row r="698" s="22" customFormat="1" ht="12.75" customHeight="1" x14ac:dyDescent="0.2"/>
    <row r="699" s="22" customFormat="1" ht="12.75" customHeight="1" x14ac:dyDescent="0.2"/>
    <row r="700" s="22" customFormat="1" ht="12.75" customHeight="1" x14ac:dyDescent="0.2"/>
    <row r="701" s="22" customFormat="1" ht="12.75" customHeight="1" x14ac:dyDescent="0.2"/>
    <row r="702" s="22" customFormat="1" ht="12.75" customHeight="1" x14ac:dyDescent="0.2"/>
    <row r="703" s="22" customFormat="1" ht="12.75" customHeight="1" x14ac:dyDescent="0.2"/>
    <row r="704" s="22" customFormat="1" ht="12.75" customHeight="1" x14ac:dyDescent="0.2"/>
    <row r="705" s="22" customFormat="1" ht="12.75" customHeight="1" x14ac:dyDescent="0.2"/>
    <row r="706" s="22" customFormat="1" ht="12.75" customHeight="1" x14ac:dyDescent="0.2"/>
    <row r="707" s="22" customFormat="1" ht="12.75" customHeight="1" x14ac:dyDescent="0.2"/>
    <row r="708" s="22" customFormat="1" ht="12.75" customHeight="1" x14ac:dyDescent="0.2"/>
    <row r="709" s="22" customFormat="1" ht="12.75" customHeight="1" x14ac:dyDescent="0.2"/>
    <row r="710" s="22" customFormat="1" ht="12.75" customHeight="1" x14ac:dyDescent="0.2"/>
    <row r="711" s="22" customFormat="1" ht="12.75" customHeight="1" x14ac:dyDescent="0.2"/>
    <row r="712" s="22" customFormat="1" ht="12.75" customHeight="1" x14ac:dyDescent="0.2"/>
    <row r="713" s="22" customFormat="1" ht="12.75" customHeight="1" x14ac:dyDescent="0.2"/>
    <row r="714" s="22" customFormat="1" ht="12.75" customHeight="1" x14ac:dyDescent="0.2"/>
    <row r="715" s="22" customFormat="1" ht="12.75" customHeight="1" x14ac:dyDescent="0.2"/>
    <row r="716" s="22" customFormat="1" ht="12.75" customHeight="1" x14ac:dyDescent="0.2"/>
    <row r="717" s="22" customFormat="1" ht="12.75" customHeight="1" x14ac:dyDescent="0.2"/>
    <row r="718" s="22" customFormat="1" ht="12.75" customHeight="1" x14ac:dyDescent="0.2"/>
    <row r="719" s="22" customFormat="1" ht="12.75" customHeight="1" x14ac:dyDescent="0.2"/>
    <row r="720" s="22" customFormat="1" ht="12.75" customHeight="1" x14ac:dyDescent="0.2"/>
    <row r="721" s="22" customFormat="1" ht="12.75" customHeight="1" x14ac:dyDescent="0.2"/>
    <row r="722" s="22" customFormat="1" ht="12.75" customHeight="1" x14ac:dyDescent="0.2"/>
    <row r="723" s="22" customFormat="1" ht="12.75" customHeight="1" x14ac:dyDescent="0.2"/>
    <row r="724" s="22" customFormat="1" ht="12.75" customHeight="1" x14ac:dyDescent="0.2"/>
    <row r="725" s="22" customFormat="1" ht="12.75" customHeight="1" x14ac:dyDescent="0.2"/>
    <row r="726" s="22" customFormat="1" ht="12.75" customHeight="1" x14ac:dyDescent="0.2"/>
    <row r="727" s="22" customFormat="1" ht="12.75" customHeight="1" x14ac:dyDescent="0.2"/>
    <row r="728" s="22" customFormat="1" ht="12.75" customHeight="1" x14ac:dyDescent="0.2"/>
    <row r="729" s="22" customFormat="1" ht="12.75" customHeight="1" x14ac:dyDescent="0.2"/>
    <row r="730" s="22" customFormat="1" ht="12.75" customHeight="1" x14ac:dyDescent="0.2"/>
    <row r="731" s="22" customFormat="1" ht="12.75" customHeight="1" x14ac:dyDescent="0.2"/>
    <row r="732" s="22" customFormat="1" ht="12.75" customHeight="1" x14ac:dyDescent="0.2"/>
    <row r="733" s="22" customFormat="1" ht="12.75" customHeight="1" x14ac:dyDescent="0.2"/>
    <row r="734" s="22" customFormat="1" ht="12.75" customHeight="1" x14ac:dyDescent="0.2"/>
    <row r="735" s="22" customFormat="1" ht="12.75" customHeight="1" x14ac:dyDescent="0.2"/>
    <row r="736" s="22" customFormat="1" ht="12.75" customHeight="1" x14ac:dyDescent="0.2"/>
    <row r="737" s="22" customFormat="1" ht="12.75" customHeight="1" x14ac:dyDescent="0.2"/>
    <row r="738" s="22" customFormat="1" ht="12.75" customHeight="1" x14ac:dyDescent="0.2"/>
    <row r="739" s="22" customFormat="1" ht="12.75" customHeight="1" x14ac:dyDescent="0.2"/>
    <row r="740" s="22" customFormat="1" ht="12.75" customHeight="1" x14ac:dyDescent="0.2"/>
    <row r="741" s="22" customFormat="1" ht="12.75" customHeight="1" x14ac:dyDescent="0.2"/>
    <row r="742" s="22" customFormat="1" ht="12.75" customHeight="1" x14ac:dyDescent="0.2"/>
    <row r="743" s="22" customFormat="1" ht="12.75" customHeight="1" x14ac:dyDescent="0.2"/>
    <row r="744" s="22" customFormat="1" ht="12.75" customHeight="1" x14ac:dyDescent="0.2"/>
    <row r="745" s="22" customFormat="1" ht="12.75" customHeight="1" x14ac:dyDescent="0.2"/>
    <row r="746" s="22" customFormat="1" ht="12.75" customHeight="1" x14ac:dyDescent="0.2"/>
    <row r="747" s="22" customFormat="1" ht="12.75" customHeight="1" x14ac:dyDescent="0.2"/>
    <row r="748" s="22" customFormat="1" ht="12.75" customHeight="1" x14ac:dyDescent="0.2"/>
    <row r="749" s="22" customFormat="1" ht="12.75" customHeight="1" x14ac:dyDescent="0.2"/>
    <row r="750" s="22" customFormat="1" ht="12.75" customHeight="1" x14ac:dyDescent="0.2"/>
    <row r="751" s="22" customFormat="1" ht="12.75" customHeight="1" x14ac:dyDescent="0.2"/>
    <row r="752" s="22" customFormat="1" ht="12.75" customHeight="1" x14ac:dyDescent="0.2"/>
    <row r="753" s="22" customFormat="1" ht="12.75" customHeight="1" x14ac:dyDescent="0.2"/>
    <row r="754" s="22" customFormat="1" ht="12.75" customHeight="1" x14ac:dyDescent="0.2"/>
    <row r="755" s="22" customFormat="1" ht="12.75" customHeight="1" x14ac:dyDescent="0.2"/>
    <row r="756" s="22" customFormat="1" ht="12.75" customHeight="1" x14ac:dyDescent="0.2"/>
    <row r="757" s="22" customFormat="1" ht="12.75" customHeight="1" x14ac:dyDescent="0.2"/>
    <row r="758" s="22" customFormat="1" ht="12.75" customHeight="1" x14ac:dyDescent="0.2"/>
    <row r="759" s="22" customFormat="1" ht="12.75" customHeight="1" x14ac:dyDescent="0.2"/>
    <row r="760" s="22" customFormat="1" ht="12.75" customHeight="1" x14ac:dyDescent="0.2"/>
    <row r="761" s="22" customFormat="1" ht="12.75" customHeight="1" x14ac:dyDescent="0.2"/>
    <row r="762" s="22" customFormat="1" ht="12.75" customHeight="1" x14ac:dyDescent="0.2"/>
    <row r="763" s="22" customFormat="1" ht="12.75" customHeight="1" x14ac:dyDescent="0.2"/>
    <row r="764" s="22" customFormat="1" ht="12.75" customHeight="1" x14ac:dyDescent="0.2"/>
    <row r="765" s="22" customFormat="1" ht="12.75" customHeight="1" x14ac:dyDescent="0.2"/>
    <row r="766" s="22" customFormat="1" ht="12.75" customHeight="1" x14ac:dyDescent="0.2"/>
    <row r="767" s="22" customFormat="1" ht="12.75" customHeight="1" x14ac:dyDescent="0.2"/>
    <row r="768" s="22" customFormat="1" ht="12.75" customHeight="1" x14ac:dyDescent="0.2"/>
    <row r="769" s="22" customFormat="1" ht="12.75" customHeight="1" x14ac:dyDescent="0.2"/>
    <row r="770" s="22" customFormat="1" ht="12.75" customHeight="1" x14ac:dyDescent="0.2"/>
    <row r="771" s="22" customFormat="1" ht="12.75" customHeight="1" x14ac:dyDescent="0.2"/>
    <row r="772" s="22" customFormat="1" ht="12.75" customHeight="1" x14ac:dyDescent="0.2"/>
    <row r="773" s="22" customFormat="1" ht="12.75" customHeight="1" x14ac:dyDescent="0.2"/>
    <row r="774" s="22" customFormat="1" ht="12.75" customHeight="1" x14ac:dyDescent="0.2"/>
    <row r="775" s="22" customFormat="1" ht="12.75" customHeight="1" x14ac:dyDescent="0.2"/>
    <row r="776" s="22" customFormat="1" ht="12.75" customHeight="1" x14ac:dyDescent="0.2"/>
    <row r="777" s="22" customFormat="1" ht="12.75" customHeight="1" x14ac:dyDescent="0.2"/>
    <row r="778" s="22" customFormat="1" ht="12.75" customHeight="1" x14ac:dyDescent="0.2"/>
    <row r="779" s="22" customFormat="1" ht="12.75" customHeight="1" x14ac:dyDescent="0.2"/>
    <row r="780" s="22" customFormat="1" ht="12.75" customHeight="1" x14ac:dyDescent="0.2"/>
    <row r="781" s="22" customFormat="1" ht="12.75" customHeight="1" x14ac:dyDescent="0.2"/>
    <row r="782" s="22" customFormat="1" ht="12.75" customHeight="1" x14ac:dyDescent="0.2"/>
    <row r="783" s="22" customFormat="1" ht="12.75" customHeight="1" x14ac:dyDescent="0.2"/>
    <row r="784" s="22" customFormat="1" ht="12.75" customHeight="1" x14ac:dyDescent="0.2"/>
    <row r="785" s="22" customFormat="1" ht="12.75" customHeight="1" x14ac:dyDescent="0.2"/>
    <row r="786" s="22" customFormat="1" ht="12.75" customHeight="1" x14ac:dyDescent="0.2"/>
    <row r="787" s="22" customFormat="1" ht="12.75" customHeight="1" x14ac:dyDescent="0.2"/>
    <row r="788" s="22" customFormat="1" ht="12.75" customHeight="1" x14ac:dyDescent="0.2"/>
    <row r="789" s="22" customFormat="1" ht="12.75" customHeight="1" x14ac:dyDescent="0.2"/>
    <row r="790" s="22" customFormat="1" ht="12.75" customHeight="1" x14ac:dyDescent="0.2"/>
    <row r="791" s="22" customFormat="1" ht="12.75" customHeight="1" x14ac:dyDescent="0.2"/>
    <row r="792" s="22" customFormat="1" ht="12.75" customHeight="1" x14ac:dyDescent="0.2"/>
    <row r="793" s="22" customFormat="1" ht="12.75" customHeight="1" x14ac:dyDescent="0.2"/>
    <row r="794" s="22" customFormat="1" ht="12.75" customHeight="1" x14ac:dyDescent="0.2"/>
    <row r="795" s="22" customFormat="1" ht="12.75" customHeight="1" x14ac:dyDescent="0.2"/>
    <row r="796" s="22" customFormat="1" ht="12.75" customHeight="1" x14ac:dyDescent="0.2"/>
    <row r="797" s="22" customFormat="1" ht="12.75" customHeight="1" x14ac:dyDescent="0.2"/>
    <row r="798" s="22" customFormat="1" ht="12.75" customHeight="1" x14ac:dyDescent="0.2"/>
    <row r="799" s="22" customFormat="1" ht="12.75" customHeight="1" x14ac:dyDescent="0.2"/>
    <row r="800" s="22" customFormat="1" ht="12.75" customHeight="1" x14ac:dyDescent="0.2"/>
    <row r="801" s="22" customFormat="1" ht="12.75" customHeight="1" x14ac:dyDescent="0.2"/>
    <row r="802" s="22" customFormat="1" ht="12.75" customHeight="1" x14ac:dyDescent="0.2"/>
    <row r="803" s="22" customFormat="1" ht="12.75" customHeight="1" x14ac:dyDescent="0.2"/>
    <row r="804" s="22" customFormat="1" ht="12.75" customHeight="1" x14ac:dyDescent="0.2"/>
    <row r="805" s="22" customFormat="1" ht="12.75" customHeight="1" x14ac:dyDescent="0.2"/>
    <row r="806" s="22" customFormat="1" ht="12.75" customHeight="1" x14ac:dyDescent="0.2"/>
    <row r="807" s="22" customFormat="1" ht="12.75" customHeight="1" x14ac:dyDescent="0.2"/>
    <row r="808" s="22" customFormat="1" ht="12.75" customHeight="1" x14ac:dyDescent="0.2"/>
    <row r="809" s="22" customFormat="1" ht="12.75" customHeight="1" x14ac:dyDescent="0.2"/>
    <row r="810" s="22" customFormat="1" ht="12.75" customHeight="1" x14ac:dyDescent="0.2"/>
    <row r="811" s="22" customFormat="1" ht="12.75" customHeight="1" x14ac:dyDescent="0.2"/>
    <row r="812" s="22" customFormat="1" ht="12.75" customHeight="1" x14ac:dyDescent="0.2"/>
    <row r="813" s="22" customFormat="1" ht="12.75" customHeight="1" x14ac:dyDescent="0.2"/>
    <row r="814" s="22" customFormat="1" ht="12.75" customHeight="1" x14ac:dyDescent="0.2"/>
    <row r="815" s="22" customFormat="1" ht="12.75" customHeight="1" x14ac:dyDescent="0.2"/>
    <row r="816" s="22" customFormat="1" ht="12.75" customHeight="1" x14ac:dyDescent="0.2"/>
    <row r="817" s="22" customFormat="1" ht="12.75" customHeight="1" x14ac:dyDescent="0.2"/>
    <row r="818" s="22" customFormat="1" ht="12.75" customHeight="1" x14ac:dyDescent="0.2"/>
    <row r="819" s="22" customFormat="1" ht="12.75" customHeight="1" x14ac:dyDescent="0.2"/>
    <row r="820" s="22" customFormat="1" ht="12.75" customHeight="1" x14ac:dyDescent="0.2"/>
    <row r="821" s="22" customFormat="1" ht="12.75" customHeight="1" x14ac:dyDescent="0.2"/>
    <row r="822" s="22" customFormat="1" ht="12.75" customHeight="1" x14ac:dyDescent="0.2"/>
    <row r="823" s="22" customFormat="1" ht="12.75" customHeight="1" x14ac:dyDescent="0.2"/>
    <row r="824" s="22" customFormat="1" ht="12.75" customHeight="1" x14ac:dyDescent="0.2"/>
    <row r="825" s="22" customFormat="1" ht="12.75" customHeight="1" x14ac:dyDescent="0.2"/>
    <row r="826" s="22" customFormat="1" ht="12.75" customHeight="1" x14ac:dyDescent="0.2"/>
    <row r="827" s="22" customFormat="1" ht="12.75" customHeight="1" x14ac:dyDescent="0.2"/>
    <row r="828" s="22" customFormat="1" ht="12.75" customHeight="1" x14ac:dyDescent="0.2"/>
    <row r="829" s="22" customFormat="1" ht="12.75" customHeight="1" x14ac:dyDescent="0.2"/>
    <row r="830" s="22" customFormat="1" ht="12.75" customHeight="1" x14ac:dyDescent="0.2"/>
    <row r="831" s="22" customFormat="1" ht="12.75" customHeight="1" x14ac:dyDescent="0.2"/>
    <row r="832" s="22" customFormat="1" ht="12.75" customHeight="1" x14ac:dyDescent="0.2"/>
    <row r="833" s="22" customFormat="1" ht="12.75" customHeight="1" x14ac:dyDescent="0.2"/>
    <row r="834" s="22" customFormat="1" ht="12.75" customHeight="1" x14ac:dyDescent="0.2"/>
    <row r="835" s="22" customFormat="1" ht="12.75" customHeight="1" x14ac:dyDescent="0.2"/>
    <row r="836" s="22" customFormat="1" ht="12.75" customHeight="1" x14ac:dyDescent="0.2"/>
    <row r="837" s="22" customFormat="1" ht="12.75" customHeight="1" x14ac:dyDescent="0.2"/>
    <row r="838" s="22" customFormat="1" ht="12.75" customHeight="1" x14ac:dyDescent="0.2"/>
    <row r="839" s="22" customFormat="1" ht="12.75" customHeight="1" x14ac:dyDescent="0.2"/>
    <row r="840" s="22" customFormat="1" ht="12.75" customHeight="1" x14ac:dyDescent="0.2"/>
    <row r="841" s="22" customFormat="1" ht="12.75" customHeight="1" x14ac:dyDescent="0.2"/>
    <row r="842" s="22" customFormat="1" ht="12.75" customHeight="1" x14ac:dyDescent="0.2"/>
    <row r="843" s="22" customFormat="1" ht="12.75" customHeight="1" x14ac:dyDescent="0.2"/>
    <row r="844" s="22" customFormat="1" ht="12.75" customHeight="1" x14ac:dyDescent="0.2"/>
    <row r="845" s="22" customFormat="1" ht="12.75" customHeight="1" x14ac:dyDescent="0.2"/>
    <row r="846" s="22" customFormat="1" ht="12.75" customHeight="1" x14ac:dyDescent="0.2"/>
    <row r="847" s="22" customFormat="1" ht="12.75" customHeight="1" x14ac:dyDescent="0.2"/>
    <row r="848" s="22" customFormat="1" ht="12.75" customHeight="1" x14ac:dyDescent="0.2"/>
    <row r="849" s="22" customFormat="1" ht="12.75" customHeight="1" x14ac:dyDescent="0.2"/>
    <row r="850" s="22" customFormat="1" ht="12.75" customHeight="1" x14ac:dyDescent="0.2"/>
    <row r="851" s="22" customFormat="1" ht="12.75" customHeight="1" x14ac:dyDescent="0.2"/>
    <row r="852" s="22" customFormat="1" ht="12.75" customHeight="1" x14ac:dyDescent="0.2"/>
    <row r="853" s="22" customFormat="1" ht="12.75" customHeight="1" x14ac:dyDescent="0.2"/>
    <row r="854" s="22" customFormat="1" ht="12.75" customHeight="1" x14ac:dyDescent="0.2"/>
    <row r="855" s="22" customFormat="1" ht="12.75" customHeight="1" x14ac:dyDescent="0.2"/>
    <row r="856" s="22" customFormat="1" ht="12.75" customHeight="1" x14ac:dyDescent="0.2"/>
    <row r="857" s="22" customFormat="1" ht="12.75" customHeight="1" x14ac:dyDescent="0.2"/>
    <row r="858" s="22" customFormat="1" ht="12.75" customHeight="1" x14ac:dyDescent="0.2"/>
    <row r="859" s="22" customFormat="1" ht="12.75" customHeight="1" x14ac:dyDescent="0.2"/>
    <row r="860" s="22" customFormat="1" ht="12.75" customHeight="1" x14ac:dyDescent="0.2"/>
    <row r="861" s="22" customFormat="1" ht="12.75" customHeight="1" x14ac:dyDescent="0.2"/>
    <row r="862" s="22" customFormat="1" ht="12.75" customHeight="1" x14ac:dyDescent="0.2"/>
    <row r="863" s="22" customFormat="1" ht="12.75" customHeight="1" x14ac:dyDescent="0.2"/>
    <row r="864" s="22" customFormat="1" ht="12.75" customHeight="1" x14ac:dyDescent="0.2"/>
    <row r="865" s="22" customFormat="1" ht="12.75" customHeight="1" x14ac:dyDescent="0.2"/>
    <row r="866" s="22" customFormat="1" ht="12.75" customHeight="1" x14ac:dyDescent="0.2"/>
    <row r="867" s="22" customFormat="1" ht="12.75" customHeight="1" x14ac:dyDescent="0.2"/>
    <row r="868" s="22" customFormat="1" ht="12.75" customHeight="1" x14ac:dyDescent="0.2"/>
    <row r="869" s="22" customFormat="1" ht="12.75" customHeight="1" x14ac:dyDescent="0.2"/>
    <row r="870" s="22" customFormat="1" ht="12.75" customHeight="1" x14ac:dyDescent="0.2"/>
    <row r="871" s="22" customFormat="1" ht="12.75" customHeight="1" x14ac:dyDescent="0.2"/>
    <row r="872" s="22" customFormat="1" ht="12.75" customHeight="1" x14ac:dyDescent="0.2"/>
    <row r="873" s="22" customFormat="1" ht="12.75" customHeight="1" x14ac:dyDescent="0.2"/>
    <row r="874" s="22" customFormat="1" ht="12.75" customHeight="1" x14ac:dyDescent="0.2"/>
    <row r="875" s="22" customFormat="1" ht="12.75" customHeight="1" x14ac:dyDescent="0.2"/>
    <row r="876" s="22" customFormat="1" ht="12.75" customHeight="1" x14ac:dyDescent="0.2"/>
    <row r="877" s="22" customFormat="1" ht="12.75" customHeight="1" x14ac:dyDescent="0.2"/>
    <row r="878" s="22" customFormat="1" ht="12.75" customHeight="1" x14ac:dyDescent="0.2"/>
    <row r="879" s="22" customFormat="1" ht="12.75" customHeight="1" x14ac:dyDescent="0.2"/>
    <row r="880" s="22" customFormat="1" ht="12.75" customHeight="1" x14ac:dyDescent="0.2"/>
    <row r="881" s="22" customFormat="1" ht="12.75" customHeight="1" x14ac:dyDescent="0.2"/>
    <row r="882" s="22" customFormat="1" ht="12.75" customHeight="1" x14ac:dyDescent="0.2"/>
    <row r="883" s="22" customFormat="1" ht="12.75" customHeight="1" x14ac:dyDescent="0.2"/>
    <row r="884" s="22" customFormat="1" ht="12.75" customHeight="1" x14ac:dyDescent="0.2"/>
    <row r="885" s="22" customFormat="1" ht="12.75" customHeight="1" x14ac:dyDescent="0.2"/>
    <row r="886" s="22" customFormat="1" ht="12.75" customHeight="1" x14ac:dyDescent="0.2"/>
    <row r="887" s="22" customFormat="1" ht="12.75" customHeight="1" x14ac:dyDescent="0.2"/>
    <row r="888" s="22" customFormat="1" ht="12.75" customHeight="1" x14ac:dyDescent="0.2"/>
    <row r="889" s="22" customFormat="1" ht="12.75" customHeight="1" x14ac:dyDescent="0.2"/>
    <row r="890" s="22" customFormat="1" ht="12.75" customHeight="1" x14ac:dyDescent="0.2"/>
    <row r="891" s="22" customFormat="1" ht="12.75" customHeight="1" x14ac:dyDescent="0.2"/>
    <row r="892" s="22" customFormat="1" ht="12.75" customHeight="1" x14ac:dyDescent="0.2"/>
    <row r="893" s="22" customFormat="1" ht="12.75" customHeight="1" x14ac:dyDescent="0.2"/>
    <row r="894" s="22" customFormat="1" ht="12.75" customHeight="1" x14ac:dyDescent="0.2"/>
    <row r="895" s="22" customFormat="1" ht="12.75" customHeight="1" x14ac:dyDescent="0.2"/>
    <row r="896" s="22" customFormat="1" ht="12.75" customHeight="1" x14ac:dyDescent="0.2"/>
    <row r="897" s="22" customFormat="1" ht="12.75" customHeight="1" x14ac:dyDescent="0.2"/>
    <row r="898" s="22" customFormat="1" ht="12.75" customHeight="1" x14ac:dyDescent="0.2"/>
    <row r="899" s="22" customFormat="1" ht="12.75" customHeight="1" x14ac:dyDescent="0.2"/>
    <row r="900" s="22" customFormat="1" ht="12.75" customHeight="1" x14ac:dyDescent="0.2"/>
    <row r="901" s="22" customFormat="1" ht="12.75" customHeight="1" x14ac:dyDescent="0.2"/>
    <row r="902" s="22" customFormat="1" ht="12.75" customHeight="1" x14ac:dyDescent="0.2"/>
    <row r="903" s="22" customFormat="1" ht="12.75" customHeight="1" x14ac:dyDescent="0.2"/>
    <row r="904" s="22" customFormat="1" ht="12.75" customHeight="1" x14ac:dyDescent="0.2"/>
    <row r="905" s="22" customFormat="1" ht="12.75" customHeight="1" x14ac:dyDescent="0.2"/>
    <row r="906" s="22" customFormat="1" ht="12.75" customHeight="1" x14ac:dyDescent="0.2"/>
    <row r="907" s="22" customFormat="1" ht="12.75" customHeight="1" x14ac:dyDescent="0.2"/>
    <row r="908" s="22" customFormat="1" ht="12.75" customHeight="1" x14ac:dyDescent="0.2"/>
    <row r="909" s="22" customFormat="1" ht="12.75" customHeight="1" x14ac:dyDescent="0.2"/>
    <row r="910" s="22" customFormat="1" ht="12.75" customHeight="1" x14ac:dyDescent="0.2"/>
    <row r="911" s="22" customFormat="1" ht="12.75" customHeight="1" x14ac:dyDescent="0.2"/>
    <row r="912" s="22" customFormat="1" ht="12.75" customHeight="1" x14ac:dyDescent="0.2"/>
    <row r="913" s="22" customFormat="1" ht="12.75" customHeight="1" x14ac:dyDescent="0.2"/>
    <row r="914" s="22" customFormat="1" ht="12.75" customHeight="1" x14ac:dyDescent="0.2"/>
    <row r="915" s="22" customFormat="1" ht="12.75" customHeight="1" x14ac:dyDescent="0.2"/>
    <row r="916" s="22" customFormat="1" ht="12.75" customHeight="1" x14ac:dyDescent="0.2"/>
    <row r="917" s="22" customFormat="1" ht="12.75" customHeight="1" x14ac:dyDescent="0.2"/>
    <row r="918" s="22" customFormat="1" ht="12.75" customHeight="1" x14ac:dyDescent="0.2"/>
    <row r="919" s="22" customFormat="1" ht="12.75" customHeight="1" x14ac:dyDescent="0.2"/>
    <row r="920" s="22" customFormat="1" ht="12.75" customHeight="1" x14ac:dyDescent="0.2"/>
    <row r="921" s="22" customFormat="1" ht="12.75" customHeight="1" x14ac:dyDescent="0.2"/>
    <row r="922" s="22" customFormat="1" ht="12.75" customHeight="1" x14ac:dyDescent="0.2"/>
    <row r="923" s="22" customFormat="1" ht="12.75" customHeight="1" x14ac:dyDescent="0.2"/>
    <row r="924" s="22" customFormat="1" ht="12.75" customHeight="1" x14ac:dyDescent="0.2"/>
    <row r="925" s="22" customFormat="1" ht="12.75" customHeight="1" x14ac:dyDescent="0.2"/>
    <row r="926" s="22" customFormat="1" ht="12.75" customHeight="1" x14ac:dyDescent="0.2"/>
    <row r="927" s="22" customFormat="1" ht="12.75" customHeight="1" x14ac:dyDescent="0.2"/>
    <row r="928" s="22" customFormat="1" ht="12.75" customHeight="1" x14ac:dyDescent="0.2"/>
    <row r="929" s="22" customFormat="1" ht="12.75" customHeight="1" x14ac:dyDescent="0.2"/>
    <row r="930" s="22" customFormat="1" ht="12.75" customHeight="1" x14ac:dyDescent="0.2"/>
    <row r="931" s="22" customFormat="1" ht="12.75" customHeight="1" x14ac:dyDescent="0.2"/>
    <row r="932" s="22" customFormat="1" ht="12.75" customHeight="1" x14ac:dyDescent="0.2"/>
    <row r="933" s="22" customFormat="1" ht="12.75" customHeight="1" x14ac:dyDescent="0.2"/>
    <row r="934" s="22" customFormat="1" ht="12.75" customHeight="1" x14ac:dyDescent="0.2"/>
    <row r="935" s="22" customFormat="1" ht="12.75" customHeight="1" x14ac:dyDescent="0.2"/>
    <row r="936" s="22" customFormat="1" ht="12.75" customHeight="1" x14ac:dyDescent="0.2"/>
    <row r="937" s="22" customFormat="1" ht="12.75" customHeight="1" x14ac:dyDescent="0.2"/>
    <row r="938" s="22" customFormat="1" ht="12.75" customHeight="1" x14ac:dyDescent="0.2"/>
    <row r="939" s="22" customFormat="1" ht="12.75" customHeight="1" x14ac:dyDescent="0.2"/>
    <row r="940" s="22" customFormat="1" ht="12.75" customHeight="1" x14ac:dyDescent="0.2"/>
    <row r="941" s="22" customFormat="1" ht="12.75" customHeight="1" x14ac:dyDescent="0.2"/>
    <row r="942" s="22" customFormat="1" ht="12.75" customHeight="1" x14ac:dyDescent="0.2"/>
    <row r="943" s="22" customFormat="1" ht="12.75" customHeight="1" x14ac:dyDescent="0.2"/>
    <row r="944" s="22" customFormat="1" ht="12.75" customHeight="1" x14ac:dyDescent="0.2"/>
    <row r="945" s="22" customFormat="1" ht="12.75" customHeight="1" x14ac:dyDescent="0.2"/>
    <row r="946" s="22" customFormat="1" ht="12.75" customHeight="1" x14ac:dyDescent="0.2"/>
    <row r="947" s="22" customFormat="1" ht="12.75" customHeight="1" x14ac:dyDescent="0.2"/>
    <row r="948" s="22" customFormat="1" ht="12.75" customHeight="1" x14ac:dyDescent="0.2"/>
    <row r="949" s="22" customFormat="1" ht="12.75" customHeight="1" x14ac:dyDescent="0.2"/>
    <row r="950" s="22" customFormat="1" ht="12.75" customHeight="1" x14ac:dyDescent="0.2"/>
    <row r="951" s="22" customFormat="1" ht="12.75" customHeight="1" x14ac:dyDescent="0.2"/>
    <row r="952" s="22" customFormat="1" ht="12.75" customHeight="1" x14ac:dyDescent="0.2"/>
    <row r="953" s="22" customFormat="1" ht="12.75" customHeight="1" x14ac:dyDescent="0.2"/>
    <row r="954" s="22" customFormat="1" ht="12.75" customHeight="1" x14ac:dyDescent="0.2"/>
    <row r="955" s="22" customFormat="1" ht="12.75" customHeight="1" x14ac:dyDescent="0.2"/>
    <row r="956" s="22" customFormat="1" ht="12.75" customHeight="1" x14ac:dyDescent="0.2"/>
    <row r="957" s="22" customFormat="1" ht="12.75" customHeight="1" x14ac:dyDescent="0.2"/>
    <row r="958" s="22" customFormat="1" ht="12.75" customHeight="1" x14ac:dyDescent="0.2"/>
    <row r="959" s="22" customFormat="1" ht="12.75" customHeight="1" x14ac:dyDescent="0.2"/>
    <row r="960" s="22" customFormat="1" ht="12.75" customHeight="1" x14ac:dyDescent="0.2"/>
    <row r="961" s="22" customFormat="1" ht="12.75" customHeight="1" x14ac:dyDescent="0.2"/>
    <row r="962" s="22" customFormat="1" ht="12.75" customHeight="1" x14ac:dyDescent="0.2"/>
    <row r="963" s="22" customFormat="1" ht="12.75" customHeight="1" x14ac:dyDescent="0.2"/>
    <row r="964" s="22" customFormat="1" ht="12.75" customHeight="1" x14ac:dyDescent="0.2"/>
    <row r="965" s="22" customFormat="1" ht="12.75" customHeight="1" x14ac:dyDescent="0.2"/>
    <row r="966" s="22" customFormat="1" ht="12.75" customHeight="1" x14ac:dyDescent="0.2"/>
    <row r="967" s="22" customFormat="1" ht="12.75" customHeight="1" x14ac:dyDescent="0.2"/>
    <row r="968" s="22" customFormat="1" ht="12.75" customHeight="1" x14ac:dyDescent="0.2"/>
    <row r="969" s="22" customFormat="1" ht="12.75" customHeight="1" x14ac:dyDescent="0.2"/>
    <row r="970" s="22" customFormat="1" ht="12.75" customHeight="1" x14ac:dyDescent="0.2"/>
    <row r="971" s="22" customFormat="1" ht="12.75" customHeight="1" x14ac:dyDescent="0.2"/>
    <row r="972" s="22" customFormat="1" ht="12.75" customHeight="1" x14ac:dyDescent="0.2"/>
    <row r="973" s="22" customFormat="1" ht="12.75" customHeight="1" x14ac:dyDescent="0.2"/>
    <row r="974" s="22" customFormat="1" ht="12.75" customHeight="1" x14ac:dyDescent="0.2"/>
    <row r="975" s="22" customFormat="1" ht="12.75" customHeight="1" x14ac:dyDescent="0.2"/>
    <row r="976" s="22" customFormat="1" ht="12.75" customHeight="1" x14ac:dyDescent="0.2"/>
    <row r="977" s="22" customFormat="1" ht="12.75" customHeight="1" x14ac:dyDescent="0.2"/>
    <row r="978" s="22" customFormat="1" ht="12.75" customHeight="1" x14ac:dyDescent="0.2"/>
    <row r="979" s="22" customFormat="1" ht="12.75" customHeight="1" x14ac:dyDescent="0.2"/>
    <row r="980" s="22" customFormat="1" ht="12.75" customHeight="1" x14ac:dyDescent="0.2"/>
    <row r="981" s="22" customFormat="1" ht="12.75" customHeight="1" x14ac:dyDescent="0.2"/>
    <row r="982" s="22" customFormat="1" ht="12.75" customHeight="1" x14ac:dyDescent="0.2"/>
    <row r="983" s="22" customFormat="1" ht="12.75" customHeight="1" x14ac:dyDescent="0.2"/>
    <row r="984" s="22" customFormat="1" ht="12.75" customHeight="1" x14ac:dyDescent="0.2"/>
    <row r="985" s="22" customFormat="1" ht="12.75" customHeight="1" x14ac:dyDescent="0.2"/>
    <row r="986" s="22" customFormat="1" ht="12.75" customHeight="1" x14ac:dyDescent="0.2"/>
    <row r="987" s="22" customFormat="1" ht="12.75" customHeight="1" x14ac:dyDescent="0.2"/>
    <row r="988" s="22" customFormat="1" ht="12.75" customHeight="1" x14ac:dyDescent="0.2"/>
    <row r="989" s="22" customFormat="1" ht="12.75" customHeight="1" x14ac:dyDescent="0.2"/>
    <row r="990" s="22" customFormat="1" ht="12.75" customHeight="1" x14ac:dyDescent="0.2"/>
    <row r="991" s="22" customFormat="1" ht="12.75" customHeight="1" x14ac:dyDescent="0.2"/>
    <row r="992" s="22" customFormat="1" ht="12.75" customHeight="1" x14ac:dyDescent="0.2"/>
    <row r="993" s="22" customFormat="1" ht="12.75" customHeight="1" x14ac:dyDescent="0.2"/>
    <row r="994" s="22" customFormat="1" ht="12.75" customHeight="1" x14ac:dyDescent="0.2"/>
    <row r="995" s="22" customFormat="1" ht="12.75" customHeight="1" x14ac:dyDescent="0.2"/>
    <row r="996" s="22" customFormat="1" ht="12.75" customHeight="1" x14ac:dyDescent="0.2"/>
    <row r="997" s="22" customFormat="1" ht="12.75" customHeight="1" x14ac:dyDescent="0.2"/>
    <row r="998" s="22" customFormat="1" ht="12.75" customHeight="1" x14ac:dyDescent="0.2"/>
    <row r="999" s="22" customFormat="1" ht="12.75" customHeight="1" x14ac:dyDescent="0.2"/>
    <row r="1000" s="22" customFormat="1" ht="12.75" customHeight="1" x14ac:dyDescent="0.2"/>
    <row r="1001" s="22" customFormat="1" ht="12.75" customHeight="1" x14ac:dyDescent="0.2"/>
    <row r="1002" s="22" customFormat="1" ht="12.75" customHeight="1" x14ac:dyDescent="0.2"/>
    <row r="1003" s="22" customFormat="1" ht="12.75" customHeight="1" x14ac:dyDescent="0.2"/>
    <row r="1004" s="22" customFormat="1" ht="12.75" customHeight="1" x14ac:dyDescent="0.2"/>
    <row r="1005" s="22" customFormat="1" ht="12.75" customHeight="1" x14ac:dyDescent="0.2"/>
    <row r="1006" s="22" customFormat="1" ht="12.75" customHeight="1" x14ac:dyDescent="0.2"/>
    <row r="1007" s="22" customFormat="1" ht="12.75" customHeight="1" x14ac:dyDescent="0.2"/>
    <row r="1008" s="22" customFormat="1" ht="12.75" customHeight="1" x14ac:dyDescent="0.2"/>
    <row r="1009" s="22" customFormat="1" ht="12.75" customHeight="1" x14ac:dyDescent="0.2"/>
    <row r="1010" s="22" customFormat="1" ht="12.75" customHeight="1" x14ac:dyDescent="0.2"/>
    <row r="1011" s="22" customFormat="1" ht="12.75" customHeight="1" x14ac:dyDescent="0.2"/>
    <row r="1012" s="22" customFormat="1" ht="12.75" customHeight="1" x14ac:dyDescent="0.2"/>
    <row r="1013" s="22" customFormat="1" ht="12.75" customHeight="1" x14ac:dyDescent="0.2"/>
    <row r="1014" s="22" customFormat="1" ht="12.75" customHeight="1" x14ac:dyDescent="0.2"/>
    <row r="1015" s="22" customFormat="1" ht="12.75" customHeight="1" x14ac:dyDescent="0.2"/>
    <row r="1016" s="22" customFormat="1" ht="12.75" customHeight="1" x14ac:dyDescent="0.2"/>
    <row r="1017" s="22" customFormat="1" ht="12.75" customHeight="1" x14ac:dyDescent="0.2"/>
    <row r="1018" s="22" customFormat="1" ht="12.75" customHeight="1" x14ac:dyDescent="0.2"/>
    <row r="1019" s="22" customFormat="1" ht="12.75" customHeight="1" x14ac:dyDescent="0.2"/>
    <row r="1020" s="22" customFormat="1" ht="12.75" customHeight="1" x14ac:dyDescent="0.2"/>
    <row r="1021" s="22" customFormat="1" ht="12.75" customHeight="1" x14ac:dyDescent="0.2"/>
    <row r="1022" s="22" customFormat="1" ht="12.75" customHeight="1" x14ac:dyDescent="0.2"/>
    <row r="1023" s="22" customFormat="1" ht="12.75" customHeight="1" x14ac:dyDescent="0.2"/>
    <row r="1024" s="22" customFormat="1" ht="12.75" customHeight="1" x14ac:dyDescent="0.2"/>
    <row r="1025" s="22" customFormat="1" ht="12.75" customHeight="1" x14ac:dyDescent="0.2"/>
    <row r="1026" s="22" customFormat="1" ht="12.75" customHeight="1" x14ac:dyDescent="0.2"/>
    <row r="1027" s="22" customFormat="1" ht="12.75" customHeight="1" x14ac:dyDescent="0.2"/>
    <row r="1028" s="22" customFormat="1" ht="12.75" customHeight="1" x14ac:dyDescent="0.2"/>
    <row r="1029" s="22" customFormat="1" ht="12.75" customHeight="1" x14ac:dyDescent="0.2"/>
    <row r="1030" s="22" customFormat="1" ht="12.75" customHeight="1" x14ac:dyDescent="0.2"/>
    <row r="1031" s="22" customFormat="1" ht="12.75" customHeight="1" x14ac:dyDescent="0.2"/>
    <row r="1032" s="22" customFormat="1" ht="12.75" customHeight="1" x14ac:dyDescent="0.2"/>
    <row r="1033" s="22" customFormat="1" ht="12.75" customHeight="1" x14ac:dyDescent="0.2"/>
    <row r="1034" s="22" customFormat="1" ht="12.75" customHeight="1" x14ac:dyDescent="0.2"/>
    <row r="1035" s="22" customFormat="1" ht="12.75" customHeight="1" x14ac:dyDescent="0.2"/>
    <row r="1036" s="22" customFormat="1" ht="12.75" customHeight="1" x14ac:dyDescent="0.2"/>
    <row r="1037" s="22" customFormat="1" ht="12.75" customHeight="1" x14ac:dyDescent="0.2"/>
    <row r="1038" s="22" customFormat="1" ht="12.75" customHeight="1" x14ac:dyDescent="0.2"/>
    <row r="1039" s="22" customFormat="1" ht="12.75" customHeight="1" x14ac:dyDescent="0.2"/>
    <row r="1040" s="22" customFormat="1" ht="12.75" customHeight="1" x14ac:dyDescent="0.2"/>
    <row r="1041" s="22" customFormat="1" ht="12.75" customHeight="1" x14ac:dyDescent="0.2"/>
    <row r="1042" s="22" customFormat="1" ht="12.75" customHeight="1" x14ac:dyDescent="0.2"/>
    <row r="1043" s="22" customFormat="1" ht="12.75" customHeight="1" x14ac:dyDescent="0.2"/>
    <row r="1044" s="22" customFormat="1" ht="12.75" customHeight="1" x14ac:dyDescent="0.2"/>
    <row r="1045" s="22" customFormat="1" ht="12.75" customHeight="1" x14ac:dyDescent="0.2"/>
    <row r="1046" s="22" customFormat="1" ht="12.75" customHeight="1" x14ac:dyDescent="0.2"/>
    <row r="1047" s="22" customFormat="1" ht="12.75" customHeight="1" x14ac:dyDescent="0.2"/>
    <row r="1048" s="22" customFormat="1" ht="12.75" customHeight="1" x14ac:dyDescent="0.2"/>
    <row r="1049" s="22" customFormat="1" ht="12.75" customHeight="1" x14ac:dyDescent="0.2"/>
    <row r="1050" s="22" customFormat="1" ht="12.75" customHeight="1" x14ac:dyDescent="0.2"/>
    <row r="1051" s="22" customFormat="1" ht="12.75" customHeight="1" x14ac:dyDescent="0.2"/>
    <row r="1052" s="22" customFormat="1" ht="12.75" customHeight="1" x14ac:dyDescent="0.2"/>
    <row r="1053" s="22" customFormat="1" ht="12.75" customHeight="1" x14ac:dyDescent="0.2"/>
    <row r="1054" s="22" customFormat="1" ht="12.75" customHeight="1" x14ac:dyDescent="0.2"/>
    <row r="1055" s="22" customFormat="1" ht="12.75" customHeight="1" x14ac:dyDescent="0.2"/>
    <row r="1056" s="22" customFormat="1" ht="12.75" customHeight="1" x14ac:dyDescent="0.2"/>
    <row r="1057" s="22" customFormat="1" ht="12.75" customHeight="1" x14ac:dyDescent="0.2"/>
    <row r="1058" s="22" customFormat="1" ht="12.75" customHeight="1" x14ac:dyDescent="0.2"/>
    <row r="1059" s="22" customFormat="1" ht="12.75" customHeight="1" x14ac:dyDescent="0.2"/>
    <row r="1060" s="22" customFormat="1" ht="12.75" customHeight="1" x14ac:dyDescent="0.2"/>
    <row r="1061" s="22" customFormat="1" ht="12.75" customHeight="1" x14ac:dyDescent="0.2"/>
    <row r="1062" s="22" customFormat="1" ht="12.75" customHeight="1" x14ac:dyDescent="0.2"/>
    <row r="1063" s="22" customFormat="1" ht="12.75" customHeight="1" x14ac:dyDescent="0.2"/>
    <row r="1064" s="22" customFormat="1" ht="12.75" customHeight="1" x14ac:dyDescent="0.2"/>
    <row r="1065" s="22" customFormat="1" ht="12.75" customHeight="1" x14ac:dyDescent="0.2"/>
    <row r="1066" s="22" customFormat="1" ht="12.75" customHeight="1" x14ac:dyDescent="0.2"/>
    <row r="1067" s="22" customFormat="1" ht="12.75" customHeight="1" x14ac:dyDescent="0.2"/>
    <row r="1068" s="22" customFormat="1" ht="12.75" customHeight="1" x14ac:dyDescent="0.2"/>
    <row r="1069" s="22" customFormat="1" ht="12.75" customHeight="1" x14ac:dyDescent="0.2"/>
    <row r="1070" s="22" customFormat="1" ht="12.75" customHeight="1" x14ac:dyDescent="0.2"/>
    <row r="1071" s="22" customFormat="1" ht="12.75" customHeight="1" x14ac:dyDescent="0.2"/>
    <row r="1072" s="22" customFormat="1" ht="12.75" customHeight="1" x14ac:dyDescent="0.2"/>
    <row r="1073" s="22" customFormat="1" ht="12.75" customHeight="1" x14ac:dyDescent="0.2"/>
    <row r="1074" s="22" customFormat="1" ht="12.75" customHeight="1" x14ac:dyDescent="0.2"/>
    <row r="1075" s="22" customFormat="1" ht="12.75" customHeight="1" x14ac:dyDescent="0.2"/>
    <row r="1076" s="22" customFormat="1" ht="12.75" customHeight="1" x14ac:dyDescent="0.2"/>
    <row r="1077" s="22" customFormat="1" ht="12.75" customHeight="1" x14ac:dyDescent="0.2"/>
    <row r="1078" s="22" customFormat="1" ht="12.75" customHeight="1" x14ac:dyDescent="0.2"/>
    <row r="1079" s="22" customFormat="1" ht="12.75" customHeight="1" x14ac:dyDescent="0.2"/>
    <row r="1080" s="22" customFormat="1" ht="12.75" customHeight="1" x14ac:dyDescent="0.2"/>
    <row r="1081" s="22" customFormat="1" ht="12.75" customHeight="1" x14ac:dyDescent="0.2"/>
    <row r="1082" s="22" customFormat="1" ht="12.75" customHeight="1" x14ac:dyDescent="0.2"/>
    <row r="1083" s="22" customFormat="1" ht="12.75" customHeight="1" x14ac:dyDescent="0.2"/>
    <row r="1084" s="22" customFormat="1" ht="12.75" customHeight="1" x14ac:dyDescent="0.2"/>
    <row r="1085" s="22" customFormat="1" ht="12.75" customHeight="1" x14ac:dyDescent="0.2"/>
    <row r="1086" s="22" customFormat="1" ht="12.75" customHeight="1" x14ac:dyDescent="0.2"/>
    <row r="1087" s="22" customFormat="1" ht="12.75" customHeight="1" x14ac:dyDescent="0.2"/>
    <row r="1088" s="22" customFormat="1" ht="12.75" customHeight="1" x14ac:dyDescent="0.2"/>
    <row r="1089" s="22" customFormat="1" ht="12.75" customHeight="1" x14ac:dyDescent="0.2"/>
    <row r="1090" s="22" customFormat="1" ht="12.75" customHeight="1" x14ac:dyDescent="0.2"/>
    <row r="1091" s="22" customFormat="1" ht="12.75" customHeight="1" x14ac:dyDescent="0.2"/>
    <row r="1092" s="22" customFormat="1" ht="12.75" customHeight="1" x14ac:dyDescent="0.2"/>
    <row r="1093" s="22" customFormat="1" ht="12.75" customHeight="1" x14ac:dyDescent="0.2"/>
    <row r="1094" s="22" customFormat="1" ht="12.75" customHeight="1" x14ac:dyDescent="0.2"/>
    <row r="1095" s="22" customFormat="1" ht="12.75" customHeight="1" x14ac:dyDescent="0.2"/>
    <row r="1096" s="22" customFormat="1" ht="12.75" customHeight="1" x14ac:dyDescent="0.2"/>
    <row r="1097" s="22" customFormat="1" ht="12.75" customHeight="1" x14ac:dyDescent="0.2"/>
    <row r="1098" s="22" customFormat="1" ht="12.75" customHeight="1" x14ac:dyDescent="0.2"/>
    <row r="1099" s="22" customFormat="1" ht="12.75" customHeight="1" x14ac:dyDescent="0.2"/>
    <row r="1100" s="22" customFormat="1" ht="12.75" customHeight="1" x14ac:dyDescent="0.2"/>
    <row r="1101" s="22" customFormat="1" ht="12.75" customHeight="1" x14ac:dyDescent="0.2"/>
    <row r="1102" s="22" customFormat="1" ht="12.75" customHeight="1" x14ac:dyDescent="0.2"/>
    <row r="1103" s="22" customFormat="1" ht="12.75" customHeight="1" x14ac:dyDescent="0.2"/>
    <row r="1104" s="22" customFormat="1" ht="12.75" customHeight="1" x14ac:dyDescent="0.2"/>
    <row r="1105" s="22" customFormat="1" ht="12.75" customHeight="1" x14ac:dyDescent="0.2"/>
    <row r="1106" s="22" customFormat="1" ht="12.75" customHeight="1" x14ac:dyDescent="0.2"/>
    <row r="1107" s="22" customFormat="1" ht="12.75" customHeight="1" x14ac:dyDescent="0.2"/>
    <row r="1108" s="22" customFormat="1" ht="12.75" customHeight="1" x14ac:dyDescent="0.2"/>
    <row r="1109" s="22" customFormat="1" ht="12.75" customHeight="1" x14ac:dyDescent="0.2"/>
    <row r="1110" s="22" customFormat="1" ht="12.75" customHeight="1" x14ac:dyDescent="0.2"/>
    <row r="1111" s="22" customFormat="1" ht="12.75" customHeight="1" x14ac:dyDescent="0.2"/>
    <row r="1112" s="22" customFormat="1" ht="12.75" customHeight="1" x14ac:dyDescent="0.2"/>
    <row r="1113" s="22" customFormat="1" ht="12.75" customHeight="1" x14ac:dyDescent="0.2"/>
    <row r="1114" s="22" customFormat="1" ht="12.75" customHeight="1" x14ac:dyDescent="0.2"/>
    <row r="1115" s="22" customFormat="1" ht="12.75" customHeight="1" x14ac:dyDescent="0.2"/>
    <row r="1116" s="22" customFormat="1" ht="12.75" customHeight="1" x14ac:dyDescent="0.2"/>
    <row r="1117" s="22" customFormat="1" ht="12.75" customHeight="1" x14ac:dyDescent="0.2"/>
    <row r="1118" s="22" customFormat="1" ht="12.75" customHeight="1" x14ac:dyDescent="0.2"/>
    <row r="1119" s="22" customFormat="1" ht="12.75" customHeight="1" x14ac:dyDescent="0.2"/>
    <row r="1120" s="22" customFormat="1" ht="12.75" customHeight="1" x14ac:dyDescent="0.2"/>
    <row r="1121" s="22" customFormat="1" ht="12.75" customHeight="1" x14ac:dyDescent="0.2"/>
    <row r="1122" s="22" customFormat="1" ht="12.75" customHeight="1" x14ac:dyDescent="0.2"/>
    <row r="1123" s="22" customFormat="1" ht="12.75" customHeight="1" x14ac:dyDescent="0.2"/>
    <row r="1124" s="22" customFormat="1" ht="12.75" customHeight="1" x14ac:dyDescent="0.2"/>
    <row r="1125" s="22" customFormat="1" ht="12.75" customHeight="1" x14ac:dyDescent="0.2"/>
    <row r="1126" s="22" customFormat="1" ht="12.75" customHeight="1" x14ac:dyDescent="0.2"/>
    <row r="1127" s="22" customFormat="1" ht="12.75" customHeight="1" x14ac:dyDescent="0.2"/>
    <row r="1128" s="22" customFormat="1" ht="12.75" customHeight="1" x14ac:dyDescent="0.2"/>
    <row r="1129" s="22" customFormat="1" ht="12.75" customHeight="1" x14ac:dyDescent="0.2"/>
    <row r="1130" s="22" customFormat="1" ht="12.75" customHeight="1" x14ac:dyDescent="0.2"/>
    <row r="1131" s="22" customFormat="1" ht="12.75" customHeight="1" x14ac:dyDescent="0.2"/>
    <row r="1132" s="22" customFormat="1" ht="12.75" customHeight="1" x14ac:dyDescent="0.2"/>
    <row r="1133" s="22" customFormat="1" ht="12.75" customHeight="1" x14ac:dyDescent="0.2"/>
    <row r="1134" s="22" customFormat="1" ht="12.75" customHeight="1" x14ac:dyDescent="0.2"/>
    <row r="1135" s="22" customFormat="1" ht="12.75" customHeight="1" x14ac:dyDescent="0.2"/>
    <row r="1136" s="22" customFormat="1" ht="12.75" customHeight="1" x14ac:dyDescent="0.2"/>
    <row r="1137" s="22" customFormat="1" ht="12.75" customHeight="1" x14ac:dyDescent="0.2"/>
    <row r="1138" s="22" customFormat="1" ht="12.75" customHeight="1" x14ac:dyDescent="0.2"/>
    <row r="1139" s="22" customFormat="1" ht="12.75" customHeight="1" x14ac:dyDescent="0.2"/>
    <row r="1140" s="22" customFormat="1" ht="12.75" customHeight="1" x14ac:dyDescent="0.2"/>
    <row r="1141" s="22" customFormat="1" ht="12.75" customHeight="1" x14ac:dyDescent="0.2"/>
    <row r="1142" s="22" customFormat="1" ht="12.75" customHeight="1" x14ac:dyDescent="0.2"/>
    <row r="1143" s="22" customFormat="1" ht="12.75" customHeight="1" x14ac:dyDescent="0.2"/>
    <row r="1144" s="22" customFormat="1" ht="12.75" customHeight="1" x14ac:dyDescent="0.2"/>
    <row r="1145" s="22" customFormat="1" ht="12.75" customHeight="1" x14ac:dyDescent="0.2"/>
    <row r="1146" s="22" customFormat="1" ht="12.75" customHeight="1" x14ac:dyDescent="0.2"/>
    <row r="1147" s="22" customFormat="1" ht="12.75" customHeight="1" x14ac:dyDescent="0.2"/>
    <row r="1148" s="22" customFormat="1" ht="12.75" customHeight="1" x14ac:dyDescent="0.2"/>
    <row r="1149" s="22" customFormat="1" ht="12.75" customHeight="1" x14ac:dyDescent="0.2"/>
    <row r="1150" s="22" customFormat="1" ht="12.75" customHeight="1" x14ac:dyDescent="0.2"/>
    <row r="1151" s="22" customFormat="1" ht="12.75" customHeight="1" x14ac:dyDescent="0.2"/>
    <row r="1152" s="22" customFormat="1" ht="12.75" customHeight="1" x14ac:dyDescent="0.2"/>
    <row r="1153" s="22" customFormat="1" ht="12.75" customHeight="1" x14ac:dyDescent="0.2"/>
    <row r="1154" s="22" customFormat="1" ht="12.75" customHeight="1" x14ac:dyDescent="0.2"/>
    <row r="1155" s="22" customFormat="1" ht="12.75" customHeight="1" x14ac:dyDescent="0.2"/>
    <row r="1156" s="22" customFormat="1" ht="12.75" customHeight="1" x14ac:dyDescent="0.2"/>
    <row r="1157" s="22" customFormat="1" ht="12.75" customHeight="1" x14ac:dyDescent="0.2"/>
    <row r="1158" s="22" customFormat="1" ht="12.75" customHeight="1" x14ac:dyDescent="0.2"/>
    <row r="1159" s="22" customFormat="1" ht="12.75" customHeight="1" x14ac:dyDescent="0.2"/>
    <row r="1160" s="22" customFormat="1" ht="12.75" customHeight="1" x14ac:dyDescent="0.2"/>
    <row r="1161" s="22" customFormat="1" ht="12.75" customHeight="1" x14ac:dyDescent="0.2"/>
    <row r="1162" s="22" customFormat="1" ht="12.75" customHeight="1" x14ac:dyDescent="0.2"/>
    <row r="1163" s="22" customFormat="1" ht="12.75" customHeight="1" x14ac:dyDescent="0.2"/>
    <row r="1164" s="22" customFormat="1" ht="12.75" customHeight="1" x14ac:dyDescent="0.2"/>
    <row r="1165" s="22" customFormat="1" ht="12.75" customHeight="1" x14ac:dyDescent="0.2"/>
    <row r="1166" s="22" customFormat="1" ht="12.75" customHeight="1" x14ac:dyDescent="0.2"/>
    <row r="1167" s="22" customFormat="1" ht="12.75" customHeight="1" x14ac:dyDescent="0.2"/>
    <row r="1168" s="22" customFormat="1" ht="12.75" customHeight="1" x14ac:dyDescent="0.2"/>
    <row r="1169" s="22" customFormat="1" ht="12.75" customHeight="1" x14ac:dyDescent="0.2"/>
    <row r="1170" s="22" customFormat="1" ht="12.75" customHeight="1" x14ac:dyDescent="0.2"/>
    <row r="1171" s="22" customFormat="1" ht="12.75" customHeight="1" x14ac:dyDescent="0.2"/>
    <row r="1172" s="22" customFormat="1" ht="12.75" customHeight="1" x14ac:dyDescent="0.2"/>
    <row r="1173" s="22" customFormat="1" ht="12.75" customHeight="1" x14ac:dyDescent="0.2"/>
    <row r="1174" s="22" customFormat="1" ht="12.75" customHeight="1" x14ac:dyDescent="0.2"/>
    <row r="1175" s="22" customFormat="1" ht="12.75" customHeight="1" x14ac:dyDescent="0.2"/>
    <row r="1176" s="22" customFormat="1" ht="12.75" customHeight="1" x14ac:dyDescent="0.2"/>
    <row r="1177" s="22" customFormat="1" ht="12.75" customHeight="1" x14ac:dyDescent="0.2"/>
    <row r="1178" s="22" customFormat="1" ht="12.75" customHeight="1" x14ac:dyDescent="0.2"/>
    <row r="1179" s="22" customFormat="1" ht="12.75" customHeight="1" x14ac:dyDescent="0.2"/>
    <row r="1180" s="22" customFormat="1" ht="12.75" customHeight="1" x14ac:dyDescent="0.2"/>
    <row r="1181" s="22" customFormat="1" ht="12.75" customHeight="1" x14ac:dyDescent="0.2"/>
    <row r="1182" s="22" customFormat="1" ht="12.75" customHeight="1" x14ac:dyDescent="0.2"/>
    <row r="1183" s="22" customFormat="1" ht="12.75" customHeight="1" x14ac:dyDescent="0.2"/>
    <row r="1184" s="22" customFormat="1" ht="12.75" customHeight="1" x14ac:dyDescent="0.2"/>
    <row r="1185" s="22" customFormat="1" ht="12.75" customHeight="1" x14ac:dyDescent="0.2"/>
    <row r="1186" s="22" customFormat="1" ht="12.75" customHeight="1" x14ac:dyDescent="0.2"/>
    <row r="1187" s="22" customFormat="1" ht="12.75" customHeight="1" x14ac:dyDescent="0.2"/>
    <row r="1188" s="22" customFormat="1" ht="12.75" customHeight="1" x14ac:dyDescent="0.2"/>
    <row r="1189" s="22" customFormat="1" ht="12.75" customHeight="1" x14ac:dyDescent="0.2"/>
    <row r="1190" s="22" customFormat="1" ht="12.75" customHeight="1" x14ac:dyDescent="0.2"/>
    <row r="1191" s="22" customFormat="1" ht="12.75" customHeight="1" x14ac:dyDescent="0.2"/>
    <row r="1192" s="22" customFormat="1" ht="12.75" customHeight="1" x14ac:dyDescent="0.2"/>
    <row r="1193" s="22" customFormat="1" ht="12.75" customHeight="1" x14ac:dyDescent="0.2"/>
    <row r="1194" s="22" customFormat="1" ht="12.75" customHeight="1" x14ac:dyDescent="0.2"/>
    <row r="1195" s="22" customFormat="1" ht="12.75" customHeight="1" x14ac:dyDescent="0.2"/>
    <row r="1196" s="22" customFormat="1" ht="12.75" customHeight="1" x14ac:dyDescent="0.2"/>
    <row r="1197" s="22" customFormat="1" ht="12.75" customHeight="1" x14ac:dyDescent="0.2"/>
    <row r="1198" s="22" customFormat="1" ht="12.75" customHeight="1" x14ac:dyDescent="0.2"/>
    <row r="1199" s="22" customFormat="1" ht="12.75" customHeight="1" x14ac:dyDescent="0.2"/>
    <row r="1200" s="22" customFormat="1" ht="12.75" customHeight="1" x14ac:dyDescent="0.2"/>
    <row r="1201" s="22" customFormat="1" ht="12.75" customHeight="1" x14ac:dyDescent="0.2"/>
    <row r="1202" s="22" customFormat="1" ht="12.75" customHeight="1" x14ac:dyDescent="0.2"/>
    <row r="1203" s="22" customFormat="1" ht="12.75" customHeight="1" x14ac:dyDescent="0.2"/>
    <row r="1204" s="22" customFormat="1" ht="12.75" customHeight="1" x14ac:dyDescent="0.2"/>
    <row r="1205" s="22" customFormat="1" ht="12.75" customHeight="1" x14ac:dyDescent="0.2"/>
    <row r="1206" s="22" customFormat="1" ht="12.75" customHeight="1" x14ac:dyDescent="0.2"/>
    <row r="1207" s="22" customFormat="1" ht="12.75" customHeight="1" x14ac:dyDescent="0.2"/>
    <row r="1208" s="22" customFormat="1" ht="12.75" customHeight="1" x14ac:dyDescent="0.2"/>
    <row r="1209" s="22" customFormat="1" ht="12.75" customHeight="1" x14ac:dyDescent="0.2"/>
    <row r="1210" s="22" customFormat="1" ht="12.75" customHeight="1" x14ac:dyDescent="0.2"/>
    <row r="1211" s="22" customFormat="1" ht="12.75" customHeight="1" x14ac:dyDescent="0.2"/>
    <row r="1212" s="22" customFormat="1" ht="12.75" customHeight="1" x14ac:dyDescent="0.2"/>
    <row r="1213" s="22" customFormat="1" ht="12.75" customHeight="1" x14ac:dyDescent="0.2"/>
    <row r="1214" s="22" customFormat="1" ht="12.75" customHeight="1" x14ac:dyDescent="0.2"/>
    <row r="1215" s="22" customFormat="1" ht="12.75" customHeight="1" x14ac:dyDescent="0.2"/>
    <row r="1216" s="22" customFormat="1" ht="12.75" customHeight="1" x14ac:dyDescent="0.2"/>
    <row r="1217" s="22" customFormat="1" ht="12.75" customHeight="1" x14ac:dyDescent="0.2"/>
    <row r="1218" s="22" customFormat="1" ht="12.75" customHeight="1" x14ac:dyDescent="0.2"/>
    <row r="1219" s="22" customFormat="1" ht="12.75" customHeight="1" x14ac:dyDescent="0.2"/>
    <row r="1220" s="22" customFormat="1" ht="12.75" customHeight="1" x14ac:dyDescent="0.2"/>
    <row r="1221" s="22" customFormat="1" ht="12.75" customHeight="1" x14ac:dyDescent="0.2"/>
    <row r="1222" s="22" customFormat="1" ht="12.75" customHeight="1" x14ac:dyDescent="0.2"/>
    <row r="1223" s="22" customFormat="1" ht="12.75" customHeight="1" x14ac:dyDescent="0.2"/>
    <row r="1224" s="22" customFormat="1" ht="12.75" customHeight="1" x14ac:dyDescent="0.2"/>
    <row r="1225" s="22" customFormat="1" ht="12.75" customHeight="1" x14ac:dyDescent="0.2"/>
    <row r="1226" s="22" customFormat="1" ht="12.75" customHeight="1" x14ac:dyDescent="0.2"/>
    <row r="1227" s="22" customFormat="1" ht="12.75" customHeight="1" x14ac:dyDescent="0.2"/>
    <row r="1228" s="22" customFormat="1" ht="12.75" customHeight="1" x14ac:dyDescent="0.2"/>
    <row r="1229" s="22" customFormat="1" ht="12.75" customHeight="1" x14ac:dyDescent="0.2"/>
    <row r="1230" s="22" customFormat="1" ht="12.75" customHeight="1" x14ac:dyDescent="0.2"/>
    <row r="1231" s="22" customFormat="1" ht="12.75" customHeight="1" x14ac:dyDescent="0.2"/>
    <row r="1232" s="22" customFormat="1" ht="12.75" customHeight="1" x14ac:dyDescent="0.2"/>
    <row r="1233" s="22" customFormat="1" ht="12.75" customHeight="1" x14ac:dyDescent="0.2"/>
    <row r="1234" s="22" customFormat="1" ht="12.75" customHeight="1" x14ac:dyDescent="0.2"/>
    <row r="1235" s="22" customFormat="1" ht="12.75" customHeight="1" x14ac:dyDescent="0.2"/>
    <row r="1236" s="22" customFormat="1" ht="12.75" customHeight="1" x14ac:dyDescent="0.2"/>
    <row r="1237" s="22" customFormat="1" ht="12.75" customHeight="1" x14ac:dyDescent="0.2"/>
    <row r="1238" s="22" customFormat="1" ht="12.75" customHeight="1" x14ac:dyDescent="0.2"/>
    <row r="1239" s="22" customFormat="1" ht="12.75" customHeight="1" x14ac:dyDescent="0.2"/>
    <row r="1240" s="22" customFormat="1" ht="12.75" customHeight="1" x14ac:dyDescent="0.2"/>
    <row r="1241" s="22" customFormat="1" ht="12.75" customHeight="1" x14ac:dyDescent="0.2"/>
    <row r="1242" s="22" customFormat="1" ht="12.75" customHeight="1" x14ac:dyDescent="0.2"/>
    <row r="1243" s="22" customFormat="1" ht="12.75" customHeight="1" x14ac:dyDescent="0.2"/>
    <row r="1244" s="22" customFormat="1" ht="12.75" customHeight="1" x14ac:dyDescent="0.2"/>
    <row r="1245" s="22" customFormat="1" ht="12.75" customHeight="1" x14ac:dyDescent="0.2"/>
    <row r="1246" s="22" customFormat="1" ht="12.75" customHeight="1" x14ac:dyDescent="0.2"/>
    <row r="1247" s="22" customFormat="1" ht="12.75" customHeight="1" x14ac:dyDescent="0.2"/>
    <row r="1248" s="22" customFormat="1" ht="12.75" customHeight="1" x14ac:dyDescent="0.2"/>
    <row r="1249" s="22" customFormat="1" ht="12.75" customHeight="1" x14ac:dyDescent="0.2"/>
    <row r="1250" s="22" customFormat="1" ht="12.75" customHeight="1" x14ac:dyDescent="0.2"/>
    <row r="1251" s="22" customFormat="1" ht="12.75" customHeight="1" x14ac:dyDescent="0.2"/>
    <row r="1252" s="22" customFormat="1" ht="12.75" customHeight="1" x14ac:dyDescent="0.2"/>
    <row r="1253" s="22" customFormat="1" ht="12.75" customHeight="1" x14ac:dyDescent="0.2"/>
    <row r="1254" s="22" customFormat="1" ht="12.75" customHeight="1" x14ac:dyDescent="0.2"/>
    <row r="1255" s="22" customFormat="1" ht="12.75" customHeight="1" x14ac:dyDescent="0.2"/>
    <row r="1256" s="22" customFormat="1" ht="12.75" customHeight="1" x14ac:dyDescent="0.2"/>
    <row r="1257" s="22" customFormat="1" ht="12.75" customHeight="1" x14ac:dyDescent="0.2"/>
    <row r="1258" s="22" customFormat="1" ht="12.75" customHeight="1" x14ac:dyDescent="0.2"/>
    <row r="1259" s="22" customFormat="1" ht="12.75" customHeight="1" x14ac:dyDescent="0.2"/>
    <row r="1260" s="22" customFormat="1" ht="12.75" customHeight="1" x14ac:dyDescent="0.2"/>
    <row r="1261" s="22" customFormat="1" ht="12.75" customHeight="1" x14ac:dyDescent="0.2"/>
    <row r="1262" s="22" customFormat="1" ht="12.75" customHeight="1" x14ac:dyDescent="0.2"/>
    <row r="1263" s="22" customFormat="1" ht="12.75" customHeight="1" x14ac:dyDescent="0.2"/>
    <row r="1264" s="22" customFormat="1" ht="12.75" customHeight="1" x14ac:dyDescent="0.2"/>
    <row r="1265" s="22" customFormat="1" ht="12.75" customHeight="1" x14ac:dyDescent="0.2"/>
    <row r="1266" s="22" customFormat="1" ht="12.75" customHeight="1" x14ac:dyDescent="0.2"/>
    <row r="1267" s="22" customFormat="1" ht="12.75" customHeight="1" x14ac:dyDescent="0.2"/>
    <row r="1268" s="22" customFormat="1" ht="12.75" customHeight="1" x14ac:dyDescent="0.2"/>
    <row r="1269" s="22" customFormat="1" ht="12.75" customHeight="1" x14ac:dyDescent="0.2"/>
    <row r="1270" s="22" customFormat="1" ht="12.75" customHeight="1" x14ac:dyDescent="0.2"/>
    <row r="1271" s="22" customFormat="1" ht="12.75" customHeight="1" x14ac:dyDescent="0.2"/>
    <row r="1272" s="22" customFormat="1" ht="12.75" customHeight="1" x14ac:dyDescent="0.2"/>
    <row r="1273" s="22" customFormat="1" ht="12.75" customHeight="1" x14ac:dyDescent="0.2"/>
    <row r="1274" s="22" customFormat="1" ht="12.75" customHeight="1" x14ac:dyDescent="0.2"/>
    <row r="1275" s="22" customFormat="1" ht="12.75" customHeight="1" x14ac:dyDescent="0.2"/>
    <row r="1276" s="22" customFormat="1" ht="12.75" customHeight="1" x14ac:dyDescent="0.2"/>
    <row r="1277" s="22" customFormat="1" ht="12.75" customHeight="1" x14ac:dyDescent="0.2"/>
    <row r="1278" s="22" customFormat="1" ht="12.75" customHeight="1" x14ac:dyDescent="0.2"/>
    <row r="1279" s="22" customFormat="1" ht="12.75" customHeight="1" x14ac:dyDescent="0.2"/>
    <row r="1280" s="22" customFormat="1" ht="12.75" customHeight="1" x14ac:dyDescent="0.2"/>
    <row r="1281" s="22" customFormat="1" ht="12.75" customHeight="1" x14ac:dyDescent="0.2"/>
    <row r="1282" s="22" customFormat="1" ht="12.75" customHeight="1" x14ac:dyDescent="0.2"/>
    <row r="1283" s="22" customFormat="1" ht="12.75" customHeight="1" x14ac:dyDescent="0.2"/>
    <row r="1284" s="22" customFormat="1" ht="12.75" customHeight="1" x14ac:dyDescent="0.2"/>
    <row r="1285" s="22" customFormat="1" ht="12.75" customHeight="1" x14ac:dyDescent="0.2"/>
    <row r="1286" s="22" customFormat="1" ht="12.75" customHeight="1" x14ac:dyDescent="0.2"/>
    <row r="1287" s="22" customFormat="1" ht="12.75" customHeight="1" x14ac:dyDescent="0.2"/>
    <row r="1288" s="22" customFormat="1" ht="12.75" customHeight="1" x14ac:dyDescent="0.2"/>
    <row r="1289" s="22" customFormat="1" ht="12.75" customHeight="1" x14ac:dyDescent="0.2"/>
    <row r="1290" s="22" customFormat="1" ht="12.75" customHeight="1" x14ac:dyDescent="0.2"/>
    <row r="1291" s="22" customFormat="1" ht="12.75" customHeight="1" x14ac:dyDescent="0.2"/>
    <row r="1292" s="22" customFormat="1" ht="12.75" customHeight="1" x14ac:dyDescent="0.2"/>
    <row r="1293" s="22" customFormat="1" ht="12.75" customHeight="1" x14ac:dyDescent="0.2"/>
    <row r="1294" s="22" customFormat="1" ht="12.75" customHeight="1" x14ac:dyDescent="0.2"/>
    <row r="1295" s="22" customFormat="1" ht="12.75" customHeight="1" x14ac:dyDescent="0.2"/>
    <row r="1296" s="22" customFormat="1" ht="12.75" customHeight="1" x14ac:dyDescent="0.2"/>
    <row r="1297" s="22" customFormat="1" ht="12.75" customHeight="1" x14ac:dyDescent="0.2"/>
    <row r="1298" s="22" customFormat="1" ht="12.75" customHeight="1" x14ac:dyDescent="0.2"/>
    <row r="1299" s="22" customFormat="1" ht="12.75" customHeight="1" x14ac:dyDescent="0.2"/>
    <row r="1300" s="22" customFormat="1" ht="12.75" customHeight="1" x14ac:dyDescent="0.2"/>
    <row r="1301" s="22" customFormat="1" ht="12.75" customHeight="1" x14ac:dyDescent="0.2"/>
    <row r="1302" s="22" customFormat="1" ht="12.75" customHeight="1" x14ac:dyDescent="0.2"/>
    <row r="1303" s="22" customFormat="1" ht="12.75" customHeight="1" x14ac:dyDescent="0.2"/>
    <row r="1304" s="22" customFormat="1" ht="12.75" customHeight="1" x14ac:dyDescent="0.2"/>
    <row r="1305" s="22" customFormat="1" ht="12.75" customHeight="1" x14ac:dyDescent="0.2"/>
    <row r="1306" s="22" customFormat="1" ht="12.75" customHeight="1" x14ac:dyDescent="0.2"/>
    <row r="1307" s="22" customFormat="1" ht="12.75" customHeight="1" x14ac:dyDescent="0.2"/>
    <row r="1308" s="22" customFormat="1" ht="12.75" customHeight="1" x14ac:dyDescent="0.2"/>
    <row r="1309" s="22" customFormat="1" ht="12.75" customHeight="1" x14ac:dyDescent="0.2"/>
    <row r="1310" s="22" customFormat="1" ht="12.75" customHeight="1" x14ac:dyDescent="0.2"/>
    <row r="1311" s="22" customFormat="1" ht="12.75" customHeight="1" x14ac:dyDescent="0.2"/>
    <row r="1312" s="22" customFormat="1" ht="12.75" customHeight="1" x14ac:dyDescent="0.2"/>
    <row r="1313" s="22" customFormat="1" ht="12.75" customHeight="1" x14ac:dyDescent="0.2"/>
    <row r="1314" s="22" customFormat="1" ht="12.75" customHeight="1" x14ac:dyDescent="0.2"/>
    <row r="1315" s="22" customFormat="1" ht="12.75" customHeight="1" x14ac:dyDescent="0.2"/>
    <row r="1316" s="22" customFormat="1" ht="12.75" customHeight="1" x14ac:dyDescent="0.2"/>
    <row r="1317" s="22" customFormat="1" ht="12.75" customHeight="1" x14ac:dyDescent="0.2"/>
    <row r="1318" s="22" customFormat="1" ht="12.75" customHeight="1" x14ac:dyDescent="0.2"/>
    <row r="1319" s="22" customFormat="1" ht="12.75" customHeight="1" x14ac:dyDescent="0.2"/>
    <row r="1320" s="22" customFormat="1" ht="12.75" customHeight="1" x14ac:dyDescent="0.2"/>
    <row r="1321" s="22" customFormat="1" ht="12.75" customHeight="1" x14ac:dyDescent="0.2"/>
    <row r="1322" s="22" customFormat="1" ht="12.75" customHeight="1" x14ac:dyDescent="0.2"/>
    <row r="1323" s="22" customFormat="1" ht="12.75" customHeight="1" x14ac:dyDescent="0.2"/>
    <row r="1324" s="22" customFormat="1" ht="12.75" customHeight="1" x14ac:dyDescent="0.2"/>
    <row r="1325" s="22" customFormat="1" ht="12.75" customHeight="1" x14ac:dyDescent="0.2"/>
    <row r="1326" s="22" customFormat="1" ht="12.75" customHeight="1" x14ac:dyDescent="0.2"/>
    <row r="1327" s="22" customFormat="1" ht="12.75" customHeight="1" x14ac:dyDescent="0.2"/>
    <row r="1328" s="22" customFormat="1" ht="12.75" customHeight="1" x14ac:dyDescent="0.2"/>
    <row r="1329" s="22" customFormat="1" ht="12.75" customHeight="1" x14ac:dyDescent="0.2"/>
    <row r="1330" s="22" customFormat="1" ht="12.75" customHeight="1" x14ac:dyDescent="0.2"/>
    <row r="1331" s="22" customFormat="1" ht="12.75" customHeight="1" x14ac:dyDescent="0.2"/>
    <row r="1332" s="22" customFormat="1" ht="12.75" customHeight="1" x14ac:dyDescent="0.2"/>
    <row r="1333" s="22" customFormat="1" ht="12.75" customHeight="1" x14ac:dyDescent="0.2"/>
    <row r="1334" s="22" customFormat="1" ht="12.75" customHeight="1" x14ac:dyDescent="0.2"/>
    <row r="1335" s="22" customFormat="1" ht="12.75" customHeight="1" x14ac:dyDescent="0.2"/>
    <row r="1336" s="22" customFormat="1" ht="12.75" customHeight="1" x14ac:dyDescent="0.2"/>
    <row r="1337" s="22" customFormat="1" ht="12.75" customHeight="1" x14ac:dyDescent="0.2"/>
    <row r="1338" s="22" customFormat="1" ht="12.75" customHeight="1" x14ac:dyDescent="0.2"/>
    <row r="1339" s="22" customFormat="1" ht="12.75" customHeight="1" x14ac:dyDescent="0.2"/>
    <row r="1340" s="22" customFormat="1" ht="12.75" customHeight="1" x14ac:dyDescent="0.2"/>
    <row r="1341" s="22" customFormat="1" ht="12.75" customHeight="1" x14ac:dyDescent="0.2"/>
    <row r="1342" s="22" customFormat="1" ht="12.75" customHeight="1" x14ac:dyDescent="0.2"/>
    <row r="1343" s="22" customFormat="1" ht="12.75" customHeight="1" x14ac:dyDescent="0.2"/>
    <row r="1344" s="22" customFormat="1" ht="12.75" customHeight="1" x14ac:dyDescent="0.2"/>
    <row r="1345" s="22" customFormat="1" ht="12.75" customHeight="1" x14ac:dyDescent="0.2"/>
    <row r="1346" s="22" customFormat="1" ht="12.75" customHeight="1" x14ac:dyDescent="0.2"/>
    <row r="1347" s="22" customFormat="1" ht="12.75" customHeight="1" x14ac:dyDescent="0.2"/>
    <row r="1348" s="22" customFormat="1" ht="12.75" customHeight="1" x14ac:dyDescent="0.2"/>
    <row r="1349" s="22" customFormat="1" ht="12.75" customHeight="1" x14ac:dyDescent="0.2"/>
    <row r="1350" s="22" customFormat="1" ht="12.75" customHeight="1" x14ac:dyDescent="0.2"/>
    <row r="1351" s="22" customFormat="1" ht="12.75" customHeight="1" x14ac:dyDescent="0.2"/>
    <row r="1352" s="22" customFormat="1" ht="12.75" customHeight="1" x14ac:dyDescent="0.2"/>
    <row r="1353" s="22" customFormat="1" ht="12.75" customHeight="1" x14ac:dyDescent="0.2"/>
    <row r="1354" s="22" customFormat="1" ht="12.75" customHeight="1" x14ac:dyDescent="0.2"/>
    <row r="1355" s="22" customFormat="1" ht="12.75" customHeight="1" x14ac:dyDescent="0.2"/>
    <row r="1356" s="22" customFormat="1" ht="12.75" customHeight="1" x14ac:dyDescent="0.2"/>
    <row r="1357" s="22" customFormat="1" ht="12.75" customHeight="1" x14ac:dyDescent="0.2"/>
    <row r="1358" s="22" customFormat="1" ht="12.75" customHeight="1" x14ac:dyDescent="0.2"/>
    <row r="1359" s="22" customFormat="1" ht="12.75" customHeight="1" x14ac:dyDescent="0.2"/>
    <row r="1360" s="22" customFormat="1" ht="12.75" customHeight="1" x14ac:dyDescent="0.2"/>
    <row r="1361" s="22" customFormat="1" ht="12.75" customHeight="1" x14ac:dyDescent="0.2"/>
    <row r="1362" s="22" customFormat="1" ht="12.75" customHeight="1" x14ac:dyDescent="0.2"/>
    <row r="1363" s="22" customFormat="1" ht="12.75" customHeight="1" x14ac:dyDescent="0.2"/>
    <row r="1364" s="22" customFormat="1" ht="12.75" customHeight="1" x14ac:dyDescent="0.2"/>
    <row r="1365" s="22" customFormat="1" ht="12.75" customHeight="1" x14ac:dyDescent="0.2"/>
    <row r="1366" s="22" customFormat="1" ht="12.75" customHeight="1" x14ac:dyDescent="0.2"/>
    <row r="1367" s="22" customFormat="1" ht="12.75" customHeight="1" x14ac:dyDescent="0.2"/>
    <row r="1368" s="22" customFormat="1" ht="12.75" customHeight="1" x14ac:dyDescent="0.2"/>
    <row r="1369" s="22" customFormat="1" ht="12.75" customHeight="1" x14ac:dyDescent="0.2"/>
    <row r="1370" s="22" customFormat="1" ht="12.75" customHeight="1" x14ac:dyDescent="0.2"/>
    <row r="1371" s="22" customFormat="1" ht="12.75" customHeight="1" x14ac:dyDescent="0.2"/>
    <row r="1372" s="22" customFormat="1" ht="12.75" customHeight="1" x14ac:dyDescent="0.2"/>
    <row r="1373" s="22" customFormat="1" ht="12.75" customHeight="1" x14ac:dyDescent="0.2"/>
    <row r="1374" s="22" customFormat="1" ht="12.75" customHeight="1" x14ac:dyDescent="0.2"/>
    <row r="1375" s="22" customFormat="1" ht="12.75" customHeight="1" x14ac:dyDescent="0.2"/>
    <row r="1376" s="22" customFormat="1" ht="12.75" customHeight="1" x14ac:dyDescent="0.2"/>
    <row r="1377" s="22" customFormat="1" ht="12.75" customHeight="1" x14ac:dyDescent="0.2"/>
    <row r="1378" s="22" customFormat="1" ht="12.75" customHeight="1" x14ac:dyDescent="0.2"/>
    <row r="1379" s="22" customFormat="1" ht="12.75" customHeight="1" x14ac:dyDescent="0.2"/>
    <row r="1380" s="22" customFormat="1" ht="12.75" customHeight="1" x14ac:dyDescent="0.2"/>
    <row r="1381" s="22" customFormat="1" ht="12.75" customHeight="1" x14ac:dyDescent="0.2"/>
    <row r="1382" s="22" customFormat="1" ht="12.75" customHeight="1" x14ac:dyDescent="0.2"/>
    <row r="1383" s="22" customFormat="1" ht="12.75" customHeight="1" x14ac:dyDescent="0.2"/>
    <row r="1384" s="22" customFormat="1" ht="12.75" customHeight="1" x14ac:dyDescent="0.2"/>
    <row r="1385" s="22" customFormat="1" ht="12.75" customHeight="1" x14ac:dyDescent="0.2"/>
    <row r="1386" s="22" customFormat="1" ht="12.75" customHeight="1" x14ac:dyDescent="0.2"/>
    <row r="1387" s="22" customFormat="1" ht="12.75" customHeight="1" x14ac:dyDescent="0.2"/>
    <row r="1388" s="22" customFormat="1" ht="12.75" customHeight="1" x14ac:dyDescent="0.2"/>
    <row r="1389" s="22" customFormat="1" ht="12.75" customHeight="1" x14ac:dyDescent="0.2"/>
    <row r="1390" s="22" customFormat="1" ht="12.75" customHeight="1" x14ac:dyDescent="0.2"/>
    <row r="1391" s="22" customFormat="1" ht="12.75" customHeight="1" x14ac:dyDescent="0.2"/>
    <row r="1392" s="22" customFormat="1" ht="12.75" customHeight="1" x14ac:dyDescent="0.2"/>
    <row r="1393" s="22" customFormat="1" ht="12.75" customHeight="1" x14ac:dyDescent="0.2"/>
    <row r="1394" s="22" customFormat="1" ht="12.75" customHeight="1" x14ac:dyDescent="0.2"/>
    <row r="1395" s="22" customFormat="1" ht="12.75" customHeight="1" x14ac:dyDescent="0.2"/>
    <row r="1396" s="22" customFormat="1" ht="12.75" customHeight="1" x14ac:dyDescent="0.2"/>
    <row r="1397" s="22" customFormat="1" ht="12.75" customHeight="1" x14ac:dyDescent="0.2"/>
    <row r="1398" s="22" customFormat="1" ht="12.75" customHeight="1" x14ac:dyDescent="0.2"/>
    <row r="1399" s="22" customFormat="1" ht="12.75" customHeight="1" x14ac:dyDescent="0.2"/>
    <row r="1400" s="22" customFormat="1" ht="12.75" customHeight="1" x14ac:dyDescent="0.2"/>
    <row r="1401" s="22" customFormat="1" ht="12.75" customHeight="1" x14ac:dyDescent="0.2"/>
    <row r="1402" s="22" customFormat="1" ht="12.75" customHeight="1" x14ac:dyDescent="0.2"/>
    <row r="1403" s="22" customFormat="1" ht="12.75" customHeight="1" x14ac:dyDescent="0.2"/>
    <row r="1404" s="22" customFormat="1" ht="12.75" customHeight="1" x14ac:dyDescent="0.2"/>
    <row r="1405" s="22" customFormat="1" ht="12.75" customHeight="1" x14ac:dyDescent="0.2"/>
    <row r="1406" s="22" customFormat="1" ht="12.75" customHeight="1" x14ac:dyDescent="0.2"/>
    <row r="1407" s="22" customFormat="1" ht="12.75" customHeight="1" x14ac:dyDescent="0.2"/>
    <row r="1408" s="22" customFormat="1" ht="12.75" customHeight="1" x14ac:dyDescent="0.2"/>
    <row r="1409" s="22" customFormat="1" ht="12.75" customHeight="1" x14ac:dyDescent="0.2"/>
    <row r="1410" s="22" customFormat="1" ht="12.75" customHeight="1" x14ac:dyDescent="0.2"/>
    <row r="1411" s="22" customFormat="1" ht="12.75" customHeight="1" x14ac:dyDescent="0.2"/>
    <row r="1412" s="22" customFormat="1" ht="12.75" customHeight="1" x14ac:dyDescent="0.2"/>
    <row r="1413" s="22" customFormat="1" ht="12.75" customHeight="1" x14ac:dyDescent="0.2"/>
    <row r="1414" s="22" customFormat="1" ht="12.75" customHeight="1" x14ac:dyDescent="0.2"/>
    <row r="1415" s="22" customFormat="1" ht="12.75" customHeight="1" x14ac:dyDescent="0.2"/>
    <row r="1416" s="22" customFormat="1" ht="12.75" customHeight="1" x14ac:dyDescent="0.2"/>
    <row r="1417" s="22" customFormat="1" ht="12.75" customHeight="1" x14ac:dyDescent="0.2"/>
    <row r="1418" s="22" customFormat="1" ht="12.75" customHeight="1" x14ac:dyDescent="0.2"/>
    <row r="1419" s="22" customFormat="1" ht="12.75" customHeight="1" x14ac:dyDescent="0.2"/>
    <row r="1420" s="22" customFormat="1" ht="12.75" customHeight="1" x14ac:dyDescent="0.2"/>
    <row r="1421" s="22" customFormat="1" ht="12.75" customHeight="1" x14ac:dyDescent="0.2"/>
    <row r="1422" s="22" customFormat="1" ht="12.75" customHeight="1" x14ac:dyDescent="0.2"/>
    <row r="1423" s="22" customFormat="1" ht="12.75" customHeight="1" x14ac:dyDescent="0.2"/>
    <row r="1424" s="22" customFormat="1" ht="12.75" customHeight="1" x14ac:dyDescent="0.2"/>
    <row r="1425" s="22" customFormat="1" ht="12.75" customHeight="1" x14ac:dyDescent="0.2"/>
    <row r="1426" s="22" customFormat="1" ht="12.75" customHeight="1" x14ac:dyDescent="0.2"/>
    <row r="1427" s="22" customFormat="1" ht="12.75" customHeight="1" x14ac:dyDescent="0.2"/>
    <row r="1428" s="22" customFormat="1" ht="12.75" customHeight="1" x14ac:dyDescent="0.2"/>
    <row r="1429" s="22" customFormat="1" ht="12.75" customHeight="1" x14ac:dyDescent="0.2"/>
    <row r="1430" s="22" customFormat="1" ht="12.75" customHeight="1" x14ac:dyDescent="0.2"/>
    <row r="1431" s="22" customFormat="1" ht="12.75" customHeight="1" x14ac:dyDescent="0.2"/>
    <row r="1432" s="22" customFormat="1" ht="12.75" customHeight="1" x14ac:dyDescent="0.2"/>
    <row r="1433" s="22" customFormat="1" ht="12.75" customHeight="1" x14ac:dyDescent="0.2"/>
    <row r="1434" s="22" customFormat="1" ht="12.75" customHeight="1" x14ac:dyDescent="0.2"/>
    <row r="1435" s="22" customFormat="1" ht="12.75" customHeight="1" x14ac:dyDescent="0.2"/>
    <row r="1436" s="22" customFormat="1" ht="12.75" customHeight="1" x14ac:dyDescent="0.2"/>
    <row r="1437" s="22" customFormat="1" ht="12.75" customHeight="1" x14ac:dyDescent="0.2"/>
    <row r="1438" s="22" customFormat="1" ht="12.75" customHeight="1" x14ac:dyDescent="0.2"/>
    <row r="1439" s="22" customFormat="1" ht="12.75" customHeight="1" x14ac:dyDescent="0.2"/>
    <row r="1440" s="22" customFormat="1" ht="12.75" customHeight="1" x14ac:dyDescent="0.2"/>
    <row r="1441" s="22" customFormat="1" ht="12.75" customHeight="1" x14ac:dyDescent="0.2"/>
    <row r="1442" s="22" customFormat="1" ht="12.75" customHeight="1" x14ac:dyDescent="0.2"/>
    <row r="1443" s="22" customFormat="1" ht="12.75" customHeight="1" x14ac:dyDescent="0.2"/>
    <row r="1444" s="22" customFormat="1" ht="12.75" customHeight="1" x14ac:dyDescent="0.2"/>
    <row r="1445" s="22" customFormat="1" ht="12.75" customHeight="1" x14ac:dyDescent="0.2"/>
    <row r="1446" s="22" customFormat="1" ht="12.75" customHeight="1" x14ac:dyDescent="0.2"/>
    <row r="1447" s="22" customFormat="1" ht="12.75" customHeight="1" x14ac:dyDescent="0.2"/>
    <row r="1448" s="22" customFormat="1" ht="12.75" customHeight="1" x14ac:dyDescent="0.2"/>
    <row r="1449" s="22" customFormat="1" ht="12.75" customHeight="1" x14ac:dyDescent="0.2"/>
    <row r="1450" s="22" customFormat="1" ht="12.75" customHeight="1" x14ac:dyDescent="0.2"/>
    <row r="1451" s="22" customFormat="1" ht="12.75" customHeight="1" x14ac:dyDescent="0.2"/>
    <row r="1452" s="22" customFormat="1" ht="12.75" customHeight="1" x14ac:dyDescent="0.2"/>
    <row r="1453" s="22" customFormat="1" ht="12.75" customHeight="1" x14ac:dyDescent="0.2"/>
    <row r="1454" s="22" customFormat="1" ht="12.75" customHeight="1" x14ac:dyDescent="0.2"/>
    <row r="1455" s="22" customFormat="1" ht="12.75" customHeight="1" x14ac:dyDescent="0.2"/>
    <row r="1456" s="22" customFormat="1" ht="12.75" customHeight="1" x14ac:dyDescent="0.2"/>
    <row r="1457" s="22" customFormat="1" ht="12.75" customHeight="1" x14ac:dyDescent="0.2"/>
    <row r="1458" s="22" customFormat="1" ht="12.75" customHeight="1" x14ac:dyDescent="0.2"/>
    <row r="1459" s="22" customFormat="1" ht="12.75" customHeight="1" x14ac:dyDescent="0.2"/>
    <row r="1460" s="22" customFormat="1" ht="12.75" customHeight="1" x14ac:dyDescent="0.2"/>
    <row r="1461" s="22" customFormat="1" ht="12.75" customHeight="1" x14ac:dyDescent="0.2"/>
    <row r="1462" s="22" customFormat="1" ht="12.75" customHeight="1" x14ac:dyDescent="0.2"/>
    <row r="1463" s="22" customFormat="1" ht="12.75" customHeight="1" x14ac:dyDescent="0.2"/>
    <row r="1464" s="22" customFormat="1" ht="12.75" customHeight="1" x14ac:dyDescent="0.2"/>
    <row r="1465" s="22" customFormat="1" ht="12.75" customHeight="1" x14ac:dyDescent="0.2"/>
    <row r="1466" s="22" customFormat="1" ht="12.75" customHeight="1" x14ac:dyDescent="0.2"/>
    <row r="1467" s="22" customFormat="1" ht="12.75" customHeight="1" x14ac:dyDescent="0.2"/>
    <row r="1468" s="22" customFormat="1" ht="12.75" customHeight="1" x14ac:dyDescent="0.2"/>
    <row r="1469" s="22" customFormat="1" ht="12.75" customHeight="1" x14ac:dyDescent="0.2"/>
    <row r="1470" s="22" customFormat="1" ht="12.75" customHeight="1" x14ac:dyDescent="0.2"/>
    <row r="1471" s="22" customFormat="1" ht="12.75" customHeight="1" x14ac:dyDescent="0.2"/>
    <row r="1472" s="22" customFormat="1" ht="12.75" customHeight="1" x14ac:dyDescent="0.2"/>
    <row r="1473" s="22" customFormat="1" ht="12.75" customHeight="1" x14ac:dyDescent="0.2"/>
    <row r="1474" s="22" customFormat="1" ht="12.75" customHeight="1" x14ac:dyDescent="0.2"/>
    <row r="1475" s="22" customFormat="1" ht="12.75" customHeight="1" x14ac:dyDescent="0.2"/>
    <row r="1476" s="22" customFormat="1" ht="12.75" customHeight="1" x14ac:dyDescent="0.2"/>
    <row r="1477" s="22" customFormat="1" ht="12.75" customHeight="1" x14ac:dyDescent="0.2"/>
    <row r="1478" s="22" customFormat="1" ht="12.75" customHeight="1" x14ac:dyDescent="0.2"/>
    <row r="1479" s="22" customFormat="1" ht="12.75" customHeight="1" x14ac:dyDescent="0.2"/>
    <row r="1480" s="22" customFormat="1" ht="12.75" customHeight="1" x14ac:dyDescent="0.2"/>
    <row r="1481" s="22" customFormat="1" ht="12.75" customHeight="1" x14ac:dyDescent="0.2"/>
    <row r="1482" s="22" customFormat="1" ht="12.75" customHeight="1" x14ac:dyDescent="0.2"/>
    <row r="1483" s="22" customFormat="1" ht="12.75" customHeight="1" x14ac:dyDescent="0.2"/>
    <row r="1484" s="22" customFormat="1" ht="12.75" customHeight="1" x14ac:dyDescent="0.2"/>
    <row r="1485" s="22" customFormat="1" ht="12.75" customHeight="1" x14ac:dyDescent="0.2"/>
    <row r="1486" s="22" customFormat="1" ht="12.75" customHeight="1" x14ac:dyDescent="0.2"/>
    <row r="1487" s="22" customFormat="1" ht="12.75" customHeight="1" x14ac:dyDescent="0.2"/>
    <row r="1488" s="22" customFormat="1" ht="12.75" customHeight="1" x14ac:dyDescent="0.2"/>
    <row r="1489" s="22" customFormat="1" ht="12.75" customHeight="1" x14ac:dyDescent="0.2"/>
    <row r="1490" s="22" customFormat="1" ht="12.75" customHeight="1" x14ac:dyDescent="0.2"/>
    <row r="1491" s="22" customFormat="1" ht="12.75" customHeight="1" x14ac:dyDescent="0.2"/>
    <row r="1492" s="22" customFormat="1" ht="12.75" customHeight="1" x14ac:dyDescent="0.2"/>
    <row r="1493" s="22" customFormat="1" ht="12.75" customHeight="1" x14ac:dyDescent="0.2"/>
    <row r="1494" s="22" customFormat="1" ht="12.75" customHeight="1" x14ac:dyDescent="0.2"/>
    <row r="1495" s="22" customFormat="1" ht="12.75" customHeight="1" x14ac:dyDescent="0.2"/>
    <row r="1496" s="22" customFormat="1" ht="12.75" customHeight="1" x14ac:dyDescent="0.2"/>
    <row r="1497" s="22" customFormat="1" ht="12.75" customHeight="1" x14ac:dyDescent="0.2"/>
    <row r="1498" s="22" customFormat="1" ht="12.75" customHeight="1" x14ac:dyDescent="0.2"/>
    <row r="1499" s="22" customFormat="1" ht="12.75" customHeight="1" x14ac:dyDescent="0.2"/>
    <row r="1500" s="22" customFormat="1" ht="12.75" customHeight="1" x14ac:dyDescent="0.2"/>
    <row r="1501" s="22" customFormat="1" ht="12.75" customHeight="1" x14ac:dyDescent="0.2"/>
    <row r="1502" s="22" customFormat="1" ht="12.75" customHeight="1" x14ac:dyDescent="0.2"/>
    <row r="1503" s="22" customFormat="1" ht="12.75" customHeight="1" x14ac:dyDescent="0.2"/>
    <row r="1504" s="22" customFormat="1" ht="12.75" customHeight="1" x14ac:dyDescent="0.2"/>
    <row r="1505" s="22" customFormat="1" ht="12.75" customHeight="1" x14ac:dyDescent="0.2"/>
    <row r="1506" s="22" customFormat="1" ht="12.75" customHeight="1" x14ac:dyDescent="0.2"/>
    <row r="1507" s="22" customFormat="1" ht="12.75" customHeight="1" x14ac:dyDescent="0.2"/>
    <row r="1508" s="22" customFormat="1" ht="12.75" customHeight="1" x14ac:dyDescent="0.2"/>
    <row r="1509" s="22" customFormat="1" ht="12.75" customHeight="1" x14ac:dyDescent="0.2"/>
    <row r="1510" s="22" customFormat="1" ht="12.75" customHeight="1" x14ac:dyDescent="0.2"/>
    <row r="1511" s="22" customFormat="1" ht="12.75" customHeight="1" x14ac:dyDescent="0.2"/>
    <row r="1512" s="22" customFormat="1" ht="12.75" customHeight="1" x14ac:dyDescent="0.2"/>
    <row r="1513" s="22" customFormat="1" ht="12.75" customHeight="1" x14ac:dyDescent="0.2"/>
    <row r="1514" s="22" customFormat="1" ht="12.75" customHeight="1" x14ac:dyDescent="0.2"/>
    <row r="1515" s="22" customFormat="1" ht="12.75" customHeight="1" x14ac:dyDescent="0.2"/>
    <row r="1516" s="22" customFormat="1" ht="12.75" customHeight="1" x14ac:dyDescent="0.2"/>
    <row r="1517" s="22" customFormat="1" ht="12.75" customHeight="1" x14ac:dyDescent="0.2"/>
    <row r="1518" s="22" customFormat="1" ht="12.75" customHeight="1" x14ac:dyDescent="0.2"/>
    <row r="1519" s="22" customFormat="1" ht="12.75" customHeight="1" x14ac:dyDescent="0.2"/>
    <row r="1520" s="22" customFormat="1" ht="12.75" customHeight="1" x14ac:dyDescent="0.2"/>
    <row r="1521" s="22" customFormat="1" ht="12.75" customHeight="1" x14ac:dyDescent="0.2"/>
    <row r="1522" s="22" customFormat="1" ht="12.75" customHeight="1" x14ac:dyDescent="0.2"/>
    <row r="1523" s="22" customFormat="1" ht="12.75" customHeight="1" x14ac:dyDescent="0.2"/>
    <row r="1524" s="22" customFormat="1" ht="12.75" customHeight="1" x14ac:dyDescent="0.2"/>
    <row r="1525" s="22" customFormat="1" ht="12.75" customHeight="1" x14ac:dyDescent="0.2"/>
    <row r="1526" s="22" customFormat="1" ht="12.75" customHeight="1" x14ac:dyDescent="0.2"/>
    <row r="1527" s="22" customFormat="1" ht="12.75" customHeight="1" x14ac:dyDescent="0.2"/>
    <row r="1528" s="22" customFormat="1" ht="12.75" customHeight="1" x14ac:dyDescent="0.2"/>
    <row r="1529" s="22" customFormat="1" ht="12.75" customHeight="1" x14ac:dyDescent="0.2"/>
    <row r="1530" s="22" customFormat="1" ht="12.75" customHeight="1" x14ac:dyDescent="0.2"/>
    <row r="1531" s="22" customFormat="1" ht="12.75" customHeight="1" x14ac:dyDescent="0.2"/>
    <row r="1532" s="22" customFormat="1" ht="12.75" customHeight="1" x14ac:dyDescent="0.2"/>
    <row r="1533" s="22" customFormat="1" ht="12.75" customHeight="1" x14ac:dyDescent="0.2"/>
    <row r="1534" s="22" customFormat="1" ht="12.75" customHeight="1" x14ac:dyDescent="0.2"/>
    <row r="1535" s="22" customFormat="1" ht="12.75" customHeight="1" x14ac:dyDescent="0.2"/>
    <row r="1536" s="22" customFormat="1" ht="12.75" customHeight="1" x14ac:dyDescent="0.2"/>
    <row r="1537" s="22" customFormat="1" ht="12.75" customHeight="1" x14ac:dyDescent="0.2"/>
    <row r="1538" s="22" customFormat="1" ht="12.75" customHeight="1" x14ac:dyDescent="0.2"/>
    <row r="1539" s="22" customFormat="1" ht="12.75" customHeight="1" x14ac:dyDescent="0.2"/>
    <row r="1540" s="22" customFormat="1" ht="12.75" customHeight="1" x14ac:dyDescent="0.2"/>
    <row r="1541" s="22" customFormat="1" ht="12.75" customHeight="1" x14ac:dyDescent="0.2"/>
    <row r="1542" s="22" customFormat="1" ht="12.75" customHeight="1" x14ac:dyDescent="0.2"/>
    <row r="1543" s="22" customFormat="1" ht="12.75" customHeight="1" x14ac:dyDescent="0.2"/>
    <row r="1544" s="22" customFormat="1" ht="12.75" customHeight="1" x14ac:dyDescent="0.2"/>
    <row r="1545" s="22" customFormat="1" ht="12.75" customHeight="1" x14ac:dyDescent="0.2"/>
    <row r="1546" s="22" customFormat="1" ht="12.75" customHeight="1" x14ac:dyDescent="0.2"/>
    <row r="1547" s="22" customFormat="1" ht="12.75" customHeight="1" x14ac:dyDescent="0.2"/>
    <row r="1548" s="22" customFormat="1" ht="12.75" customHeight="1" x14ac:dyDescent="0.2"/>
    <row r="1549" s="22" customFormat="1" ht="12.75" customHeight="1" x14ac:dyDescent="0.2"/>
    <row r="1550" s="22" customFormat="1" ht="12.75" customHeight="1" x14ac:dyDescent="0.2"/>
    <row r="1551" s="22" customFormat="1" ht="12.75" customHeight="1" x14ac:dyDescent="0.2"/>
    <row r="1552" s="22" customFormat="1" ht="12.75" customHeight="1" x14ac:dyDescent="0.2"/>
    <row r="1553" s="22" customFormat="1" ht="12.75" customHeight="1" x14ac:dyDescent="0.2"/>
    <row r="1554" s="22" customFormat="1" ht="12.75" customHeight="1" x14ac:dyDescent="0.2"/>
    <row r="1555" s="22" customFormat="1" ht="12.75" customHeight="1" x14ac:dyDescent="0.2"/>
    <row r="1556" s="22" customFormat="1" ht="12.75" customHeight="1" x14ac:dyDescent="0.2"/>
    <row r="1557" s="22" customFormat="1" ht="12.75" customHeight="1" x14ac:dyDescent="0.2"/>
    <row r="1558" s="22" customFormat="1" ht="12.75" customHeight="1" x14ac:dyDescent="0.2"/>
    <row r="1559" s="22" customFormat="1" ht="12.75" customHeight="1" x14ac:dyDescent="0.2"/>
    <row r="1560" s="22" customFormat="1" ht="12.75" customHeight="1" x14ac:dyDescent="0.2"/>
    <row r="1561" s="22" customFormat="1" ht="12.75" customHeight="1" x14ac:dyDescent="0.2"/>
    <row r="1562" s="22" customFormat="1" ht="12.75" customHeight="1" x14ac:dyDescent="0.2"/>
    <row r="1563" s="22" customFormat="1" ht="12.75" customHeight="1" x14ac:dyDescent="0.2"/>
    <row r="1564" s="22" customFormat="1" ht="12.75" customHeight="1" x14ac:dyDescent="0.2"/>
    <row r="1565" s="22" customFormat="1" ht="12.75" customHeight="1" x14ac:dyDescent="0.2"/>
    <row r="1566" s="22" customFormat="1" ht="12.75" customHeight="1" x14ac:dyDescent="0.2"/>
    <row r="1567" s="22" customFormat="1" ht="12.75" customHeight="1" x14ac:dyDescent="0.2"/>
    <row r="1568" s="22" customFormat="1" ht="12.75" customHeight="1" x14ac:dyDescent="0.2"/>
    <row r="1569" s="22" customFormat="1" ht="12.75" customHeight="1" x14ac:dyDescent="0.2"/>
    <row r="1570" s="22" customFormat="1" ht="12.75" customHeight="1" x14ac:dyDescent="0.2"/>
    <row r="1571" s="22" customFormat="1" ht="12.75" customHeight="1" x14ac:dyDescent="0.2"/>
    <row r="1572" s="22" customFormat="1" ht="12.75" customHeight="1" x14ac:dyDescent="0.2"/>
    <row r="1573" s="22" customFormat="1" ht="12.75" customHeight="1" x14ac:dyDescent="0.2"/>
    <row r="1574" s="22" customFormat="1" ht="12.75" customHeight="1" x14ac:dyDescent="0.2"/>
    <row r="1575" s="22" customFormat="1" ht="12.75" customHeight="1" x14ac:dyDescent="0.2"/>
    <row r="1576" s="22" customFormat="1" ht="12.75" customHeight="1" x14ac:dyDescent="0.2"/>
    <row r="1577" s="22" customFormat="1" ht="12.75" customHeight="1" x14ac:dyDescent="0.2"/>
    <row r="1578" s="22" customFormat="1" ht="12.75" customHeight="1" x14ac:dyDescent="0.2"/>
    <row r="1579" s="22" customFormat="1" ht="12.75" customHeight="1" x14ac:dyDescent="0.2"/>
    <row r="1580" s="22" customFormat="1" ht="12.75" customHeight="1" x14ac:dyDescent="0.2"/>
    <row r="1581" s="22" customFormat="1" ht="12.75" customHeight="1" x14ac:dyDescent="0.2"/>
    <row r="1582" s="22" customFormat="1" ht="12.75" customHeight="1" x14ac:dyDescent="0.2"/>
    <row r="1583" s="22" customFormat="1" ht="12.75" customHeight="1" x14ac:dyDescent="0.2"/>
    <row r="1584" s="22" customFormat="1" ht="12.75" customHeight="1" x14ac:dyDescent="0.2"/>
    <row r="1585" s="22" customFormat="1" ht="12.75" customHeight="1" x14ac:dyDescent="0.2"/>
    <row r="1586" s="22" customFormat="1" ht="12.75" customHeight="1" x14ac:dyDescent="0.2"/>
    <row r="1587" s="22" customFormat="1" ht="12.75" customHeight="1" x14ac:dyDescent="0.2"/>
    <row r="1588" s="22" customFormat="1" ht="12.75" customHeight="1" x14ac:dyDescent="0.2"/>
    <row r="1589" s="22" customFormat="1" ht="12.75" customHeight="1" x14ac:dyDescent="0.2"/>
    <row r="1590" s="22" customFormat="1" ht="12.75" customHeight="1" x14ac:dyDescent="0.2"/>
    <row r="1591" s="22" customFormat="1" ht="12.75" customHeight="1" x14ac:dyDescent="0.2"/>
    <row r="1592" s="22" customFormat="1" ht="12.75" customHeight="1" x14ac:dyDescent="0.2"/>
    <row r="1593" s="22" customFormat="1" ht="12.75" customHeight="1" x14ac:dyDescent="0.2"/>
    <row r="1594" s="22" customFormat="1" ht="12.75" customHeight="1" x14ac:dyDescent="0.2"/>
    <row r="1595" s="22" customFormat="1" ht="12.75" customHeight="1" x14ac:dyDescent="0.2"/>
    <row r="1596" s="22" customFormat="1" ht="12.75" customHeight="1" x14ac:dyDescent="0.2"/>
    <row r="1597" s="22" customFormat="1" ht="12.75" customHeight="1" x14ac:dyDescent="0.2"/>
    <row r="1598" s="22" customFormat="1" ht="12.75" customHeight="1" x14ac:dyDescent="0.2"/>
    <row r="1599" s="22" customFormat="1" ht="12.75" customHeight="1" x14ac:dyDescent="0.2"/>
    <row r="1600" s="22" customFormat="1" ht="12.75" customHeight="1" x14ac:dyDescent="0.2"/>
    <row r="1601" s="22" customFormat="1" ht="12.75" customHeight="1" x14ac:dyDescent="0.2"/>
    <row r="1602" s="22" customFormat="1" ht="12.75" customHeight="1" x14ac:dyDescent="0.2"/>
    <row r="1603" s="22" customFormat="1" ht="12.75" customHeight="1" x14ac:dyDescent="0.2"/>
    <row r="1604" s="22" customFormat="1" ht="12.75" customHeight="1" x14ac:dyDescent="0.2"/>
    <row r="1605" s="22" customFormat="1" ht="12.75" customHeight="1" x14ac:dyDescent="0.2"/>
    <row r="1606" s="22" customFormat="1" ht="12.75" customHeight="1" x14ac:dyDescent="0.2"/>
    <row r="1607" s="22" customFormat="1" ht="12.75" customHeight="1" x14ac:dyDescent="0.2"/>
    <row r="1608" s="22" customFormat="1" ht="12.75" customHeight="1" x14ac:dyDescent="0.2"/>
    <row r="1609" s="22" customFormat="1" ht="12.75" customHeight="1" x14ac:dyDescent="0.2"/>
    <row r="1610" s="22" customFormat="1" ht="12.75" customHeight="1" x14ac:dyDescent="0.2"/>
    <row r="1611" s="22" customFormat="1" ht="12.75" customHeight="1" x14ac:dyDescent="0.2"/>
    <row r="1612" s="22" customFormat="1" ht="12.75" customHeight="1" x14ac:dyDescent="0.2"/>
    <row r="1613" s="22" customFormat="1" ht="12.75" customHeight="1" x14ac:dyDescent="0.2"/>
    <row r="1614" s="22" customFormat="1" ht="12.75" customHeight="1" x14ac:dyDescent="0.2"/>
    <row r="1615" s="22" customFormat="1" ht="12.75" customHeight="1" x14ac:dyDescent="0.2"/>
    <row r="1616" s="22" customFormat="1" ht="12.75" customHeight="1" x14ac:dyDescent="0.2"/>
    <row r="1617" s="22" customFormat="1" ht="12.75" customHeight="1" x14ac:dyDescent="0.2"/>
    <row r="1618" s="22" customFormat="1" ht="12.75" customHeight="1" x14ac:dyDescent="0.2"/>
    <row r="1619" s="22" customFormat="1" ht="12.75" customHeight="1" x14ac:dyDescent="0.2"/>
    <row r="1620" s="22" customFormat="1" ht="12.75" customHeight="1" x14ac:dyDescent="0.2"/>
    <row r="1621" s="22" customFormat="1" ht="12.75" customHeight="1" x14ac:dyDescent="0.2"/>
    <row r="1622" s="22" customFormat="1" ht="12.75" customHeight="1" x14ac:dyDescent="0.2"/>
    <row r="1623" s="22" customFormat="1" ht="12.75" customHeight="1" x14ac:dyDescent="0.2"/>
    <row r="1624" s="22" customFormat="1" ht="12.75" customHeight="1" x14ac:dyDescent="0.2"/>
    <row r="1625" s="22" customFormat="1" ht="12.75" customHeight="1" x14ac:dyDescent="0.2"/>
    <row r="1626" s="22" customFormat="1" ht="12.75" customHeight="1" x14ac:dyDescent="0.2"/>
    <row r="1627" s="22" customFormat="1" ht="12.75" customHeight="1" x14ac:dyDescent="0.2"/>
    <row r="1628" s="22" customFormat="1" ht="12.75" customHeight="1" x14ac:dyDescent="0.2"/>
    <row r="1629" s="22" customFormat="1" ht="12.75" customHeight="1" x14ac:dyDescent="0.2"/>
    <row r="1630" s="22" customFormat="1" ht="12.75" customHeight="1" x14ac:dyDescent="0.2"/>
    <row r="1631" s="22" customFormat="1" ht="12.75" customHeight="1" x14ac:dyDescent="0.2"/>
    <row r="1632" s="22" customFormat="1" ht="12.75" customHeight="1" x14ac:dyDescent="0.2"/>
    <row r="1633" s="22" customFormat="1" ht="12.75" customHeight="1" x14ac:dyDescent="0.2"/>
    <row r="1634" s="22" customFormat="1" ht="12.75" customHeight="1" x14ac:dyDescent="0.2"/>
    <row r="1635" s="22" customFormat="1" ht="12.75" customHeight="1" x14ac:dyDescent="0.2"/>
    <row r="1636" s="22" customFormat="1" ht="12.75" customHeight="1" x14ac:dyDescent="0.2"/>
    <row r="1637" s="22" customFormat="1" ht="12.75" customHeight="1" x14ac:dyDescent="0.2"/>
    <row r="1638" s="22" customFormat="1" ht="12.75" customHeight="1" x14ac:dyDescent="0.2"/>
    <row r="1639" s="22" customFormat="1" ht="12.75" customHeight="1" x14ac:dyDescent="0.2"/>
    <row r="1640" s="22" customFormat="1" ht="12.75" customHeight="1" x14ac:dyDescent="0.2"/>
    <row r="1641" s="22" customFormat="1" ht="12.75" customHeight="1" x14ac:dyDescent="0.2"/>
    <row r="1642" s="22" customFormat="1" ht="12.75" customHeight="1" x14ac:dyDescent="0.2"/>
    <row r="1643" s="22" customFormat="1" ht="12.75" customHeight="1" x14ac:dyDescent="0.2"/>
    <row r="1644" s="22" customFormat="1" ht="12.75" customHeight="1" x14ac:dyDescent="0.2"/>
    <row r="1645" s="22" customFormat="1" ht="12.75" customHeight="1" x14ac:dyDescent="0.2"/>
    <row r="1646" s="22" customFormat="1" ht="12.75" customHeight="1" x14ac:dyDescent="0.2"/>
    <row r="1647" s="22" customFormat="1" ht="12.75" customHeight="1" x14ac:dyDescent="0.2"/>
    <row r="1648" s="22" customFormat="1" ht="12.75" customHeight="1" x14ac:dyDescent="0.2"/>
    <row r="1649" s="22" customFormat="1" ht="12.75" customHeight="1" x14ac:dyDescent="0.2"/>
    <row r="1650" s="22" customFormat="1" ht="12.75" customHeight="1" x14ac:dyDescent="0.2"/>
    <row r="1651" s="22" customFormat="1" ht="12.75" customHeight="1" x14ac:dyDescent="0.2"/>
    <row r="1652" s="22" customFormat="1" ht="12.75" customHeight="1" x14ac:dyDescent="0.2"/>
    <row r="1653" s="22" customFormat="1" ht="12.75" customHeight="1" x14ac:dyDescent="0.2"/>
    <row r="1654" s="22" customFormat="1" ht="12.75" customHeight="1" x14ac:dyDescent="0.2"/>
    <row r="1655" s="22" customFormat="1" ht="12.75" customHeight="1" x14ac:dyDescent="0.2"/>
    <row r="1656" s="22" customFormat="1" ht="12.75" customHeight="1" x14ac:dyDescent="0.2"/>
    <row r="1657" s="22" customFormat="1" ht="12.75" customHeight="1" x14ac:dyDescent="0.2"/>
    <row r="1658" s="22" customFormat="1" ht="12.75" customHeight="1" x14ac:dyDescent="0.2"/>
    <row r="1659" s="22" customFormat="1" ht="12.75" customHeight="1" x14ac:dyDescent="0.2"/>
    <row r="1660" s="22" customFormat="1" ht="12.75" customHeight="1" x14ac:dyDescent="0.2"/>
    <row r="1661" s="22" customFormat="1" ht="12.75" customHeight="1" x14ac:dyDescent="0.2"/>
    <row r="1662" s="22" customFormat="1" ht="12.75" customHeight="1" x14ac:dyDescent="0.2"/>
    <row r="1663" s="22" customFormat="1" ht="12.75" customHeight="1" x14ac:dyDescent="0.2"/>
    <row r="1664" s="22" customFormat="1" ht="12.75" customHeight="1" x14ac:dyDescent="0.2"/>
    <row r="1665" s="22" customFormat="1" ht="12.75" customHeight="1" x14ac:dyDescent="0.2"/>
    <row r="1666" s="22" customFormat="1" ht="12.75" customHeight="1" x14ac:dyDescent="0.2"/>
    <row r="1667" s="22" customFormat="1" ht="12.75" customHeight="1" x14ac:dyDescent="0.2"/>
    <row r="1668" s="22" customFormat="1" ht="12.75" customHeight="1" x14ac:dyDescent="0.2"/>
    <row r="1669" s="22" customFormat="1" ht="12.75" customHeight="1" x14ac:dyDescent="0.2"/>
    <row r="1670" s="22" customFormat="1" ht="12.75" customHeight="1" x14ac:dyDescent="0.2"/>
    <row r="1671" s="22" customFormat="1" ht="12.75" customHeight="1" x14ac:dyDescent="0.2"/>
    <row r="1672" s="22" customFormat="1" ht="12.75" customHeight="1" x14ac:dyDescent="0.2"/>
    <row r="1673" s="22" customFormat="1" ht="12.75" customHeight="1" x14ac:dyDescent="0.2"/>
    <row r="1674" s="22" customFormat="1" ht="12.75" customHeight="1" x14ac:dyDescent="0.2"/>
    <row r="1675" s="22" customFormat="1" ht="12.75" customHeight="1" x14ac:dyDescent="0.2"/>
    <row r="1676" s="22" customFormat="1" ht="12.75" customHeight="1" x14ac:dyDescent="0.2"/>
    <row r="1677" s="22" customFormat="1" ht="12.75" customHeight="1" x14ac:dyDescent="0.2"/>
    <row r="1678" s="22" customFormat="1" ht="12.75" customHeight="1" x14ac:dyDescent="0.2"/>
    <row r="1679" s="22" customFormat="1" ht="12.75" customHeight="1" x14ac:dyDescent="0.2"/>
    <row r="1680" s="22" customFormat="1" ht="12.75" customHeight="1" x14ac:dyDescent="0.2"/>
    <row r="1681" s="22" customFormat="1" ht="12.75" customHeight="1" x14ac:dyDescent="0.2"/>
    <row r="1682" s="22" customFormat="1" ht="12.75" customHeight="1" x14ac:dyDescent="0.2"/>
    <row r="1683" s="22" customFormat="1" ht="12.75" customHeight="1" x14ac:dyDescent="0.2"/>
    <row r="1684" s="22" customFormat="1" ht="12.75" customHeight="1" x14ac:dyDescent="0.2"/>
    <row r="1685" s="22" customFormat="1" ht="12.75" customHeight="1" x14ac:dyDescent="0.2"/>
    <row r="1686" s="22" customFormat="1" ht="12.75" customHeight="1" x14ac:dyDescent="0.2"/>
    <row r="1687" s="22" customFormat="1" ht="12.75" customHeight="1" x14ac:dyDescent="0.2"/>
    <row r="1688" s="22" customFormat="1" ht="12.75" customHeight="1" x14ac:dyDescent="0.2"/>
    <row r="1689" s="22" customFormat="1" ht="12.75" customHeight="1" x14ac:dyDescent="0.2"/>
    <row r="1690" s="22" customFormat="1" ht="12.75" customHeight="1" x14ac:dyDescent="0.2"/>
    <row r="1691" s="22" customFormat="1" ht="12.75" customHeight="1" x14ac:dyDescent="0.2"/>
    <row r="1692" s="22" customFormat="1" ht="12.75" customHeight="1" x14ac:dyDescent="0.2"/>
    <row r="1693" s="22" customFormat="1" ht="12.75" customHeight="1" x14ac:dyDescent="0.2"/>
    <row r="1694" s="22" customFormat="1" ht="12.75" customHeight="1" x14ac:dyDescent="0.2"/>
    <row r="1695" s="22" customFormat="1" ht="12.75" customHeight="1" x14ac:dyDescent="0.2"/>
    <row r="1696" s="22" customFormat="1" ht="12.75" customHeight="1" x14ac:dyDescent="0.2"/>
    <row r="1697" s="22" customFormat="1" ht="12.75" customHeight="1" x14ac:dyDescent="0.2"/>
    <row r="1698" s="22" customFormat="1" ht="12.75" customHeight="1" x14ac:dyDescent="0.2"/>
    <row r="1699" s="22" customFormat="1" ht="12.75" customHeight="1" x14ac:dyDescent="0.2"/>
    <row r="1700" s="22" customFormat="1" ht="12.75" customHeight="1" x14ac:dyDescent="0.2"/>
    <row r="1701" s="22" customFormat="1" ht="12.75" customHeight="1" x14ac:dyDescent="0.2"/>
    <row r="1702" s="22" customFormat="1" ht="12.75" customHeight="1" x14ac:dyDescent="0.2"/>
    <row r="1703" s="22" customFormat="1" ht="12.75" customHeight="1" x14ac:dyDescent="0.2"/>
    <row r="1704" s="22" customFormat="1" ht="12.75" customHeight="1" x14ac:dyDescent="0.2"/>
    <row r="1705" s="22" customFormat="1" ht="12.75" customHeight="1" x14ac:dyDescent="0.2"/>
    <row r="1706" s="22" customFormat="1" ht="12.75" customHeight="1" x14ac:dyDescent="0.2"/>
    <row r="1707" s="22" customFormat="1" ht="12.75" customHeight="1" x14ac:dyDescent="0.2"/>
    <row r="1708" s="22" customFormat="1" ht="12.75" customHeight="1" x14ac:dyDescent="0.2"/>
    <row r="1709" s="22" customFormat="1" ht="12.75" customHeight="1" x14ac:dyDescent="0.2"/>
    <row r="1710" s="22" customFormat="1" ht="12.75" customHeight="1" x14ac:dyDescent="0.2"/>
    <row r="1711" s="22" customFormat="1" ht="12.75" customHeight="1" x14ac:dyDescent="0.2"/>
    <row r="1712" s="22" customFormat="1" ht="12.75" customHeight="1" x14ac:dyDescent="0.2"/>
    <row r="1713" s="22" customFormat="1" ht="12.75" customHeight="1" x14ac:dyDescent="0.2"/>
    <row r="1714" s="22" customFormat="1" ht="12.75" customHeight="1" x14ac:dyDescent="0.2"/>
    <row r="1715" s="22" customFormat="1" ht="12.75" customHeight="1" x14ac:dyDescent="0.2"/>
    <row r="1716" s="22" customFormat="1" ht="12.75" customHeight="1" x14ac:dyDescent="0.2"/>
    <row r="1717" s="22" customFormat="1" ht="12.75" customHeight="1" x14ac:dyDescent="0.2"/>
    <row r="1718" s="22" customFormat="1" ht="12.75" customHeight="1" x14ac:dyDescent="0.2"/>
    <row r="1719" s="22" customFormat="1" ht="12.75" customHeight="1" x14ac:dyDescent="0.2"/>
    <row r="1720" s="22" customFormat="1" ht="12.75" customHeight="1" x14ac:dyDescent="0.2"/>
    <row r="1721" s="22" customFormat="1" ht="12.75" customHeight="1" x14ac:dyDescent="0.2"/>
    <row r="1722" s="22" customFormat="1" ht="12.75" customHeight="1" x14ac:dyDescent="0.2"/>
    <row r="1723" s="22" customFormat="1" ht="12.75" customHeight="1" x14ac:dyDescent="0.2"/>
    <row r="1724" s="22" customFormat="1" ht="12.75" customHeight="1" x14ac:dyDescent="0.2"/>
    <row r="1725" s="22" customFormat="1" ht="12.75" customHeight="1" x14ac:dyDescent="0.2"/>
    <row r="1726" s="22" customFormat="1" ht="12.75" customHeight="1" x14ac:dyDescent="0.2"/>
    <row r="1727" s="22" customFormat="1" ht="12.75" customHeight="1" x14ac:dyDescent="0.2"/>
    <row r="1728" s="22" customFormat="1" ht="12.75" customHeight="1" x14ac:dyDescent="0.2"/>
    <row r="1729" s="22" customFormat="1" ht="12.75" customHeight="1" x14ac:dyDescent="0.2"/>
    <row r="1730" s="22" customFormat="1" ht="12.75" customHeight="1" x14ac:dyDescent="0.2"/>
    <row r="1731" s="22" customFormat="1" ht="12.75" customHeight="1" x14ac:dyDescent="0.2"/>
    <row r="1732" s="22" customFormat="1" ht="12.75" customHeight="1" x14ac:dyDescent="0.2"/>
    <row r="1733" s="22" customFormat="1" ht="12.75" customHeight="1" x14ac:dyDescent="0.2"/>
    <row r="1734" s="22" customFormat="1" ht="12.75" customHeight="1" x14ac:dyDescent="0.2"/>
    <row r="1735" s="22" customFormat="1" ht="12.75" customHeight="1" x14ac:dyDescent="0.2"/>
    <row r="1736" s="22" customFormat="1" ht="12.75" customHeight="1" x14ac:dyDescent="0.2"/>
    <row r="1737" s="22" customFormat="1" ht="12.75" customHeight="1" x14ac:dyDescent="0.2"/>
    <row r="1738" s="22" customFormat="1" ht="12.75" customHeight="1" x14ac:dyDescent="0.2"/>
    <row r="1739" s="22" customFormat="1" ht="12.75" customHeight="1" x14ac:dyDescent="0.2"/>
    <row r="1740" s="22" customFormat="1" ht="12.75" customHeight="1" x14ac:dyDescent="0.2"/>
    <row r="1741" s="22" customFormat="1" ht="12.75" customHeight="1" x14ac:dyDescent="0.2"/>
    <row r="1742" s="22" customFormat="1" ht="12.75" customHeight="1" x14ac:dyDescent="0.2"/>
    <row r="1743" s="22" customFormat="1" ht="12.75" customHeight="1" x14ac:dyDescent="0.2"/>
    <row r="1744" s="22" customFormat="1" ht="12.75" customHeight="1" x14ac:dyDescent="0.2"/>
    <row r="1745" s="22" customFormat="1" ht="12.75" customHeight="1" x14ac:dyDescent="0.2"/>
    <row r="1746" s="22" customFormat="1" ht="12.75" customHeight="1" x14ac:dyDescent="0.2"/>
    <row r="1747" s="22" customFormat="1" ht="12.75" customHeight="1" x14ac:dyDescent="0.2"/>
    <row r="1748" s="22" customFormat="1" ht="12.75" customHeight="1" x14ac:dyDescent="0.2"/>
    <row r="1749" s="22" customFormat="1" ht="12.75" customHeight="1" x14ac:dyDescent="0.2"/>
    <row r="1750" s="22" customFormat="1" ht="12.75" customHeight="1" x14ac:dyDescent="0.2"/>
    <row r="1751" s="22" customFormat="1" ht="12.75" customHeight="1" x14ac:dyDescent="0.2"/>
    <row r="1752" s="22" customFormat="1" ht="12.75" customHeight="1" x14ac:dyDescent="0.2"/>
    <row r="1753" s="22" customFormat="1" ht="12.75" customHeight="1" x14ac:dyDescent="0.2"/>
    <row r="1754" s="22" customFormat="1" ht="12.75" customHeight="1" x14ac:dyDescent="0.2"/>
    <row r="1755" s="22" customFormat="1" ht="12.75" customHeight="1" x14ac:dyDescent="0.2"/>
    <row r="1756" s="22" customFormat="1" ht="12.75" customHeight="1" x14ac:dyDescent="0.2"/>
    <row r="1757" s="22" customFormat="1" ht="12.75" customHeight="1" x14ac:dyDescent="0.2"/>
    <row r="1758" s="22" customFormat="1" ht="12.75" customHeight="1" x14ac:dyDescent="0.2"/>
    <row r="1759" s="22" customFormat="1" ht="12.75" customHeight="1" x14ac:dyDescent="0.2"/>
    <row r="1760" s="22" customFormat="1" ht="12.75" customHeight="1" x14ac:dyDescent="0.2"/>
    <row r="1761" s="22" customFormat="1" ht="12.75" customHeight="1" x14ac:dyDescent="0.2"/>
    <row r="1762" s="22" customFormat="1" ht="12.75" customHeight="1" x14ac:dyDescent="0.2"/>
    <row r="1763" s="22" customFormat="1" ht="12.75" customHeight="1" x14ac:dyDescent="0.2"/>
    <row r="1764" s="22" customFormat="1" ht="12.75" customHeight="1" x14ac:dyDescent="0.2"/>
    <row r="1765" s="22" customFormat="1" ht="12.75" customHeight="1" x14ac:dyDescent="0.2"/>
    <row r="1766" s="22" customFormat="1" ht="12.75" customHeight="1" x14ac:dyDescent="0.2"/>
    <row r="1767" s="22" customFormat="1" ht="12.75" customHeight="1" x14ac:dyDescent="0.2"/>
    <row r="1768" s="22" customFormat="1" ht="12.75" customHeight="1" x14ac:dyDescent="0.2"/>
    <row r="1769" s="22" customFormat="1" ht="12.75" customHeight="1" x14ac:dyDescent="0.2"/>
    <row r="1770" s="22" customFormat="1" ht="12.75" customHeight="1" x14ac:dyDescent="0.2"/>
    <row r="1771" s="22" customFormat="1" ht="12.75" customHeight="1" x14ac:dyDescent="0.2"/>
    <row r="1772" s="22" customFormat="1" ht="12.75" customHeight="1" x14ac:dyDescent="0.2"/>
    <row r="1773" s="22" customFormat="1" ht="12.75" customHeight="1" x14ac:dyDescent="0.2"/>
    <row r="1774" s="22" customFormat="1" ht="12.75" customHeight="1" x14ac:dyDescent="0.2"/>
    <row r="1775" s="22" customFormat="1" ht="12.75" customHeight="1" x14ac:dyDescent="0.2"/>
    <row r="1776" s="22" customFormat="1" ht="12.75" customHeight="1" x14ac:dyDescent="0.2"/>
    <row r="1777" s="22" customFormat="1" ht="12.75" customHeight="1" x14ac:dyDescent="0.2"/>
    <row r="1778" s="22" customFormat="1" ht="12.75" customHeight="1" x14ac:dyDescent="0.2"/>
    <row r="1779" s="22" customFormat="1" ht="12.75" customHeight="1" x14ac:dyDescent="0.2"/>
    <row r="1780" s="22" customFormat="1" ht="12.75" customHeight="1" x14ac:dyDescent="0.2"/>
    <row r="1781" s="22" customFormat="1" ht="12.75" customHeight="1" x14ac:dyDescent="0.2"/>
    <row r="1782" s="22" customFormat="1" ht="12.75" customHeight="1" x14ac:dyDescent="0.2"/>
    <row r="1783" s="22" customFormat="1" ht="12.75" customHeight="1" x14ac:dyDescent="0.2"/>
    <row r="1784" s="22" customFormat="1" ht="12.75" customHeight="1" x14ac:dyDescent="0.2"/>
    <row r="1785" s="22" customFormat="1" ht="12.75" customHeight="1" x14ac:dyDescent="0.2"/>
    <row r="1786" s="22" customFormat="1" ht="12.75" customHeight="1" x14ac:dyDescent="0.2"/>
    <row r="1787" s="22" customFormat="1" ht="12.75" customHeight="1" x14ac:dyDescent="0.2"/>
    <row r="1788" s="22" customFormat="1" ht="12.75" customHeight="1" x14ac:dyDescent="0.2"/>
    <row r="1789" s="22" customFormat="1" ht="12.75" customHeight="1" x14ac:dyDescent="0.2"/>
    <row r="1790" s="22" customFormat="1" ht="12.75" customHeight="1" x14ac:dyDescent="0.2"/>
    <row r="1791" s="22" customFormat="1" ht="12.75" customHeight="1" x14ac:dyDescent="0.2"/>
    <row r="1792" s="22" customFormat="1" ht="12.75" customHeight="1" x14ac:dyDescent="0.2"/>
    <row r="1793" s="22" customFormat="1" ht="12.75" customHeight="1" x14ac:dyDescent="0.2"/>
    <row r="1794" s="22" customFormat="1" ht="12.75" customHeight="1" x14ac:dyDescent="0.2"/>
    <row r="1795" s="22" customFormat="1" ht="12.75" customHeight="1" x14ac:dyDescent="0.2"/>
    <row r="1796" s="22" customFormat="1" ht="12.75" customHeight="1" x14ac:dyDescent="0.2"/>
    <row r="1797" s="22" customFormat="1" ht="12.75" customHeight="1" x14ac:dyDescent="0.2"/>
    <row r="1798" s="22" customFormat="1" ht="12.75" customHeight="1" x14ac:dyDescent="0.2"/>
    <row r="1799" s="22" customFormat="1" ht="12.75" customHeight="1" x14ac:dyDescent="0.2"/>
    <row r="1800" s="22" customFormat="1" ht="12.75" customHeight="1" x14ac:dyDescent="0.2"/>
    <row r="1801" s="22" customFormat="1" ht="12.75" customHeight="1" x14ac:dyDescent="0.2"/>
    <row r="1802" s="22" customFormat="1" ht="12.75" customHeight="1" x14ac:dyDescent="0.2"/>
    <row r="1803" s="22" customFormat="1" ht="12.75" customHeight="1" x14ac:dyDescent="0.2"/>
    <row r="1804" s="22" customFormat="1" ht="12.75" customHeight="1" x14ac:dyDescent="0.2"/>
    <row r="1805" s="22" customFormat="1" ht="12.75" customHeight="1" x14ac:dyDescent="0.2"/>
    <row r="1806" s="22" customFormat="1" ht="12.75" customHeight="1" x14ac:dyDescent="0.2"/>
    <row r="1807" s="22" customFormat="1" ht="12.75" customHeight="1" x14ac:dyDescent="0.2"/>
    <row r="1808" s="22" customFormat="1" ht="12.75" customHeight="1" x14ac:dyDescent="0.2"/>
    <row r="1809" s="22" customFormat="1" ht="12.75" customHeight="1" x14ac:dyDescent="0.2"/>
    <row r="1810" s="22" customFormat="1" ht="12.75" customHeight="1" x14ac:dyDescent="0.2"/>
    <row r="1811" s="22" customFormat="1" ht="12.75" customHeight="1" x14ac:dyDescent="0.2"/>
    <row r="1812" s="22" customFormat="1" ht="12.75" customHeight="1" x14ac:dyDescent="0.2"/>
    <row r="1813" s="22" customFormat="1" ht="12.75" customHeight="1" x14ac:dyDescent="0.2"/>
    <row r="1814" s="22" customFormat="1" ht="12.75" customHeight="1" x14ac:dyDescent="0.2"/>
    <row r="1815" s="22" customFormat="1" ht="12.75" customHeight="1" x14ac:dyDescent="0.2"/>
    <row r="1816" s="22" customFormat="1" ht="12.75" customHeight="1" x14ac:dyDescent="0.2"/>
    <row r="1817" s="22" customFormat="1" ht="12.75" customHeight="1" x14ac:dyDescent="0.2"/>
    <row r="1818" s="22" customFormat="1" ht="12.75" customHeight="1" x14ac:dyDescent="0.2"/>
    <row r="1819" s="22" customFormat="1" ht="12.75" customHeight="1" x14ac:dyDescent="0.2"/>
    <row r="1820" s="22" customFormat="1" ht="12.75" customHeight="1" x14ac:dyDescent="0.2"/>
    <row r="1821" s="22" customFormat="1" ht="12.75" customHeight="1" x14ac:dyDescent="0.2"/>
    <row r="1822" s="22" customFormat="1" ht="12.75" customHeight="1" x14ac:dyDescent="0.2"/>
    <row r="1823" s="22" customFormat="1" ht="12.75" customHeight="1" x14ac:dyDescent="0.2"/>
    <row r="1824" s="22" customFormat="1" ht="12.75" customHeight="1" x14ac:dyDescent="0.2"/>
    <row r="1825" s="22" customFormat="1" ht="12.75" customHeight="1" x14ac:dyDescent="0.2"/>
    <row r="1826" s="22" customFormat="1" ht="12.75" customHeight="1" x14ac:dyDescent="0.2"/>
    <row r="1827" s="22" customFormat="1" ht="12.75" customHeight="1" x14ac:dyDescent="0.2"/>
    <row r="1828" s="22" customFormat="1" ht="12.75" customHeight="1" x14ac:dyDescent="0.2"/>
    <row r="1829" s="22" customFormat="1" ht="12.75" customHeight="1" x14ac:dyDescent="0.2"/>
    <row r="1830" s="22" customFormat="1" ht="12.75" customHeight="1" x14ac:dyDescent="0.2"/>
    <row r="1831" s="22" customFormat="1" ht="12.75" customHeight="1" x14ac:dyDescent="0.2"/>
    <row r="1832" s="22" customFormat="1" ht="12.75" customHeight="1" x14ac:dyDescent="0.2"/>
    <row r="1833" s="22" customFormat="1" ht="12.75" customHeight="1" x14ac:dyDescent="0.2"/>
    <row r="1834" s="22" customFormat="1" ht="12.75" customHeight="1" x14ac:dyDescent="0.2"/>
    <row r="1835" s="22" customFormat="1" ht="12.75" customHeight="1" x14ac:dyDescent="0.2"/>
    <row r="1836" s="22" customFormat="1" ht="12.75" customHeight="1" x14ac:dyDescent="0.2"/>
    <row r="1837" s="22" customFormat="1" ht="12.75" customHeight="1" x14ac:dyDescent="0.2"/>
    <row r="1838" s="22" customFormat="1" ht="12.75" customHeight="1" x14ac:dyDescent="0.2"/>
    <row r="1839" s="22" customFormat="1" ht="12.75" customHeight="1" x14ac:dyDescent="0.2"/>
    <row r="1840" s="22" customFormat="1" ht="12.75" customHeight="1" x14ac:dyDescent="0.2"/>
    <row r="1841" s="22" customFormat="1" ht="12.75" customHeight="1" x14ac:dyDescent="0.2"/>
    <row r="1842" s="22" customFormat="1" ht="12.75" customHeight="1" x14ac:dyDescent="0.2"/>
    <row r="1843" s="22" customFormat="1" ht="12.75" customHeight="1" x14ac:dyDescent="0.2"/>
    <row r="1844" s="22" customFormat="1" ht="12.75" customHeight="1" x14ac:dyDescent="0.2"/>
    <row r="1845" s="22" customFormat="1" ht="12.75" customHeight="1" x14ac:dyDescent="0.2"/>
    <row r="1846" s="22" customFormat="1" ht="12.75" customHeight="1" x14ac:dyDescent="0.2"/>
    <row r="1847" s="22" customFormat="1" ht="12.75" customHeight="1" x14ac:dyDescent="0.2"/>
    <row r="1848" s="22" customFormat="1" ht="12.75" customHeight="1" x14ac:dyDescent="0.2"/>
    <row r="1849" s="22" customFormat="1" ht="12.75" customHeight="1" x14ac:dyDescent="0.2"/>
    <row r="1850" s="22" customFormat="1" ht="12.75" customHeight="1" x14ac:dyDescent="0.2"/>
    <row r="1851" s="22" customFormat="1" ht="12.75" customHeight="1" x14ac:dyDescent="0.2"/>
    <row r="1852" s="22" customFormat="1" ht="12.75" customHeight="1" x14ac:dyDescent="0.2"/>
    <row r="1853" s="22" customFormat="1" ht="12.75" customHeight="1" x14ac:dyDescent="0.2"/>
    <row r="1854" s="22" customFormat="1" ht="12.75" customHeight="1" x14ac:dyDescent="0.2"/>
    <row r="1855" s="22" customFormat="1" ht="12.75" customHeight="1" x14ac:dyDescent="0.2"/>
    <row r="1856" s="22" customFormat="1" ht="12.75" customHeight="1" x14ac:dyDescent="0.2"/>
    <row r="1857" s="22" customFormat="1" ht="12.75" customHeight="1" x14ac:dyDescent="0.2"/>
    <row r="1858" s="22" customFormat="1" ht="12.75" customHeight="1" x14ac:dyDescent="0.2"/>
    <row r="1859" s="22" customFormat="1" ht="12.75" customHeight="1" x14ac:dyDescent="0.2"/>
    <row r="1860" s="22" customFormat="1" ht="12.75" customHeight="1" x14ac:dyDescent="0.2"/>
    <row r="1861" s="22" customFormat="1" ht="12.75" customHeight="1" x14ac:dyDescent="0.2"/>
    <row r="1862" s="22" customFormat="1" ht="12.75" customHeight="1" x14ac:dyDescent="0.2"/>
    <row r="1863" s="22" customFormat="1" ht="12.75" customHeight="1" x14ac:dyDescent="0.2"/>
    <row r="1864" s="22" customFormat="1" ht="12.75" customHeight="1" x14ac:dyDescent="0.2"/>
    <row r="1865" s="22" customFormat="1" ht="12.75" customHeight="1" x14ac:dyDescent="0.2"/>
    <row r="1866" s="22" customFormat="1" ht="12.75" customHeight="1" x14ac:dyDescent="0.2"/>
    <row r="1867" s="22" customFormat="1" ht="12.75" customHeight="1" x14ac:dyDescent="0.2"/>
    <row r="1868" s="22" customFormat="1" ht="12.75" customHeight="1" x14ac:dyDescent="0.2"/>
    <row r="1869" s="22" customFormat="1" ht="12.75" customHeight="1" x14ac:dyDescent="0.2"/>
    <row r="1870" s="22" customFormat="1" ht="12.75" customHeight="1" x14ac:dyDescent="0.2"/>
    <row r="1871" s="22" customFormat="1" ht="12.75" customHeight="1" x14ac:dyDescent="0.2"/>
    <row r="1872" s="22" customFormat="1" ht="12.75" customHeight="1" x14ac:dyDescent="0.2"/>
    <row r="1873" s="22" customFormat="1" ht="12.75" customHeight="1" x14ac:dyDescent="0.2"/>
    <row r="1874" s="22" customFormat="1" ht="12.75" customHeight="1" x14ac:dyDescent="0.2"/>
    <row r="1875" s="22" customFormat="1" ht="12.75" customHeight="1" x14ac:dyDescent="0.2"/>
    <row r="1876" s="22" customFormat="1" ht="12.75" customHeight="1" x14ac:dyDescent="0.2"/>
    <row r="1877" s="22" customFormat="1" ht="12.75" customHeight="1" x14ac:dyDescent="0.2"/>
    <row r="1878" s="22" customFormat="1" ht="12.75" customHeight="1" x14ac:dyDescent="0.2"/>
    <row r="1879" s="22" customFormat="1" ht="12.75" customHeight="1" x14ac:dyDescent="0.2"/>
    <row r="1880" s="22" customFormat="1" ht="12.75" customHeight="1" x14ac:dyDescent="0.2"/>
    <row r="1881" s="22" customFormat="1" ht="12.75" customHeight="1" x14ac:dyDescent="0.2"/>
    <row r="1882" s="22" customFormat="1" ht="12.75" customHeight="1" x14ac:dyDescent="0.2"/>
    <row r="1883" s="22" customFormat="1" ht="12.75" customHeight="1" x14ac:dyDescent="0.2"/>
    <row r="1884" s="22" customFormat="1" ht="12.75" customHeight="1" x14ac:dyDescent="0.2"/>
    <row r="1885" s="22" customFormat="1" ht="12.75" customHeight="1" x14ac:dyDescent="0.2"/>
    <row r="1886" s="22" customFormat="1" ht="12.75" customHeight="1" x14ac:dyDescent="0.2"/>
    <row r="1887" s="22" customFormat="1" ht="12.75" customHeight="1" x14ac:dyDescent="0.2"/>
    <row r="1888" s="22" customFormat="1" ht="12.75" customHeight="1" x14ac:dyDescent="0.2"/>
    <row r="1889" s="22" customFormat="1" ht="12.75" customHeight="1" x14ac:dyDescent="0.2"/>
    <row r="1890" s="22" customFormat="1" ht="12.75" customHeight="1" x14ac:dyDescent="0.2"/>
    <row r="1891" s="22" customFormat="1" ht="12.75" customHeight="1" x14ac:dyDescent="0.2"/>
    <row r="1892" s="22" customFormat="1" ht="12.75" customHeight="1" x14ac:dyDescent="0.2"/>
    <row r="1893" s="22" customFormat="1" ht="12.75" customHeight="1" x14ac:dyDescent="0.2"/>
    <row r="1894" s="22" customFormat="1" ht="12.75" customHeight="1" x14ac:dyDescent="0.2"/>
    <row r="1895" s="22" customFormat="1" ht="12.75" customHeight="1" x14ac:dyDescent="0.2"/>
    <row r="1896" s="22" customFormat="1" ht="12.75" customHeight="1" x14ac:dyDescent="0.2"/>
    <row r="1897" s="22" customFormat="1" ht="12.75" customHeight="1" x14ac:dyDescent="0.2"/>
    <row r="1898" s="22" customFormat="1" ht="12.75" customHeight="1" x14ac:dyDescent="0.2"/>
    <row r="1899" s="22" customFormat="1" ht="12.75" customHeight="1" x14ac:dyDescent="0.2"/>
    <row r="1900" s="22" customFormat="1" ht="12.75" customHeight="1" x14ac:dyDescent="0.2"/>
    <row r="1901" s="22" customFormat="1" ht="12.75" customHeight="1" x14ac:dyDescent="0.2"/>
    <row r="1902" s="22" customFormat="1" ht="12.75" customHeight="1" x14ac:dyDescent="0.2"/>
    <row r="1903" s="22" customFormat="1" ht="12.75" customHeight="1" x14ac:dyDescent="0.2"/>
    <row r="1904" s="22" customFormat="1" ht="12.75" customHeight="1" x14ac:dyDescent="0.2"/>
    <row r="1905" s="22" customFormat="1" ht="12.75" customHeight="1" x14ac:dyDescent="0.2"/>
    <row r="1906" s="22" customFormat="1" ht="12.75" customHeight="1" x14ac:dyDescent="0.2"/>
    <row r="1907" s="22" customFormat="1" ht="12.75" customHeight="1" x14ac:dyDescent="0.2"/>
    <row r="1908" s="22" customFormat="1" ht="12.75" customHeight="1" x14ac:dyDescent="0.2"/>
    <row r="1909" s="22" customFormat="1" ht="12.75" customHeight="1" x14ac:dyDescent="0.2"/>
    <row r="1910" s="22" customFormat="1" ht="12.75" customHeight="1" x14ac:dyDescent="0.2"/>
    <row r="1911" s="22" customFormat="1" ht="12.75" customHeight="1" x14ac:dyDescent="0.2"/>
    <row r="1912" s="22" customFormat="1" ht="12.75" customHeight="1" x14ac:dyDescent="0.2"/>
    <row r="1913" s="22" customFormat="1" ht="12.75" customHeight="1" x14ac:dyDescent="0.2"/>
    <row r="1914" s="22" customFormat="1" ht="12.75" customHeight="1" x14ac:dyDescent="0.2"/>
    <row r="1915" s="22" customFormat="1" ht="12.75" customHeight="1" x14ac:dyDescent="0.2"/>
    <row r="1916" s="22" customFormat="1" ht="12.75" customHeight="1" x14ac:dyDescent="0.2"/>
    <row r="1917" s="22" customFormat="1" ht="12.75" customHeight="1" x14ac:dyDescent="0.2"/>
    <row r="1918" s="22" customFormat="1" ht="12.75" customHeight="1" x14ac:dyDescent="0.2"/>
    <row r="1919" s="22" customFormat="1" ht="12.75" customHeight="1" x14ac:dyDescent="0.2"/>
    <row r="1920" s="22" customFormat="1" ht="12.75" customHeight="1" x14ac:dyDescent="0.2"/>
    <row r="1921" s="22" customFormat="1" ht="12.75" customHeight="1" x14ac:dyDescent="0.2"/>
    <row r="1922" s="22" customFormat="1" ht="12.75" customHeight="1" x14ac:dyDescent="0.2"/>
    <row r="1923" s="22" customFormat="1" ht="12.75" customHeight="1" x14ac:dyDescent="0.2"/>
    <row r="1924" s="22" customFormat="1" ht="12.75" customHeight="1" x14ac:dyDescent="0.2"/>
    <row r="1925" s="22" customFormat="1" ht="12.75" customHeight="1" x14ac:dyDescent="0.2"/>
    <row r="1926" s="22" customFormat="1" ht="12.75" customHeight="1" x14ac:dyDescent="0.2"/>
    <row r="1927" s="22" customFormat="1" ht="12.75" customHeight="1" x14ac:dyDescent="0.2"/>
    <row r="1928" s="22" customFormat="1" ht="12.75" customHeight="1" x14ac:dyDescent="0.2"/>
    <row r="1929" s="22" customFormat="1" ht="12.75" customHeight="1" x14ac:dyDescent="0.2"/>
    <row r="1930" s="22" customFormat="1" ht="12.75" customHeight="1" x14ac:dyDescent="0.2"/>
    <row r="1931" s="22" customFormat="1" ht="12.75" customHeight="1" x14ac:dyDescent="0.2"/>
    <row r="1932" s="22" customFormat="1" ht="12.75" customHeight="1" x14ac:dyDescent="0.2"/>
    <row r="1933" s="22" customFormat="1" ht="12.75" customHeight="1" x14ac:dyDescent="0.2"/>
    <row r="1934" s="22" customFormat="1" ht="12.75" customHeight="1" x14ac:dyDescent="0.2"/>
    <row r="1935" s="22" customFormat="1" ht="12.75" customHeight="1" x14ac:dyDescent="0.2"/>
    <row r="1936" s="22" customFormat="1" ht="12.75" customHeight="1" x14ac:dyDescent="0.2"/>
    <row r="1937" s="22" customFormat="1" ht="12.75" customHeight="1" x14ac:dyDescent="0.2"/>
    <row r="1938" s="22" customFormat="1" ht="12.75" customHeight="1" x14ac:dyDescent="0.2"/>
    <row r="1939" s="22" customFormat="1" ht="12.75" customHeight="1" x14ac:dyDescent="0.2"/>
    <row r="1940" s="22" customFormat="1" ht="12.75" customHeight="1" x14ac:dyDescent="0.2"/>
    <row r="1941" s="22" customFormat="1" ht="12.75" customHeight="1" x14ac:dyDescent="0.2"/>
    <row r="1942" s="22" customFormat="1" ht="12.75" customHeight="1" x14ac:dyDescent="0.2"/>
    <row r="1943" s="22" customFormat="1" ht="12.75" customHeight="1" x14ac:dyDescent="0.2"/>
    <row r="1944" s="22" customFormat="1" ht="12.75" customHeight="1" x14ac:dyDescent="0.2"/>
    <row r="1945" s="22" customFormat="1" ht="12.75" customHeight="1" x14ac:dyDescent="0.2"/>
    <row r="1946" s="22" customFormat="1" ht="12.75" customHeight="1" x14ac:dyDescent="0.2"/>
    <row r="1947" s="22" customFormat="1" ht="12.75" customHeight="1" x14ac:dyDescent="0.2"/>
    <row r="1948" s="22" customFormat="1" ht="12.75" customHeight="1" x14ac:dyDescent="0.2"/>
    <row r="1949" s="22" customFormat="1" ht="12.75" customHeight="1" x14ac:dyDescent="0.2"/>
    <row r="1950" s="22" customFormat="1" ht="12.75" customHeight="1" x14ac:dyDescent="0.2"/>
    <row r="1951" s="22" customFormat="1" ht="12.75" customHeight="1" x14ac:dyDescent="0.2"/>
    <row r="1952" s="22" customFormat="1" ht="12.75" customHeight="1" x14ac:dyDescent="0.2"/>
    <row r="1953" s="22" customFormat="1" ht="12.75" customHeight="1" x14ac:dyDescent="0.2"/>
    <row r="1954" s="22" customFormat="1" ht="12.75" customHeight="1" x14ac:dyDescent="0.2"/>
    <row r="1955" s="22" customFormat="1" ht="12.75" customHeight="1" x14ac:dyDescent="0.2"/>
    <row r="1956" s="22" customFormat="1" ht="12.75" customHeight="1" x14ac:dyDescent="0.2"/>
    <row r="1957" s="22" customFormat="1" ht="12.75" customHeight="1" x14ac:dyDescent="0.2"/>
    <row r="1958" s="22" customFormat="1" ht="12.75" customHeight="1" x14ac:dyDescent="0.2"/>
    <row r="1959" s="22" customFormat="1" ht="12.75" customHeight="1" x14ac:dyDescent="0.2"/>
    <row r="1960" s="22" customFormat="1" ht="12.75" customHeight="1" x14ac:dyDescent="0.2"/>
    <row r="1961" s="22" customFormat="1" ht="12.75" customHeight="1" x14ac:dyDescent="0.2"/>
    <row r="1962" s="22" customFormat="1" ht="12.75" customHeight="1" x14ac:dyDescent="0.2"/>
    <row r="1963" s="22" customFormat="1" ht="12.75" customHeight="1" x14ac:dyDescent="0.2"/>
    <row r="1964" s="22" customFormat="1" ht="12.75" customHeight="1" x14ac:dyDescent="0.2"/>
    <row r="1965" s="22" customFormat="1" ht="12.75" customHeight="1" x14ac:dyDescent="0.2"/>
    <row r="1966" s="22" customFormat="1" ht="12.75" customHeight="1" x14ac:dyDescent="0.2"/>
    <row r="1967" s="22" customFormat="1" ht="12.75" customHeight="1" x14ac:dyDescent="0.2"/>
    <row r="1968" s="22" customFormat="1" ht="12.75" customHeight="1" x14ac:dyDescent="0.2"/>
    <row r="1969" s="22" customFormat="1" ht="12.75" customHeight="1" x14ac:dyDescent="0.2"/>
    <row r="1970" s="22" customFormat="1" ht="12.75" customHeight="1" x14ac:dyDescent="0.2"/>
    <row r="1971" s="22" customFormat="1" ht="12.75" customHeight="1" x14ac:dyDescent="0.2"/>
    <row r="1972" s="22" customFormat="1" ht="12.75" customHeight="1" x14ac:dyDescent="0.2"/>
    <row r="1973" s="22" customFormat="1" ht="12.75" customHeight="1" x14ac:dyDescent="0.2"/>
    <row r="1974" s="22" customFormat="1" ht="12.75" customHeight="1" x14ac:dyDescent="0.2"/>
    <row r="1975" s="22" customFormat="1" ht="12.75" customHeight="1" x14ac:dyDescent="0.2"/>
    <row r="1976" s="22" customFormat="1" ht="12.75" customHeight="1" x14ac:dyDescent="0.2"/>
    <row r="1977" s="22" customFormat="1" ht="12.75" customHeight="1" x14ac:dyDescent="0.2"/>
    <row r="1978" s="22" customFormat="1" ht="12.75" customHeight="1" x14ac:dyDescent="0.2"/>
    <row r="1979" s="22" customFormat="1" ht="12.75" customHeight="1" x14ac:dyDescent="0.2"/>
    <row r="1980" s="22" customFormat="1" ht="12.75" customHeight="1" x14ac:dyDescent="0.2"/>
    <row r="1981" s="22" customFormat="1" ht="12.75" customHeight="1" x14ac:dyDescent="0.2"/>
    <row r="1982" s="22" customFormat="1" ht="12.75" customHeight="1" x14ac:dyDescent="0.2"/>
    <row r="1983" s="22" customFormat="1" ht="12.75" customHeight="1" x14ac:dyDescent="0.2"/>
    <row r="1984" s="22" customFormat="1" ht="12.75" customHeight="1" x14ac:dyDescent="0.2"/>
    <row r="1985" s="22" customFormat="1" ht="12.75" customHeight="1" x14ac:dyDescent="0.2"/>
    <row r="1986" s="22" customFormat="1" ht="12.75" customHeight="1" x14ac:dyDescent="0.2"/>
    <row r="1987" s="22" customFormat="1" ht="12.75" customHeight="1" x14ac:dyDescent="0.2"/>
    <row r="1988" s="22" customFormat="1" ht="12.75" customHeight="1" x14ac:dyDescent="0.2"/>
    <row r="1989" s="22" customFormat="1" ht="12.75" customHeight="1" x14ac:dyDescent="0.2"/>
    <row r="1990" s="22" customFormat="1" ht="12.75" customHeight="1" x14ac:dyDescent="0.2"/>
    <row r="1991" s="22" customFormat="1" ht="12.75" customHeight="1" x14ac:dyDescent="0.2"/>
    <row r="1992" s="22" customFormat="1" ht="12.75" customHeight="1" x14ac:dyDescent="0.2"/>
    <row r="1993" s="22" customFormat="1" ht="12.75" customHeight="1" x14ac:dyDescent="0.2"/>
    <row r="1994" s="22" customFormat="1" ht="12.75" customHeight="1" x14ac:dyDescent="0.2"/>
    <row r="1995" s="22" customFormat="1" ht="12.75" customHeight="1" x14ac:dyDescent="0.2"/>
    <row r="1996" s="22" customFormat="1" ht="12.75" customHeight="1" x14ac:dyDescent="0.2"/>
    <row r="1997" s="22" customFormat="1" ht="12.75" customHeight="1" x14ac:dyDescent="0.2"/>
    <row r="1998" s="22" customFormat="1" ht="12.75" customHeight="1" x14ac:dyDescent="0.2"/>
    <row r="1999" s="22" customFormat="1" ht="12.75" customHeight="1" x14ac:dyDescent="0.2"/>
    <row r="2000" s="22" customFormat="1" ht="12.75" customHeight="1" x14ac:dyDescent="0.2"/>
    <row r="2001" s="22" customFormat="1" ht="12.75" customHeight="1" x14ac:dyDescent="0.2"/>
    <row r="2002" s="22" customFormat="1" ht="12.75" customHeight="1" x14ac:dyDescent="0.2"/>
    <row r="2003" s="22" customFormat="1" ht="12.75" customHeight="1" x14ac:dyDescent="0.2"/>
    <row r="2004" s="22" customFormat="1" ht="12.75" customHeight="1" x14ac:dyDescent="0.2"/>
    <row r="2005" s="22" customFormat="1" ht="12.75" customHeight="1" x14ac:dyDescent="0.2"/>
    <row r="2006" s="22" customFormat="1" ht="12.75" customHeight="1" x14ac:dyDescent="0.2"/>
    <row r="2007" s="22" customFormat="1" ht="12.75" customHeight="1" x14ac:dyDescent="0.2"/>
    <row r="2008" s="22" customFormat="1" ht="12.75" customHeight="1" x14ac:dyDescent="0.2"/>
    <row r="2009" s="22" customFormat="1" ht="12.75" customHeight="1" x14ac:dyDescent="0.2"/>
    <row r="2010" s="22" customFormat="1" ht="12.75" customHeight="1" x14ac:dyDescent="0.2"/>
    <row r="2011" s="22" customFormat="1" ht="12.75" customHeight="1" x14ac:dyDescent="0.2"/>
    <row r="2012" s="22" customFormat="1" ht="12.75" customHeight="1" x14ac:dyDescent="0.2"/>
    <row r="2013" s="22" customFormat="1" ht="12.75" customHeight="1" x14ac:dyDescent="0.2"/>
    <row r="2014" s="22" customFormat="1" ht="12.75" customHeight="1" x14ac:dyDescent="0.2"/>
    <row r="2015" s="22" customFormat="1" ht="12.75" customHeight="1" x14ac:dyDescent="0.2"/>
    <row r="2016" s="22" customFormat="1" ht="12.75" customHeight="1" x14ac:dyDescent="0.2"/>
    <row r="2017" s="22" customFormat="1" ht="12.75" customHeight="1" x14ac:dyDescent="0.2"/>
    <row r="2018" s="22" customFormat="1" ht="12.75" customHeight="1" x14ac:dyDescent="0.2"/>
    <row r="2019" s="22" customFormat="1" ht="12.75" customHeight="1" x14ac:dyDescent="0.2"/>
    <row r="2020" s="22" customFormat="1" ht="12.75" customHeight="1" x14ac:dyDescent="0.2"/>
    <row r="2021" s="22" customFormat="1" ht="12.75" customHeight="1" x14ac:dyDescent="0.2"/>
    <row r="2022" s="22" customFormat="1" ht="12.75" customHeight="1" x14ac:dyDescent="0.2"/>
    <row r="2023" s="22" customFormat="1" ht="12.75" customHeight="1" x14ac:dyDescent="0.2"/>
    <row r="2024" s="22" customFormat="1" ht="12.75" customHeight="1" x14ac:dyDescent="0.2"/>
    <row r="2025" s="22" customFormat="1" ht="12.75" customHeight="1" x14ac:dyDescent="0.2"/>
    <row r="2026" s="22" customFormat="1" ht="12.75" customHeight="1" x14ac:dyDescent="0.2"/>
    <row r="2027" s="22" customFormat="1" ht="12.75" customHeight="1" x14ac:dyDescent="0.2"/>
    <row r="2028" s="22" customFormat="1" ht="12.75" customHeight="1" x14ac:dyDescent="0.2"/>
    <row r="2029" s="22" customFormat="1" ht="12.75" customHeight="1" x14ac:dyDescent="0.2"/>
    <row r="2030" s="22" customFormat="1" ht="12.75" customHeight="1" x14ac:dyDescent="0.2"/>
    <row r="2031" s="22" customFormat="1" ht="12.75" customHeight="1" x14ac:dyDescent="0.2"/>
    <row r="2032" s="22" customFormat="1" ht="12.75" customHeight="1" x14ac:dyDescent="0.2"/>
    <row r="2033" s="22" customFormat="1" ht="12.75" customHeight="1" x14ac:dyDescent="0.2"/>
    <row r="2034" s="22" customFormat="1" ht="12.75" customHeight="1" x14ac:dyDescent="0.2"/>
    <row r="2035" s="22" customFormat="1" ht="12.75" customHeight="1" x14ac:dyDescent="0.2"/>
    <row r="2036" s="22" customFormat="1" ht="12.75" customHeight="1" x14ac:dyDescent="0.2"/>
    <row r="2037" s="22" customFormat="1" ht="12.75" customHeight="1" x14ac:dyDescent="0.2"/>
    <row r="2038" s="22" customFormat="1" ht="12.75" customHeight="1" x14ac:dyDescent="0.2"/>
    <row r="2039" s="22" customFormat="1" ht="12.75" customHeight="1" x14ac:dyDescent="0.2"/>
    <row r="2040" s="22" customFormat="1" ht="12.75" customHeight="1" x14ac:dyDescent="0.2"/>
    <row r="2041" s="22" customFormat="1" ht="12.75" customHeight="1" x14ac:dyDescent="0.2"/>
    <row r="2042" s="22" customFormat="1" ht="12.75" customHeight="1" x14ac:dyDescent="0.2"/>
    <row r="2043" s="22" customFormat="1" ht="12.75" customHeight="1" x14ac:dyDescent="0.2"/>
    <row r="2044" s="22" customFormat="1" ht="12.75" customHeight="1" x14ac:dyDescent="0.2"/>
    <row r="2045" s="22" customFormat="1" ht="12.75" customHeight="1" x14ac:dyDescent="0.2"/>
    <row r="2046" s="22" customFormat="1" ht="12.75" customHeight="1" x14ac:dyDescent="0.2"/>
    <row r="2047" s="22" customFormat="1" ht="12.75" customHeight="1" x14ac:dyDescent="0.2"/>
    <row r="2048" s="22" customFormat="1" ht="12.75" customHeight="1" x14ac:dyDescent="0.2"/>
    <row r="2049" s="22" customFormat="1" ht="12.75" customHeight="1" x14ac:dyDescent="0.2"/>
    <row r="2050" s="22" customFormat="1" ht="12.75" customHeight="1" x14ac:dyDescent="0.2"/>
    <row r="2051" s="22" customFormat="1" ht="12.75" customHeight="1" x14ac:dyDescent="0.2"/>
    <row r="2052" s="22" customFormat="1" ht="12.75" customHeight="1" x14ac:dyDescent="0.2"/>
    <row r="2053" s="22" customFormat="1" ht="12.75" customHeight="1" x14ac:dyDescent="0.2"/>
    <row r="2054" s="22" customFormat="1" ht="12.75" customHeight="1" x14ac:dyDescent="0.2"/>
    <row r="2055" s="22" customFormat="1" ht="12.75" customHeight="1" x14ac:dyDescent="0.2"/>
    <row r="2056" s="22" customFormat="1" ht="12.75" customHeight="1" x14ac:dyDescent="0.2"/>
    <row r="2057" s="22" customFormat="1" ht="12.75" customHeight="1" x14ac:dyDescent="0.2"/>
    <row r="2058" s="22" customFormat="1" ht="12.75" customHeight="1" x14ac:dyDescent="0.2"/>
    <row r="2059" s="22" customFormat="1" ht="12.75" customHeight="1" x14ac:dyDescent="0.2"/>
    <row r="2060" s="22" customFormat="1" ht="12.75" customHeight="1" x14ac:dyDescent="0.2"/>
    <row r="2061" s="22" customFormat="1" ht="12.75" customHeight="1" x14ac:dyDescent="0.2"/>
    <row r="2062" s="22" customFormat="1" ht="12.75" customHeight="1" x14ac:dyDescent="0.2"/>
    <row r="2063" s="22" customFormat="1" ht="12.75" customHeight="1" x14ac:dyDescent="0.2"/>
    <row r="2064" s="22" customFormat="1" ht="12.75" customHeight="1" x14ac:dyDescent="0.2"/>
    <row r="2065" s="22" customFormat="1" ht="12.75" customHeight="1" x14ac:dyDescent="0.2"/>
    <row r="2066" s="22" customFormat="1" ht="12.75" customHeight="1" x14ac:dyDescent="0.2"/>
    <row r="2067" s="22" customFormat="1" ht="12.75" customHeight="1" x14ac:dyDescent="0.2"/>
    <row r="2068" s="22" customFormat="1" ht="12.75" customHeight="1" x14ac:dyDescent="0.2"/>
    <row r="2069" s="22" customFormat="1" ht="12.75" customHeight="1" x14ac:dyDescent="0.2"/>
    <row r="2070" s="22" customFormat="1" ht="12.75" customHeight="1" x14ac:dyDescent="0.2"/>
    <row r="2071" s="22" customFormat="1" ht="12.75" customHeight="1" x14ac:dyDescent="0.2"/>
    <row r="2072" s="22" customFormat="1" ht="12.75" customHeight="1" x14ac:dyDescent="0.2"/>
    <row r="2073" s="22" customFormat="1" ht="12.75" customHeight="1" x14ac:dyDescent="0.2"/>
    <row r="2074" s="22" customFormat="1" ht="12.75" customHeight="1" x14ac:dyDescent="0.2"/>
    <row r="2075" s="22" customFormat="1" ht="12.75" customHeight="1" x14ac:dyDescent="0.2"/>
    <row r="2076" s="22" customFormat="1" ht="12.75" customHeight="1" x14ac:dyDescent="0.2"/>
    <row r="2077" s="22" customFormat="1" ht="12.75" customHeight="1" x14ac:dyDescent="0.2"/>
    <row r="2078" s="22" customFormat="1" ht="12.75" customHeight="1" x14ac:dyDescent="0.2"/>
    <row r="2079" s="22" customFormat="1" ht="12.75" customHeight="1" x14ac:dyDescent="0.2"/>
    <row r="2080" s="22" customFormat="1" ht="12.75" customHeight="1" x14ac:dyDescent="0.2"/>
    <row r="2081" s="22" customFormat="1" ht="12.75" customHeight="1" x14ac:dyDescent="0.2"/>
    <row r="2082" s="22" customFormat="1" ht="12.75" customHeight="1" x14ac:dyDescent="0.2"/>
    <row r="2083" s="22" customFormat="1" ht="12.75" customHeight="1" x14ac:dyDescent="0.2"/>
    <row r="2084" s="22" customFormat="1" ht="12.75" customHeight="1" x14ac:dyDescent="0.2"/>
    <row r="2085" s="22" customFormat="1" ht="12.75" customHeight="1" x14ac:dyDescent="0.2"/>
    <row r="2086" s="22" customFormat="1" ht="12.75" customHeight="1" x14ac:dyDescent="0.2"/>
    <row r="2087" s="22" customFormat="1" ht="12.75" customHeight="1" x14ac:dyDescent="0.2"/>
    <row r="2088" s="22" customFormat="1" ht="12.75" customHeight="1" x14ac:dyDescent="0.2"/>
    <row r="2089" s="22" customFormat="1" ht="12.75" customHeight="1" x14ac:dyDescent="0.2"/>
    <row r="2090" s="22" customFormat="1" ht="12.75" customHeight="1" x14ac:dyDescent="0.2"/>
    <row r="2091" s="22" customFormat="1" ht="12.75" customHeight="1" x14ac:dyDescent="0.2"/>
    <row r="2092" s="22" customFormat="1" ht="12.75" customHeight="1" x14ac:dyDescent="0.2"/>
    <row r="2093" s="22" customFormat="1" ht="12.75" customHeight="1" x14ac:dyDescent="0.2"/>
    <row r="2094" s="22" customFormat="1" ht="12.75" customHeight="1" x14ac:dyDescent="0.2"/>
    <row r="2095" s="22" customFormat="1" ht="12.75" customHeight="1" x14ac:dyDescent="0.2"/>
    <row r="2096" s="22" customFormat="1" ht="12.75" customHeight="1" x14ac:dyDescent="0.2"/>
    <row r="2097" s="22" customFormat="1" ht="12.75" customHeight="1" x14ac:dyDescent="0.2"/>
    <row r="2098" s="22" customFormat="1" ht="12.75" customHeight="1" x14ac:dyDescent="0.2"/>
    <row r="2099" s="22" customFormat="1" ht="12.75" customHeight="1" x14ac:dyDescent="0.2"/>
    <row r="2100" s="22" customFormat="1" ht="12.75" customHeight="1" x14ac:dyDescent="0.2"/>
    <row r="2101" s="22" customFormat="1" ht="12.75" customHeight="1" x14ac:dyDescent="0.2"/>
    <row r="2102" s="22" customFormat="1" ht="12.75" customHeight="1" x14ac:dyDescent="0.2"/>
    <row r="2103" s="22" customFormat="1" ht="12.75" customHeight="1" x14ac:dyDescent="0.2"/>
    <row r="2104" s="22" customFormat="1" ht="12.75" customHeight="1" x14ac:dyDescent="0.2"/>
    <row r="2105" s="22" customFormat="1" ht="12.75" customHeight="1" x14ac:dyDescent="0.2"/>
    <row r="2106" s="22" customFormat="1" ht="12.75" customHeight="1" x14ac:dyDescent="0.2"/>
    <row r="2107" s="22" customFormat="1" ht="12.75" customHeight="1" x14ac:dyDescent="0.2"/>
    <row r="2108" s="22" customFormat="1" ht="12.75" customHeight="1" x14ac:dyDescent="0.2"/>
    <row r="2109" s="22" customFormat="1" ht="12.75" customHeight="1" x14ac:dyDescent="0.2"/>
    <row r="2110" s="22" customFormat="1" ht="12.75" customHeight="1" x14ac:dyDescent="0.2"/>
    <row r="2111" s="22" customFormat="1" ht="12.75" customHeight="1" x14ac:dyDescent="0.2"/>
    <row r="2112" s="22" customFormat="1" ht="12.75" customHeight="1" x14ac:dyDescent="0.2"/>
    <row r="2113" s="22" customFormat="1" ht="12.75" customHeight="1" x14ac:dyDescent="0.2"/>
    <row r="2114" s="22" customFormat="1" ht="12.75" customHeight="1" x14ac:dyDescent="0.2"/>
    <row r="2115" s="22" customFormat="1" ht="12.75" customHeight="1" x14ac:dyDescent="0.2"/>
    <row r="2116" s="22" customFormat="1" ht="12.75" customHeight="1" x14ac:dyDescent="0.2"/>
    <row r="2117" s="22" customFormat="1" ht="12.75" customHeight="1" x14ac:dyDescent="0.2"/>
    <row r="2118" s="22" customFormat="1" ht="12.75" customHeight="1" x14ac:dyDescent="0.2"/>
    <row r="2119" s="22" customFormat="1" ht="12.75" customHeight="1" x14ac:dyDescent="0.2"/>
    <row r="2120" s="22" customFormat="1" ht="12.75" customHeight="1" x14ac:dyDescent="0.2"/>
    <row r="2121" s="22" customFormat="1" ht="12.75" customHeight="1" x14ac:dyDescent="0.2"/>
    <row r="2122" s="22" customFormat="1" ht="12.75" customHeight="1" x14ac:dyDescent="0.2"/>
    <row r="2123" s="22" customFormat="1" ht="12.75" customHeight="1" x14ac:dyDescent="0.2"/>
    <row r="2124" s="22" customFormat="1" ht="12.75" customHeight="1" x14ac:dyDescent="0.2"/>
    <row r="2125" s="22" customFormat="1" ht="12.75" customHeight="1" x14ac:dyDescent="0.2"/>
    <row r="2126" s="22" customFormat="1" ht="12.75" customHeight="1" x14ac:dyDescent="0.2"/>
    <row r="2127" s="22" customFormat="1" ht="12.75" customHeight="1" x14ac:dyDescent="0.2"/>
    <row r="2128" s="22" customFormat="1" ht="12.75" customHeight="1" x14ac:dyDescent="0.2"/>
    <row r="2129" s="22" customFormat="1" ht="12.75" customHeight="1" x14ac:dyDescent="0.2"/>
    <row r="2130" s="22" customFormat="1" ht="12.75" customHeight="1" x14ac:dyDescent="0.2"/>
    <row r="2131" s="22" customFormat="1" ht="12.75" customHeight="1" x14ac:dyDescent="0.2"/>
    <row r="2132" s="22" customFormat="1" ht="12.75" customHeight="1" x14ac:dyDescent="0.2"/>
    <row r="2133" s="22" customFormat="1" ht="12.75" customHeight="1" x14ac:dyDescent="0.2"/>
    <row r="2134" s="22" customFormat="1" ht="12.75" customHeight="1" x14ac:dyDescent="0.2"/>
    <row r="2135" s="22" customFormat="1" ht="12.75" customHeight="1" x14ac:dyDescent="0.2"/>
    <row r="2136" s="22" customFormat="1" ht="12.75" customHeight="1" x14ac:dyDescent="0.2"/>
    <row r="2137" s="22" customFormat="1" ht="12.75" customHeight="1" x14ac:dyDescent="0.2"/>
    <row r="2138" s="22" customFormat="1" ht="12.75" customHeight="1" x14ac:dyDescent="0.2"/>
    <row r="2139" s="22" customFormat="1" ht="12.75" customHeight="1" x14ac:dyDescent="0.2"/>
    <row r="2140" s="22" customFormat="1" ht="12.75" customHeight="1" x14ac:dyDescent="0.2"/>
    <row r="2141" s="22" customFormat="1" ht="12.75" customHeight="1" x14ac:dyDescent="0.2"/>
    <row r="2142" s="22" customFormat="1" ht="12.75" customHeight="1" x14ac:dyDescent="0.2"/>
    <row r="2143" s="22" customFormat="1" ht="12.75" customHeight="1" x14ac:dyDescent="0.2"/>
    <row r="2144" s="22" customFormat="1" ht="12.75" customHeight="1" x14ac:dyDescent="0.2"/>
    <row r="2145" s="22" customFormat="1" ht="12.75" customHeight="1" x14ac:dyDescent="0.2"/>
    <row r="2146" s="22" customFormat="1" ht="12.75" customHeight="1" x14ac:dyDescent="0.2"/>
    <row r="2147" s="22" customFormat="1" ht="12.75" customHeight="1" x14ac:dyDescent="0.2"/>
    <row r="2148" s="22" customFormat="1" ht="12.75" customHeight="1" x14ac:dyDescent="0.2"/>
    <row r="2149" s="22" customFormat="1" ht="12.75" customHeight="1" x14ac:dyDescent="0.2"/>
    <row r="2150" s="22" customFormat="1" ht="12.75" customHeight="1" x14ac:dyDescent="0.2"/>
    <row r="2151" s="22" customFormat="1" ht="12.75" customHeight="1" x14ac:dyDescent="0.2"/>
    <row r="2152" s="22" customFormat="1" ht="12.75" customHeight="1" x14ac:dyDescent="0.2"/>
    <row r="2153" s="22" customFormat="1" ht="12.75" customHeight="1" x14ac:dyDescent="0.2"/>
    <row r="2154" s="22" customFormat="1" ht="12.75" customHeight="1" x14ac:dyDescent="0.2"/>
    <row r="2155" s="22" customFormat="1" ht="12.75" customHeight="1" x14ac:dyDescent="0.2"/>
    <row r="2156" s="22" customFormat="1" ht="12.75" customHeight="1" x14ac:dyDescent="0.2"/>
    <row r="2157" s="22" customFormat="1" ht="12.75" customHeight="1" x14ac:dyDescent="0.2"/>
    <row r="2158" s="22" customFormat="1" ht="12.75" customHeight="1" x14ac:dyDescent="0.2"/>
    <row r="2159" s="22" customFormat="1" ht="12.75" customHeight="1" x14ac:dyDescent="0.2"/>
    <row r="2160" s="22" customFormat="1" ht="12.75" customHeight="1" x14ac:dyDescent="0.2"/>
    <row r="2161" s="22" customFormat="1" ht="12.75" customHeight="1" x14ac:dyDescent="0.2"/>
    <row r="2162" s="22" customFormat="1" ht="12.75" customHeight="1" x14ac:dyDescent="0.2"/>
    <row r="2163" s="22" customFormat="1" ht="12.75" customHeight="1" x14ac:dyDescent="0.2"/>
    <row r="2164" s="22" customFormat="1" ht="12.75" customHeight="1" x14ac:dyDescent="0.2"/>
    <row r="2165" s="22" customFormat="1" ht="12.75" customHeight="1" x14ac:dyDescent="0.2"/>
    <row r="2166" s="22" customFormat="1" ht="12.75" customHeight="1" x14ac:dyDescent="0.2"/>
    <row r="2167" s="22" customFormat="1" ht="12.75" customHeight="1" x14ac:dyDescent="0.2"/>
    <row r="2168" s="22" customFormat="1" ht="12.75" customHeight="1" x14ac:dyDescent="0.2"/>
    <row r="2169" s="22" customFormat="1" ht="12.75" customHeight="1" x14ac:dyDescent="0.2"/>
    <row r="2170" s="22" customFormat="1" ht="12.75" customHeight="1" x14ac:dyDescent="0.2"/>
    <row r="2171" s="22" customFormat="1" ht="12.75" customHeight="1" x14ac:dyDescent="0.2"/>
    <row r="2172" s="22" customFormat="1" ht="12.75" customHeight="1" x14ac:dyDescent="0.2"/>
    <row r="2173" s="22" customFormat="1" ht="12.75" customHeight="1" x14ac:dyDescent="0.2"/>
    <row r="2174" s="22" customFormat="1" ht="12.75" customHeight="1" x14ac:dyDescent="0.2"/>
    <row r="2175" s="22" customFormat="1" ht="12.75" customHeight="1" x14ac:dyDescent="0.2"/>
    <row r="2176" s="22" customFormat="1" ht="12.75" customHeight="1" x14ac:dyDescent="0.2"/>
    <row r="2177" s="22" customFormat="1" ht="12.75" customHeight="1" x14ac:dyDescent="0.2"/>
    <row r="2178" s="22" customFormat="1" ht="12.75" customHeight="1" x14ac:dyDescent="0.2"/>
    <row r="2179" s="22" customFormat="1" ht="12.75" customHeight="1" x14ac:dyDescent="0.2"/>
    <row r="2180" s="22" customFormat="1" ht="12.75" customHeight="1" x14ac:dyDescent="0.2"/>
    <row r="2181" s="22" customFormat="1" ht="12.75" customHeight="1" x14ac:dyDescent="0.2"/>
    <row r="2182" s="22" customFormat="1" ht="12.75" customHeight="1" x14ac:dyDescent="0.2"/>
    <row r="2183" s="22" customFormat="1" ht="12.75" customHeight="1" x14ac:dyDescent="0.2"/>
    <row r="2184" s="22" customFormat="1" ht="12.75" customHeight="1" x14ac:dyDescent="0.2"/>
    <row r="2185" s="22" customFormat="1" ht="12.75" customHeight="1" x14ac:dyDescent="0.2"/>
    <row r="2186" s="22" customFormat="1" ht="12.75" customHeight="1" x14ac:dyDescent="0.2"/>
    <row r="2187" s="22" customFormat="1" ht="12.75" customHeight="1" x14ac:dyDescent="0.2"/>
    <row r="2188" s="22" customFormat="1" ht="12.75" customHeight="1" x14ac:dyDescent="0.2"/>
    <row r="2189" s="22" customFormat="1" ht="12.75" customHeight="1" x14ac:dyDescent="0.2"/>
    <row r="2190" s="22" customFormat="1" ht="12.75" customHeight="1" x14ac:dyDescent="0.2"/>
    <row r="2191" s="22" customFormat="1" ht="12.75" customHeight="1" x14ac:dyDescent="0.2"/>
    <row r="2192" s="22" customFormat="1" ht="12.75" customHeight="1" x14ac:dyDescent="0.2"/>
    <row r="2193" s="22" customFormat="1" ht="12.75" customHeight="1" x14ac:dyDescent="0.2"/>
    <row r="2194" s="22" customFormat="1" ht="12.75" customHeight="1" x14ac:dyDescent="0.2"/>
    <row r="2195" s="22" customFormat="1" ht="12.75" customHeight="1" x14ac:dyDescent="0.2"/>
    <row r="2196" s="22" customFormat="1" ht="12.75" customHeight="1" x14ac:dyDescent="0.2"/>
    <row r="2197" s="22" customFormat="1" ht="12.75" customHeight="1" x14ac:dyDescent="0.2"/>
    <row r="2198" s="22" customFormat="1" ht="12.75" customHeight="1" x14ac:dyDescent="0.2"/>
    <row r="2199" s="22" customFormat="1" ht="12.75" customHeight="1" x14ac:dyDescent="0.2"/>
    <row r="2200" s="22" customFormat="1" ht="12.75" customHeight="1" x14ac:dyDescent="0.2"/>
    <row r="2201" s="22" customFormat="1" ht="12.75" customHeight="1" x14ac:dyDescent="0.2"/>
    <row r="2202" s="22" customFormat="1" ht="12.75" customHeight="1" x14ac:dyDescent="0.2"/>
    <row r="2203" s="22" customFormat="1" ht="12.75" customHeight="1" x14ac:dyDescent="0.2"/>
    <row r="2204" s="22" customFormat="1" ht="12.75" customHeight="1" x14ac:dyDescent="0.2"/>
    <row r="2205" s="22" customFormat="1" ht="12.75" customHeight="1" x14ac:dyDescent="0.2"/>
    <row r="2206" s="22" customFormat="1" ht="12.75" customHeight="1" x14ac:dyDescent="0.2"/>
    <row r="2207" s="22" customFormat="1" ht="12.75" customHeight="1" x14ac:dyDescent="0.2"/>
    <row r="2208" s="22" customFormat="1" ht="12.75" customHeight="1" x14ac:dyDescent="0.2"/>
    <row r="2209" s="22" customFormat="1" ht="12.75" customHeight="1" x14ac:dyDescent="0.2"/>
    <row r="2210" s="22" customFormat="1" ht="12.75" customHeight="1" x14ac:dyDescent="0.2"/>
    <row r="2211" s="22" customFormat="1" ht="12.75" customHeight="1" x14ac:dyDescent="0.2"/>
    <row r="2212" s="22" customFormat="1" ht="12.75" customHeight="1" x14ac:dyDescent="0.2"/>
    <row r="2213" s="22" customFormat="1" ht="12.75" customHeight="1" x14ac:dyDescent="0.2"/>
    <row r="2214" s="22" customFormat="1" ht="12.75" customHeight="1" x14ac:dyDescent="0.2"/>
    <row r="2215" s="22" customFormat="1" ht="12.75" customHeight="1" x14ac:dyDescent="0.2"/>
    <row r="2216" s="22" customFormat="1" ht="12.75" customHeight="1" x14ac:dyDescent="0.2"/>
    <row r="2217" s="22" customFormat="1" ht="12.75" customHeight="1" x14ac:dyDescent="0.2"/>
    <row r="2218" s="22" customFormat="1" ht="12.75" customHeight="1" x14ac:dyDescent="0.2"/>
    <row r="2219" s="22" customFormat="1" ht="12.75" customHeight="1" x14ac:dyDescent="0.2"/>
    <row r="2220" s="22" customFormat="1" ht="12.75" customHeight="1" x14ac:dyDescent="0.2"/>
    <row r="2221" s="22" customFormat="1" ht="12.75" customHeight="1" x14ac:dyDescent="0.2"/>
    <row r="2222" s="22" customFormat="1" ht="12.75" customHeight="1" x14ac:dyDescent="0.2"/>
    <row r="2223" s="22" customFormat="1" ht="12.75" customHeight="1" x14ac:dyDescent="0.2"/>
    <row r="2224" s="22" customFormat="1" ht="12.75" customHeight="1" x14ac:dyDescent="0.2"/>
    <row r="2225" s="22" customFormat="1" ht="12.75" customHeight="1" x14ac:dyDescent="0.2"/>
    <row r="2226" s="22" customFormat="1" ht="12.75" customHeight="1" x14ac:dyDescent="0.2"/>
    <row r="2227" s="22" customFormat="1" ht="12.75" customHeight="1" x14ac:dyDescent="0.2"/>
    <row r="2228" s="22" customFormat="1" ht="12.75" customHeight="1" x14ac:dyDescent="0.2"/>
    <row r="2229" s="22" customFormat="1" ht="12.75" customHeight="1" x14ac:dyDescent="0.2"/>
    <row r="2230" s="22" customFormat="1" ht="12.75" customHeight="1" x14ac:dyDescent="0.2"/>
    <row r="2231" s="22" customFormat="1" ht="12.75" customHeight="1" x14ac:dyDescent="0.2"/>
    <row r="2232" s="22" customFormat="1" ht="12.75" customHeight="1" x14ac:dyDescent="0.2"/>
    <row r="2233" s="22" customFormat="1" ht="12.75" customHeight="1" x14ac:dyDescent="0.2"/>
    <row r="2234" s="22" customFormat="1" ht="12.75" customHeight="1" x14ac:dyDescent="0.2"/>
    <row r="2235" s="22" customFormat="1" ht="12.75" customHeight="1" x14ac:dyDescent="0.2"/>
    <row r="2236" s="22" customFormat="1" ht="12.75" customHeight="1" x14ac:dyDescent="0.2"/>
    <row r="2237" s="22" customFormat="1" ht="12.75" customHeight="1" x14ac:dyDescent="0.2"/>
    <row r="2238" s="22" customFormat="1" ht="12.75" customHeight="1" x14ac:dyDescent="0.2"/>
    <row r="2239" s="22" customFormat="1" ht="12.75" customHeight="1" x14ac:dyDescent="0.2"/>
    <row r="2240" s="22" customFormat="1" ht="12.75" customHeight="1" x14ac:dyDescent="0.2"/>
    <row r="2241" s="22" customFormat="1" ht="12.75" customHeight="1" x14ac:dyDescent="0.2"/>
    <row r="2242" s="22" customFormat="1" ht="12.75" customHeight="1" x14ac:dyDescent="0.2"/>
    <row r="2243" s="22" customFormat="1" ht="12.75" customHeight="1" x14ac:dyDescent="0.2"/>
    <row r="2244" s="22" customFormat="1" ht="12.75" customHeight="1" x14ac:dyDescent="0.2"/>
    <row r="2245" s="22" customFormat="1" ht="12.75" customHeight="1" x14ac:dyDescent="0.2"/>
    <row r="2246" s="22" customFormat="1" ht="12.75" customHeight="1" x14ac:dyDescent="0.2"/>
    <row r="2247" s="22" customFormat="1" ht="12.75" customHeight="1" x14ac:dyDescent="0.2"/>
    <row r="2248" s="22" customFormat="1" ht="12.75" customHeight="1" x14ac:dyDescent="0.2"/>
    <row r="2249" s="22" customFormat="1" ht="12.75" customHeight="1" x14ac:dyDescent="0.2"/>
    <row r="2250" s="22" customFormat="1" ht="12.75" customHeight="1" x14ac:dyDescent="0.2"/>
    <row r="2251" s="22" customFormat="1" ht="12.75" customHeight="1" x14ac:dyDescent="0.2"/>
    <row r="2252" s="22" customFormat="1" ht="12.75" customHeight="1" x14ac:dyDescent="0.2"/>
    <row r="2253" s="22" customFormat="1" ht="12.75" customHeight="1" x14ac:dyDescent="0.2"/>
    <row r="2254" s="22" customFormat="1" ht="12.75" customHeight="1" x14ac:dyDescent="0.2"/>
    <row r="2255" s="22" customFormat="1" ht="12.75" customHeight="1" x14ac:dyDescent="0.2"/>
    <row r="2256" s="22" customFormat="1" ht="12.75" customHeight="1" x14ac:dyDescent="0.2"/>
    <row r="2257" s="22" customFormat="1" ht="12.75" customHeight="1" x14ac:dyDescent="0.2"/>
    <row r="2258" s="22" customFormat="1" ht="12.75" customHeight="1" x14ac:dyDescent="0.2"/>
    <row r="2259" s="22" customFormat="1" ht="12.75" customHeight="1" x14ac:dyDescent="0.2"/>
    <row r="2260" s="22" customFormat="1" ht="12.75" customHeight="1" x14ac:dyDescent="0.2"/>
    <row r="2261" s="22" customFormat="1" ht="12.75" customHeight="1" x14ac:dyDescent="0.2"/>
    <row r="2262" s="22" customFormat="1" ht="12.75" customHeight="1" x14ac:dyDescent="0.2"/>
    <row r="2263" s="22" customFormat="1" ht="12.75" customHeight="1" x14ac:dyDescent="0.2"/>
    <row r="2264" s="22" customFormat="1" ht="12.75" customHeight="1" x14ac:dyDescent="0.2"/>
    <row r="2265" s="22" customFormat="1" ht="12.75" customHeight="1" x14ac:dyDescent="0.2"/>
    <row r="2266" s="22" customFormat="1" ht="12.75" customHeight="1" x14ac:dyDescent="0.2"/>
    <row r="2267" s="22" customFormat="1" ht="12.75" customHeight="1" x14ac:dyDescent="0.2"/>
    <row r="2268" s="22" customFormat="1" ht="12.75" customHeight="1" x14ac:dyDescent="0.2"/>
    <row r="2269" s="22" customFormat="1" ht="12.75" customHeight="1" x14ac:dyDescent="0.2"/>
    <row r="2270" s="22" customFormat="1" ht="12.75" customHeight="1" x14ac:dyDescent="0.2"/>
    <row r="2271" s="22" customFormat="1" ht="12.75" customHeight="1" x14ac:dyDescent="0.2"/>
    <row r="2272" s="22" customFormat="1" ht="12.75" customHeight="1" x14ac:dyDescent="0.2"/>
    <row r="2273" s="22" customFormat="1" ht="12.75" customHeight="1" x14ac:dyDescent="0.2"/>
    <row r="2274" s="22" customFormat="1" ht="12.75" customHeight="1" x14ac:dyDescent="0.2"/>
    <row r="2275" s="22" customFormat="1" ht="12.75" customHeight="1" x14ac:dyDescent="0.2"/>
    <row r="2276" s="22" customFormat="1" ht="12.75" customHeight="1" x14ac:dyDescent="0.2"/>
    <row r="2277" s="22" customFormat="1" ht="12.75" customHeight="1" x14ac:dyDescent="0.2"/>
    <row r="2278" s="22" customFormat="1" ht="12.75" customHeight="1" x14ac:dyDescent="0.2"/>
    <row r="2279" s="22" customFormat="1" ht="12.75" customHeight="1" x14ac:dyDescent="0.2"/>
    <row r="2280" s="22" customFormat="1" ht="12.75" customHeight="1" x14ac:dyDescent="0.2"/>
    <row r="2281" s="22" customFormat="1" ht="12.75" customHeight="1" x14ac:dyDescent="0.2"/>
    <row r="2282" s="22" customFormat="1" ht="12.75" customHeight="1" x14ac:dyDescent="0.2"/>
    <row r="2283" s="22" customFormat="1" ht="12.75" customHeight="1" x14ac:dyDescent="0.2"/>
    <row r="2284" s="22" customFormat="1" ht="12.75" customHeight="1" x14ac:dyDescent="0.2"/>
    <row r="2285" s="22" customFormat="1" ht="12.75" customHeight="1" x14ac:dyDescent="0.2"/>
    <row r="2286" s="22" customFormat="1" ht="12.75" customHeight="1" x14ac:dyDescent="0.2"/>
    <row r="2287" s="22" customFormat="1" ht="12.75" customHeight="1" x14ac:dyDescent="0.2"/>
    <row r="2288" s="22" customFormat="1" ht="12.75" customHeight="1" x14ac:dyDescent="0.2"/>
    <row r="2289" s="22" customFormat="1" ht="12.75" customHeight="1" x14ac:dyDescent="0.2"/>
    <row r="2290" s="22" customFormat="1" ht="12.75" customHeight="1" x14ac:dyDescent="0.2"/>
    <row r="2291" s="22" customFormat="1" ht="12.75" customHeight="1" x14ac:dyDescent="0.2"/>
    <row r="2292" s="22" customFormat="1" ht="12.75" customHeight="1" x14ac:dyDescent="0.2"/>
    <row r="2293" s="22" customFormat="1" ht="12.75" customHeight="1" x14ac:dyDescent="0.2"/>
    <row r="2294" s="22" customFormat="1" ht="12.75" customHeight="1" x14ac:dyDescent="0.2"/>
    <row r="2295" s="22" customFormat="1" ht="12.75" customHeight="1" x14ac:dyDescent="0.2"/>
    <row r="2296" s="22" customFormat="1" ht="12.75" customHeight="1" x14ac:dyDescent="0.2"/>
    <row r="2297" s="22" customFormat="1" ht="12.75" customHeight="1" x14ac:dyDescent="0.2"/>
    <row r="2298" s="22" customFormat="1" ht="12.75" customHeight="1" x14ac:dyDescent="0.2"/>
    <row r="2299" s="22" customFormat="1" ht="12.75" customHeight="1" x14ac:dyDescent="0.2"/>
    <row r="2300" s="22" customFormat="1" ht="12.75" customHeight="1" x14ac:dyDescent="0.2"/>
    <row r="2301" s="22" customFormat="1" ht="12.75" customHeight="1" x14ac:dyDescent="0.2"/>
    <row r="2302" s="22" customFormat="1" ht="12.75" customHeight="1" x14ac:dyDescent="0.2"/>
    <row r="2303" s="22" customFormat="1" ht="12.75" customHeight="1" x14ac:dyDescent="0.2"/>
    <row r="2304" s="22" customFormat="1" ht="12.75" customHeight="1" x14ac:dyDescent="0.2"/>
    <row r="2305" s="22" customFormat="1" ht="12.75" customHeight="1" x14ac:dyDescent="0.2"/>
    <row r="2306" s="22" customFormat="1" ht="12.75" customHeight="1" x14ac:dyDescent="0.2"/>
    <row r="2307" s="22" customFormat="1" ht="12.75" customHeight="1" x14ac:dyDescent="0.2"/>
    <row r="2308" s="22" customFormat="1" ht="12.75" customHeight="1" x14ac:dyDescent="0.2"/>
    <row r="2309" s="22" customFormat="1" ht="12.75" customHeight="1" x14ac:dyDescent="0.2"/>
    <row r="2310" s="22" customFormat="1" ht="12.75" customHeight="1" x14ac:dyDescent="0.2"/>
    <row r="2311" s="22" customFormat="1" ht="12.75" customHeight="1" x14ac:dyDescent="0.2"/>
    <row r="2312" s="22" customFormat="1" ht="12.75" customHeight="1" x14ac:dyDescent="0.2"/>
    <row r="2313" s="22" customFormat="1" ht="12.75" customHeight="1" x14ac:dyDescent="0.2"/>
    <row r="2314" s="22" customFormat="1" ht="12.75" customHeight="1" x14ac:dyDescent="0.2"/>
    <row r="2315" s="22" customFormat="1" ht="12.75" customHeight="1" x14ac:dyDescent="0.2"/>
    <row r="2316" s="22" customFormat="1" ht="12.75" customHeight="1" x14ac:dyDescent="0.2"/>
    <row r="2317" s="22" customFormat="1" ht="12.75" customHeight="1" x14ac:dyDescent="0.2"/>
    <row r="2318" s="22" customFormat="1" ht="12.75" customHeight="1" x14ac:dyDescent="0.2"/>
    <row r="2319" s="22" customFormat="1" ht="12.75" customHeight="1" x14ac:dyDescent="0.2"/>
    <row r="2320" s="22" customFormat="1" ht="12.75" customHeight="1" x14ac:dyDescent="0.2"/>
    <row r="2321" s="22" customFormat="1" ht="12.75" customHeight="1" x14ac:dyDescent="0.2"/>
    <row r="2322" s="22" customFormat="1" ht="12.75" customHeight="1" x14ac:dyDescent="0.2"/>
    <row r="2323" s="22" customFormat="1" ht="12.75" customHeight="1" x14ac:dyDescent="0.2"/>
    <row r="2324" s="22" customFormat="1" ht="12.75" customHeight="1" x14ac:dyDescent="0.2"/>
    <row r="2325" s="22" customFormat="1" ht="12.75" customHeight="1" x14ac:dyDescent="0.2"/>
    <row r="2326" s="22" customFormat="1" ht="12.75" customHeight="1" x14ac:dyDescent="0.2"/>
    <row r="2327" s="22" customFormat="1" ht="12.75" customHeight="1" x14ac:dyDescent="0.2"/>
    <row r="2328" s="22" customFormat="1" ht="12.75" customHeight="1" x14ac:dyDescent="0.2"/>
    <row r="2329" s="22" customFormat="1" ht="12.75" customHeight="1" x14ac:dyDescent="0.2"/>
    <row r="2330" s="22" customFormat="1" ht="12.75" customHeight="1" x14ac:dyDescent="0.2"/>
    <row r="2331" s="22" customFormat="1" ht="12.75" customHeight="1" x14ac:dyDescent="0.2"/>
    <row r="2332" s="22" customFormat="1" ht="12.75" customHeight="1" x14ac:dyDescent="0.2"/>
    <row r="2333" s="22" customFormat="1" ht="12.75" customHeight="1" x14ac:dyDescent="0.2"/>
    <row r="2334" s="22" customFormat="1" ht="12.75" customHeight="1" x14ac:dyDescent="0.2"/>
    <row r="2335" s="22" customFormat="1" ht="12.75" customHeight="1" x14ac:dyDescent="0.2"/>
    <row r="2336" s="22" customFormat="1" ht="12.75" customHeight="1" x14ac:dyDescent="0.2"/>
    <row r="2337" s="22" customFormat="1" ht="12.75" customHeight="1" x14ac:dyDescent="0.2"/>
    <row r="2338" s="22" customFormat="1" ht="12.75" customHeight="1" x14ac:dyDescent="0.2"/>
    <row r="2339" s="22" customFormat="1" ht="12.75" customHeight="1" x14ac:dyDescent="0.2"/>
    <row r="2340" s="22" customFormat="1" ht="12.75" customHeight="1" x14ac:dyDescent="0.2"/>
    <row r="2341" s="22" customFormat="1" ht="12.75" customHeight="1" x14ac:dyDescent="0.2"/>
    <row r="2342" s="22" customFormat="1" ht="12.75" customHeight="1" x14ac:dyDescent="0.2"/>
    <row r="2343" s="22" customFormat="1" ht="12.75" customHeight="1" x14ac:dyDescent="0.2"/>
    <row r="2344" s="22" customFormat="1" ht="12.75" customHeight="1" x14ac:dyDescent="0.2"/>
    <row r="2345" s="22" customFormat="1" ht="12.75" customHeight="1" x14ac:dyDescent="0.2"/>
    <row r="2346" s="22" customFormat="1" ht="12.75" customHeight="1" x14ac:dyDescent="0.2"/>
    <row r="2347" s="22" customFormat="1" ht="12.75" customHeight="1" x14ac:dyDescent="0.2"/>
    <row r="2348" s="22" customFormat="1" ht="12.75" customHeight="1" x14ac:dyDescent="0.2"/>
    <row r="2349" s="22" customFormat="1" ht="12.75" customHeight="1" x14ac:dyDescent="0.2"/>
    <row r="2350" s="22" customFormat="1" ht="12.75" customHeight="1" x14ac:dyDescent="0.2"/>
    <row r="2351" s="22" customFormat="1" ht="12.75" customHeight="1" x14ac:dyDescent="0.2"/>
    <row r="2352" s="22" customFormat="1" ht="12.75" customHeight="1" x14ac:dyDescent="0.2"/>
    <row r="2353" s="22" customFormat="1" ht="12.75" customHeight="1" x14ac:dyDescent="0.2"/>
    <row r="2354" s="22" customFormat="1" ht="12.75" customHeight="1" x14ac:dyDescent="0.2"/>
    <row r="2355" s="22" customFormat="1" ht="12.75" customHeight="1" x14ac:dyDescent="0.2"/>
    <row r="2356" s="22" customFormat="1" ht="12.75" customHeight="1" x14ac:dyDescent="0.2"/>
    <row r="2357" s="22" customFormat="1" ht="12.75" customHeight="1" x14ac:dyDescent="0.2"/>
    <row r="2358" s="22" customFormat="1" ht="12.75" customHeight="1" x14ac:dyDescent="0.2"/>
    <row r="2359" s="22" customFormat="1" ht="12.75" customHeight="1" x14ac:dyDescent="0.2"/>
    <row r="2360" s="22" customFormat="1" ht="12.75" customHeight="1" x14ac:dyDescent="0.2"/>
    <row r="2361" s="22" customFormat="1" ht="12.75" customHeight="1" x14ac:dyDescent="0.2"/>
    <row r="2362" s="22" customFormat="1" ht="12.75" customHeight="1" x14ac:dyDescent="0.2"/>
    <row r="2363" s="22" customFormat="1" ht="12.75" customHeight="1" x14ac:dyDescent="0.2"/>
    <row r="2364" s="22" customFormat="1" ht="12.75" customHeight="1" x14ac:dyDescent="0.2"/>
    <row r="2365" s="22" customFormat="1" ht="12.75" customHeight="1" x14ac:dyDescent="0.2"/>
    <row r="2366" s="22" customFormat="1" ht="12.75" customHeight="1" x14ac:dyDescent="0.2"/>
    <row r="2367" s="22" customFormat="1" ht="12.75" customHeight="1" x14ac:dyDescent="0.2"/>
    <row r="2368" s="22" customFormat="1" ht="12.75" customHeight="1" x14ac:dyDescent="0.2"/>
    <row r="2369" s="22" customFormat="1" ht="12.75" customHeight="1" x14ac:dyDescent="0.2"/>
    <row r="2370" s="22" customFormat="1" ht="12.75" customHeight="1" x14ac:dyDescent="0.2"/>
    <row r="2371" s="22" customFormat="1" ht="12.75" customHeight="1" x14ac:dyDescent="0.2"/>
    <row r="2372" s="22" customFormat="1" ht="12.75" customHeight="1" x14ac:dyDescent="0.2"/>
    <row r="2373" s="22" customFormat="1" ht="12.75" customHeight="1" x14ac:dyDescent="0.2"/>
    <row r="2374" s="22" customFormat="1" ht="12.75" customHeight="1" x14ac:dyDescent="0.2"/>
    <row r="2375" s="22" customFormat="1" ht="12.75" customHeight="1" x14ac:dyDescent="0.2"/>
    <row r="2376" s="22" customFormat="1" ht="12.75" customHeight="1" x14ac:dyDescent="0.2"/>
    <row r="2377" s="22" customFormat="1" ht="12.75" customHeight="1" x14ac:dyDescent="0.2"/>
    <row r="2378" s="22" customFormat="1" ht="12.75" customHeight="1" x14ac:dyDescent="0.2"/>
    <row r="2379" s="22" customFormat="1" ht="12.75" customHeight="1" x14ac:dyDescent="0.2"/>
    <row r="2380" s="22" customFormat="1" ht="12.75" customHeight="1" x14ac:dyDescent="0.2"/>
    <row r="2381" s="22" customFormat="1" ht="12.75" customHeight="1" x14ac:dyDescent="0.2"/>
    <row r="2382" s="22" customFormat="1" ht="12.75" customHeight="1" x14ac:dyDescent="0.2"/>
    <row r="2383" s="22" customFormat="1" ht="12.75" customHeight="1" x14ac:dyDescent="0.2"/>
    <row r="2384" s="22" customFormat="1" ht="12.75" customHeight="1" x14ac:dyDescent="0.2"/>
    <row r="2385" s="22" customFormat="1" ht="12.75" customHeight="1" x14ac:dyDescent="0.2"/>
    <row r="2386" s="22" customFormat="1" ht="12.75" customHeight="1" x14ac:dyDescent="0.2"/>
    <row r="2387" s="22" customFormat="1" ht="12.75" customHeight="1" x14ac:dyDescent="0.2"/>
    <row r="2388" s="22" customFormat="1" ht="12.75" customHeight="1" x14ac:dyDescent="0.2"/>
    <row r="2389" s="22" customFormat="1" ht="12.75" customHeight="1" x14ac:dyDescent="0.2"/>
    <row r="2390" s="22" customFormat="1" ht="12.75" customHeight="1" x14ac:dyDescent="0.2"/>
    <row r="2391" s="22" customFormat="1" ht="12.75" customHeight="1" x14ac:dyDescent="0.2"/>
    <row r="2392" s="22" customFormat="1" ht="12.75" customHeight="1" x14ac:dyDescent="0.2"/>
    <row r="2393" s="22" customFormat="1" ht="12.75" customHeight="1" x14ac:dyDescent="0.2"/>
    <row r="2394" s="22" customFormat="1" ht="12.75" customHeight="1" x14ac:dyDescent="0.2"/>
    <row r="2395" s="22" customFormat="1" ht="12.75" customHeight="1" x14ac:dyDescent="0.2"/>
    <row r="2396" s="22" customFormat="1" ht="12.75" customHeight="1" x14ac:dyDescent="0.2"/>
    <row r="2397" s="22" customFormat="1" ht="12.75" customHeight="1" x14ac:dyDescent="0.2"/>
    <row r="2398" s="22" customFormat="1" ht="12.75" customHeight="1" x14ac:dyDescent="0.2"/>
    <row r="2399" s="22" customFormat="1" ht="12.75" customHeight="1" x14ac:dyDescent="0.2"/>
    <row r="2400" s="22" customFormat="1" ht="12.75" customHeight="1" x14ac:dyDescent="0.2"/>
    <row r="2401" s="22" customFormat="1" ht="12.75" customHeight="1" x14ac:dyDescent="0.2"/>
    <row r="2402" s="22" customFormat="1" ht="12.75" customHeight="1" x14ac:dyDescent="0.2"/>
    <row r="2403" s="22" customFormat="1" ht="12.75" customHeight="1" x14ac:dyDescent="0.2"/>
    <row r="2404" s="22" customFormat="1" ht="12.75" customHeight="1" x14ac:dyDescent="0.2"/>
    <row r="2405" s="22" customFormat="1" ht="12.75" customHeight="1" x14ac:dyDescent="0.2"/>
    <row r="2406" s="22" customFormat="1" ht="12.75" customHeight="1" x14ac:dyDescent="0.2"/>
    <row r="2407" s="22" customFormat="1" ht="12.75" customHeight="1" x14ac:dyDescent="0.2"/>
    <row r="2408" s="22" customFormat="1" ht="12.75" customHeight="1" x14ac:dyDescent="0.2"/>
    <row r="2409" s="22" customFormat="1" ht="12.75" customHeight="1" x14ac:dyDescent="0.2"/>
    <row r="2410" s="22" customFormat="1" ht="12.75" customHeight="1" x14ac:dyDescent="0.2"/>
    <row r="2411" s="22" customFormat="1" ht="12.75" customHeight="1" x14ac:dyDescent="0.2"/>
    <row r="2412" s="22" customFormat="1" ht="12.75" customHeight="1" x14ac:dyDescent="0.2"/>
    <row r="2413" s="22" customFormat="1" ht="12.75" customHeight="1" x14ac:dyDescent="0.2"/>
    <row r="2414" s="22" customFormat="1" ht="12.75" customHeight="1" x14ac:dyDescent="0.2"/>
    <row r="2415" s="22" customFormat="1" ht="12.75" customHeight="1" x14ac:dyDescent="0.2"/>
    <row r="2416" s="22" customFormat="1" ht="12.75" customHeight="1" x14ac:dyDescent="0.2"/>
    <row r="2417" s="22" customFormat="1" ht="12.75" customHeight="1" x14ac:dyDescent="0.2"/>
    <row r="2418" s="22" customFormat="1" ht="12.75" customHeight="1" x14ac:dyDescent="0.2"/>
    <row r="2419" s="22" customFormat="1" ht="12.75" customHeight="1" x14ac:dyDescent="0.2"/>
    <row r="2420" s="22" customFormat="1" ht="12.75" customHeight="1" x14ac:dyDescent="0.2"/>
    <row r="2421" s="22" customFormat="1" ht="12.75" customHeight="1" x14ac:dyDescent="0.2"/>
    <row r="2422" s="22" customFormat="1" ht="12.75" customHeight="1" x14ac:dyDescent="0.2"/>
    <row r="2423" s="22" customFormat="1" ht="12.75" customHeight="1" x14ac:dyDescent="0.2"/>
    <row r="2424" s="22" customFormat="1" ht="12.75" customHeight="1" x14ac:dyDescent="0.2"/>
    <row r="2425" s="22" customFormat="1" ht="12.75" customHeight="1" x14ac:dyDescent="0.2"/>
    <row r="2426" s="22" customFormat="1" ht="12.75" customHeight="1" x14ac:dyDescent="0.2"/>
    <row r="2427" s="22" customFormat="1" ht="12.75" customHeight="1" x14ac:dyDescent="0.2"/>
    <row r="2428" s="22" customFormat="1" ht="12.75" customHeight="1" x14ac:dyDescent="0.2"/>
    <row r="2429" s="22" customFormat="1" ht="12.75" customHeight="1" x14ac:dyDescent="0.2"/>
    <row r="2430" s="22" customFormat="1" ht="12.75" customHeight="1" x14ac:dyDescent="0.2"/>
    <row r="2431" s="22" customFormat="1" ht="12.75" customHeight="1" x14ac:dyDescent="0.2"/>
    <row r="2432" s="22" customFormat="1" ht="12.75" customHeight="1" x14ac:dyDescent="0.2"/>
    <row r="2433" s="22" customFormat="1" ht="12.75" customHeight="1" x14ac:dyDescent="0.2"/>
    <row r="2434" s="22" customFormat="1" ht="12.75" customHeight="1" x14ac:dyDescent="0.2"/>
    <row r="2435" s="22" customFormat="1" ht="12.75" customHeight="1" x14ac:dyDescent="0.2"/>
    <row r="2436" s="22" customFormat="1" ht="12.75" customHeight="1" x14ac:dyDescent="0.2"/>
    <row r="2437" s="22" customFormat="1" ht="12.75" customHeight="1" x14ac:dyDescent="0.2"/>
    <row r="2438" s="22" customFormat="1" ht="12.75" customHeight="1" x14ac:dyDescent="0.2"/>
    <row r="2439" s="22" customFormat="1" ht="12.75" customHeight="1" x14ac:dyDescent="0.2"/>
    <row r="2440" s="22" customFormat="1" ht="12.75" customHeight="1" x14ac:dyDescent="0.2"/>
    <row r="2441" s="22" customFormat="1" ht="12.75" customHeight="1" x14ac:dyDescent="0.2"/>
    <row r="2442" s="22" customFormat="1" ht="12.75" customHeight="1" x14ac:dyDescent="0.2"/>
    <row r="2443" s="22" customFormat="1" ht="12.75" customHeight="1" x14ac:dyDescent="0.2"/>
    <row r="2444" s="22" customFormat="1" ht="12.75" customHeight="1" x14ac:dyDescent="0.2"/>
    <row r="2445" s="22" customFormat="1" ht="12.75" customHeight="1" x14ac:dyDescent="0.2"/>
    <row r="2446" s="22" customFormat="1" ht="12.75" customHeight="1" x14ac:dyDescent="0.2"/>
    <row r="2447" s="22" customFormat="1" ht="12.75" customHeight="1" x14ac:dyDescent="0.2"/>
    <row r="2448" s="22" customFormat="1" ht="12.75" customHeight="1" x14ac:dyDescent="0.2"/>
    <row r="2449" s="22" customFormat="1" ht="12.75" customHeight="1" x14ac:dyDescent="0.2"/>
    <row r="2450" s="22" customFormat="1" ht="12.75" customHeight="1" x14ac:dyDescent="0.2"/>
    <row r="2451" s="22" customFormat="1" ht="12.75" customHeight="1" x14ac:dyDescent="0.2"/>
    <row r="2452" s="22" customFormat="1" ht="12.75" customHeight="1" x14ac:dyDescent="0.2"/>
    <row r="2453" s="22" customFormat="1" ht="12.75" customHeight="1" x14ac:dyDescent="0.2"/>
    <row r="2454" s="22" customFormat="1" ht="12.75" customHeight="1" x14ac:dyDescent="0.2"/>
    <row r="2455" s="22" customFormat="1" ht="12.75" customHeight="1" x14ac:dyDescent="0.2"/>
    <row r="2456" s="22" customFormat="1" ht="12.75" customHeight="1" x14ac:dyDescent="0.2"/>
    <row r="2457" s="22" customFormat="1" ht="12.75" customHeight="1" x14ac:dyDescent="0.2"/>
    <row r="2458" s="22" customFormat="1" ht="12.75" customHeight="1" x14ac:dyDescent="0.2"/>
    <row r="2459" s="22" customFormat="1" ht="12.75" customHeight="1" x14ac:dyDescent="0.2"/>
    <row r="2460" s="22" customFormat="1" ht="12.75" customHeight="1" x14ac:dyDescent="0.2"/>
    <row r="2461" s="22" customFormat="1" ht="12.75" customHeight="1" x14ac:dyDescent="0.2"/>
    <row r="2462" s="22" customFormat="1" ht="12.75" customHeight="1" x14ac:dyDescent="0.2"/>
    <row r="2463" s="22" customFormat="1" ht="12.75" customHeight="1" x14ac:dyDescent="0.2"/>
    <row r="2464" s="22" customFormat="1" ht="12.75" customHeight="1" x14ac:dyDescent="0.2"/>
    <row r="2465" s="22" customFormat="1" ht="12.75" customHeight="1" x14ac:dyDescent="0.2"/>
    <row r="2466" s="22" customFormat="1" ht="12.75" customHeight="1" x14ac:dyDescent="0.2"/>
    <row r="2467" s="22" customFormat="1" ht="12.75" customHeight="1" x14ac:dyDescent="0.2"/>
    <row r="2468" s="22" customFormat="1" ht="12.75" customHeight="1" x14ac:dyDescent="0.2"/>
    <row r="2469" s="22" customFormat="1" ht="12.75" customHeight="1" x14ac:dyDescent="0.2"/>
    <row r="2470" s="22" customFormat="1" ht="12.75" customHeight="1" x14ac:dyDescent="0.2"/>
    <row r="2471" s="22" customFormat="1" ht="12.75" customHeight="1" x14ac:dyDescent="0.2"/>
    <row r="2472" s="22" customFormat="1" ht="12.75" customHeight="1" x14ac:dyDescent="0.2"/>
    <row r="2473" s="22" customFormat="1" ht="12.75" customHeight="1" x14ac:dyDescent="0.2"/>
    <row r="2474" s="22" customFormat="1" ht="12.75" customHeight="1" x14ac:dyDescent="0.2"/>
    <row r="2475" s="22" customFormat="1" ht="12.75" customHeight="1" x14ac:dyDescent="0.2"/>
    <row r="2476" s="22" customFormat="1" ht="12.75" customHeight="1" x14ac:dyDescent="0.2"/>
    <row r="2477" s="22" customFormat="1" ht="12.75" customHeight="1" x14ac:dyDescent="0.2"/>
    <row r="2478" s="22" customFormat="1" ht="12.75" customHeight="1" x14ac:dyDescent="0.2"/>
    <row r="2479" s="22" customFormat="1" ht="12.75" customHeight="1" x14ac:dyDescent="0.2"/>
    <row r="2480" s="22" customFormat="1" ht="12.75" customHeight="1" x14ac:dyDescent="0.2"/>
    <row r="2481" s="22" customFormat="1" ht="12.75" customHeight="1" x14ac:dyDescent="0.2"/>
    <row r="2482" s="22" customFormat="1" ht="12.75" customHeight="1" x14ac:dyDescent="0.2"/>
    <row r="2483" s="22" customFormat="1" ht="12.75" customHeight="1" x14ac:dyDescent="0.2"/>
    <row r="2484" s="22" customFormat="1" ht="12.75" customHeight="1" x14ac:dyDescent="0.2"/>
    <row r="2485" s="22" customFormat="1" ht="12.75" customHeight="1" x14ac:dyDescent="0.2"/>
    <row r="2486" s="22" customFormat="1" ht="12.75" customHeight="1" x14ac:dyDescent="0.2"/>
    <row r="2487" s="22" customFormat="1" ht="12.75" customHeight="1" x14ac:dyDescent="0.2"/>
    <row r="2488" s="22" customFormat="1" ht="12.75" customHeight="1" x14ac:dyDescent="0.2"/>
    <row r="2489" s="22" customFormat="1" ht="12.75" customHeight="1" x14ac:dyDescent="0.2"/>
    <row r="2490" s="22" customFormat="1" ht="12.75" customHeight="1" x14ac:dyDescent="0.2"/>
    <row r="2491" s="22" customFormat="1" ht="12.75" customHeight="1" x14ac:dyDescent="0.2"/>
    <row r="2492" s="22" customFormat="1" ht="12.75" customHeight="1" x14ac:dyDescent="0.2"/>
    <row r="2493" s="22" customFormat="1" ht="12.75" customHeight="1" x14ac:dyDescent="0.2"/>
    <row r="2494" s="22" customFormat="1" ht="12.75" customHeight="1" x14ac:dyDescent="0.2"/>
    <row r="2495" s="22" customFormat="1" ht="12.75" customHeight="1" x14ac:dyDescent="0.2"/>
    <row r="2496" s="22" customFormat="1" ht="12.75" customHeight="1" x14ac:dyDescent="0.2"/>
    <row r="2497" s="22" customFormat="1" ht="12.75" customHeight="1" x14ac:dyDescent="0.2"/>
    <row r="2498" s="22" customFormat="1" ht="12.75" customHeight="1" x14ac:dyDescent="0.2"/>
    <row r="2499" s="22" customFormat="1" ht="12.75" customHeight="1" x14ac:dyDescent="0.2"/>
    <row r="2500" s="22" customFormat="1" ht="12.75" customHeight="1" x14ac:dyDescent="0.2"/>
    <row r="2501" s="22" customFormat="1" ht="12.75" customHeight="1" x14ac:dyDescent="0.2"/>
    <row r="2502" s="22" customFormat="1" ht="12.75" customHeight="1" x14ac:dyDescent="0.2"/>
    <row r="2503" s="22" customFormat="1" ht="12.75" customHeight="1" x14ac:dyDescent="0.2"/>
    <row r="2504" s="22" customFormat="1" ht="12.75" customHeight="1" x14ac:dyDescent="0.2"/>
    <row r="2505" s="22" customFormat="1" ht="12.75" customHeight="1" x14ac:dyDescent="0.2"/>
    <row r="2506" s="22" customFormat="1" ht="12.75" customHeight="1" x14ac:dyDescent="0.2"/>
    <row r="2507" s="22" customFormat="1" ht="12.75" customHeight="1" x14ac:dyDescent="0.2"/>
    <row r="2508" s="22" customFormat="1" ht="12.75" customHeight="1" x14ac:dyDescent="0.2"/>
    <row r="2509" s="22" customFormat="1" ht="12.75" customHeight="1" x14ac:dyDescent="0.2"/>
    <row r="2510" s="22" customFormat="1" ht="12.75" customHeight="1" x14ac:dyDescent="0.2"/>
    <row r="2511" s="22" customFormat="1" ht="12.75" customHeight="1" x14ac:dyDescent="0.2"/>
    <row r="2512" s="22" customFormat="1" ht="12.75" customHeight="1" x14ac:dyDescent="0.2"/>
    <row r="2513" s="22" customFormat="1" ht="12.75" customHeight="1" x14ac:dyDescent="0.2"/>
    <row r="2514" s="22" customFormat="1" ht="12.75" customHeight="1" x14ac:dyDescent="0.2"/>
    <row r="2515" s="22" customFormat="1" ht="12.75" customHeight="1" x14ac:dyDescent="0.2"/>
    <row r="2516" s="22" customFormat="1" ht="12.75" customHeight="1" x14ac:dyDescent="0.2"/>
    <row r="2517" s="22" customFormat="1" ht="12.75" customHeight="1" x14ac:dyDescent="0.2"/>
    <row r="2518" s="22" customFormat="1" ht="12.75" customHeight="1" x14ac:dyDescent="0.2"/>
    <row r="2519" s="22" customFormat="1" ht="12.75" customHeight="1" x14ac:dyDescent="0.2"/>
    <row r="2520" s="22" customFormat="1" ht="12.75" customHeight="1" x14ac:dyDescent="0.2"/>
    <row r="2521" s="22" customFormat="1" ht="12.75" customHeight="1" x14ac:dyDescent="0.2"/>
    <row r="2522" s="22" customFormat="1" ht="12.75" customHeight="1" x14ac:dyDescent="0.2"/>
    <row r="2523" s="22" customFormat="1" ht="12.75" customHeight="1" x14ac:dyDescent="0.2"/>
    <row r="2524" s="22" customFormat="1" ht="12.75" customHeight="1" x14ac:dyDescent="0.2"/>
    <row r="2525" s="22" customFormat="1" ht="12.75" customHeight="1" x14ac:dyDescent="0.2"/>
    <row r="2526" s="22" customFormat="1" ht="12.75" customHeight="1" x14ac:dyDescent="0.2"/>
    <row r="2527" s="22" customFormat="1" ht="12.75" customHeight="1" x14ac:dyDescent="0.2"/>
    <row r="2528" s="22" customFormat="1" ht="12.75" customHeight="1" x14ac:dyDescent="0.2"/>
    <row r="2529" s="22" customFormat="1" ht="12.75" customHeight="1" x14ac:dyDescent="0.2"/>
    <row r="2530" s="22" customFormat="1" ht="12.75" customHeight="1" x14ac:dyDescent="0.2"/>
    <row r="2531" s="22" customFormat="1" ht="12.75" customHeight="1" x14ac:dyDescent="0.2"/>
    <row r="2532" s="22" customFormat="1" ht="12.75" customHeight="1" x14ac:dyDescent="0.2"/>
    <row r="2533" s="22" customFormat="1" ht="12.75" customHeight="1" x14ac:dyDescent="0.2"/>
    <row r="2534" s="22" customFormat="1" ht="12.75" customHeight="1" x14ac:dyDescent="0.2"/>
    <row r="2535" s="22" customFormat="1" ht="12.75" customHeight="1" x14ac:dyDescent="0.2"/>
    <row r="2536" s="22" customFormat="1" ht="12.75" customHeight="1" x14ac:dyDescent="0.2"/>
    <row r="2537" s="22" customFormat="1" ht="12.75" customHeight="1" x14ac:dyDescent="0.2"/>
    <row r="2538" s="22" customFormat="1" ht="12.75" customHeight="1" x14ac:dyDescent="0.2"/>
    <row r="2539" s="22" customFormat="1" ht="12.75" customHeight="1" x14ac:dyDescent="0.2"/>
    <row r="2540" s="22" customFormat="1" ht="12.75" customHeight="1" x14ac:dyDescent="0.2"/>
    <row r="2541" s="22" customFormat="1" ht="12.75" customHeight="1" x14ac:dyDescent="0.2"/>
    <row r="2542" s="22" customFormat="1" ht="12.75" customHeight="1" x14ac:dyDescent="0.2"/>
    <row r="2543" s="22" customFormat="1" ht="12.75" customHeight="1" x14ac:dyDescent="0.2"/>
    <row r="2544" s="22" customFormat="1" ht="12.75" customHeight="1" x14ac:dyDescent="0.2"/>
    <row r="2545" s="22" customFormat="1" ht="12.75" customHeight="1" x14ac:dyDescent="0.2"/>
    <row r="2546" s="22" customFormat="1" ht="12.75" customHeight="1" x14ac:dyDescent="0.2"/>
    <row r="2547" s="22" customFormat="1" ht="12.75" customHeight="1" x14ac:dyDescent="0.2"/>
    <row r="2548" s="22" customFormat="1" ht="12.75" customHeight="1" x14ac:dyDescent="0.2"/>
    <row r="2549" s="22" customFormat="1" ht="12.75" customHeight="1" x14ac:dyDescent="0.2"/>
    <row r="2550" s="22" customFormat="1" ht="12.75" customHeight="1" x14ac:dyDescent="0.2"/>
    <row r="2551" s="22" customFormat="1" ht="12.75" customHeight="1" x14ac:dyDescent="0.2"/>
    <row r="2552" s="22" customFormat="1" ht="12.75" customHeight="1" x14ac:dyDescent="0.2"/>
    <row r="2553" s="22" customFormat="1" ht="12.75" customHeight="1" x14ac:dyDescent="0.2"/>
    <row r="2554" s="22" customFormat="1" ht="12.75" customHeight="1" x14ac:dyDescent="0.2"/>
    <row r="2555" s="22" customFormat="1" ht="12.75" customHeight="1" x14ac:dyDescent="0.2"/>
    <row r="2556" s="22" customFormat="1" ht="12.75" customHeight="1" x14ac:dyDescent="0.2"/>
    <row r="2557" s="22" customFormat="1" ht="12.75" customHeight="1" x14ac:dyDescent="0.2"/>
    <row r="2558" s="22" customFormat="1" ht="12.75" customHeight="1" x14ac:dyDescent="0.2"/>
    <row r="2559" s="22" customFormat="1" ht="12.75" customHeight="1" x14ac:dyDescent="0.2"/>
    <row r="2560" s="22" customFormat="1" ht="12.75" customHeight="1" x14ac:dyDescent="0.2"/>
    <row r="2561" s="22" customFormat="1" ht="12.75" customHeight="1" x14ac:dyDescent="0.2"/>
    <row r="2562" s="22" customFormat="1" ht="12.75" customHeight="1" x14ac:dyDescent="0.2"/>
    <row r="2563" s="22" customFormat="1" ht="12.75" customHeight="1" x14ac:dyDescent="0.2"/>
    <row r="2564" s="22" customFormat="1" ht="12.75" customHeight="1" x14ac:dyDescent="0.2"/>
    <row r="2565" s="22" customFormat="1" ht="12.75" customHeight="1" x14ac:dyDescent="0.2"/>
    <row r="2566" s="22" customFormat="1" ht="12.75" customHeight="1" x14ac:dyDescent="0.2"/>
    <row r="2567" s="22" customFormat="1" ht="12.75" customHeight="1" x14ac:dyDescent="0.2"/>
    <row r="2568" s="22" customFormat="1" ht="12.75" customHeight="1" x14ac:dyDescent="0.2"/>
    <row r="2569" s="22" customFormat="1" ht="12.75" customHeight="1" x14ac:dyDescent="0.2"/>
    <row r="2570" s="22" customFormat="1" ht="12.75" customHeight="1" x14ac:dyDescent="0.2"/>
    <row r="2571" s="22" customFormat="1" ht="12.75" customHeight="1" x14ac:dyDescent="0.2"/>
    <row r="2572" s="22" customFormat="1" ht="12.75" customHeight="1" x14ac:dyDescent="0.2"/>
    <row r="2573" s="22" customFormat="1" ht="12.75" customHeight="1" x14ac:dyDescent="0.2"/>
    <row r="2574" s="22" customFormat="1" ht="12.75" customHeight="1" x14ac:dyDescent="0.2"/>
    <row r="2575" s="22" customFormat="1" ht="12.75" customHeight="1" x14ac:dyDescent="0.2"/>
    <row r="2576" s="22" customFormat="1" ht="12.75" customHeight="1" x14ac:dyDescent="0.2"/>
    <row r="2577" s="22" customFormat="1" ht="12.75" customHeight="1" x14ac:dyDescent="0.2"/>
    <row r="2578" s="22" customFormat="1" ht="12.75" customHeight="1" x14ac:dyDescent="0.2"/>
    <row r="2579" s="22" customFormat="1" ht="12.75" customHeight="1" x14ac:dyDescent="0.2"/>
    <row r="2580" s="22" customFormat="1" ht="12.75" customHeight="1" x14ac:dyDescent="0.2"/>
    <row r="2581" s="22" customFormat="1" ht="12.75" customHeight="1" x14ac:dyDescent="0.2"/>
    <row r="2582" s="22" customFormat="1" ht="12.75" customHeight="1" x14ac:dyDescent="0.2"/>
    <row r="2583" s="22" customFormat="1" ht="12.75" customHeight="1" x14ac:dyDescent="0.2"/>
    <row r="2584" s="22" customFormat="1" ht="12.75" customHeight="1" x14ac:dyDescent="0.2"/>
    <row r="2585" s="22" customFormat="1" ht="12.75" customHeight="1" x14ac:dyDescent="0.2"/>
    <row r="2586" s="22" customFormat="1" ht="12.75" customHeight="1" x14ac:dyDescent="0.2"/>
    <row r="2587" s="22" customFormat="1" ht="12.75" customHeight="1" x14ac:dyDescent="0.2"/>
    <row r="2588" s="22" customFormat="1" ht="12.75" customHeight="1" x14ac:dyDescent="0.2"/>
    <row r="2589" s="22" customFormat="1" ht="12.75" customHeight="1" x14ac:dyDescent="0.2"/>
    <row r="2590" s="22" customFormat="1" ht="12.75" customHeight="1" x14ac:dyDescent="0.2"/>
    <row r="2591" s="22" customFormat="1" ht="12.75" customHeight="1" x14ac:dyDescent="0.2"/>
    <row r="2592" s="22" customFormat="1" ht="12.75" customHeight="1" x14ac:dyDescent="0.2"/>
    <row r="2593" s="22" customFormat="1" ht="12.75" customHeight="1" x14ac:dyDescent="0.2"/>
    <row r="2594" s="22" customFormat="1" ht="12.75" customHeight="1" x14ac:dyDescent="0.2"/>
    <row r="2595" s="22" customFormat="1" ht="12.75" customHeight="1" x14ac:dyDescent="0.2"/>
    <row r="2596" s="22" customFormat="1" ht="12.75" customHeight="1" x14ac:dyDescent="0.2"/>
    <row r="2597" s="22" customFormat="1" ht="12.75" customHeight="1" x14ac:dyDescent="0.2"/>
    <row r="2598" s="22" customFormat="1" ht="12.75" customHeight="1" x14ac:dyDescent="0.2"/>
    <row r="2599" s="22" customFormat="1" ht="12.75" customHeight="1" x14ac:dyDescent="0.2"/>
    <row r="2600" s="22" customFormat="1" ht="12.75" customHeight="1" x14ac:dyDescent="0.2"/>
    <row r="2601" s="22" customFormat="1" ht="12.75" customHeight="1" x14ac:dyDescent="0.2"/>
    <row r="2602" s="22" customFormat="1" ht="12.75" customHeight="1" x14ac:dyDescent="0.2"/>
    <row r="2603" s="22" customFormat="1" ht="12.75" customHeight="1" x14ac:dyDescent="0.2"/>
    <row r="2604" s="22" customFormat="1" ht="12.75" customHeight="1" x14ac:dyDescent="0.2"/>
    <row r="2605" s="22" customFormat="1" ht="12.75" customHeight="1" x14ac:dyDescent="0.2"/>
    <row r="2606" s="22" customFormat="1" ht="12.75" customHeight="1" x14ac:dyDescent="0.2"/>
    <row r="2607" s="22" customFormat="1" ht="12.75" customHeight="1" x14ac:dyDescent="0.2"/>
    <row r="2608" s="22" customFormat="1" ht="12.75" customHeight="1" x14ac:dyDescent="0.2"/>
    <row r="2609" s="22" customFormat="1" ht="12.75" customHeight="1" x14ac:dyDescent="0.2"/>
    <row r="2610" s="22" customFormat="1" ht="12.75" customHeight="1" x14ac:dyDescent="0.2"/>
    <row r="2611" s="22" customFormat="1" ht="12.75" customHeight="1" x14ac:dyDescent="0.2"/>
    <row r="2612" s="22" customFormat="1" ht="12.75" customHeight="1" x14ac:dyDescent="0.2"/>
    <row r="2613" s="22" customFormat="1" ht="12.75" customHeight="1" x14ac:dyDescent="0.2"/>
    <row r="2614" s="22" customFormat="1" ht="12.75" customHeight="1" x14ac:dyDescent="0.2"/>
    <row r="2615" s="22" customFormat="1" ht="12.75" customHeight="1" x14ac:dyDescent="0.2"/>
    <row r="2616" s="22" customFormat="1" ht="12.75" customHeight="1" x14ac:dyDescent="0.2"/>
    <row r="2617" s="22" customFormat="1" ht="12.75" customHeight="1" x14ac:dyDescent="0.2"/>
    <row r="2618" s="22" customFormat="1" ht="12.75" customHeight="1" x14ac:dyDescent="0.2"/>
    <row r="2619" s="22" customFormat="1" ht="12.75" customHeight="1" x14ac:dyDescent="0.2"/>
    <row r="2620" s="22" customFormat="1" ht="12.75" customHeight="1" x14ac:dyDescent="0.2"/>
    <row r="2621" s="22" customFormat="1" ht="12.75" customHeight="1" x14ac:dyDescent="0.2"/>
    <row r="2622" s="22" customFormat="1" ht="12.75" customHeight="1" x14ac:dyDescent="0.2"/>
    <row r="2623" s="22" customFormat="1" ht="12.75" customHeight="1" x14ac:dyDescent="0.2"/>
    <row r="2624" s="22" customFormat="1" ht="12.75" customHeight="1" x14ac:dyDescent="0.2"/>
    <row r="2625" s="22" customFormat="1" ht="12.75" customHeight="1" x14ac:dyDescent="0.2"/>
    <row r="2626" s="22" customFormat="1" ht="12.75" customHeight="1" x14ac:dyDescent="0.2"/>
    <row r="2627" s="22" customFormat="1" ht="12.75" customHeight="1" x14ac:dyDescent="0.2"/>
    <row r="2628" s="22" customFormat="1" ht="12.75" customHeight="1" x14ac:dyDescent="0.2"/>
    <row r="2629" s="22" customFormat="1" ht="12.75" customHeight="1" x14ac:dyDescent="0.2"/>
    <row r="2630" s="22" customFormat="1" ht="12.75" customHeight="1" x14ac:dyDescent="0.2"/>
    <row r="2631" s="22" customFormat="1" ht="12.75" customHeight="1" x14ac:dyDescent="0.2"/>
    <row r="2632" s="22" customFormat="1" ht="12.75" customHeight="1" x14ac:dyDescent="0.2"/>
    <row r="2633" s="22" customFormat="1" ht="12.75" customHeight="1" x14ac:dyDescent="0.2"/>
    <row r="2634" s="22" customFormat="1" ht="12.75" customHeight="1" x14ac:dyDescent="0.2"/>
    <row r="2635" s="22" customFormat="1" ht="12.75" customHeight="1" x14ac:dyDescent="0.2"/>
    <row r="2636" s="22" customFormat="1" ht="12.75" customHeight="1" x14ac:dyDescent="0.2"/>
    <row r="2637" s="22" customFormat="1" ht="12.75" customHeight="1" x14ac:dyDescent="0.2"/>
    <row r="2638" s="22" customFormat="1" ht="12.75" customHeight="1" x14ac:dyDescent="0.2"/>
    <row r="2639" s="22" customFormat="1" ht="12.75" customHeight="1" x14ac:dyDescent="0.2"/>
    <row r="2640" s="22" customFormat="1" ht="12.75" customHeight="1" x14ac:dyDescent="0.2"/>
    <row r="2641" s="22" customFormat="1" ht="12.75" customHeight="1" x14ac:dyDescent="0.2"/>
    <row r="2642" s="22" customFormat="1" ht="12.75" customHeight="1" x14ac:dyDescent="0.2"/>
    <row r="2643" s="22" customFormat="1" ht="12.75" customHeight="1" x14ac:dyDescent="0.2"/>
    <row r="2644" s="22" customFormat="1" ht="12.75" customHeight="1" x14ac:dyDescent="0.2"/>
    <row r="2645" s="22" customFormat="1" ht="12.75" customHeight="1" x14ac:dyDescent="0.2"/>
    <row r="2646" s="22" customFormat="1" ht="12.75" customHeight="1" x14ac:dyDescent="0.2"/>
    <row r="2647" s="22" customFormat="1" ht="12.75" customHeight="1" x14ac:dyDescent="0.2"/>
    <row r="2648" s="22" customFormat="1" ht="12.75" customHeight="1" x14ac:dyDescent="0.2"/>
    <row r="2649" s="22" customFormat="1" ht="12.75" customHeight="1" x14ac:dyDescent="0.2"/>
    <row r="2650" s="22" customFormat="1" ht="12.75" customHeight="1" x14ac:dyDescent="0.2"/>
    <row r="2651" s="22" customFormat="1" ht="12.75" customHeight="1" x14ac:dyDescent="0.2"/>
    <row r="2652" s="22" customFormat="1" ht="12.75" customHeight="1" x14ac:dyDescent="0.2"/>
    <row r="2653" s="22" customFormat="1" ht="12.75" customHeight="1" x14ac:dyDescent="0.2"/>
    <row r="2654" s="22" customFormat="1" ht="12.75" customHeight="1" x14ac:dyDescent="0.2"/>
    <row r="2655" s="22" customFormat="1" ht="12.75" customHeight="1" x14ac:dyDescent="0.2"/>
    <row r="2656" s="22" customFormat="1" ht="12.75" customHeight="1" x14ac:dyDescent="0.2"/>
    <row r="2657" s="22" customFormat="1" ht="12.75" customHeight="1" x14ac:dyDescent="0.2"/>
    <row r="2658" s="22" customFormat="1" ht="12.75" customHeight="1" x14ac:dyDescent="0.2"/>
    <row r="2659" s="22" customFormat="1" ht="12.75" customHeight="1" x14ac:dyDescent="0.2"/>
    <row r="2660" s="22" customFormat="1" ht="12.75" customHeight="1" x14ac:dyDescent="0.2"/>
    <row r="2661" s="22" customFormat="1" ht="12.75" customHeight="1" x14ac:dyDescent="0.2"/>
    <row r="2662" s="22" customFormat="1" ht="12.75" customHeight="1" x14ac:dyDescent="0.2"/>
    <row r="2663" s="22" customFormat="1" ht="12.75" customHeight="1" x14ac:dyDescent="0.2"/>
    <row r="2664" s="22" customFormat="1" ht="12.75" customHeight="1" x14ac:dyDescent="0.2"/>
    <row r="2665" s="22" customFormat="1" ht="12.75" customHeight="1" x14ac:dyDescent="0.2"/>
    <row r="2666" s="22" customFormat="1" ht="12.75" customHeight="1" x14ac:dyDescent="0.2"/>
    <row r="2667" s="22" customFormat="1" ht="12.75" customHeight="1" x14ac:dyDescent="0.2"/>
    <row r="2668" s="22" customFormat="1" ht="12.75" customHeight="1" x14ac:dyDescent="0.2"/>
    <row r="2669" s="22" customFormat="1" ht="12.75" customHeight="1" x14ac:dyDescent="0.2"/>
    <row r="2670" s="22" customFormat="1" ht="12.75" customHeight="1" x14ac:dyDescent="0.2"/>
    <row r="2671" s="22" customFormat="1" ht="12.75" customHeight="1" x14ac:dyDescent="0.2"/>
    <row r="2672" s="22" customFormat="1" ht="12.75" customHeight="1" x14ac:dyDescent="0.2"/>
    <row r="2673" s="22" customFormat="1" ht="12.75" customHeight="1" x14ac:dyDescent="0.2"/>
    <row r="2674" s="22" customFormat="1" ht="12.75" customHeight="1" x14ac:dyDescent="0.2"/>
    <row r="2675" s="22" customFormat="1" ht="12.75" customHeight="1" x14ac:dyDescent="0.2"/>
    <row r="2676" s="22" customFormat="1" ht="12.75" customHeight="1" x14ac:dyDescent="0.2"/>
    <row r="2677" s="22" customFormat="1" ht="12.75" customHeight="1" x14ac:dyDescent="0.2"/>
    <row r="2678" s="22" customFormat="1" ht="12.75" customHeight="1" x14ac:dyDescent="0.2"/>
    <row r="2679" s="22" customFormat="1" ht="12.75" customHeight="1" x14ac:dyDescent="0.2"/>
    <row r="2680" s="22" customFormat="1" ht="12.75" customHeight="1" x14ac:dyDescent="0.2"/>
    <row r="2681" s="22" customFormat="1" ht="12.75" customHeight="1" x14ac:dyDescent="0.2"/>
    <row r="2682" s="22" customFormat="1" ht="12.75" customHeight="1" x14ac:dyDescent="0.2"/>
    <row r="2683" s="22" customFormat="1" ht="12.75" customHeight="1" x14ac:dyDescent="0.2"/>
    <row r="2684" s="22" customFormat="1" ht="12.75" customHeight="1" x14ac:dyDescent="0.2"/>
    <row r="2685" s="22" customFormat="1" ht="12.75" customHeight="1" x14ac:dyDescent="0.2"/>
    <row r="2686" s="22" customFormat="1" ht="12.75" customHeight="1" x14ac:dyDescent="0.2"/>
    <row r="2687" s="22" customFormat="1" ht="12.75" customHeight="1" x14ac:dyDescent="0.2"/>
    <row r="2688" s="22" customFormat="1" ht="12.75" customHeight="1" x14ac:dyDescent="0.2"/>
    <row r="2689" s="22" customFormat="1" ht="12.75" customHeight="1" x14ac:dyDescent="0.2"/>
    <row r="2690" s="22" customFormat="1" ht="12.75" customHeight="1" x14ac:dyDescent="0.2"/>
    <row r="2691" s="22" customFormat="1" ht="12.75" customHeight="1" x14ac:dyDescent="0.2"/>
    <row r="2692" s="22" customFormat="1" ht="12.75" customHeight="1" x14ac:dyDescent="0.2"/>
    <row r="2693" s="22" customFormat="1" ht="12.75" customHeight="1" x14ac:dyDescent="0.2"/>
    <row r="2694" s="22" customFormat="1" ht="12.75" customHeight="1" x14ac:dyDescent="0.2"/>
    <row r="2695" s="22" customFormat="1" ht="12.75" customHeight="1" x14ac:dyDescent="0.2"/>
    <row r="2696" s="22" customFormat="1" ht="12.75" customHeight="1" x14ac:dyDescent="0.2"/>
    <row r="2697" s="22" customFormat="1" ht="12.75" customHeight="1" x14ac:dyDescent="0.2"/>
    <row r="2698" s="22" customFormat="1" ht="12.75" customHeight="1" x14ac:dyDescent="0.2"/>
    <row r="2699" s="22" customFormat="1" ht="12.75" customHeight="1" x14ac:dyDescent="0.2"/>
    <row r="2700" s="22" customFormat="1" ht="12.75" customHeight="1" x14ac:dyDescent="0.2"/>
    <row r="2701" s="22" customFormat="1" ht="12.75" customHeight="1" x14ac:dyDescent="0.2"/>
    <row r="2702" s="22" customFormat="1" ht="12.75" customHeight="1" x14ac:dyDescent="0.2"/>
    <row r="2703" s="22" customFormat="1" ht="12.75" customHeight="1" x14ac:dyDescent="0.2"/>
    <row r="2704" s="22" customFormat="1" ht="12.75" customHeight="1" x14ac:dyDescent="0.2"/>
    <row r="2705" s="22" customFormat="1" ht="12.75" customHeight="1" x14ac:dyDescent="0.2"/>
    <row r="2706" s="22" customFormat="1" ht="12.75" customHeight="1" x14ac:dyDescent="0.2"/>
    <row r="2707" s="22" customFormat="1" ht="12.75" customHeight="1" x14ac:dyDescent="0.2"/>
    <row r="2708" s="22" customFormat="1" ht="12.75" customHeight="1" x14ac:dyDescent="0.2"/>
    <row r="2709" s="22" customFormat="1" ht="12.75" customHeight="1" x14ac:dyDescent="0.2"/>
    <row r="2710" s="22" customFormat="1" ht="12.75" customHeight="1" x14ac:dyDescent="0.2"/>
    <row r="2711" s="22" customFormat="1" ht="12.75" customHeight="1" x14ac:dyDescent="0.2"/>
    <row r="2712" s="22" customFormat="1" ht="12.75" customHeight="1" x14ac:dyDescent="0.2"/>
    <row r="2713" s="22" customFormat="1" ht="12.75" customHeight="1" x14ac:dyDescent="0.2"/>
    <row r="2714" s="22" customFormat="1" ht="12.75" customHeight="1" x14ac:dyDescent="0.2"/>
    <row r="2715" s="22" customFormat="1" ht="12.75" customHeight="1" x14ac:dyDescent="0.2"/>
    <row r="2716" s="22" customFormat="1" ht="12.75" customHeight="1" x14ac:dyDescent="0.2"/>
    <row r="2717" s="22" customFormat="1" ht="12.75" customHeight="1" x14ac:dyDescent="0.2"/>
    <row r="2718" s="22" customFormat="1" ht="12.75" customHeight="1" x14ac:dyDescent="0.2"/>
    <row r="2719" s="22" customFormat="1" ht="12.75" customHeight="1" x14ac:dyDescent="0.2"/>
    <row r="2720" s="22" customFormat="1" ht="12.75" customHeight="1" x14ac:dyDescent="0.2"/>
    <row r="2721" s="22" customFormat="1" ht="12.75" customHeight="1" x14ac:dyDescent="0.2"/>
    <row r="2722" s="22" customFormat="1" ht="12.75" customHeight="1" x14ac:dyDescent="0.2"/>
    <row r="2723" s="22" customFormat="1" ht="12.75" customHeight="1" x14ac:dyDescent="0.2"/>
    <row r="2724" s="22" customFormat="1" ht="12.75" customHeight="1" x14ac:dyDescent="0.2"/>
    <row r="2725" s="22" customFormat="1" ht="12.75" customHeight="1" x14ac:dyDescent="0.2"/>
    <row r="2726" s="22" customFormat="1" ht="12.75" customHeight="1" x14ac:dyDescent="0.2"/>
    <row r="2727" s="22" customFormat="1" ht="12.75" customHeight="1" x14ac:dyDescent="0.2"/>
    <row r="2728" s="22" customFormat="1" ht="12.75" customHeight="1" x14ac:dyDescent="0.2"/>
    <row r="2729" s="22" customFormat="1" ht="12.75" customHeight="1" x14ac:dyDescent="0.2"/>
    <row r="2730" s="22" customFormat="1" ht="12.75" customHeight="1" x14ac:dyDescent="0.2"/>
    <row r="2731" s="22" customFormat="1" ht="12.75" customHeight="1" x14ac:dyDescent="0.2"/>
    <row r="2732" s="22" customFormat="1" ht="12.75" customHeight="1" x14ac:dyDescent="0.2"/>
    <row r="2733" s="22" customFormat="1" ht="12.75" customHeight="1" x14ac:dyDescent="0.2"/>
    <row r="2734" s="22" customFormat="1" ht="12.75" customHeight="1" x14ac:dyDescent="0.2"/>
    <row r="2735" s="22" customFormat="1" ht="12.75" customHeight="1" x14ac:dyDescent="0.2"/>
    <row r="2736" s="22" customFormat="1" ht="12.75" customHeight="1" x14ac:dyDescent="0.2"/>
    <row r="2737" s="22" customFormat="1" ht="12.75" customHeight="1" x14ac:dyDescent="0.2"/>
    <row r="2738" s="22" customFormat="1" ht="12.75" customHeight="1" x14ac:dyDescent="0.2"/>
    <row r="2739" s="22" customFormat="1" ht="12.75" customHeight="1" x14ac:dyDescent="0.2"/>
    <row r="2740" s="22" customFormat="1" ht="12.75" customHeight="1" x14ac:dyDescent="0.2"/>
    <row r="2741" s="22" customFormat="1" ht="12.75" customHeight="1" x14ac:dyDescent="0.2"/>
    <row r="2742" s="22" customFormat="1" ht="12.75" customHeight="1" x14ac:dyDescent="0.2"/>
    <row r="2743" s="22" customFormat="1" ht="12.75" customHeight="1" x14ac:dyDescent="0.2"/>
    <row r="2744" s="22" customFormat="1" ht="12.75" customHeight="1" x14ac:dyDescent="0.2"/>
    <row r="2745" s="22" customFormat="1" ht="12.75" customHeight="1" x14ac:dyDescent="0.2"/>
    <row r="2746" s="22" customFormat="1" ht="12.75" customHeight="1" x14ac:dyDescent="0.2"/>
    <row r="2747" s="22" customFormat="1" ht="12.75" customHeight="1" x14ac:dyDescent="0.2"/>
    <row r="2748" s="22" customFormat="1" ht="12.75" customHeight="1" x14ac:dyDescent="0.2"/>
    <row r="2749" s="22" customFormat="1" ht="12.75" customHeight="1" x14ac:dyDescent="0.2"/>
    <row r="2750" s="22" customFormat="1" ht="12.75" customHeight="1" x14ac:dyDescent="0.2"/>
    <row r="2751" s="22" customFormat="1" ht="12.75" customHeight="1" x14ac:dyDescent="0.2"/>
    <row r="2752" s="22" customFormat="1" ht="12.75" customHeight="1" x14ac:dyDescent="0.2"/>
    <row r="2753" s="22" customFormat="1" ht="12.75" customHeight="1" x14ac:dyDescent="0.2"/>
    <row r="2754" s="22" customFormat="1" ht="12.75" customHeight="1" x14ac:dyDescent="0.2"/>
    <row r="2755" s="22" customFormat="1" ht="12.75" customHeight="1" x14ac:dyDescent="0.2"/>
    <row r="2756" s="22" customFormat="1" ht="12.75" customHeight="1" x14ac:dyDescent="0.2"/>
    <row r="2757" s="22" customFormat="1" ht="12.75" customHeight="1" x14ac:dyDescent="0.2"/>
    <row r="2758" s="22" customFormat="1" ht="12.75" customHeight="1" x14ac:dyDescent="0.2"/>
    <row r="2759" s="22" customFormat="1" ht="12.75" customHeight="1" x14ac:dyDescent="0.2"/>
    <row r="2760" s="22" customFormat="1" ht="12.75" customHeight="1" x14ac:dyDescent="0.2"/>
    <row r="2761" s="22" customFormat="1" ht="12.75" customHeight="1" x14ac:dyDescent="0.2"/>
    <row r="2762" s="22" customFormat="1" ht="12.75" customHeight="1" x14ac:dyDescent="0.2"/>
    <row r="2763" s="22" customFormat="1" ht="12.75" customHeight="1" x14ac:dyDescent="0.2"/>
    <row r="2764" s="22" customFormat="1" ht="12.75" customHeight="1" x14ac:dyDescent="0.2"/>
    <row r="2765" s="22" customFormat="1" ht="12.75" customHeight="1" x14ac:dyDescent="0.2"/>
    <row r="2766" s="22" customFormat="1" ht="12.75" customHeight="1" x14ac:dyDescent="0.2"/>
    <row r="2767" s="22" customFormat="1" ht="12.75" customHeight="1" x14ac:dyDescent="0.2"/>
    <row r="2768" s="22" customFormat="1" ht="12.75" customHeight="1" x14ac:dyDescent="0.2"/>
    <row r="2769" s="22" customFormat="1" ht="12.75" customHeight="1" x14ac:dyDescent="0.2"/>
    <row r="2770" s="22" customFormat="1" ht="12.75" customHeight="1" x14ac:dyDescent="0.2"/>
    <row r="2771" s="22" customFormat="1" ht="12.75" customHeight="1" x14ac:dyDescent="0.2"/>
    <row r="2772" s="22" customFormat="1" ht="12.75" customHeight="1" x14ac:dyDescent="0.2"/>
    <row r="2773" s="22" customFormat="1" ht="12.75" customHeight="1" x14ac:dyDescent="0.2"/>
    <row r="2774" s="22" customFormat="1" ht="12.75" customHeight="1" x14ac:dyDescent="0.2"/>
    <row r="2775" s="22" customFormat="1" ht="12.75" customHeight="1" x14ac:dyDescent="0.2"/>
    <row r="2776" s="22" customFormat="1" ht="12.75" customHeight="1" x14ac:dyDescent="0.2"/>
    <row r="2777" s="22" customFormat="1" ht="12.75" customHeight="1" x14ac:dyDescent="0.2"/>
    <row r="2778" s="22" customFormat="1" ht="12.75" customHeight="1" x14ac:dyDescent="0.2"/>
    <row r="2779" s="22" customFormat="1" ht="12.75" customHeight="1" x14ac:dyDescent="0.2"/>
    <row r="2780" s="22" customFormat="1" ht="12.75" customHeight="1" x14ac:dyDescent="0.2"/>
    <row r="2781" s="22" customFormat="1" ht="12.75" customHeight="1" x14ac:dyDescent="0.2"/>
    <row r="2782" s="22" customFormat="1" ht="12.75" customHeight="1" x14ac:dyDescent="0.2"/>
    <row r="2783" s="22" customFormat="1" ht="12.75" customHeight="1" x14ac:dyDescent="0.2"/>
    <row r="2784" s="22" customFormat="1" ht="12.75" customHeight="1" x14ac:dyDescent="0.2"/>
    <row r="2785" s="22" customFormat="1" ht="12.75" customHeight="1" x14ac:dyDescent="0.2"/>
    <row r="2786" s="22" customFormat="1" ht="12.75" customHeight="1" x14ac:dyDescent="0.2"/>
    <row r="2787" s="22" customFormat="1" ht="12.75" customHeight="1" x14ac:dyDescent="0.2"/>
    <row r="2788" s="22" customFormat="1" ht="12.75" customHeight="1" x14ac:dyDescent="0.2"/>
    <row r="2789" s="22" customFormat="1" ht="12.75" customHeight="1" x14ac:dyDescent="0.2"/>
    <row r="2790" s="22" customFormat="1" ht="12.75" customHeight="1" x14ac:dyDescent="0.2"/>
    <row r="2791" s="22" customFormat="1" ht="12.75" customHeight="1" x14ac:dyDescent="0.2"/>
    <row r="2792" s="22" customFormat="1" ht="12.75" customHeight="1" x14ac:dyDescent="0.2"/>
    <row r="2793" s="22" customFormat="1" ht="12.75" customHeight="1" x14ac:dyDescent="0.2"/>
    <row r="2794" s="22" customFormat="1" ht="12.75" customHeight="1" x14ac:dyDescent="0.2"/>
    <row r="2795" s="22" customFormat="1" ht="12.75" customHeight="1" x14ac:dyDescent="0.2"/>
    <row r="2796" s="22" customFormat="1" ht="12.75" customHeight="1" x14ac:dyDescent="0.2"/>
    <row r="2797" s="22" customFormat="1" ht="12.75" customHeight="1" x14ac:dyDescent="0.2"/>
    <row r="2798" s="22" customFormat="1" ht="12.75" customHeight="1" x14ac:dyDescent="0.2"/>
    <row r="2799" s="22" customFormat="1" ht="12.75" customHeight="1" x14ac:dyDescent="0.2"/>
    <row r="2800" s="22" customFormat="1" ht="12.75" customHeight="1" x14ac:dyDescent="0.2"/>
    <row r="2801" s="22" customFormat="1" ht="12.75" customHeight="1" x14ac:dyDescent="0.2"/>
    <row r="2802" s="22" customFormat="1" ht="12.75" customHeight="1" x14ac:dyDescent="0.2"/>
    <row r="2803" s="22" customFormat="1" ht="12.75" customHeight="1" x14ac:dyDescent="0.2"/>
    <row r="2804" s="22" customFormat="1" ht="12.75" customHeight="1" x14ac:dyDescent="0.2"/>
    <row r="2805" s="22" customFormat="1" ht="12.75" customHeight="1" x14ac:dyDescent="0.2"/>
    <row r="2806" s="22" customFormat="1" ht="12.75" customHeight="1" x14ac:dyDescent="0.2"/>
    <row r="2807" s="22" customFormat="1" ht="12.75" customHeight="1" x14ac:dyDescent="0.2"/>
    <row r="2808" s="22" customFormat="1" ht="12.75" customHeight="1" x14ac:dyDescent="0.2"/>
    <row r="2809" s="22" customFormat="1" ht="12.75" customHeight="1" x14ac:dyDescent="0.2"/>
    <row r="2810" s="22" customFormat="1" ht="12.75" customHeight="1" x14ac:dyDescent="0.2"/>
    <row r="2811" s="22" customFormat="1" ht="12.75" customHeight="1" x14ac:dyDescent="0.2"/>
    <row r="2812" s="22" customFormat="1" ht="12.75" customHeight="1" x14ac:dyDescent="0.2"/>
    <row r="2813" s="22" customFormat="1" ht="12.75" customHeight="1" x14ac:dyDescent="0.2"/>
    <row r="2814" s="22" customFormat="1" ht="12.75" customHeight="1" x14ac:dyDescent="0.2"/>
    <row r="2815" s="22" customFormat="1" ht="12.75" customHeight="1" x14ac:dyDescent="0.2"/>
    <row r="2816" s="22" customFormat="1" ht="12.75" customHeight="1" x14ac:dyDescent="0.2"/>
    <row r="2817" s="22" customFormat="1" ht="12.75" customHeight="1" x14ac:dyDescent="0.2"/>
    <row r="2818" s="22" customFormat="1" ht="12.75" customHeight="1" x14ac:dyDescent="0.2"/>
    <row r="2819" s="22" customFormat="1" ht="12.75" customHeight="1" x14ac:dyDescent="0.2"/>
    <row r="2820" s="22" customFormat="1" ht="12.75" customHeight="1" x14ac:dyDescent="0.2"/>
    <row r="2821" s="22" customFormat="1" ht="12.75" customHeight="1" x14ac:dyDescent="0.2"/>
    <row r="2822" s="22" customFormat="1" ht="12.75" customHeight="1" x14ac:dyDescent="0.2"/>
    <row r="2823" s="22" customFormat="1" ht="12.75" customHeight="1" x14ac:dyDescent="0.2"/>
    <row r="2824" s="22" customFormat="1" ht="12.75" customHeight="1" x14ac:dyDescent="0.2"/>
    <row r="2825" s="22" customFormat="1" ht="12.75" customHeight="1" x14ac:dyDescent="0.2"/>
    <row r="2826" s="22" customFormat="1" ht="12.75" customHeight="1" x14ac:dyDescent="0.2"/>
    <row r="2827" s="22" customFormat="1" ht="12.75" customHeight="1" x14ac:dyDescent="0.2"/>
    <row r="2828" s="22" customFormat="1" ht="12.75" customHeight="1" x14ac:dyDescent="0.2"/>
    <row r="2829" s="22" customFormat="1" ht="12.75" customHeight="1" x14ac:dyDescent="0.2"/>
    <row r="2830" s="22" customFormat="1" ht="12.75" customHeight="1" x14ac:dyDescent="0.2"/>
    <row r="2831" s="22" customFormat="1" ht="12.75" customHeight="1" x14ac:dyDescent="0.2"/>
    <row r="2832" s="22" customFormat="1" ht="12.75" customHeight="1" x14ac:dyDescent="0.2"/>
    <row r="2833" s="22" customFormat="1" ht="12.75" customHeight="1" x14ac:dyDescent="0.2"/>
    <row r="2834" s="22" customFormat="1" ht="12.75" customHeight="1" x14ac:dyDescent="0.2"/>
    <row r="2835" s="22" customFormat="1" ht="12.75" customHeight="1" x14ac:dyDescent="0.2"/>
    <row r="2836" s="22" customFormat="1" ht="12.75" customHeight="1" x14ac:dyDescent="0.2"/>
    <row r="2837" s="22" customFormat="1" ht="12.75" customHeight="1" x14ac:dyDescent="0.2"/>
    <row r="2838" s="22" customFormat="1" ht="12.75" customHeight="1" x14ac:dyDescent="0.2"/>
    <row r="2839" s="22" customFormat="1" ht="12.75" customHeight="1" x14ac:dyDescent="0.2"/>
    <row r="2840" s="22" customFormat="1" ht="12.75" customHeight="1" x14ac:dyDescent="0.2"/>
    <row r="2841" s="22" customFormat="1" ht="12.75" customHeight="1" x14ac:dyDescent="0.2"/>
    <row r="2842" s="22" customFormat="1" ht="12.75" customHeight="1" x14ac:dyDescent="0.2"/>
    <row r="2843" s="22" customFormat="1" ht="12.75" customHeight="1" x14ac:dyDescent="0.2"/>
    <row r="2844" s="22" customFormat="1" ht="12.75" customHeight="1" x14ac:dyDescent="0.2"/>
    <row r="2845" s="22" customFormat="1" ht="12.75" customHeight="1" x14ac:dyDescent="0.2"/>
    <row r="2846" s="22" customFormat="1" ht="12.75" customHeight="1" x14ac:dyDescent="0.2"/>
    <row r="2847" s="22" customFormat="1" ht="12.75" customHeight="1" x14ac:dyDescent="0.2"/>
    <row r="2848" s="22" customFormat="1" ht="12.75" customHeight="1" x14ac:dyDescent="0.2"/>
    <row r="2849" s="22" customFormat="1" ht="12.75" customHeight="1" x14ac:dyDescent="0.2"/>
    <row r="2850" s="22" customFormat="1" ht="12.75" customHeight="1" x14ac:dyDescent="0.2"/>
    <row r="2851" s="22" customFormat="1" ht="12.75" customHeight="1" x14ac:dyDescent="0.2"/>
    <row r="2852" s="22" customFormat="1" ht="12.75" customHeight="1" x14ac:dyDescent="0.2"/>
    <row r="2853" s="22" customFormat="1" ht="12.75" customHeight="1" x14ac:dyDescent="0.2"/>
    <row r="2854" s="22" customFormat="1" ht="12.75" customHeight="1" x14ac:dyDescent="0.2"/>
    <row r="2855" s="22" customFormat="1" ht="12.75" customHeight="1" x14ac:dyDescent="0.2"/>
    <row r="2856" s="22" customFormat="1" ht="12.75" customHeight="1" x14ac:dyDescent="0.2"/>
    <row r="2857" s="22" customFormat="1" ht="12.75" customHeight="1" x14ac:dyDescent="0.2"/>
    <row r="2858" s="22" customFormat="1" ht="12.75" customHeight="1" x14ac:dyDescent="0.2"/>
    <row r="2859" s="22" customFormat="1" ht="12.75" customHeight="1" x14ac:dyDescent="0.2"/>
    <row r="2860" s="22" customFormat="1" ht="12.75" customHeight="1" x14ac:dyDescent="0.2"/>
    <row r="2861" s="22" customFormat="1" ht="12.75" customHeight="1" x14ac:dyDescent="0.2"/>
    <row r="2862" s="22" customFormat="1" ht="12.75" customHeight="1" x14ac:dyDescent="0.2"/>
    <row r="2863" s="22" customFormat="1" ht="12.75" customHeight="1" x14ac:dyDescent="0.2"/>
    <row r="2864" s="22" customFormat="1" ht="12.75" customHeight="1" x14ac:dyDescent="0.2"/>
    <row r="2865" s="22" customFormat="1" ht="12.75" customHeight="1" x14ac:dyDescent="0.2"/>
    <row r="2866" s="22" customFormat="1" ht="12.75" customHeight="1" x14ac:dyDescent="0.2"/>
    <row r="2867" s="22" customFormat="1" ht="12.75" customHeight="1" x14ac:dyDescent="0.2"/>
    <row r="2868" s="22" customFormat="1" ht="12.75" customHeight="1" x14ac:dyDescent="0.2"/>
    <row r="2869" s="22" customFormat="1" ht="12.75" customHeight="1" x14ac:dyDescent="0.2"/>
    <row r="2870" s="22" customFormat="1" ht="12.75" customHeight="1" x14ac:dyDescent="0.2"/>
    <row r="2871" s="22" customFormat="1" ht="12.75" customHeight="1" x14ac:dyDescent="0.2"/>
    <row r="2872" s="22" customFormat="1" ht="12.75" customHeight="1" x14ac:dyDescent="0.2"/>
    <row r="2873" s="22" customFormat="1" ht="12.75" customHeight="1" x14ac:dyDescent="0.2"/>
    <row r="2874" s="22" customFormat="1" ht="12.75" customHeight="1" x14ac:dyDescent="0.2"/>
    <row r="2875" s="22" customFormat="1" ht="12.75" customHeight="1" x14ac:dyDescent="0.2"/>
    <row r="2876" s="22" customFormat="1" ht="12.75" customHeight="1" x14ac:dyDescent="0.2"/>
    <row r="2877" s="22" customFormat="1" ht="12.75" customHeight="1" x14ac:dyDescent="0.2"/>
    <row r="2878" s="22" customFormat="1" ht="12.75" customHeight="1" x14ac:dyDescent="0.2"/>
    <row r="2879" s="22" customFormat="1" ht="12.75" customHeight="1" x14ac:dyDescent="0.2"/>
    <row r="2880" s="22" customFormat="1" ht="12.75" customHeight="1" x14ac:dyDescent="0.2"/>
    <row r="2881" s="22" customFormat="1" ht="12.75" customHeight="1" x14ac:dyDescent="0.2"/>
    <row r="2882" s="22" customFormat="1" ht="12.75" customHeight="1" x14ac:dyDescent="0.2"/>
    <row r="2883" s="22" customFormat="1" ht="12.75" customHeight="1" x14ac:dyDescent="0.2"/>
    <row r="2884" s="22" customFormat="1" ht="12.75" customHeight="1" x14ac:dyDescent="0.2"/>
    <row r="2885" s="22" customFormat="1" ht="12.75" customHeight="1" x14ac:dyDescent="0.2"/>
    <row r="2886" s="22" customFormat="1" ht="12.75" customHeight="1" x14ac:dyDescent="0.2"/>
    <row r="2887" s="22" customFormat="1" ht="12.75" customHeight="1" x14ac:dyDescent="0.2"/>
    <row r="2888" s="22" customFormat="1" ht="12.75" customHeight="1" x14ac:dyDescent="0.2"/>
    <row r="2889" s="22" customFormat="1" ht="12.75" customHeight="1" x14ac:dyDescent="0.2"/>
    <row r="2890" s="22" customFormat="1" ht="12.75" customHeight="1" x14ac:dyDescent="0.2"/>
    <row r="2891" s="22" customFormat="1" ht="12.75" customHeight="1" x14ac:dyDescent="0.2"/>
    <row r="2892" s="22" customFormat="1" ht="12.75" customHeight="1" x14ac:dyDescent="0.2"/>
    <row r="2893" s="22" customFormat="1" ht="12.75" customHeight="1" x14ac:dyDescent="0.2"/>
    <row r="2894" s="22" customFormat="1" ht="12.75" customHeight="1" x14ac:dyDescent="0.2"/>
    <row r="2895" s="22" customFormat="1" ht="12.75" customHeight="1" x14ac:dyDescent="0.2"/>
    <row r="2896" s="22" customFormat="1" ht="12.75" customHeight="1" x14ac:dyDescent="0.2"/>
    <row r="2897" s="22" customFormat="1" ht="12.75" customHeight="1" x14ac:dyDescent="0.2"/>
    <row r="2898" s="22" customFormat="1" ht="12.75" customHeight="1" x14ac:dyDescent="0.2"/>
    <row r="2899" s="22" customFormat="1" ht="12.75" customHeight="1" x14ac:dyDescent="0.2"/>
    <row r="2900" s="22" customFormat="1" ht="12.75" customHeight="1" x14ac:dyDescent="0.2"/>
    <row r="2901" s="22" customFormat="1" ht="12.75" customHeight="1" x14ac:dyDescent="0.2"/>
    <row r="2902" s="22" customFormat="1" ht="12.75" customHeight="1" x14ac:dyDescent="0.2"/>
    <row r="2903" s="22" customFormat="1" ht="12.75" customHeight="1" x14ac:dyDescent="0.2"/>
    <row r="2904" s="22" customFormat="1" ht="12.75" customHeight="1" x14ac:dyDescent="0.2"/>
    <row r="2905" s="22" customFormat="1" ht="12.75" customHeight="1" x14ac:dyDescent="0.2"/>
    <row r="2906" s="22" customFormat="1" ht="12.75" customHeight="1" x14ac:dyDescent="0.2"/>
    <row r="2907" s="22" customFormat="1" ht="12.75" customHeight="1" x14ac:dyDescent="0.2"/>
    <row r="2908" s="22" customFormat="1" ht="12.75" customHeight="1" x14ac:dyDescent="0.2"/>
    <row r="2909" s="22" customFormat="1" ht="12.75" customHeight="1" x14ac:dyDescent="0.2"/>
    <row r="2910" s="22" customFormat="1" ht="12.75" customHeight="1" x14ac:dyDescent="0.2"/>
    <row r="2911" s="22" customFormat="1" ht="12.75" customHeight="1" x14ac:dyDescent="0.2"/>
    <row r="2912" s="22" customFormat="1" ht="12.75" customHeight="1" x14ac:dyDescent="0.2"/>
    <row r="2913" s="22" customFormat="1" ht="12.75" customHeight="1" x14ac:dyDescent="0.2"/>
    <row r="2914" s="22" customFormat="1" ht="12.75" customHeight="1" x14ac:dyDescent="0.2"/>
    <row r="2915" s="22" customFormat="1" ht="12.75" customHeight="1" x14ac:dyDescent="0.2"/>
    <row r="2916" s="22" customFormat="1" ht="12.75" customHeight="1" x14ac:dyDescent="0.2"/>
    <row r="2917" s="22" customFormat="1" ht="12.75" customHeight="1" x14ac:dyDescent="0.2"/>
    <row r="2918" s="22" customFormat="1" ht="12.75" customHeight="1" x14ac:dyDescent="0.2"/>
    <row r="2919" s="22" customFormat="1" ht="12.75" customHeight="1" x14ac:dyDescent="0.2"/>
    <row r="2920" s="22" customFormat="1" ht="12.75" customHeight="1" x14ac:dyDescent="0.2"/>
    <row r="2921" s="22" customFormat="1" ht="12.75" customHeight="1" x14ac:dyDescent="0.2"/>
    <row r="2922" s="22" customFormat="1" ht="12.75" customHeight="1" x14ac:dyDescent="0.2"/>
    <row r="2923" s="22" customFormat="1" ht="12.75" customHeight="1" x14ac:dyDescent="0.2"/>
    <row r="2924" s="22" customFormat="1" ht="12.75" customHeight="1" x14ac:dyDescent="0.2"/>
    <row r="2925" s="22" customFormat="1" ht="12.75" customHeight="1" x14ac:dyDescent="0.2"/>
    <row r="2926" s="22" customFormat="1" ht="12.75" customHeight="1" x14ac:dyDescent="0.2"/>
    <row r="2927" s="22" customFormat="1" ht="12.75" customHeight="1" x14ac:dyDescent="0.2"/>
    <row r="2928" s="22" customFormat="1" ht="12.75" customHeight="1" x14ac:dyDescent="0.2"/>
    <row r="2929" s="22" customFormat="1" ht="12.75" customHeight="1" x14ac:dyDescent="0.2"/>
    <row r="2930" s="22" customFormat="1" ht="12.75" customHeight="1" x14ac:dyDescent="0.2"/>
    <row r="2931" s="22" customFormat="1" ht="12.75" customHeight="1" x14ac:dyDescent="0.2"/>
    <row r="2932" s="22" customFormat="1" ht="12.75" customHeight="1" x14ac:dyDescent="0.2"/>
    <row r="2933" s="22" customFormat="1" ht="12.75" customHeight="1" x14ac:dyDescent="0.2"/>
    <row r="2934" s="22" customFormat="1" ht="12.75" customHeight="1" x14ac:dyDescent="0.2"/>
    <row r="2935" s="22" customFormat="1" ht="12.75" customHeight="1" x14ac:dyDescent="0.2"/>
    <row r="2936" s="22" customFormat="1" ht="12.75" customHeight="1" x14ac:dyDescent="0.2"/>
    <row r="2937" s="22" customFormat="1" ht="12.75" customHeight="1" x14ac:dyDescent="0.2"/>
    <row r="2938" s="22" customFormat="1" ht="12.75" customHeight="1" x14ac:dyDescent="0.2"/>
    <row r="2939" s="22" customFormat="1" ht="12.75" customHeight="1" x14ac:dyDescent="0.2"/>
    <row r="2940" s="22" customFormat="1" ht="12.75" customHeight="1" x14ac:dyDescent="0.2"/>
    <row r="2941" s="22" customFormat="1" ht="12.75" customHeight="1" x14ac:dyDescent="0.2"/>
    <row r="2942" s="22" customFormat="1" ht="12.75" customHeight="1" x14ac:dyDescent="0.2"/>
    <row r="2943" s="22" customFormat="1" ht="12.75" customHeight="1" x14ac:dyDescent="0.2"/>
    <row r="2944" s="22" customFormat="1" ht="12.75" customHeight="1" x14ac:dyDescent="0.2"/>
    <row r="2945" s="22" customFormat="1" ht="12.75" customHeight="1" x14ac:dyDescent="0.2"/>
    <row r="2946" s="22" customFormat="1" ht="12.75" customHeight="1" x14ac:dyDescent="0.2"/>
    <row r="2947" s="22" customFormat="1" ht="12.75" customHeight="1" x14ac:dyDescent="0.2"/>
    <row r="2948" s="22" customFormat="1" ht="12.75" customHeight="1" x14ac:dyDescent="0.2"/>
    <row r="2949" s="22" customFormat="1" ht="12.75" customHeight="1" x14ac:dyDescent="0.2"/>
    <row r="2950" s="22" customFormat="1" ht="12.75" customHeight="1" x14ac:dyDescent="0.2"/>
    <row r="2951" s="22" customFormat="1" ht="12.75" customHeight="1" x14ac:dyDescent="0.2"/>
    <row r="2952" s="22" customFormat="1" ht="12.75" customHeight="1" x14ac:dyDescent="0.2"/>
    <row r="2953" s="22" customFormat="1" ht="12.75" customHeight="1" x14ac:dyDescent="0.2"/>
    <row r="2954" s="22" customFormat="1" ht="12.75" customHeight="1" x14ac:dyDescent="0.2"/>
    <row r="2955" s="22" customFormat="1" ht="12.75" customHeight="1" x14ac:dyDescent="0.2"/>
    <row r="2956" s="22" customFormat="1" ht="12.75" customHeight="1" x14ac:dyDescent="0.2"/>
    <row r="2957" s="22" customFormat="1" ht="12.75" customHeight="1" x14ac:dyDescent="0.2"/>
    <row r="2958" s="22" customFormat="1" ht="12.75" customHeight="1" x14ac:dyDescent="0.2"/>
    <row r="2959" s="22" customFormat="1" ht="12.75" customHeight="1" x14ac:dyDescent="0.2"/>
    <row r="2960" s="22" customFormat="1" ht="12.75" customHeight="1" x14ac:dyDescent="0.2"/>
    <row r="2961" s="22" customFormat="1" ht="12.75" customHeight="1" x14ac:dyDescent="0.2"/>
    <row r="2962" s="22" customFormat="1" ht="12.75" customHeight="1" x14ac:dyDescent="0.2"/>
    <row r="2963" s="22" customFormat="1" ht="12.75" customHeight="1" x14ac:dyDescent="0.2"/>
    <row r="2964" s="22" customFormat="1" ht="12.75" customHeight="1" x14ac:dyDescent="0.2"/>
    <row r="2965" s="22" customFormat="1" ht="12.75" customHeight="1" x14ac:dyDescent="0.2"/>
    <row r="2966" s="22" customFormat="1" ht="12.75" customHeight="1" x14ac:dyDescent="0.2"/>
    <row r="2967" s="22" customFormat="1" ht="12.75" customHeight="1" x14ac:dyDescent="0.2"/>
    <row r="2968" s="22" customFormat="1" ht="12.75" customHeight="1" x14ac:dyDescent="0.2"/>
    <row r="2969" s="22" customFormat="1" ht="12.75" customHeight="1" x14ac:dyDescent="0.2"/>
    <row r="2970" s="22" customFormat="1" ht="12.75" customHeight="1" x14ac:dyDescent="0.2"/>
    <row r="2971" s="22" customFormat="1" ht="12.75" customHeight="1" x14ac:dyDescent="0.2"/>
    <row r="2972" s="22" customFormat="1" ht="12.75" customHeight="1" x14ac:dyDescent="0.2"/>
    <row r="2973" s="22" customFormat="1" ht="12.75" customHeight="1" x14ac:dyDescent="0.2"/>
    <row r="2974" s="22" customFormat="1" ht="12.75" customHeight="1" x14ac:dyDescent="0.2"/>
    <row r="2975" s="22" customFormat="1" ht="12.75" customHeight="1" x14ac:dyDescent="0.2"/>
    <row r="2976" s="22" customFormat="1" ht="12.75" customHeight="1" x14ac:dyDescent="0.2"/>
    <row r="2977" s="22" customFormat="1" ht="12.75" customHeight="1" x14ac:dyDescent="0.2"/>
    <row r="2978" s="22" customFormat="1" ht="12.75" customHeight="1" x14ac:dyDescent="0.2"/>
    <row r="2979" s="22" customFormat="1" ht="12.75" customHeight="1" x14ac:dyDescent="0.2"/>
    <row r="2980" s="22" customFormat="1" ht="12.75" customHeight="1" x14ac:dyDescent="0.2"/>
    <row r="2981" s="22" customFormat="1" ht="12.75" customHeight="1" x14ac:dyDescent="0.2"/>
    <row r="2982" s="22" customFormat="1" ht="12.75" customHeight="1" x14ac:dyDescent="0.2"/>
    <row r="2983" s="22" customFormat="1" ht="12.75" customHeight="1" x14ac:dyDescent="0.2"/>
    <row r="2984" s="22" customFormat="1" ht="12.75" customHeight="1" x14ac:dyDescent="0.2"/>
    <row r="2985" s="22" customFormat="1" ht="12.75" customHeight="1" x14ac:dyDescent="0.2"/>
    <row r="2986" s="22" customFormat="1" ht="12.75" customHeight="1" x14ac:dyDescent="0.2"/>
    <row r="2987" s="22" customFormat="1" ht="12.75" customHeight="1" x14ac:dyDescent="0.2"/>
    <row r="2988" s="22" customFormat="1" ht="12.75" customHeight="1" x14ac:dyDescent="0.2"/>
    <row r="2989" s="22" customFormat="1" ht="12.75" customHeight="1" x14ac:dyDescent="0.2"/>
    <row r="2990" s="22" customFormat="1" ht="12.75" customHeight="1" x14ac:dyDescent="0.2"/>
    <row r="2991" s="22" customFormat="1" ht="12.75" customHeight="1" x14ac:dyDescent="0.2"/>
    <row r="2992" s="22" customFormat="1" ht="12.75" customHeight="1" x14ac:dyDescent="0.2"/>
    <row r="2993" s="22" customFormat="1" ht="12.75" customHeight="1" x14ac:dyDescent="0.2"/>
    <row r="2994" s="22" customFormat="1" ht="12.75" customHeight="1" x14ac:dyDescent="0.2"/>
    <row r="2995" s="22" customFormat="1" ht="12.75" customHeight="1" x14ac:dyDescent="0.2"/>
    <row r="2996" s="22" customFormat="1" ht="12.75" customHeight="1" x14ac:dyDescent="0.2"/>
    <row r="2997" s="22" customFormat="1" ht="12.75" customHeight="1" x14ac:dyDescent="0.2"/>
    <row r="2998" s="22" customFormat="1" ht="12.75" customHeight="1" x14ac:dyDescent="0.2"/>
    <row r="2999" s="22" customFormat="1" ht="12.75" customHeight="1" x14ac:dyDescent="0.2"/>
    <row r="3000" s="22" customFormat="1" ht="12.75" customHeight="1" x14ac:dyDescent="0.2"/>
    <row r="3001" s="22" customFormat="1" ht="12.75" customHeight="1" x14ac:dyDescent="0.2"/>
    <row r="3002" s="22" customFormat="1" ht="12.75" customHeight="1" x14ac:dyDescent="0.2"/>
    <row r="3003" s="22" customFormat="1" ht="12.75" customHeight="1" x14ac:dyDescent="0.2"/>
    <row r="3004" s="22" customFormat="1" ht="12.75" customHeight="1" x14ac:dyDescent="0.2"/>
    <row r="3005" s="22" customFormat="1" ht="12.75" customHeight="1" x14ac:dyDescent="0.2"/>
    <row r="3006" s="22" customFormat="1" ht="12.75" customHeight="1" x14ac:dyDescent="0.2"/>
    <row r="3007" s="22" customFormat="1" ht="12.75" customHeight="1" x14ac:dyDescent="0.2"/>
    <row r="3008" s="22" customFormat="1" ht="12.75" customHeight="1" x14ac:dyDescent="0.2"/>
    <row r="3009" s="22" customFormat="1" ht="12.75" customHeight="1" x14ac:dyDescent="0.2"/>
    <row r="3010" s="22" customFormat="1" ht="12.75" customHeight="1" x14ac:dyDescent="0.2"/>
    <row r="3011" s="22" customFormat="1" ht="12.75" customHeight="1" x14ac:dyDescent="0.2"/>
    <row r="3012" s="22" customFormat="1" ht="12.75" customHeight="1" x14ac:dyDescent="0.2"/>
    <row r="3013" s="22" customFormat="1" ht="12.75" customHeight="1" x14ac:dyDescent="0.2"/>
    <row r="3014" s="22" customFormat="1" ht="12.75" customHeight="1" x14ac:dyDescent="0.2"/>
    <row r="3015" s="22" customFormat="1" ht="12.75" customHeight="1" x14ac:dyDescent="0.2"/>
    <row r="3016" s="22" customFormat="1" ht="12.75" customHeight="1" x14ac:dyDescent="0.2"/>
    <row r="3017" s="22" customFormat="1" ht="12.75" customHeight="1" x14ac:dyDescent="0.2"/>
    <row r="3018" s="22" customFormat="1" ht="12.75" customHeight="1" x14ac:dyDescent="0.2"/>
    <row r="3019" s="22" customFormat="1" ht="12.75" customHeight="1" x14ac:dyDescent="0.2"/>
    <row r="3020" s="22" customFormat="1" ht="12.75" customHeight="1" x14ac:dyDescent="0.2"/>
    <row r="3021" s="22" customFormat="1" ht="12.75" customHeight="1" x14ac:dyDescent="0.2"/>
    <row r="3022" s="22" customFormat="1" ht="12.75" customHeight="1" x14ac:dyDescent="0.2"/>
    <row r="3023" s="22" customFormat="1" ht="12.75" customHeight="1" x14ac:dyDescent="0.2"/>
    <row r="3024" s="22" customFormat="1" ht="12.75" customHeight="1" x14ac:dyDescent="0.2"/>
    <row r="3025" s="22" customFormat="1" ht="12.75" customHeight="1" x14ac:dyDescent="0.2"/>
    <row r="3026" s="22" customFormat="1" ht="12.75" customHeight="1" x14ac:dyDescent="0.2"/>
    <row r="3027" s="22" customFormat="1" ht="12.75" customHeight="1" x14ac:dyDescent="0.2"/>
    <row r="3028" s="22" customFormat="1" ht="12.75" customHeight="1" x14ac:dyDescent="0.2"/>
    <row r="3029" s="22" customFormat="1" ht="12.75" customHeight="1" x14ac:dyDescent="0.2"/>
    <row r="3030" s="22" customFormat="1" ht="12.75" customHeight="1" x14ac:dyDescent="0.2"/>
    <row r="3031" s="22" customFormat="1" ht="12.75" customHeight="1" x14ac:dyDescent="0.2"/>
    <row r="3032" s="22" customFormat="1" ht="12.75" customHeight="1" x14ac:dyDescent="0.2"/>
    <row r="3033" s="22" customFormat="1" ht="12.75" customHeight="1" x14ac:dyDescent="0.2"/>
    <row r="3034" s="22" customFormat="1" ht="12.75" customHeight="1" x14ac:dyDescent="0.2"/>
    <row r="3035" s="22" customFormat="1" ht="12.75" customHeight="1" x14ac:dyDescent="0.2"/>
    <row r="3036" s="22" customFormat="1" ht="12.75" customHeight="1" x14ac:dyDescent="0.2"/>
    <row r="3037" s="22" customFormat="1" ht="12.75" customHeight="1" x14ac:dyDescent="0.2"/>
    <row r="3038" s="22" customFormat="1" ht="12.75" customHeight="1" x14ac:dyDescent="0.2"/>
    <row r="3039" s="22" customFormat="1" ht="12.75" customHeight="1" x14ac:dyDescent="0.2"/>
    <row r="3040" s="22" customFormat="1" ht="12.75" customHeight="1" x14ac:dyDescent="0.2"/>
    <row r="3041" s="22" customFormat="1" ht="12.75" customHeight="1" x14ac:dyDescent="0.2"/>
    <row r="3042" s="22" customFormat="1" ht="12.75" customHeight="1" x14ac:dyDescent="0.2"/>
    <row r="3043" s="22" customFormat="1" ht="12.75" customHeight="1" x14ac:dyDescent="0.2"/>
    <row r="3044" s="22" customFormat="1" ht="12.75" customHeight="1" x14ac:dyDescent="0.2"/>
    <row r="3045" s="22" customFormat="1" ht="12.75" customHeight="1" x14ac:dyDescent="0.2"/>
    <row r="3046" s="22" customFormat="1" ht="12.75" customHeight="1" x14ac:dyDescent="0.2"/>
    <row r="3047" s="22" customFormat="1" ht="12.75" customHeight="1" x14ac:dyDescent="0.2"/>
    <row r="3048" s="22" customFormat="1" ht="12.75" customHeight="1" x14ac:dyDescent="0.2"/>
    <row r="3049" s="22" customFormat="1" ht="12.75" customHeight="1" x14ac:dyDescent="0.2"/>
    <row r="3050" s="22" customFormat="1" ht="12.75" customHeight="1" x14ac:dyDescent="0.2"/>
    <row r="3051" s="22" customFormat="1" ht="12.75" customHeight="1" x14ac:dyDescent="0.2"/>
    <row r="3052" s="22" customFormat="1" ht="12.75" customHeight="1" x14ac:dyDescent="0.2"/>
    <row r="3053" s="22" customFormat="1" ht="12.75" customHeight="1" x14ac:dyDescent="0.2"/>
    <row r="3054" s="22" customFormat="1" ht="12.75" customHeight="1" x14ac:dyDescent="0.2"/>
    <row r="3055" s="22" customFormat="1" ht="12.75" customHeight="1" x14ac:dyDescent="0.2"/>
    <row r="3056" s="22" customFormat="1" ht="12.75" customHeight="1" x14ac:dyDescent="0.2"/>
    <row r="3057" s="22" customFormat="1" ht="12.75" customHeight="1" x14ac:dyDescent="0.2"/>
    <row r="3058" s="22" customFormat="1" ht="12.75" customHeight="1" x14ac:dyDescent="0.2"/>
    <row r="3059" s="22" customFormat="1" ht="12.75" customHeight="1" x14ac:dyDescent="0.2"/>
    <row r="3060" s="22" customFormat="1" ht="12.75" customHeight="1" x14ac:dyDescent="0.2"/>
    <row r="3061" s="22" customFormat="1" ht="12.75" customHeight="1" x14ac:dyDescent="0.2"/>
    <row r="3062" s="22" customFormat="1" ht="12.75" customHeight="1" x14ac:dyDescent="0.2"/>
    <row r="3063" s="22" customFormat="1" ht="12.75" customHeight="1" x14ac:dyDescent="0.2"/>
    <row r="3064" s="22" customFormat="1" ht="12.75" customHeight="1" x14ac:dyDescent="0.2"/>
    <row r="3065" s="22" customFormat="1" ht="12.75" customHeight="1" x14ac:dyDescent="0.2"/>
    <row r="3066" s="22" customFormat="1" ht="12.75" customHeight="1" x14ac:dyDescent="0.2"/>
    <row r="3067" s="22" customFormat="1" ht="12.75" customHeight="1" x14ac:dyDescent="0.2"/>
    <row r="3068" s="22" customFormat="1" ht="12.75" customHeight="1" x14ac:dyDescent="0.2"/>
    <row r="3069" s="22" customFormat="1" ht="12.75" customHeight="1" x14ac:dyDescent="0.2"/>
    <row r="3070" s="22" customFormat="1" ht="12.75" customHeight="1" x14ac:dyDescent="0.2"/>
    <row r="3071" s="22" customFormat="1" ht="12.75" customHeight="1" x14ac:dyDescent="0.2"/>
    <row r="3072" s="22" customFormat="1" ht="12.75" customHeight="1" x14ac:dyDescent="0.2"/>
    <row r="3073" s="22" customFormat="1" ht="12.75" customHeight="1" x14ac:dyDescent="0.2"/>
    <row r="3074" s="22" customFormat="1" ht="12.75" customHeight="1" x14ac:dyDescent="0.2"/>
    <row r="3075" s="22" customFormat="1" ht="12.75" customHeight="1" x14ac:dyDescent="0.2"/>
    <row r="3076" s="22" customFormat="1" ht="12.75" customHeight="1" x14ac:dyDescent="0.2"/>
    <row r="3077" s="22" customFormat="1" ht="12.75" customHeight="1" x14ac:dyDescent="0.2"/>
    <row r="3078" s="22" customFormat="1" ht="12.75" customHeight="1" x14ac:dyDescent="0.2"/>
    <row r="3079" s="22" customFormat="1" ht="12.75" customHeight="1" x14ac:dyDescent="0.2"/>
    <row r="3080" s="22" customFormat="1" ht="12.75" customHeight="1" x14ac:dyDescent="0.2"/>
    <row r="3081" s="22" customFormat="1" ht="12.75" customHeight="1" x14ac:dyDescent="0.2"/>
    <row r="3082" s="22" customFormat="1" ht="12.75" customHeight="1" x14ac:dyDescent="0.2"/>
    <row r="3083" s="22" customFormat="1" ht="12.75" customHeight="1" x14ac:dyDescent="0.2"/>
    <row r="3084" s="22" customFormat="1" ht="12.75" customHeight="1" x14ac:dyDescent="0.2"/>
    <row r="3085" s="22" customFormat="1" ht="12.75" customHeight="1" x14ac:dyDescent="0.2"/>
    <row r="3086" s="22" customFormat="1" ht="12.75" customHeight="1" x14ac:dyDescent="0.2"/>
    <row r="3087" s="22" customFormat="1" ht="12.75" customHeight="1" x14ac:dyDescent="0.2"/>
    <row r="3088" s="22" customFormat="1" ht="12.75" customHeight="1" x14ac:dyDescent="0.2"/>
    <row r="3089" s="22" customFormat="1" ht="12.75" customHeight="1" x14ac:dyDescent="0.2"/>
    <row r="3090" s="22" customFormat="1" ht="12.75" customHeight="1" x14ac:dyDescent="0.2"/>
    <row r="3091" s="22" customFormat="1" ht="12.75" customHeight="1" x14ac:dyDescent="0.2"/>
    <row r="3092" s="22" customFormat="1" ht="12.75" customHeight="1" x14ac:dyDescent="0.2"/>
    <row r="3093" s="22" customFormat="1" ht="12.75" customHeight="1" x14ac:dyDescent="0.2"/>
    <row r="3094" s="22" customFormat="1" ht="12.75" customHeight="1" x14ac:dyDescent="0.2"/>
    <row r="3095" s="22" customFormat="1" ht="12.75" customHeight="1" x14ac:dyDescent="0.2"/>
    <row r="3096" s="22" customFormat="1" ht="12.75" customHeight="1" x14ac:dyDescent="0.2"/>
    <row r="3097" s="22" customFormat="1" ht="12.75" customHeight="1" x14ac:dyDescent="0.2"/>
    <row r="3098" s="22" customFormat="1" ht="12.75" customHeight="1" x14ac:dyDescent="0.2"/>
    <row r="3099" s="22" customFormat="1" ht="12.75" customHeight="1" x14ac:dyDescent="0.2"/>
    <row r="3100" s="22" customFormat="1" ht="12.75" customHeight="1" x14ac:dyDescent="0.2"/>
    <row r="3101" s="22" customFormat="1" ht="12.75" customHeight="1" x14ac:dyDescent="0.2"/>
    <row r="3102" s="22" customFormat="1" ht="12.75" customHeight="1" x14ac:dyDescent="0.2"/>
    <row r="3103" s="22" customFormat="1" ht="12.75" customHeight="1" x14ac:dyDescent="0.2"/>
    <row r="3104" s="22" customFormat="1" ht="12.75" customHeight="1" x14ac:dyDescent="0.2"/>
    <row r="3105" s="22" customFormat="1" ht="12.75" customHeight="1" x14ac:dyDescent="0.2"/>
    <row r="3106" s="22" customFormat="1" ht="12.75" customHeight="1" x14ac:dyDescent="0.2"/>
    <row r="3107" s="22" customFormat="1" ht="12.75" customHeight="1" x14ac:dyDescent="0.2"/>
    <row r="3108" s="22" customFormat="1" ht="12.75" customHeight="1" x14ac:dyDescent="0.2"/>
    <row r="3109" s="22" customFormat="1" ht="12.75" customHeight="1" x14ac:dyDescent="0.2"/>
    <row r="3110" s="22" customFormat="1" ht="12.75" customHeight="1" x14ac:dyDescent="0.2"/>
    <row r="3111" s="22" customFormat="1" ht="12.75" customHeight="1" x14ac:dyDescent="0.2"/>
    <row r="3112" s="22" customFormat="1" ht="12.75" customHeight="1" x14ac:dyDescent="0.2"/>
    <row r="3113" s="22" customFormat="1" ht="12.75" customHeight="1" x14ac:dyDescent="0.2"/>
    <row r="3114" s="22" customFormat="1" ht="12.75" customHeight="1" x14ac:dyDescent="0.2"/>
    <row r="3115" s="22" customFormat="1" ht="12.75" customHeight="1" x14ac:dyDescent="0.2"/>
    <row r="3116" s="22" customFormat="1" ht="12.75" customHeight="1" x14ac:dyDescent="0.2"/>
    <row r="3117" s="22" customFormat="1" ht="12.75" customHeight="1" x14ac:dyDescent="0.2"/>
    <row r="3118" s="22" customFormat="1" ht="12.75" customHeight="1" x14ac:dyDescent="0.2"/>
    <row r="3119" s="22" customFormat="1" ht="12.75" customHeight="1" x14ac:dyDescent="0.2"/>
    <row r="3120" s="22" customFormat="1" ht="12.75" customHeight="1" x14ac:dyDescent="0.2"/>
    <row r="3121" s="22" customFormat="1" ht="12.75" customHeight="1" x14ac:dyDescent="0.2"/>
    <row r="3122" s="22" customFormat="1" ht="12.75" customHeight="1" x14ac:dyDescent="0.2"/>
    <row r="3123" s="22" customFormat="1" ht="12.75" customHeight="1" x14ac:dyDescent="0.2"/>
    <row r="3124" s="22" customFormat="1" ht="12.75" customHeight="1" x14ac:dyDescent="0.2"/>
    <row r="3125" s="22" customFormat="1" ht="12.75" customHeight="1" x14ac:dyDescent="0.2"/>
    <row r="3126" s="22" customFormat="1" ht="12.75" customHeight="1" x14ac:dyDescent="0.2"/>
    <row r="3127" s="22" customFormat="1" ht="12.75" customHeight="1" x14ac:dyDescent="0.2"/>
    <row r="3128" s="22" customFormat="1" ht="12.75" customHeight="1" x14ac:dyDescent="0.2"/>
    <row r="3129" s="22" customFormat="1" ht="12.75" customHeight="1" x14ac:dyDescent="0.2"/>
    <row r="3130" s="22" customFormat="1" ht="12.75" customHeight="1" x14ac:dyDescent="0.2"/>
    <row r="3131" s="22" customFormat="1" ht="12.75" customHeight="1" x14ac:dyDescent="0.2"/>
    <row r="3132" s="22" customFormat="1" ht="12.75" customHeight="1" x14ac:dyDescent="0.2"/>
    <row r="3133" s="22" customFormat="1" ht="12.75" customHeight="1" x14ac:dyDescent="0.2"/>
    <row r="3134" s="22" customFormat="1" ht="12.75" customHeight="1" x14ac:dyDescent="0.2"/>
    <row r="3135" s="22" customFormat="1" ht="12.75" customHeight="1" x14ac:dyDescent="0.2"/>
    <row r="3136" s="22" customFormat="1" ht="12.75" customHeight="1" x14ac:dyDescent="0.2"/>
    <row r="3137" s="22" customFormat="1" ht="12.75" customHeight="1" x14ac:dyDescent="0.2"/>
    <row r="3138" s="22" customFormat="1" ht="12.75" customHeight="1" x14ac:dyDescent="0.2"/>
    <row r="3139" s="22" customFormat="1" ht="12.75" customHeight="1" x14ac:dyDescent="0.2"/>
    <row r="3140" s="22" customFormat="1" ht="12.75" customHeight="1" x14ac:dyDescent="0.2"/>
    <row r="3141" s="22" customFormat="1" ht="12.75" customHeight="1" x14ac:dyDescent="0.2"/>
    <row r="3142" s="22" customFormat="1" ht="12.75" customHeight="1" x14ac:dyDescent="0.2"/>
    <row r="3143" s="22" customFormat="1" ht="12.75" customHeight="1" x14ac:dyDescent="0.2"/>
    <row r="3144" s="22" customFormat="1" ht="12.75" customHeight="1" x14ac:dyDescent="0.2"/>
    <row r="3145" s="22" customFormat="1" ht="12.75" customHeight="1" x14ac:dyDescent="0.2"/>
    <row r="3146" s="22" customFormat="1" ht="12.75" customHeight="1" x14ac:dyDescent="0.2"/>
    <row r="3147" s="22" customFormat="1" ht="12.75" customHeight="1" x14ac:dyDescent="0.2"/>
    <row r="3148" s="22" customFormat="1" ht="12.75" customHeight="1" x14ac:dyDescent="0.2"/>
    <row r="3149" s="22" customFormat="1" ht="12.75" customHeight="1" x14ac:dyDescent="0.2"/>
    <row r="3150" s="22" customFormat="1" ht="12.75" customHeight="1" x14ac:dyDescent="0.2"/>
    <row r="3151" s="22" customFormat="1" ht="12.75" customHeight="1" x14ac:dyDescent="0.2"/>
    <row r="3152" s="22" customFormat="1" ht="12.75" customHeight="1" x14ac:dyDescent="0.2"/>
    <row r="3153" s="22" customFormat="1" ht="12.75" customHeight="1" x14ac:dyDescent="0.2"/>
    <row r="3154" s="22" customFormat="1" ht="12.75" customHeight="1" x14ac:dyDescent="0.2"/>
    <row r="3155" s="22" customFormat="1" ht="12.75" customHeight="1" x14ac:dyDescent="0.2"/>
    <row r="3156" s="22" customFormat="1" ht="12.75" customHeight="1" x14ac:dyDescent="0.2"/>
    <row r="3157" s="22" customFormat="1" ht="12.75" customHeight="1" x14ac:dyDescent="0.2"/>
    <row r="3158" s="22" customFormat="1" ht="12.75" customHeight="1" x14ac:dyDescent="0.2"/>
    <row r="3159" s="22" customFormat="1" ht="12.75" customHeight="1" x14ac:dyDescent="0.2"/>
    <row r="3160" s="22" customFormat="1" ht="12.75" customHeight="1" x14ac:dyDescent="0.2"/>
    <row r="3161" s="22" customFormat="1" ht="12.75" customHeight="1" x14ac:dyDescent="0.2"/>
    <row r="3162" s="22" customFormat="1" ht="12.75" customHeight="1" x14ac:dyDescent="0.2"/>
    <row r="3163" s="22" customFormat="1" ht="12.75" customHeight="1" x14ac:dyDescent="0.2"/>
    <row r="3164" s="22" customFormat="1" ht="12.75" customHeight="1" x14ac:dyDescent="0.2"/>
    <row r="3165" s="22" customFormat="1" ht="12.75" customHeight="1" x14ac:dyDescent="0.2"/>
    <row r="3166" s="22" customFormat="1" ht="12.75" customHeight="1" x14ac:dyDescent="0.2"/>
    <row r="3167" s="22" customFormat="1" ht="12.75" customHeight="1" x14ac:dyDescent="0.2"/>
    <row r="3168" s="22" customFormat="1" ht="12.75" customHeight="1" x14ac:dyDescent="0.2"/>
    <row r="3169" s="22" customFormat="1" ht="12.75" customHeight="1" x14ac:dyDescent="0.2"/>
    <row r="3170" s="22" customFormat="1" ht="12.75" customHeight="1" x14ac:dyDescent="0.2"/>
    <row r="3171" s="22" customFormat="1" ht="12.75" customHeight="1" x14ac:dyDescent="0.2"/>
    <row r="3172" s="22" customFormat="1" ht="12.75" customHeight="1" x14ac:dyDescent="0.2"/>
    <row r="3173" s="22" customFormat="1" ht="12.75" customHeight="1" x14ac:dyDescent="0.2"/>
    <row r="3174" s="22" customFormat="1" ht="12.75" customHeight="1" x14ac:dyDescent="0.2"/>
    <row r="3175" s="22" customFormat="1" ht="12.75" customHeight="1" x14ac:dyDescent="0.2"/>
    <row r="3176" s="22" customFormat="1" ht="12.75" customHeight="1" x14ac:dyDescent="0.2"/>
    <row r="3177" s="22" customFormat="1" ht="12.75" customHeight="1" x14ac:dyDescent="0.2"/>
    <row r="3178" s="22" customFormat="1" ht="12.75" customHeight="1" x14ac:dyDescent="0.2"/>
    <row r="3179" s="22" customFormat="1" ht="12.75" customHeight="1" x14ac:dyDescent="0.2"/>
    <row r="3180" s="22" customFormat="1" ht="12.75" customHeight="1" x14ac:dyDescent="0.2"/>
    <row r="3181" s="22" customFormat="1" ht="12.75" customHeight="1" x14ac:dyDescent="0.2"/>
    <row r="3182" s="22" customFormat="1" ht="12.75" customHeight="1" x14ac:dyDescent="0.2"/>
    <row r="3183" s="22" customFormat="1" ht="12.75" customHeight="1" x14ac:dyDescent="0.2"/>
    <row r="3184" s="22" customFormat="1" ht="12.75" customHeight="1" x14ac:dyDescent="0.2"/>
    <row r="3185" s="22" customFormat="1" ht="12.75" customHeight="1" x14ac:dyDescent="0.2"/>
    <row r="3186" s="22" customFormat="1" ht="12.75" customHeight="1" x14ac:dyDescent="0.2"/>
    <row r="3187" s="22" customFormat="1" ht="12.75" customHeight="1" x14ac:dyDescent="0.2"/>
    <row r="3188" s="22" customFormat="1" ht="12.75" customHeight="1" x14ac:dyDescent="0.2"/>
    <row r="3189" s="22" customFormat="1" ht="12.75" customHeight="1" x14ac:dyDescent="0.2"/>
    <row r="3190" s="22" customFormat="1" ht="12.75" customHeight="1" x14ac:dyDescent="0.2"/>
    <row r="3191" s="22" customFormat="1" ht="12.75" customHeight="1" x14ac:dyDescent="0.2"/>
    <row r="3192" s="22" customFormat="1" ht="12.75" customHeight="1" x14ac:dyDescent="0.2"/>
    <row r="3193" s="22" customFormat="1" ht="12.75" customHeight="1" x14ac:dyDescent="0.2"/>
    <row r="3194" s="22" customFormat="1" ht="12.75" customHeight="1" x14ac:dyDescent="0.2"/>
    <row r="3195" s="22" customFormat="1" ht="12.75" customHeight="1" x14ac:dyDescent="0.2"/>
    <row r="3196" s="22" customFormat="1" ht="12.75" customHeight="1" x14ac:dyDescent="0.2"/>
    <row r="3197" s="22" customFormat="1" ht="12.75" customHeight="1" x14ac:dyDescent="0.2"/>
    <row r="3198" s="22" customFormat="1" ht="12.75" customHeight="1" x14ac:dyDescent="0.2"/>
    <row r="3199" s="22" customFormat="1" ht="12.75" customHeight="1" x14ac:dyDescent="0.2"/>
    <row r="3200" s="22" customFormat="1" ht="12.75" customHeight="1" x14ac:dyDescent="0.2"/>
    <row r="3201" s="22" customFormat="1" ht="12.75" customHeight="1" x14ac:dyDescent="0.2"/>
    <row r="3202" s="22" customFormat="1" ht="12.75" customHeight="1" x14ac:dyDescent="0.2"/>
    <row r="3203" s="22" customFormat="1" ht="12.75" customHeight="1" x14ac:dyDescent="0.2"/>
    <row r="3204" s="22" customFormat="1" ht="12.75" customHeight="1" x14ac:dyDescent="0.2"/>
    <row r="3205" s="22" customFormat="1" ht="12.75" customHeight="1" x14ac:dyDescent="0.2"/>
    <row r="3206" s="22" customFormat="1" ht="12.75" customHeight="1" x14ac:dyDescent="0.2"/>
    <row r="3207" s="22" customFormat="1" ht="12.75" customHeight="1" x14ac:dyDescent="0.2"/>
    <row r="3208" s="22" customFormat="1" ht="12.75" customHeight="1" x14ac:dyDescent="0.2"/>
    <row r="3209" s="22" customFormat="1" ht="12.75" customHeight="1" x14ac:dyDescent="0.2"/>
    <row r="3210" s="22" customFormat="1" ht="12.75" customHeight="1" x14ac:dyDescent="0.2"/>
    <row r="3211" s="22" customFormat="1" ht="12.75" customHeight="1" x14ac:dyDescent="0.2"/>
    <row r="3212" s="22" customFormat="1" ht="12.75" customHeight="1" x14ac:dyDescent="0.2"/>
    <row r="3213" s="22" customFormat="1" ht="12.75" customHeight="1" x14ac:dyDescent="0.2"/>
    <row r="3214" s="22" customFormat="1" ht="12.75" customHeight="1" x14ac:dyDescent="0.2"/>
    <row r="3215" s="22" customFormat="1" ht="12.75" customHeight="1" x14ac:dyDescent="0.2"/>
    <row r="3216" s="22" customFormat="1" ht="12.75" customHeight="1" x14ac:dyDescent="0.2"/>
    <row r="3217" s="22" customFormat="1" ht="12.75" customHeight="1" x14ac:dyDescent="0.2"/>
    <row r="3218" s="22" customFormat="1" ht="12.75" customHeight="1" x14ac:dyDescent="0.2"/>
    <row r="3219" s="22" customFormat="1" ht="12.75" customHeight="1" x14ac:dyDescent="0.2"/>
    <row r="3220" s="22" customFormat="1" ht="12.75" customHeight="1" x14ac:dyDescent="0.2"/>
    <row r="3221" s="22" customFormat="1" ht="12.75" customHeight="1" x14ac:dyDescent="0.2"/>
    <row r="3222" s="22" customFormat="1" ht="12.75" customHeight="1" x14ac:dyDescent="0.2"/>
    <row r="3223" s="22" customFormat="1" ht="12.75" customHeight="1" x14ac:dyDescent="0.2"/>
    <row r="3224" s="22" customFormat="1" ht="12.75" customHeight="1" x14ac:dyDescent="0.2"/>
    <row r="3225" s="22" customFormat="1" ht="12.75" customHeight="1" x14ac:dyDescent="0.2"/>
    <row r="3226" s="22" customFormat="1" ht="12.75" customHeight="1" x14ac:dyDescent="0.2"/>
    <row r="3227" s="22" customFormat="1" ht="12.75" customHeight="1" x14ac:dyDescent="0.2"/>
    <row r="3228" s="22" customFormat="1" ht="12.75" customHeight="1" x14ac:dyDescent="0.2"/>
    <row r="3229" s="22" customFormat="1" ht="12.75" customHeight="1" x14ac:dyDescent="0.2"/>
    <row r="3230" s="22" customFormat="1" ht="12.75" customHeight="1" x14ac:dyDescent="0.2"/>
    <row r="3231" s="22" customFormat="1" ht="12.75" customHeight="1" x14ac:dyDescent="0.2"/>
    <row r="3232" s="22" customFormat="1" ht="12.75" customHeight="1" x14ac:dyDescent="0.2"/>
    <row r="3233" s="22" customFormat="1" ht="12.75" customHeight="1" x14ac:dyDescent="0.2"/>
    <row r="3234" s="22" customFormat="1" ht="12.75" customHeight="1" x14ac:dyDescent="0.2"/>
    <row r="3235" s="22" customFormat="1" ht="12.75" customHeight="1" x14ac:dyDescent="0.2"/>
    <row r="3236" s="22" customFormat="1" ht="12.75" customHeight="1" x14ac:dyDescent="0.2"/>
    <row r="3237" s="22" customFormat="1" ht="12.75" customHeight="1" x14ac:dyDescent="0.2"/>
    <row r="3238" s="22" customFormat="1" ht="12.75" customHeight="1" x14ac:dyDescent="0.2"/>
    <row r="3239" s="22" customFormat="1" ht="12.75" customHeight="1" x14ac:dyDescent="0.2"/>
    <row r="3240" s="22" customFormat="1" ht="12.75" customHeight="1" x14ac:dyDescent="0.2"/>
    <row r="3241" s="22" customFormat="1" ht="12.75" customHeight="1" x14ac:dyDescent="0.2"/>
    <row r="3242" s="22" customFormat="1" ht="12.75" customHeight="1" x14ac:dyDescent="0.2"/>
    <row r="3243" s="22" customFormat="1" ht="12.75" customHeight="1" x14ac:dyDescent="0.2"/>
    <row r="3244" s="22" customFormat="1" ht="12.75" customHeight="1" x14ac:dyDescent="0.2"/>
    <row r="3245" s="22" customFormat="1" ht="12.75" customHeight="1" x14ac:dyDescent="0.2"/>
    <row r="3246" s="22" customFormat="1" ht="12.75" customHeight="1" x14ac:dyDescent="0.2"/>
    <row r="3247" s="22" customFormat="1" ht="12.75" customHeight="1" x14ac:dyDescent="0.2"/>
    <row r="3248" s="22" customFormat="1" ht="12.75" customHeight="1" x14ac:dyDescent="0.2"/>
    <row r="3249" s="22" customFormat="1" ht="12.75" customHeight="1" x14ac:dyDescent="0.2"/>
    <row r="3250" s="22" customFormat="1" ht="12.75" customHeight="1" x14ac:dyDescent="0.2"/>
    <row r="3251" s="22" customFormat="1" ht="12.75" customHeight="1" x14ac:dyDescent="0.2"/>
    <row r="3252" s="22" customFormat="1" ht="12.75" customHeight="1" x14ac:dyDescent="0.2"/>
    <row r="3253" s="22" customFormat="1" ht="12.75" customHeight="1" x14ac:dyDescent="0.2"/>
    <row r="3254" s="22" customFormat="1" ht="12.75" customHeight="1" x14ac:dyDescent="0.2"/>
    <row r="3255" s="22" customFormat="1" ht="12.75" customHeight="1" x14ac:dyDescent="0.2"/>
    <row r="3256" s="22" customFormat="1" ht="12.75" customHeight="1" x14ac:dyDescent="0.2"/>
    <row r="3257" s="22" customFormat="1" ht="12.75" customHeight="1" x14ac:dyDescent="0.2"/>
    <row r="3258" s="22" customFormat="1" ht="12.75" customHeight="1" x14ac:dyDescent="0.2"/>
    <row r="3259" s="22" customFormat="1" ht="12.75" customHeight="1" x14ac:dyDescent="0.2"/>
    <row r="3260" s="22" customFormat="1" ht="12.75" customHeight="1" x14ac:dyDescent="0.2"/>
    <row r="3261" s="22" customFormat="1" ht="12.75" customHeight="1" x14ac:dyDescent="0.2"/>
    <row r="3262" s="22" customFormat="1" ht="12.75" customHeight="1" x14ac:dyDescent="0.2"/>
    <row r="3263" s="22" customFormat="1" ht="12.75" customHeight="1" x14ac:dyDescent="0.2"/>
    <row r="3264" s="22" customFormat="1" ht="12.75" customHeight="1" x14ac:dyDescent="0.2"/>
    <row r="3265" s="22" customFormat="1" ht="12.75" customHeight="1" x14ac:dyDescent="0.2"/>
    <row r="3266" s="22" customFormat="1" ht="12.75" customHeight="1" x14ac:dyDescent="0.2"/>
    <row r="3267" s="22" customFormat="1" ht="12.75" customHeight="1" x14ac:dyDescent="0.2"/>
    <row r="3268" s="22" customFormat="1" ht="12.75" customHeight="1" x14ac:dyDescent="0.2"/>
    <row r="3269" s="22" customFormat="1" ht="12.75" customHeight="1" x14ac:dyDescent="0.2"/>
    <row r="3270" s="22" customFormat="1" ht="12.75" customHeight="1" x14ac:dyDescent="0.2"/>
    <row r="3271" s="22" customFormat="1" ht="12.75" customHeight="1" x14ac:dyDescent="0.2"/>
    <row r="3272" s="22" customFormat="1" ht="12.75" customHeight="1" x14ac:dyDescent="0.2"/>
    <row r="3273" s="22" customFormat="1" ht="12.75" customHeight="1" x14ac:dyDescent="0.2"/>
    <row r="3274" s="22" customFormat="1" ht="12.75" customHeight="1" x14ac:dyDescent="0.2"/>
    <row r="3275" s="22" customFormat="1" ht="12.75" customHeight="1" x14ac:dyDescent="0.2"/>
    <row r="3276" s="22" customFormat="1" ht="12.75" customHeight="1" x14ac:dyDescent="0.2"/>
    <row r="3277" s="22" customFormat="1" ht="12.75" customHeight="1" x14ac:dyDescent="0.2"/>
    <row r="3278" s="22" customFormat="1" ht="12.75" customHeight="1" x14ac:dyDescent="0.2"/>
    <row r="3279" s="22" customFormat="1" ht="12.75" customHeight="1" x14ac:dyDescent="0.2"/>
    <row r="3280" s="22" customFormat="1" ht="12.75" customHeight="1" x14ac:dyDescent="0.2"/>
    <row r="3281" s="22" customFormat="1" ht="12.75" customHeight="1" x14ac:dyDescent="0.2"/>
    <row r="3282" s="22" customFormat="1" ht="12.75" customHeight="1" x14ac:dyDescent="0.2"/>
    <row r="3283" s="22" customFormat="1" ht="12.75" customHeight="1" x14ac:dyDescent="0.2"/>
    <row r="3284" s="22" customFormat="1" ht="12.75" customHeight="1" x14ac:dyDescent="0.2"/>
    <row r="3285" s="22" customFormat="1" ht="12.75" customHeight="1" x14ac:dyDescent="0.2"/>
    <row r="3286" s="22" customFormat="1" ht="12.75" customHeight="1" x14ac:dyDescent="0.2"/>
    <row r="3287" s="22" customFormat="1" ht="12.75" customHeight="1" x14ac:dyDescent="0.2"/>
    <row r="3288" s="22" customFormat="1" ht="12.75" customHeight="1" x14ac:dyDescent="0.2"/>
    <row r="3289" s="22" customFormat="1" ht="12.75" customHeight="1" x14ac:dyDescent="0.2"/>
    <row r="3290" s="22" customFormat="1" ht="12.75" customHeight="1" x14ac:dyDescent="0.2"/>
    <row r="3291" s="22" customFormat="1" ht="12.75" customHeight="1" x14ac:dyDescent="0.2"/>
    <row r="3292" s="22" customFormat="1" ht="12.75" customHeight="1" x14ac:dyDescent="0.2"/>
    <row r="3293" s="22" customFormat="1" ht="12.75" customHeight="1" x14ac:dyDescent="0.2"/>
    <row r="3294" s="22" customFormat="1" ht="12.75" customHeight="1" x14ac:dyDescent="0.2"/>
    <row r="3295" s="22" customFormat="1" ht="12.75" customHeight="1" x14ac:dyDescent="0.2"/>
    <row r="3296" s="22" customFormat="1" ht="12.75" customHeight="1" x14ac:dyDescent="0.2"/>
    <row r="3297" s="22" customFormat="1" ht="12.75" customHeight="1" x14ac:dyDescent="0.2"/>
    <row r="3298" s="22" customFormat="1" ht="12.75" customHeight="1" x14ac:dyDescent="0.2"/>
    <row r="3299" s="22" customFormat="1" ht="12.75" customHeight="1" x14ac:dyDescent="0.2"/>
    <row r="3300" s="22" customFormat="1" ht="12.75" customHeight="1" x14ac:dyDescent="0.2"/>
    <row r="3301" s="22" customFormat="1" ht="12.75" customHeight="1" x14ac:dyDescent="0.2"/>
    <row r="3302" s="22" customFormat="1" ht="12.75" customHeight="1" x14ac:dyDescent="0.2"/>
    <row r="3303" s="22" customFormat="1" ht="12.75" customHeight="1" x14ac:dyDescent="0.2"/>
    <row r="3304" s="22" customFormat="1" ht="12.75" customHeight="1" x14ac:dyDescent="0.2"/>
    <row r="3305" s="22" customFormat="1" ht="12.75" customHeight="1" x14ac:dyDescent="0.2"/>
    <row r="3306" s="22" customFormat="1" ht="12.75" customHeight="1" x14ac:dyDescent="0.2"/>
    <row r="3307" s="22" customFormat="1" ht="12.75" customHeight="1" x14ac:dyDescent="0.2"/>
    <row r="3308" s="22" customFormat="1" ht="12.75" customHeight="1" x14ac:dyDescent="0.2"/>
    <row r="3309" s="22" customFormat="1" ht="12.75" customHeight="1" x14ac:dyDescent="0.2"/>
    <row r="3310" s="22" customFormat="1" ht="12.75" customHeight="1" x14ac:dyDescent="0.2"/>
    <row r="3311" s="22" customFormat="1" ht="12.75" customHeight="1" x14ac:dyDescent="0.2"/>
    <row r="3312" s="22" customFormat="1" ht="12.75" customHeight="1" x14ac:dyDescent="0.2"/>
    <row r="3313" s="22" customFormat="1" ht="12.75" customHeight="1" x14ac:dyDescent="0.2"/>
    <row r="3314" s="22" customFormat="1" ht="12.75" customHeight="1" x14ac:dyDescent="0.2"/>
    <row r="3315" s="22" customFormat="1" ht="12.75" customHeight="1" x14ac:dyDescent="0.2"/>
    <row r="3316" s="22" customFormat="1" ht="12.75" customHeight="1" x14ac:dyDescent="0.2"/>
    <row r="3317" s="22" customFormat="1" ht="12.75" customHeight="1" x14ac:dyDescent="0.2"/>
    <row r="3318" s="22" customFormat="1" ht="12.75" customHeight="1" x14ac:dyDescent="0.2"/>
    <row r="3319" s="22" customFormat="1" ht="12.75" customHeight="1" x14ac:dyDescent="0.2"/>
    <row r="3320" s="22" customFormat="1" ht="12.75" customHeight="1" x14ac:dyDescent="0.2"/>
    <row r="3321" s="22" customFormat="1" ht="12.75" customHeight="1" x14ac:dyDescent="0.2"/>
    <row r="3322" s="22" customFormat="1" ht="12.75" customHeight="1" x14ac:dyDescent="0.2"/>
    <row r="3323" s="22" customFormat="1" ht="12.75" customHeight="1" x14ac:dyDescent="0.2"/>
    <row r="3324" s="22" customFormat="1" ht="12.75" customHeight="1" x14ac:dyDescent="0.2"/>
    <row r="3325" s="22" customFormat="1" ht="12.75" customHeight="1" x14ac:dyDescent="0.2"/>
    <row r="3326" s="22" customFormat="1" ht="12.75" customHeight="1" x14ac:dyDescent="0.2"/>
    <row r="3327" s="22" customFormat="1" ht="12.75" customHeight="1" x14ac:dyDescent="0.2"/>
    <row r="3328" s="22" customFormat="1" ht="12.75" customHeight="1" x14ac:dyDescent="0.2"/>
    <row r="3329" s="22" customFormat="1" ht="12.75" customHeight="1" x14ac:dyDescent="0.2"/>
    <row r="3330" s="22" customFormat="1" ht="12.75" customHeight="1" x14ac:dyDescent="0.2"/>
    <row r="3331" s="22" customFormat="1" ht="12.75" customHeight="1" x14ac:dyDescent="0.2"/>
    <row r="3332" s="22" customFormat="1" ht="12.75" customHeight="1" x14ac:dyDescent="0.2"/>
    <row r="3333" s="22" customFormat="1" ht="12.75" customHeight="1" x14ac:dyDescent="0.2"/>
    <row r="3334" s="22" customFormat="1" ht="12.75" customHeight="1" x14ac:dyDescent="0.2"/>
    <row r="3335" s="22" customFormat="1" ht="12.75" customHeight="1" x14ac:dyDescent="0.2"/>
    <row r="3336" s="22" customFormat="1" ht="12.75" customHeight="1" x14ac:dyDescent="0.2"/>
    <row r="3337" s="22" customFormat="1" ht="12.75" customHeight="1" x14ac:dyDescent="0.2"/>
    <row r="3338" s="22" customFormat="1" ht="12.75" customHeight="1" x14ac:dyDescent="0.2"/>
    <row r="3339" s="22" customFormat="1" ht="12.75" customHeight="1" x14ac:dyDescent="0.2"/>
    <row r="3340" s="22" customFormat="1" ht="12.75" customHeight="1" x14ac:dyDescent="0.2"/>
    <row r="3341" s="22" customFormat="1" ht="12.75" customHeight="1" x14ac:dyDescent="0.2"/>
    <row r="3342" s="22" customFormat="1" ht="12.75" customHeight="1" x14ac:dyDescent="0.2"/>
    <row r="3343" s="22" customFormat="1" ht="12.75" customHeight="1" x14ac:dyDescent="0.2"/>
    <row r="3344" s="22" customFormat="1" ht="12.75" customHeight="1" x14ac:dyDescent="0.2"/>
    <row r="3345" s="22" customFormat="1" ht="12.75" customHeight="1" x14ac:dyDescent="0.2"/>
    <row r="3346" s="22" customFormat="1" ht="12.75" customHeight="1" x14ac:dyDescent="0.2"/>
    <row r="3347" s="22" customFormat="1" ht="12.75" customHeight="1" x14ac:dyDescent="0.2"/>
    <row r="3348" s="22" customFormat="1" ht="12.75" customHeight="1" x14ac:dyDescent="0.2"/>
    <row r="3349" s="22" customFormat="1" ht="12.75" customHeight="1" x14ac:dyDescent="0.2"/>
    <row r="3350" s="22" customFormat="1" ht="12.75" customHeight="1" x14ac:dyDescent="0.2"/>
    <row r="3351" s="22" customFormat="1" ht="12.75" customHeight="1" x14ac:dyDescent="0.2"/>
    <row r="3352" s="22" customFormat="1" ht="12.75" customHeight="1" x14ac:dyDescent="0.2"/>
    <row r="3353" s="22" customFormat="1" ht="12.75" customHeight="1" x14ac:dyDescent="0.2"/>
    <row r="3354" s="22" customFormat="1" ht="12.75" customHeight="1" x14ac:dyDescent="0.2"/>
    <row r="3355" s="22" customFormat="1" ht="12.75" customHeight="1" x14ac:dyDescent="0.2"/>
    <row r="3356" s="22" customFormat="1" ht="12.75" customHeight="1" x14ac:dyDescent="0.2"/>
    <row r="3357" s="22" customFormat="1" ht="12.75" customHeight="1" x14ac:dyDescent="0.2"/>
    <row r="3358" s="22" customFormat="1" ht="12.75" customHeight="1" x14ac:dyDescent="0.2"/>
    <row r="3359" s="22" customFormat="1" ht="12.75" customHeight="1" x14ac:dyDescent="0.2"/>
    <row r="3360" s="22" customFormat="1" ht="12.75" customHeight="1" x14ac:dyDescent="0.2"/>
    <row r="3361" s="22" customFormat="1" ht="12.75" customHeight="1" x14ac:dyDescent="0.2"/>
    <row r="3362" s="22" customFormat="1" ht="12.75" customHeight="1" x14ac:dyDescent="0.2"/>
    <row r="3363" s="22" customFormat="1" ht="12.75" customHeight="1" x14ac:dyDescent="0.2"/>
    <row r="3364" s="22" customFormat="1" ht="12.75" customHeight="1" x14ac:dyDescent="0.2"/>
    <row r="3365" s="22" customFormat="1" ht="12.75" customHeight="1" x14ac:dyDescent="0.2"/>
    <row r="3366" s="22" customFormat="1" ht="12.75" customHeight="1" x14ac:dyDescent="0.2"/>
    <row r="3367" s="22" customFormat="1" ht="12.75" customHeight="1" x14ac:dyDescent="0.2"/>
    <row r="3368" s="22" customFormat="1" ht="12.75" customHeight="1" x14ac:dyDescent="0.2"/>
    <row r="3369" s="22" customFormat="1" ht="12.75" customHeight="1" x14ac:dyDescent="0.2"/>
    <row r="3370" s="22" customFormat="1" ht="12.75" customHeight="1" x14ac:dyDescent="0.2"/>
    <row r="3371" s="22" customFormat="1" ht="12.75" customHeight="1" x14ac:dyDescent="0.2"/>
    <row r="3372" s="22" customFormat="1" ht="12.75" customHeight="1" x14ac:dyDescent="0.2"/>
    <row r="3373" s="22" customFormat="1" ht="12.75" customHeight="1" x14ac:dyDescent="0.2"/>
    <row r="3374" s="22" customFormat="1" ht="12.75" customHeight="1" x14ac:dyDescent="0.2"/>
    <row r="3375" s="22" customFormat="1" ht="12.75" customHeight="1" x14ac:dyDescent="0.2"/>
    <row r="3376" s="22" customFormat="1" ht="12.75" customHeight="1" x14ac:dyDescent="0.2"/>
    <row r="3377" s="22" customFormat="1" ht="12.75" customHeight="1" x14ac:dyDescent="0.2"/>
    <row r="3378" s="22" customFormat="1" ht="12.75" customHeight="1" x14ac:dyDescent="0.2"/>
    <row r="3379" s="22" customFormat="1" ht="12.75" customHeight="1" x14ac:dyDescent="0.2"/>
    <row r="3380" s="22" customFormat="1" ht="12.75" customHeight="1" x14ac:dyDescent="0.2"/>
    <row r="3381" s="22" customFormat="1" ht="12.75" customHeight="1" x14ac:dyDescent="0.2"/>
    <row r="3382" s="22" customFormat="1" ht="12.75" customHeight="1" x14ac:dyDescent="0.2"/>
    <row r="3383" s="22" customFormat="1" ht="12.75" customHeight="1" x14ac:dyDescent="0.2"/>
    <row r="3384" s="22" customFormat="1" ht="12.75" customHeight="1" x14ac:dyDescent="0.2"/>
    <row r="3385" s="22" customFormat="1" ht="12.75" customHeight="1" x14ac:dyDescent="0.2"/>
    <row r="3386" s="22" customFormat="1" ht="12.75" customHeight="1" x14ac:dyDescent="0.2"/>
    <row r="3387" s="22" customFormat="1" ht="12.75" customHeight="1" x14ac:dyDescent="0.2"/>
    <row r="3388" s="22" customFormat="1" ht="12.75" customHeight="1" x14ac:dyDescent="0.2"/>
    <row r="3389" s="22" customFormat="1" ht="12.75" customHeight="1" x14ac:dyDescent="0.2"/>
    <row r="3390" s="22" customFormat="1" ht="12.75" customHeight="1" x14ac:dyDescent="0.2"/>
    <row r="3391" s="22" customFormat="1" ht="12.75" customHeight="1" x14ac:dyDescent="0.2"/>
    <row r="3392" s="22" customFormat="1" ht="12.75" customHeight="1" x14ac:dyDescent="0.2"/>
    <row r="3393" s="22" customFormat="1" ht="12.75" customHeight="1" x14ac:dyDescent="0.2"/>
    <row r="3394" s="22" customFormat="1" ht="12.75" customHeight="1" x14ac:dyDescent="0.2"/>
    <row r="3395" s="22" customFormat="1" ht="12.75" customHeight="1" x14ac:dyDescent="0.2"/>
    <row r="3396" s="22" customFormat="1" ht="12.75" customHeight="1" x14ac:dyDescent="0.2"/>
    <row r="3397" s="22" customFormat="1" ht="12.75" customHeight="1" x14ac:dyDescent="0.2"/>
    <row r="3398" s="22" customFormat="1" ht="12.75" customHeight="1" x14ac:dyDescent="0.2"/>
    <row r="3399" s="22" customFormat="1" ht="12.75" customHeight="1" x14ac:dyDescent="0.2"/>
    <row r="3400" s="22" customFormat="1" ht="12.75" customHeight="1" x14ac:dyDescent="0.2"/>
    <row r="3401" s="22" customFormat="1" ht="12.75" customHeight="1" x14ac:dyDescent="0.2"/>
    <row r="3402" s="22" customFormat="1" ht="12.75" customHeight="1" x14ac:dyDescent="0.2"/>
    <row r="3403" s="22" customFormat="1" ht="12.75" customHeight="1" x14ac:dyDescent="0.2"/>
    <row r="3404" s="22" customFormat="1" ht="12.75" customHeight="1" x14ac:dyDescent="0.2"/>
    <row r="3405" s="22" customFormat="1" ht="12.75" customHeight="1" x14ac:dyDescent="0.2"/>
    <row r="3406" s="22" customFormat="1" ht="12.75" customHeight="1" x14ac:dyDescent="0.2"/>
    <row r="3407" s="22" customFormat="1" ht="12.75" customHeight="1" x14ac:dyDescent="0.2"/>
    <row r="3408" s="22" customFormat="1" ht="12.75" customHeight="1" x14ac:dyDescent="0.2"/>
    <row r="3409" s="22" customFormat="1" ht="12.75" customHeight="1" x14ac:dyDescent="0.2"/>
    <row r="3410" s="22" customFormat="1" ht="12.75" customHeight="1" x14ac:dyDescent="0.2"/>
    <row r="3411" s="22" customFormat="1" ht="12.75" customHeight="1" x14ac:dyDescent="0.2"/>
    <row r="3412" s="22" customFormat="1" ht="12.75" customHeight="1" x14ac:dyDescent="0.2"/>
    <row r="3413" s="22" customFormat="1" ht="12.75" customHeight="1" x14ac:dyDescent="0.2"/>
    <row r="3414" s="22" customFormat="1" ht="12.75" customHeight="1" x14ac:dyDescent="0.2"/>
    <row r="3415" s="22" customFormat="1" ht="12.75" customHeight="1" x14ac:dyDescent="0.2"/>
    <row r="3416" s="22" customFormat="1" ht="12.75" customHeight="1" x14ac:dyDescent="0.2"/>
    <row r="3417" s="22" customFormat="1" ht="12.75" customHeight="1" x14ac:dyDescent="0.2"/>
    <row r="3418" s="22" customFormat="1" ht="12.75" customHeight="1" x14ac:dyDescent="0.2"/>
    <row r="3419" s="22" customFormat="1" ht="12.75" customHeight="1" x14ac:dyDescent="0.2"/>
    <row r="3420" s="22" customFormat="1" ht="12.75" customHeight="1" x14ac:dyDescent="0.2"/>
    <row r="3421" s="22" customFormat="1" ht="12.75" customHeight="1" x14ac:dyDescent="0.2"/>
    <row r="3422" s="22" customFormat="1" ht="12.75" customHeight="1" x14ac:dyDescent="0.2"/>
    <row r="3423" s="22" customFormat="1" ht="12.75" customHeight="1" x14ac:dyDescent="0.2"/>
    <row r="3424" s="22" customFormat="1" ht="12.75" customHeight="1" x14ac:dyDescent="0.2"/>
    <row r="3425" s="22" customFormat="1" ht="12.75" customHeight="1" x14ac:dyDescent="0.2"/>
    <row r="3426" s="22" customFormat="1" ht="12.75" customHeight="1" x14ac:dyDescent="0.2"/>
    <row r="3427" s="22" customFormat="1" ht="12.75" customHeight="1" x14ac:dyDescent="0.2"/>
    <row r="3428" s="22" customFormat="1" ht="12.75" customHeight="1" x14ac:dyDescent="0.2"/>
    <row r="3429" s="22" customFormat="1" ht="12.75" customHeight="1" x14ac:dyDescent="0.2"/>
    <row r="3430" s="22" customFormat="1" ht="12.75" customHeight="1" x14ac:dyDescent="0.2"/>
    <row r="3431" s="22" customFormat="1" ht="12.75" customHeight="1" x14ac:dyDescent="0.2"/>
    <row r="3432" s="22" customFormat="1" ht="12.75" customHeight="1" x14ac:dyDescent="0.2"/>
    <row r="3433" s="22" customFormat="1" ht="12.75" customHeight="1" x14ac:dyDescent="0.2"/>
    <row r="3434" s="22" customFormat="1" ht="12.75" customHeight="1" x14ac:dyDescent="0.2"/>
    <row r="3435" s="22" customFormat="1" ht="12.75" customHeight="1" x14ac:dyDescent="0.2"/>
    <row r="3436" s="22" customFormat="1" ht="12.75" customHeight="1" x14ac:dyDescent="0.2"/>
    <row r="3437" s="22" customFormat="1" ht="12.75" customHeight="1" x14ac:dyDescent="0.2"/>
    <row r="3438" s="22" customFormat="1" ht="12.75" customHeight="1" x14ac:dyDescent="0.2"/>
    <row r="3439" s="22" customFormat="1" ht="12.75" customHeight="1" x14ac:dyDescent="0.2"/>
    <row r="3440" s="22" customFormat="1" ht="12.75" customHeight="1" x14ac:dyDescent="0.2"/>
    <row r="3441" s="22" customFormat="1" ht="12.75" customHeight="1" x14ac:dyDescent="0.2"/>
    <row r="3442" s="22" customFormat="1" ht="12.75" customHeight="1" x14ac:dyDescent="0.2"/>
    <row r="3443" s="22" customFormat="1" ht="12.75" customHeight="1" x14ac:dyDescent="0.2"/>
    <row r="3444" s="22" customFormat="1" ht="12.75" customHeight="1" x14ac:dyDescent="0.2"/>
    <row r="3445" s="22" customFormat="1" ht="12.75" customHeight="1" x14ac:dyDescent="0.2"/>
    <row r="3446" s="22" customFormat="1" ht="12.75" customHeight="1" x14ac:dyDescent="0.2"/>
    <row r="3447" s="22" customFormat="1" ht="12.75" customHeight="1" x14ac:dyDescent="0.2"/>
    <row r="3448" s="22" customFormat="1" ht="12.75" customHeight="1" x14ac:dyDescent="0.2"/>
    <row r="3449" s="22" customFormat="1" ht="12.75" customHeight="1" x14ac:dyDescent="0.2"/>
    <row r="3450" s="22" customFormat="1" ht="12.75" customHeight="1" x14ac:dyDescent="0.2"/>
    <row r="3451" s="22" customFormat="1" ht="12.75" customHeight="1" x14ac:dyDescent="0.2"/>
    <row r="3452" s="22" customFormat="1" ht="12.75" customHeight="1" x14ac:dyDescent="0.2"/>
    <row r="3453" s="22" customFormat="1" ht="12.75" customHeight="1" x14ac:dyDescent="0.2"/>
    <row r="3454" s="22" customFormat="1" ht="12.75" customHeight="1" x14ac:dyDescent="0.2"/>
    <row r="3455" s="22" customFormat="1" ht="12.75" customHeight="1" x14ac:dyDescent="0.2"/>
    <row r="3456" s="22" customFormat="1" ht="12.75" customHeight="1" x14ac:dyDescent="0.2"/>
    <row r="3457" s="22" customFormat="1" ht="12.75" customHeight="1" x14ac:dyDescent="0.2"/>
    <row r="3458" s="22" customFormat="1" ht="12.75" customHeight="1" x14ac:dyDescent="0.2"/>
    <row r="3459" s="22" customFormat="1" ht="12.75" customHeight="1" x14ac:dyDescent="0.2"/>
    <row r="3460" s="22" customFormat="1" ht="12.75" customHeight="1" x14ac:dyDescent="0.2"/>
    <row r="3461" s="22" customFormat="1" ht="12.75" customHeight="1" x14ac:dyDescent="0.2"/>
    <row r="3462" s="22" customFormat="1" ht="12.75" customHeight="1" x14ac:dyDescent="0.2"/>
    <row r="3463" s="22" customFormat="1" ht="12.75" customHeight="1" x14ac:dyDescent="0.2"/>
    <row r="3464" s="22" customFormat="1" ht="12.75" customHeight="1" x14ac:dyDescent="0.2"/>
    <row r="3465" s="22" customFormat="1" ht="12.75" customHeight="1" x14ac:dyDescent="0.2"/>
    <row r="3466" s="22" customFormat="1" ht="12.75" customHeight="1" x14ac:dyDescent="0.2"/>
    <row r="3467" s="22" customFormat="1" ht="12.75" customHeight="1" x14ac:dyDescent="0.2"/>
    <row r="3468" s="22" customFormat="1" ht="12.75" customHeight="1" x14ac:dyDescent="0.2"/>
    <row r="3469" s="22" customFormat="1" ht="12.75" customHeight="1" x14ac:dyDescent="0.2"/>
    <row r="3470" s="22" customFormat="1" ht="12.75" customHeight="1" x14ac:dyDescent="0.2"/>
    <row r="3471" s="22" customFormat="1" ht="12.75" customHeight="1" x14ac:dyDescent="0.2"/>
    <row r="3472" s="22" customFormat="1" ht="12.75" customHeight="1" x14ac:dyDescent="0.2"/>
    <row r="3473" s="22" customFormat="1" ht="12.75" customHeight="1" x14ac:dyDescent="0.2"/>
    <row r="3474" s="22" customFormat="1" ht="12.75" customHeight="1" x14ac:dyDescent="0.2"/>
    <row r="3475" s="22" customFormat="1" ht="12.75" customHeight="1" x14ac:dyDescent="0.2"/>
    <row r="3476" s="22" customFormat="1" ht="12.75" customHeight="1" x14ac:dyDescent="0.2"/>
    <row r="3477" s="22" customFormat="1" ht="12.75" customHeight="1" x14ac:dyDescent="0.2"/>
    <row r="3478" s="22" customFormat="1" ht="12.75" customHeight="1" x14ac:dyDescent="0.2"/>
    <row r="3479" s="22" customFormat="1" ht="12.75" customHeight="1" x14ac:dyDescent="0.2"/>
    <row r="3480" s="22" customFormat="1" ht="12.75" customHeight="1" x14ac:dyDescent="0.2"/>
    <row r="3481" s="22" customFormat="1" ht="12.75" customHeight="1" x14ac:dyDescent="0.2"/>
    <row r="3482" s="22" customFormat="1" ht="12.75" customHeight="1" x14ac:dyDescent="0.2"/>
    <row r="3483" s="22" customFormat="1" ht="12.75" customHeight="1" x14ac:dyDescent="0.2"/>
    <row r="3484" s="22" customFormat="1" ht="12.75" customHeight="1" x14ac:dyDescent="0.2"/>
    <row r="3485" s="22" customFormat="1" ht="12.75" customHeight="1" x14ac:dyDescent="0.2"/>
    <row r="3486" s="22" customFormat="1" ht="12.75" customHeight="1" x14ac:dyDescent="0.2"/>
    <row r="3487" s="22" customFormat="1" ht="12.75" customHeight="1" x14ac:dyDescent="0.2"/>
    <row r="3488" s="22" customFormat="1" ht="12.75" customHeight="1" x14ac:dyDescent="0.2"/>
    <row r="3489" s="22" customFormat="1" ht="12.75" customHeight="1" x14ac:dyDescent="0.2"/>
    <row r="3490" s="22" customFormat="1" ht="12.75" customHeight="1" x14ac:dyDescent="0.2"/>
    <row r="3491" s="22" customFormat="1" ht="12.75" customHeight="1" x14ac:dyDescent="0.2"/>
    <row r="3492" s="22" customFormat="1" ht="12.75" customHeight="1" x14ac:dyDescent="0.2"/>
    <row r="3493" s="22" customFormat="1" ht="12.75" customHeight="1" x14ac:dyDescent="0.2"/>
    <row r="3494" s="22" customFormat="1" ht="12.75" customHeight="1" x14ac:dyDescent="0.2"/>
    <row r="3495" s="22" customFormat="1" ht="12.75" customHeight="1" x14ac:dyDescent="0.2"/>
    <row r="3496" s="22" customFormat="1" ht="12.75" customHeight="1" x14ac:dyDescent="0.2"/>
    <row r="3497" s="22" customFormat="1" ht="12.75" customHeight="1" x14ac:dyDescent="0.2"/>
    <row r="3498" s="22" customFormat="1" ht="12.75" customHeight="1" x14ac:dyDescent="0.2"/>
    <row r="3499" s="22" customFormat="1" ht="12.75" customHeight="1" x14ac:dyDescent="0.2"/>
    <row r="3500" s="22" customFormat="1" ht="12.75" customHeight="1" x14ac:dyDescent="0.2"/>
    <row r="3501" s="22" customFormat="1" ht="12.75" customHeight="1" x14ac:dyDescent="0.2"/>
    <row r="3502" s="22" customFormat="1" ht="12.75" customHeight="1" x14ac:dyDescent="0.2"/>
    <row r="3503" s="22" customFormat="1" ht="12.75" customHeight="1" x14ac:dyDescent="0.2"/>
    <row r="3504" s="22" customFormat="1" ht="12.75" customHeight="1" x14ac:dyDescent="0.2"/>
    <row r="3505" s="22" customFormat="1" ht="12.75" customHeight="1" x14ac:dyDescent="0.2"/>
    <row r="3506" s="22" customFormat="1" ht="12.75" customHeight="1" x14ac:dyDescent="0.2"/>
    <row r="3507" s="22" customFormat="1" ht="12.75" customHeight="1" x14ac:dyDescent="0.2"/>
    <row r="3508" s="22" customFormat="1" ht="12.75" customHeight="1" x14ac:dyDescent="0.2"/>
    <row r="3509" s="22" customFormat="1" ht="12.75" customHeight="1" x14ac:dyDescent="0.2"/>
    <row r="3510" s="22" customFormat="1" ht="12.75" customHeight="1" x14ac:dyDescent="0.2"/>
    <row r="3511" s="22" customFormat="1" ht="12.75" customHeight="1" x14ac:dyDescent="0.2"/>
    <row r="3512" s="22" customFormat="1" ht="12.75" customHeight="1" x14ac:dyDescent="0.2"/>
    <row r="3513" s="22" customFormat="1" ht="12.75" customHeight="1" x14ac:dyDescent="0.2"/>
    <row r="3514" s="22" customFormat="1" ht="12.75" customHeight="1" x14ac:dyDescent="0.2"/>
    <row r="3515" s="22" customFormat="1" ht="12.75" customHeight="1" x14ac:dyDescent="0.2"/>
    <row r="3516" s="22" customFormat="1" ht="12.75" customHeight="1" x14ac:dyDescent="0.2"/>
    <row r="3517" s="22" customFormat="1" ht="12.75" customHeight="1" x14ac:dyDescent="0.2"/>
    <row r="3518" s="22" customFormat="1" ht="12.75" customHeight="1" x14ac:dyDescent="0.2"/>
    <row r="3519" s="22" customFormat="1" ht="12.75" customHeight="1" x14ac:dyDescent="0.2"/>
    <row r="3520" s="22" customFormat="1" ht="12.75" customHeight="1" x14ac:dyDescent="0.2"/>
    <row r="3521" s="22" customFormat="1" ht="12.75" customHeight="1" x14ac:dyDescent="0.2"/>
    <row r="3522" s="22" customFormat="1" ht="12.75" customHeight="1" x14ac:dyDescent="0.2"/>
    <row r="3523" s="22" customFormat="1" ht="12.75" customHeight="1" x14ac:dyDescent="0.2"/>
    <row r="3524" s="22" customFormat="1" ht="12.75" customHeight="1" x14ac:dyDescent="0.2"/>
    <row r="3525" s="22" customFormat="1" ht="12.75" customHeight="1" x14ac:dyDescent="0.2"/>
    <row r="3526" s="22" customFormat="1" ht="12.75" customHeight="1" x14ac:dyDescent="0.2"/>
    <row r="3527" s="22" customFormat="1" ht="12.75" customHeight="1" x14ac:dyDescent="0.2"/>
    <row r="3528" s="22" customFormat="1" ht="12.75" customHeight="1" x14ac:dyDescent="0.2"/>
    <row r="3529" s="22" customFormat="1" ht="12.75" customHeight="1" x14ac:dyDescent="0.2"/>
    <row r="3530" s="22" customFormat="1" ht="12.75" customHeight="1" x14ac:dyDescent="0.2"/>
    <row r="3531" s="22" customFormat="1" ht="12.75" customHeight="1" x14ac:dyDescent="0.2"/>
    <row r="3532" s="22" customFormat="1" ht="12.75" customHeight="1" x14ac:dyDescent="0.2"/>
    <row r="3533" s="22" customFormat="1" ht="12.75" customHeight="1" x14ac:dyDescent="0.2"/>
    <row r="3534" s="22" customFormat="1" ht="12.75" customHeight="1" x14ac:dyDescent="0.2"/>
    <row r="3535" s="22" customFormat="1" ht="12.75" customHeight="1" x14ac:dyDescent="0.2"/>
    <row r="3536" s="22" customFormat="1" ht="12.75" customHeight="1" x14ac:dyDescent="0.2"/>
    <row r="3537" s="22" customFormat="1" ht="12.75" customHeight="1" x14ac:dyDescent="0.2"/>
    <row r="3538" s="22" customFormat="1" ht="12.75" customHeight="1" x14ac:dyDescent="0.2"/>
    <row r="3539" s="22" customFormat="1" ht="12.75" customHeight="1" x14ac:dyDescent="0.2"/>
    <row r="3540" s="22" customFormat="1" ht="12.75" customHeight="1" x14ac:dyDescent="0.2"/>
    <row r="3541" s="22" customFormat="1" ht="12.75" customHeight="1" x14ac:dyDescent="0.2"/>
    <row r="3542" s="22" customFormat="1" ht="12.75" customHeight="1" x14ac:dyDescent="0.2"/>
    <row r="3543" s="22" customFormat="1" ht="12.75" customHeight="1" x14ac:dyDescent="0.2"/>
    <row r="3544" s="22" customFormat="1" ht="12.75" customHeight="1" x14ac:dyDescent="0.2"/>
    <row r="3545" s="22" customFormat="1" ht="12.75" customHeight="1" x14ac:dyDescent="0.2"/>
    <row r="3546" s="22" customFormat="1" ht="12.75" customHeight="1" x14ac:dyDescent="0.2"/>
    <row r="3547" s="22" customFormat="1" ht="12.75" customHeight="1" x14ac:dyDescent="0.2"/>
    <row r="3548" s="22" customFormat="1" ht="12.75" customHeight="1" x14ac:dyDescent="0.2"/>
    <row r="3549" s="22" customFormat="1" ht="12.75" customHeight="1" x14ac:dyDescent="0.2"/>
    <row r="3550" s="22" customFormat="1" ht="12.75" customHeight="1" x14ac:dyDescent="0.2"/>
    <row r="3551" s="22" customFormat="1" ht="12.75" customHeight="1" x14ac:dyDescent="0.2"/>
    <row r="3552" s="22" customFormat="1" ht="12.75" customHeight="1" x14ac:dyDescent="0.2"/>
    <row r="3553" s="22" customFormat="1" ht="12.75" customHeight="1" x14ac:dyDescent="0.2"/>
    <row r="3554" s="22" customFormat="1" ht="12.75" customHeight="1" x14ac:dyDescent="0.2"/>
    <row r="3555" s="22" customFormat="1" ht="12.75" customHeight="1" x14ac:dyDescent="0.2"/>
    <row r="3556" s="22" customFormat="1" ht="12.75" customHeight="1" x14ac:dyDescent="0.2"/>
    <row r="3557" s="22" customFormat="1" ht="12.75" customHeight="1" x14ac:dyDescent="0.2"/>
    <row r="3558" s="22" customFormat="1" ht="12.75" customHeight="1" x14ac:dyDescent="0.2"/>
    <row r="3559" s="22" customFormat="1" ht="12.75" customHeight="1" x14ac:dyDescent="0.2"/>
    <row r="3560" s="22" customFormat="1" ht="12.75" customHeight="1" x14ac:dyDescent="0.2"/>
    <row r="3561" s="22" customFormat="1" ht="12.75" customHeight="1" x14ac:dyDescent="0.2"/>
    <row r="3562" s="22" customFormat="1" ht="12.75" customHeight="1" x14ac:dyDescent="0.2"/>
    <row r="3563" s="22" customFormat="1" ht="12.75" customHeight="1" x14ac:dyDescent="0.2"/>
    <row r="3564" s="22" customFormat="1" ht="12.75" customHeight="1" x14ac:dyDescent="0.2"/>
    <row r="3565" s="22" customFormat="1" ht="12.75" customHeight="1" x14ac:dyDescent="0.2"/>
    <row r="3566" s="22" customFormat="1" ht="12.75" customHeight="1" x14ac:dyDescent="0.2"/>
    <row r="3567" s="22" customFormat="1" ht="12.75" customHeight="1" x14ac:dyDescent="0.2"/>
    <row r="3568" s="22" customFormat="1" ht="12.75" customHeight="1" x14ac:dyDescent="0.2"/>
    <row r="3569" s="22" customFormat="1" ht="12.75" customHeight="1" x14ac:dyDescent="0.2"/>
    <row r="3570" s="22" customFormat="1" ht="12.75" customHeight="1" x14ac:dyDescent="0.2"/>
    <row r="3571" s="22" customFormat="1" ht="12.75" customHeight="1" x14ac:dyDescent="0.2"/>
    <row r="3572" s="22" customFormat="1" ht="12.75" customHeight="1" x14ac:dyDescent="0.2"/>
    <row r="3573" s="22" customFormat="1" ht="12.75" customHeight="1" x14ac:dyDescent="0.2"/>
    <row r="3574" s="22" customFormat="1" ht="12.75" customHeight="1" x14ac:dyDescent="0.2"/>
    <row r="3575" s="22" customFormat="1" ht="12.75" customHeight="1" x14ac:dyDescent="0.2"/>
    <row r="3576" s="22" customFormat="1" ht="12.75" customHeight="1" x14ac:dyDescent="0.2"/>
    <row r="3577" s="22" customFormat="1" ht="12.75" customHeight="1" x14ac:dyDescent="0.2"/>
    <row r="3578" s="22" customFormat="1" ht="12.75" customHeight="1" x14ac:dyDescent="0.2"/>
    <row r="3579" s="22" customFormat="1" ht="12.75" customHeight="1" x14ac:dyDescent="0.2"/>
    <row r="3580" s="22" customFormat="1" ht="12.75" customHeight="1" x14ac:dyDescent="0.2"/>
    <row r="3581" s="22" customFormat="1" ht="12.75" customHeight="1" x14ac:dyDescent="0.2"/>
    <row r="3582" s="22" customFormat="1" ht="12.75" customHeight="1" x14ac:dyDescent="0.2"/>
    <row r="3583" s="22" customFormat="1" ht="12.75" customHeight="1" x14ac:dyDescent="0.2"/>
    <row r="3584" s="22" customFormat="1" ht="12.75" customHeight="1" x14ac:dyDescent="0.2"/>
    <row r="3585" s="22" customFormat="1" ht="12.75" customHeight="1" x14ac:dyDescent="0.2"/>
    <row r="3586" s="22" customFormat="1" ht="12.75" customHeight="1" x14ac:dyDescent="0.2"/>
    <row r="3587" s="22" customFormat="1" ht="12.75" customHeight="1" x14ac:dyDescent="0.2"/>
    <row r="3588" s="22" customFormat="1" ht="12.75" customHeight="1" x14ac:dyDescent="0.2"/>
    <row r="3589" s="22" customFormat="1" ht="12.75" customHeight="1" x14ac:dyDescent="0.2"/>
    <row r="3590" s="22" customFormat="1" ht="12.75" customHeight="1" x14ac:dyDescent="0.2"/>
    <row r="3591" s="22" customFormat="1" ht="12.75" customHeight="1" x14ac:dyDescent="0.2"/>
    <row r="3592" s="22" customFormat="1" ht="12.75" customHeight="1" x14ac:dyDescent="0.2"/>
    <row r="3593" s="22" customFormat="1" ht="12.75" customHeight="1" x14ac:dyDescent="0.2"/>
    <row r="3594" s="22" customFormat="1" ht="12.75" customHeight="1" x14ac:dyDescent="0.2"/>
    <row r="3595" s="22" customFormat="1" ht="12.75" customHeight="1" x14ac:dyDescent="0.2"/>
    <row r="3596" s="22" customFormat="1" ht="12.75" customHeight="1" x14ac:dyDescent="0.2"/>
    <row r="3597" s="22" customFormat="1" ht="12.75" customHeight="1" x14ac:dyDescent="0.2"/>
    <row r="3598" s="22" customFormat="1" ht="12.75" customHeight="1" x14ac:dyDescent="0.2"/>
    <row r="3599" s="22" customFormat="1" ht="12.75" customHeight="1" x14ac:dyDescent="0.2"/>
    <row r="3600" s="22" customFormat="1" ht="12.75" customHeight="1" x14ac:dyDescent="0.2"/>
    <row r="3601" s="22" customFormat="1" ht="12.75" customHeight="1" x14ac:dyDescent="0.2"/>
    <row r="3602" s="22" customFormat="1" ht="12.75" customHeight="1" x14ac:dyDescent="0.2"/>
    <row r="3603" s="22" customFormat="1" ht="12.75" customHeight="1" x14ac:dyDescent="0.2"/>
    <row r="3604" s="22" customFormat="1" ht="12.75" customHeight="1" x14ac:dyDescent="0.2"/>
    <row r="3605" s="22" customFormat="1" ht="12.75" customHeight="1" x14ac:dyDescent="0.2"/>
    <row r="3606" s="22" customFormat="1" ht="12.75" customHeight="1" x14ac:dyDescent="0.2"/>
    <row r="3607" s="22" customFormat="1" ht="12.75" customHeight="1" x14ac:dyDescent="0.2"/>
    <row r="3608" s="22" customFormat="1" ht="12.75" customHeight="1" x14ac:dyDescent="0.2"/>
    <row r="3609" s="22" customFormat="1" ht="12.75" customHeight="1" x14ac:dyDescent="0.2"/>
    <row r="3610" s="22" customFormat="1" ht="12.75" customHeight="1" x14ac:dyDescent="0.2"/>
    <row r="3611" s="22" customFormat="1" ht="12.75" customHeight="1" x14ac:dyDescent="0.2"/>
    <row r="3612" s="22" customFormat="1" ht="12.75" customHeight="1" x14ac:dyDescent="0.2"/>
    <row r="3613" s="22" customFormat="1" ht="12.75" customHeight="1" x14ac:dyDescent="0.2"/>
    <row r="3614" s="22" customFormat="1" ht="12.75" customHeight="1" x14ac:dyDescent="0.2"/>
    <row r="3615" s="22" customFormat="1" ht="12.75" customHeight="1" x14ac:dyDescent="0.2"/>
    <row r="3616" s="22" customFormat="1" ht="12.75" customHeight="1" x14ac:dyDescent="0.2"/>
    <row r="3617" s="22" customFormat="1" ht="12.75" customHeight="1" x14ac:dyDescent="0.2"/>
    <row r="3618" s="22" customFormat="1" ht="12.75" customHeight="1" x14ac:dyDescent="0.2"/>
    <row r="3619" s="22" customFormat="1" ht="12.75" customHeight="1" x14ac:dyDescent="0.2"/>
    <row r="3620" s="22" customFormat="1" ht="12.75" customHeight="1" x14ac:dyDescent="0.2"/>
    <row r="3621" s="22" customFormat="1" ht="12.75" customHeight="1" x14ac:dyDescent="0.2"/>
    <row r="3622" s="22" customFormat="1" ht="12.75" customHeight="1" x14ac:dyDescent="0.2"/>
    <row r="3623" s="22" customFormat="1" ht="12.75" customHeight="1" x14ac:dyDescent="0.2"/>
    <row r="3624" s="22" customFormat="1" ht="12.75" customHeight="1" x14ac:dyDescent="0.2"/>
    <row r="3625" s="22" customFormat="1" ht="12.75" customHeight="1" x14ac:dyDescent="0.2"/>
    <row r="3626" s="22" customFormat="1" ht="12.75" customHeight="1" x14ac:dyDescent="0.2"/>
    <row r="3627" s="22" customFormat="1" ht="12.75" customHeight="1" x14ac:dyDescent="0.2"/>
    <row r="3628" s="22" customFormat="1" ht="12.75" customHeight="1" x14ac:dyDescent="0.2"/>
    <row r="3629" s="22" customFormat="1" ht="12.75" customHeight="1" x14ac:dyDescent="0.2"/>
    <row r="3630" s="22" customFormat="1" ht="12.75" customHeight="1" x14ac:dyDescent="0.2"/>
    <row r="3631" s="22" customFormat="1" ht="12.75" customHeight="1" x14ac:dyDescent="0.2"/>
    <row r="3632" s="22" customFormat="1" ht="12.75" customHeight="1" x14ac:dyDescent="0.2"/>
    <row r="3633" s="22" customFormat="1" ht="12.75" customHeight="1" x14ac:dyDescent="0.2"/>
    <row r="3634" s="22" customFormat="1" ht="12.75" customHeight="1" x14ac:dyDescent="0.2"/>
    <row r="3635" s="22" customFormat="1" ht="12.75" customHeight="1" x14ac:dyDescent="0.2"/>
    <row r="3636" s="22" customFormat="1" ht="12.75" customHeight="1" x14ac:dyDescent="0.2"/>
    <row r="3637" s="22" customFormat="1" ht="12.75" customHeight="1" x14ac:dyDescent="0.2"/>
    <row r="3638" s="22" customFormat="1" ht="12.75" customHeight="1" x14ac:dyDescent="0.2"/>
    <row r="3639" s="22" customFormat="1" ht="12.75" customHeight="1" x14ac:dyDescent="0.2"/>
    <row r="3640" s="22" customFormat="1" ht="12.75" customHeight="1" x14ac:dyDescent="0.2"/>
    <row r="3641" s="22" customFormat="1" ht="12.75" customHeight="1" x14ac:dyDescent="0.2"/>
    <row r="3642" s="22" customFormat="1" ht="12.75" customHeight="1" x14ac:dyDescent="0.2"/>
    <row r="3643" s="22" customFormat="1" ht="12.75" customHeight="1" x14ac:dyDescent="0.2"/>
    <row r="3644" s="22" customFormat="1" ht="12.75" customHeight="1" x14ac:dyDescent="0.2"/>
    <row r="3645" s="22" customFormat="1" ht="12.75" customHeight="1" x14ac:dyDescent="0.2"/>
    <row r="3646" s="22" customFormat="1" ht="12.75" customHeight="1" x14ac:dyDescent="0.2"/>
    <row r="3647" s="22" customFormat="1" ht="12.75" customHeight="1" x14ac:dyDescent="0.2"/>
    <row r="3648" s="22" customFormat="1" ht="12.75" customHeight="1" x14ac:dyDescent="0.2"/>
    <row r="3649" s="22" customFormat="1" ht="12.75" customHeight="1" x14ac:dyDescent="0.2"/>
    <row r="3650" s="22" customFormat="1" ht="12.75" customHeight="1" x14ac:dyDescent="0.2"/>
    <row r="3651" s="22" customFormat="1" ht="12.75" customHeight="1" x14ac:dyDescent="0.2"/>
    <row r="3652" s="22" customFormat="1" ht="12.75" customHeight="1" x14ac:dyDescent="0.2"/>
    <row r="3653" s="22" customFormat="1" ht="12.75" customHeight="1" x14ac:dyDescent="0.2"/>
    <row r="3654" s="22" customFormat="1" ht="12.75" customHeight="1" x14ac:dyDescent="0.2"/>
    <row r="3655" s="22" customFormat="1" ht="12.75" customHeight="1" x14ac:dyDescent="0.2"/>
    <row r="3656" s="22" customFormat="1" ht="12.75" customHeight="1" x14ac:dyDescent="0.2"/>
    <row r="3657" s="22" customFormat="1" ht="12.75" customHeight="1" x14ac:dyDescent="0.2"/>
    <row r="3658" s="22" customFormat="1" ht="12.75" customHeight="1" x14ac:dyDescent="0.2"/>
    <row r="3659" s="22" customFormat="1" ht="12.75" customHeight="1" x14ac:dyDescent="0.2"/>
    <row r="3660" s="22" customFormat="1" ht="12.75" customHeight="1" x14ac:dyDescent="0.2"/>
    <row r="3661" s="22" customFormat="1" ht="12.75" customHeight="1" x14ac:dyDescent="0.2"/>
    <row r="3662" s="22" customFormat="1" ht="12.75" customHeight="1" x14ac:dyDescent="0.2"/>
    <row r="3663" s="22" customFormat="1" ht="12.75" customHeight="1" x14ac:dyDescent="0.2"/>
    <row r="3664" s="22" customFormat="1" ht="12.75" customHeight="1" x14ac:dyDescent="0.2"/>
    <row r="3665" s="22" customFormat="1" ht="12.75" customHeight="1" x14ac:dyDescent="0.2"/>
    <row r="3666" s="22" customFormat="1" ht="12.75" customHeight="1" x14ac:dyDescent="0.2"/>
    <row r="3667" s="22" customFormat="1" ht="12.75" customHeight="1" x14ac:dyDescent="0.2"/>
    <row r="3668" s="22" customFormat="1" ht="12.75" customHeight="1" x14ac:dyDescent="0.2"/>
    <row r="3669" s="22" customFormat="1" ht="12.75" customHeight="1" x14ac:dyDescent="0.2"/>
    <row r="3670" s="22" customFormat="1" ht="12.75" customHeight="1" x14ac:dyDescent="0.2"/>
    <row r="3671" s="22" customFormat="1" ht="12.75" customHeight="1" x14ac:dyDescent="0.2"/>
    <row r="3672" s="22" customFormat="1" ht="12.75" customHeight="1" x14ac:dyDescent="0.2"/>
    <row r="3673" s="22" customFormat="1" ht="12.75" customHeight="1" x14ac:dyDescent="0.2"/>
    <row r="3674" s="22" customFormat="1" ht="12.75" customHeight="1" x14ac:dyDescent="0.2"/>
    <row r="3675" s="22" customFormat="1" ht="12.75" customHeight="1" x14ac:dyDescent="0.2"/>
    <row r="3676" s="22" customFormat="1" ht="12.75" customHeight="1" x14ac:dyDescent="0.2"/>
    <row r="3677" s="22" customFormat="1" ht="12.75" customHeight="1" x14ac:dyDescent="0.2"/>
    <row r="3678" s="22" customFormat="1" ht="12.75" customHeight="1" x14ac:dyDescent="0.2"/>
    <row r="3679" s="22" customFormat="1" ht="12.75" customHeight="1" x14ac:dyDescent="0.2"/>
    <row r="3680" s="22" customFormat="1" ht="12.75" customHeight="1" x14ac:dyDescent="0.2"/>
    <row r="3681" s="22" customFormat="1" ht="12.75" customHeight="1" x14ac:dyDescent="0.2"/>
    <row r="3682" s="22" customFormat="1" ht="12.75" customHeight="1" x14ac:dyDescent="0.2"/>
    <row r="3683" s="22" customFormat="1" ht="12.75" customHeight="1" x14ac:dyDescent="0.2"/>
    <row r="3684" s="22" customFormat="1" ht="12.75" customHeight="1" x14ac:dyDescent="0.2"/>
    <row r="3685" s="22" customFormat="1" ht="12.75" customHeight="1" x14ac:dyDescent="0.2"/>
    <row r="3686" s="22" customFormat="1" ht="12.75" customHeight="1" x14ac:dyDescent="0.2"/>
    <row r="3687" s="22" customFormat="1" ht="12.75" customHeight="1" x14ac:dyDescent="0.2"/>
    <row r="3688" s="22" customFormat="1" ht="12.75" customHeight="1" x14ac:dyDescent="0.2"/>
    <row r="3689" s="22" customFormat="1" ht="12.75" customHeight="1" x14ac:dyDescent="0.2"/>
    <row r="3690" s="22" customFormat="1" ht="12.75" customHeight="1" x14ac:dyDescent="0.2"/>
    <row r="3691" s="22" customFormat="1" ht="12.75" customHeight="1" x14ac:dyDescent="0.2"/>
    <row r="3692" s="22" customFormat="1" ht="12.75" customHeight="1" x14ac:dyDescent="0.2"/>
    <row r="3693" s="22" customFormat="1" ht="12.75" customHeight="1" x14ac:dyDescent="0.2"/>
    <row r="3694" s="22" customFormat="1" ht="12.75" customHeight="1" x14ac:dyDescent="0.2"/>
    <row r="3695" s="22" customFormat="1" ht="12.75" customHeight="1" x14ac:dyDescent="0.2"/>
    <row r="3696" s="22" customFormat="1" ht="12.75" customHeight="1" x14ac:dyDescent="0.2"/>
    <row r="3697" s="22" customFormat="1" ht="12.75" customHeight="1" x14ac:dyDescent="0.2"/>
    <row r="3698" s="22" customFormat="1" ht="12.75" customHeight="1" x14ac:dyDescent="0.2"/>
    <row r="3699" s="22" customFormat="1" ht="12.75" customHeight="1" x14ac:dyDescent="0.2"/>
    <row r="3700" s="22" customFormat="1" ht="12.75" customHeight="1" x14ac:dyDescent="0.2"/>
    <row r="3701" s="22" customFormat="1" ht="12.75" customHeight="1" x14ac:dyDescent="0.2"/>
    <row r="3702" s="22" customFormat="1" ht="12.75" customHeight="1" x14ac:dyDescent="0.2"/>
    <row r="3703" s="22" customFormat="1" ht="12.75" customHeight="1" x14ac:dyDescent="0.2"/>
    <row r="3704" s="22" customFormat="1" ht="12.75" customHeight="1" x14ac:dyDescent="0.2"/>
    <row r="3705" s="22" customFormat="1" ht="12.75" customHeight="1" x14ac:dyDescent="0.2"/>
    <row r="3706" s="22" customFormat="1" ht="12.75" customHeight="1" x14ac:dyDescent="0.2"/>
    <row r="3707" s="22" customFormat="1" ht="12.75" customHeight="1" x14ac:dyDescent="0.2"/>
    <row r="3708" s="22" customFormat="1" ht="12.75" customHeight="1" x14ac:dyDescent="0.2"/>
    <row r="3709" s="22" customFormat="1" ht="12.75" customHeight="1" x14ac:dyDescent="0.2"/>
    <row r="3710" s="22" customFormat="1" ht="12.75" customHeight="1" x14ac:dyDescent="0.2"/>
    <row r="3711" s="22" customFormat="1" ht="12.75" customHeight="1" x14ac:dyDescent="0.2"/>
    <row r="3712" s="22" customFormat="1" ht="12.75" customHeight="1" x14ac:dyDescent="0.2"/>
    <row r="3713" s="22" customFormat="1" ht="12.75" customHeight="1" x14ac:dyDescent="0.2"/>
    <row r="3714" s="22" customFormat="1" ht="12.75" customHeight="1" x14ac:dyDescent="0.2"/>
    <row r="3715" s="22" customFormat="1" ht="12.75" customHeight="1" x14ac:dyDescent="0.2"/>
    <row r="3716" s="22" customFormat="1" ht="12.75" customHeight="1" x14ac:dyDescent="0.2"/>
    <row r="3717" s="22" customFormat="1" ht="12.75" customHeight="1" x14ac:dyDescent="0.2"/>
    <row r="3718" s="22" customFormat="1" ht="12.75" customHeight="1" x14ac:dyDescent="0.2"/>
    <row r="3719" s="22" customFormat="1" ht="12.75" customHeight="1" x14ac:dyDescent="0.2"/>
    <row r="3720" s="22" customFormat="1" ht="12.75" customHeight="1" x14ac:dyDescent="0.2"/>
    <row r="3721" s="22" customFormat="1" ht="12.75" customHeight="1" x14ac:dyDescent="0.2"/>
    <row r="3722" s="22" customFormat="1" ht="12.75" customHeight="1" x14ac:dyDescent="0.2"/>
    <row r="3723" s="22" customFormat="1" ht="12.75" customHeight="1" x14ac:dyDescent="0.2"/>
    <row r="3724" s="22" customFormat="1" ht="12.75" customHeight="1" x14ac:dyDescent="0.2"/>
    <row r="3725" s="22" customFormat="1" ht="12.75" customHeight="1" x14ac:dyDescent="0.2"/>
    <row r="3726" s="22" customFormat="1" ht="12.75" customHeight="1" x14ac:dyDescent="0.2"/>
    <row r="3727" s="22" customFormat="1" ht="12.75" customHeight="1" x14ac:dyDescent="0.2"/>
    <row r="3728" s="22" customFormat="1" ht="12.75" customHeight="1" x14ac:dyDescent="0.2"/>
    <row r="3729" s="22" customFormat="1" ht="12.75" customHeight="1" x14ac:dyDescent="0.2"/>
    <row r="3730" s="22" customFormat="1" ht="12.75" customHeight="1" x14ac:dyDescent="0.2"/>
    <row r="3731" s="22" customFormat="1" ht="12.75" customHeight="1" x14ac:dyDescent="0.2"/>
    <row r="3732" s="22" customFormat="1" ht="12.75" customHeight="1" x14ac:dyDescent="0.2"/>
    <row r="3733" s="22" customFormat="1" ht="12.75" customHeight="1" x14ac:dyDescent="0.2"/>
    <row r="3734" s="22" customFormat="1" ht="12.75" customHeight="1" x14ac:dyDescent="0.2"/>
    <row r="3735" s="22" customFormat="1" ht="12.75" customHeight="1" x14ac:dyDescent="0.2"/>
    <row r="3736" s="22" customFormat="1" ht="12.75" customHeight="1" x14ac:dyDescent="0.2"/>
    <row r="3737" s="22" customFormat="1" ht="12.75" customHeight="1" x14ac:dyDescent="0.2"/>
    <row r="3738" s="22" customFormat="1" ht="12.75" customHeight="1" x14ac:dyDescent="0.2"/>
    <row r="3739" s="22" customFormat="1" ht="12.75" customHeight="1" x14ac:dyDescent="0.2"/>
    <row r="3740" s="22" customFormat="1" ht="12.75" customHeight="1" x14ac:dyDescent="0.2"/>
    <row r="3741" s="22" customFormat="1" ht="12.75" customHeight="1" x14ac:dyDescent="0.2"/>
    <row r="3742" s="22" customFormat="1" ht="12.75" customHeight="1" x14ac:dyDescent="0.2"/>
    <row r="3743" s="22" customFormat="1" ht="12.75" customHeight="1" x14ac:dyDescent="0.2"/>
    <row r="3744" s="22" customFormat="1" ht="12.75" customHeight="1" x14ac:dyDescent="0.2"/>
    <row r="3745" s="22" customFormat="1" ht="12.75" customHeight="1" x14ac:dyDescent="0.2"/>
    <row r="3746" s="22" customFormat="1" ht="12.75" customHeight="1" x14ac:dyDescent="0.2"/>
    <row r="3747" s="22" customFormat="1" ht="12.75" customHeight="1" x14ac:dyDescent="0.2"/>
    <row r="3748" s="22" customFormat="1" ht="12.75" customHeight="1" x14ac:dyDescent="0.2"/>
    <row r="3749" s="22" customFormat="1" ht="12.75" customHeight="1" x14ac:dyDescent="0.2"/>
    <row r="3750" s="22" customFormat="1" ht="12.75" customHeight="1" x14ac:dyDescent="0.2"/>
    <row r="3751" s="22" customFormat="1" ht="12.75" customHeight="1" x14ac:dyDescent="0.2"/>
    <row r="3752" s="22" customFormat="1" ht="12.75" customHeight="1" x14ac:dyDescent="0.2"/>
    <row r="3753" s="22" customFormat="1" ht="12.75" customHeight="1" x14ac:dyDescent="0.2"/>
    <row r="3754" s="22" customFormat="1" ht="12.75" customHeight="1" x14ac:dyDescent="0.2"/>
    <row r="3755" s="22" customFormat="1" ht="12.75" customHeight="1" x14ac:dyDescent="0.2"/>
    <row r="3756" s="22" customFormat="1" ht="12.75" customHeight="1" x14ac:dyDescent="0.2"/>
    <row r="3757" s="22" customFormat="1" ht="12.75" customHeight="1" x14ac:dyDescent="0.2"/>
    <row r="3758" s="22" customFormat="1" ht="12.75" customHeight="1" x14ac:dyDescent="0.2"/>
    <row r="3759" s="22" customFormat="1" ht="12.75" customHeight="1" x14ac:dyDescent="0.2"/>
    <row r="3760" s="22" customFormat="1" ht="12.75" customHeight="1" x14ac:dyDescent="0.2"/>
    <row r="3761" s="22" customFormat="1" ht="12.75" customHeight="1" x14ac:dyDescent="0.2"/>
    <row r="3762" s="22" customFormat="1" ht="12.75" customHeight="1" x14ac:dyDescent="0.2"/>
    <row r="3763" s="22" customFormat="1" ht="12.75" customHeight="1" x14ac:dyDescent="0.2"/>
    <row r="3764" s="22" customFormat="1" ht="12.75" customHeight="1" x14ac:dyDescent="0.2"/>
    <row r="3765" s="22" customFormat="1" ht="12.75" customHeight="1" x14ac:dyDescent="0.2"/>
    <row r="3766" s="22" customFormat="1" ht="12.75" customHeight="1" x14ac:dyDescent="0.2"/>
    <row r="3767" s="22" customFormat="1" ht="12.75" customHeight="1" x14ac:dyDescent="0.2"/>
    <row r="3768" s="22" customFormat="1" ht="12.75" customHeight="1" x14ac:dyDescent="0.2"/>
    <row r="3769" s="22" customFormat="1" ht="12.75" customHeight="1" x14ac:dyDescent="0.2"/>
    <row r="3770" s="22" customFormat="1" ht="12.75" customHeight="1" x14ac:dyDescent="0.2"/>
    <row r="3771" s="22" customFormat="1" ht="12.75" customHeight="1" x14ac:dyDescent="0.2"/>
    <row r="3772" s="22" customFormat="1" ht="12.75" customHeight="1" x14ac:dyDescent="0.2"/>
    <row r="3773" s="22" customFormat="1" ht="12.75" customHeight="1" x14ac:dyDescent="0.2"/>
    <row r="3774" s="22" customFormat="1" ht="12.75" customHeight="1" x14ac:dyDescent="0.2"/>
    <row r="3775" s="22" customFormat="1" ht="12.75" customHeight="1" x14ac:dyDescent="0.2"/>
    <row r="3776" s="22" customFormat="1" ht="12.75" customHeight="1" x14ac:dyDescent="0.2"/>
    <row r="3777" s="22" customFormat="1" ht="12.75" customHeight="1" x14ac:dyDescent="0.2"/>
    <row r="3778" s="22" customFormat="1" ht="12.75" customHeight="1" x14ac:dyDescent="0.2"/>
    <row r="3779" s="22" customFormat="1" ht="12.75" customHeight="1" x14ac:dyDescent="0.2"/>
    <row r="3780" s="22" customFormat="1" ht="12.75" customHeight="1" x14ac:dyDescent="0.2"/>
    <row r="3781" s="22" customFormat="1" ht="12.75" customHeight="1" x14ac:dyDescent="0.2"/>
    <row r="3782" s="22" customFormat="1" ht="12.75" customHeight="1" x14ac:dyDescent="0.2"/>
    <row r="3783" s="22" customFormat="1" ht="12.75" customHeight="1" x14ac:dyDescent="0.2"/>
    <row r="3784" s="22" customFormat="1" ht="12.75" customHeight="1" x14ac:dyDescent="0.2"/>
    <row r="3785" s="22" customFormat="1" ht="12.75" customHeight="1" x14ac:dyDescent="0.2"/>
    <row r="3786" s="22" customFormat="1" ht="12.75" customHeight="1" x14ac:dyDescent="0.2"/>
    <row r="3787" s="22" customFormat="1" ht="12.75" customHeight="1" x14ac:dyDescent="0.2"/>
    <row r="3788" s="22" customFormat="1" ht="12.75" customHeight="1" x14ac:dyDescent="0.2"/>
    <row r="3789" s="22" customFormat="1" ht="12.75" customHeight="1" x14ac:dyDescent="0.2"/>
    <row r="3790" s="22" customFormat="1" ht="12.75" customHeight="1" x14ac:dyDescent="0.2"/>
    <row r="3791" s="22" customFormat="1" ht="12.75" customHeight="1" x14ac:dyDescent="0.2"/>
    <row r="3792" s="22" customFormat="1" ht="12.75" customHeight="1" x14ac:dyDescent="0.2"/>
    <row r="3793" s="22" customFormat="1" ht="12.75" customHeight="1" x14ac:dyDescent="0.2"/>
    <row r="3794" s="22" customFormat="1" ht="12.75" customHeight="1" x14ac:dyDescent="0.2"/>
    <row r="3795" s="22" customFormat="1" ht="12.75" customHeight="1" x14ac:dyDescent="0.2"/>
    <row r="3796" s="22" customFormat="1" ht="12.75" customHeight="1" x14ac:dyDescent="0.2"/>
    <row r="3797" s="22" customFormat="1" ht="12.75" customHeight="1" x14ac:dyDescent="0.2"/>
    <row r="3798" s="22" customFormat="1" ht="12.75" customHeight="1" x14ac:dyDescent="0.2"/>
    <row r="3799" s="22" customFormat="1" ht="12.75" customHeight="1" x14ac:dyDescent="0.2"/>
    <row r="3800" s="22" customFormat="1" ht="12.75" customHeight="1" x14ac:dyDescent="0.2"/>
    <row r="3801" s="22" customFormat="1" ht="12.75" customHeight="1" x14ac:dyDescent="0.2"/>
    <row r="3802" s="22" customFormat="1" ht="12.75" customHeight="1" x14ac:dyDescent="0.2"/>
    <row r="3803" s="22" customFormat="1" ht="12.75" customHeight="1" x14ac:dyDescent="0.2"/>
    <row r="3804" s="22" customFormat="1" ht="12.75" customHeight="1" x14ac:dyDescent="0.2"/>
    <row r="3805" s="22" customFormat="1" ht="12.75" customHeight="1" x14ac:dyDescent="0.2"/>
    <row r="3806" s="22" customFormat="1" ht="12.75" customHeight="1" x14ac:dyDescent="0.2"/>
    <row r="3807" s="22" customFormat="1" ht="12.75" customHeight="1" x14ac:dyDescent="0.2"/>
    <row r="3808" s="22" customFormat="1" ht="12.75" customHeight="1" x14ac:dyDescent="0.2"/>
    <row r="3809" s="22" customFormat="1" ht="12.75" customHeight="1" x14ac:dyDescent="0.2"/>
    <row r="3810" s="22" customFormat="1" ht="12.75" customHeight="1" x14ac:dyDescent="0.2"/>
    <row r="3811" s="22" customFormat="1" ht="12.75" customHeight="1" x14ac:dyDescent="0.2"/>
    <row r="3812" s="22" customFormat="1" ht="12.75" customHeight="1" x14ac:dyDescent="0.2"/>
    <row r="3813" s="22" customFormat="1" ht="12.75" customHeight="1" x14ac:dyDescent="0.2"/>
    <row r="3814" s="22" customFormat="1" ht="12.75" customHeight="1" x14ac:dyDescent="0.2"/>
    <row r="3815" s="22" customFormat="1" ht="12.75" customHeight="1" x14ac:dyDescent="0.2"/>
    <row r="3816" s="22" customFormat="1" ht="12.75" customHeight="1" x14ac:dyDescent="0.2"/>
    <row r="3817" s="22" customFormat="1" ht="12.75" customHeight="1" x14ac:dyDescent="0.2"/>
    <row r="3818" s="22" customFormat="1" ht="12.75" customHeight="1" x14ac:dyDescent="0.2"/>
    <row r="3819" s="22" customFormat="1" ht="12.75" customHeight="1" x14ac:dyDescent="0.2"/>
    <row r="3820" s="22" customFormat="1" ht="12.75" customHeight="1" x14ac:dyDescent="0.2"/>
    <row r="3821" s="22" customFormat="1" ht="12.75" customHeight="1" x14ac:dyDescent="0.2"/>
    <row r="3822" s="22" customFormat="1" ht="12.75" customHeight="1" x14ac:dyDescent="0.2"/>
    <row r="3823" s="22" customFormat="1" ht="12.75" customHeight="1" x14ac:dyDescent="0.2"/>
    <row r="3824" s="22" customFormat="1" ht="12.75" customHeight="1" x14ac:dyDescent="0.2"/>
    <row r="3825" s="22" customFormat="1" ht="12.75" customHeight="1" x14ac:dyDescent="0.2"/>
    <row r="3826" s="22" customFormat="1" ht="12.75" customHeight="1" x14ac:dyDescent="0.2"/>
    <row r="3827" s="22" customFormat="1" ht="12.75" customHeight="1" x14ac:dyDescent="0.2"/>
    <row r="3828" s="22" customFormat="1" ht="12.75" customHeight="1" x14ac:dyDescent="0.2"/>
    <row r="3829" s="22" customFormat="1" ht="12.75" customHeight="1" x14ac:dyDescent="0.2"/>
    <row r="3830" s="22" customFormat="1" ht="12.75" customHeight="1" x14ac:dyDescent="0.2"/>
    <row r="3831" s="22" customFormat="1" ht="12.75" customHeight="1" x14ac:dyDescent="0.2"/>
    <row r="3832" s="22" customFormat="1" ht="12.75" customHeight="1" x14ac:dyDescent="0.2"/>
    <row r="3833" s="22" customFormat="1" ht="12.75" customHeight="1" x14ac:dyDescent="0.2"/>
    <row r="3834" s="22" customFormat="1" ht="12.75" customHeight="1" x14ac:dyDescent="0.2"/>
    <row r="3835" s="22" customFormat="1" ht="12.75" customHeight="1" x14ac:dyDescent="0.2"/>
    <row r="3836" s="22" customFormat="1" ht="12.75" customHeight="1" x14ac:dyDescent="0.2"/>
    <row r="3837" s="22" customFormat="1" ht="12.75" customHeight="1" x14ac:dyDescent="0.2"/>
    <row r="3838" s="22" customFormat="1" ht="12.75" customHeight="1" x14ac:dyDescent="0.2"/>
    <row r="3839" s="22" customFormat="1" ht="12.75" customHeight="1" x14ac:dyDescent="0.2"/>
    <row r="3840" s="22" customFormat="1" ht="12.75" customHeight="1" x14ac:dyDescent="0.2"/>
    <row r="3841" s="22" customFormat="1" ht="12.75" customHeight="1" x14ac:dyDescent="0.2"/>
    <row r="3842" s="22" customFormat="1" ht="12.75" customHeight="1" x14ac:dyDescent="0.2"/>
    <row r="3843" s="22" customFormat="1" ht="12.75" customHeight="1" x14ac:dyDescent="0.2"/>
    <row r="3844" s="22" customFormat="1" ht="12.75" customHeight="1" x14ac:dyDescent="0.2"/>
    <row r="3845" s="22" customFormat="1" ht="12.75" customHeight="1" x14ac:dyDescent="0.2"/>
    <row r="3846" s="22" customFormat="1" ht="12.75" customHeight="1" x14ac:dyDescent="0.2"/>
    <row r="3847" s="22" customFormat="1" ht="12.75" customHeight="1" x14ac:dyDescent="0.2"/>
    <row r="3848" s="22" customFormat="1" ht="12.75" customHeight="1" x14ac:dyDescent="0.2"/>
    <row r="3849" s="22" customFormat="1" ht="12.75" customHeight="1" x14ac:dyDescent="0.2"/>
    <row r="3850" s="22" customFormat="1" ht="12.75" customHeight="1" x14ac:dyDescent="0.2"/>
    <row r="3851" s="22" customFormat="1" ht="12.75" customHeight="1" x14ac:dyDescent="0.2"/>
    <row r="3852" s="22" customFormat="1" ht="12.75" customHeight="1" x14ac:dyDescent="0.2"/>
    <row r="3853" s="22" customFormat="1" ht="12.75" customHeight="1" x14ac:dyDescent="0.2"/>
    <row r="3854" s="22" customFormat="1" ht="12.75" customHeight="1" x14ac:dyDescent="0.2"/>
    <row r="3855" s="22" customFormat="1" ht="12.75" customHeight="1" x14ac:dyDescent="0.2"/>
    <row r="3856" s="22" customFormat="1" ht="12.75" customHeight="1" x14ac:dyDescent="0.2"/>
    <row r="3857" s="22" customFormat="1" ht="12.75" customHeight="1" x14ac:dyDescent="0.2"/>
    <row r="3858" s="22" customFormat="1" ht="12.75" customHeight="1" x14ac:dyDescent="0.2"/>
    <row r="3859" s="22" customFormat="1" ht="12.75" customHeight="1" x14ac:dyDescent="0.2"/>
    <row r="3860" s="22" customFormat="1" ht="12.75" customHeight="1" x14ac:dyDescent="0.2"/>
    <row r="3861" s="22" customFormat="1" ht="12.75" customHeight="1" x14ac:dyDescent="0.2"/>
    <row r="3862" s="22" customFormat="1" ht="12.75" customHeight="1" x14ac:dyDescent="0.2"/>
    <row r="3863" s="22" customFormat="1" ht="12.75" customHeight="1" x14ac:dyDescent="0.2"/>
    <row r="3864" s="22" customFormat="1" ht="12.75" customHeight="1" x14ac:dyDescent="0.2"/>
    <row r="3865" s="22" customFormat="1" ht="12.75" customHeight="1" x14ac:dyDescent="0.2"/>
    <row r="3866" s="22" customFormat="1" ht="12.75" customHeight="1" x14ac:dyDescent="0.2"/>
    <row r="3867" s="22" customFormat="1" ht="12.75" customHeight="1" x14ac:dyDescent="0.2"/>
    <row r="3868" s="22" customFormat="1" ht="12.75" customHeight="1" x14ac:dyDescent="0.2"/>
    <row r="3869" s="22" customFormat="1" ht="12.75" customHeight="1" x14ac:dyDescent="0.2"/>
    <row r="3870" s="22" customFormat="1" ht="12.75" customHeight="1" x14ac:dyDescent="0.2"/>
    <row r="3871" s="22" customFormat="1" ht="12.75" customHeight="1" x14ac:dyDescent="0.2"/>
    <row r="3872" s="22" customFormat="1" ht="12.75" customHeight="1" x14ac:dyDescent="0.2"/>
    <row r="3873" s="22" customFormat="1" ht="12.75" customHeight="1" x14ac:dyDescent="0.2"/>
    <row r="3874" s="22" customFormat="1" ht="12.75" customHeight="1" x14ac:dyDescent="0.2"/>
    <row r="3875" s="22" customFormat="1" ht="12.75" customHeight="1" x14ac:dyDescent="0.2"/>
    <row r="3876" s="22" customFormat="1" ht="12.75" customHeight="1" x14ac:dyDescent="0.2"/>
    <row r="3877" s="22" customFormat="1" ht="12.75" customHeight="1" x14ac:dyDescent="0.2"/>
    <row r="3878" s="22" customFormat="1" ht="12.75" customHeight="1" x14ac:dyDescent="0.2"/>
    <row r="3879" s="22" customFormat="1" ht="12.75" customHeight="1" x14ac:dyDescent="0.2"/>
    <row r="3880" s="22" customFormat="1" ht="12.75" customHeight="1" x14ac:dyDescent="0.2"/>
    <row r="3881" s="22" customFormat="1" ht="12.75" customHeight="1" x14ac:dyDescent="0.2"/>
    <row r="3882" s="22" customFormat="1" ht="12.75" customHeight="1" x14ac:dyDescent="0.2"/>
    <row r="3883" s="22" customFormat="1" ht="12.75" customHeight="1" x14ac:dyDescent="0.2"/>
    <row r="3884" s="22" customFormat="1" ht="12.75" customHeight="1" x14ac:dyDescent="0.2"/>
    <row r="3885" s="22" customFormat="1" ht="12.75" customHeight="1" x14ac:dyDescent="0.2"/>
    <row r="3886" s="22" customFormat="1" ht="12.75" customHeight="1" x14ac:dyDescent="0.2"/>
    <row r="3887" s="22" customFormat="1" ht="12.75" customHeight="1" x14ac:dyDescent="0.2"/>
    <row r="3888" s="22" customFormat="1" ht="12.75" customHeight="1" x14ac:dyDescent="0.2"/>
    <row r="3889" s="22" customFormat="1" ht="12.75" customHeight="1" x14ac:dyDescent="0.2"/>
    <row r="3890" s="22" customFormat="1" ht="12.75" customHeight="1" x14ac:dyDescent="0.2"/>
    <row r="3891" s="22" customFormat="1" ht="12.75" customHeight="1" x14ac:dyDescent="0.2"/>
    <row r="3892" s="22" customFormat="1" ht="12.75" customHeight="1" x14ac:dyDescent="0.2"/>
    <row r="3893" s="22" customFormat="1" ht="12.75" customHeight="1" x14ac:dyDescent="0.2"/>
    <row r="3894" s="22" customFormat="1" ht="12.75" customHeight="1" x14ac:dyDescent="0.2"/>
    <row r="3895" s="22" customFormat="1" ht="12.75" customHeight="1" x14ac:dyDescent="0.2"/>
    <row r="3896" s="22" customFormat="1" ht="12.75" customHeight="1" x14ac:dyDescent="0.2"/>
    <row r="3897" s="22" customFormat="1" ht="12.75" customHeight="1" x14ac:dyDescent="0.2"/>
    <row r="3898" s="22" customFormat="1" ht="12.75" customHeight="1" x14ac:dyDescent="0.2"/>
    <row r="3899" s="22" customFormat="1" ht="12.75" customHeight="1" x14ac:dyDescent="0.2"/>
    <row r="3900" s="22" customFormat="1" ht="12.75" customHeight="1" x14ac:dyDescent="0.2"/>
    <row r="3901" s="22" customFormat="1" ht="12.75" customHeight="1" x14ac:dyDescent="0.2"/>
    <row r="3902" s="22" customFormat="1" ht="12.75" customHeight="1" x14ac:dyDescent="0.2"/>
    <row r="3903" s="22" customFormat="1" ht="12.75" customHeight="1" x14ac:dyDescent="0.2"/>
    <row r="3904" s="22" customFormat="1" ht="12.75" customHeight="1" x14ac:dyDescent="0.2"/>
    <row r="3905" s="22" customFormat="1" ht="12.75" customHeight="1" x14ac:dyDescent="0.2"/>
    <row r="3906" s="22" customFormat="1" ht="12.75" customHeight="1" x14ac:dyDescent="0.2"/>
    <row r="3907" s="22" customFormat="1" ht="12.75" customHeight="1" x14ac:dyDescent="0.2"/>
    <row r="3908" s="22" customFormat="1" ht="12.75" customHeight="1" x14ac:dyDescent="0.2"/>
    <row r="3909" s="22" customFormat="1" ht="12.75" customHeight="1" x14ac:dyDescent="0.2"/>
    <row r="3910" s="22" customFormat="1" ht="12.75" customHeight="1" x14ac:dyDescent="0.2"/>
    <row r="3911" s="22" customFormat="1" ht="12.75" customHeight="1" x14ac:dyDescent="0.2"/>
    <row r="3912" s="22" customFormat="1" ht="12.75" customHeight="1" x14ac:dyDescent="0.2"/>
    <row r="3913" s="22" customFormat="1" ht="12.75" customHeight="1" x14ac:dyDescent="0.2"/>
    <row r="3914" s="22" customFormat="1" ht="12.75" customHeight="1" x14ac:dyDescent="0.2"/>
    <row r="3915" s="22" customFormat="1" ht="12.75" customHeight="1" x14ac:dyDescent="0.2"/>
    <row r="3916" s="22" customFormat="1" ht="12.75" customHeight="1" x14ac:dyDescent="0.2"/>
    <row r="3917" s="22" customFormat="1" ht="12.75" customHeight="1" x14ac:dyDescent="0.2"/>
    <row r="3918" s="22" customFormat="1" ht="12.75" customHeight="1" x14ac:dyDescent="0.2"/>
    <row r="3919" s="22" customFormat="1" ht="12.75" customHeight="1" x14ac:dyDescent="0.2"/>
    <row r="3920" s="22" customFormat="1" ht="12.75" customHeight="1" x14ac:dyDescent="0.2"/>
    <row r="3921" s="22" customFormat="1" ht="12.75" customHeight="1" x14ac:dyDescent="0.2"/>
    <row r="3922" s="22" customFormat="1" ht="12.75" customHeight="1" x14ac:dyDescent="0.2"/>
    <row r="3923" s="22" customFormat="1" ht="12.75" customHeight="1" x14ac:dyDescent="0.2"/>
    <row r="3924" s="22" customFormat="1" ht="12.75" customHeight="1" x14ac:dyDescent="0.2"/>
    <row r="3925" s="22" customFormat="1" ht="12.75" customHeight="1" x14ac:dyDescent="0.2"/>
    <row r="3926" s="22" customFormat="1" ht="12.75" customHeight="1" x14ac:dyDescent="0.2"/>
    <row r="3927" s="22" customFormat="1" ht="12.75" customHeight="1" x14ac:dyDescent="0.2"/>
    <row r="3928" s="22" customFormat="1" ht="12.75" customHeight="1" x14ac:dyDescent="0.2"/>
    <row r="3929" s="22" customFormat="1" ht="12.75" customHeight="1" x14ac:dyDescent="0.2"/>
    <row r="3930" s="22" customFormat="1" ht="12.75" customHeight="1" x14ac:dyDescent="0.2"/>
    <row r="3931" s="22" customFormat="1" ht="12.75" customHeight="1" x14ac:dyDescent="0.2"/>
    <row r="3932" s="22" customFormat="1" ht="12.75" customHeight="1" x14ac:dyDescent="0.2"/>
    <row r="3933" s="22" customFormat="1" ht="12.75" customHeight="1" x14ac:dyDescent="0.2"/>
    <row r="3934" s="22" customFormat="1" ht="12.75" customHeight="1" x14ac:dyDescent="0.2"/>
    <row r="3935" s="22" customFormat="1" ht="12.75" customHeight="1" x14ac:dyDescent="0.2"/>
    <row r="3936" s="22" customFormat="1" ht="12.75" customHeight="1" x14ac:dyDescent="0.2"/>
    <row r="3937" s="22" customFormat="1" ht="12.75" customHeight="1" x14ac:dyDescent="0.2"/>
    <row r="3938" s="22" customFormat="1" ht="12.75" customHeight="1" x14ac:dyDescent="0.2"/>
    <row r="3939" s="22" customFormat="1" ht="12.75" customHeight="1" x14ac:dyDescent="0.2"/>
    <row r="3940" s="22" customFormat="1" ht="12.75" customHeight="1" x14ac:dyDescent="0.2"/>
    <row r="3941" s="22" customFormat="1" ht="12.75" customHeight="1" x14ac:dyDescent="0.2"/>
    <row r="3942" s="22" customFormat="1" ht="12.75" customHeight="1" x14ac:dyDescent="0.2"/>
    <row r="3943" s="22" customFormat="1" ht="12.75" customHeight="1" x14ac:dyDescent="0.2"/>
    <row r="3944" s="22" customFormat="1" ht="12.75" customHeight="1" x14ac:dyDescent="0.2"/>
    <row r="3945" s="22" customFormat="1" ht="12.75" customHeight="1" x14ac:dyDescent="0.2"/>
    <row r="3946" s="22" customFormat="1" ht="12.75" customHeight="1" x14ac:dyDescent="0.2"/>
    <row r="3947" s="22" customFormat="1" ht="12.75" customHeight="1" x14ac:dyDescent="0.2"/>
    <row r="3948" s="22" customFormat="1" ht="12.75" customHeight="1" x14ac:dyDescent="0.2"/>
    <row r="3949" s="22" customFormat="1" ht="12.75" customHeight="1" x14ac:dyDescent="0.2"/>
    <row r="3950" s="22" customFormat="1" ht="12.75" customHeight="1" x14ac:dyDescent="0.2"/>
    <row r="3951" s="22" customFormat="1" ht="12.75" customHeight="1" x14ac:dyDescent="0.2"/>
    <row r="3952" s="22" customFormat="1" ht="12.75" customHeight="1" x14ac:dyDescent="0.2"/>
    <row r="3953" s="22" customFormat="1" ht="12.75" customHeight="1" x14ac:dyDescent="0.2"/>
    <row r="3954" s="22" customFormat="1" ht="12.75" customHeight="1" x14ac:dyDescent="0.2"/>
    <row r="3955" s="22" customFormat="1" ht="12.75" customHeight="1" x14ac:dyDescent="0.2"/>
    <row r="3956" s="22" customFormat="1" ht="12.75" customHeight="1" x14ac:dyDescent="0.2"/>
    <row r="3957" s="22" customFormat="1" ht="12.75" customHeight="1" x14ac:dyDescent="0.2"/>
    <row r="3958" s="22" customFormat="1" ht="12.75" customHeight="1" x14ac:dyDescent="0.2"/>
    <row r="3959" s="22" customFormat="1" ht="12.75" customHeight="1" x14ac:dyDescent="0.2"/>
    <row r="3960" s="22" customFormat="1" ht="12.75" customHeight="1" x14ac:dyDescent="0.2"/>
    <row r="3961" s="22" customFormat="1" ht="12.75" customHeight="1" x14ac:dyDescent="0.2"/>
    <row r="3962" s="22" customFormat="1" ht="12.75" customHeight="1" x14ac:dyDescent="0.2"/>
    <row r="3963" s="22" customFormat="1" ht="12.75" customHeight="1" x14ac:dyDescent="0.2"/>
    <row r="3964" s="22" customFormat="1" ht="12.75" customHeight="1" x14ac:dyDescent="0.2"/>
    <row r="3965" s="22" customFormat="1" ht="12.75" customHeight="1" x14ac:dyDescent="0.2"/>
    <row r="3966" s="22" customFormat="1" ht="12.75" customHeight="1" x14ac:dyDescent="0.2"/>
    <row r="3967" s="22" customFormat="1" ht="12.75" customHeight="1" x14ac:dyDescent="0.2"/>
    <row r="3968" s="22" customFormat="1" ht="12.75" customHeight="1" x14ac:dyDescent="0.2"/>
    <row r="3969" s="22" customFormat="1" ht="12.75" customHeight="1" x14ac:dyDescent="0.2"/>
    <row r="3970" s="22" customFormat="1" ht="12.75" customHeight="1" x14ac:dyDescent="0.2"/>
    <row r="3971" s="22" customFormat="1" ht="12.75" customHeight="1" x14ac:dyDescent="0.2"/>
    <row r="3972" s="22" customFormat="1" ht="12.75" customHeight="1" x14ac:dyDescent="0.2"/>
    <row r="3973" s="22" customFormat="1" ht="12.75" customHeight="1" x14ac:dyDescent="0.2"/>
    <row r="3974" s="22" customFormat="1" ht="12.75" customHeight="1" x14ac:dyDescent="0.2"/>
    <row r="3975" s="22" customFormat="1" ht="12.75" customHeight="1" x14ac:dyDescent="0.2"/>
    <row r="3976" s="22" customFormat="1" ht="12.75" customHeight="1" x14ac:dyDescent="0.2"/>
    <row r="3977" s="22" customFormat="1" ht="12.75" customHeight="1" x14ac:dyDescent="0.2"/>
    <row r="3978" s="22" customFormat="1" ht="12.75" customHeight="1" x14ac:dyDescent="0.2"/>
    <row r="3979" s="22" customFormat="1" ht="12.75" customHeight="1" x14ac:dyDescent="0.2"/>
    <row r="3980" s="22" customFormat="1" ht="12.75" customHeight="1" x14ac:dyDescent="0.2"/>
    <row r="3981" s="22" customFormat="1" ht="12.75" customHeight="1" x14ac:dyDescent="0.2"/>
    <row r="3982" s="22" customFormat="1" ht="12.75" customHeight="1" x14ac:dyDescent="0.2"/>
    <row r="3983" s="22" customFormat="1" ht="12.75" customHeight="1" x14ac:dyDescent="0.2"/>
    <row r="3984" s="22" customFormat="1" ht="12.75" customHeight="1" x14ac:dyDescent="0.2"/>
    <row r="3985" s="22" customFormat="1" ht="12.75" customHeight="1" x14ac:dyDescent="0.2"/>
    <row r="3986" s="22" customFormat="1" ht="12.75" customHeight="1" x14ac:dyDescent="0.2"/>
    <row r="3987" s="22" customFormat="1" ht="12.75" customHeight="1" x14ac:dyDescent="0.2"/>
    <row r="3988" s="22" customFormat="1" ht="12.75" customHeight="1" x14ac:dyDescent="0.2"/>
    <row r="3989" s="22" customFormat="1" ht="12.75" customHeight="1" x14ac:dyDescent="0.2"/>
    <row r="3990" s="22" customFormat="1" ht="12.75" customHeight="1" x14ac:dyDescent="0.2"/>
    <row r="3991" s="22" customFormat="1" ht="12.75" customHeight="1" x14ac:dyDescent="0.2"/>
    <row r="3992" s="22" customFormat="1" ht="12.75" customHeight="1" x14ac:dyDescent="0.2"/>
    <row r="3993" s="22" customFormat="1" ht="12.75" customHeight="1" x14ac:dyDescent="0.2"/>
    <row r="3994" s="22" customFormat="1" ht="12.75" customHeight="1" x14ac:dyDescent="0.2"/>
    <row r="3995" s="22" customFormat="1" ht="12.75" customHeight="1" x14ac:dyDescent="0.2"/>
    <row r="3996" s="22" customFormat="1" ht="12.75" customHeight="1" x14ac:dyDescent="0.2"/>
    <row r="3997" s="22" customFormat="1" ht="12.75" customHeight="1" x14ac:dyDescent="0.2"/>
    <row r="3998" s="22" customFormat="1" ht="12.75" customHeight="1" x14ac:dyDescent="0.2"/>
    <row r="3999" s="22" customFormat="1" ht="12.75" customHeight="1" x14ac:dyDescent="0.2"/>
    <row r="4000" s="22" customFormat="1" ht="12.75" customHeight="1" x14ac:dyDescent="0.2"/>
    <row r="4001" s="22" customFormat="1" ht="12.75" customHeight="1" x14ac:dyDescent="0.2"/>
    <row r="4002" s="22" customFormat="1" ht="12.75" customHeight="1" x14ac:dyDescent="0.2"/>
    <row r="4003" s="22" customFormat="1" ht="12.75" customHeight="1" x14ac:dyDescent="0.2"/>
    <row r="4004" s="22" customFormat="1" ht="12.75" customHeight="1" x14ac:dyDescent="0.2"/>
    <row r="4005" s="22" customFormat="1" ht="12.75" customHeight="1" x14ac:dyDescent="0.2"/>
    <row r="4006" s="22" customFormat="1" ht="12.75" customHeight="1" x14ac:dyDescent="0.2"/>
    <row r="4007" s="22" customFormat="1" ht="12.75" customHeight="1" x14ac:dyDescent="0.2"/>
    <row r="4008" s="22" customFormat="1" ht="12.75" customHeight="1" x14ac:dyDescent="0.2"/>
    <row r="4009" s="22" customFormat="1" ht="12.75" customHeight="1" x14ac:dyDescent="0.2"/>
    <row r="4010" s="22" customFormat="1" ht="12.75" customHeight="1" x14ac:dyDescent="0.2"/>
    <row r="4011" s="22" customFormat="1" ht="12.75" customHeight="1" x14ac:dyDescent="0.2"/>
    <row r="4012" s="22" customFormat="1" ht="12.75" customHeight="1" x14ac:dyDescent="0.2"/>
    <row r="4013" s="22" customFormat="1" ht="12.75" customHeight="1" x14ac:dyDescent="0.2"/>
    <row r="4014" s="22" customFormat="1" ht="12.75" customHeight="1" x14ac:dyDescent="0.2"/>
    <row r="4015" s="22" customFormat="1" ht="12.75" customHeight="1" x14ac:dyDescent="0.2"/>
    <row r="4016" s="22" customFormat="1" ht="12.75" customHeight="1" x14ac:dyDescent="0.2"/>
    <row r="4017" s="22" customFormat="1" ht="12.75" customHeight="1" x14ac:dyDescent="0.2"/>
    <row r="4018" s="22" customFormat="1" ht="12.75" customHeight="1" x14ac:dyDescent="0.2"/>
    <row r="4019" s="22" customFormat="1" ht="12.75" customHeight="1" x14ac:dyDescent="0.2"/>
    <row r="4020" s="22" customFormat="1" ht="12.75" customHeight="1" x14ac:dyDescent="0.2"/>
    <row r="4021" s="22" customFormat="1" ht="12.75" customHeight="1" x14ac:dyDescent="0.2"/>
    <row r="4022" s="22" customFormat="1" ht="12.75" customHeight="1" x14ac:dyDescent="0.2"/>
    <row r="4023" s="22" customFormat="1" ht="12.75" customHeight="1" x14ac:dyDescent="0.2"/>
    <row r="4024" s="22" customFormat="1" ht="12.75" customHeight="1" x14ac:dyDescent="0.2"/>
    <row r="4025" s="22" customFormat="1" ht="12.75" customHeight="1" x14ac:dyDescent="0.2"/>
    <row r="4026" s="22" customFormat="1" ht="12.75" customHeight="1" x14ac:dyDescent="0.2"/>
    <row r="4027" s="22" customFormat="1" ht="12.75" customHeight="1" x14ac:dyDescent="0.2"/>
    <row r="4028" s="22" customFormat="1" ht="12.75" customHeight="1" x14ac:dyDescent="0.2"/>
    <row r="4029" s="22" customFormat="1" ht="12.75" customHeight="1" x14ac:dyDescent="0.2"/>
    <row r="4030" s="22" customFormat="1" ht="12.75" customHeight="1" x14ac:dyDescent="0.2"/>
    <row r="4031" s="22" customFormat="1" ht="12.75" customHeight="1" x14ac:dyDescent="0.2"/>
    <row r="4032" s="22" customFormat="1" ht="12.75" customHeight="1" x14ac:dyDescent="0.2"/>
    <row r="4033" s="22" customFormat="1" ht="12.75" customHeight="1" x14ac:dyDescent="0.2"/>
    <row r="4034" s="22" customFormat="1" ht="12.75" customHeight="1" x14ac:dyDescent="0.2"/>
    <row r="4035" s="22" customFormat="1" ht="12.75" customHeight="1" x14ac:dyDescent="0.2"/>
    <row r="4036" s="22" customFormat="1" ht="12.75" customHeight="1" x14ac:dyDescent="0.2"/>
    <row r="4037" s="22" customFormat="1" ht="12.75" customHeight="1" x14ac:dyDescent="0.2"/>
    <row r="4038" s="22" customFormat="1" ht="12.75" customHeight="1" x14ac:dyDescent="0.2"/>
    <row r="4039" s="22" customFormat="1" ht="12.75" customHeight="1" x14ac:dyDescent="0.2"/>
    <row r="4040" s="22" customFormat="1" ht="12.75" customHeight="1" x14ac:dyDescent="0.2"/>
    <row r="4041" s="22" customFormat="1" ht="12.75" customHeight="1" x14ac:dyDescent="0.2"/>
    <row r="4042" s="22" customFormat="1" ht="12.75" customHeight="1" x14ac:dyDescent="0.2"/>
    <row r="4043" s="22" customFormat="1" ht="12.75" customHeight="1" x14ac:dyDescent="0.2"/>
    <row r="4044" s="22" customFormat="1" ht="12.75" customHeight="1" x14ac:dyDescent="0.2"/>
    <row r="4045" s="22" customFormat="1" ht="12.75" customHeight="1" x14ac:dyDescent="0.2"/>
    <row r="4046" s="22" customFormat="1" ht="12.75" customHeight="1" x14ac:dyDescent="0.2"/>
    <row r="4047" s="22" customFormat="1" ht="12.75" customHeight="1" x14ac:dyDescent="0.2"/>
    <row r="4048" s="22" customFormat="1" ht="12.75" customHeight="1" x14ac:dyDescent="0.2"/>
    <row r="4049" s="22" customFormat="1" ht="12.75" customHeight="1" x14ac:dyDescent="0.2"/>
    <row r="4050" s="22" customFormat="1" ht="12.75" customHeight="1" x14ac:dyDescent="0.2"/>
    <row r="4051" s="22" customFormat="1" ht="12.75" customHeight="1" x14ac:dyDescent="0.2"/>
    <row r="4052" s="22" customFormat="1" ht="12.75" customHeight="1" x14ac:dyDescent="0.2"/>
    <row r="4053" s="22" customFormat="1" ht="12.75" customHeight="1" x14ac:dyDescent="0.2"/>
    <row r="4054" s="22" customFormat="1" ht="12.75" customHeight="1" x14ac:dyDescent="0.2"/>
    <row r="4055" s="22" customFormat="1" ht="12.75" customHeight="1" x14ac:dyDescent="0.2"/>
    <row r="4056" s="22" customFormat="1" ht="12.75" customHeight="1" x14ac:dyDescent="0.2"/>
    <row r="4057" s="22" customFormat="1" ht="12.75" customHeight="1" x14ac:dyDescent="0.2"/>
    <row r="4058" s="22" customFormat="1" ht="12.75" customHeight="1" x14ac:dyDescent="0.2"/>
    <row r="4059" s="22" customFormat="1" ht="12.75" customHeight="1" x14ac:dyDescent="0.2"/>
    <row r="4060" s="22" customFormat="1" ht="12.75" customHeight="1" x14ac:dyDescent="0.2"/>
    <row r="4061" s="22" customFormat="1" ht="12.75" customHeight="1" x14ac:dyDescent="0.2"/>
    <row r="4062" s="22" customFormat="1" ht="12.75" customHeight="1" x14ac:dyDescent="0.2"/>
    <row r="4063" s="22" customFormat="1" ht="12.75" customHeight="1" x14ac:dyDescent="0.2"/>
    <row r="4064" s="22" customFormat="1" ht="12.75" customHeight="1" x14ac:dyDescent="0.2"/>
    <row r="4065" s="22" customFormat="1" ht="12.75" customHeight="1" x14ac:dyDescent="0.2"/>
    <row r="4066" s="22" customFormat="1" ht="12.75" customHeight="1" x14ac:dyDescent="0.2"/>
    <row r="4067" s="22" customFormat="1" ht="12.75" customHeight="1" x14ac:dyDescent="0.2"/>
    <row r="4068" s="22" customFormat="1" ht="12.75" customHeight="1" x14ac:dyDescent="0.2"/>
    <row r="4069" s="22" customFormat="1" ht="12.75" customHeight="1" x14ac:dyDescent="0.2"/>
    <row r="4070" s="22" customFormat="1" ht="12.75" customHeight="1" x14ac:dyDescent="0.2"/>
    <row r="4071" s="22" customFormat="1" ht="12.75" customHeight="1" x14ac:dyDescent="0.2"/>
    <row r="4072" s="22" customFormat="1" ht="12.75" customHeight="1" x14ac:dyDescent="0.2"/>
    <row r="4073" s="22" customFormat="1" ht="12.75" customHeight="1" x14ac:dyDescent="0.2"/>
    <row r="4074" s="22" customFormat="1" ht="12.75" customHeight="1" x14ac:dyDescent="0.2"/>
    <row r="4075" s="22" customFormat="1" ht="12.75" customHeight="1" x14ac:dyDescent="0.2"/>
    <row r="4076" s="22" customFormat="1" ht="12.75" customHeight="1" x14ac:dyDescent="0.2"/>
    <row r="4077" s="22" customFormat="1" ht="12.75" customHeight="1" x14ac:dyDescent="0.2"/>
    <row r="4078" s="22" customFormat="1" ht="12.75" customHeight="1" x14ac:dyDescent="0.2"/>
    <row r="4079" s="22" customFormat="1" ht="12.75" customHeight="1" x14ac:dyDescent="0.2"/>
    <row r="4080" s="22" customFormat="1" ht="12.75" customHeight="1" x14ac:dyDescent="0.2"/>
    <row r="4081" s="22" customFormat="1" ht="12.75" customHeight="1" x14ac:dyDescent="0.2"/>
    <row r="4082" s="22" customFormat="1" ht="12.75" customHeight="1" x14ac:dyDescent="0.2"/>
    <row r="4083" s="22" customFormat="1" ht="12.75" customHeight="1" x14ac:dyDescent="0.2"/>
    <row r="4084" s="22" customFormat="1" ht="12.75" customHeight="1" x14ac:dyDescent="0.2"/>
    <row r="4085" s="22" customFormat="1" ht="12.75" customHeight="1" x14ac:dyDescent="0.2"/>
    <row r="4086" s="22" customFormat="1" ht="12.75" customHeight="1" x14ac:dyDescent="0.2"/>
    <row r="4087" s="22" customFormat="1" ht="12.75" customHeight="1" x14ac:dyDescent="0.2"/>
    <row r="4088" s="22" customFormat="1" ht="12.75" customHeight="1" x14ac:dyDescent="0.2"/>
    <row r="4089" s="22" customFormat="1" ht="12.75" customHeight="1" x14ac:dyDescent="0.2"/>
    <row r="4090" s="22" customFormat="1" ht="12.75" customHeight="1" x14ac:dyDescent="0.2"/>
    <row r="4091" s="22" customFormat="1" ht="12.75" customHeight="1" x14ac:dyDescent="0.2"/>
    <row r="4092" s="22" customFormat="1" ht="12.75" customHeight="1" x14ac:dyDescent="0.2"/>
    <row r="4093" s="22" customFormat="1" ht="12.75" customHeight="1" x14ac:dyDescent="0.2"/>
    <row r="4094" s="22" customFormat="1" ht="12.75" customHeight="1" x14ac:dyDescent="0.2"/>
    <row r="4095" s="22" customFormat="1" ht="12.75" customHeight="1" x14ac:dyDescent="0.2"/>
    <row r="4096" s="22" customFormat="1" ht="12.75" customHeight="1" x14ac:dyDescent="0.2"/>
    <row r="4097" s="22" customFormat="1" ht="12.75" customHeight="1" x14ac:dyDescent="0.2"/>
    <row r="4098" s="22" customFormat="1" ht="12.75" customHeight="1" x14ac:dyDescent="0.2"/>
    <row r="4099" s="22" customFormat="1" ht="12.75" customHeight="1" x14ac:dyDescent="0.2"/>
    <row r="4100" s="22" customFormat="1" ht="12.75" customHeight="1" x14ac:dyDescent="0.2"/>
    <row r="4101" s="22" customFormat="1" ht="12.75" customHeight="1" x14ac:dyDescent="0.2"/>
    <row r="4102" s="22" customFormat="1" ht="12.75" customHeight="1" x14ac:dyDescent="0.2"/>
    <row r="4103" s="22" customFormat="1" ht="12.75" customHeight="1" x14ac:dyDescent="0.2"/>
    <row r="4104" s="22" customFormat="1" ht="12.75" customHeight="1" x14ac:dyDescent="0.2"/>
    <row r="4105" s="22" customFormat="1" ht="12.75" customHeight="1" x14ac:dyDescent="0.2"/>
    <row r="4106" s="22" customFormat="1" ht="12.75" customHeight="1" x14ac:dyDescent="0.2"/>
    <row r="4107" s="22" customFormat="1" ht="12.75" customHeight="1" x14ac:dyDescent="0.2"/>
    <row r="4108" s="22" customFormat="1" ht="12.75" customHeight="1" x14ac:dyDescent="0.2"/>
    <row r="4109" s="22" customFormat="1" ht="12.75" customHeight="1" x14ac:dyDescent="0.2"/>
    <row r="4110" s="22" customFormat="1" ht="12.75" customHeight="1" x14ac:dyDescent="0.2"/>
    <row r="4111" s="22" customFormat="1" ht="12.75" customHeight="1" x14ac:dyDescent="0.2"/>
    <row r="4112" s="22" customFormat="1" ht="12.75" customHeight="1" x14ac:dyDescent="0.2"/>
    <row r="4113" s="22" customFormat="1" ht="12.75" customHeight="1" x14ac:dyDescent="0.2"/>
    <row r="4114" s="22" customFormat="1" ht="12.75" customHeight="1" x14ac:dyDescent="0.2"/>
    <row r="4115" s="22" customFormat="1" ht="12.75" customHeight="1" x14ac:dyDescent="0.2"/>
    <row r="4116" s="22" customFormat="1" ht="12.75" customHeight="1" x14ac:dyDescent="0.2"/>
    <row r="4117" s="22" customFormat="1" ht="12.75" customHeight="1" x14ac:dyDescent="0.2"/>
    <row r="4118" s="22" customFormat="1" ht="12.75" customHeight="1" x14ac:dyDescent="0.2"/>
    <row r="4119" s="22" customFormat="1" ht="12.75" customHeight="1" x14ac:dyDescent="0.2"/>
    <row r="4120" s="22" customFormat="1" ht="12.75" customHeight="1" x14ac:dyDescent="0.2"/>
    <row r="4121" s="22" customFormat="1" ht="12.75" customHeight="1" x14ac:dyDescent="0.2"/>
    <row r="4122" s="22" customFormat="1" ht="12.75" customHeight="1" x14ac:dyDescent="0.2"/>
    <row r="4123" s="22" customFormat="1" ht="12.75" customHeight="1" x14ac:dyDescent="0.2"/>
    <row r="4124" s="22" customFormat="1" ht="12.75" customHeight="1" x14ac:dyDescent="0.2"/>
    <row r="4125" s="22" customFormat="1" ht="12.75" customHeight="1" x14ac:dyDescent="0.2"/>
    <row r="4126" s="22" customFormat="1" ht="12.75" customHeight="1" x14ac:dyDescent="0.2"/>
    <row r="4127" s="22" customFormat="1" ht="12.75" customHeight="1" x14ac:dyDescent="0.2"/>
    <row r="4128" s="22" customFormat="1" ht="12.75" customHeight="1" x14ac:dyDescent="0.2"/>
    <row r="4129" s="22" customFormat="1" ht="12.75" customHeight="1" x14ac:dyDescent="0.2"/>
    <row r="4130" s="22" customFormat="1" ht="12.75" customHeight="1" x14ac:dyDescent="0.2"/>
    <row r="4131" s="22" customFormat="1" ht="12.75" customHeight="1" x14ac:dyDescent="0.2"/>
    <row r="4132" s="22" customFormat="1" ht="12.75" customHeight="1" x14ac:dyDescent="0.2"/>
    <row r="4133" s="22" customFormat="1" ht="12.75" customHeight="1" x14ac:dyDescent="0.2"/>
    <row r="4134" s="22" customFormat="1" ht="12.75" customHeight="1" x14ac:dyDescent="0.2"/>
    <row r="4135" s="22" customFormat="1" ht="12.75" customHeight="1" x14ac:dyDescent="0.2"/>
    <row r="4136" s="22" customFormat="1" ht="12.75" customHeight="1" x14ac:dyDescent="0.2"/>
    <row r="4137" s="22" customFormat="1" ht="12.75" customHeight="1" x14ac:dyDescent="0.2"/>
    <row r="4138" s="22" customFormat="1" ht="12.75" customHeight="1" x14ac:dyDescent="0.2"/>
    <row r="4139" s="22" customFormat="1" ht="12.75" customHeight="1" x14ac:dyDescent="0.2"/>
    <row r="4140" s="22" customFormat="1" ht="12.75" customHeight="1" x14ac:dyDescent="0.2"/>
    <row r="4141" s="22" customFormat="1" ht="12.75" customHeight="1" x14ac:dyDescent="0.2"/>
    <row r="4142" s="22" customFormat="1" ht="12.75" customHeight="1" x14ac:dyDescent="0.2"/>
    <row r="4143" s="22" customFormat="1" ht="12.75" customHeight="1" x14ac:dyDescent="0.2"/>
    <row r="4144" s="22" customFormat="1" ht="12.75" customHeight="1" x14ac:dyDescent="0.2"/>
    <row r="4145" s="22" customFormat="1" ht="12.75" customHeight="1" x14ac:dyDescent="0.2"/>
    <row r="4146" s="22" customFormat="1" ht="12.75" customHeight="1" x14ac:dyDescent="0.2"/>
    <row r="4147" s="22" customFormat="1" ht="12.75" customHeight="1" x14ac:dyDescent="0.2"/>
    <row r="4148" s="22" customFormat="1" ht="12.75" customHeight="1" x14ac:dyDescent="0.2"/>
    <row r="4149" s="22" customFormat="1" ht="12.75" customHeight="1" x14ac:dyDescent="0.2"/>
    <row r="4150" s="22" customFormat="1" ht="12.75" customHeight="1" x14ac:dyDescent="0.2"/>
    <row r="4151" s="22" customFormat="1" ht="12.75" customHeight="1" x14ac:dyDescent="0.2"/>
    <row r="4152" s="22" customFormat="1" ht="12.75" customHeight="1" x14ac:dyDescent="0.2"/>
    <row r="4153" s="22" customFormat="1" ht="12.75" customHeight="1" x14ac:dyDescent="0.2"/>
    <row r="4154" s="22" customFormat="1" ht="12.75" customHeight="1" x14ac:dyDescent="0.2"/>
    <row r="4155" s="22" customFormat="1" ht="12.75" customHeight="1" x14ac:dyDescent="0.2"/>
    <row r="4156" s="22" customFormat="1" ht="12.75" customHeight="1" x14ac:dyDescent="0.2"/>
    <row r="4157" s="22" customFormat="1" ht="12.75" customHeight="1" x14ac:dyDescent="0.2"/>
    <row r="4158" s="22" customFormat="1" ht="12.75" customHeight="1" x14ac:dyDescent="0.2"/>
    <row r="4159" s="22" customFormat="1" ht="12.75" customHeight="1" x14ac:dyDescent="0.2"/>
    <row r="4160" s="22" customFormat="1" ht="12.75" customHeight="1" x14ac:dyDescent="0.2"/>
    <row r="4161" s="22" customFormat="1" ht="12.75" customHeight="1" x14ac:dyDescent="0.2"/>
    <row r="4162" s="22" customFormat="1" ht="12.75" customHeight="1" x14ac:dyDescent="0.2"/>
    <row r="4163" s="22" customFormat="1" ht="12.75" customHeight="1" x14ac:dyDescent="0.2"/>
    <row r="4164" s="22" customFormat="1" ht="12.75" customHeight="1" x14ac:dyDescent="0.2"/>
    <row r="4165" s="22" customFormat="1" ht="12.75" customHeight="1" x14ac:dyDescent="0.2"/>
    <row r="4166" s="22" customFormat="1" ht="12.75" customHeight="1" x14ac:dyDescent="0.2"/>
    <row r="4167" s="22" customFormat="1" ht="12.75" customHeight="1" x14ac:dyDescent="0.2"/>
    <row r="4168" s="22" customFormat="1" ht="12.75" customHeight="1" x14ac:dyDescent="0.2"/>
    <row r="4169" s="22" customFormat="1" ht="12.75" customHeight="1" x14ac:dyDescent="0.2"/>
    <row r="4170" s="22" customFormat="1" ht="12.75" customHeight="1" x14ac:dyDescent="0.2"/>
    <row r="4171" s="22" customFormat="1" ht="12.75" customHeight="1" x14ac:dyDescent="0.2"/>
    <row r="4172" s="22" customFormat="1" ht="12.75" customHeight="1" x14ac:dyDescent="0.2"/>
    <row r="4173" s="22" customFormat="1" ht="12.75" customHeight="1" x14ac:dyDescent="0.2"/>
    <row r="4174" s="22" customFormat="1" ht="12.75" customHeight="1" x14ac:dyDescent="0.2"/>
    <row r="4175" s="22" customFormat="1" ht="12.75" customHeight="1" x14ac:dyDescent="0.2"/>
    <row r="4176" s="22" customFormat="1" ht="12.75" customHeight="1" x14ac:dyDescent="0.2"/>
    <row r="4177" s="22" customFormat="1" ht="12.75" customHeight="1" x14ac:dyDescent="0.2"/>
    <row r="4178" s="22" customFormat="1" ht="12.75" customHeight="1" x14ac:dyDescent="0.2"/>
    <row r="4179" s="22" customFormat="1" ht="12.75" customHeight="1" x14ac:dyDescent="0.2"/>
    <row r="4180" s="22" customFormat="1" ht="12.75" customHeight="1" x14ac:dyDescent="0.2"/>
    <row r="4181" s="22" customFormat="1" ht="12.75" customHeight="1" x14ac:dyDescent="0.2"/>
    <row r="4182" s="22" customFormat="1" ht="12.75" customHeight="1" x14ac:dyDescent="0.2"/>
    <row r="4183" s="22" customFormat="1" ht="12.75" customHeight="1" x14ac:dyDescent="0.2"/>
    <row r="4184" s="22" customFormat="1" ht="12.75" customHeight="1" x14ac:dyDescent="0.2"/>
    <row r="4185" s="22" customFormat="1" ht="12.75" customHeight="1" x14ac:dyDescent="0.2"/>
    <row r="4186" s="22" customFormat="1" ht="12.75" customHeight="1" x14ac:dyDescent="0.2"/>
    <row r="4187" s="22" customFormat="1" ht="12.75" customHeight="1" x14ac:dyDescent="0.2"/>
    <row r="4188" s="22" customFormat="1" ht="12.75" customHeight="1" x14ac:dyDescent="0.2"/>
    <row r="4189" s="22" customFormat="1" ht="12.75" customHeight="1" x14ac:dyDescent="0.2"/>
    <row r="4190" s="22" customFormat="1" ht="12.75" customHeight="1" x14ac:dyDescent="0.2"/>
    <row r="4191" s="22" customFormat="1" ht="12.75" customHeight="1" x14ac:dyDescent="0.2"/>
    <row r="4192" s="22" customFormat="1" ht="12.75" customHeight="1" x14ac:dyDescent="0.2"/>
    <row r="4193" s="22" customFormat="1" ht="12.75" customHeight="1" x14ac:dyDescent="0.2"/>
    <row r="4194" s="22" customFormat="1" ht="12.75" customHeight="1" x14ac:dyDescent="0.2"/>
    <row r="4195" s="22" customFormat="1" ht="12.75" customHeight="1" x14ac:dyDescent="0.2"/>
    <row r="4196" s="22" customFormat="1" ht="12.75" customHeight="1" x14ac:dyDescent="0.2"/>
    <row r="4197" s="22" customFormat="1" ht="12.75" customHeight="1" x14ac:dyDescent="0.2"/>
    <row r="4198" s="22" customFormat="1" ht="12.75" customHeight="1" x14ac:dyDescent="0.2"/>
    <row r="4199" s="22" customFormat="1" ht="12.75" customHeight="1" x14ac:dyDescent="0.2"/>
    <row r="4200" s="22" customFormat="1" ht="12.75" customHeight="1" x14ac:dyDescent="0.2"/>
    <row r="4201" s="22" customFormat="1" ht="12.75" customHeight="1" x14ac:dyDescent="0.2"/>
    <row r="4202" s="22" customFormat="1" ht="12.75" customHeight="1" x14ac:dyDescent="0.2"/>
    <row r="4203" s="22" customFormat="1" ht="12.75" customHeight="1" x14ac:dyDescent="0.2"/>
    <row r="4204" s="22" customFormat="1" ht="12.75" customHeight="1" x14ac:dyDescent="0.2"/>
    <row r="4205" s="22" customFormat="1" ht="12.75" customHeight="1" x14ac:dyDescent="0.2"/>
    <row r="4206" s="22" customFormat="1" ht="12.75" customHeight="1" x14ac:dyDescent="0.2"/>
    <row r="4207" s="22" customFormat="1" ht="12.75" customHeight="1" x14ac:dyDescent="0.2"/>
    <row r="4208" s="22" customFormat="1" ht="12.75" customHeight="1" x14ac:dyDescent="0.2"/>
    <row r="4209" s="22" customFormat="1" ht="12.75" customHeight="1" x14ac:dyDescent="0.2"/>
    <row r="4210" s="22" customFormat="1" ht="12.75" customHeight="1" x14ac:dyDescent="0.2"/>
    <row r="4211" s="22" customFormat="1" ht="12.75" customHeight="1" x14ac:dyDescent="0.2"/>
    <row r="4212" s="22" customFormat="1" ht="12.75" customHeight="1" x14ac:dyDescent="0.2"/>
    <row r="4213" s="22" customFormat="1" ht="12.75" customHeight="1" x14ac:dyDescent="0.2"/>
    <row r="4214" s="22" customFormat="1" ht="12.75" customHeight="1" x14ac:dyDescent="0.2"/>
    <row r="4215" s="22" customFormat="1" ht="12.75" customHeight="1" x14ac:dyDescent="0.2"/>
    <row r="4216" s="22" customFormat="1" ht="12.75" customHeight="1" x14ac:dyDescent="0.2"/>
    <row r="4217" s="22" customFormat="1" ht="12.75" customHeight="1" x14ac:dyDescent="0.2"/>
    <row r="4218" s="22" customFormat="1" ht="12.75" customHeight="1" x14ac:dyDescent="0.2"/>
    <row r="4219" s="22" customFormat="1" ht="12.75" customHeight="1" x14ac:dyDescent="0.2"/>
    <row r="4220" s="22" customFormat="1" ht="12.75" customHeight="1" x14ac:dyDescent="0.2"/>
    <row r="4221" s="22" customFormat="1" ht="12.75" customHeight="1" x14ac:dyDescent="0.2"/>
    <row r="4222" s="22" customFormat="1" ht="12.75" customHeight="1" x14ac:dyDescent="0.2"/>
    <row r="4223" s="22" customFormat="1" ht="12.75" customHeight="1" x14ac:dyDescent="0.2"/>
    <row r="4224" s="22" customFormat="1" ht="12.75" customHeight="1" x14ac:dyDescent="0.2"/>
    <row r="4225" s="22" customFormat="1" ht="12.75" customHeight="1" x14ac:dyDescent="0.2"/>
    <row r="4226" s="22" customFormat="1" ht="12.75" customHeight="1" x14ac:dyDescent="0.2"/>
    <row r="4227" s="22" customFormat="1" ht="12.75" customHeight="1" x14ac:dyDescent="0.2"/>
    <row r="4228" s="22" customFormat="1" ht="12.75" customHeight="1" x14ac:dyDescent="0.2"/>
    <row r="4229" s="22" customFormat="1" ht="12.75" customHeight="1" x14ac:dyDescent="0.2"/>
    <row r="4230" s="22" customFormat="1" ht="12.75" customHeight="1" x14ac:dyDescent="0.2"/>
    <row r="4231" s="22" customFormat="1" ht="12.75" customHeight="1" x14ac:dyDescent="0.2"/>
    <row r="4232" s="22" customFormat="1" ht="12.75" customHeight="1" x14ac:dyDescent="0.2"/>
    <row r="4233" s="22" customFormat="1" ht="12.75" customHeight="1" x14ac:dyDescent="0.2"/>
    <row r="4234" s="22" customFormat="1" ht="12.75" customHeight="1" x14ac:dyDescent="0.2"/>
    <row r="4235" s="22" customFormat="1" ht="12.75" customHeight="1" x14ac:dyDescent="0.2"/>
    <row r="4236" s="22" customFormat="1" ht="12.75" customHeight="1" x14ac:dyDescent="0.2"/>
    <row r="4237" s="22" customFormat="1" ht="12.75" customHeight="1" x14ac:dyDescent="0.2"/>
    <row r="4238" s="22" customFormat="1" ht="12.75" customHeight="1" x14ac:dyDescent="0.2"/>
    <row r="4239" s="22" customFormat="1" ht="12.75" customHeight="1" x14ac:dyDescent="0.2"/>
    <row r="4240" s="22" customFormat="1" ht="12.75" customHeight="1" x14ac:dyDescent="0.2"/>
    <row r="4241" s="22" customFormat="1" ht="12.75" customHeight="1" x14ac:dyDescent="0.2"/>
    <row r="4242" s="22" customFormat="1" ht="12.75" customHeight="1" x14ac:dyDescent="0.2"/>
    <row r="4243" s="22" customFormat="1" ht="12.75" customHeight="1" x14ac:dyDescent="0.2"/>
    <row r="4244" s="22" customFormat="1" ht="12.75" customHeight="1" x14ac:dyDescent="0.2"/>
    <row r="4245" s="22" customFormat="1" ht="12.75" customHeight="1" x14ac:dyDescent="0.2"/>
    <row r="4246" s="22" customFormat="1" ht="12.75" customHeight="1" x14ac:dyDescent="0.2"/>
    <row r="4247" s="22" customFormat="1" ht="12.75" customHeight="1" x14ac:dyDescent="0.2"/>
    <row r="4248" s="22" customFormat="1" ht="12.75" customHeight="1" x14ac:dyDescent="0.2"/>
    <row r="4249" s="22" customFormat="1" ht="12.75" customHeight="1" x14ac:dyDescent="0.2"/>
    <row r="4250" s="22" customFormat="1" ht="12.75" customHeight="1" x14ac:dyDescent="0.2"/>
    <row r="4251" s="22" customFormat="1" ht="12.75" customHeight="1" x14ac:dyDescent="0.2"/>
    <row r="4252" s="22" customFormat="1" ht="12.75" customHeight="1" x14ac:dyDescent="0.2"/>
    <row r="4253" s="22" customFormat="1" ht="12.75" customHeight="1" x14ac:dyDescent="0.2"/>
    <row r="4254" s="22" customFormat="1" ht="12.75" customHeight="1" x14ac:dyDescent="0.2"/>
    <row r="4255" s="22" customFormat="1" ht="12.75" customHeight="1" x14ac:dyDescent="0.2"/>
    <row r="4256" s="22" customFormat="1" ht="12.75" customHeight="1" x14ac:dyDescent="0.2"/>
    <row r="4257" s="22" customFormat="1" ht="12.75" customHeight="1" x14ac:dyDescent="0.2"/>
    <row r="4258" s="22" customFormat="1" ht="12.75" customHeight="1" x14ac:dyDescent="0.2"/>
    <row r="4259" s="22" customFormat="1" ht="12.75" customHeight="1" x14ac:dyDescent="0.2"/>
    <row r="4260" s="22" customFormat="1" ht="12.75" customHeight="1" x14ac:dyDescent="0.2"/>
    <row r="4261" s="22" customFormat="1" ht="12.75" customHeight="1" x14ac:dyDescent="0.2"/>
    <row r="4262" s="22" customFormat="1" ht="12.75" customHeight="1" x14ac:dyDescent="0.2"/>
    <row r="4263" s="22" customFormat="1" ht="12.75" customHeight="1" x14ac:dyDescent="0.2"/>
    <row r="4264" s="22" customFormat="1" ht="12.75" customHeight="1" x14ac:dyDescent="0.2"/>
    <row r="4265" s="22" customFormat="1" ht="12.75" customHeight="1" x14ac:dyDescent="0.2"/>
    <row r="4266" s="22" customFormat="1" ht="12.75" customHeight="1" x14ac:dyDescent="0.2"/>
    <row r="4267" s="22" customFormat="1" ht="12.75" customHeight="1" x14ac:dyDescent="0.2"/>
    <row r="4268" s="22" customFormat="1" ht="12.75" customHeight="1" x14ac:dyDescent="0.2"/>
    <row r="4269" s="22" customFormat="1" ht="12.75" customHeight="1" x14ac:dyDescent="0.2"/>
    <row r="4270" s="22" customFormat="1" ht="12.75" customHeight="1" x14ac:dyDescent="0.2"/>
    <row r="4271" s="22" customFormat="1" ht="12.75" customHeight="1" x14ac:dyDescent="0.2"/>
    <row r="4272" s="22" customFormat="1" ht="12.75" customHeight="1" x14ac:dyDescent="0.2"/>
    <row r="4273" s="22" customFormat="1" ht="12.75" customHeight="1" x14ac:dyDescent="0.2"/>
    <row r="4274" s="22" customFormat="1" ht="12.75" customHeight="1" x14ac:dyDescent="0.2"/>
    <row r="4275" s="22" customFormat="1" ht="12.75" customHeight="1" x14ac:dyDescent="0.2"/>
    <row r="4276" s="22" customFormat="1" ht="12.75" customHeight="1" x14ac:dyDescent="0.2"/>
    <row r="4277" s="22" customFormat="1" ht="12.75" customHeight="1" x14ac:dyDescent="0.2"/>
    <row r="4278" s="22" customFormat="1" ht="12.75" customHeight="1" x14ac:dyDescent="0.2"/>
    <row r="4279" s="22" customFormat="1" ht="12.75" customHeight="1" x14ac:dyDescent="0.2"/>
    <row r="4280" s="22" customFormat="1" ht="12.75" customHeight="1" x14ac:dyDescent="0.2"/>
    <row r="4281" s="22" customFormat="1" ht="12.75" customHeight="1" x14ac:dyDescent="0.2"/>
    <row r="4282" s="22" customFormat="1" ht="12.75" customHeight="1" x14ac:dyDescent="0.2"/>
    <row r="4283" s="22" customFormat="1" ht="12.75" customHeight="1" x14ac:dyDescent="0.2"/>
    <row r="4284" s="22" customFormat="1" ht="12.75" customHeight="1" x14ac:dyDescent="0.2"/>
    <row r="4285" s="22" customFormat="1" ht="12.75" customHeight="1" x14ac:dyDescent="0.2"/>
    <row r="4286" s="22" customFormat="1" ht="12.75" customHeight="1" x14ac:dyDescent="0.2"/>
    <row r="4287" s="22" customFormat="1" ht="12.75" customHeight="1" x14ac:dyDescent="0.2"/>
    <row r="4288" s="22" customFormat="1" ht="12.75" customHeight="1" x14ac:dyDescent="0.2"/>
    <row r="4289" s="22" customFormat="1" ht="12.75" customHeight="1" x14ac:dyDescent="0.2"/>
    <row r="4290" s="22" customFormat="1" ht="12.75" customHeight="1" x14ac:dyDescent="0.2"/>
    <row r="4291" s="22" customFormat="1" ht="12.75" customHeight="1" x14ac:dyDescent="0.2"/>
    <row r="4292" s="22" customFormat="1" ht="12.75" customHeight="1" x14ac:dyDescent="0.2"/>
    <row r="4293" s="22" customFormat="1" ht="12.75" customHeight="1" x14ac:dyDescent="0.2"/>
    <row r="4294" s="22" customFormat="1" ht="12.75" customHeight="1" x14ac:dyDescent="0.2"/>
    <row r="4295" s="22" customFormat="1" ht="12.75" customHeight="1" x14ac:dyDescent="0.2"/>
    <row r="4296" s="22" customFormat="1" ht="12.75" customHeight="1" x14ac:dyDescent="0.2"/>
    <row r="4297" s="22" customFormat="1" ht="12.75" customHeight="1" x14ac:dyDescent="0.2"/>
    <row r="4298" s="22" customFormat="1" ht="12.75" customHeight="1" x14ac:dyDescent="0.2"/>
    <row r="4299" s="22" customFormat="1" ht="12.75" customHeight="1" x14ac:dyDescent="0.2"/>
    <row r="4300" s="22" customFormat="1" ht="12.75" customHeight="1" x14ac:dyDescent="0.2"/>
    <row r="4301" s="22" customFormat="1" ht="12.75" customHeight="1" x14ac:dyDescent="0.2"/>
    <row r="4302" s="22" customFormat="1" ht="12.75" customHeight="1" x14ac:dyDescent="0.2"/>
    <row r="4303" s="22" customFormat="1" ht="12.75" customHeight="1" x14ac:dyDescent="0.2"/>
    <row r="4304" s="22" customFormat="1" ht="12.75" customHeight="1" x14ac:dyDescent="0.2"/>
    <row r="4305" s="22" customFormat="1" ht="12.75" customHeight="1" x14ac:dyDescent="0.2"/>
    <row r="4306" s="22" customFormat="1" ht="12.75" customHeight="1" x14ac:dyDescent="0.2"/>
    <row r="4307" s="22" customFormat="1" ht="12.75" customHeight="1" x14ac:dyDescent="0.2"/>
    <row r="4308" s="22" customFormat="1" ht="12.75" customHeight="1" x14ac:dyDescent="0.2"/>
    <row r="4309" s="22" customFormat="1" ht="12.75" customHeight="1" x14ac:dyDescent="0.2"/>
    <row r="4310" s="22" customFormat="1" ht="12.75" customHeight="1" x14ac:dyDescent="0.2"/>
    <row r="4311" s="22" customFormat="1" ht="12.75" customHeight="1" x14ac:dyDescent="0.2"/>
    <row r="4312" s="22" customFormat="1" ht="12.75" customHeight="1" x14ac:dyDescent="0.2"/>
    <row r="4313" s="22" customFormat="1" ht="12.75" customHeight="1" x14ac:dyDescent="0.2"/>
    <row r="4314" s="22" customFormat="1" ht="12.75" customHeight="1" x14ac:dyDescent="0.2"/>
    <row r="4315" s="22" customFormat="1" ht="12.75" customHeight="1" x14ac:dyDescent="0.2"/>
    <row r="4316" s="22" customFormat="1" ht="12.75" customHeight="1" x14ac:dyDescent="0.2"/>
    <row r="4317" s="22" customFormat="1" ht="12.75" customHeight="1" x14ac:dyDescent="0.2"/>
    <row r="4318" s="22" customFormat="1" ht="12.75" customHeight="1" x14ac:dyDescent="0.2"/>
    <row r="4319" s="22" customFormat="1" ht="12.75" customHeight="1" x14ac:dyDescent="0.2"/>
    <row r="4320" s="22" customFormat="1" ht="12.75" customHeight="1" x14ac:dyDescent="0.2"/>
    <row r="4321" s="22" customFormat="1" ht="12.75" customHeight="1" x14ac:dyDescent="0.2"/>
    <row r="4322" s="22" customFormat="1" ht="12.75" customHeight="1" x14ac:dyDescent="0.2"/>
    <row r="4323" s="22" customFormat="1" ht="12.75" customHeight="1" x14ac:dyDescent="0.2"/>
    <row r="4324" s="22" customFormat="1" ht="12.75" customHeight="1" x14ac:dyDescent="0.2"/>
    <row r="4325" s="22" customFormat="1" ht="12.75" customHeight="1" x14ac:dyDescent="0.2"/>
    <row r="4326" s="22" customFormat="1" ht="12.75" customHeight="1" x14ac:dyDescent="0.2"/>
    <row r="4327" s="22" customFormat="1" ht="12.75" customHeight="1" x14ac:dyDescent="0.2"/>
    <row r="4328" s="22" customFormat="1" ht="12.75" customHeight="1" x14ac:dyDescent="0.2"/>
    <row r="4329" s="22" customFormat="1" ht="12.75" customHeight="1" x14ac:dyDescent="0.2"/>
    <row r="4330" s="22" customFormat="1" ht="12.75" customHeight="1" x14ac:dyDescent="0.2"/>
    <row r="4331" s="22" customFormat="1" ht="12.75" customHeight="1" x14ac:dyDescent="0.2"/>
    <row r="4332" s="22" customFormat="1" ht="12.75" customHeight="1" x14ac:dyDescent="0.2"/>
    <row r="4333" s="22" customFormat="1" ht="12.75" customHeight="1" x14ac:dyDescent="0.2"/>
    <row r="4334" s="22" customFormat="1" ht="12.75" customHeight="1" x14ac:dyDescent="0.2"/>
    <row r="4335" s="22" customFormat="1" ht="12.75" customHeight="1" x14ac:dyDescent="0.2"/>
    <row r="4336" s="22" customFormat="1" ht="12.75" customHeight="1" x14ac:dyDescent="0.2"/>
    <row r="4337" s="22" customFormat="1" ht="12.75" customHeight="1" x14ac:dyDescent="0.2"/>
    <row r="4338" s="22" customFormat="1" ht="12.75" customHeight="1" x14ac:dyDescent="0.2"/>
    <row r="4339" s="22" customFormat="1" ht="12.75" customHeight="1" x14ac:dyDescent="0.2"/>
    <row r="4340" s="22" customFormat="1" ht="12.75" customHeight="1" x14ac:dyDescent="0.2"/>
    <row r="4341" s="22" customFormat="1" ht="12.75" customHeight="1" x14ac:dyDescent="0.2"/>
    <row r="4342" s="22" customFormat="1" ht="12.75" customHeight="1" x14ac:dyDescent="0.2"/>
    <row r="4343" s="22" customFormat="1" ht="12.75" customHeight="1" x14ac:dyDescent="0.2"/>
    <row r="4344" s="22" customFormat="1" ht="12.75" customHeight="1" x14ac:dyDescent="0.2"/>
    <row r="4345" s="22" customFormat="1" ht="12.75" customHeight="1" x14ac:dyDescent="0.2"/>
    <row r="4346" s="22" customFormat="1" ht="12.75" customHeight="1" x14ac:dyDescent="0.2"/>
    <row r="4347" s="22" customFormat="1" ht="12.75" customHeight="1" x14ac:dyDescent="0.2"/>
    <row r="4348" s="22" customFormat="1" ht="12.75" customHeight="1" x14ac:dyDescent="0.2"/>
    <row r="4349" s="22" customFormat="1" ht="12.75" customHeight="1" x14ac:dyDescent="0.2"/>
    <row r="4350" s="22" customFormat="1" ht="12.75" customHeight="1" x14ac:dyDescent="0.2"/>
    <row r="4351" s="22" customFormat="1" ht="12.75" customHeight="1" x14ac:dyDescent="0.2"/>
    <row r="4352" s="22" customFormat="1" ht="12.75" customHeight="1" x14ac:dyDescent="0.2"/>
    <row r="4353" s="22" customFormat="1" ht="12.75" customHeight="1" x14ac:dyDescent="0.2"/>
    <row r="4354" s="22" customFormat="1" ht="12.75" customHeight="1" x14ac:dyDescent="0.2"/>
    <row r="4355" s="22" customFormat="1" ht="12.75" customHeight="1" x14ac:dyDescent="0.2"/>
    <row r="4356" s="22" customFormat="1" ht="12.75" customHeight="1" x14ac:dyDescent="0.2"/>
    <row r="4357" s="22" customFormat="1" ht="12.75" customHeight="1" x14ac:dyDescent="0.2"/>
    <row r="4358" s="22" customFormat="1" ht="12.75" customHeight="1" x14ac:dyDescent="0.2"/>
    <row r="4359" s="22" customFormat="1" ht="12.75" customHeight="1" x14ac:dyDescent="0.2"/>
    <row r="4360" s="22" customFormat="1" ht="12.75" customHeight="1" x14ac:dyDescent="0.2"/>
    <row r="4361" s="22" customFormat="1" ht="12.75" customHeight="1" x14ac:dyDescent="0.2"/>
    <row r="4362" s="22" customFormat="1" ht="12.75" customHeight="1" x14ac:dyDescent="0.2"/>
    <row r="4363" s="22" customFormat="1" ht="12.75" customHeight="1" x14ac:dyDescent="0.2"/>
    <row r="4364" s="22" customFormat="1" ht="12.75" customHeight="1" x14ac:dyDescent="0.2"/>
    <row r="4365" s="22" customFormat="1" ht="12.75" customHeight="1" x14ac:dyDescent="0.2"/>
    <row r="4366" s="22" customFormat="1" ht="12.75" customHeight="1" x14ac:dyDescent="0.2"/>
    <row r="4367" s="22" customFormat="1" ht="12.75" customHeight="1" x14ac:dyDescent="0.2"/>
    <row r="4368" s="22" customFormat="1" ht="12.75" customHeight="1" x14ac:dyDescent="0.2"/>
    <row r="4369" s="22" customFormat="1" ht="12.75" customHeight="1" x14ac:dyDescent="0.2"/>
    <row r="4370" s="22" customFormat="1" ht="12.75" customHeight="1" x14ac:dyDescent="0.2"/>
    <row r="4371" s="22" customFormat="1" ht="12.75" customHeight="1" x14ac:dyDescent="0.2"/>
    <row r="4372" s="22" customFormat="1" ht="12.75" customHeight="1" x14ac:dyDescent="0.2"/>
    <row r="4373" s="22" customFormat="1" ht="12.75" customHeight="1" x14ac:dyDescent="0.2"/>
    <row r="4374" s="22" customFormat="1" ht="12.75" customHeight="1" x14ac:dyDescent="0.2"/>
    <row r="4375" s="22" customFormat="1" ht="12.75" customHeight="1" x14ac:dyDescent="0.2"/>
    <row r="4376" s="22" customFormat="1" ht="12.75" customHeight="1" x14ac:dyDescent="0.2"/>
    <row r="4377" s="22" customFormat="1" ht="12.75" customHeight="1" x14ac:dyDescent="0.2"/>
    <row r="4378" s="22" customFormat="1" ht="12.75" customHeight="1" x14ac:dyDescent="0.2"/>
    <row r="4379" s="22" customFormat="1" ht="12.75" customHeight="1" x14ac:dyDescent="0.2"/>
    <row r="4380" s="22" customFormat="1" ht="12.75" customHeight="1" x14ac:dyDescent="0.2"/>
    <row r="4381" s="22" customFormat="1" ht="12.75" customHeight="1" x14ac:dyDescent="0.2"/>
    <row r="4382" s="22" customFormat="1" ht="12.75" customHeight="1" x14ac:dyDescent="0.2"/>
    <row r="4383" s="22" customFormat="1" ht="12.75" customHeight="1" x14ac:dyDescent="0.2"/>
    <row r="4384" s="22" customFormat="1" ht="12.75" customHeight="1" x14ac:dyDescent="0.2"/>
    <row r="4385" s="22" customFormat="1" ht="12.75" customHeight="1" x14ac:dyDescent="0.2"/>
    <row r="4386" s="22" customFormat="1" ht="12.75" customHeight="1" x14ac:dyDescent="0.2"/>
    <row r="4387" s="22" customFormat="1" ht="12.75" customHeight="1" x14ac:dyDescent="0.2"/>
    <row r="4388" s="22" customFormat="1" ht="12.75" customHeight="1" x14ac:dyDescent="0.2"/>
    <row r="4389" s="22" customFormat="1" ht="12.75" customHeight="1" x14ac:dyDescent="0.2"/>
    <row r="4390" s="22" customFormat="1" ht="12.75" customHeight="1" x14ac:dyDescent="0.2"/>
    <row r="4391" s="22" customFormat="1" ht="12.75" customHeight="1" x14ac:dyDescent="0.2"/>
    <row r="4392" s="22" customFormat="1" ht="12.75" customHeight="1" x14ac:dyDescent="0.2"/>
    <row r="4393" s="22" customFormat="1" ht="12.75" customHeight="1" x14ac:dyDescent="0.2"/>
    <row r="4394" s="22" customFormat="1" ht="12.75" customHeight="1" x14ac:dyDescent="0.2"/>
    <row r="4395" s="22" customFormat="1" ht="12.75" customHeight="1" x14ac:dyDescent="0.2"/>
    <row r="4396" s="22" customFormat="1" ht="12.75" customHeight="1" x14ac:dyDescent="0.2"/>
    <row r="4397" s="22" customFormat="1" ht="12.75" customHeight="1" x14ac:dyDescent="0.2"/>
    <row r="4398" s="22" customFormat="1" ht="12.75" customHeight="1" x14ac:dyDescent="0.2"/>
    <row r="4399" s="22" customFormat="1" ht="12.75" customHeight="1" x14ac:dyDescent="0.2"/>
    <row r="4400" s="22" customFormat="1" ht="12.75" customHeight="1" x14ac:dyDescent="0.2"/>
    <row r="4401" s="22" customFormat="1" ht="12.75" customHeight="1" x14ac:dyDescent="0.2"/>
    <row r="4402" s="22" customFormat="1" ht="12.75" customHeight="1" x14ac:dyDescent="0.2"/>
    <row r="4403" s="22" customFormat="1" ht="12.75" customHeight="1" x14ac:dyDescent="0.2"/>
    <row r="4404" s="22" customFormat="1" ht="12.75" customHeight="1" x14ac:dyDescent="0.2"/>
    <row r="4405" s="22" customFormat="1" ht="12.75" customHeight="1" x14ac:dyDescent="0.2"/>
    <row r="4406" s="22" customFormat="1" ht="12.75" customHeight="1" x14ac:dyDescent="0.2"/>
    <row r="4407" s="22" customFormat="1" ht="12.75" customHeight="1" x14ac:dyDescent="0.2"/>
    <row r="4408" s="22" customFormat="1" ht="12.75" customHeight="1" x14ac:dyDescent="0.2"/>
    <row r="4409" s="22" customFormat="1" ht="12.75" customHeight="1" x14ac:dyDescent="0.2"/>
    <row r="4410" s="22" customFormat="1" ht="12.75" customHeight="1" x14ac:dyDescent="0.2"/>
    <row r="4411" s="22" customFormat="1" ht="12.75" customHeight="1" x14ac:dyDescent="0.2"/>
    <row r="4412" s="22" customFormat="1" ht="12.75" customHeight="1" x14ac:dyDescent="0.2"/>
    <row r="4413" s="22" customFormat="1" ht="12.75" customHeight="1" x14ac:dyDescent="0.2"/>
    <row r="4414" s="22" customFormat="1" ht="12.75" customHeight="1" x14ac:dyDescent="0.2"/>
    <row r="4415" s="22" customFormat="1" ht="12.75" customHeight="1" x14ac:dyDescent="0.2"/>
    <row r="4416" s="22" customFormat="1" ht="12.75" customHeight="1" x14ac:dyDescent="0.2"/>
    <row r="4417" s="22" customFormat="1" ht="12.75" customHeight="1" x14ac:dyDescent="0.2"/>
    <row r="4418" s="22" customFormat="1" ht="12.75" customHeight="1" x14ac:dyDescent="0.2"/>
    <row r="4419" s="22" customFormat="1" ht="12.75" customHeight="1" x14ac:dyDescent="0.2"/>
    <row r="4420" s="22" customFormat="1" ht="12.75" customHeight="1" x14ac:dyDescent="0.2"/>
    <row r="4421" s="22" customFormat="1" ht="12.75" customHeight="1" x14ac:dyDescent="0.2"/>
    <row r="4422" s="22" customFormat="1" ht="12.75" customHeight="1" x14ac:dyDescent="0.2"/>
    <row r="4423" s="22" customFormat="1" ht="12.75" customHeight="1" x14ac:dyDescent="0.2"/>
    <row r="4424" s="22" customFormat="1" ht="12.75" customHeight="1" x14ac:dyDescent="0.2"/>
    <row r="4425" s="22" customFormat="1" ht="12.75" customHeight="1" x14ac:dyDescent="0.2"/>
    <row r="4426" s="22" customFormat="1" ht="12.75" customHeight="1" x14ac:dyDescent="0.2"/>
    <row r="4427" s="22" customFormat="1" ht="12.75" customHeight="1" x14ac:dyDescent="0.2"/>
    <row r="4428" s="22" customFormat="1" ht="12.75" customHeight="1" x14ac:dyDescent="0.2"/>
    <row r="4429" s="22" customFormat="1" ht="12.75" customHeight="1" x14ac:dyDescent="0.2"/>
    <row r="4430" s="22" customFormat="1" ht="12.75" customHeight="1" x14ac:dyDescent="0.2"/>
    <row r="4431" s="22" customFormat="1" ht="12.75" customHeight="1" x14ac:dyDescent="0.2"/>
    <row r="4432" s="22" customFormat="1" ht="12.75" customHeight="1" x14ac:dyDescent="0.2"/>
    <row r="4433" s="22" customFormat="1" ht="12.75" customHeight="1" x14ac:dyDescent="0.2"/>
    <row r="4434" s="22" customFormat="1" ht="12.75" customHeight="1" x14ac:dyDescent="0.2"/>
    <row r="4435" s="22" customFormat="1" ht="12.75" customHeight="1" x14ac:dyDescent="0.2"/>
    <row r="4436" s="22" customFormat="1" ht="12.75" customHeight="1" x14ac:dyDescent="0.2"/>
    <row r="4437" s="22" customFormat="1" ht="12.75" customHeight="1" x14ac:dyDescent="0.2"/>
    <row r="4438" s="22" customFormat="1" ht="12.75" customHeight="1" x14ac:dyDescent="0.2"/>
    <row r="4439" s="22" customFormat="1" ht="12.75" customHeight="1" x14ac:dyDescent="0.2"/>
    <row r="4440" s="22" customFormat="1" ht="12.75" customHeight="1" x14ac:dyDescent="0.2"/>
    <row r="4441" s="22" customFormat="1" ht="12.75" customHeight="1" x14ac:dyDescent="0.2"/>
    <row r="4442" s="22" customFormat="1" ht="12.75" customHeight="1" x14ac:dyDescent="0.2"/>
    <row r="4443" s="22" customFormat="1" ht="12.75" customHeight="1" x14ac:dyDescent="0.2"/>
    <row r="4444" s="22" customFormat="1" ht="12.75" customHeight="1" x14ac:dyDescent="0.2"/>
    <row r="4445" s="22" customFormat="1" ht="12.75" customHeight="1" x14ac:dyDescent="0.2"/>
    <row r="4446" s="22" customFormat="1" ht="12.75" customHeight="1" x14ac:dyDescent="0.2"/>
    <row r="4447" s="22" customFormat="1" ht="12.75" customHeight="1" x14ac:dyDescent="0.2"/>
    <row r="4448" s="22" customFormat="1" ht="12.75" customHeight="1" x14ac:dyDescent="0.2"/>
    <row r="4449" s="22" customFormat="1" ht="12.75" customHeight="1" x14ac:dyDescent="0.2"/>
    <row r="4450" s="22" customFormat="1" ht="12.75" customHeight="1" x14ac:dyDescent="0.2"/>
    <row r="4451" s="22" customFormat="1" ht="12.75" customHeight="1" x14ac:dyDescent="0.2"/>
    <row r="4452" s="22" customFormat="1" ht="12.75" customHeight="1" x14ac:dyDescent="0.2"/>
    <row r="4453" s="22" customFormat="1" ht="12.75" customHeight="1" x14ac:dyDescent="0.2"/>
    <row r="4454" s="22" customFormat="1" ht="12.75" customHeight="1" x14ac:dyDescent="0.2"/>
    <row r="4455" s="22" customFormat="1" ht="12.75" customHeight="1" x14ac:dyDescent="0.2"/>
    <row r="4456" s="22" customFormat="1" ht="12.75" customHeight="1" x14ac:dyDescent="0.2"/>
    <row r="4457" s="22" customFormat="1" ht="12.75" customHeight="1" x14ac:dyDescent="0.2"/>
    <row r="4458" s="22" customFormat="1" ht="12.75" customHeight="1" x14ac:dyDescent="0.2"/>
    <row r="4459" s="22" customFormat="1" ht="12.75" customHeight="1" x14ac:dyDescent="0.2"/>
    <row r="4460" s="22" customFormat="1" ht="12.75" customHeight="1" x14ac:dyDescent="0.2"/>
    <row r="4461" s="22" customFormat="1" ht="12.75" customHeight="1" x14ac:dyDescent="0.2"/>
    <row r="4462" s="22" customFormat="1" ht="12.75" customHeight="1" x14ac:dyDescent="0.2"/>
    <row r="4463" s="22" customFormat="1" ht="12.75" customHeight="1" x14ac:dyDescent="0.2"/>
    <row r="4464" s="22" customFormat="1" ht="12.75" customHeight="1" x14ac:dyDescent="0.2"/>
    <row r="4465" s="22" customFormat="1" ht="12.75" customHeight="1" x14ac:dyDescent="0.2"/>
    <row r="4466" s="22" customFormat="1" ht="12.75" customHeight="1" x14ac:dyDescent="0.2"/>
    <row r="4467" s="22" customFormat="1" ht="12.75" customHeight="1" x14ac:dyDescent="0.2"/>
    <row r="4468" s="22" customFormat="1" ht="12.75" customHeight="1" x14ac:dyDescent="0.2"/>
    <row r="4469" s="22" customFormat="1" ht="12.75" customHeight="1" x14ac:dyDescent="0.2"/>
    <row r="4470" s="22" customFormat="1" ht="12.75" customHeight="1" x14ac:dyDescent="0.2"/>
    <row r="4471" s="22" customFormat="1" ht="12.75" customHeight="1" x14ac:dyDescent="0.2"/>
    <row r="4472" s="22" customFormat="1" ht="12.75" customHeight="1" x14ac:dyDescent="0.2"/>
    <row r="4473" s="22" customFormat="1" ht="12.75" customHeight="1" x14ac:dyDescent="0.2"/>
    <row r="4474" s="22" customFormat="1" ht="12.75" customHeight="1" x14ac:dyDescent="0.2"/>
    <row r="4475" s="22" customFormat="1" ht="12.75" customHeight="1" x14ac:dyDescent="0.2"/>
    <row r="4476" s="22" customFormat="1" ht="12.75" customHeight="1" x14ac:dyDescent="0.2"/>
    <row r="4477" s="22" customFormat="1" ht="12.75" customHeight="1" x14ac:dyDescent="0.2"/>
    <row r="4478" s="22" customFormat="1" ht="12.75" customHeight="1" x14ac:dyDescent="0.2"/>
    <row r="4479" s="22" customFormat="1" ht="12.75" customHeight="1" x14ac:dyDescent="0.2"/>
    <row r="4480" s="22" customFormat="1" ht="12.75" customHeight="1" x14ac:dyDescent="0.2"/>
    <row r="4481" s="22" customFormat="1" ht="12.75" customHeight="1" x14ac:dyDescent="0.2"/>
    <row r="4482" s="22" customFormat="1" ht="12.75" customHeight="1" x14ac:dyDescent="0.2"/>
    <row r="4483" s="22" customFormat="1" ht="12.75" customHeight="1" x14ac:dyDescent="0.2"/>
    <row r="4484" s="22" customFormat="1" ht="12.75" customHeight="1" x14ac:dyDescent="0.2"/>
    <row r="4485" s="22" customFormat="1" ht="12.75" customHeight="1" x14ac:dyDescent="0.2"/>
    <row r="4486" s="22" customFormat="1" ht="12.75" customHeight="1" x14ac:dyDescent="0.2"/>
    <row r="4487" s="22" customFormat="1" ht="12.75" customHeight="1" x14ac:dyDescent="0.2"/>
    <row r="4488" s="22" customFormat="1" ht="12.75" customHeight="1" x14ac:dyDescent="0.2"/>
    <row r="4489" s="22" customFormat="1" ht="12.75" customHeight="1" x14ac:dyDescent="0.2"/>
    <row r="4490" s="22" customFormat="1" ht="12.75" customHeight="1" x14ac:dyDescent="0.2"/>
    <row r="4491" s="22" customFormat="1" ht="12.75" customHeight="1" x14ac:dyDescent="0.2"/>
    <row r="4492" s="22" customFormat="1" ht="12.75" customHeight="1" x14ac:dyDescent="0.2"/>
    <row r="4493" s="22" customFormat="1" ht="12.75" customHeight="1" x14ac:dyDescent="0.2"/>
    <row r="4494" s="22" customFormat="1" ht="12.75" customHeight="1" x14ac:dyDescent="0.2"/>
    <row r="4495" s="22" customFormat="1" ht="12.75" customHeight="1" x14ac:dyDescent="0.2"/>
    <row r="4496" s="22" customFormat="1" ht="12.75" customHeight="1" x14ac:dyDescent="0.2"/>
    <row r="4497" s="22" customFormat="1" ht="12.75" customHeight="1" x14ac:dyDescent="0.2"/>
    <row r="4498" s="22" customFormat="1" ht="12.75" customHeight="1" x14ac:dyDescent="0.2"/>
    <row r="4499" s="22" customFormat="1" ht="12.75" customHeight="1" x14ac:dyDescent="0.2"/>
    <row r="4500" s="22" customFormat="1" ht="12.75" customHeight="1" x14ac:dyDescent="0.2"/>
    <row r="4501" s="22" customFormat="1" ht="12.75" customHeight="1" x14ac:dyDescent="0.2"/>
    <row r="4502" s="22" customFormat="1" ht="12.75" customHeight="1" x14ac:dyDescent="0.2"/>
    <row r="4503" s="22" customFormat="1" ht="12.75" customHeight="1" x14ac:dyDescent="0.2"/>
    <row r="4504" s="22" customFormat="1" ht="12.75" customHeight="1" x14ac:dyDescent="0.2"/>
    <row r="4505" s="22" customFormat="1" ht="12.75" customHeight="1" x14ac:dyDescent="0.2"/>
    <row r="4506" s="22" customFormat="1" ht="12.75" customHeight="1" x14ac:dyDescent="0.2"/>
    <row r="4507" s="22" customFormat="1" ht="12.75" customHeight="1" x14ac:dyDescent="0.2"/>
    <row r="4508" s="22" customFormat="1" ht="12.75" customHeight="1" x14ac:dyDescent="0.2"/>
    <row r="4509" s="22" customFormat="1" ht="12.75" customHeight="1" x14ac:dyDescent="0.2"/>
    <row r="4510" s="22" customFormat="1" ht="12.75" customHeight="1" x14ac:dyDescent="0.2"/>
    <row r="4511" s="22" customFormat="1" ht="12.75" customHeight="1" x14ac:dyDescent="0.2"/>
    <row r="4512" s="22" customFormat="1" ht="12.75" customHeight="1" x14ac:dyDescent="0.2"/>
    <row r="4513" s="22" customFormat="1" ht="12.75" customHeight="1" x14ac:dyDescent="0.2"/>
    <row r="4514" s="22" customFormat="1" ht="12.75" customHeight="1" x14ac:dyDescent="0.2"/>
    <row r="4515" s="22" customFormat="1" ht="12.75" customHeight="1" x14ac:dyDescent="0.2"/>
    <row r="4516" s="22" customFormat="1" ht="12.75" customHeight="1" x14ac:dyDescent="0.2"/>
    <row r="4517" s="22" customFormat="1" ht="12.75" customHeight="1" x14ac:dyDescent="0.2"/>
    <row r="4518" s="22" customFormat="1" ht="12.75" customHeight="1" x14ac:dyDescent="0.2"/>
    <row r="4519" s="22" customFormat="1" ht="12.75" customHeight="1" x14ac:dyDescent="0.2"/>
    <row r="4520" s="22" customFormat="1" ht="12.75" customHeight="1" x14ac:dyDescent="0.2"/>
    <row r="4521" s="22" customFormat="1" ht="12.75" customHeight="1" x14ac:dyDescent="0.2"/>
    <row r="4522" s="22" customFormat="1" ht="12.75" customHeight="1" x14ac:dyDescent="0.2"/>
    <row r="4523" s="22" customFormat="1" ht="12.75" customHeight="1" x14ac:dyDescent="0.2"/>
    <row r="4524" s="22" customFormat="1" ht="12.75" customHeight="1" x14ac:dyDescent="0.2"/>
    <row r="4525" s="22" customFormat="1" ht="12.75" customHeight="1" x14ac:dyDescent="0.2"/>
    <row r="4526" s="22" customFormat="1" ht="12.75" customHeight="1" x14ac:dyDescent="0.2"/>
    <row r="4527" s="22" customFormat="1" ht="12.75" customHeight="1" x14ac:dyDescent="0.2"/>
    <row r="4528" s="22" customFormat="1" ht="12.75" customHeight="1" x14ac:dyDescent="0.2"/>
    <row r="4529" s="22" customFormat="1" ht="12.75" customHeight="1" x14ac:dyDescent="0.2"/>
    <row r="4530" s="22" customFormat="1" ht="12.75" customHeight="1" x14ac:dyDescent="0.2"/>
    <row r="4531" s="22" customFormat="1" ht="12.75" customHeight="1" x14ac:dyDescent="0.2"/>
    <row r="4532" s="22" customFormat="1" ht="12.75" customHeight="1" x14ac:dyDescent="0.2"/>
    <row r="4533" s="22" customFormat="1" ht="12.75" customHeight="1" x14ac:dyDescent="0.2"/>
    <row r="4534" s="22" customFormat="1" ht="12.75" customHeight="1" x14ac:dyDescent="0.2"/>
    <row r="4535" s="22" customFormat="1" ht="12.75" customHeight="1" x14ac:dyDescent="0.2"/>
    <row r="4536" s="22" customFormat="1" ht="12.75" customHeight="1" x14ac:dyDescent="0.2"/>
    <row r="4537" s="22" customFormat="1" ht="12.75" customHeight="1" x14ac:dyDescent="0.2"/>
    <row r="4538" s="22" customFormat="1" ht="12.75" customHeight="1" x14ac:dyDescent="0.2"/>
    <row r="4539" s="22" customFormat="1" ht="12.75" customHeight="1" x14ac:dyDescent="0.2"/>
    <row r="4540" s="22" customFormat="1" ht="12.75" customHeight="1" x14ac:dyDescent="0.2"/>
    <row r="4541" s="22" customFormat="1" ht="12.75" customHeight="1" x14ac:dyDescent="0.2"/>
    <row r="4542" s="22" customFormat="1" ht="12.75" customHeight="1" x14ac:dyDescent="0.2"/>
    <row r="4543" s="22" customFormat="1" ht="12.75" customHeight="1" x14ac:dyDescent="0.2"/>
    <row r="4544" s="22" customFormat="1" ht="12.75" customHeight="1" x14ac:dyDescent="0.2"/>
    <row r="4545" s="22" customFormat="1" ht="12.75" customHeight="1" x14ac:dyDescent="0.2"/>
    <row r="4546" s="22" customFormat="1" ht="12.75" customHeight="1" x14ac:dyDescent="0.2"/>
    <row r="4547" s="22" customFormat="1" ht="12.75" customHeight="1" x14ac:dyDescent="0.2"/>
    <row r="4548" s="22" customFormat="1" ht="12.75" customHeight="1" x14ac:dyDescent="0.2"/>
    <row r="4549" s="22" customFormat="1" ht="12.75" customHeight="1" x14ac:dyDescent="0.2"/>
    <row r="4550" s="22" customFormat="1" ht="12.75" customHeight="1" x14ac:dyDescent="0.2"/>
    <row r="4551" s="22" customFormat="1" ht="12.75" customHeight="1" x14ac:dyDescent="0.2"/>
    <row r="4552" s="22" customFormat="1" ht="12.75" customHeight="1" x14ac:dyDescent="0.2"/>
    <row r="4553" s="22" customFormat="1" ht="12.75" customHeight="1" x14ac:dyDescent="0.2"/>
    <row r="4554" s="22" customFormat="1" ht="12.75" customHeight="1" x14ac:dyDescent="0.2"/>
    <row r="4555" s="22" customFormat="1" ht="12.75" customHeight="1" x14ac:dyDescent="0.2"/>
    <row r="4556" s="22" customFormat="1" ht="12.75" customHeight="1" x14ac:dyDescent="0.2"/>
    <row r="4557" s="22" customFormat="1" ht="12.75" customHeight="1" x14ac:dyDescent="0.2"/>
    <row r="4558" s="22" customFormat="1" ht="12.75" customHeight="1" x14ac:dyDescent="0.2"/>
    <row r="4559" s="22" customFormat="1" ht="12.75" customHeight="1" x14ac:dyDescent="0.2"/>
    <row r="4560" s="22" customFormat="1" ht="12.75" customHeight="1" x14ac:dyDescent="0.2"/>
    <row r="4561" s="22" customFormat="1" ht="12.75" customHeight="1" x14ac:dyDescent="0.2"/>
    <row r="4562" s="22" customFormat="1" ht="12.75" customHeight="1" x14ac:dyDescent="0.2"/>
    <row r="4563" s="22" customFormat="1" ht="12.75" customHeight="1" x14ac:dyDescent="0.2"/>
    <row r="4564" s="22" customFormat="1" ht="12.75" customHeight="1" x14ac:dyDescent="0.2"/>
    <row r="4565" s="22" customFormat="1" ht="12.75" customHeight="1" x14ac:dyDescent="0.2"/>
    <row r="4566" s="22" customFormat="1" ht="12.75" customHeight="1" x14ac:dyDescent="0.2"/>
    <row r="4567" s="22" customFormat="1" ht="12.75" customHeight="1" x14ac:dyDescent="0.2"/>
    <row r="4568" s="22" customFormat="1" ht="12.75" customHeight="1" x14ac:dyDescent="0.2"/>
    <row r="4569" s="22" customFormat="1" ht="12.75" customHeight="1" x14ac:dyDescent="0.2"/>
    <row r="4570" s="22" customFormat="1" ht="12.75" customHeight="1" x14ac:dyDescent="0.2"/>
    <row r="4571" s="22" customFormat="1" ht="12.75" customHeight="1" x14ac:dyDescent="0.2"/>
    <row r="4572" s="22" customFormat="1" ht="12.75" customHeight="1" x14ac:dyDescent="0.2"/>
    <row r="4573" s="22" customFormat="1" ht="12.75" customHeight="1" x14ac:dyDescent="0.2"/>
    <row r="4574" s="22" customFormat="1" ht="12.75" customHeight="1" x14ac:dyDescent="0.2"/>
    <row r="4575" s="22" customFormat="1" ht="12.75" customHeight="1" x14ac:dyDescent="0.2"/>
    <row r="4576" s="22" customFormat="1" ht="12.75" customHeight="1" x14ac:dyDescent="0.2"/>
    <row r="4577" s="22" customFormat="1" ht="12.75" customHeight="1" x14ac:dyDescent="0.2"/>
    <row r="4578" s="22" customFormat="1" ht="12.75" customHeight="1" x14ac:dyDescent="0.2"/>
    <row r="4579" s="22" customFormat="1" ht="12.75" customHeight="1" x14ac:dyDescent="0.2"/>
    <row r="4580" s="22" customFormat="1" ht="12.75" customHeight="1" x14ac:dyDescent="0.2"/>
    <row r="4581" s="22" customFormat="1" ht="12.75" customHeight="1" x14ac:dyDescent="0.2"/>
    <row r="4582" s="22" customFormat="1" ht="12.75" customHeight="1" x14ac:dyDescent="0.2"/>
    <row r="4583" s="22" customFormat="1" ht="12.75" customHeight="1" x14ac:dyDescent="0.2"/>
    <row r="4584" s="22" customFormat="1" ht="12.75" customHeight="1" x14ac:dyDescent="0.2"/>
    <row r="4585" s="22" customFormat="1" ht="12.75" customHeight="1" x14ac:dyDescent="0.2"/>
    <row r="4586" s="22" customFormat="1" ht="12.75" customHeight="1" x14ac:dyDescent="0.2"/>
    <row r="4587" s="22" customFormat="1" ht="12.75" customHeight="1" x14ac:dyDescent="0.2"/>
    <row r="4588" s="22" customFormat="1" ht="12.75" customHeight="1" x14ac:dyDescent="0.2"/>
    <row r="4589" s="22" customFormat="1" ht="12.75" customHeight="1" x14ac:dyDescent="0.2"/>
    <row r="4590" s="22" customFormat="1" ht="12.75" customHeight="1" x14ac:dyDescent="0.2"/>
    <row r="4591" s="22" customFormat="1" ht="12.75" customHeight="1" x14ac:dyDescent="0.2"/>
    <row r="4592" s="22" customFormat="1" ht="12.75" customHeight="1" x14ac:dyDescent="0.2"/>
    <row r="4593" s="22" customFormat="1" ht="12.75" customHeight="1" x14ac:dyDescent="0.2"/>
    <row r="4594" s="22" customFormat="1" ht="12.75" customHeight="1" x14ac:dyDescent="0.2"/>
    <row r="4595" s="22" customFormat="1" ht="12.75" customHeight="1" x14ac:dyDescent="0.2"/>
    <row r="4596" s="22" customFormat="1" ht="12.75" customHeight="1" x14ac:dyDescent="0.2"/>
    <row r="4597" s="22" customFormat="1" ht="12.75" customHeight="1" x14ac:dyDescent="0.2"/>
    <row r="4598" s="22" customFormat="1" ht="12.75" customHeight="1" x14ac:dyDescent="0.2"/>
    <row r="4599" s="22" customFormat="1" ht="12.75" customHeight="1" x14ac:dyDescent="0.2"/>
    <row r="4600" s="22" customFormat="1" ht="12.75" customHeight="1" x14ac:dyDescent="0.2"/>
    <row r="4601" s="22" customFormat="1" ht="12.75" customHeight="1" x14ac:dyDescent="0.2"/>
    <row r="4602" s="22" customFormat="1" ht="12.75" customHeight="1" x14ac:dyDescent="0.2"/>
    <row r="4603" s="22" customFormat="1" ht="12.75" customHeight="1" x14ac:dyDescent="0.2"/>
    <row r="4604" s="22" customFormat="1" ht="12.75" customHeight="1" x14ac:dyDescent="0.2"/>
    <row r="4605" s="22" customFormat="1" ht="12.75" customHeight="1" x14ac:dyDescent="0.2"/>
    <row r="4606" s="22" customFormat="1" ht="12.75" customHeight="1" x14ac:dyDescent="0.2"/>
    <row r="4607" s="22" customFormat="1" ht="12.75" customHeight="1" x14ac:dyDescent="0.2"/>
    <row r="4608" s="22" customFormat="1" ht="12.75" customHeight="1" x14ac:dyDescent="0.2"/>
    <row r="4609" s="22" customFormat="1" ht="12.75" customHeight="1" x14ac:dyDescent="0.2"/>
    <row r="4610" s="22" customFormat="1" ht="12.75" customHeight="1" x14ac:dyDescent="0.2"/>
    <row r="4611" s="22" customFormat="1" ht="12.75" customHeight="1" x14ac:dyDescent="0.2"/>
    <row r="4612" s="22" customFormat="1" ht="12.75" customHeight="1" x14ac:dyDescent="0.2"/>
    <row r="4613" s="22" customFormat="1" ht="12.75" customHeight="1" x14ac:dyDescent="0.2"/>
    <row r="4614" s="22" customFormat="1" ht="12.75" customHeight="1" x14ac:dyDescent="0.2"/>
    <row r="4615" s="22" customFormat="1" ht="12.75" customHeight="1" x14ac:dyDescent="0.2"/>
    <row r="4616" s="22" customFormat="1" ht="12.75" customHeight="1" x14ac:dyDescent="0.2"/>
    <row r="4617" s="22" customFormat="1" ht="12.75" customHeight="1" x14ac:dyDescent="0.2"/>
    <row r="4618" s="22" customFormat="1" ht="12.75" customHeight="1" x14ac:dyDescent="0.2"/>
    <row r="4619" s="22" customFormat="1" ht="12.75" customHeight="1" x14ac:dyDescent="0.2"/>
    <row r="4620" s="22" customFormat="1" ht="12.75" customHeight="1" x14ac:dyDescent="0.2"/>
    <row r="4621" s="22" customFormat="1" ht="12.75" customHeight="1" x14ac:dyDescent="0.2"/>
    <row r="4622" s="22" customFormat="1" ht="12.75" customHeight="1" x14ac:dyDescent="0.2"/>
    <row r="4623" s="22" customFormat="1" ht="12.75" customHeight="1" x14ac:dyDescent="0.2"/>
    <row r="4624" s="22" customFormat="1" ht="12.75" customHeight="1" x14ac:dyDescent="0.2"/>
    <row r="4625" s="22" customFormat="1" ht="12.75" customHeight="1" x14ac:dyDescent="0.2"/>
    <row r="4626" s="22" customFormat="1" ht="12.75" customHeight="1" x14ac:dyDescent="0.2"/>
    <row r="4627" s="22" customFormat="1" ht="12.75" customHeight="1" x14ac:dyDescent="0.2"/>
    <row r="4628" s="22" customFormat="1" ht="12.75" customHeight="1" x14ac:dyDescent="0.2"/>
    <row r="4629" s="22" customFormat="1" ht="12.75" customHeight="1" x14ac:dyDescent="0.2"/>
    <row r="4630" s="22" customFormat="1" ht="12.75" customHeight="1" x14ac:dyDescent="0.2"/>
    <row r="4631" s="22" customFormat="1" ht="12.75" customHeight="1" x14ac:dyDescent="0.2"/>
    <row r="4632" s="22" customFormat="1" ht="12.75" customHeight="1" x14ac:dyDescent="0.2"/>
    <row r="4633" s="22" customFormat="1" ht="12.75" customHeight="1" x14ac:dyDescent="0.2"/>
    <row r="4634" s="22" customFormat="1" ht="12.75" customHeight="1" x14ac:dyDescent="0.2"/>
    <row r="4635" s="22" customFormat="1" ht="12.75" customHeight="1" x14ac:dyDescent="0.2"/>
    <row r="4636" s="22" customFormat="1" ht="12.75" customHeight="1" x14ac:dyDescent="0.2"/>
    <row r="4637" s="22" customFormat="1" ht="12.75" customHeight="1" x14ac:dyDescent="0.2"/>
    <row r="4638" s="22" customFormat="1" ht="12.75" customHeight="1" x14ac:dyDescent="0.2"/>
    <row r="4639" s="22" customFormat="1" ht="12.75" customHeight="1" x14ac:dyDescent="0.2"/>
    <row r="4640" s="22" customFormat="1" ht="12.75" customHeight="1" x14ac:dyDescent="0.2"/>
    <row r="4641" s="22" customFormat="1" ht="12.75" customHeight="1" x14ac:dyDescent="0.2"/>
    <row r="4642" s="22" customFormat="1" ht="12.75" customHeight="1" x14ac:dyDescent="0.2"/>
    <row r="4643" s="22" customFormat="1" ht="12.75" customHeight="1" x14ac:dyDescent="0.2"/>
    <row r="4644" s="22" customFormat="1" ht="12.75" customHeight="1" x14ac:dyDescent="0.2"/>
    <row r="4645" s="22" customFormat="1" ht="12.75" customHeight="1" x14ac:dyDescent="0.2"/>
    <row r="4646" s="22" customFormat="1" ht="12.75" customHeight="1" x14ac:dyDescent="0.2"/>
    <row r="4647" s="22" customFormat="1" ht="12.75" customHeight="1" x14ac:dyDescent="0.2"/>
    <row r="4648" s="22" customFormat="1" ht="12.75" customHeight="1" x14ac:dyDescent="0.2"/>
    <row r="4649" s="22" customFormat="1" ht="12.75" customHeight="1" x14ac:dyDescent="0.2"/>
    <row r="4650" s="22" customFormat="1" ht="12.75" customHeight="1" x14ac:dyDescent="0.2"/>
    <row r="4651" s="22" customFormat="1" ht="12.75" customHeight="1" x14ac:dyDescent="0.2"/>
    <row r="4652" s="22" customFormat="1" ht="12.75" customHeight="1" x14ac:dyDescent="0.2"/>
    <row r="4653" s="22" customFormat="1" ht="12.75" customHeight="1" x14ac:dyDescent="0.2"/>
    <row r="4654" s="22" customFormat="1" ht="12.75" customHeight="1" x14ac:dyDescent="0.2"/>
    <row r="4655" s="22" customFormat="1" ht="12.75" customHeight="1" x14ac:dyDescent="0.2"/>
    <row r="4656" s="22" customFormat="1" ht="12.75" customHeight="1" x14ac:dyDescent="0.2"/>
    <row r="4657" s="22" customFormat="1" ht="12.75" customHeight="1" x14ac:dyDescent="0.2"/>
    <row r="4658" s="22" customFormat="1" ht="12.75" customHeight="1" x14ac:dyDescent="0.2"/>
    <row r="4659" s="22" customFormat="1" ht="12.75" customHeight="1" x14ac:dyDescent="0.2"/>
    <row r="4660" s="22" customFormat="1" ht="12.75" customHeight="1" x14ac:dyDescent="0.2"/>
    <row r="4661" s="22" customFormat="1" ht="12.75" customHeight="1" x14ac:dyDescent="0.2"/>
    <row r="4662" s="22" customFormat="1" ht="12.75" customHeight="1" x14ac:dyDescent="0.2"/>
    <row r="4663" s="22" customFormat="1" ht="12.75" customHeight="1" x14ac:dyDescent="0.2"/>
    <row r="4664" s="22" customFormat="1" ht="12.75" customHeight="1" x14ac:dyDescent="0.2"/>
    <row r="4665" s="22" customFormat="1" ht="12.75" customHeight="1" x14ac:dyDescent="0.2"/>
    <row r="4666" s="22" customFormat="1" ht="12.75" customHeight="1" x14ac:dyDescent="0.2"/>
    <row r="4667" s="22" customFormat="1" ht="12.75" customHeight="1" x14ac:dyDescent="0.2"/>
    <row r="4668" s="22" customFormat="1" ht="12.75" customHeight="1" x14ac:dyDescent="0.2"/>
    <row r="4669" s="22" customFormat="1" ht="12.75" customHeight="1" x14ac:dyDescent="0.2"/>
    <row r="4670" s="22" customFormat="1" ht="12.75" customHeight="1" x14ac:dyDescent="0.2"/>
    <row r="4671" s="22" customFormat="1" ht="12.75" customHeight="1" x14ac:dyDescent="0.2"/>
    <row r="4672" s="22" customFormat="1" ht="12.75" customHeight="1" x14ac:dyDescent="0.2"/>
    <row r="4673" s="22" customFormat="1" ht="12.75" customHeight="1" x14ac:dyDescent="0.2"/>
    <row r="4674" s="22" customFormat="1" ht="12.75" customHeight="1" x14ac:dyDescent="0.2"/>
    <row r="4675" s="22" customFormat="1" ht="12.75" customHeight="1" x14ac:dyDescent="0.2"/>
    <row r="4676" s="22" customFormat="1" ht="12.75" customHeight="1" x14ac:dyDescent="0.2"/>
    <row r="4677" s="22" customFormat="1" ht="12.75" customHeight="1" x14ac:dyDescent="0.2"/>
    <row r="4678" s="22" customFormat="1" ht="12.75" customHeight="1" x14ac:dyDescent="0.2"/>
    <row r="4679" s="22" customFormat="1" ht="12.75" customHeight="1" x14ac:dyDescent="0.2"/>
    <row r="4680" s="22" customFormat="1" ht="12.75" customHeight="1" x14ac:dyDescent="0.2"/>
    <row r="4681" s="22" customFormat="1" ht="12.75" customHeight="1" x14ac:dyDescent="0.2"/>
    <row r="4682" s="22" customFormat="1" ht="12.75" customHeight="1" x14ac:dyDescent="0.2"/>
    <row r="4683" s="22" customFormat="1" ht="12.75" customHeight="1" x14ac:dyDescent="0.2"/>
    <row r="4684" s="22" customFormat="1" ht="12.75" customHeight="1" x14ac:dyDescent="0.2"/>
    <row r="4685" s="22" customFormat="1" ht="12.75" customHeight="1" x14ac:dyDescent="0.2"/>
    <row r="4686" s="22" customFormat="1" ht="12.75" customHeight="1" x14ac:dyDescent="0.2"/>
    <row r="4687" s="22" customFormat="1" ht="12.75" customHeight="1" x14ac:dyDescent="0.2"/>
    <row r="4688" s="22" customFormat="1" ht="12.75" customHeight="1" x14ac:dyDescent="0.2"/>
    <row r="4689" s="22" customFormat="1" ht="12.75" customHeight="1" x14ac:dyDescent="0.2"/>
    <row r="4690" s="22" customFormat="1" ht="12.75" customHeight="1" x14ac:dyDescent="0.2"/>
    <row r="4691" s="22" customFormat="1" ht="12.75" customHeight="1" x14ac:dyDescent="0.2"/>
    <row r="4692" s="22" customFormat="1" ht="12.75" customHeight="1" x14ac:dyDescent="0.2"/>
    <row r="4693" s="22" customFormat="1" ht="12.75" customHeight="1" x14ac:dyDescent="0.2"/>
    <row r="4694" s="22" customFormat="1" ht="12.75" customHeight="1" x14ac:dyDescent="0.2"/>
    <row r="4695" s="22" customFormat="1" ht="12.75" customHeight="1" x14ac:dyDescent="0.2"/>
    <row r="4696" s="22" customFormat="1" ht="12.75" customHeight="1" x14ac:dyDescent="0.2"/>
    <row r="4697" s="22" customFormat="1" ht="12.75" customHeight="1" x14ac:dyDescent="0.2"/>
    <row r="4698" s="22" customFormat="1" ht="12.75" customHeight="1" x14ac:dyDescent="0.2"/>
    <row r="4699" s="22" customFormat="1" ht="12.75" customHeight="1" x14ac:dyDescent="0.2"/>
    <row r="4700" s="22" customFormat="1" ht="12.75" customHeight="1" x14ac:dyDescent="0.2"/>
    <row r="4701" s="22" customFormat="1" ht="12.75" customHeight="1" x14ac:dyDescent="0.2"/>
    <row r="4702" s="22" customFormat="1" ht="12.75" customHeight="1" x14ac:dyDescent="0.2"/>
    <row r="4703" s="22" customFormat="1" ht="12.75" customHeight="1" x14ac:dyDescent="0.2"/>
    <row r="4704" s="22" customFormat="1" ht="12.75" customHeight="1" x14ac:dyDescent="0.2"/>
    <row r="4705" s="22" customFormat="1" ht="12.75" customHeight="1" x14ac:dyDescent="0.2"/>
    <row r="4706" s="22" customFormat="1" ht="12.75" customHeight="1" x14ac:dyDescent="0.2"/>
    <row r="4707" s="22" customFormat="1" ht="12.75" customHeight="1" x14ac:dyDescent="0.2"/>
    <row r="4708" s="22" customFormat="1" ht="12.75" customHeight="1" x14ac:dyDescent="0.2"/>
    <row r="4709" s="22" customFormat="1" ht="12.75" customHeight="1" x14ac:dyDescent="0.2"/>
    <row r="4710" s="22" customFormat="1" ht="12.75" customHeight="1" x14ac:dyDescent="0.2"/>
    <row r="4711" s="22" customFormat="1" ht="12.75" customHeight="1" x14ac:dyDescent="0.2"/>
    <row r="4712" s="22" customFormat="1" ht="12.75" customHeight="1" x14ac:dyDescent="0.2"/>
    <row r="4713" s="22" customFormat="1" ht="12.75" customHeight="1" x14ac:dyDescent="0.2"/>
    <row r="4714" s="22" customFormat="1" ht="12.75" customHeight="1" x14ac:dyDescent="0.2"/>
    <row r="4715" s="22" customFormat="1" ht="12.75" customHeight="1" x14ac:dyDescent="0.2"/>
    <row r="4716" s="22" customFormat="1" ht="12.75" customHeight="1" x14ac:dyDescent="0.2"/>
    <row r="4717" s="22" customFormat="1" ht="12.75" customHeight="1" x14ac:dyDescent="0.2"/>
    <row r="4718" s="22" customFormat="1" ht="12.75" customHeight="1" x14ac:dyDescent="0.2"/>
    <row r="4719" s="22" customFormat="1" ht="12.75" customHeight="1" x14ac:dyDescent="0.2"/>
    <row r="4720" s="22" customFormat="1" ht="12.75" customHeight="1" x14ac:dyDescent="0.2"/>
    <row r="4721" s="22" customFormat="1" ht="12.75" customHeight="1" x14ac:dyDescent="0.2"/>
    <row r="4722" s="22" customFormat="1" ht="12.75" customHeight="1" x14ac:dyDescent="0.2"/>
    <row r="4723" s="22" customFormat="1" ht="12.75" customHeight="1" x14ac:dyDescent="0.2"/>
    <row r="4724" s="22" customFormat="1" ht="12.75" customHeight="1" x14ac:dyDescent="0.2"/>
    <row r="4725" s="22" customFormat="1" ht="12.75" customHeight="1" x14ac:dyDescent="0.2"/>
    <row r="4726" s="22" customFormat="1" ht="12.75" customHeight="1" x14ac:dyDescent="0.2"/>
    <row r="4727" s="22" customFormat="1" ht="12.75" customHeight="1" x14ac:dyDescent="0.2"/>
    <row r="4728" s="22" customFormat="1" ht="12.75" customHeight="1" x14ac:dyDescent="0.2"/>
    <row r="4729" s="22" customFormat="1" ht="12.75" customHeight="1" x14ac:dyDescent="0.2"/>
    <row r="4730" s="22" customFormat="1" ht="12.75" customHeight="1" x14ac:dyDescent="0.2"/>
    <row r="4731" s="22" customFormat="1" ht="12.75" customHeight="1" x14ac:dyDescent="0.2"/>
    <row r="4732" s="22" customFormat="1" ht="12.75" customHeight="1" x14ac:dyDescent="0.2"/>
    <row r="4733" s="22" customFormat="1" ht="12.75" customHeight="1" x14ac:dyDescent="0.2"/>
    <row r="4734" s="22" customFormat="1" ht="12.75" customHeight="1" x14ac:dyDescent="0.2"/>
    <row r="4735" s="22" customFormat="1" ht="12.75" customHeight="1" x14ac:dyDescent="0.2"/>
    <row r="4736" s="22" customFormat="1" ht="12.75" customHeight="1" x14ac:dyDescent="0.2"/>
    <row r="4737" s="22" customFormat="1" ht="12.75" customHeight="1" x14ac:dyDescent="0.2"/>
    <row r="4738" s="22" customFormat="1" ht="12.75" customHeight="1" x14ac:dyDescent="0.2"/>
    <row r="4739" s="22" customFormat="1" ht="12.75" customHeight="1" x14ac:dyDescent="0.2"/>
    <row r="4740" s="22" customFormat="1" ht="12.75" customHeight="1" x14ac:dyDescent="0.2"/>
    <row r="4741" s="22" customFormat="1" ht="12.75" customHeight="1" x14ac:dyDescent="0.2"/>
    <row r="4742" s="22" customFormat="1" ht="12.75" customHeight="1" x14ac:dyDescent="0.2"/>
    <row r="4743" s="22" customFormat="1" ht="12.75" customHeight="1" x14ac:dyDescent="0.2"/>
    <row r="4744" s="22" customFormat="1" ht="12.75" customHeight="1" x14ac:dyDescent="0.2"/>
    <row r="4745" s="22" customFormat="1" ht="12.75" customHeight="1" x14ac:dyDescent="0.2"/>
    <row r="4746" s="22" customFormat="1" ht="12.75" customHeight="1" x14ac:dyDescent="0.2"/>
    <row r="4747" s="22" customFormat="1" ht="12.75" customHeight="1" x14ac:dyDescent="0.2"/>
    <row r="4748" s="22" customFormat="1" ht="12.75" customHeight="1" x14ac:dyDescent="0.2"/>
    <row r="4749" s="22" customFormat="1" ht="12.75" customHeight="1" x14ac:dyDescent="0.2"/>
    <row r="4750" s="22" customFormat="1" ht="12.75" customHeight="1" x14ac:dyDescent="0.2"/>
    <row r="4751" s="22" customFormat="1" ht="12.75" customHeight="1" x14ac:dyDescent="0.2"/>
    <row r="4752" s="22" customFormat="1" ht="12.75" customHeight="1" x14ac:dyDescent="0.2"/>
    <row r="4753" s="22" customFormat="1" ht="12.75" customHeight="1" x14ac:dyDescent="0.2"/>
    <row r="4754" s="22" customFormat="1" ht="12.75" customHeight="1" x14ac:dyDescent="0.2"/>
    <row r="4755" s="22" customFormat="1" ht="12.75" customHeight="1" x14ac:dyDescent="0.2"/>
    <row r="4756" s="22" customFormat="1" ht="12.75" customHeight="1" x14ac:dyDescent="0.2"/>
    <row r="4757" s="22" customFormat="1" ht="12.75" customHeight="1" x14ac:dyDescent="0.2"/>
    <row r="4758" s="22" customFormat="1" ht="12.75" customHeight="1" x14ac:dyDescent="0.2"/>
    <row r="4759" s="22" customFormat="1" ht="12.75" customHeight="1" x14ac:dyDescent="0.2"/>
    <row r="4760" s="22" customFormat="1" ht="12.75" customHeight="1" x14ac:dyDescent="0.2"/>
    <row r="4761" s="22" customFormat="1" ht="12.75" customHeight="1" x14ac:dyDescent="0.2"/>
    <row r="4762" s="22" customFormat="1" ht="12.75" customHeight="1" x14ac:dyDescent="0.2"/>
    <row r="4763" s="22" customFormat="1" ht="12.75" customHeight="1" x14ac:dyDescent="0.2"/>
    <row r="4764" s="22" customFormat="1" ht="12.75" customHeight="1" x14ac:dyDescent="0.2"/>
    <row r="4765" s="22" customFormat="1" ht="12.75" customHeight="1" x14ac:dyDescent="0.2"/>
    <row r="4766" s="22" customFormat="1" ht="12.75" customHeight="1" x14ac:dyDescent="0.2"/>
    <row r="4767" s="22" customFormat="1" ht="12.75" customHeight="1" x14ac:dyDescent="0.2"/>
    <row r="4768" s="22" customFormat="1" ht="12.75" customHeight="1" x14ac:dyDescent="0.2"/>
    <row r="4769" s="22" customFormat="1" ht="12.75" customHeight="1" x14ac:dyDescent="0.2"/>
    <row r="4770" s="22" customFormat="1" ht="12.75" customHeight="1" x14ac:dyDescent="0.2"/>
    <row r="4771" s="22" customFormat="1" ht="12.75" customHeight="1" x14ac:dyDescent="0.2"/>
    <row r="4772" s="22" customFormat="1" ht="12.75" customHeight="1" x14ac:dyDescent="0.2"/>
    <row r="4773" s="22" customFormat="1" ht="12.75" customHeight="1" x14ac:dyDescent="0.2"/>
    <row r="4774" s="22" customFormat="1" ht="12.75" customHeight="1" x14ac:dyDescent="0.2"/>
    <row r="4775" s="22" customFormat="1" ht="12.75" customHeight="1" x14ac:dyDescent="0.2"/>
    <row r="4776" s="22" customFormat="1" ht="12.75" customHeight="1" x14ac:dyDescent="0.2"/>
    <row r="4777" s="22" customFormat="1" ht="12.75" customHeight="1" x14ac:dyDescent="0.2"/>
    <row r="4778" s="22" customFormat="1" ht="12.75" customHeight="1" x14ac:dyDescent="0.2"/>
    <row r="4779" s="22" customFormat="1" ht="12.75" customHeight="1" x14ac:dyDescent="0.2"/>
    <row r="4780" s="22" customFormat="1" ht="12.75" customHeight="1" x14ac:dyDescent="0.2"/>
    <row r="4781" s="22" customFormat="1" ht="12.75" customHeight="1" x14ac:dyDescent="0.2"/>
    <row r="4782" s="22" customFormat="1" ht="12.75" customHeight="1" x14ac:dyDescent="0.2"/>
    <row r="4783" s="22" customFormat="1" ht="12.75" customHeight="1" x14ac:dyDescent="0.2"/>
    <row r="4784" s="22" customFormat="1" ht="12.75" customHeight="1" x14ac:dyDescent="0.2"/>
    <row r="4785" s="22" customFormat="1" ht="12.75" customHeight="1" x14ac:dyDescent="0.2"/>
    <row r="4786" s="22" customFormat="1" ht="12.75" customHeight="1" x14ac:dyDescent="0.2"/>
    <row r="4787" s="22" customFormat="1" ht="12.75" customHeight="1" x14ac:dyDescent="0.2"/>
    <row r="4788" s="22" customFormat="1" ht="12.75" customHeight="1" x14ac:dyDescent="0.2"/>
    <row r="4789" s="22" customFormat="1" ht="12.75" customHeight="1" x14ac:dyDescent="0.2"/>
    <row r="4790" s="22" customFormat="1" ht="12.75" customHeight="1" x14ac:dyDescent="0.2"/>
    <row r="4791" s="22" customFormat="1" ht="12.75" customHeight="1" x14ac:dyDescent="0.2"/>
    <row r="4792" s="22" customFormat="1" ht="12.75" customHeight="1" x14ac:dyDescent="0.2"/>
    <row r="4793" s="22" customFormat="1" ht="12.75" customHeight="1" x14ac:dyDescent="0.2"/>
    <row r="4794" s="22" customFormat="1" ht="12.75" customHeight="1" x14ac:dyDescent="0.2"/>
    <row r="4795" s="22" customFormat="1" ht="12.75" customHeight="1" x14ac:dyDescent="0.2"/>
    <row r="4796" s="22" customFormat="1" ht="12.75" customHeight="1" x14ac:dyDescent="0.2"/>
    <row r="4797" s="22" customFormat="1" ht="12.75" customHeight="1" x14ac:dyDescent="0.2"/>
    <row r="4798" s="22" customFormat="1" ht="12.75" customHeight="1" x14ac:dyDescent="0.2"/>
    <row r="4799" s="22" customFormat="1" ht="12.75" customHeight="1" x14ac:dyDescent="0.2"/>
    <row r="4800" s="22" customFormat="1" ht="12.75" customHeight="1" x14ac:dyDescent="0.2"/>
    <row r="4801" s="22" customFormat="1" ht="12.75" customHeight="1" x14ac:dyDescent="0.2"/>
    <row r="4802" s="22" customFormat="1" ht="12.75" customHeight="1" x14ac:dyDescent="0.2"/>
    <row r="4803" s="22" customFormat="1" ht="12.75" customHeight="1" x14ac:dyDescent="0.2"/>
    <row r="4804" s="22" customFormat="1" ht="12.75" customHeight="1" x14ac:dyDescent="0.2"/>
    <row r="4805" s="22" customFormat="1" ht="12.75" customHeight="1" x14ac:dyDescent="0.2"/>
    <row r="4806" s="22" customFormat="1" ht="12.75" customHeight="1" x14ac:dyDescent="0.2"/>
    <row r="4807" s="22" customFormat="1" ht="12.75" customHeight="1" x14ac:dyDescent="0.2"/>
    <row r="4808" s="22" customFormat="1" ht="12.75" customHeight="1" x14ac:dyDescent="0.2"/>
    <row r="4809" s="22" customFormat="1" ht="12.75" customHeight="1" x14ac:dyDescent="0.2"/>
    <row r="4810" s="22" customFormat="1" ht="12.75" customHeight="1" x14ac:dyDescent="0.2"/>
    <row r="4811" s="22" customFormat="1" ht="12.75" customHeight="1" x14ac:dyDescent="0.2"/>
    <row r="4812" s="22" customFormat="1" ht="12.75" customHeight="1" x14ac:dyDescent="0.2"/>
    <row r="4813" s="22" customFormat="1" ht="12.75" customHeight="1" x14ac:dyDescent="0.2"/>
    <row r="4814" s="22" customFormat="1" ht="12.75" customHeight="1" x14ac:dyDescent="0.2"/>
    <row r="4815" s="22" customFormat="1" ht="12.75" customHeight="1" x14ac:dyDescent="0.2"/>
    <row r="4816" s="22" customFormat="1" ht="12.75" customHeight="1" x14ac:dyDescent="0.2"/>
    <row r="4817" s="22" customFormat="1" ht="12.75" customHeight="1" x14ac:dyDescent="0.2"/>
    <row r="4818" s="22" customFormat="1" ht="12.75" customHeight="1" x14ac:dyDescent="0.2"/>
    <row r="4819" s="22" customFormat="1" ht="12.75" customHeight="1" x14ac:dyDescent="0.2"/>
    <row r="4820" s="22" customFormat="1" ht="12.75" customHeight="1" x14ac:dyDescent="0.2"/>
    <row r="4821" s="22" customFormat="1" ht="12.75" customHeight="1" x14ac:dyDescent="0.2"/>
    <row r="4822" s="22" customFormat="1" ht="12.75" customHeight="1" x14ac:dyDescent="0.2"/>
    <row r="4823" s="22" customFormat="1" ht="12.75" customHeight="1" x14ac:dyDescent="0.2"/>
    <row r="4824" s="22" customFormat="1" ht="12.75" customHeight="1" x14ac:dyDescent="0.2"/>
    <row r="4825" s="22" customFormat="1" ht="12.75" customHeight="1" x14ac:dyDescent="0.2"/>
    <row r="4826" s="22" customFormat="1" ht="12.75" customHeight="1" x14ac:dyDescent="0.2"/>
    <row r="4827" s="22" customFormat="1" ht="12.75" customHeight="1" x14ac:dyDescent="0.2"/>
    <row r="4828" s="22" customFormat="1" ht="12.75" customHeight="1" x14ac:dyDescent="0.2"/>
    <row r="4829" s="22" customFormat="1" ht="12.75" customHeight="1" x14ac:dyDescent="0.2"/>
    <row r="4830" s="22" customFormat="1" ht="12.75" customHeight="1" x14ac:dyDescent="0.2"/>
    <row r="4831" s="22" customFormat="1" ht="12.75" customHeight="1" x14ac:dyDescent="0.2"/>
    <row r="4832" s="22" customFormat="1" ht="12.75" customHeight="1" x14ac:dyDescent="0.2"/>
    <row r="4833" s="22" customFormat="1" ht="12.75" customHeight="1" x14ac:dyDescent="0.2"/>
    <row r="4834" s="22" customFormat="1" ht="12.75" customHeight="1" x14ac:dyDescent="0.2"/>
    <row r="4835" s="22" customFormat="1" ht="12.75" customHeight="1" x14ac:dyDescent="0.2"/>
    <row r="4836" s="22" customFormat="1" ht="12.75" customHeight="1" x14ac:dyDescent="0.2"/>
    <row r="4837" s="22" customFormat="1" ht="12.75" customHeight="1" x14ac:dyDescent="0.2"/>
    <row r="4838" s="22" customFormat="1" ht="12.75" customHeight="1" x14ac:dyDescent="0.2"/>
    <row r="4839" s="22" customFormat="1" ht="12.75" customHeight="1" x14ac:dyDescent="0.2"/>
    <row r="4840" s="22" customFormat="1" ht="12.75" customHeight="1" x14ac:dyDescent="0.2"/>
    <row r="4841" s="22" customFormat="1" ht="12.75" customHeight="1" x14ac:dyDescent="0.2"/>
    <row r="4842" s="22" customFormat="1" ht="12.75" customHeight="1" x14ac:dyDescent="0.2"/>
    <row r="4843" s="22" customFormat="1" ht="12.75" customHeight="1" x14ac:dyDescent="0.2"/>
    <row r="4844" s="22" customFormat="1" ht="12.75" customHeight="1" x14ac:dyDescent="0.2"/>
    <row r="4845" s="22" customFormat="1" ht="12.75" customHeight="1" x14ac:dyDescent="0.2"/>
    <row r="4846" s="22" customFormat="1" ht="12.75" customHeight="1" x14ac:dyDescent="0.2"/>
    <row r="4847" s="22" customFormat="1" ht="12.75" customHeight="1" x14ac:dyDescent="0.2"/>
    <row r="4848" s="22" customFormat="1" ht="12.75" customHeight="1" x14ac:dyDescent="0.2"/>
    <row r="4849" s="22" customFormat="1" ht="12.75" customHeight="1" x14ac:dyDescent="0.2"/>
    <row r="4850" s="22" customFormat="1" ht="12.75" customHeight="1" x14ac:dyDescent="0.2"/>
    <row r="4851" s="22" customFormat="1" ht="12.75" customHeight="1" x14ac:dyDescent="0.2"/>
    <row r="4852" s="22" customFormat="1" ht="12.75" customHeight="1" x14ac:dyDescent="0.2"/>
    <row r="4853" s="22" customFormat="1" ht="12.75" customHeight="1" x14ac:dyDescent="0.2"/>
    <row r="4854" s="22" customFormat="1" ht="12.75" customHeight="1" x14ac:dyDescent="0.2"/>
    <row r="4855" s="22" customFormat="1" ht="12.75" customHeight="1" x14ac:dyDescent="0.2"/>
    <row r="4856" s="22" customFormat="1" ht="12.75" customHeight="1" x14ac:dyDescent="0.2"/>
    <row r="4857" s="22" customFormat="1" ht="12.75" customHeight="1" x14ac:dyDescent="0.2"/>
    <row r="4858" s="22" customFormat="1" ht="12.75" customHeight="1" x14ac:dyDescent="0.2"/>
    <row r="4859" s="22" customFormat="1" ht="12.75" customHeight="1" x14ac:dyDescent="0.2"/>
    <row r="4860" s="22" customFormat="1" ht="12.75" customHeight="1" x14ac:dyDescent="0.2"/>
    <row r="4861" s="22" customFormat="1" ht="12.75" customHeight="1" x14ac:dyDescent="0.2"/>
    <row r="4862" s="22" customFormat="1" ht="12.75" customHeight="1" x14ac:dyDescent="0.2"/>
    <row r="4863" s="22" customFormat="1" ht="12.75" customHeight="1" x14ac:dyDescent="0.2"/>
    <row r="4864" s="22" customFormat="1" ht="12.75" customHeight="1" x14ac:dyDescent="0.2"/>
    <row r="4865" s="22" customFormat="1" ht="12.75" customHeight="1" x14ac:dyDescent="0.2"/>
    <row r="4866" s="22" customFormat="1" ht="12.75" customHeight="1" x14ac:dyDescent="0.2"/>
    <row r="4867" s="22" customFormat="1" ht="12.75" customHeight="1" x14ac:dyDescent="0.2"/>
    <row r="4868" s="22" customFormat="1" ht="12.75" customHeight="1" x14ac:dyDescent="0.2"/>
    <row r="4869" s="22" customFormat="1" ht="12.75" customHeight="1" x14ac:dyDescent="0.2"/>
    <row r="4870" s="22" customFormat="1" ht="12.75" customHeight="1" x14ac:dyDescent="0.2"/>
    <row r="4871" s="22" customFormat="1" ht="12.75" customHeight="1" x14ac:dyDescent="0.2"/>
    <row r="4872" s="22" customFormat="1" ht="12.75" customHeight="1" x14ac:dyDescent="0.2"/>
    <row r="4873" s="22" customFormat="1" ht="12.75" customHeight="1" x14ac:dyDescent="0.2"/>
    <row r="4874" s="22" customFormat="1" ht="12.75" customHeight="1" x14ac:dyDescent="0.2"/>
    <row r="4875" s="22" customFormat="1" ht="12.75" customHeight="1" x14ac:dyDescent="0.2"/>
    <row r="4876" s="22" customFormat="1" ht="12.75" customHeight="1" x14ac:dyDescent="0.2"/>
    <row r="4877" s="22" customFormat="1" ht="12.75" customHeight="1" x14ac:dyDescent="0.2"/>
    <row r="4878" s="22" customFormat="1" ht="12.75" customHeight="1" x14ac:dyDescent="0.2"/>
    <row r="4879" s="22" customFormat="1" ht="12.75" customHeight="1" x14ac:dyDescent="0.2"/>
    <row r="4880" s="22" customFormat="1" ht="12.75" customHeight="1" x14ac:dyDescent="0.2"/>
    <row r="4881" s="22" customFormat="1" ht="12.75" customHeight="1" x14ac:dyDescent="0.2"/>
    <row r="4882" s="22" customFormat="1" ht="12.75" customHeight="1" x14ac:dyDescent="0.2"/>
    <row r="4883" s="22" customFormat="1" ht="12.75" customHeight="1" x14ac:dyDescent="0.2"/>
    <row r="4884" s="22" customFormat="1" ht="12.75" customHeight="1" x14ac:dyDescent="0.2"/>
    <row r="4885" s="22" customFormat="1" ht="12.75" customHeight="1" x14ac:dyDescent="0.2"/>
    <row r="4886" s="22" customFormat="1" ht="12.75" customHeight="1" x14ac:dyDescent="0.2"/>
    <row r="4887" s="22" customFormat="1" ht="12.75" customHeight="1" x14ac:dyDescent="0.2"/>
    <row r="4888" s="22" customFormat="1" ht="12.75" customHeight="1" x14ac:dyDescent="0.2"/>
    <row r="4889" s="22" customFormat="1" ht="12.75" customHeight="1" x14ac:dyDescent="0.2"/>
    <row r="4890" s="22" customFormat="1" ht="12.75" customHeight="1" x14ac:dyDescent="0.2"/>
    <row r="4891" s="22" customFormat="1" ht="12.75" customHeight="1" x14ac:dyDescent="0.2"/>
    <row r="4892" s="22" customFormat="1" ht="12.75" customHeight="1" x14ac:dyDescent="0.2"/>
    <row r="4893" s="22" customFormat="1" ht="12.75" customHeight="1" x14ac:dyDescent="0.2"/>
    <row r="4894" s="22" customFormat="1" ht="12.75" customHeight="1" x14ac:dyDescent="0.2"/>
    <row r="4895" s="22" customFormat="1" ht="12.75" customHeight="1" x14ac:dyDescent="0.2"/>
    <row r="4896" s="22" customFormat="1" ht="12.75" customHeight="1" x14ac:dyDescent="0.2"/>
    <row r="4897" s="22" customFormat="1" ht="12.75" customHeight="1" x14ac:dyDescent="0.2"/>
    <row r="4898" s="22" customFormat="1" ht="12.75" customHeight="1" x14ac:dyDescent="0.2"/>
    <row r="4899" s="22" customFormat="1" ht="12.75" customHeight="1" x14ac:dyDescent="0.2"/>
    <row r="4900" s="22" customFormat="1" ht="12.75" customHeight="1" x14ac:dyDescent="0.2"/>
    <row r="4901" s="22" customFormat="1" ht="12.75" customHeight="1" x14ac:dyDescent="0.2"/>
    <row r="4902" s="22" customFormat="1" ht="12.75" customHeight="1" x14ac:dyDescent="0.2"/>
    <row r="4903" s="22" customFormat="1" ht="12.75" customHeight="1" x14ac:dyDescent="0.2"/>
    <row r="4904" s="22" customFormat="1" ht="12.75" customHeight="1" x14ac:dyDescent="0.2"/>
    <row r="4905" s="22" customFormat="1" ht="12.75" customHeight="1" x14ac:dyDescent="0.2"/>
    <row r="4906" s="22" customFormat="1" ht="12.75" customHeight="1" x14ac:dyDescent="0.2"/>
    <row r="4907" s="22" customFormat="1" ht="12.75" customHeight="1" x14ac:dyDescent="0.2"/>
    <row r="4908" s="22" customFormat="1" ht="12.75" customHeight="1" x14ac:dyDescent="0.2"/>
    <row r="4909" s="22" customFormat="1" ht="12.75" customHeight="1" x14ac:dyDescent="0.2"/>
    <row r="4910" s="22" customFormat="1" ht="12.75" customHeight="1" x14ac:dyDescent="0.2"/>
    <row r="4911" s="22" customFormat="1" ht="12.75" customHeight="1" x14ac:dyDescent="0.2"/>
    <row r="4912" s="22" customFormat="1" ht="12.75" customHeight="1" x14ac:dyDescent="0.2"/>
    <row r="4913" s="22" customFormat="1" ht="12.75" customHeight="1" x14ac:dyDescent="0.2"/>
    <row r="4914" s="22" customFormat="1" ht="12.75" customHeight="1" x14ac:dyDescent="0.2"/>
    <row r="4915" s="22" customFormat="1" ht="12.75" customHeight="1" x14ac:dyDescent="0.2"/>
    <row r="4916" s="22" customFormat="1" ht="12.75" customHeight="1" x14ac:dyDescent="0.2"/>
    <row r="4917" s="22" customFormat="1" ht="12.75" customHeight="1" x14ac:dyDescent="0.2"/>
    <row r="4918" s="22" customFormat="1" ht="12.75" customHeight="1" x14ac:dyDescent="0.2"/>
    <row r="4919" s="22" customFormat="1" ht="12.75" customHeight="1" x14ac:dyDescent="0.2"/>
    <row r="4920" s="22" customFormat="1" ht="12.75" customHeight="1" x14ac:dyDescent="0.2"/>
    <row r="4921" s="22" customFormat="1" ht="12.75" customHeight="1" x14ac:dyDescent="0.2"/>
    <row r="4922" s="22" customFormat="1" ht="12.75" customHeight="1" x14ac:dyDescent="0.2"/>
    <row r="4923" s="22" customFormat="1" ht="12.75" customHeight="1" x14ac:dyDescent="0.2"/>
    <row r="4924" s="22" customFormat="1" ht="12.75" customHeight="1" x14ac:dyDescent="0.2"/>
    <row r="4925" s="22" customFormat="1" ht="12.75" customHeight="1" x14ac:dyDescent="0.2"/>
    <row r="4926" s="22" customFormat="1" ht="12.75" customHeight="1" x14ac:dyDescent="0.2"/>
    <row r="4927" s="22" customFormat="1" ht="12.75" customHeight="1" x14ac:dyDescent="0.2"/>
    <row r="4928" s="22" customFormat="1" ht="12.75" customHeight="1" x14ac:dyDescent="0.2"/>
    <row r="4929" s="22" customFormat="1" ht="12.75" customHeight="1" x14ac:dyDescent="0.2"/>
    <row r="4930" s="22" customFormat="1" ht="12.75" customHeight="1" x14ac:dyDescent="0.2"/>
    <row r="4931" s="22" customFormat="1" ht="12.75" customHeight="1" x14ac:dyDescent="0.2"/>
    <row r="4932" s="22" customFormat="1" ht="12.75" customHeight="1" x14ac:dyDescent="0.2"/>
    <row r="4933" s="22" customFormat="1" ht="12.75" customHeight="1" x14ac:dyDescent="0.2"/>
    <row r="4934" s="22" customFormat="1" ht="12.75" customHeight="1" x14ac:dyDescent="0.2"/>
    <row r="4935" s="22" customFormat="1" ht="12.75" customHeight="1" x14ac:dyDescent="0.2"/>
    <row r="4936" s="22" customFormat="1" ht="12.75" customHeight="1" x14ac:dyDescent="0.2"/>
    <row r="4937" s="22" customFormat="1" ht="12.75" customHeight="1" x14ac:dyDescent="0.2"/>
    <row r="4938" s="22" customFormat="1" ht="12.75" customHeight="1" x14ac:dyDescent="0.2"/>
    <row r="4939" s="22" customFormat="1" ht="12.75" customHeight="1" x14ac:dyDescent="0.2"/>
    <row r="4940" s="22" customFormat="1" ht="12.75" customHeight="1" x14ac:dyDescent="0.2"/>
    <row r="4941" s="22" customFormat="1" ht="12.75" customHeight="1" x14ac:dyDescent="0.2"/>
    <row r="4942" s="22" customFormat="1" ht="12.75" customHeight="1" x14ac:dyDescent="0.2"/>
    <row r="4943" s="22" customFormat="1" ht="12.75" customHeight="1" x14ac:dyDescent="0.2"/>
    <row r="4944" s="22" customFormat="1" ht="12.75" customHeight="1" x14ac:dyDescent="0.2"/>
    <row r="4945" s="22" customFormat="1" ht="12.75" customHeight="1" x14ac:dyDescent="0.2"/>
    <row r="4946" s="22" customFormat="1" ht="12.75" customHeight="1" x14ac:dyDescent="0.2"/>
    <row r="4947" s="22" customFormat="1" ht="12.75" customHeight="1" x14ac:dyDescent="0.2"/>
    <row r="4948" s="22" customFormat="1" ht="12.75" customHeight="1" x14ac:dyDescent="0.2"/>
    <row r="4949" s="22" customFormat="1" ht="12.75" customHeight="1" x14ac:dyDescent="0.2"/>
    <row r="4950" s="22" customFormat="1" ht="12.75" customHeight="1" x14ac:dyDescent="0.2"/>
    <row r="4951" s="22" customFormat="1" ht="12.75" customHeight="1" x14ac:dyDescent="0.2"/>
    <row r="4952" s="22" customFormat="1" ht="12.75" customHeight="1" x14ac:dyDescent="0.2"/>
    <row r="4953" s="22" customFormat="1" ht="12.75" customHeight="1" x14ac:dyDescent="0.2"/>
    <row r="4954" s="22" customFormat="1" ht="12.75" customHeight="1" x14ac:dyDescent="0.2"/>
    <row r="4955" s="22" customFormat="1" ht="12.75" customHeight="1" x14ac:dyDescent="0.2"/>
    <row r="4956" s="22" customFormat="1" ht="12.75" customHeight="1" x14ac:dyDescent="0.2"/>
    <row r="4957" s="22" customFormat="1" ht="12.75" customHeight="1" x14ac:dyDescent="0.2"/>
    <row r="4958" s="22" customFormat="1" ht="12.75" customHeight="1" x14ac:dyDescent="0.2"/>
    <row r="4959" s="22" customFormat="1" ht="12.75" customHeight="1" x14ac:dyDescent="0.2"/>
    <row r="4960" s="22" customFormat="1" ht="12.75" customHeight="1" x14ac:dyDescent="0.2"/>
    <row r="4961" s="22" customFormat="1" ht="12.75" customHeight="1" x14ac:dyDescent="0.2"/>
    <row r="4962" s="22" customFormat="1" ht="12.75" customHeight="1" x14ac:dyDescent="0.2"/>
    <row r="4963" s="22" customFormat="1" ht="12.75" customHeight="1" x14ac:dyDescent="0.2"/>
    <row r="4964" s="22" customFormat="1" ht="12.75" customHeight="1" x14ac:dyDescent="0.2"/>
    <row r="4965" s="22" customFormat="1" ht="12.75" customHeight="1" x14ac:dyDescent="0.2"/>
    <row r="4966" s="22" customFormat="1" ht="12.75" customHeight="1" x14ac:dyDescent="0.2"/>
    <row r="4967" s="22" customFormat="1" ht="12.75" customHeight="1" x14ac:dyDescent="0.2"/>
    <row r="4968" s="22" customFormat="1" ht="12.75" customHeight="1" x14ac:dyDescent="0.2"/>
    <row r="4969" s="22" customFormat="1" ht="12.75" customHeight="1" x14ac:dyDescent="0.2"/>
    <row r="4970" s="22" customFormat="1" ht="12.75" customHeight="1" x14ac:dyDescent="0.2"/>
    <row r="4971" s="22" customFormat="1" ht="12.75" customHeight="1" x14ac:dyDescent="0.2"/>
    <row r="4972" s="22" customFormat="1" ht="12.75" customHeight="1" x14ac:dyDescent="0.2"/>
    <row r="4973" s="22" customFormat="1" ht="12.75" customHeight="1" x14ac:dyDescent="0.2"/>
    <row r="4974" s="22" customFormat="1" ht="12.75" customHeight="1" x14ac:dyDescent="0.2"/>
    <row r="4975" s="22" customFormat="1" ht="12.75" customHeight="1" x14ac:dyDescent="0.2"/>
    <row r="4976" s="22" customFormat="1" ht="12.75" customHeight="1" x14ac:dyDescent="0.2"/>
    <row r="4977" s="22" customFormat="1" ht="12.75" customHeight="1" x14ac:dyDescent="0.2"/>
    <row r="4978" s="22" customFormat="1" ht="12.75" customHeight="1" x14ac:dyDescent="0.2"/>
    <row r="4979" s="22" customFormat="1" ht="12.75" customHeight="1" x14ac:dyDescent="0.2"/>
    <row r="4980" s="22" customFormat="1" ht="12.75" customHeight="1" x14ac:dyDescent="0.2"/>
    <row r="4981" s="22" customFormat="1" ht="12.75" customHeight="1" x14ac:dyDescent="0.2"/>
    <row r="4982" s="22" customFormat="1" ht="12.75" customHeight="1" x14ac:dyDescent="0.2"/>
    <row r="4983" s="22" customFormat="1" ht="12.75" customHeight="1" x14ac:dyDescent="0.2"/>
    <row r="4984" s="22" customFormat="1" ht="12.75" customHeight="1" x14ac:dyDescent="0.2"/>
    <row r="4985" s="22" customFormat="1" ht="12.75" customHeight="1" x14ac:dyDescent="0.2"/>
    <row r="4986" s="22" customFormat="1" ht="12.75" customHeight="1" x14ac:dyDescent="0.2"/>
    <row r="4987" s="22" customFormat="1" ht="12.75" customHeight="1" x14ac:dyDescent="0.2"/>
    <row r="4988" s="22" customFormat="1" ht="12.75" customHeight="1" x14ac:dyDescent="0.2"/>
    <row r="4989" s="22" customFormat="1" ht="12.75" customHeight="1" x14ac:dyDescent="0.2"/>
    <row r="4990" s="22" customFormat="1" ht="12.75" customHeight="1" x14ac:dyDescent="0.2"/>
    <row r="4991" s="22" customFormat="1" ht="12.75" customHeight="1" x14ac:dyDescent="0.2"/>
    <row r="4992" s="22" customFormat="1" ht="12.75" customHeight="1" x14ac:dyDescent="0.2"/>
    <row r="4993" s="22" customFormat="1" ht="12.75" customHeight="1" x14ac:dyDescent="0.2"/>
    <row r="4994" s="22" customFormat="1" ht="12.75" customHeight="1" x14ac:dyDescent="0.2"/>
    <row r="4995" s="22" customFormat="1" ht="12.75" customHeight="1" x14ac:dyDescent="0.2"/>
    <row r="4996" s="22" customFormat="1" ht="12.75" customHeight="1" x14ac:dyDescent="0.2"/>
    <row r="4997" s="22" customFormat="1" ht="12.75" customHeight="1" x14ac:dyDescent="0.2"/>
    <row r="4998" s="22" customFormat="1" ht="12.75" customHeight="1" x14ac:dyDescent="0.2"/>
    <row r="4999" s="22" customFormat="1" ht="12.75" customHeight="1" x14ac:dyDescent="0.2"/>
    <row r="5000" s="22" customFormat="1" ht="12.75" customHeight="1" x14ac:dyDescent="0.2"/>
    <row r="5001" s="22" customFormat="1" ht="12.75" customHeight="1" x14ac:dyDescent="0.2"/>
    <row r="5002" s="22" customFormat="1" ht="12.75" customHeight="1" x14ac:dyDescent="0.2"/>
    <row r="5003" s="22" customFormat="1" ht="12.75" customHeight="1" x14ac:dyDescent="0.2"/>
    <row r="5004" s="22" customFormat="1" ht="12.75" customHeight="1" x14ac:dyDescent="0.2"/>
    <row r="5005" s="22" customFormat="1" ht="12.75" customHeight="1" x14ac:dyDescent="0.2"/>
    <row r="5006" s="22" customFormat="1" ht="12.75" customHeight="1" x14ac:dyDescent="0.2"/>
    <row r="5007" s="22" customFormat="1" ht="12.75" customHeight="1" x14ac:dyDescent="0.2"/>
    <row r="5008" s="22" customFormat="1" ht="12.75" customHeight="1" x14ac:dyDescent="0.2"/>
    <row r="5009" s="22" customFormat="1" ht="12.75" customHeight="1" x14ac:dyDescent="0.2"/>
    <row r="5010" s="22" customFormat="1" ht="12.75" customHeight="1" x14ac:dyDescent="0.2"/>
    <row r="5011" s="22" customFormat="1" ht="12.75" customHeight="1" x14ac:dyDescent="0.2"/>
    <row r="5012" s="22" customFormat="1" ht="12.75" customHeight="1" x14ac:dyDescent="0.2"/>
    <row r="5013" s="22" customFormat="1" ht="12.75" customHeight="1" x14ac:dyDescent="0.2"/>
    <row r="5014" s="22" customFormat="1" ht="12.75" customHeight="1" x14ac:dyDescent="0.2"/>
    <row r="5015" s="22" customFormat="1" ht="12.75" customHeight="1" x14ac:dyDescent="0.2"/>
    <row r="5016" s="22" customFormat="1" ht="12.75" customHeight="1" x14ac:dyDescent="0.2"/>
    <row r="5017" s="22" customFormat="1" ht="12.75" customHeight="1" x14ac:dyDescent="0.2"/>
    <row r="5018" s="22" customFormat="1" ht="12.75" customHeight="1" x14ac:dyDescent="0.2"/>
    <row r="5019" s="22" customFormat="1" ht="12.75" customHeight="1" x14ac:dyDescent="0.2"/>
    <row r="5020" s="22" customFormat="1" ht="12.75" customHeight="1" x14ac:dyDescent="0.2"/>
    <row r="5021" s="22" customFormat="1" ht="12.75" customHeight="1" x14ac:dyDescent="0.2"/>
    <row r="5022" s="22" customFormat="1" ht="12.75" customHeight="1" x14ac:dyDescent="0.2"/>
    <row r="5023" s="22" customFormat="1" ht="12.75" customHeight="1" x14ac:dyDescent="0.2"/>
    <row r="5024" s="22" customFormat="1" ht="12.75" customHeight="1" x14ac:dyDescent="0.2"/>
    <row r="5025" s="22" customFormat="1" ht="12.75" customHeight="1" x14ac:dyDescent="0.2"/>
    <row r="5026" s="22" customFormat="1" ht="12.75" customHeight="1" x14ac:dyDescent="0.2"/>
    <row r="5027" s="22" customFormat="1" ht="12.75" customHeight="1" x14ac:dyDescent="0.2"/>
    <row r="5028" s="22" customFormat="1" ht="12.75" customHeight="1" x14ac:dyDescent="0.2"/>
    <row r="5029" s="22" customFormat="1" ht="12.75" customHeight="1" x14ac:dyDescent="0.2"/>
    <row r="5030" s="22" customFormat="1" ht="12.75" customHeight="1" x14ac:dyDescent="0.2"/>
    <row r="5031" s="22" customFormat="1" ht="12.75" customHeight="1" x14ac:dyDescent="0.2"/>
    <row r="5032" s="22" customFormat="1" ht="12.75" customHeight="1" x14ac:dyDescent="0.2"/>
    <row r="5033" s="22" customFormat="1" ht="12.75" customHeight="1" x14ac:dyDescent="0.2"/>
    <row r="5034" s="22" customFormat="1" ht="12.75" customHeight="1" x14ac:dyDescent="0.2"/>
    <row r="5035" s="22" customFormat="1" ht="12.75" customHeight="1" x14ac:dyDescent="0.2"/>
    <row r="5036" s="22" customFormat="1" ht="12.75" customHeight="1" x14ac:dyDescent="0.2"/>
    <row r="5037" s="22" customFormat="1" ht="12.75" customHeight="1" x14ac:dyDescent="0.2"/>
    <row r="5038" s="22" customFormat="1" ht="12.75" customHeight="1" x14ac:dyDescent="0.2"/>
    <row r="5039" s="22" customFormat="1" ht="12.75" customHeight="1" x14ac:dyDescent="0.2"/>
    <row r="5040" s="22" customFormat="1" ht="12.75" customHeight="1" x14ac:dyDescent="0.2"/>
    <row r="5041" s="22" customFormat="1" ht="12.75" customHeight="1" x14ac:dyDescent="0.2"/>
    <row r="5042" s="22" customFormat="1" ht="12.75" customHeight="1" x14ac:dyDescent="0.2"/>
    <row r="5043" s="22" customFormat="1" ht="12.75" customHeight="1" x14ac:dyDescent="0.2"/>
    <row r="5044" s="22" customFormat="1" ht="12.75" customHeight="1" x14ac:dyDescent="0.2"/>
    <row r="5045" s="22" customFormat="1" ht="12.75" customHeight="1" x14ac:dyDescent="0.2"/>
    <row r="5046" s="22" customFormat="1" ht="12.75" customHeight="1" x14ac:dyDescent="0.2"/>
    <row r="5047" s="22" customFormat="1" ht="12.75" customHeight="1" x14ac:dyDescent="0.2"/>
    <row r="5048" s="22" customFormat="1" ht="12.75" customHeight="1" x14ac:dyDescent="0.2"/>
    <row r="5049" s="22" customFormat="1" ht="12.75" customHeight="1" x14ac:dyDescent="0.2"/>
    <row r="5050" s="22" customFormat="1" ht="12.75" customHeight="1" x14ac:dyDescent="0.2"/>
    <row r="5051" s="22" customFormat="1" ht="12.75" customHeight="1" x14ac:dyDescent="0.2"/>
    <row r="5052" s="22" customFormat="1" ht="12.75" customHeight="1" x14ac:dyDescent="0.2"/>
    <row r="5053" s="22" customFormat="1" ht="12.75" customHeight="1" x14ac:dyDescent="0.2"/>
    <row r="5054" s="22" customFormat="1" ht="12.75" customHeight="1" x14ac:dyDescent="0.2"/>
    <row r="5055" s="22" customFormat="1" ht="12.75" customHeight="1" x14ac:dyDescent="0.2"/>
    <row r="5056" s="22" customFormat="1" ht="12.75" customHeight="1" x14ac:dyDescent="0.2"/>
    <row r="5057" s="22" customFormat="1" ht="12.75" customHeight="1" x14ac:dyDescent="0.2"/>
    <row r="5058" s="22" customFormat="1" ht="12.75" customHeight="1" x14ac:dyDescent="0.2"/>
    <row r="5059" s="22" customFormat="1" ht="12.75" customHeight="1" x14ac:dyDescent="0.2"/>
    <row r="5060" s="22" customFormat="1" ht="12.75" customHeight="1" x14ac:dyDescent="0.2"/>
    <row r="5061" s="22" customFormat="1" ht="12.75" customHeight="1" x14ac:dyDescent="0.2"/>
    <row r="5062" s="22" customFormat="1" ht="12.75" customHeight="1" x14ac:dyDescent="0.2"/>
    <row r="5063" s="22" customFormat="1" ht="12.75" customHeight="1" x14ac:dyDescent="0.2"/>
    <row r="5064" s="22" customFormat="1" ht="12.75" customHeight="1" x14ac:dyDescent="0.2"/>
    <row r="5065" s="22" customFormat="1" ht="12.75" customHeight="1" x14ac:dyDescent="0.2"/>
    <row r="5066" s="22" customFormat="1" ht="12.75" customHeight="1" x14ac:dyDescent="0.2"/>
    <row r="5067" s="22" customFormat="1" ht="12.75" customHeight="1" x14ac:dyDescent="0.2"/>
    <row r="5068" s="22" customFormat="1" ht="12.75" customHeight="1" x14ac:dyDescent="0.2"/>
    <row r="5069" s="22" customFormat="1" ht="12.75" customHeight="1" x14ac:dyDescent="0.2"/>
    <row r="5070" s="22" customFormat="1" ht="12.75" customHeight="1" x14ac:dyDescent="0.2"/>
    <row r="5071" s="22" customFormat="1" ht="12.75" customHeight="1" x14ac:dyDescent="0.2"/>
    <row r="5072" s="22" customFormat="1" ht="12.75" customHeight="1" x14ac:dyDescent="0.2"/>
    <row r="5073" s="22" customFormat="1" ht="12.75" customHeight="1" x14ac:dyDescent="0.2"/>
    <row r="5074" s="22" customFormat="1" ht="12.75" customHeight="1" x14ac:dyDescent="0.2"/>
    <row r="5075" s="22" customFormat="1" ht="12.75" customHeight="1" x14ac:dyDescent="0.2"/>
    <row r="5076" s="22" customFormat="1" ht="12.75" customHeight="1" x14ac:dyDescent="0.2"/>
    <row r="5077" s="22" customFormat="1" ht="12.75" customHeight="1" x14ac:dyDescent="0.2"/>
    <row r="5078" s="22" customFormat="1" ht="12.75" customHeight="1" x14ac:dyDescent="0.2"/>
    <row r="5079" s="22" customFormat="1" ht="12.75" customHeight="1" x14ac:dyDescent="0.2"/>
    <row r="5080" s="22" customFormat="1" ht="12.75" customHeight="1" x14ac:dyDescent="0.2"/>
    <row r="5081" s="22" customFormat="1" ht="12.75" customHeight="1" x14ac:dyDescent="0.2"/>
    <row r="5082" s="22" customFormat="1" ht="12.75" customHeight="1" x14ac:dyDescent="0.2"/>
    <row r="5083" s="22" customFormat="1" ht="12.75" customHeight="1" x14ac:dyDescent="0.2"/>
    <row r="5084" s="22" customFormat="1" ht="12.75" customHeight="1" x14ac:dyDescent="0.2"/>
    <row r="5085" s="22" customFormat="1" ht="12.75" customHeight="1" x14ac:dyDescent="0.2"/>
    <row r="5086" s="22" customFormat="1" ht="12.75" customHeight="1" x14ac:dyDescent="0.2"/>
    <row r="5087" s="22" customFormat="1" ht="12.75" customHeight="1" x14ac:dyDescent="0.2"/>
    <row r="5088" s="22" customFormat="1" ht="12.75" customHeight="1" x14ac:dyDescent="0.2"/>
    <row r="5089" s="22" customFormat="1" ht="12.75" customHeight="1" x14ac:dyDescent="0.2"/>
    <row r="5090" s="22" customFormat="1" ht="12.75" customHeight="1" x14ac:dyDescent="0.2"/>
    <row r="5091" s="22" customFormat="1" ht="12.75" customHeight="1" x14ac:dyDescent="0.2"/>
    <row r="5092" s="22" customFormat="1" ht="12.75" customHeight="1" x14ac:dyDescent="0.2"/>
    <row r="5093" s="22" customFormat="1" ht="12.75" customHeight="1" x14ac:dyDescent="0.2"/>
    <row r="5094" s="22" customFormat="1" ht="12.75" customHeight="1" x14ac:dyDescent="0.2"/>
    <row r="5095" s="22" customFormat="1" ht="12.75" customHeight="1" x14ac:dyDescent="0.2"/>
    <row r="5096" s="22" customFormat="1" ht="12.75" customHeight="1" x14ac:dyDescent="0.2"/>
    <row r="5097" s="22" customFormat="1" ht="12.75" customHeight="1" x14ac:dyDescent="0.2"/>
    <row r="5098" s="22" customFormat="1" ht="12.75" customHeight="1" x14ac:dyDescent="0.2"/>
    <row r="5099" s="22" customFormat="1" ht="12.75" customHeight="1" x14ac:dyDescent="0.2"/>
    <row r="5100" s="22" customFormat="1" ht="12.75" customHeight="1" x14ac:dyDescent="0.2"/>
    <row r="5101" s="22" customFormat="1" ht="12.75" customHeight="1" x14ac:dyDescent="0.2"/>
    <row r="5102" s="22" customFormat="1" ht="12.75" customHeight="1" x14ac:dyDescent="0.2"/>
    <row r="5103" s="22" customFormat="1" ht="12.75" customHeight="1" x14ac:dyDescent="0.2"/>
    <row r="5104" s="22" customFormat="1" ht="12.75" customHeight="1" x14ac:dyDescent="0.2"/>
    <row r="5105" s="22" customFormat="1" ht="12.75" customHeight="1" x14ac:dyDescent="0.2"/>
    <row r="5106" s="22" customFormat="1" ht="12.75" customHeight="1" x14ac:dyDescent="0.2"/>
    <row r="5107" s="22" customFormat="1" ht="12.75" customHeight="1" x14ac:dyDescent="0.2"/>
    <row r="5108" s="22" customFormat="1" ht="12.75" customHeight="1" x14ac:dyDescent="0.2"/>
    <row r="5109" s="22" customFormat="1" ht="12.75" customHeight="1" x14ac:dyDescent="0.2"/>
    <row r="5110" s="22" customFormat="1" ht="12.75" customHeight="1" x14ac:dyDescent="0.2"/>
    <row r="5111" s="22" customFormat="1" ht="12.75" customHeight="1" x14ac:dyDescent="0.2"/>
    <row r="5112" s="22" customFormat="1" ht="12.75" customHeight="1" x14ac:dyDescent="0.2"/>
    <row r="5113" s="22" customFormat="1" ht="12.75" customHeight="1" x14ac:dyDescent="0.2"/>
    <row r="5114" s="22" customFormat="1" ht="12.75" customHeight="1" x14ac:dyDescent="0.2"/>
    <row r="5115" s="22" customFormat="1" ht="12.75" customHeight="1" x14ac:dyDescent="0.2"/>
    <row r="5116" s="22" customFormat="1" ht="12.75" customHeight="1" x14ac:dyDescent="0.2"/>
    <row r="5117" s="22" customFormat="1" ht="12.75" customHeight="1" x14ac:dyDescent="0.2"/>
    <row r="5118" s="22" customFormat="1" ht="12.75" customHeight="1" x14ac:dyDescent="0.2"/>
    <row r="5119" s="22" customFormat="1" ht="12.75" customHeight="1" x14ac:dyDescent="0.2"/>
    <row r="5120" s="22" customFormat="1" ht="12.75" customHeight="1" x14ac:dyDescent="0.2"/>
    <row r="5121" s="22" customFormat="1" ht="12.75" customHeight="1" x14ac:dyDescent="0.2"/>
    <row r="5122" s="22" customFormat="1" ht="12.75" customHeight="1" x14ac:dyDescent="0.2"/>
    <row r="5123" s="22" customFormat="1" ht="12.75" customHeight="1" x14ac:dyDescent="0.2"/>
    <row r="5124" s="22" customFormat="1" ht="12.75" customHeight="1" x14ac:dyDescent="0.2"/>
    <row r="5125" s="22" customFormat="1" ht="12.75" customHeight="1" x14ac:dyDescent="0.2"/>
    <row r="5126" s="22" customFormat="1" ht="12.75" customHeight="1" x14ac:dyDescent="0.2"/>
    <row r="5127" s="22" customFormat="1" ht="12.75" customHeight="1" x14ac:dyDescent="0.2"/>
    <row r="5128" s="22" customFormat="1" ht="12.75" customHeight="1" x14ac:dyDescent="0.2"/>
    <row r="5129" s="22" customFormat="1" ht="12.75" customHeight="1" x14ac:dyDescent="0.2"/>
    <row r="5130" s="22" customFormat="1" ht="12.75" customHeight="1" x14ac:dyDescent="0.2"/>
    <row r="5131" s="22" customFormat="1" ht="12.75" customHeight="1" x14ac:dyDescent="0.2"/>
    <row r="5132" s="22" customFormat="1" ht="12.75" customHeight="1" x14ac:dyDescent="0.2"/>
    <row r="5133" s="22" customFormat="1" ht="12.75" customHeight="1" x14ac:dyDescent="0.2"/>
    <row r="5134" s="22" customFormat="1" ht="12.75" customHeight="1" x14ac:dyDescent="0.2"/>
    <row r="5135" s="22" customFormat="1" ht="12.75" customHeight="1" x14ac:dyDescent="0.2"/>
    <row r="5136" s="22" customFormat="1" ht="12.75" customHeight="1" x14ac:dyDescent="0.2"/>
    <row r="5137" s="22" customFormat="1" ht="12.75" customHeight="1" x14ac:dyDescent="0.2"/>
    <row r="5138" s="22" customFormat="1" ht="12.75" customHeight="1" x14ac:dyDescent="0.2"/>
    <row r="5139" s="22" customFormat="1" ht="12.75" customHeight="1" x14ac:dyDescent="0.2"/>
    <row r="5140" s="22" customFormat="1" ht="12.75" customHeight="1" x14ac:dyDescent="0.2"/>
    <row r="5141" s="22" customFormat="1" ht="12.75" customHeight="1" x14ac:dyDescent="0.2"/>
    <row r="5142" s="22" customFormat="1" ht="12.75" customHeight="1" x14ac:dyDescent="0.2"/>
    <row r="5143" s="22" customFormat="1" ht="12.75" customHeight="1" x14ac:dyDescent="0.2"/>
    <row r="5144" s="22" customFormat="1" ht="12.75" customHeight="1" x14ac:dyDescent="0.2"/>
    <row r="5145" s="22" customFormat="1" ht="12.75" customHeight="1" x14ac:dyDescent="0.2"/>
    <row r="5146" s="22" customFormat="1" ht="12.75" customHeight="1" x14ac:dyDescent="0.2"/>
    <row r="5147" s="22" customFormat="1" ht="12.75" customHeight="1" x14ac:dyDescent="0.2"/>
    <row r="5148" s="22" customFormat="1" ht="12.75" customHeight="1" x14ac:dyDescent="0.2"/>
    <row r="5149" s="22" customFormat="1" ht="12.75" customHeight="1" x14ac:dyDescent="0.2"/>
    <row r="5150" s="22" customFormat="1" ht="12.75" customHeight="1" x14ac:dyDescent="0.2"/>
    <row r="5151" s="22" customFormat="1" ht="12.75" customHeight="1" x14ac:dyDescent="0.2"/>
    <row r="5152" s="22" customFormat="1" ht="12.75" customHeight="1" x14ac:dyDescent="0.2"/>
    <row r="5153" s="22" customFormat="1" ht="12.75" customHeight="1" x14ac:dyDescent="0.2"/>
    <row r="5154" s="22" customFormat="1" ht="12.75" customHeigh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1"/>
  <sheetViews>
    <sheetView tabSelected="1" workbookViewId="0">
      <pane ySplit="6" topLeftCell="A19" activePane="bottomLeft" state="frozen"/>
      <selection pane="bottomLeft" activeCell="C29" sqref="C29"/>
    </sheetView>
  </sheetViews>
  <sheetFormatPr defaultRowHeight="15" x14ac:dyDescent="0.25"/>
  <cols>
    <col min="1" max="1" width="28" customWidth="1"/>
    <col min="2" max="2" width="32" customWidth="1"/>
    <col min="3" max="3" width="60" customWidth="1"/>
    <col min="4" max="5" width="18" customWidth="1"/>
    <col min="6" max="6" width="14" customWidth="1"/>
    <col min="7" max="7" width="8" customWidth="1"/>
    <col min="8" max="8" width="14" customWidth="1"/>
    <col min="9" max="9" width="16" customWidth="1"/>
    <col min="10" max="10" width="14" customWidth="1"/>
  </cols>
  <sheetData>
    <row r="1" spans="1:10" x14ac:dyDescent="0.25">
      <c r="B1" t="s">
        <v>0</v>
      </c>
      <c r="C1" t="s">
        <v>1</v>
      </c>
    </row>
    <row r="2" spans="1:10" x14ac:dyDescent="0.25">
      <c r="B2" t="s">
        <v>2</v>
      </c>
      <c r="C2" t="s">
        <v>3</v>
      </c>
    </row>
    <row r="3" spans="1:10" x14ac:dyDescent="0.25">
      <c r="B3" t="s">
        <v>4</v>
      </c>
      <c r="C3" t="s">
        <v>82</v>
      </c>
    </row>
    <row r="4" spans="1:10" x14ac:dyDescent="0.25">
      <c r="B4" t="s">
        <v>6</v>
      </c>
      <c r="C4" t="s">
        <v>83</v>
      </c>
    </row>
    <row r="5" spans="1:10" ht="15.75" x14ac:dyDescent="0.25">
      <c r="A5" s="42" t="s">
        <v>84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x14ac:dyDescent="0.25">
      <c r="A6" s="44" t="s">
        <v>11</v>
      </c>
      <c r="B6" s="44" t="s">
        <v>12</v>
      </c>
      <c r="C6" s="44" t="s">
        <v>13</v>
      </c>
      <c r="D6" s="44" t="s">
        <v>85</v>
      </c>
      <c r="E6" s="44" t="s">
        <v>86</v>
      </c>
      <c r="F6" s="44" t="s">
        <v>87</v>
      </c>
      <c r="G6" s="44" t="s">
        <v>88</v>
      </c>
      <c r="H6" s="44" t="s">
        <v>89</v>
      </c>
      <c r="I6" s="44" t="s">
        <v>20</v>
      </c>
      <c r="J6" s="44" t="s">
        <v>90</v>
      </c>
    </row>
    <row r="7" spans="1:10" x14ac:dyDescent="0.25">
      <c r="A7" s="45" t="s">
        <v>24</v>
      </c>
      <c r="B7" s="45" t="s">
        <v>91</v>
      </c>
      <c r="C7" s="45"/>
      <c r="D7" s="45"/>
      <c r="E7" s="45"/>
      <c r="F7" s="45"/>
      <c r="G7" s="45"/>
      <c r="H7" s="45"/>
      <c r="I7" s="45"/>
      <c r="J7" s="45"/>
    </row>
    <row r="8" spans="1:10" x14ac:dyDescent="0.25">
      <c r="A8" s="46" t="s">
        <v>24</v>
      </c>
      <c r="B8" s="46" t="s">
        <v>91</v>
      </c>
      <c r="C8" s="46" t="s">
        <v>92</v>
      </c>
      <c r="D8" s="46" t="s">
        <v>93</v>
      </c>
      <c r="E8" s="46" t="s">
        <v>94</v>
      </c>
      <c r="F8" s="47">
        <v>18510</v>
      </c>
      <c r="G8" s="46" t="s">
        <v>27</v>
      </c>
      <c r="H8" s="48">
        <v>2.57</v>
      </c>
      <c r="I8" s="48">
        <f t="shared" ref="I8:I13" si="0">F8*H8</f>
        <v>47570.7</v>
      </c>
      <c r="J8" s="46" t="s">
        <v>95</v>
      </c>
    </row>
    <row r="9" spans="1:10" x14ac:dyDescent="0.25">
      <c r="A9" s="46" t="s">
        <v>24</v>
      </c>
      <c r="B9" s="46" t="s">
        <v>91</v>
      </c>
      <c r="C9" s="46" t="s">
        <v>92</v>
      </c>
      <c r="D9" s="46" t="s">
        <v>96</v>
      </c>
      <c r="E9" s="46" t="s">
        <v>94</v>
      </c>
      <c r="F9" s="47">
        <v>6360</v>
      </c>
      <c r="G9" s="46" t="s">
        <v>27</v>
      </c>
      <c r="H9" s="48">
        <v>7.8</v>
      </c>
      <c r="I9" s="48">
        <f t="shared" si="0"/>
        <v>49608</v>
      </c>
      <c r="J9" s="46" t="s">
        <v>95</v>
      </c>
    </row>
    <row r="10" spans="1:10" x14ac:dyDescent="0.25">
      <c r="A10" s="46" t="s">
        <v>24</v>
      </c>
      <c r="B10" s="46" t="s">
        <v>91</v>
      </c>
      <c r="C10" s="46" t="s">
        <v>92</v>
      </c>
      <c r="D10" s="46" t="s">
        <v>97</v>
      </c>
      <c r="E10" s="46" t="s">
        <v>94</v>
      </c>
      <c r="F10" s="47">
        <v>240</v>
      </c>
      <c r="G10" s="46" t="s">
        <v>27</v>
      </c>
      <c r="H10" s="48">
        <v>12.83</v>
      </c>
      <c r="I10" s="48">
        <f t="shared" si="0"/>
        <v>3079.2</v>
      </c>
      <c r="J10" s="46" t="s">
        <v>95</v>
      </c>
    </row>
    <row r="11" spans="1:10" x14ac:dyDescent="0.25">
      <c r="A11" s="46" t="s">
        <v>24</v>
      </c>
      <c r="B11" s="46" t="s">
        <v>91</v>
      </c>
      <c r="C11" s="46" t="s">
        <v>92</v>
      </c>
      <c r="D11" s="46" t="s">
        <v>98</v>
      </c>
      <c r="E11" s="46" t="s">
        <v>94</v>
      </c>
      <c r="F11" s="47">
        <v>390</v>
      </c>
      <c r="G11" s="46" t="s">
        <v>27</v>
      </c>
      <c r="H11" s="48">
        <v>10.47</v>
      </c>
      <c r="I11" s="48">
        <f t="shared" si="0"/>
        <v>4083.3</v>
      </c>
      <c r="J11" s="46" t="s">
        <v>95</v>
      </c>
    </row>
    <row r="12" spans="1:10" x14ac:dyDescent="0.25">
      <c r="A12" s="46" t="s">
        <v>24</v>
      </c>
      <c r="B12" s="46" t="s">
        <v>91</v>
      </c>
      <c r="C12" s="46" t="s">
        <v>92</v>
      </c>
      <c r="D12" s="46" t="s">
        <v>99</v>
      </c>
      <c r="E12" s="46" t="s">
        <v>94</v>
      </c>
      <c r="F12" s="47">
        <v>60</v>
      </c>
      <c r="G12" s="46" t="s">
        <v>27</v>
      </c>
      <c r="H12" s="48">
        <v>19.05</v>
      </c>
      <c r="I12" s="48">
        <f t="shared" si="0"/>
        <v>1143</v>
      </c>
      <c r="J12" s="46" t="s">
        <v>95</v>
      </c>
    </row>
    <row r="13" spans="1:10" x14ac:dyDescent="0.25">
      <c r="A13" s="46" t="s">
        <v>24</v>
      </c>
      <c r="B13" s="46" t="s">
        <v>91</v>
      </c>
      <c r="C13" s="46" t="s">
        <v>92</v>
      </c>
      <c r="D13" s="46" t="s">
        <v>100</v>
      </c>
      <c r="E13" s="46" t="s">
        <v>94</v>
      </c>
      <c r="F13" s="47">
        <v>60</v>
      </c>
      <c r="G13" s="46" t="s">
        <v>27</v>
      </c>
      <c r="H13" s="48">
        <v>27.48</v>
      </c>
      <c r="I13" s="48">
        <f t="shared" si="0"/>
        <v>1648.8</v>
      </c>
      <c r="J13" s="46" t="s">
        <v>95</v>
      </c>
    </row>
    <row r="14" spans="1:10" x14ac:dyDescent="0.25">
      <c r="A14" s="49"/>
      <c r="B14" s="49" t="s">
        <v>101</v>
      </c>
      <c r="C14" s="49"/>
      <c r="D14" s="49"/>
      <c r="E14" s="49"/>
      <c r="F14" s="49"/>
      <c r="G14" s="49"/>
      <c r="H14" s="49"/>
      <c r="I14" s="50">
        <f>SUM(I8:I13)</f>
        <v>107133</v>
      </c>
      <c r="J14" s="49"/>
    </row>
    <row r="15" spans="1:10" x14ac:dyDescent="0.25">
      <c r="A15" s="45" t="s">
        <v>24</v>
      </c>
      <c r="B15" s="45" t="s">
        <v>102</v>
      </c>
      <c r="C15" s="45"/>
      <c r="D15" s="45"/>
      <c r="E15" s="45"/>
      <c r="F15" s="45"/>
      <c r="G15" s="45"/>
      <c r="H15" s="45"/>
      <c r="I15" s="45"/>
      <c r="J15" s="45"/>
    </row>
    <row r="16" spans="1:10" x14ac:dyDescent="0.25">
      <c r="A16" s="46" t="s">
        <v>24</v>
      </c>
      <c r="B16" s="46" t="s">
        <v>102</v>
      </c>
      <c r="C16" s="46" t="s">
        <v>103</v>
      </c>
      <c r="D16" s="46" t="s">
        <v>104</v>
      </c>
      <c r="E16" s="46" t="s">
        <v>94</v>
      </c>
      <c r="F16" s="47">
        <v>615</v>
      </c>
      <c r="G16" s="46" t="s">
        <v>27</v>
      </c>
      <c r="H16" s="48">
        <v>17.63</v>
      </c>
      <c r="I16" s="48">
        <f>F16*H16</f>
        <v>10842.449999999999</v>
      </c>
      <c r="J16" s="46" t="s">
        <v>95</v>
      </c>
    </row>
    <row r="17" spans="1:10" x14ac:dyDescent="0.25">
      <c r="A17" s="46" t="s">
        <v>24</v>
      </c>
      <c r="B17" s="46" t="s">
        <v>102</v>
      </c>
      <c r="C17" s="46" t="s">
        <v>103</v>
      </c>
      <c r="D17" s="46" t="s">
        <v>105</v>
      </c>
      <c r="E17" s="46" t="s">
        <v>94</v>
      </c>
      <c r="F17" s="47">
        <v>7665</v>
      </c>
      <c r="G17" s="46" t="s">
        <v>27</v>
      </c>
      <c r="H17" s="48">
        <v>21.3</v>
      </c>
      <c r="I17" s="48">
        <f>F17*H17</f>
        <v>163264.5</v>
      </c>
      <c r="J17" s="46" t="s">
        <v>95</v>
      </c>
    </row>
    <row r="18" spans="1:10" x14ac:dyDescent="0.25">
      <c r="A18" s="46" t="s">
        <v>24</v>
      </c>
      <c r="B18" s="46" t="s">
        <v>102</v>
      </c>
      <c r="C18" s="46" t="s">
        <v>103</v>
      </c>
      <c r="D18" s="46" t="s">
        <v>106</v>
      </c>
      <c r="E18" s="46" t="s">
        <v>94</v>
      </c>
      <c r="F18" s="47">
        <v>3360</v>
      </c>
      <c r="G18" s="46" t="s">
        <v>27</v>
      </c>
      <c r="H18" s="48">
        <v>12.88</v>
      </c>
      <c r="I18" s="48">
        <f>F18*H18</f>
        <v>43276.800000000003</v>
      </c>
      <c r="J18" s="46" t="s">
        <v>95</v>
      </c>
    </row>
    <row r="19" spans="1:10" x14ac:dyDescent="0.25">
      <c r="A19" s="46" t="s">
        <v>24</v>
      </c>
      <c r="B19" s="46" t="s">
        <v>102</v>
      </c>
      <c r="C19" s="46" t="s">
        <v>107</v>
      </c>
      <c r="D19" s="46" t="s">
        <v>108</v>
      </c>
      <c r="E19" s="46" t="s">
        <v>94</v>
      </c>
      <c r="F19" s="47">
        <v>390</v>
      </c>
      <c r="G19" s="46" t="s">
        <v>27</v>
      </c>
      <c r="H19" s="48">
        <v>85</v>
      </c>
      <c r="I19" s="48">
        <f>F19*H19</f>
        <v>33150</v>
      </c>
      <c r="J19" s="46" t="s">
        <v>95</v>
      </c>
    </row>
    <row r="20" spans="1:10" x14ac:dyDescent="0.25">
      <c r="A20" s="49"/>
      <c r="B20" s="49" t="s">
        <v>109</v>
      </c>
      <c r="C20" s="49"/>
      <c r="D20" s="49"/>
      <c r="E20" s="49"/>
      <c r="F20" s="49"/>
      <c r="G20" s="49"/>
      <c r="H20" s="49"/>
      <c r="I20" s="50">
        <f>SUM(I16:I19)</f>
        <v>250533.75</v>
      </c>
      <c r="J20" s="49"/>
    </row>
    <row r="21" spans="1:10" x14ac:dyDescent="0.25">
      <c r="A21" s="45" t="s">
        <v>24</v>
      </c>
      <c r="B21" s="45" t="s">
        <v>110</v>
      </c>
      <c r="C21" s="45"/>
      <c r="D21" s="45"/>
      <c r="E21" s="45"/>
      <c r="F21" s="45"/>
      <c r="G21" s="45"/>
      <c r="H21" s="45"/>
      <c r="I21" s="45"/>
      <c r="J21" s="45"/>
    </row>
    <row r="22" spans="1:10" x14ac:dyDescent="0.25">
      <c r="A22" s="46" t="s">
        <v>24</v>
      </c>
      <c r="B22" s="46" t="s">
        <v>110</v>
      </c>
      <c r="C22" s="46" t="s">
        <v>111</v>
      </c>
      <c r="D22" s="46" t="s">
        <v>97</v>
      </c>
      <c r="E22" s="46" t="s">
        <v>94</v>
      </c>
      <c r="F22" s="47">
        <v>3210</v>
      </c>
      <c r="G22" s="46" t="s">
        <v>27</v>
      </c>
      <c r="H22" s="48">
        <v>0.94</v>
      </c>
      <c r="I22" s="48">
        <f>F22*H22</f>
        <v>3017.3999999999996</v>
      </c>
      <c r="J22" s="46" t="s">
        <v>112</v>
      </c>
    </row>
    <row r="23" spans="1:10" x14ac:dyDescent="0.25">
      <c r="A23" s="46" t="s">
        <v>24</v>
      </c>
      <c r="B23" s="46" t="s">
        <v>110</v>
      </c>
      <c r="C23" s="46" t="s">
        <v>111</v>
      </c>
      <c r="D23" s="46" t="s">
        <v>98</v>
      </c>
      <c r="E23" s="46" t="s">
        <v>94</v>
      </c>
      <c r="F23" s="47">
        <v>5970</v>
      </c>
      <c r="G23" s="46" t="s">
        <v>27</v>
      </c>
      <c r="H23" s="48">
        <v>1.6</v>
      </c>
      <c r="I23" s="48">
        <f>F23*H23</f>
        <v>9552</v>
      </c>
      <c r="J23" s="46" t="s">
        <v>112</v>
      </c>
    </row>
    <row r="24" spans="1:10" x14ac:dyDescent="0.25">
      <c r="A24" s="46" t="s">
        <v>24</v>
      </c>
      <c r="B24" s="46" t="s">
        <v>110</v>
      </c>
      <c r="C24" s="46" t="s">
        <v>111</v>
      </c>
      <c r="D24" s="46" t="s">
        <v>100</v>
      </c>
      <c r="E24" s="46" t="s">
        <v>94</v>
      </c>
      <c r="F24" s="47">
        <v>60</v>
      </c>
      <c r="G24" s="46" t="s">
        <v>27</v>
      </c>
      <c r="H24" s="48">
        <v>2.31</v>
      </c>
      <c r="I24" s="48">
        <f>F24*H24</f>
        <v>138.6</v>
      </c>
      <c r="J24" s="46" t="s">
        <v>112</v>
      </c>
    </row>
    <row r="25" spans="1:10" x14ac:dyDescent="0.25">
      <c r="A25" s="46" t="s">
        <v>24</v>
      </c>
      <c r="B25" s="46" t="s">
        <v>110</v>
      </c>
      <c r="C25" s="46" t="s">
        <v>111</v>
      </c>
      <c r="D25" s="46" t="s">
        <v>113</v>
      </c>
      <c r="E25" s="46" t="s">
        <v>94</v>
      </c>
      <c r="F25" s="47">
        <v>2790</v>
      </c>
      <c r="G25" s="46" t="s">
        <v>27</v>
      </c>
      <c r="H25" s="48">
        <v>2.61</v>
      </c>
      <c r="I25" s="48">
        <f>F25*H25</f>
        <v>7281.9</v>
      </c>
      <c r="J25" s="46" t="s">
        <v>112</v>
      </c>
    </row>
    <row r="26" spans="1:10" x14ac:dyDescent="0.25">
      <c r="A26" s="49"/>
      <c r="B26" s="49" t="s">
        <v>114</v>
      </c>
      <c r="C26" s="49"/>
      <c r="D26" s="49"/>
      <c r="E26" s="49"/>
      <c r="F26" s="49"/>
      <c r="G26" s="49"/>
      <c r="H26" s="49"/>
      <c r="I26" s="50">
        <f>SUM(I22:I25)</f>
        <v>19989.900000000001</v>
      </c>
      <c r="J26" s="49"/>
    </row>
    <row r="27" spans="1:10" x14ac:dyDescent="0.25">
      <c r="A27" s="45" t="s">
        <v>24</v>
      </c>
      <c r="B27" s="45" t="s">
        <v>115</v>
      </c>
      <c r="C27" s="45"/>
      <c r="D27" s="45"/>
      <c r="E27" s="45"/>
      <c r="F27" s="45"/>
      <c r="G27" s="45"/>
      <c r="H27" s="45"/>
      <c r="I27" s="45"/>
      <c r="J27" s="45"/>
    </row>
    <row r="28" spans="1:10" x14ac:dyDescent="0.25">
      <c r="A28" s="46" t="s">
        <v>24</v>
      </c>
      <c r="B28" s="46" t="s">
        <v>115</v>
      </c>
      <c r="C28" s="46" t="s">
        <v>116</v>
      </c>
      <c r="D28" s="46" t="s">
        <v>98</v>
      </c>
      <c r="E28" s="46" t="s">
        <v>94</v>
      </c>
      <c r="F28" s="47">
        <v>1500</v>
      </c>
      <c r="G28" s="46" t="s">
        <v>27</v>
      </c>
      <c r="H28" s="48">
        <v>2.8</v>
      </c>
      <c r="I28" s="48">
        <f>F28*H28</f>
        <v>4200</v>
      </c>
      <c r="J28" s="46" t="s">
        <v>112</v>
      </c>
    </row>
    <row r="29" spans="1:10" x14ac:dyDescent="0.25">
      <c r="A29" s="46" t="s">
        <v>24</v>
      </c>
      <c r="B29" s="46" t="s">
        <v>115</v>
      </c>
      <c r="C29" s="46" t="s">
        <v>116</v>
      </c>
      <c r="D29" s="46" t="s">
        <v>100</v>
      </c>
      <c r="E29" s="46" t="s">
        <v>94</v>
      </c>
      <c r="F29" s="47">
        <v>210</v>
      </c>
      <c r="G29" s="46" t="s">
        <v>27</v>
      </c>
      <c r="H29" s="48">
        <v>3.67</v>
      </c>
      <c r="I29" s="48">
        <f>F29*H29</f>
        <v>770.69999999999993</v>
      </c>
      <c r="J29" s="46" t="s">
        <v>112</v>
      </c>
    </row>
    <row r="30" spans="1:10" x14ac:dyDescent="0.25">
      <c r="A30" s="46" t="s">
        <v>24</v>
      </c>
      <c r="B30" s="46" t="s">
        <v>115</v>
      </c>
      <c r="C30" s="46" t="s">
        <v>116</v>
      </c>
      <c r="D30" s="46" t="s">
        <v>113</v>
      </c>
      <c r="E30" s="46" t="s">
        <v>94</v>
      </c>
      <c r="F30" s="47">
        <v>7680</v>
      </c>
      <c r="G30" s="46" t="s">
        <v>27</v>
      </c>
      <c r="H30" s="48">
        <v>6.43</v>
      </c>
      <c r="I30" s="48">
        <f>F30*H30</f>
        <v>49382.399999999994</v>
      </c>
      <c r="J30" s="46" t="s">
        <v>112</v>
      </c>
    </row>
    <row r="31" spans="1:10" x14ac:dyDescent="0.25">
      <c r="A31" s="46" t="s">
        <v>24</v>
      </c>
      <c r="B31" s="46" t="s">
        <v>115</v>
      </c>
      <c r="C31" s="46" t="s">
        <v>116</v>
      </c>
      <c r="D31" s="46" t="s">
        <v>117</v>
      </c>
      <c r="E31" s="46" t="s">
        <v>94</v>
      </c>
      <c r="F31" s="47">
        <v>2010</v>
      </c>
      <c r="G31" s="46" t="s">
        <v>27</v>
      </c>
      <c r="H31" s="48">
        <v>13.08</v>
      </c>
      <c r="I31" s="48">
        <f>F31*H31</f>
        <v>26290.799999999999</v>
      </c>
      <c r="J31" s="46" t="s">
        <v>112</v>
      </c>
    </row>
    <row r="32" spans="1:10" x14ac:dyDescent="0.25">
      <c r="A32" s="49"/>
      <c r="B32" s="49" t="s">
        <v>118</v>
      </c>
      <c r="C32" s="49"/>
      <c r="D32" s="49"/>
      <c r="E32" s="49"/>
      <c r="F32" s="49"/>
      <c r="G32" s="49"/>
      <c r="H32" s="49"/>
      <c r="I32" s="50">
        <f>SUM(I28:I31)</f>
        <v>80643.899999999994</v>
      </c>
      <c r="J32" s="49"/>
    </row>
    <row r="33" spans="1:10" x14ac:dyDescent="0.25">
      <c r="A33" s="45" t="s">
        <v>24</v>
      </c>
      <c r="B33" s="45" t="s">
        <v>119</v>
      </c>
      <c r="C33" s="45"/>
      <c r="D33" s="45"/>
      <c r="E33" s="45"/>
      <c r="F33" s="45"/>
      <c r="G33" s="45"/>
      <c r="H33" s="45"/>
      <c r="I33" s="45"/>
      <c r="J33" s="45"/>
    </row>
    <row r="34" spans="1:10" x14ac:dyDescent="0.25">
      <c r="A34" s="46" t="s">
        <v>24</v>
      </c>
      <c r="B34" s="46" t="s">
        <v>119</v>
      </c>
      <c r="C34" s="46" t="s">
        <v>120</v>
      </c>
      <c r="D34" s="46" t="s">
        <v>121</v>
      </c>
      <c r="E34" s="46" t="s">
        <v>94</v>
      </c>
      <c r="F34" s="47">
        <v>2280</v>
      </c>
      <c r="G34" s="46" t="s">
        <v>35</v>
      </c>
      <c r="H34" s="48">
        <v>4.08</v>
      </c>
      <c r="I34" s="48">
        <f t="shared" ref="I34:I65" si="1">F34*H34</f>
        <v>9302.4</v>
      </c>
      <c r="J34" s="46" t="s">
        <v>95</v>
      </c>
    </row>
    <row r="35" spans="1:10" x14ac:dyDescent="0.25">
      <c r="A35" s="46" t="s">
        <v>24</v>
      </c>
      <c r="B35" s="46" t="s">
        <v>119</v>
      </c>
      <c r="C35" s="46" t="s">
        <v>120</v>
      </c>
      <c r="D35" s="46" t="s">
        <v>122</v>
      </c>
      <c r="E35" s="46" t="s">
        <v>94</v>
      </c>
      <c r="F35" s="47">
        <v>195</v>
      </c>
      <c r="G35" s="46" t="s">
        <v>35</v>
      </c>
      <c r="H35" s="48">
        <v>4.08</v>
      </c>
      <c r="I35" s="48">
        <f t="shared" si="1"/>
        <v>795.6</v>
      </c>
      <c r="J35" s="46" t="s">
        <v>95</v>
      </c>
    </row>
    <row r="36" spans="1:10" x14ac:dyDescent="0.25">
      <c r="A36" s="46" t="s">
        <v>24</v>
      </c>
      <c r="B36" s="46" t="s">
        <v>119</v>
      </c>
      <c r="C36" s="46" t="s">
        <v>120</v>
      </c>
      <c r="D36" s="46" t="s">
        <v>123</v>
      </c>
      <c r="E36" s="46" t="s">
        <v>94</v>
      </c>
      <c r="F36" s="47">
        <v>35</v>
      </c>
      <c r="G36" s="46" t="s">
        <v>35</v>
      </c>
      <c r="H36" s="48">
        <v>4.08</v>
      </c>
      <c r="I36" s="48">
        <f t="shared" si="1"/>
        <v>142.80000000000001</v>
      </c>
      <c r="J36" s="46" t="s">
        <v>95</v>
      </c>
    </row>
    <row r="37" spans="1:10" x14ac:dyDescent="0.25">
      <c r="A37" s="46" t="s">
        <v>24</v>
      </c>
      <c r="B37" s="46" t="s">
        <v>119</v>
      </c>
      <c r="C37" s="46" t="s">
        <v>124</v>
      </c>
      <c r="D37" s="46" t="s">
        <v>125</v>
      </c>
      <c r="E37" s="46" t="s">
        <v>94</v>
      </c>
      <c r="F37" s="47">
        <v>485</v>
      </c>
      <c r="G37" s="46" t="s">
        <v>35</v>
      </c>
      <c r="H37" s="48">
        <v>1.66</v>
      </c>
      <c r="I37" s="48">
        <f t="shared" si="1"/>
        <v>805.09999999999991</v>
      </c>
      <c r="J37" s="46" t="s">
        <v>95</v>
      </c>
    </row>
    <row r="38" spans="1:10" x14ac:dyDescent="0.25">
      <c r="A38" s="46" t="s">
        <v>24</v>
      </c>
      <c r="B38" s="46" t="s">
        <v>119</v>
      </c>
      <c r="C38" s="46" t="s">
        <v>124</v>
      </c>
      <c r="D38" s="46" t="s">
        <v>126</v>
      </c>
      <c r="E38" s="46" t="s">
        <v>94</v>
      </c>
      <c r="F38" s="47">
        <v>5</v>
      </c>
      <c r="G38" s="46" t="s">
        <v>35</v>
      </c>
      <c r="H38" s="48">
        <v>1.66</v>
      </c>
      <c r="I38" s="48">
        <f t="shared" si="1"/>
        <v>8.2999999999999989</v>
      </c>
      <c r="J38" s="46" t="s">
        <v>95</v>
      </c>
    </row>
    <row r="39" spans="1:10" x14ac:dyDescent="0.25">
      <c r="A39" s="46" t="s">
        <v>24</v>
      </c>
      <c r="B39" s="46" t="s">
        <v>119</v>
      </c>
      <c r="C39" s="46" t="s">
        <v>127</v>
      </c>
      <c r="D39" s="46" t="s">
        <v>128</v>
      </c>
      <c r="E39" s="46" t="s">
        <v>94</v>
      </c>
      <c r="F39" s="47">
        <v>30</v>
      </c>
      <c r="G39" s="46" t="s">
        <v>35</v>
      </c>
      <c r="H39" s="48">
        <v>2.5</v>
      </c>
      <c r="I39" s="48">
        <f t="shared" si="1"/>
        <v>75</v>
      </c>
      <c r="J39" s="46" t="s">
        <v>95</v>
      </c>
    </row>
    <row r="40" spans="1:10" x14ac:dyDescent="0.25">
      <c r="A40" s="46" t="s">
        <v>24</v>
      </c>
      <c r="B40" s="46" t="s">
        <v>119</v>
      </c>
      <c r="C40" s="46" t="s">
        <v>127</v>
      </c>
      <c r="D40" s="46" t="s">
        <v>129</v>
      </c>
      <c r="E40" s="46" t="s">
        <v>94</v>
      </c>
      <c r="F40" s="47">
        <v>50</v>
      </c>
      <c r="G40" s="46" t="s">
        <v>35</v>
      </c>
      <c r="H40" s="48">
        <v>2.5</v>
      </c>
      <c r="I40" s="48">
        <f t="shared" si="1"/>
        <v>125</v>
      </c>
      <c r="J40" s="46" t="s">
        <v>95</v>
      </c>
    </row>
    <row r="41" spans="1:10" x14ac:dyDescent="0.25">
      <c r="A41" s="46" t="s">
        <v>24</v>
      </c>
      <c r="B41" s="46" t="s">
        <v>119</v>
      </c>
      <c r="C41" s="46" t="s">
        <v>130</v>
      </c>
      <c r="D41" s="46" t="s">
        <v>131</v>
      </c>
      <c r="E41" s="46" t="s">
        <v>94</v>
      </c>
      <c r="F41" s="47">
        <v>1075</v>
      </c>
      <c r="G41" s="46" t="s">
        <v>35</v>
      </c>
      <c r="H41" s="48">
        <v>9.8000000000000007</v>
      </c>
      <c r="I41" s="48">
        <f t="shared" si="1"/>
        <v>10535</v>
      </c>
      <c r="J41" s="46" t="s">
        <v>95</v>
      </c>
    </row>
    <row r="42" spans="1:10" x14ac:dyDescent="0.25">
      <c r="A42" s="46" t="s">
        <v>24</v>
      </c>
      <c r="B42" s="46" t="s">
        <v>119</v>
      </c>
      <c r="C42" s="46" t="s">
        <v>130</v>
      </c>
      <c r="D42" s="46" t="s">
        <v>132</v>
      </c>
      <c r="E42" s="46" t="s">
        <v>94</v>
      </c>
      <c r="F42" s="47">
        <v>255</v>
      </c>
      <c r="G42" s="46" t="s">
        <v>35</v>
      </c>
      <c r="H42" s="48">
        <v>9.8000000000000007</v>
      </c>
      <c r="I42" s="48">
        <f t="shared" si="1"/>
        <v>2499</v>
      </c>
      <c r="J42" s="46" t="s">
        <v>95</v>
      </c>
    </row>
    <row r="43" spans="1:10" x14ac:dyDescent="0.25">
      <c r="A43" s="46" t="s">
        <v>24</v>
      </c>
      <c r="B43" s="46" t="s">
        <v>119</v>
      </c>
      <c r="C43" s="46" t="s">
        <v>133</v>
      </c>
      <c r="D43" s="46" t="s">
        <v>131</v>
      </c>
      <c r="E43" s="46" t="s">
        <v>94</v>
      </c>
      <c r="F43" s="47">
        <v>1045</v>
      </c>
      <c r="G43" s="46" t="s">
        <v>35</v>
      </c>
      <c r="H43" s="48">
        <v>1.2</v>
      </c>
      <c r="I43" s="48">
        <f t="shared" si="1"/>
        <v>1254</v>
      </c>
      <c r="J43" s="46" t="s">
        <v>95</v>
      </c>
    </row>
    <row r="44" spans="1:10" x14ac:dyDescent="0.25">
      <c r="A44" s="46" t="s">
        <v>24</v>
      </c>
      <c r="B44" s="46" t="s">
        <v>119</v>
      </c>
      <c r="C44" s="46" t="s">
        <v>133</v>
      </c>
      <c r="D44" s="46" t="s">
        <v>132</v>
      </c>
      <c r="E44" s="46" t="s">
        <v>94</v>
      </c>
      <c r="F44" s="47">
        <v>220</v>
      </c>
      <c r="G44" s="46" t="s">
        <v>35</v>
      </c>
      <c r="H44" s="48">
        <v>1.2</v>
      </c>
      <c r="I44" s="48">
        <f t="shared" si="1"/>
        <v>264</v>
      </c>
      <c r="J44" s="46" t="s">
        <v>95</v>
      </c>
    </row>
    <row r="45" spans="1:10" x14ac:dyDescent="0.25">
      <c r="A45" s="46" t="s">
        <v>24</v>
      </c>
      <c r="B45" s="46" t="s">
        <v>119</v>
      </c>
      <c r="C45" s="46" t="s">
        <v>133</v>
      </c>
      <c r="D45" s="46" t="s">
        <v>134</v>
      </c>
      <c r="E45" s="46" t="s">
        <v>94</v>
      </c>
      <c r="F45" s="47">
        <v>10</v>
      </c>
      <c r="G45" s="46" t="s">
        <v>35</v>
      </c>
      <c r="H45" s="48">
        <v>1.2</v>
      </c>
      <c r="I45" s="48">
        <f t="shared" si="1"/>
        <v>12</v>
      </c>
      <c r="J45" s="46" t="s">
        <v>95</v>
      </c>
    </row>
    <row r="46" spans="1:10" x14ac:dyDescent="0.25">
      <c r="A46" s="46" t="s">
        <v>24</v>
      </c>
      <c r="B46" s="46" t="s">
        <v>119</v>
      </c>
      <c r="C46" s="46" t="s">
        <v>133</v>
      </c>
      <c r="D46" s="46" t="s">
        <v>135</v>
      </c>
      <c r="E46" s="46" t="s">
        <v>94</v>
      </c>
      <c r="F46" s="47">
        <v>15</v>
      </c>
      <c r="G46" s="46" t="s">
        <v>35</v>
      </c>
      <c r="H46" s="48">
        <v>1.2</v>
      </c>
      <c r="I46" s="48">
        <f t="shared" si="1"/>
        <v>18</v>
      </c>
      <c r="J46" s="46" t="s">
        <v>95</v>
      </c>
    </row>
    <row r="47" spans="1:10" x14ac:dyDescent="0.25">
      <c r="A47" s="46" t="s">
        <v>24</v>
      </c>
      <c r="B47" s="46" t="s">
        <v>119</v>
      </c>
      <c r="C47" s="46" t="s">
        <v>133</v>
      </c>
      <c r="D47" s="46" t="s">
        <v>136</v>
      </c>
      <c r="E47" s="46" t="s">
        <v>94</v>
      </c>
      <c r="F47" s="47">
        <v>15</v>
      </c>
      <c r="G47" s="46" t="s">
        <v>35</v>
      </c>
      <c r="H47" s="48">
        <v>1.2</v>
      </c>
      <c r="I47" s="48">
        <f t="shared" si="1"/>
        <v>18</v>
      </c>
      <c r="J47" s="46" t="s">
        <v>95</v>
      </c>
    </row>
    <row r="48" spans="1:10" x14ac:dyDescent="0.25">
      <c r="A48" s="46" t="s">
        <v>24</v>
      </c>
      <c r="B48" s="46" t="s">
        <v>119</v>
      </c>
      <c r="C48" s="46" t="s">
        <v>133</v>
      </c>
      <c r="D48" s="46" t="s">
        <v>137</v>
      </c>
      <c r="E48" s="46" t="s">
        <v>94</v>
      </c>
      <c r="F48" s="47">
        <v>5</v>
      </c>
      <c r="G48" s="46" t="s">
        <v>35</v>
      </c>
      <c r="H48" s="48">
        <v>1.2</v>
      </c>
      <c r="I48" s="48">
        <f t="shared" si="1"/>
        <v>6</v>
      </c>
      <c r="J48" s="46" t="s">
        <v>95</v>
      </c>
    </row>
    <row r="49" spans="1:10" x14ac:dyDescent="0.25">
      <c r="A49" s="46" t="s">
        <v>24</v>
      </c>
      <c r="B49" s="46" t="s">
        <v>119</v>
      </c>
      <c r="C49" s="46" t="s">
        <v>138</v>
      </c>
      <c r="D49" s="46" t="s">
        <v>125</v>
      </c>
      <c r="E49" s="46" t="s">
        <v>94</v>
      </c>
      <c r="F49" s="47">
        <v>10</v>
      </c>
      <c r="G49" s="46" t="s">
        <v>35</v>
      </c>
      <c r="H49" s="48">
        <v>1.5</v>
      </c>
      <c r="I49" s="48">
        <f t="shared" si="1"/>
        <v>15</v>
      </c>
      <c r="J49" s="46" t="s">
        <v>95</v>
      </c>
    </row>
    <row r="50" spans="1:10" x14ac:dyDescent="0.25">
      <c r="A50" s="46" t="s">
        <v>24</v>
      </c>
      <c r="B50" s="46" t="s">
        <v>119</v>
      </c>
      <c r="C50" s="46" t="s">
        <v>139</v>
      </c>
      <c r="D50" s="46" t="s">
        <v>131</v>
      </c>
      <c r="E50" s="46" t="s">
        <v>94</v>
      </c>
      <c r="F50" s="47">
        <v>195</v>
      </c>
      <c r="G50" s="46" t="s">
        <v>35</v>
      </c>
      <c r="H50" s="48">
        <v>2.5</v>
      </c>
      <c r="I50" s="48">
        <f t="shared" si="1"/>
        <v>487.5</v>
      </c>
      <c r="J50" s="46" t="s">
        <v>95</v>
      </c>
    </row>
    <row r="51" spans="1:10" x14ac:dyDescent="0.25">
      <c r="A51" s="46" t="s">
        <v>24</v>
      </c>
      <c r="B51" s="46" t="s">
        <v>119</v>
      </c>
      <c r="C51" s="46" t="s">
        <v>140</v>
      </c>
      <c r="D51" s="46" t="s">
        <v>141</v>
      </c>
      <c r="E51" s="46" t="s">
        <v>94</v>
      </c>
      <c r="F51" s="47">
        <v>2915</v>
      </c>
      <c r="G51" s="46" t="s">
        <v>35</v>
      </c>
      <c r="H51" s="48">
        <v>4.5</v>
      </c>
      <c r="I51" s="48">
        <f t="shared" si="1"/>
        <v>13117.5</v>
      </c>
      <c r="J51" s="46" t="s">
        <v>95</v>
      </c>
    </row>
    <row r="52" spans="1:10" x14ac:dyDescent="0.25">
      <c r="A52" s="46" t="s">
        <v>24</v>
      </c>
      <c r="B52" s="46" t="s">
        <v>119</v>
      </c>
      <c r="C52" s="46" t="s">
        <v>142</v>
      </c>
      <c r="D52" s="46" t="s">
        <v>131</v>
      </c>
      <c r="E52" s="46" t="s">
        <v>94</v>
      </c>
      <c r="F52" s="47">
        <v>7545</v>
      </c>
      <c r="G52" s="46" t="s">
        <v>35</v>
      </c>
      <c r="H52" s="48">
        <v>0.78</v>
      </c>
      <c r="I52" s="48">
        <f t="shared" si="1"/>
        <v>5885.1</v>
      </c>
      <c r="J52" s="46" t="s">
        <v>95</v>
      </c>
    </row>
    <row r="53" spans="1:10" x14ac:dyDescent="0.25">
      <c r="A53" s="46" t="s">
        <v>24</v>
      </c>
      <c r="B53" s="46" t="s">
        <v>119</v>
      </c>
      <c r="C53" s="46" t="s">
        <v>142</v>
      </c>
      <c r="D53" s="46" t="s">
        <v>132</v>
      </c>
      <c r="E53" s="46" t="s">
        <v>94</v>
      </c>
      <c r="F53" s="47">
        <v>1550</v>
      </c>
      <c r="G53" s="46" t="s">
        <v>35</v>
      </c>
      <c r="H53" s="48">
        <v>0.78</v>
      </c>
      <c r="I53" s="48">
        <f t="shared" si="1"/>
        <v>1209</v>
      </c>
      <c r="J53" s="46" t="s">
        <v>95</v>
      </c>
    </row>
    <row r="54" spans="1:10" x14ac:dyDescent="0.25">
      <c r="A54" s="46" t="s">
        <v>24</v>
      </c>
      <c r="B54" s="46" t="s">
        <v>119</v>
      </c>
      <c r="C54" s="46" t="s">
        <v>142</v>
      </c>
      <c r="D54" s="46" t="s">
        <v>134</v>
      </c>
      <c r="E54" s="46" t="s">
        <v>94</v>
      </c>
      <c r="F54" s="47">
        <v>20</v>
      </c>
      <c r="G54" s="46" t="s">
        <v>35</v>
      </c>
      <c r="H54" s="48">
        <v>0.78</v>
      </c>
      <c r="I54" s="48">
        <f t="shared" si="1"/>
        <v>15.600000000000001</v>
      </c>
      <c r="J54" s="46" t="s">
        <v>95</v>
      </c>
    </row>
    <row r="55" spans="1:10" x14ac:dyDescent="0.25">
      <c r="A55" s="46" t="s">
        <v>24</v>
      </c>
      <c r="B55" s="46" t="s">
        <v>119</v>
      </c>
      <c r="C55" s="46" t="s">
        <v>142</v>
      </c>
      <c r="D55" s="46" t="s">
        <v>135</v>
      </c>
      <c r="E55" s="46" t="s">
        <v>94</v>
      </c>
      <c r="F55" s="47">
        <v>25</v>
      </c>
      <c r="G55" s="46" t="s">
        <v>35</v>
      </c>
      <c r="H55" s="48">
        <v>0.78</v>
      </c>
      <c r="I55" s="48">
        <f t="shared" si="1"/>
        <v>19.5</v>
      </c>
      <c r="J55" s="46" t="s">
        <v>95</v>
      </c>
    </row>
    <row r="56" spans="1:10" x14ac:dyDescent="0.25">
      <c r="A56" s="46" t="s">
        <v>24</v>
      </c>
      <c r="B56" s="46" t="s">
        <v>119</v>
      </c>
      <c r="C56" s="46" t="s">
        <v>142</v>
      </c>
      <c r="D56" s="46" t="s">
        <v>136</v>
      </c>
      <c r="E56" s="46" t="s">
        <v>94</v>
      </c>
      <c r="F56" s="47">
        <v>20</v>
      </c>
      <c r="G56" s="46" t="s">
        <v>35</v>
      </c>
      <c r="H56" s="48">
        <v>0.78</v>
      </c>
      <c r="I56" s="48">
        <f t="shared" si="1"/>
        <v>15.600000000000001</v>
      </c>
      <c r="J56" s="46" t="s">
        <v>95</v>
      </c>
    </row>
    <row r="57" spans="1:10" x14ac:dyDescent="0.25">
      <c r="A57" s="46" t="s">
        <v>24</v>
      </c>
      <c r="B57" s="46" t="s">
        <v>119</v>
      </c>
      <c r="C57" s="46" t="s">
        <v>142</v>
      </c>
      <c r="D57" s="46" t="s">
        <v>137</v>
      </c>
      <c r="E57" s="46" t="s">
        <v>94</v>
      </c>
      <c r="F57" s="47">
        <v>10</v>
      </c>
      <c r="G57" s="46" t="s">
        <v>35</v>
      </c>
      <c r="H57" s="48">
        <v>0.78</v>
      </c>
      <c r="I57" s="48">
        <f t="shared" si="1"/>
        <v>7.8000000000000007</v>
      </c>
      <c r="J57" s="46" t="s">
        <v>95</v>
      </c>
    </row>
    <row r="58" spans="1:10" x14ac:dyDescent="0.25">
      <c r="A58" s="46" t="s">
        <v>24</v>
      </c>
      <c r="B58" s="46" t="s">
        <v>119</v>
      </c>
      <c r="C58" s="46" t="s">
        <v>143</v>
      </c>
      <c r="D58" s="46" t="s">
        <v>141</v>
      </c>
      <c r="E58" s="46" t="s">
        <v>94</v>
      </c>
      <c r="F58" s="47">
        <v>365</v>
      </c>
      <c r="G58" s="46" t="s">
        <v>35</v>
      </c>
      <c r="H58" s="48">
        <v>3.5</v>
      </c>
      <c r="I58" s="48">
        <f t="shared" si="1"/>
        <v>1277.5</v>
      </c>
      <c r="J58" s="46" t="s">
        <v>95</v>
      </c>
    </row>
    <row r="59" spans="1:10" x14ac:dyDescent="0.25">
      <c r="A59" s="46" t="s">
        <v>24</v>
      </c>
      <c r="B59" s="46" t="s">
        <v>119</v>
      </c>
      <c r="C59" s="46" t="s">
        <v>144</v>
      </c>
      <c r="D59" s="46" t="s">
        <v>137</v>
      </c>
      <c r="E59" s="46" t="s">
        <v>94</v>
      </c>
      <c r="F59" s="47">
        <v>5</v>
      </c>
      <c r="G59" s="46" t="s">
        <v>35</v>
      </c>
      <c r="H59" s="48">
        <v>2.5</v>
      </c>
      <c r="I59" s="48">
        <f t="shared" si="1"/>
        <v>12.5</v>
      </c>
      <c r="J59" s="46" t="s">
        <v>95</v>
      </c>
    </row>
    <row r="60" spans="1:10" x14ac:dyDescent="0.25">
      <c r="A60" s="46" t="s">
        <v>24</v>
      </c>
      <c r="B60" s="46" t="s">
        <v>119</v>
      </c>
      <c r="C60" s="46" t="s">
        <v>145</v>
      </c>
      <c r="D60" s="46" t="s">
        <v>121</v>
      </c>
      <c r="E60" s="46" t="s">
        <v>94</v>
      </c>
      <c r="F60" s="47">
        <v>660</v>
      </c>
      <c r="G60" s="46" t="s">
        <v>35</v>
      </c>
      <c r="H60" s="48">
        <v>2.5</v>
      </c>
      <c r="I60" s="48">
        <f t="shared" si="1"/>
        <v>1650</v>
      </c>
      <c r="J60" s="46" t="s">
        <v>95</v>
      </c>
    </row>
    <row r="61" spans="1:10" x14ac:dyDescent="0.25">
      <c r="A61" s="46" t="s">
        <v>24</v>
      </c>
      <c r="B61" s="46" t="s">
        <v>119</v>
      </c>
      <c r="C61" s="46" t="s">
        <v>145</v>
      </c>
      <c r="D61" s="46" t="s">
        <v>122</v>
      </c>
      <c r="E61" s="46" t="s">
        <v>94</v>
      </c>
      <c r="F61" s="47">
        <v>395</v>
      </c>
      <c r="G61" s="46" t="s">
        <v>35</v>
      </c>
      <c r="H61" s="48">
        <v>2.5</v>
      </c>
      <c r="I61" s="48">
        <f t="shared" si="1"/>
        <v>987.5</v>
      </c>
      <c r="J61" s="46" t="s">
        <v>95</v>
      </c>
    </row>
    <row r="62" spans="1:10" x14ac:dyDescent="0.25">
      <c r="A62" s="46" t="s">
        <v>24</v>
      </c>
      <c r="B62" s="46" t="s">
        <v>119</v>
      </c>
      <c r="C62" s="46" t="s">
        <v>145</v>
      </c>
      <c r="D62" s="46" t="s">
        <v>146</v>
      </c>
      <c r="E62" s="46" t="s">
        <v>94</v>
      </c>
      <c r="F62" s="47">
        <v>5</v>
      </c>
      <c r="G62" s="46" t="s">
        <v>35</v>
      </c>
      <c r="H62" s="48">
        <v>2.5</v>
      </c>
      <c r="I62" s="48">
        <f t="shared" si="1"/>
        <v>12.5</v>
      </c>
      <c r="J62" s="46" t="s">
        <v>95</v>
      </c>
    </row>
    <row r="63" spans="1:10" x14ac:dyDescent="0.25">
      <c r="A63" s="46" t="s">
        <v>24</v>
      </c>
      <c r="B63" s="46" t="s">
        <v>119</v>
      </c>
      <c r="C63" s="46" t="s">
        <v>145</v>
      </c>
      <c r="D63" s="46" t="s">
        <v>123</v>
      </c>
      <c r="E63" s="46" t="s">
        <v>94</v>
      </c>
      <c r="F63" s="47">
        <v>5</v>
      </c>
      <c r="G63" s="46" t="s">
        <v>35</v>
      </c>
      <c r="H63" s="48">
        <v>2.5</v>
      </c>
      <c r="I63" s="48">
        <f t="shared" si="1"/>
        <v>12.5</v>
      </c>
      <c r="J63" s="46" t="s">
        <v>95</v>
      </c>
    </row>
    <row r="64" spans="1:10" x14ac:dyDescent="0.25">
      <c r="A64" s="46" t="s">
        <v>24</v>
      </c>
      <c r="B64" s="46" t="s">
        <v>119</v>
      </c>
      <c r="C64" s="46" t="s">
        <v>147</v>
      </c>
      <c r="D64" s="46" t="s">
        <v>131</v>
      </c>
      <c r="E64" s="46" t="s">
        <v>94</v>
      </c>
      <c r="F64" s="47">
        <v>5</v>
      </c>
      <c r="G64" s="46" t="s">
        <v>35</v>
      </c>
      <c r="H64" s="48">
        <v>31.72</v>
      </c>
      <c r="I64" s="48">
        <f t="shared" si="1"/>
        <v>158.6</v>
      </c>
      <c r="J64" s="46" t="s">
        <v>95</v>
      </c>
    </row>
    <row r="65" spans="1:10" x14ac:dyDescent="0.25">
      <c r="A65" s="46" t="s">
        <v>24</v>
      </c>
      <c r="B65" s="46" t="s">
        <v>119</v>
      </c>
      <c r="C65" s="46" t="s">
        <v>147</v>
      </c>
      <c r="D65" s="46" t="s">
        <v>132</v>
      </c>
      <c r="E65" s="46" t="s">
        <v>94</v>
      </c>
      <c r="F65" s="47">
        <v>205</v>
      </c>
      <c r="G65" s="46" t="s">
        <v>35</v>
      </c>
      <c r="H65" s="48">
        <v>31.72</v>
      </c>
      <c r="I65" s="48">
        <f t="shared" si="1"/>
        <v>6502.5999999999995</v>
      </c>
      <c r="J65" s="46" t="s">
        <v>95</v>
      </c>
    </row>
    <row r="66" spans="1:10" x14ac:dyDescent="0.25">
      <c r="A66" s="46" t="s">
        <v>24</v>
      </c>
      <c r="B66" s="46" t="s">
        <v>119</v>
      </c>
      <c r="C66" s="46" t="s">
        <v>147</v>
      </c>
      <c r="D66" s="46" t="s">
        <v>136</v>
      </c>
      <c r="E66" s="46" t="s">
        <v>94</v>
      </c>
      <c r="F66" s="47">
        <v>5</v>
      </c>
      <c r="G66" s="46" t="s">
        <v>35</v>
      </c>
      <c r="H66" s="48">
        <v>31.72</v>
      </c>
      <c r="I66" s="48">
        <f t="shared" ref="I66:I97" si="2">F66*H66</f>
        <v>158.6</v>
      </c>
      <c r="J66" s="46" t="s">
        <v>95</v>
      </c>
    </row>
    <row r="67" spans="1:10" x14ac:dyDescent="0.25">
      <c r="A67" s="46" t="s">
        <v>24</v>
      </c>
      <c r="B67" s="46" t="s">
        <v>119</v>
      </c>
      <c r="C67" s="46" t="s">
        <v>148</v>
      </c>
      <c r="D67" s="46" t="s">
        <v>149</v>
      </c>
      <c r="E67" s="46" t="s">
        <v>94</v>
      </c>
      <c r="F67" s="47">
        <v>15</v>
      </c>
      <c r="G67" s="46" t="s">
        <v>35</v>
      </c>
      <c r="H67" s="48">
        <v>8</v>
      </c>
      <c r="I67" s="48">
        <f t="shared" si="2"/>
        <v>120</v>
      </c>
      <c r="J67" s="46" t="s">
        <v>150</v>
      </c>
    </row>
    <row r="68" spans="1:10" x14ac:dyDescent="0.25">
      <c r="A68" s="46" t="s">
        <v>24</v>
      </c>
      <c r="B68" s="46" t="s">
        <v>119</v>
      </c>
      <c r="C68" s="46" t="s">
        <v>148</v>
      </c>
      <c r="D68" s="46" t="s">
        <v>151</v>
      </c>
      <c r="E68" s="46" t="s">
        <v>94</v>
      </c>
      <c r="F68" s="47">
        <v>100</v>
      </c>
      <c r="G68" s="46" t="s">
        <v>35</v>
      </c>
      <c r="H68" s="48">
        <v>12</v>
      </c>
      <c r="I68" s="48">
        <f t="shared" si="2"/>
        <v>1200</v>
      </c>
      <c r="J68" s="46" t="s">
        <v>150</v>
      </c>
    </row>
    <row r="69" spans="1:10" x14ac:dyDescent="0.25">
      <c r="A69" s="46" t="s">
        <v>24</v>
      </c>
      <c r="B69" s="46" t="s">
        <v>119</v>
      </c>
      <c r="C69" s="46" t="s">
        <v>152</v>
      </c>
      <c r="D69" s="46" t="s">
        <v>141</v>
      </c>
      <c r="E69" s="46" t="s">
        <v>94</v>
      </c>
      <c r="F69" s="47">
        <v>130</v>
      </c>
      <c r="G69" s="46" t="s">
        <v>35</v>
      </c>
      <c r="H69" s="48">
        <v>1.55</v>
      </c>
      <c r="I69" s="48">
        <f t="shared" si="2"/>
        <v>201.5</v>
      </c>
      <c r="J69" s="46" t="s">
        <v>95</v>
      </c>
    </row>
    <row r="70" spans="1:10" x14ac:dyDescent="0.25">
      <c r="A70" s="46" t="s">
        <v>24</v>
      </c>
      <c r="B70" s="46" t="s">
        <v>119</v>
      </c>
      <c r="C70" s="46" t="s">
        <v>153</v>
      </c>
      <c r="D70" s="46" t="s">
        <v>154</v>
      </c>
      <c r="E70" s="46" t="s">
        <v>94</v>
      </c>
      <c r="F70" s="47">
        <v>1860</v>
      </c>
      <c r="G70" s="46" t="s">
        <v>35</v>
      </c>
      <c r="H70" s="48">
        <v>1.55</v>
      </c>
      <c r="I70" s="48">
        <f t="shared" si="2"/>
        <v>2883</v>
      </c>
      <c r="J70" s="46" t="s">
        <v>95</v>
      </c>
    </row>
    <row r="71" spans="1:10" x14ac:dyDescent="0.25">
      <c r="A71" s="46" t="s">
        <v>24</v>
      </c>
      <c r="B71" s="46" t="s">
        <v>119</v>
      </c>
      <c r="C71" s="46" t="s">
        <v>153</v>
      </c>
      <c r="D71" s="46" t="s">
        <v>155</v>
      </c>
      <c r="E71" s="46" t="s">
        <v>94</v>
      </c>
      <c r="F71" s="47">
        <v>475</v>
      </c>
      <c r="G71" s="46" t="s">
        <v>35</v>
      </c>
      <c r="H71" s="48">
        <v>1.55</v>
      </c>
      <c r="I71" s="48">
        <f t="shared" si="2"/>
        <v>736.25</v>
      </c>
      <c r="J71" s="46" t="s">
        <v>95</v>
      </c>
    </row>
    <row r="72" spans="1:10" x14ac:dyDescent="0.25">
      <c r="A72" s="46" t="s">
        <v>24</v>
      </c>
      <c r="B72" s="46" t="s">
        <v>119</v>
      </c>
      <c r="C72" s="46" t="s">
        <v>153</v>
      </c>
      <c r="D72" s="46" t="s">
        <v>156</v>
      </c>
      <c r="E72" s="46" t="s">
        <v>94</v>
      </c>
      <c r="F72" s="47">
        <v>5</v>
      </c>
      <c r="G72" s="46" t="s">
        <v>35</v>
      </c>
      <c r="H72" s="48">
        <v>1.55</v>
      </c>
      <c r="I72" s="48">
        <f t="shared" si="2"/>
        <v>7.75</v>
      </c>
      <c r="J72" s="46" t="s">
        <v>95</v>
      </c>
    </row>
    <row r="73" spans="1:10" x14ac:dyDescent="0.25">
      <c r="A73" s="46" t="s">
        <v>24</v>
      </c>
      <c r="B73" s="46" t="s">
        <v>119</v>
      </c>
      <c r="C73" s="46" t="s">
        <v>153</v>
      </c>
      <c r="D73" s="46" t="s">
        <v>157</v>
      </c>
      <c r="E73" s="46" t="s">
        <v>94</v>
      </c>
      <c r="F73" s="47">
        <v>70</v>
      </c>
      <c r="G73" s="46" t="s">
        <v>35</v>
      </c>
      <c r="H73" s="48">
        <v>1.55</v>
      </c>
      <c r="I73" s="48">
        <f t="shared" si="2"/>
        <v>108.5</v>
      </c>
      <c r="J73" s="46" t="s">
        <v>95</v>
      </c>
    </row>
    <row r="74" spans="1:10" x14ac:dyDescent="0.25">
      <c r="A74" s="46" t="s">
        <v>24</v>
      </c>
      <c r="B74" s="46" t="s">
        <v>119</v>
      </c>
      <c r="C74" s="46" t="s">
        <v>153</v>
      </c>
      <c r="D74" s="46" t="s">
        <v>158</v>
      </c>
      <c r="E74" s="46" t="s">
        <v>94</v>
      </c>
      <c r="F74" s="47">
        <v>10</v>
      </c>
      <c r="G74" s="46" t="s">
        <v>35</v>
      </c>
      <c r="H74" s="48">
        <v>1.55</v>
      </c>
      <c r="I74" s="48">
        <f t="shared" si="2"/>
        <v>15.5</v>
      </c>
      <c r="J74" s="46" t="s">
        <v>95</v>
      </c>
    </row>
    <row r="75" spans="1:10" x14ac:dyDescent="0.25">
      <c r="A75" s="46" t="s">
        <v>24</v>
      </c>
      <c r="B75" s="46" t="s">
        <v>119</v>
      </c>
      <c r="C75" s="46" t="s">
        <v>153</v>
      </c>
      <c r="D75" s="46" t="s">
        <v>159</v>
      </c>
      <c r="E75" s="46" t="s">
        <v>94</v>
      </c>
      <c r="F75" s="47">
        <v>5</v>
      </c>
      <c r="G75" s="46" t="s">
        <v>35</v>
      </c>
      <c r="H75" s="48">
        <v>1.55</v>
      </c>
      <c r="I75" s="48">
        <f t="shared" si="2"/>
        <v>7.75</v>
      </c>
      <c r="J75" s="46" t="s">
        <v>95</v>
      </c>
    </row>
    <row r="76" spans="1:10" x14ac:dyDescent="0.25">
      <c r="A76" s="46" t="s">
        <v>24</v>
      </c>
      <c r="B76" s="46" t="s">
        <v>119</v>
      </c>
      <c r="C76" s="46" t="s">
        <v>160</v>
      </c>
      <c r="D76" s="46" t="s">
        <v>141</v>
      </c>
      <c r="E76" s="46" t="s">
        <v>94</v>
      </c>
      <c r="F76" s="47">
        <v>175</v>
      </c>
      <c r="G76" s="46" t="s">
        <v>35</v>
      </c>
      <c r="H76" s="48">
        <v>1.55</v>
      </c>
      <c r="I76" s="48">
        <f t="shared" si="2"/>
        <v>271.25</v>
      </c>
      <c r="J76" s="46" t="s">
        <v>95</v>
      </c>
    </row>
    <row r="77" spans="1:10" x14ac:dyDescent="0.25">
      <c r="A77" s="46" t="s">
        <v>24</v>
      </c>
      <c r="B77" s="46" t="s">
        <v>119</v>
      </c>
      <c r="C77" s="46" t="s">
        <v>161</v>
      </c>
      <c r="D77" s="46" t="s">
        <v>125</v>
      </c>
      <c r="E77" s="46" t="s">
        <v>94</v>
      </c>
      <c r="F77" s="47">
        <v>935</v>
      </c>
      <c r="G77" s="46" t="s">
        <v>35</v>
      </c>
      <c r="H77" s="48">
        <v>2.5</v>
      </c>
      <c r="I77" s="48">
        <f t="shared" si="2"/>
        <v>2337.5</v>
      </c>
      <c r="J77" s="46" t="s">
        <v>95</v>
      </c>
    </row>
    <row r="78" spans="1:10" x14ac:dyDescent="0.25">
      <c r="A78" s="46" t="s">
        <v>24</v>
      </c>
      <c r="B78" s="46" t="s">
        <v>119</v>
      </c>
      <c r="C78" s="46" t="s">
        <v>161</v>
      </c>
      <c r="D78" s="46" t="s">
        <v>162</v>
      </c>
      <c r="E78" s="46" t="s">
        <v>94</v>
      </c>
      <c r="F78" s="47">
        <v>5</v>
      </c>
      <c r="G78" s="46" t="s">
        <v>35</v>
      </c>
      <c r="H78" s="48">
        <v>2.5</v>
      </c>
      <c r="I78" s="48">
        <f t="shared" si="2"/>
        <v>12.5</v>
      </c>
      <c r="J78" s="46" t="s">
        <v>95</v>
      </c>
    </row>
    <row r="79" spans="1:10" x14ac:dyDescent="0.25">
      <c r="A79" s="46" t="s">
        <v>24</v>
      </c>
      <c r="B79" s="46" t="s">
        <v>119</v>
      </c>
      <c r="C79" s="46" t="s">
        <v>161</v>
      </c>
      <c r="D79" s="46" t="s">
        <v>126</v>
      </c>
      <c r="E79" s="46" t="s">
        <v>94</v>
      </c>
      <c r="F79" s="47">
        <v>35</v>
      </c>
      <c r="G79" s="46" t="s">
        <v>35</v>
      </c>
      <c r="H79" s="48">
        <v>2.5</v>
      </c>
      <c r="I79" s="48">
        <f t="shared" si="2"/>
        <v>87.5</v>
      </c>
      <c r="J79" s="46" t="s">
        <v>95</v>
      </c>
    </row>
    <row r="80" spans="1:10" x14ac:dyDescent="0.25">
      <c r="A80" s="46" t="s">
        <v>24</v>
      </c>
      <c r="B80" s="46" t="s">
        <v>119</v>
      </c>
      <c r="C80" s="46" t="s">
        <v>161</v>
      </c>
      <c r="D80" s="46" t="s">
        <v>129</v>
      </c>
      <c r="E80" s="46" t="s">
        <v>94</v>
      </c>
      <c r="F80" s="47">
        <v>150</v>
      </c>
      <c r="G80" s="46" t="s">
        <v>35</v>
      </c>
      <c r="H80" s="48">
        <v>2.5</v>
      </c>
      <c r="I80" s="48">
        <f t="shared" si="2"/>
        <v>375</v>
      </c>
      <c r="J80" s="46" t="s">
        <v>95</v>
      </c>
    </row>
    <row r="81" spans="1:10" x14ac:dyDescent="0.25">
      <c r="A81" s="46" t="s">
        <v>24</v>
      </c>
      <c r="B81" s="46" t="s">
        <v>119</v>
      </c>
      <c r="C81" s="46" t="s">
        <v>163</v>
      </c>
      <c r="D81" s="46" t="s">
        <v>131</v>
      </c>
      <c r="E81" s="46" t="s">
        <v>94</v>
      </c>
      <c r="F81" s="47">
        <v>10</v>
      </c>
      <c r="G81" s="46" t="s">
        <v>35</v>
      </c>
      <c r="H81" s="48">
        <v>4.53</v>
      </c>
      <c r="I81" s="48">
        <f t="shared" si="2"/>
        <v>45.300000000000004</v>
      </c>
      <c r="J81" s="46" t="s">
        <v>95</v>
      </c>
    </row>
    <row r="82" spans="1:10" x14ac:dyDescent="0.25">
      <c r="A82" s="46" t="s">
        <v>24</v>
      </c>
      <c r="B82" s="46" t="s">
        <v>119</v>
      </c>
      <c r="C82" s="46" t="s">
        <v>163</v>
      </c>
      <c r="D82" s="46" t="s">
        <v>132</v>
      </c>
      <c r="E82" s="46" t="s">
        <v>94</v>
      </c>
      <c r="F82" s="47">
        <v>400</v>
      </c>
      <c r="G82" s="46" t="s">
        <v>35</v>
      </c>
      <c r="H82" s="48">
        <v>4.53</v>
      </c>
      <c r="I82" s="48">
        <f t="shared" si="2"/>
        <v>1812</v>
      </c>
      <c r="J82" s="46" t="s">
        <v>95</v>
      </c>
    </row>
    <row r="83" spans="1:10" x14ac:dyDescent="0.25">
      <c r="A83" s="46" t="s">
        <v>24</v>
      </c>
      <c r="B83" s="46" t="s">
        <v>119</v>
      </c>
      <c r="C83" s="46" t="s">
        <v>163</v>
      </c>
      <c r="D83" s="46" t="s">
        <v>135</v>
      </c>
      <c r="E83" s="46" t="s">
        <v>94</v>
      </c>
      <c r="F83" s="47">
        <v>10</v>
      </c>
      <c r="G83" s="46" t="s">
        <v>35</v>
      </c>
      <c r="H83" s="48">
        <v>4.53</v>
      </c>
      <c r="I83" s="48">
        <f t="shared" si="2"/>
        <v>45.300000000000004</v>
      </c>
      <c r="J83" s="46" t="s">
        <v>95</v>
      </c>
    </row>
    <row r="84" spans="1:10" x14ac:dyDescent="0.25">
      <c r="A84" s="49"/>
      <c r="B84" s="49" t="s">
        <v>164</v>
      </c>
      <c r="C84" s="49"/>
      <c r="D84" s="49"/>
      <c r="E84" s="49"/>
      <c r="F84" s="49"/>
      <c r="G84" s="49"/>
      <c r="H84" s="49"/>
      <c r="I84" s="50">
        <f>SUM(I34:I83)</f>
        <v>67671.7</v>
      </c>
      <c r="J84" s="49"/>
    </row>
    <row r="85" spans="1:10" x14ac:dyDescent="0.25">
      <c r="A85" s="45" t="s">
        <v>24</v>
      </c>
      <c r="B85" s="45" t="s">
        <v>165</v>
      </c>
      <c r="C85" s="45"/>
      <c r="D85" s="45"/>
      <c r="E85" s="45"/>
      <c r="F85" s="45"/>
      <c r="G85" s="45"/>
      <c r="H85" s="45"/>
      <c r="I85" s="45"/>
      <c r="J85" s="45"/>
    </row>
    <row r="86" spans="1:10" x14ac:dyDescent="0.25">
      <c r="A86" s="46" t="s">
        <v>24</v>
      </c>
      <c r="B86" s="46" t="s">
        <v>165</v>
      </c>
      <c r="C86" s="46" t="s">
        <v>166</v>
      </c>
      <c r="D86" s="46" t="s">
        <v>167</v>
      </c>
      <c r="E86" s="46" t="s">
        <v>94</v>
      </c>
      <c r="F86" s="47">
        <v>345</v>
      </c>
      <c r="G86" s="46" t="s">
        <v>35</v>
      </c>
      <c r="H86" s="48">
        <v>5</v>
      </c>
      <c r="I86" s="48">
        <f t="shared" ref="I86:I100" si="3">F86*H86</f>
        <v>1725</v>
      </c>
      <c r="J86" s="46" t="s">
        <v>150</v>
      </c>
    </row>
    <row r="87" spans="1:10" x14ac:dyDescent="0.25">
      <c r="A87" s="46" t="s">
        <v>24</v>
      </c>
      <c r="B87" s="46" t="s">
        <v>165</v>
      </c>
      <c r="C87" s="46" t="s">
        <v>168</v>
      </c>
      <c r="D87" s="46" t="s">
        <v>169</v>
      </c>
      <c r="E87" s="46" t="s">
        <v>94</v>
      </c>
      <c r="F87" s="47">
        <v>3895</v>
      </c>
      <c r="G87" s="46" t="s">
        <v>35</v>
      </c>
      <c r="H87" s="48">
        <v>4.5</v>
      </c>
      <c r="I87" s="48">
        <f t="shared" si="3"/>
        <v>17527.5</v>
      </c>
      <c r="J87" s="46" t="s">
        <v>150</v>
      </c>
    </row>
    <row r="88" spans="1:10" x14ac:dyDescent="0.25">
      <c r="A88" s="46" t="s">
        <v>24</v>
      </c>
      <c r="B88" s="46" t="s">
        <v>165</v>
      </c>
      <c r="C88" s="46" t="s">
        <v>170</v>
      </c>
      <c r="D88" s="46" t="s">
        <v>171</v>
      </c>
      <c r="E88" s="46" t="s">
        <v>94</v>
      </c>
      <c r="F88" s="47">
        <v>320</v>
      </c>
      <c r="G88" s="46" t="s">
        <v>35</v>
      </c>
      <c r="H88" s="48">
        <v>4.5</v>
      </c>
      <c r="I88" s="48">
        <f t="shared" si="3"/>
        <v>1440</v>
      </c>
      <c r="J88" s="46" t="s">
        <v>150</v>
      </c>
    </row>
    <row r="89" spans="1:10" x14ac:dyDescent="0.25">
      <c r="A89" s="46" t="s">
        <v>24</v>
      </c>
      <c r="B89" s="46" t="s">
        <v>165</v>
      </c>
      <c r="C89" s="46" t="s">
        <v>172</v>
      </c>
      <c r="D89" s="46" t="s">
        <v>171</v>
      </c>
      <c r="E89" s="46" t="s">
        <v>94</v>
      </c>
      <c r="F89" s="47">
        <v>485</v>
      </c>
      <c r="G89" s="46" t="s">
        <v>35</v>
      </c>
      <c r="H89" s="48">
        <v>2.25</v>
      </c>
      <c r="I89" s="48">
        <f t="shared" si="3"/>
        <v>1091.25</v>
      </c>
      <c r="J89" s="46" t="s">
        <v>150</v>
      </c>
    </row>
    <row r="90" spans="1:10" x14ac:dyDescent="0.25">
      <c r="A90" s="46" t="s">
        <v>24</v>
      </c>
      <c r="B90" s="46" t="s">
        <v>165</v>
      </c>
      <c r="C90" s="46" t="s">
        <v>172</v>
      </c>
      <c r="D90" s="46" t="s">
        <v>173</v>
      </c>
      <c r="E90" s="46" t="s">
        <v>94</v>
      </c>
      <c r="F90" s="47">
        <v>265</v>
      </c>
      <c r="G90" s="46" t="s">
        <v>35</v>
      </c>
      <c r="H90" s="48">
        <v>2.25</v>
      </c>
      <c r="I90" s="48">
        <f t="shared" si="3"/>
        <v>596.25</v>
      </c>
      <c r="J90" s="46" t="s">
        <v>150</v>
      </c>
    </row>
    <row r="91" spans="1:10" x14ac:dyDescent="0.25">
      <c r="A91" s="46" t="s">
        <v>24</v>
      </c>
      <c r="B91" s="46" t="s">
        <v>165</v>
      </c>
      <c r="C91" s="46" t="s">
        <v>174</v>
      </c>
      <c r="D91" s="46" t="s">
        <v>171</v>
      </c>
      <c r="E91" s="46" t="s">
        <v>94</v>
      </c>
      <c r="F91" s="47">
        <v>3860</v>
      </c>
      <c r="G91" s="46" t="s">
        <v>35</v>
      </c>
      <c r="H91" s="48">
        <v>3.59</v>
      </c>
      <c r="I91" s="48">
        <f t="shared" si="3"/>
        <v>13857.4</v>
      </c>
      <c r="J91" s="46" t="s">
        <v>150</v>
      </c>
    </row>
    <row r="92" spans="1:10" x14ac:dyDescent="0.25">
      <c r="A92" s="46" t="s">
        <v>24</v>
      </c>
      <c r="B92" s="46" t="s">
        <v>165</v>
      </c>
      <c r="C92" s="46" t="s">
        <v>174</v>
      </c>
      <c r="D92" s="46" t="s">
        <v>173</v>
      </c>
      <c r="E92" s="46" t="s">
        <v>94</v>
      </c>
      <c r="F92" s="47">
        <v>905</v>
      </c>
      <c r="G92" s="46" t="s">
        <v>35</v>
      </c>
      <c r="H92" s="48">
        <v>3.59</v>
      </c>
      <c r="I92" s="48">
        <f t="shared" si="3"/>
        <v>3248.95</v>
      </c>
      <c r="J92" s="46" t="s">
        <v>150</v>
      </c>
    </row>
    <row r="93" spans="1:10" x14ac:dyDescent="0.25">
      <c r="A93" s="46" t="s">
        <v>24</v>
      </c>
      <c r="B93" s="46" t="s">
        <v>165</v>
      </c>
      <c r="C93" s="46" t="s">
        <v>175</v>
      </c>
      <c r="D93" s="46" t="s">
        <v>176</v>
      </c>
      <c r="E93" s="46" t="s">
        <v>94</v>
      </c>
      <c r="F93" s="47">
        <v>580</v>
      </c>
      <c r="G93" s="46" t="s">
        <v>35</v>
      </c>
      <c r="H93" s="48">
        <v>5.5</v>
      </c>
      <c r="I93" s="48">
        <f t="shared" si="3"/>
        <v>3190</v>
      </c>
      <c r="J93" s="46" t="s">
        <v>150</v>
      </c>
    </row>
    <row r="94" spans="1:10" x14ac:dyDescent="0.25">
      <c r="A94" s="46" t="s">
        <v>24</v>
      </c>
      <c r="B94" s="46" t="s">
        <v>165</v>
      </c>
      <c r="C94" s="46" t="s">
        <v>175</v>
      </c>
      <c r="D94" s="46" t="s">
        <v>177</v>
      </c>
      <c r="E94" s="46" t="s">
        <v>94</v>
      </c>
      <c r="F94" s="47">
        <v>805</v>
      </c>
      <c r="G94" s="46" t="s">
        <v>35</v>
      </c>
      <c r="H94" s="48">
        <v>5.5</v>
      </c>
      <c r="I94" s="48">
        <f t="shared" si="3"/>
        <v>4427.5</v>
      </c>
      <c r="J94" s="46" t="s">
        <v>150</v>
      </c>
    </row>
    <row r="95" spans="1:10" x14ac:dyDescent="0.25">
      <c r="A95" s="46" t="s">
        <v>24</v>
      </c>
      <c r="B95" s="46" t="s">
        <v>165</v>
      </c>
      <c r="C95" s="46" t="s">
        <v>175</v>
      </c>
      <c r="D95" s="46" t="s">
        <v>178</v>
      </c>
      <c r="E95" s="46" t="s">
        <v>94</v>
      </c>
      <c r="F95" s="47">
        <v>195</v>
      </c>
      <c r="G95" s="46" t="s">
        <v>35</v>
      </c>
      <c r="H95" s="48">
        <v>5.5</v>
      </c>
      <c r="I95" s="48">
        <f t="shared" si="3"/>
        <v>1072.5</v>
      </c>
      <c r="J95" s="46" t="s">
        <v>150</v>
      </c>
    </row>
    <row r="96" spans="1:10" x14ac:dyDescent="0.25">
      <c r="A96" s="46" t="s">
        <v>24</v>
      </c>
      <c r="B96" s="46" t="s">
        <v>165</v>
      </c>
      <c r="C96" s="46" t="s">
        <v>179</v>
      </c>
      <c r="D96" s="46" t="s">
        <v>180</v>
      </c>
      <c r="E96" s="46" t="s">
        <v>94</v>
      </c>
      <c r="F96" s="47">
        <v>490</v>
      </c>
      <c r="G96" s="46" t="s">
        <v>35</v>
      </c>
      <c r="H96" s="48">
        <v>4.5</v>
      </c>
      <c r="I96" s="48">
        <f t="shared" si="3"/>
        <v>2205</v>
      </c>
      <c r="J96" s="46" t="s">
        <v>150</v>
      </c>
    </row>
    <row r="97" spans="1:10" x14ac:dyDescent="0.25">
      <c r="A97" s="46" t="s">
        <v>24</v>
      </c>
      <c r="B97" s="46" t="s">
        <v>165</v>
      </c>
      <c r="C97" s="46" t="s">
        <v>181</v>
      </c>
      <c r="D97" s="46" t="s">
        <v>171</v>
      </c>
      <c r="E97" s="46" t="s">
        <v>94</v>
      </c>
      <c r="F97" s="47">
        <v>1155</v>
      </c>
      <c r="G97" s="46" t="s">
        <v>35</v>
      </c>
      <c r="H97" s="48">
        <v>4.5</v>
      </c>
      <c r="I97" s="48">
        <f t="shared" si="3"/>
        <v>5197.5</v>
      </c>
      <c r="J97" s="46" t="s">
        <v>150</v>
      </c>
    </row>
    <row r="98" spans="1:10" x14ac:dyDescent="0.25">
      <c r="A98" s="46" t="s">
        <v>24</v>
      </c>
      <c r="B98" s="46" t="s">
        <v>165</v>
      </c>
      <c r="C98" s="46" t="s">
        <v>181</v>
      </c>
      <c r="D98" s="46" t="s">
        <v>173</v>
      </c>
      <c r="E98" s="46" t="s">
        <v>94</v>
      </c>
      <c r="F98" s="47">
        <v>150</v>
      </c>
      <c r="G98" s="46" t="s">
        <v>35</v>
      </c>
      <c r="H98" s="48">
        <v>4.5</v>
      </c>
      <c r="I98" s="48">
        <f t="shared" si="3"/>
        <v>675</v>
      </c>
      <c r="J98" s="46" t="s">
        <v>150</v>
      </c>
    </row>
    <row r="99" spans="1:10" x14ac:dyDescent="0.25">
      <c r="A99" s="46" t="s">
        <v>24</v>
      </c>
      <c r="B99" s="46" t="s">
        <v>165</v>
      </c>
      <c r="C99" s="46" t="s">
        <v>182</v>
      </c>
      <c r="D99" s="46" t="s">
        <v>176</v>
      </c>
      <c r="E99" s="46" t="s">
        <v>94</v>
      </c>
      <c r="F99" s="47">
        <v>580</v>
      </c>
      <c r="G99" s="46" t="s">
        <v>35</v>
      </c>
      <c r="H99" s="48">
        <v>6</v>
      </c>
      <c r="I99" s="48">
        <f t="shared" si="3"/>
        <v>3480</v>
      </c>
      <c r="J99" s="46" t="s">
        <v>150</v>
      </c>
    </row>
    <row r="100" spans="1:10" x14ac:dyDescent="0.25">
      <c r="A100" s="46" t="s">
        <v>24</v>
      </c>
      <c r="B100" s="46" t="s">
        <v>165</v>
      </c>
      <c r="C100" s="46" t="s">
        <v>183</v>
      </c>
      <c r="D100" s="46" t="s">
        <v>167</v>
      </c>
      <c r="E100" s="46" t="s">
        <v>94</v>
      </c>
      <c r="F100" s="47">
        <v>465</v>
      </c>
      <c r="G100" s="46" t="s">
        <v>35</v>
      </c>
      <c r="H100" s="48">
        <v>5</v>
      </c>
      <c r="I100" s="48">
        <f t="shared" si="3"/>
        <v>2325</v>
      </c>
      <c r="J100" s="46" t="s">
        <v>150</v>
      </c>
    </row>
    <row r="101" spans="1:10" x14ac:dyDescent="0.25">
      <c r="A101" s="49"/>
      <c r="B101" s="49" t="s">
        <v>184</v>
      </c>
      <c r="C101" s="49"/>
      <c r="D101" s="49"/>
      <c r="E101" s="49"/>
      <c r="F101" s="49"/>
      <c r="G101" s="49"/>
      <c r="H101" s="49"/>
      <c r="I101" s="50">
        <f>SUM(I86:I100)</f>
        <v>62058.85</v>
      </c>
      <c r="J101" s="49"/>
    </row>
    <row r="102" spans="1:10" x14ac:dyDescent="0.25">
      <c r="A102" s="45" t="s">
        <v>24</v>
      </c>
      <c r="B102" s="45" t="s">
        <v>185</v>
      </c>
      <c r="C102" s="45"/>
      <c r="D102" s="45"/>
      <c r="E102" s="45"/>
      <c r="F102" s="45"/>
      <c r="G102" s="45"/>
      <c r="H102" s="45"/>
      <c r="I102" s="45"/>
      <c r="J102" s="45"/>
    </row>
    <row r="103" spans="1:10" x14ac:dyDescent="0.25">
      <c r="A103" s="46" t="s">
        <v>24</v>
      </c>
      <c r="B103" s="46" t="s">
        <v>185</v>
      </c>
      <c r="C103" s="46" t="s">
        <v>186</v>
      </c>
      <c r="D103" s="46" t="s">
        <v>187</v>
      </c>
      <c r="E103" s="46" t="s">
        <v>94</v>
      </c>
      <c r="F103" s="47">
        <v>5</v>
      </c>
      <c r="G103" s="46" t="s">
        <v>35</v>
      </c>
      <c r="H103" s="48">
        <v>20</v>
      </c>
      <c r="I103" s="48">
        <f>F103*H103</f>
        <v>100</v>
      </c>
      <c r="J103" s="46" t="s">
        <v>95</v>
      </c>
    </row>
    <row r="104" spans="1:10" x14ac:dyDescent="0.25">
      <c r="A104" s="46" t="s">
        <v>24</v>
      </c>
      <c r="B104" s="46" t="s">
        <v>185</v>
      </c>
      <c r="C104" s="46" t="s">
        <v>188</v>
      </c>
      <c r="D104" s="46" t="s">
        <v>187</v>
      </c>
      <c r="E104" s="46" t="s">
        <v>94</v>
      </c>
      <c r="F104" s="47">
        <v>60</v>
      </c>
      <c r="G104" s="46" t="s">
        <v>35</v>
      </c>
      <c r="H104" s="48">
        <v>20</v>
      </c>
      <c r="I104" s="48">
        <f>F104*H104</f>
        <v>1200</v>
      </c>
      <c r="J104" s="46" t="s">
        <v>95</v>
      </c>
    </row>
    <row r="105" spans="1:10" x14ac:dyDescent="0.25">
      <c r="A105" s="46" t="s">
        <v>24</v>
      </c>
      <c r="B105" s="46" t="s">
        <v>185</v>
      </c>
      <c r="C105" s="46" t="s">
        <v>189</v>
      </c>
      <c r="D105" s="46" t="s">
        <v>190</v>
      </c>
      <c r="E105" s="46" t="s">
        <v>94</v>
      </c>
      <c r="F105" s="47">
        <v>35</v>
      </c>
      <c r="G105" s="46" t="s">
        <v>35</v>
      </c>
      <c r="H105" s="48">
        <v>12</v>
      </c>
      <c r="I105" s="48">
        <f>F105*H105</f>
        <v>420</v>
      </c>
      <c r="J105" s="46" t="s">
        <v>95</v>
      </c>
    </row>
    <row r="106" spans="1:10" x14ac:dyDescent="0.25">
      <c r="A106" s="46" t="s">
        <v>24</v>
      </c>
      <c r="B106" s="46" t="s">
        <v>185</v>
      </c>
      <c r="C106" s="46" t="s">
        <v>191</v>
      </c>
      <c r="D106" s="46" t="s">
        <v>190</v>
      </c>
      <c r="E106" s="46" t="s">
        <v>94</v>
      </c>
      <c r="F106" s="47">
        <v>60</v>
      </c>
      <c r="G106" s="46" t="s">
        <v>35</v>
      </c>
      <c r="H106" s="48">
        <v>15</v>
      </c>
      <c r="I106" s="48">
        <f>F106*H106</f>
        <v>900</v>
      </c>
      <c r="J106" s="46" t="s">
        <v>95</v>
      </c>
    </row>
    <row r="107" spans="1:10" x14ac:dyDescent="0.25">
      <c r="A107" s="46" t="s">
        <v>24</v>
      </c>
      <c r="B107" s="46" t="s">
        <v>185</v>
      </c>
      <c r="C107" s="46" t="s">
        <v>192</v>
      </c>
      <c r="D107" s="46" t="s">
        <v>190</v>
      </c>
      <c r="E107" s="46" t="s">
        <v>94</v>
      </c>
      <c r="F107" s="47">
        <v>15</v>
      </c>
      <c r="G107" s="46" t="s">
        <v>35</v>
      </c>
      <c r="H107" s="48">
        <v>25</v>
      </c>
      <c r="I107" s="48">
        <f>F107*H107</f>
        <v>375</v>
      </c>
      <c r="J107" s="46" t="s">
        <v>95</v>
      </c>
    </row>
    <row r="108" spans="1:10" x14ac:dyDescent="0.25">
      <c r="A108" s="49"/>
      <c r="B108" s="49" t="s">
        <v>193</v>
      </c>
      <c r="C108" s="49"/>
      <c r="D108" s="49"/>
      <c r="E108" s="49"/>
      <c r="F108" s="49"/>
      <c r="G108" s="49"/>
      <c r="H108" s="49"/>
      <c r="I108" s="50">
        <f>SUM(I103:I107)</f>
        <v>2995</v>
      </c>
      <c r="J108" s="49"/>
    </row>
    <row r="109" spans="1:10" x14ac:dyDescent="0.25">
      <c r="A109" s="45" t="s">
        <v>24</v>
      </c>
      <c r="B109" s="45" t="s">
        <v>194</v>
      </c>
      <c r="C109" s="45"/>
      <c r="D109" s="45"/>
      <c r="E109" s="45"/>
      <c r="F109" s="45"/>
      <c r="G109" s="45"/>
      <c r="H109" s="45"/>
      <c r="I109" s="45"/>
      <c r="J109" s="45"/>
    </row>
    <row r="110" spans="1:10" x14ac:dyDescent="0.25">
      <c r="A110" s="46" t="s">
        <v>24</v>
      </c>
      <c r="B110" s="46" t="s">
        <v>194</v>
      </c>
      <c r="C110" s="46" t="s">
        <v>195</v>
      </c>
      <c r="D110" s="46" t="s">
        <v>128</v>
      </c>
      <c r="E110" s="46" t="s">
        <v>94</v>
      </c>
      <c r="F110" s="47">
        <v>625</v>
      </c>
      <c r="G110" s="46" t="s">
        <v>35</v>
      </c>
      <c r="H110" s="48">
        <v>2.4700000000000002</v>
      </c>
      <c r="I110" s="48">
        <f t="shared" ref="I110:I136" si="4">F110*H110</f>
        <v>1543.7500000000002</v>
      </c>
      <c r="J110" s="46" t="s">
        <v>112</v>
      </c>
    </row>
    <row r="111" spans="1:10" x14ac:dyDescent="0.25">
      <c r="A111" s="46" t="s">
        <v>24</v>
      </c>
      <c r="B111" s="46" t="s">
        <v>194</v>
      </c>
      <c r="C111" s="46" t="s">
        <v>196</v>
      </c>
      <c r="D111" s="46" t="s">
        <v>197</v>
      </c>
      <c r="E111" s="46" t="s">
        <v>94</v>
      </c>
      <c r="F111" s="47">
        <v>5</v>
      </c>
      <c r="G111" s="46" t="s">
        <v>35</v>
      </c>
      <c r="H111" s="48">
        <v>35</v>
      </c>
      <c r="I111" s="48">
        <f t="shared" si="4"/>
        <v>175</v>
      </c>
      <c r="J111" s="46" t="s">
        <v>112</v>
      </c>
    </row>
    <row r="112" spans="1:10" x14ac:dyDescent="0.25">
      <c r="A112" s="46" t="s">
        <v>24</v>
      </c>
      <c r="B112" s="46" t="s">
        <v>194</v>
      </c>
      <c r="C112" s="46" t="s">
        <v>198</v>
      </c>
      <c r="D112" s="46" t="s">
        <v>135</v>
      </c>
      <c r="E112" s="46" t="s">
        <v>94</v>
      </c>
      <c r="F112" s="47">
        <v>770</v>
      </c>
      <c r="G112" s="46" t="s">
        <v>35</v>
      </c>
      <c r="H112" s="48">
        <v>5.8</v>
      </c>
      <c r="I112" s="48">
        <f t="shared" si="4"/>
        <v>4466</v>
      </c>
      <c r="J112" s="46" t="s">
        <v>112</v>
      </c>
    </row>
    <row r="113" spans="1:10" x14ac:dyDescent="0.25">
      <c r="A113" s="46" t="s">
        <v>24</v>
      </c>
      <c r="B113" s="46" t="s">
        <v>194</v>
      </c>
      <c r="C113" s="46" t="s">
        <v>199</v>
      </c>
      <c r="D113" s="46" t="s">
        <v>134</v>
      </c>
      <c r="E113" s="46" t="s">
        <v>94</v>
      </c>
      <c r="F113" s="47">
        <v>4510</v>
      </c>
      <c r="G113" s="46" t="s">
        <v>35</v>
      </c>
      <c r="H113" s="48">
        <v>2.29</v>
      </c>
      <c r="I113" s="48">
        <f t="shared" si="4"/>
        <v>10327.9</v>
      </c>
      <c r="J113" s="46" t="s">
        <v>112</v>
      </c>
    </row>
    <row r="114" spans="1:10" x14ac:dyDescent="0.25">
      <c r="A114" s="46" t="s">
        <v>24</v>
      </c>
      <c r="B114" s="46" t="s">
        <v>194</v>
      </c>
      <c r="C114" s="46" t="s">
        <v>199</v>
      </c>
      <c r="D114" s="46" t="s">
        <v>135</v>
      </c>
      <c r="E114" s="46" t="s">
        <v>94</v>
      </c>
      <c r="F114" s="47">
        <v>7820</v>
      </c>
      <c r="G114" s="46" t="s">
        <v>35</v>
      </c>
      <c r="H114" s="48">
        <v>3.35</v>
      </c>
      <c r="I114" s="48">
        <f t="shared" si="4"/>
        <v>26197</v>
      </c>
      <c r="J114" s="46" t="s">
        <v>112</v>
      </c>
    </row>
    <row r="115" spans="1:10" x14ac:dyDescent="0.25">
      <c r="A115" s="46" t="s">
        <v>24</v>
      </c>
      <c r="B115" s="46" t="s">
        <v>194</v>
      </c>
      <c r="C115" s="46" t="s">
        <v>199</v>
      </c>
      <c r="D115" s="46" t="s">
        <v>137</v>
      </c>
      <c r="E115" s="46" t="s">
        <v>94</v>
      </c>
      <c r="F115" s="47">
        <v>10</v>
      </c>
      <c r="G115" s="46" t="s">
        <v>35</v>
      </c>
      <c r="H115" s="48">
        <v>7.93</v>
      </c>
      <c r="I115" s="48">
        <f t="shared" si="4"/>
        <v>79.3</v>
      </c>
      <c r="J115" s="46" t="s">
        <v>112</v>
      </c>
    </row>
    <row r="116" spans="1:10" x14ac:dyDescent="0.25">
      <c r="A116" s="46" t="s">
        <v>24</v>
      </c>
      <c r="B116" s="46" t="s">
        <v>194</v>
      </c>
      <c r="C116" s="46" t="s">
        <v>199</v>
      </c>
      <c r="D116" s="46" t="s">
        <v>200</v>
      </c>
      <c r="E116" s="46" t="s">
        <v>94</v>
      </c>
      <c r="F116" s="47">
        <v>1580</v>
      </c>
      <c r="G116" s="46" t="s">
        <v>35</v>
      </c>
      <c r="H116" s="48">
        <v>8.83</v>
      </c>
      <c r="I116" s="48">
        <f t="shared" si="4"/>
        <v>13951.4</v>
      </c>
      <c r="J116" s="46" t="s">
        <v>112</v>
      </c>
    </row>
    <row r="117" spans="1:10" x14ac:dyDescent="0.25">
      <c r="A117" s="46" t="s">
        <v>24</v>
      </c>
      <c r="B117" s="46" t="s">
        <v>194</v>
      </c>
      <c r="C117" s="46" t="s">
        <v>201</v>
      </c>
      <c r="D117" s="46" t="s">
        <v>134</v>
      </c>
      <c r="E117" s="46" t="s">
        <v>94</v>
      </c>
      <c r="F117" s="47">
        <v>2370</v>
      </c>
      <c r="G117" s="46" t="s">
        <v>35</v>
      </c>
      <c r="H117" s="48">
        <v>2</v>
      </c>
      <c r="I117" s="48">
        <f t="shared" si="4"/>
        <v>4740</v>
      </c>
      <c r="J117" s="46" t="s">
        <v>112</v>
      </c>
    </row>
    <row r="118" spans="1:10" x14ac:dyDescent="0.25">
      <c r="A118" s="46" t="s">
        <v>24</v>
      </c>
      <c r="B118" s="46" t="s">
        <v>194</v>
      </c>
      <c r="C118" s="46" t="s">
        <v>201</v>
      </c>
      <c r="D118" s="46" t="s">
        <v>135</v>
      </c>
      <c r="E118" s="46" t="s">
        <v>94</v>
      </c>
      <c r="F118" s="47">
        <v>3865</v>
      </c>
      <c r="G118" s="46" t="s">
        <v>35</v>
      </c>
      <c r="H118" s="48">
        <v>2.69</v>
      </c>
      <c r="I118" s="48">
        <f t="shared" si="4"/>
        <v>10396.85</v>
      </c>
      <c r="J118" s="46" t="s">
        <v>112</v>
      </c>
    </row>
    <row r="119" spans="1:10" x14ac:dyDescent="0.25">
      <c r="A119" s="46" t="s">
        <v>24</v>
      </c>
      <c r="B119" s="46" t="s">
        <v>194</v>
      </c>
      <c r="C119" s="46" t="s">
        <v>201</v>
      </c>
      <c r="D119" s="46" t="s">
        <v>200</v>
      </c>
      <c r="E119" s="46" t="s">
        <v>94</v>
      </c>
      <c r="F119" s="47">
        <v>835</v>
      </c>
      <c r="G119" s="46" t="s">
        <v>35</v>
      </c>
      <c r="H119" s="48">
        <v>8.89</v>
      </c>
      <c r="I119" s="48">
        <f t="shared" si="4"/>
        <v>7423.1500000000005</v>
      </c>
      <c r="J119" s="46" t="s">
        <v>112</v>
      </c>
    </row>
    <row r="120" spans="1:10" x14ac:dyDescent="0.25">
      <c r="A120" s="46" t="s">
        <v>24</v>
      </c>
      <c r="B120" s="46" t="s">
        <v>194</v>
      </c>
      <c r="C120" s="46" t="s">
        <v>202</v>
      </c>
      <c r="D120" s="46" t="s">
        <v>203</v>
      </c>
      <c r="E120" s="46" t="s">
        <v>94</v>
      </c>
      <c r="F120" s="47">
        <v>30</v>
      </c>
      <c r="G120" s="46" t="s">
        <v>35</v>
      </c>
      <c r="H120" s="48">
        <v>9.1</v>
      </c>
      <c r="I120" s="48">
        <f t="shared" si="4"/>
        <v>273</v>
      </c>
      <c r="J120" s="46" t="s">
        <v>150</v>
      </c>
    </row>
    <row r="121" spans="1:10" x14ac:dyDescent="0.25">
      <c r="A121" s="46" t="s">
        <v>24</v>
      </c>
      <c r="B121" s="46" t="s">
        <v>194</v>
      </c>
      <c r="C121" s="46" t="s">
        <v>202</v>
      </c>
      <c r="D121" s="46" t="s">
        <v>204</v>
      </c>
      <c r="E121" s="46" t="s">
        <v>94</v>
      </c>
      <c r="F121" s="47">
        <v>2075</v>
      </c>
      <c r="G121" s="46" t="s">
        <v>35</v>
      </c>
      <c r="H121" s="48">
        <v>23.13</v>
      </c>
      <c r="I121" s="48">
        <f t="shared" si="4"/>
        <v>47994.75</v>
      </c>
      <c r="J121" s="46" t="s">
        <v>205</v>
      </c>
    </row>
    <row r="122" spans="1:10" x14ac:dyDescent="0.25">
      <c r="A122" s="46" t="s">
        <v>24</v>
      </c>
      <c r="B122" s="46" t="s">
        <v>194</v>
      </c>
      <c r="C122" s="46" t="s">
        <v>206</v>
      </c>
      <c r="D122" s="46" t="s">
        <v>134</v>
      </c>
      <c r="E122" s="46" t="s">
        <v>94</v>
      </c>
      <c r="F122" s="47">
        <v>5</v>
      </c>
      <c r="G122" s="46" t="s">
        <v>35</v>
      </c>
      <c r="H122" s="48">
        <v>5</v>
      </c>
      <c r="I122" s="48">
        <f t="shared" si="4"/>
        <v>25</v>
      </c>
      <c r="J122" s="46" t="s">
        <v>112</v>
      </c>
    </row>
    <row r="123" spans="1:10" x14ac:dyDescent="0.25">
      <c r="A123" s="46" t="s">
        <v>24</v>
      </c>
      <c r="B123" s="46" t="s">
        <v>194</v>
      </c>
      <c r="C123" s="46" t="s">
        <v>206</v>
      </c>
      <c r="D123" s="46" t="s">
        <v>135</v>
      </c>
      <c r="E123" s="46" t="s">
        <v>94</v>
      </c>
      <c r="F123" s="47">
        <v>1080</v>
      </c>
      <c r="G123" s="46" t="s">
        <v>35</v>
      </c>
      <c r="H123" s="48">
        <v>7.58</v>
      </c>
      <c r="I123" s="48">
        <f t="shared" si="4"/>
        <v>8186.4</v>
      </c>
      <c r="J123" s="46" t="s">
        <v>112</v>
      </c>
    </row>
    <row r="124" spans="1:10" x14ac:dyDescent="0.25">
      <c r="A124" s="46" t="s">
        <v>24</v>
      </c>
      <c r="B124" s="46" t="s">
        <v>194</v>
      </c>
      <c r="C124" s="46" t="s">
        <v>206</v>
      </c>
      <c r="D124" s="46" t="s">
        <v>200</v>
      </c>
      <c r="E124" s="46" t="s">
        <v>94</v>
      </c>
      <c r="F124" s="47">
        <v>700</v>
      </c>
      <c r="G124" s="46" t="s">
        <v>35</v>
      </c>
      <c r="H124" s="48">
        <v>23.13</v>
      </c>
      <c r="I124" s="48">
        <f t="shared" si="4"/>
        <v>16191</v>
      </c>
      <c r="J124" s="46" t="s">
        <v>112</v>
      </c>
    </row>
    <row r="125" spans="1:10" x14ac:dyDescent="0.25">
      <c r="A125" s="46" t="s">
        <v>24</v>
      </c>
      <c r="B125" s="46" t="s">
        <v>194</v>
      </c>
      <c r="C125" s="46" t="s">
        <v>206</v>
      </c>
      <c r="D125" s="46" t="s">
        <v>207</v>
      </c>
      <c r="E125" s="46" t="s">
        <v>94</v>
      </c>
      <c r="F125" s="47">
        <v>10</v>
      </c>
      <c r="G125" s="46" t="s">
        <v>35</v>
      </c>
      <c r="H125" s="48">
        <v>142.78</v>
      </c>
      <c r="I125" s="48">
        <f t="shared" si="4"/>
        <v>1427.8</v>
      </c>
      <c r="J125" s="46" t="s">
        <v>112</v>
      </c>
    </row>
    <row r="126" spans="1:10" x14ac:dyDescent="0.25">
      <c r="A126" s="46" t="s">
        <v>24</v>
      </c>
      <c r="B126" s="46" t="s">
        <v>194</v>
      </c>
      <c r="C126" s="46" t="s">
        <v>208</v>
      </c>
      <c r="D126" s="46" t="s">
        <v>134</v>
      </c>
      <c r="E126" s="46" t="s">
        <v>94</v>
      </c>
      <c r="F126" s="47">
        <v>10</v>
      </c>
      <c r="G126" s="46" t="s">
        <v>35</v>
      </c>
      <c r="H126" s="48">
        <v>2</v>
      </c>
      <c r="I126" s="48">
        <f t="shared" si="4"/>
        <v>20</v>
      </c>
      <c r="J126" s="46" t="s">
        <v>112</v>
      </c>
    </row>
    <row r="127" spans="1:10" x14ac:dyDescent="0.25">
      <c r="A127" s="46" t="s">
        <v>24</v>
      </c>
      <c r="B127" s="46" t="s">
        <v>194</v>
      </c>
      <c r="C127" s="46" t="s">
        <v>208</v>
      </c>
      <c r="D127" s="46" t="s">
        <v>135</v>
      </c>
      <c r="E127" s="46" t="s">
        <v>94</v>
      </c>
      <c r="F127" s="47">
        <v>9670</v>
      </c>
      <c r="G127" s="46" t="s">
        <v>35</v>
      </c>
      <c r="H127" s="48">
        <v>3.09</v>
      </c>
      <c r="I127" s="48">
        <f t="shared" si="4"/>
        <v>29880.3</v>
      </c>
      <c r="J127" s="46" t="s">
        <v>112</v>
      </c>
    </row>
    <row r="128" spans="1:10" x14ac:dyDescent="0.25">
      <c r="A128" s="46" t="s">
        <v>24</v>
      </c>
      <c r="B128" s="46" t="s">
        <v>194</v>
      </c>
      <c r="C128" s="46" t="s">
        <v>208</v>
      </c>
      <c r="D128" s="46" t="s">
        <v>137</v>
      </c>
      <c r="E128" s="46" t="s">
        <v>94</v>
      </c>
      <c r="F128" s="47">
        <v>40</v>
      </c>
      <c r="G128" s="46" t="s">
        <v>35</v>
      </c>
      <c r="H128" s="48">
        <v>5.84</v>
      </c>
      <c r="I128" s="48">
        <f t="shared" si="4"/>
        <v>233.6</v>
      </c>
      <c r="J128" s="46" t="s">
        <v>112</v>
      </c>
    </row>
    <row r="129" spans="1:10" x14ac:dyDescent="0.25">
      <c r="A129" s="46" t="s">
        <v>24</v>
      </c>
      <c r="B129" s="46" t="s">
        <v>194</v>
      </c>
      <c r="C129" s="46" t="s">
        <v>208</v>
      </c>
      <c r="D129" s="46" t="s">
        <v>200</v>
      </c>
      <c r="E129" s="46" t="s">
        <v>94</v>
      </c>
      <c r="F129" s="47">
        <v>3550</v>
      </c>
      <c r="G129" s="46" t="s">
        <v>35</v>
      </c>
      <c r="H129" s="48">
        <v>6.78</v>
      </c>
      <c r="I129" s="48">
        <f t="shared" si="4"/>
        <v>24069</v>
      </c>
      <c r="J129" s="46" t="s">
        <v>112</v>
      </c>
    </row>
    <row r="130" spans="1:10" x14ac:dyDescent="0.25">
      <c r="A130" s="46" t="s">
        <v>24</v>
      </c>
      <c r="B130" s="46" t="s">
        <v>194</v>
      </c>
      <c r="C130" s="46" t="s">
        <v>208</v>
      </c>
      <c r="D130" s="46" t="s">
        <v>197</v>
      </c>
      <c r="E130" s="46" t="s">
        <v>94</v>
      </c>
      <c r="F130" s="47">
        <v>85</v>
      </c>
      <c r="G130" s="46" t="s">
        <v>35</v>
      </c>
      <c r="H130" s="48">
        <v>32.81</v>
      </c>
      <c r="I130" s="48">
        <f t="shared" si="4"/>
        <v>2788.8500000000004</v>
      </c>
      <c r="J130" s="46" t="s">
        <v>112</v>
      </c>
    </row>
    <row r="131" spans="1:10" x14ac:dyDescent="0.25">
      <c r="A131" s="46" t="s">
        <v>24</v>
      </c>
      <c r="B131" s="46" t="s">
        <v>194</v>
      </c>
      <c r="C131" s="46" t="s">
        <v>209</v>
      </c>
      <c r="D131" s="46" t="s">
        <v>203</v>
      </c>
      <c r="E131" s="46" t="s">
        <v>94</v>
      </c>
      <c r="F131" s="47">
        <v>5</v>
      </c>
      <c r="G131" s="46" t="s">
        <v>35</v>
      </c>
      <c r="H131" s="48">
        <v>9.26</v>
      </c>
      <c r="I131" s="48">
        <f t="shared" si="4"/>
        <v>46.3</v>
      </c>
      <c r="J131" s="46" t="s">
        <v>112</v>
      </c>
    </row>
    <row r="132" spans="1:10" x14ac:dyDescent="0.25">
      <c r="A132" s="46" t="s">
        <v>24</v>
      </c>
      <c r="B132" s="46" t="s">
        <v>194</v>
      </c>
      <c r="C132" s="46" t="s">
        <v>209</v>
      </c>
      <c r="D132" s="46" t="s">
        <v>204</v>
      </c>
      <c r="E132" s="46" t="s">
        <v>94</v>
      </c>
      <c r="F132" s="47">
        <v>15</v>
      </c>
      <c r="G132" s="46" t="s">
        <v>35</v>
      </c>
      <c r="H132" s="48">
        <v>9.26</v>
      </c>
      <c r="I132" s="48">
        <f t="shared" si="4"/>
        <v>138.9</v>
      </c>
      <c r="J132" s="46" t="s">
        <v>112</v>
      </c>
    </row>
    <row r="133" spans="1:10" x14ac:dyDescent="0.25">
      <c r="A133" s="46" t="s">
        <v>24</v>
      </c>
      <c r="B133" s="46" t="s">
        <v>194</v>
      </c>
      <c r="C133" s="46" t="s">
        <v>209</v>
      </c>
      <c r="D133" s="46" t="s">
        <v>210</v>
      </c>
      <c r="E133" s="46" t="s">
        <v>94</v>
      </c>
      <c r="F133" s="47">
        <v>5</v>
      </c>
      <c r="G133" s="46" t="s">
        <v>35</v>
      </c>
      <c r="H133" s="48">
        <v>9.26</v>
      </c>
      <c r="I133" s="48">
        <f t="shared" si="4"/>
        <v>46.3</v>
      </c>
      <c r="J133" s="46" t="s">
        <v>112</v>
      </c>
    </row>
    <row r="134" spans="1:10" x14ac:dyDescent="0.25">
      <c r="A134" s="46" t="s">
        <v>24</v>
      </c>
      <c r="B134" s="46" t="s">
        <v>194</v>
      </c>
      <c r="C134" s="46" t="s">
        <v>211</v>
      </c>
      <c r="D134" s="46" t="s">
        <v>137</v>
      </c>
      <c r="E134" s="46" t="s">
        <v>94</v>
      </c>
      <c r="F134" s="47">
        <v>5</v>
      </c>
      <c r="G134" s="46" t="s">
        <v>35</v>
      </c>
      <c r="H134" s="48">
        <v>18</v>
      </c>
      <c r="I134" s="48">
        <f t="shared" si="4"/>
        <v>90</v>
      </c>
      <c r="J134" s="46" t="s">
        <v>112</v>
      </c>
    </row>
    <row r="135" spans="1:10" x14ac:dyDescent="0.25">
      <c r="A135" s="46" t="s">
        <v>24</v>
      </c>
      <c r="B135" s="46" t="s">
        <v>194</v>
      </c>
      <c r="C135" s="46" t="s">
        <v>211</v>
      </c>
      <c r="D135" s="46" t="s">
        <v>210</v>
      </c>
      <c r="E135" s="46" t="s">
        <v>94</v>
      </c>
      <c r="F135" s="47">
        <v>120</v>
      </c>
      <c r="G135" s="46" t="s">
        <v>35</v>
      </c>
      <c r="H135" s="48">
        <v>28</v>
      </c>
      <c r="I135" s="48">
        <f t="shared" si="4"/>
        <v>3360</v>
      </c>
      <c r="J135" s="46" t="s">
        <v>112</v>
      </c>
    </row>
    <row r="136" spans="1:10" x14ac:dyDescent="0.25">
      <c r="A136" s="46" t="s">
        <v>24</v>
      </c>
      <c r="B136" s="46" t="s">
        <v>194</v>
      </c>
      <c r="C136" s="46" t="s">
        <v>211</v>
      </c>
      <c r="D136" s="46" t="s">
        <v>207</v>
      </c>
      <c r="E136" s="46" t="s">
        <v>94</v>
      </c>
      <c r="F136" s="47">
        <v>75</v>
      </c>
      <c r="G136" s="46" t="s">
        <v>35</v>
      </c>
      <c r="H136" s="48">
        <v>85</v>
      </c>
      <c r="I136" s="48">
        <f t="shared" si="4"/>
        <v>6375</v>
      </c>
      <c r="J136" s="46" t="s">
        <v>112</v>
      </c>
    </row>
    <row r="137" spans="1:10" x14ac:dyDescent="0.25">
      <c r="A137" s="49"/>
      <c r="B137" s="49" t="s">
        <v>212</v>
      </c>
      <c r="C137" s="49"/>
      <c r="D137" s="49"/>
      <c r="E137" s="49"/>
      <c r="F137" s="49"/>
      <c r="G137" s="49"/>
      <c r="H137" s="49"/>
      <c r="I137" s="50">
        <f>SUM(I110:I136)</f>
        <v>220446.54999999996</v>
      </c>
      <c r="J137" s="49"/>
    </row>
    <row r="138" spans="1:10" x14ac:dyDescent="0.25">
      <c r="A138" s="45" t="s">
        <v>24</v>
      </c>
      <c r="B138" s="45" t="s">
        <v>213</v>
      </c>
      <c r="C138" s="45"/>
      <c r="D138" s="45"/>
      <c r="E138" s="45"/>
      <c r="F138" s="45"/>
      <c r="G138" s="45"/>
      <c r="H138" s="45"/>
      <c r="I138" s="45"/>
      <c r="J138" s="45"/>
    </row>
    <row r="139" spans="1:10" x14ac:dyDescent="0.25">
      <c r="A139" s="46" t="s">
        <v>24</v>
      </c>
      <c r="B139" s="46" t="s">
        <v>213</v>
      </c>
      <c r="C139" s="46" t="s">
        <v>214</v>
      </c>
      <c r="D139" s="46" t="s">
        <v>128</v>
      </c>
      <c r="E139" s="46" t="s">
        <v>94</v>
      </c>
      <c r="F139" s="47">
        <v>150</v>
      </c>
      <c r="G139" s="46" t="s">
        <v>35</v>
      </c>
      <c r="H139" s="48">
        <v>4.5</v>
      </c>
      <c r="I139" s="48">
        <f t="shared" ref="I139:I160" si="5">F139*H139</f>
        <v>675</v>
      </c>
      <c r="J139" s="46" t="s">
        <v>112</v>
      </c>
    </row>
    <row r="140" spans="1:10" x14ac:dyDescent="0.25">
      <c r="A140" s="46" t="s">
        <v>24</v>
      </c>
      <c r="B140" s="46" t="s">
        <v>213</v>
      </c>
      <c r="C140" s="46" t="s">
        <v>215</v>
      </c>
      <c r="D140" s="46" t="s">
        <v>135</v>
      </c>
      <c r="E140" s="46" t="s">
        <v>94</v>
      </c>
      <c r="F140" s="47">
        <v>525</v>
      </c>
      <c r="G140" s="46" t="s">
        <v>35</v>
      </c>
      <c r="H140" s="48">
        <v>7.59</v>
      </c>
      <c r="I140" s="48">
        <f t="shared" si="5"/>
        <v>3984.75</v>
      </c>
      <c r="J140" s="46" t="s">
        <v>112</v>
      </c>
    </row>
    <row r="141" spans="1:10" x14ac:dyDescent="0.25">
      <c r="A141" s="46" t="s">
        <v>24</v>
      </c>
      <c r="B141" s="46" t="s">
        <v>213</v>
      </c>
      <c r="C141" s="46" t="s">
        <v>215</v>
      </c>
      <c r="D141" s="46" t="s">
        <v>137</v>
      </c>
      <c r="E141" s="46" t="s">
        <v>94</v>
      </c>
      <c r="F141" s="47">
        <v>20</v>
      </c>
      <c r="G141" s="46" t="s">
        <v>35</v>
      </c>
      <c r="H141" s="48">
        <v>17.71</v>
      </c>
      <c r="I141" s="48">
        <f t="shared" si="5"/>
        <v>354.20000000000005</v>
      </c>
      <c r="J141" s="46" t="s">
        <v>112</v>
      </c>
    </row>
    <row r="142" spans="1:10" x14ac:dyDescent="0.25">
      <c r="A142" s="46" t="s">
        <v>24</v>
      </c>
      <c r="B142" s="46" t="s">
        <v>213</v>
      </c>
      <c r="C142" s="46" t="s">
        <v>215</v>
      </c>
      <c r="D142" s="46" t="s">
        <v>200</v>
      </c>
      <c r="E142" s="46" t="s">
        <v>94</v>
      </c>
      <c r="F142" s="47">
        <v>1080</v>
      </c>
      <c r="G142" s="46" t="s">
        <v>35</v>
      </c>
      <c r="H142" s="48">
        <v>24.67</v>
      </c>
      <c r="I142" s="48">
        <f t="shared" si="5"/>
        <v>26643.600000000002</v>
      </c>
      <c r="J142" s="46" t="s">
        <v>112</v>
      </c>
    </row>
    <row r="143" spans="1:10" x14ac:dyDescent="0.25">
      <c r="A143" s="46" t="s">
        <v>24</v>
      </c>
      <c r="B143" s="46" t="s">
        <v>213</v>
      </c>
      <c r="C143" s="46" t="s">
        <v>215</v>
      </c>
      <c r="D143" s="46" t="s">
        <v>197</v>
      </c>
      <c r="E143" s="46" t="s">
        <v>94</v>
      </c>
      <c r="F143" s="47">
        <v>460</v>
      </c>
      <c r="G143" s="46" t="s">
        <v>35</v>
      </c>
      <c r="H143" s="48">
        <v>85.84</v>
      </c>
      <c r="I143" s="48">
        <f t="shared" si="5"/>
        <v>39486.400000000001</v>
      </c>
      <c r="J143" s="46" t="s">
        <v>112</v>
      </c>
    </row>
    <row r="144" spans="1:10" x14ac:dyDescent="0.25">
      <c r="A144" s="46" t="s">
        <v>24</v>
      </c>
      <c r="B144" s="46" t="s">
        <v>213</v>
      </c>
      <c r="C144" s="46" t="s">
        <v>216</v>
      </c>
      <c r="D144" s="46" t="s">
        <v>135</v>
      </c>
      <c r="E144" s="46" t="s">
        <v>94</v>
      </c>
      <c r="F144" s="47">
        <v>50</v>
      </c>
      <c r="G144" s="46" t="s">
        <v>35</v>
      </c>
      <c r="H144" s="48">
        <v>9.44</v>
      </c>
      <c r="I144" s="48">
        <f t="shared" si="5"/>
        <v>472</v>
      </c>
      <c r="J144" s="46" t="s">
        <v>112</v>
      </c>
    </row>
    <row r="145" spans="1:10" x14ac:dyDescent="0.25">
      <c r="A145" s="46" t="s">
        <v>24</v>
      </c>
      <c r="B145" s="46" t="s">
        <v>213</v>
      </c>
      <c r="C145" s="46" t="s">
        <v>216</v>
      </c>
      <c r="D145" s="46" t="s">
        <v>137</v>
      </c>
      <c r="E145" s="46" t="s">
        <v>94</v>
      </c>
      <c r="F145" s="47">
        <v>5</v>
      </c>
      <c r="G145" s="46" t="s">
        <v>35</v>
      </c>
      <c r="H145" s="48">
        <v>20</v>
      </c>
      <c r="I145" s="48">
        <f t="shared" si="5"/>
        <v>100</v>
      </c>
      <c r="J145" s="46" t="s">
        <v>150</v>
      </c>
    </row>
    <row r="146" spans="1:10" x14ac:dyDescent="0.25">
      <c r="A146" s="46" t="s">
        <v>24</v>
      </c>
      <c r="B146" s="46" t="s">
        <v>213</v>
      </c>
      <c r="C146" s="46" t="s">
        <v>216</v>
      </c>
      <c r="D146" s="46" t="s">
        <v>200</v>
      </c>
      <c r="E146" s="46" t="s">
        <v>94</v>
      </c>
      <c r="F146" s="47">
        <v>120</v>
      </c>
      <c r="G146" s="46" t="s">
        <v>35</v>
      </c>
      <c r="H146" s="48">
        <v>33.28</v>
      </c>
      <c r="I146" s="48">
        <f t="shared" si="5"/>
        <v>3993.6000000000004</v>
      </c>
      <c r="J146" s="46" t="s">
        <v>112</v>
      </c>
    </row>
    <row r="147" spans="1:10" x14ac:dyDescent="0.25">
      <c r="A147" s="46" t="s">
        <v>24</v>
      </c>
      <c r="B147" s="46" t="s">
        <v>213</v>
      </c>
      <c r="C147" s="46" t="s">
        <v>216</v>
      </c>
      <c r="D147" s="46" t="s">
        <v>197</v>
      </c>
      <c r="E147" s="46" t="s">
        <v>94</v>
      </c>
      <c r="F147" s="47">
        <v>80</v>
      </c>
      <c r="G147" s="46" t="s">
        <v>35</v>
      </c>
      <c r="H147" s="48">
        <v>110.58</v>
      </c>
      <c r="I147" s="48">
        <f t="shared" si="5"/>
        <v>8846.4</v>
      </c>
      <c r="J147" s="46" t="s">
        <v>112</v>
      </c>
    </row>
    <row r="148" spans="1:10" x14ac:dyDescent="0.25">
      <c r="A148" s="46" t="s">
        <v>24</v>
      </c>
      <c r="B148" s="46" t="s">
        <v>213</v>
      </c>
      <c r="C148" s="46" t="s">
        <v>217</v>
      </c>
      <c r="D148" s="46" t="s">
        <v>203</v>
      </c>
      <c r="E148" s="46" t="s">
        <v>94</v>
      </c>
      <c r="F148" s="47">
        <v>5</v>
      </c>
      <c r="G148" s="46" t="s">
        <v>35</v>
      </c>
      <c r="H148" s="48">
        <v>25</v>
      </c>
      <c r="I148" s="48">
        <f t="shared" si="5"/>
        <v>125</v>
      </c>
      <c r="J148" s="46" t="s">
        <v>150</v>
      </c>
    </row>
    <row r="149" spans="1:10" x14ac:dyDescent="0.25">
      <c r="A149" s="46" t="s">
        <v>24</v>
      </c>
      <c r="B149" s="46" t="s">
        <v>213</v>
      </c>
      <c r="C149" s="46" t="s">
        <v>217</v>
      </c>
      <c r="D149" s="46" t="s">
        <v>204</v>
      </c>
      <c r="E149" s="46" t="s">
        <v>94</v>
      </c>
      <c r="F149" s="47">
        <v>340</v>
      </c>
      <c r="G149" s="46" t="s">
        <v>35</v>
      </c>
      <c r="H149" s="48">
        <v>62.72</v>
      </c>
      <c r="I149" s="48">
        <f t="shared" si="5"/>
        <v>21324.799999999999</v>
      </c>
      <c r="J149" s="46" t="s">
        <v>205</v>
      </c>
    </row>
    <row r="150" spans="1:10" x14ac:dyDescent="0.25">
      <c r="A150" s="46" t="s">
        <v>24</v>
      </c>
      <c r="B150" s="46" t="s">
        <v>213</v>
      </c>
      <c r="C150" s="46" t="s">
        <v>217</v>
      </c>
      <c r="D150" s="46" t="s">
        <v>210</v>
      </c>
      <c r="E150" s="46" t="s">
        <v>94</v>
      </c>
      <c r="F150" s="47">
        <v>10</v>
      </c>
      <c r="G150" s="46" t="s">
        <v>35</v>
      </c>
      <c r="H150" s="48">
        <v>62.72</v>
      </c>
      <c r="I150" s="48">
        <f t="shared" si="5"/>
        <v>627.20000000000005</v>
      </c>
      <c r="J150" s="46" t="s">
        <v>205</v>
      </c>
    </row>
    <row r="151" spans="1:10" x14ac:dyDescent="0.25">
      <c r="A151" s="46" t="s">
        <v>24</v>
      </c>
      <c r="B151" s="46" t="s">
        <v>213</v>
      </c>
      <c r="C151" s="46" t="s">
        <v>217</v>
      </c>
      <c r="D151" s="46" t="s">
        <v>207</v>
      </c>
      <c r="E151" s="46" t="s">
        <v>94</v>
      </c>
      <c r="F151" s="47">
        <v>20</v>
      </c>
      <c r="G151" s="46" t="s">
        <v>35</v>
      </c>
      <c r="H151" s="48">
        <v>142.78</v>
      </c>
      <c r="I151" s="48">
        <f t="shared" si="5"/>
        <v>2855.6</v>
      </c>
      <c r="J151" s="46" t="s">
        <v>205</v>
      </c>
    </row>
    <row r="152" spans="1:10" x14ac:dyDescent="0.25">
      <c r="A152" s="46" t="s">
        <v>24</v>
      </c>
      <c r="B152" s="46" t="s">
        <v>213</v>
      </c>
      <c r="C152" s="46" t="s">
        <v>218</v>
      </c>
      <c r="D152" s="46" t="s">
        <v>135</v>
      </c>
      <c r="E152" s="46" t="s">
        <v>94</v>
      </c>
      <c r="F152" s="47">
        <v>210</v>
      </c>
      <c r="G152" s="46" t="s">
        <v>35</v>
      </c>
      <c r="H152" s="48">
        <v>15</v>
      </c>
      <c r="I152" s="48">
        <f t="shared" si="5"/>
        <v>3150</v>
      </c>
      <c r="J152" s="46" t="s">
        <v>112</v>
      </c>
    </row>
    <row r="153" spans="1:10" x14ac:dyDescent="0.25">
      <c r="A153" s="46" t="s">
        <v>24</v>
      </c>
      <c r="B153" s="46" t="s">
        <v>213</v>
      </c>
      <c r="C153" s="46" t="s">
        <v>218</v>
      </c>
      <c r="D153" s="46" t="s">
        <v>200</v>
      </c>
      <c r="E153" s="46" t="s">
        <v>94</v>
      </c>
      <c r="F153" s="47">
        <v>280</v>
      </c>
      <c r="G153" s="46" t="s">
        <v>35</v>
      </c>
      <c r="H153" s="48">
        <v>62.72</v>
      </c>
      <c r="I153" s="48">
        <f t="shared" si="5"/>
        <v>17561.599999999999</v>
      </c>
      <c r="J153" s="46" t="s">
        <v>112</v>
      </c>
    </row>
    <row r="154" spans="1:10" x14ac:dyDescent="0.25">
      <c r="A154" s="46" t="s">
        <v>24</v>
      </c>
      <c r="B154" s="46" t="s">
        <v>213</v>
      </c>
      <c r="C154" s="46" t="s">
        <v>218</v>
      </c>
      <c r="D154" s="46" t="s">
        <v>207</v>
      </c>
      <c r="E154" s="46" t="s">
        <v>94</v>
      </c>
      <c r="F154" s="47">
        <v>10</v>
      </c>
      <c r="G154" s="46" t="s">
        <v>35</v>
      </c>
      <c r="H154" s="48">
        <v>142.78</v>
      </c>
      <c r="I154" s="48">
        <f t="shared" si="5"/>
        <v>1427.8</v>
      </c>
      <c r="J154" s="46" t="s">
        <v>112</v>
      </c>
    </row>
    <row r="155" spans="1:10" x14ac:dyDescent="0.25">
      <c r="A155" s="46" t="s">
        <v>24</v>
      </c>
      <c r="B155" s="46" t="s">
        <v>213</v>
      </c>
      <c r="C155" s="46" t="s">
        <v>219</v>
      </c>
      <c r="D155" s="46" t="s">
        <v>135</v>
      </c>
      <c r="E155" s="46" t="s">
        <v>94</v>
      </c>
      <c r="F155" s="47">
        <v>450</v>
      </c>
      <c r="G155" s="46" t="s">
        <v>35</v>
      </c>
      <c r="H155" s="48">
        <v>9.0399999999999991</v>
      </c>
      <c r="I155" s="48">
        <f t="shared" si="5"/>
        <v>4067.9999999999995</v>
      </c>
      <c r="J155" s="46" t="s">
        <v>112</v>
      </c>
    </row>
    <row r="156" spans="1:10" x14ac:dyDescent="0.25">
      <c r="A156" s="46" t="s">
        <v>24</v>
      </c>
      <c r="B156" s="46" t="s">
        <v>213</v>
      </c>
      <c r="C156" s="46" t="s">
        <v>219</v>
      </c>
      <c r="D156" s="46" t="s">
        <v>137</v>
      </c>
      <c r="E156" s="46" t="s">
        <v>94</v>
      </c>
      <c r="F156" s="47">
        <v>20</v>
      </c>
      <c r="G156" s="46" t="s">
        <v>35</v>
      </c>
      <c r="H156" s="48">
        <v>12</v>
      </c>
      <c r="I156" s="48">
        <f t="shared" si="5"/>
        <v>240</v>
      </c>
      <c r="J156" s="46" t="s">
        <v>112</v>
      </c>
    </row>
    <row r="157" spans="1:10" x14ac:dyDescent="0.25">
      <c r="A157" s="46" t="s">
        <v>24</v>
      </c>
      <c r="B157" s="46" t="s">
        <v>213</v>
      </c>
      <c r="C157" s="46" t="s">
        <v>219</v>
      </c>
      <c r="D157" s="46" t="s">
        <v>200</v>
      </c>
      <c r="E157" s="46" t="s">
        <v>94</v>
      </c>
      <c r="F157" s="47">
        <v>1390</v>
      </c>
      <c r="G157" s="46" t="s">
        <v>35</v>
      </c>
      <c r="H157" s="48">
        <v>15.52</v>
      </c>
      <c r="I157" s="48">
        <f t="shared" si="5"/>
        <v>21572.799999999999</v>
      </c>
      <c r="J157" s="46" t="s">
        <v>112</v>
      </c>
    </row>
    <row r="158" spans="1:10" x14ac:dyDescent="0.25">
      <c r="A158" s="46" t="s">
        <v>24</v>
      </c>
      <c r="B158" s="46" t="s">
        <v>213</v>
      </c>
      <c r="C158" s="46" t="s">
        <v>219</v>
      </c>
      <c r="D158" s="46" t="s">
        <v>197</v>
      </c>
      <c r="E158" s="46" t="s">
        <v>94</v>
      </c>
      <c r="F158" s="47">
        <v>475</v>
      </c>
      <c r="G158" s="46" t="s">
        <v>35</v>
      </c>
      <c r="H158" s="48">
        <v>46.11</v>
      </c>
      <c r="I158" s="48">
        <f t="shared" si="5"/>
        <v>21902.25</v>
      </c>
      <c r="J158" s="46" t="s">
        <v>112</v>
      </c>
    </row>
    <row r="159" spans="1:10" x14ac:dyDescent="0.25">
      <c r="A159" s="46" t="s">
        <v>24</v>
      </c>
      <c r="B159" s="46" t="s">
        <v>213</v>
      </c>
      <c r="C159" s="46" t="s">
        <v>220</v>
      </c>
      <c r="D159" s="46" t="s">
        <v>210</v>
      </c>
      <c r="E159" s="46" t="s">
        <v>94</v>
      </c>
      <c r="F159" s="47">
        <v>5</v>
      </c>
      <c r="G159" s="46" t="s">
        <v>35</v>
      </c>
      <c r="H159" s="48">
        <v>15</v>
      </c>
      <c r="I159" s="48">
        <f t="shared" si="5"/>
        <v>75</v>
      </c>
      <c r="J159" s="46" t="s">
        <v>112</v>
      </c>
    </row>
    <row r="160" spans="1:10" x14ac:dyDescent="0.25">
      <c r="A160" s="46" t="s">
        <v>24</v>
      </c>
      <c r="B160" s="46" t="s">
        <v>213</v>
      </c>
      <c r="C160" s="46" t="s">
        <v>220</v>
      </c>
      <c r="D160" s="46" t="s">
        <v>207</v>
      </c>
      <c r="E160" s="46" t="s">
        <v>94</v>
      </c>
      <c r="F160" s="47">
        <v>25</v>
      </c>
      <c r="G160" s="46" t="s">
        <v>35</v>
      </c>
      <c r="H160" s="48">
        <v>35</v>
      </c>
      <c r="I160" s="48">
        <f t="shared" si="5"/>
        <v>875</v>
      </c>
      <c r="J160" s="46" t="s">
        <v>112</v>
      </c>
    </row>
    <row r="161" spans="1:10" x14ac:dyDescent="0.25">
      <c r="A161" s="49"/>
      <c r="B161" s="49" t="s">
        <v>221</v>
      </c>
      <c r="C161" s="49"/>
      <c r="D161" s="49"/>
      <c r="E161" s="49"/>
      <c r="F161" s="49"/>
      <c r="G161" s="49"/>
      <c r="H161" s="49"/>
      <c r="I161" s="50">
        <f>SUM(I139:I160)</f>
        <v>180361</v>
      </c>
      <c r="J161" s="49"/>
    </row>
    <row r="162" spans="1:10" x14ac:dyDescent="0.25">
      <c r="A162" s="45" t="s">
        <v>24</v>
      </c>
      <c r="B162" s="45" t="s">
        <v>222</v>
      </c>
      <c r="C162" s="45"/>
      <c r="D162" s="45"/>
      <c r="E162" s="45"/>
      <c r="F162" s="45"/>
      <c r="G162" s="45"/>
      <c r="H162" s="45"/>
      <c r="I162" s="45"/>
      <c r="J162" s="45"/>
    </row>
    <row r="163" spans="1:10" x14ac:dyDescent="0.25">
      <c r="A163" s="46" t="s">
        <v>24</v>
      </c>
      <c r="B163" s="46" t="s">
        <v>222</v>
      </c>
      <c r="C163" s="46" t="s">
        <v>223</v>
      </c>
      <c r="D163" s="46" t="s">
        <v>149</v>
      </c>
      <c r="E163" s="46" t="s">
        <v>94</v>
      </c>
      <c r="F163" s="47">
        <v>8</v>
      </c>
      <c r="G163" s="46" t="s">
        <v>35</v>
      </c>
      <c r="H163" s="48">
        <v>45</v>
      </c>
      <c r="I163" s="48">
        <f t="shared" ref="I163:I174" si="6">F163*H163</f>
        <v>360</v>
      </c>
      <c r="J163" s="46" t="s">
        <v>150</v>
      </c>
    </row>
    <row r="164" spans="1:10" x14ac:dyDescent="0.25">
      <c r="A164" s="46" t="s">
        <v>24</v>
      </c>
      <c r="B164" s="46" t="s">
        <v>222</v>
      </c>
      <c r="C164" s="46" t="s">
        <v>223</v>
      </c>
      <c r="D164" s="46" t="s">
        <v>224</v>
      </c>
      <c r="E164" s="46" t="s">
        <v>94</v>
      </c>
      <c r="F164" s="47">
        <v>8</v>
      </c>
      <c r="G164" s="46" t="s">
        <v>35</v>
      </c>
      <c r="H164" s="48">
        <v>45</v>
      </c>
      <c r="I164" s="48">
        <f t="shared" si="6"/>
        <v>360</v>
      </c>
      <c r="J164" s="46" t="s">
        <v>150</v>
      </c>
    </row>
    <row r="165" spans="1:10" x14ac:dyDescent="0.25">
      <c r="A165" s="46" t="s">
        <v>24</v>
      </c>
      <c r="B165" s="46" t="s">
        <v>222</v>
      </c>
      <c r="C165" s="46" t="s">
        <v>223</v>
      </c>
      <c r="D165" s="46" t="s">
        <v>225</v>
      </c>
      <c r="E165" s="46" t="s">
        <v>94</v>
      </c>
      <c r="F165" s="47">
        <v>4</v>
      </c>
      <c r="G165" s="46" t="s">
        <v>35</v>
      </c>
      <c r="H165" s="48">
        <v>45</v>
      </c>
      <c r="I165" s="48">
        <f t="shared" si="6"/>
        <v>180</v>
      </c>
      <c r="J165" s="46" t="s">
        <v>150</v>
      </c>
    </row>
    <row r="166" spans="1:10" x14ac:dyDescent="0.25">
      <c r="A166" s="46" t="s">
        <v>24</v>
      </c>
      <c r="B166" s="46" t="s">
        <v>222</v>
      </c>
      <c r="C166" s="46" t="s">
        <v>223</v>
      </c>
      <c r="D166" s="46" t="s">
        <v>226</v>
      </c>
      <c r="E166" s="46" t="s">
        <v>94</v>
      </c>
      <c r="F166" s="47">
        <v>4</v>
      </c>
      <c r="G166" s="46" t="s">
        <v>35</v>
      </c>
      <c r="H166" s="48">
        <v>45</v>
      </c>
      <c r="I166" s="48">
        <f t="shared" si="6"/>
        <v>180</v>
      </c>
      <c r="J166" s="46" t="s">
        <v>150</v>
      </c>
    </row>
    <row r="167" spans="1:10" x14ac:dyDescent="0.25">
      <c r="A167" s="46" t="s">
        <v>24</v>
      </c>
      <c r="B167" s="46" t="s">
        <v>222</v>
      </c>
      <c r="C167" s="46" t="s">
        <v>227</v>
      </c>
      <c r="D167" s="46" t="s">
        <v>149</v>
      </c>
      <c r="E167" s="46" t="s">
        <v>94</v>
      </c>
      <c r="F167" s="47">
        <v>31440</v>
      </c>
      <c r="G167" s="46" t="s">
        <v>35</v>
      </c>
      <c r="H167" s="48">
        <v>1.5</v>
      </c>
      <c r="I167" s="48">
        <f t="shared" si="6"/>
        <v>47160</v>
      </c>
      <c r="J167" s="46" t="s">
        <v>150</v>
      </c>
    </row>
    <row r="168" spans="1:10" x14ac:dyDescent="0.25">
      <c r="A168" s="46" t="s">
        <v>24</v>
      </c>
      <c r="B168" s="46" t="s">
        <v>222</v>
      </c>
      <c r="C168" s="46" t="s">
        <v>227</v>
      </c>
      <c r="D168" s="46" t="s">
        <v>225</v>
      </c>
      <c r="E168" s="46" t="s">
        <v>94</v>
      </c>
      <c r="F168" s="47">
        <v>120</v>
      </c>
      <c r="G168" s="46" t="s">
        <v>35</v>
      </c>
      <c r="H168" s="48">
        <v>2</v>
      </c>
      <c r="I168" s="48">
        <f t="shared" si="6"/>
        <v>240</v>
      </c>
      <c r="J168" s="46" t="s">
        <v>150</v>
      </c>
    </row>
    <row r="169" spans="1:10" x14ac:dyDescent="0.25">
      <c r="A169" s="46" t="s">
        <v>24</v>
      </c>
      <c r="B169" s="46" t="s">
        <v>222</v>
      </c>
      <c r="C169" s="46" t="s">
        <v>227</v>
      </c>
      <c r="D169" s="46" t="s">
        <v>151</v>
      </c>
      <c r="E169" s="46" t="s">
        <v>94</v>
      </c>
      <c r="F169" s="47">
        <v>13035</v>
      </c>
      <c r="G169" s="46" t="s">
        <v>35</v>
      </c>
      <c r="H169" s="48">
        <v>2.5</v>
      </c>
      <c r="I169" s="48">
        <f t="shared" si="6"/>
        <v>32587.5</v>
      </c>
      <c r="J169" s="46" t="s">
        <v>150</v>
      </c>
    </row>
    <row r="170" spans="1:10" x14ac:dyDescent="0.25">
      <c r="A170" s="46" t="s">
        <v>24</v>
      </c>
      <c r="B170" s="46" t="s">
        <v>222</v>
      </c>
      <c r="C170" s="46" t="s">
        <v>227</v>
      </c>
      <c r="D170" s="46" t="s">
        <v>228</v>
      </c>
      <c r="E170" s="46" t="s">
        <v>94</v>
      </c>
      <c r="F170" s="47">
        <v>1210</v>
      </c>
      <c r="G170" s="46" t="s">
        <v>35</v>
      </c>
      <c r="H170" s="48">
        <v>3.5</v>
      </c>
      <c r="I170" s="48">
        <f t="shared" si="6"/>
        <v>4235</v>
      </c>
      <c r="J170" s="46" t="s">
        <v>150</v>
      </c>
    </row>
    <row r="171" spans="1:10" x14ac:dyDescent="0.25">
      <c r="A171" s="46" t="s">
        <v>24</v>
      </c>
      <c r="B171" s="46" t="s">
        <v>222</v>
      </c>
      <c r="C171" s="46" t="s">
        <v>229</v>
      </c>
      <c r="D171" s="46" t="s">
        <v>151</v>
      </c>
      <c r="E171" s="46" t="s">
        <v>94</v>
      </c>
      <c r="F171" s="47">
        <v>780</v>
      </c>
      <c r="G171" s="46" t="s">
        <v>35</v>
      </c>
      <c r="H171" s="48">
        <v>8</v>
      </c>
      <c r="I171" s="48">
        <f t="shared" si="6"/>
        <v>6240</v>
      </c>
      <c r="J171" s="46" t="s">
        <v>150</v>
      </c>
    </row>
    <row r="172" spans="1:10" x14ac:dyDescent="0.25">
      <c r="A172" s="46" t="s">
        <v>24</v>
      </c>
      <c r="B172" s="46" t="s">
        <v>222</v>
      </c>
      <c r="C172" s="46" t="s">
        <v>230</v>
      </c>
      <c r="D172" s="46" t="s">
        <v>231</v>
      </c>
      <c r="E172" s="46" t="s">
        <v>94</v>
      </c>
      <c r="F172" s="47">
        <v>260</v>
      </c>
      <c r="G172" s="46" t="s">
        <v>35</v>
      </c>
      <c r="H172" s="48">
        <v>28</v>
      </c>
      <c r="I172" s="48">
        <f t="shared" si="6"/>
        <v>7280</v>
      </c>
      <c r="J172" s="46" t="s">
        <v>150</v>
      </c>
    </row>
    <row r="173" spans="1:10" x14ac:dyDescent="0.25">
      <c r="A173" s="46" t="s">
        <v>24</v>
      </c>
      <c r="B173" s="46" t="s">
        <v>222</v>
      </c>
      <c r="C173" s="46" t="s">
        <v>230</v>
      </c>
      <c r="D173" s="46" t="s">
        <v>232</v>
      </c>
      <c r="E173" s="46" t="s">
        <v>94</v>
      </c>
      <c r="F173" s="47">
        <v>1055</v>
      </c>
      <c r="G173" s="46" t="s">
        <v>35</v>
      </c>
      <c r="H173" s="48">
        <v>42</v>
      </c>
      <c r="I173" s="48">
        <f t="shared" si="6"/>
        <v>44310</v>
      </c>
      <c r="J173" s="46" t="s">
        <v>150</v>
      </c>
    </row>
    <row r="174" spans="1:10" x14ac:dyDescent="0.25">
      <c r="A174" s="46" t="s">
        <v>24</v>
      </c>
      <c r="B174" s="46" t="s">
        <v>222</v>
      </c>
      <c r="C174" s="46" t="s">
        <v>233</v>
      </c>
      <c r="D174" s="46" t="s">
        <v>234</v>
      </c>
      <c r="E174" s="46" t="s">
        <v>94</v>
      </c>
      <c r="F174" s="47">
        <v>130</v>
      </c>
      <c r="G174" s="46" t="s">
        <v>35</v>
      </c>
      <c r="H174" s="48">
        <v>18</v>
      </c>
      <c r="I174" s="48">
        <f t="shared" si="6"/>
        <v>2340</v>
      </c>
      <c r="J174" s="46" t="s">
        <v>150</v>
      </c>
    </row>
    <row r="175" spans="1:10" x14ac:dyDescent="0.25">
      <c r="A175" s="49"/>
      <c r="B175" s="49" t="s">
        <v>235</v>
      </c>
      <c r="C175" s="49"/>
      <c r="D175" s="49"/>
      <c r="E175" s="49"/>
      <c r="F175" s="49"/>
      <c r="G175" s="49"/>
      <c r="H175" s="49"/>
      <c r="I175" s="50">
        <f>SUM(I163:I174)</f>
        <v>145472.5</v>
      </c>
      <c r="J175" s="49"/>
    </row>
    <row r="176" spans="1:10" x14ac:dyDescent="0.25">
      <c r="A176" s="45" t="s">
        <v>24</v>
      </c>
      <c r="B176" s="45" t="s">
        <v>49</v>
      </c>
      <c r="C176" s="45"/>
      <c r="D176" s="45"/>
      <c r="E176" s="45"/>
      <c r="F176" s="45"/>
      <c r="G176" s="45"/>
      <c r="H176" s="45"/>
      <c r="I176" s="45"/>
      <c r="J176" s="45"/>
    </row>
    <row r="177" spans="1:10" x14ac:dyDescent="0.25">
      <c r="A177" s="46" t="s">
        <v>24</v>
      </c>
      <c r="B177" s="46" t="s">
        <v>49</v>
      </c>
      <c r="C177" s="46" t="s">
        <v>236</v>
      </c>
      <c r="D177" s="46"/>
      <c r="E177" s="46" t="s">
        <v>237</v>
      </c>
      <c r="F177" s="47">
        <v>2</v>
      </c>
      <c r="G177" s="46" t="s">
        <v>35</v>
      </c>
      <c r="H177" s="48">
        <v>4200</v>
      </c>
      <c r="I177" s="48">
        <f t="shared" ref="I177:I194" si="7">F177*H177</f>
        <v>8400</v>
      </c>
      <c r="J177" s="46" t="s">
        <v>95</v>
      </c>
    </row>
    <row r="178" spans="1:10" x14ac:dyDescent="0.25">
      <c r="A178" s="46" t="s">
        <v>24</v>
      </c>
      <c r="B178" s="46" t="s">
        <v>49</v>
      </c>
      <c r="C178" s="46" t="s">
        <v>238</v>
      </c>
      <c r="D178" s="46"/>
      <c r="E178" s="46"/>
      <c r="F178" s="47">
        <v>2</v>
      </c>
      <c r="G178" s="46" t="s">
        <v>35</v>
      </c>
      <c r="H178" s="48">
        <v>250</v>
      </c>
      <c r="I178" s="48">
        <f t="shared" si="7"/>
        <v>500</v>
      </c>
      <c r="J178" s="46" t="s">
        <v>239</v>
      </c>
    </row>
    <row r="179" spans="1:10" x14ac:dyDescent="0.25">
      <c r="A179" s="46" t="s">
        <v>24</v>
      </c>
      <c r="B179" s="46" t="s">
        <v>49</v>
      </c>
      <c r="C179" s="46" t="s">
        <v>240</v>
      </c>
      <c r="D179" s="46"/>
      <c r="E179" s="46" t="s">
        <v>241</v>
      </c>
      <c r="F179" s="47">
        <v>2</v>
      </c>
      <c r="G179" s="46" t="s">
        <v>35</v>
      </c>
      <c r="H179" s="48">
        <v>2800</v>
      </c>
      <c r="I179" s="48">
        <f t="shared" si="7"/>
        <v>5600</v>
      </c>
      <c r="J179" s="46" t="s">
        <v>239</v>
      </c>
    </row>
    <row r="180" spans="1:10" x14ac:dyDescent="0.25">
      <c r="A180" s="46" t="s">
        <v>24</v>
      </c>
      <c r="B180" s="46" t="s">
        <v>49</v>
      </c>
      <c r="C180" s="46" t="s">
        <v>242</v>
      </c>
      <c r="D180" s="46"/>
      <c r="E180" s="46" t="s">
        <v>243</v>
      </c>
      <c r="F180" s="47">
        <v>4</v>
      </c>
      <c r="G180" s="46" t="s">
        <v>35</v>
      </c>
      <c r="H180" s="48">
        <v>350</v>
      </c>
      <c r="I180" s="48">
        <f t="shared" si="7"/>
        <v>1400</v>
      </c>
      <c r="J180" s="46" t="s">
        <v>239</v>
      </c>
    </row>
    <row r="181" spans="1:10" x14ac:dyDescent="0.25">
      <c r="A181" s="46" t="s">
        <v>24</v>
      </c>
      <c r="B181" s="46" t="s">
        <v>49</v>
      </c>
      <c r="C181" s="46" t="s">
        <v>244</v>
      </c>
      <c r="D181" s="46" t="s">
        <v>245</v>
      </c>
      <c r="E181" s="46"/>
      <c r="F181" s="47">
        <v>48</v>
      </c>
      <c r="G181" s="46" t="s">
        <v>35</v>
      </c>
      <c r="H181" s="48">
        <v>547.29999999999995</v>
      </c>
      <c r="I181" s="48">
        <f t="shared" si="7"/>
        <v>26270.399999999998</v>
      </c>
      <c r="J181" s="46" t="s">
        <v>95</v>
      </c>
    </row>
    <row r="182" spans="1:10" x14ac:dyDescent="0.25">
      <c r="A182" s="46" t="s">
        <v>24</v>
      </c>
      <c r="B182" s="46" t="s">
        <v>49</v>
      </c>
      <c r="C182" s="46" t="s">
        <v>246</v>
      </c>
      <c r="D182" s="46" t="s">
        <v>245</v>
      </c>
      <c r="E182" s="46"/>
      <c r="F182" s="47">
        <v>144</v>
      </c>
      <c r="G182" s="46" t="s">
        <v>35</v>
      </c>
      <c r="H182" s="48">
        <v>350</v>
      </c>
      <c r="I182" s="48">
        <f t="shared" si="7"/>
        <v>50400</v>
      </c>
      <c r="J182" s="46" t="s">
        <v>239</v>
      </c>
    </row>
    <row r="183" spans="1:10" x14ac:dyDescent="0.25">
      <c r="A183" s="46" t="s">
        <v>24</v>
      </c>
      <c r="B183" s="46" t="s">
        <v>49</v>
      </c>
      <c r="C183" s="46" t="s">
        <v>247</v>
      </c>
      <c r="D183" s="46"/>
      <c r="E183" s="46" t="s">
        <v>248</v>
      </c>
      <c r="F183" s="47">
        <v>1</v>
      </c>
      <c r="G183" s="46" t="s">
        <v>35</v>
      </c>
      <c r="H183" s="48">
        <v>8500</v>
      </c>
      <c r="I183" s="48">
        <f t="shared" si="7"/>
        <v>8500</v>
      </c>
      <c r="J183" s="46" t="s">
        <v>239</v>
      </c>
    </row>
    <row r="184" spans="1:10" x14ac:dyDescent="0.25">
      <c r="A184" s="46" t="s">
        <v>24</v>
      </c>
      <c r="B184" s="46" t="s">
        <v>49</v>
      </c>
      <c r="C184" s="46" t="s">
        <v>249</v>
      </c>
      <c r="D184" s="46"/>
      <c r="E184" s="46" t="s">
        <v>248</v>
      </c>
      <c r="F184" s="47">
        <v>2</v>
      </c>
      <c r="G184" s="46" t="s">
        <v>35</v>
      </c>
      <c r="H184" s="48">
        <v>45000</v>
      </c>
      <c r="I184" s="48">
        <f t="shared" si="7"/>
        <v>90000</v>
      </c>
      <c r="J184" s="46" t="s">
        <v>239</v>
      </c>
    </row>
    <row r="185" spans="1:10" x14ac:dyDescent="0.25">
      <c r="A185" s="46" t="s">
        <v>24</v>
      </c>
      <c r="B185" s="46" t="s">
        <v>49</v>
      </c>
      <c r="C185" s="46" t="s">
        <v>250</v>
      </c>
      <c r="D185" s="46"/>
      <c r="E185" s="46" t="s">
        <v>248</v>
      </c>
      <c r="F185" s="47">
        <v>2</v>
      </c>
      <c r="G185" s="46" t="s">
        <v>35</v>
      </c>
      <c r="H185" s="48">
        <v>18500</v>
      </c>
      <c r="I185" s="48">
        <f t="shared" si="7"/>
        <v>37000</v>
      </c>
      <c r="J185" s="46" t="s">
        <v>239</v>
      </c>
    </row>
    <row r="186" spans="1:10" x14ac:dyDescent="0.25">
      <c r="A186" s="46" t="s">
        <v>24</v>
      </c>
      <c r="B186" s="46" t="s">
        <v>49</v>
      </c>
      <c r="C186" s="46" t="s">
        <v>251</v>
      </c>
      <c r="D186" s="46"/>
      <c r="E186" s="46" t="s">
        <v>243</v>
      </c>
      <c r="F186" s="47">
        <v>6</v>
      </c>
      <c r="G186" s="46" t="s">
        <v>35</v>
      </c>
      <c r="H186" s="48">
        <v>650</v>
      </c>
      <c r="I186" s="48">
        <f t="shared" si="7"/>
        <v>3900</v>
      </c>
      <c r="J186" s="46" t="s">
        <v>239</v>
      </c>
    </row>
    <row r="187" spans="1:10" x14ac:dyDescent="0.25">
      <c r="A187" s="46" t="s">
        <v>24</v>
      </c>
      <c r="B187" s="46" t="s">
        <v>49</v>
      </c>
      <c r="C187" s="46" t="s">
        <v>252</v>
      </c>
      <c r="D187" s="46"/>
      <c r="E187" s="46" t="s">
        <v>243</v>
      </c>
      <c r="F187" s="47">
        <v>4</v>
      </c>
      <c r="G187" s="46" t="s">
        <v>35</v>
      </c>
      <c r="H187" s="48">
        <v>950</v>
      </c>
      <c r="I187" s="48">
        <f t="shared" si="7"/>
        <v>3800</v>
      </c>
      <c r="J187" s="46" t="s">
        <v>239</v>
      </c>
    </row>
    <row r="188" spans="1:10" x14ac:dyDescent="0.25">
      <c r="A188" s="46" t="s">
        <v>24</v>
      </c>
      <c r="B188" s="46" t="s">
        <v>49</v>
      </c>
      <c r="C188" s="46" t="s">
        <v>253</v>
      </c>
      <c r="D188" s="46"/>
      <c r="E188" s="46" t="s">
        <v>243</v>
      </c>
      <c r="F188" s="47">
        <v>2</v>
      </c>
      <c r="G188" s="46" t="s">
        <v>35</v>
      </c>
      <c r="H188" s="48">
        <v>3500</v>
      </c>
      <c r="I188" s="48">
        <f t="shared" si="7"/>
        <v>7000</v>
      </c>
      <c r="J188" s="46" t="s">
        <v>239</v>
      </c>
    </row>
    <row r="189" spans="1:10" x14ac:dyDescent="0.25">
      <c r="A189" s="46" t="s">
        <v>24</v>
      </c>
      <c r="B189" s="46" t="s">
        <v>49</v>
      </c>
      <c r="C189" s="46" t="s">
        <v>254</v>
      </c>
      <c r="D189" s="46"/>
      <c r="E189" s="46" t="s">
        <v>243</v>
      </c>
      <c r="F189" s="47">
        <v>2</v>
      </c>
      <c r="G189" s="46" t="s">
        <v>35</v>
      </c>
      <c r="H189" s="48">
        <v>2500</v>
      </c>
      <c r="I189" s="48">
        <f t="shared" si="7"/>
        <v>5000</v>
      </c>
      <c r="J189" s="46" t="s">
        <v>239</v>
      </c>
    </row>
    <row r="190" spans="1:10" x14ac:dyDescent="0.25">
      <c r="A190" s="46" t="s">
        <v>24</v>
      </c>
      <c r="B190" s="46" t="s">
        <v>49</v>
      </c>
      <c r="C190" s="46" t="s">
        <v>255</v>
      </c>
      <c r="D190" s="46"/>
      <c r="E190" s="46" t="s">
        <v>256</v>
      </c>
      <c r="F190" s="47">
        <v>4</v>
      </c>
      <c r="G190" s="46" t="s">
        <v>35</v>
      </c>
      <c r="H190" s="48">
        <v>180</v>
      </c>
      <c r="I190" s="48">
        <f t="shared" si="7"/>
        <v>720</v>
      </c>
      <c r="J190" s="46" t="s">
        <v>239</v>
      </c>
    </row>
    <row r="191" spans="1:10" x14ac:dyDescent="0.25">
      <c r="A191" s="46" t="s">
        <v>24</v>
      </c>
      <c r="B191" s="46" t="s">
        <v>49</v>
      </c>
      <c r="C191" s="46" t="s">
        <v>257</v>
      </c>
      <c r="D191" s="46"/>
      <c r="E191" s="46" t="s">
        <v>243</v>
      </c>
      <c r="F191" s="47">
        <v>12</v>
      </c>
      <c r="G191" s="46" t="s">
        <v>35</v>
      </c>
      <c r="H191" s="48">
        <v>2800</v>
      </c>
      <c r="I191" s="48">
        <f t="shared" si="7"/>
        <v>33600</v>
      </c>
      <c r="J191" s="46" t="s">
        <v>239</v>
      </c>
    </row>
    <row r="192" spans="1:10" x14ac:dyDescent="0.25">
      <c r="A192" s="46" t="s">
        <v>24</v>
      </c>
      <c r="B192" s="46" t="s">
        <v>49</v>
      </c>
      <c r="C192" s="46" t="s">
        <v>258</v>
      </c>
      <c r="D192" s="46"/>
      <c r="E192" s="46" t="s">
        <v>243</v>
      </c>
      <c r="F192" s="47">
        <v>4</v>
      </c>
      <c r="G192" s="46" t="s">
        <v>35</v>
      </c>
      <c r="H192" s="48">
        <v>1200</v>
      </c>
      <c r="I192" s="48">
        <f t="shared" si="7"/>
        <v>4800</v>
      </c>
      <c r="J192" s="46" t="s">
        <v>239</v>
      </c>
    </row>
    <row r="193" spans="1:10" x14ac:dyDescent="0.25">
      <c r="A193" s="46" t="s">
        <v>24</v>
      </c>
      <c r="B193" s="46" t="s">
        <v>49</v>
      </c>
      <c r="C193" s="46" t="s">
        <v>259</v>
      </c>
      <c r="D193" s="46"/>
      <c r="E193" s="46" t="s">
        <v>243</v>
      </c>
      <c r="F193" s="47">
        <v>8</v>
      </c>
      <c r="G193" s="46" t="s">
        <v>35</v>
      </c>
      <c r="H193" s="48">
        <v>1800</v>
      </c>
      <c r="I193" s="48">
        <f t="shared" si="7"/>
        <v>14400</v>
      </c>
      <c r="J193" s="46" t="s">
        <v>239</v>
      </c>
    </row>
    <row r="194" spans="1:10" x14ac:dyDescent="0.25">
      <c r="A194" s="46" t="s">
        <v>24</v>
      </c>
      <c r="B194" s="46" t="s">
        <v>49</v>
      </c>
      <c r="C194" s="46" t="s">
        <v>260</v>
      </c>
      <c r="D194" s="46"/>
      <c r="E194" s="46" t="s">
        <v>243</v>
      </c>
      <c r="F194" s="47">
        <v>4</v>
      </c>
      <c r="G194" s="46" t="s">
        <v>35</v>
      </c>
      <c r="H194" s="48">
        <v>850</v>
      </c>
      <c r="I194" s="48">
        <f t="shared" si="7"/>
        <v>3400</v>
      </c>
      <c r="J194" s="46" t="s">
        <v>239</v>
      </c>
    </row>
    <row r="195" spans="1:10" x14ac:dyDescent="0.25">
      <c r="A195" s="49"/>
      <c r="B195" s="49" t="s">
        <v>261</v>
      </c>
      <c r="C195" s="49"/>
      <c r="D195" s="49"/>
      <c r="E195" s="49"/>
      <c r="F195" s="49"/>
      <c r="G195" s="49"/>
      <c r="H195" s="49"/>
      <c r="I195" s="50">
        <f>SUM(I177:I194)</f>
        <v>304690.40000000002</v>
      </c>
      <c r="J195" s="49"/>
    </row>
    <row r="196" spans="1:10" x14ac:dyDescent="0.25">
      <c r="A196" s="45" t="s">
        <v>262</v>
      </c>
      <c r="B196" s="45" t="s">
        <v>263</v>
      </c>
      <c r="C196" s="45"/>
      <c r="D196" s="45"/>
      <c r="E196" s="45"/>
      <c r="F196" s="45"/>
      <c r="G196" s="45"/>
      <c r="H196" s="45"/>
      <c r="I196" s="45"/>
      <c r="J196" s="45"/>
    </row>
    <row r="197" spans="1:10" x14ac:dyDescent="0.25">
      <c r="A197" s="46" t="s">
        <v>262</v>
      </c>
      <c r="B197" s="46" t="s">
        <v>263</v>
      </c>
      <c r="C197" s="46" t="s">
        <v>264</v>
      </c>
      <c r="D197" s="46"/>
      <c r="E197" s="46"/>
      <c r="F197" s="47">
        <v>3</v>
      </c>
      <c r="G197" s="46" t="s">
        <v>35</v>
      </c>
      <c r="H197" s="48">
        <v>5500</v>
      </c>
      <c r="I197" s="48">
        <f t="shared" ref="I197:I216" si="8">F197*H197</f>
        <v>16500</v>
      </c>
      <c r="J197" s="46" t="s">
        <v>150</v>
      </c>
    </row>
    <row r="198" spans="1:10" x14ac:dyDescent="0.25">
      <c r="A198" s="46" t="s">
        <v>262</v>
      </c>
      <c r="B198" s="46" t="s">
        <v>263</v>
      </c>
      <c r="C198" s="46" t="s">
        <v>265</v>
      </c>
      <c r="D198" s="46"/>
      <c r="E198" s="46"/>
      <c r="F198" s="47">
        <v>2</v>
      </c>
      <c r="G198" s="46" t="s">
        <v>35</v>
      </c>
      <c r="H198" s="48">
        <v>2500</v>
      </c>
      <c r="I198" s="48">
        <f t="shared" si="8"/>
        <v>5000</v>
      </c>
      <c r="J198" s="46" t="s">
        <v>150</v>
      </c>
    </row>
    <row r="199" spans="1:10" x14ac:dyDescent="0.25">
      <c r="A199" s="46" t="s">
        <v>262</v>
      </c>
      <c r="B199" s="46" t="s">
        <v>263</v>
      </c>
      <c r="C199" s="46" t="s">
        <v>266</v>
      </c>
      <c r="D199" s="46"/>
      <c r="E199" s="46"/>
      <c r="F199" s="47">
        <v>1</v>
      </c>
      <c r="G199" s="46" t="s">
        <v>35</v>
      </c>
      <c r="H199" s="48">
        <v>1800</v>
      </c>
      <c r="I199" s="48">
        <f t="shared" si="8"/>
        <v>1800</v>
      </c>
      <c r="J199" s="46" t="s">
        <v>150</v>
      </c>
    </row>
    <row r="200" spans="1:10" x14ac:dyDescent="0.25">
      <c r="A200" s="46" t="s">
        <v>262</v>
      </c>
      <c r="B200" s="46" t="s">
        <v>263</v>
      </c>
      <c r="C200" s="46" t="s">
        <v>267</v>
      </c>
      <c r="D200" s="46"/>
      <c r="E200" s="46"/>
      <c r="F200" s="47">
        <v>2</v>
      </c>
      <c r="G200" s="46" t="s">
        <v>35</v>
      </c>
      <c r="H200" s="48">
        <v>3500</v>
      </c>
      <c r="I200" s="48">
        <f t="shared" si="8"/>
        <v>7000</v>
      </c>
      <c r="J200" s="46" t="s">
        <v>150</v>
      </c>
    </row>
    <row r="201" spans="1:10" x14ac:dyDescent="0.25">
      <c r="A201" s="46" t="s">
        <v>262</v>
      </c>
      <c r="B201" s="46" t="s">
        <v>263</v>
      </c>
      <c r="C201" s="46" t="s">
        <v>268</v>
      </c>
      <c r="D201" s="46"/>
      <c r="E201" s="46"/>
      <c r="F201" s="47">
        <v>1</v>
      </c>
      <c r="G201" s="46" t="s">
        <v>35</v>
      </c>
      <c r="H201" s="48">
        <v>12000</v>
      </c>
      <c r="I201" s="48">
        <f t="shared" si="8"/>
        <v>12000</v>
      </c>
      <c r="J201" s="46" t="s">
        <v>150</v>
      </c>
    </row>
    <row r="202" spans="1:10" x14ac:dyDescent="0.25">
      <c r="A202" s="46" t="s">
        <v>262</v>
      </c>
      <c r="B202" s="46" t="s">
        <v>263</v>
      </c>
      <c r="C202" s="46" t="s">
        <v>269</v>
      </c>
      <c r="D202" s="46"/>
      <c r="E202" s="46"/>
      <c r="F202" s="47">
        <v>1</v>
      </c>
      <c r="G202" s="46" t="s">
        <v>35</v>
      </c>
      <c r="H202" s="48">
        <v>800</v>
      </c>
      <c r="I202" s="48">
        <f t="shared" si="8"/>
        <v>800</v>
      </c>
      <c r="J202" s="46" t="s">
        <v>150</v>
      </c>
    </row>
    <row r="203" spans="1:10" x14ac:dyDescent="0.25">
      <c r="A203" s="46" t="s">
        <v>262</v>
      </c>
      <c r="B203" s="46" t="s">
        <v>263</v>
      </c>
      <c r="C203" s="46" t="s">
        <v>270</v>
      </c>
      <c r="D203" s="46"/>
      <c r="E203" s="46"/>
      <c r="F203" s="47">
        <v>9</v>
      </c>
      <c r="G203" s="46" t="s">
        <v>35</v>
      </c>
      <c r="H203" s="48">
        <v>850</v>
      </c>
      <c r="I203" s="48">
        <f t="shared" si="8"/>
        <v>7650</v>
      </c>
      <c r="J203" s="46" t="s">
        <v>150</v>
      </c>
    </row>
    <row r="204" spans="1:10" x14ac:dyDescent="0.25">
      <c r="A204" s="46" t="s">
        <v>262</v>
      </c>
      <c r="B204" s="46" t="s">
        <v>263</v>
      </c>
      <c r="C204" s="46" t="s">
        <v>271</v>
      </c>
      <c r="D204" s="46"/>
      <c r="E204" s="46"/>
      <c r="F204" s="47">
        <v>2</v>
      </c>
      <c r="G204" s="46" t="s">
        <v>35</v>
      </c>
      <c r="H204" s="48">
        <v>3500</v>
      </c>
      <c r="I204" s="48">
        <f t="shared" si="8"/>
        <v>7000</v>
      </c>
      <c r="J204" s="46" t="s">
        <v>150</v>
      </c>
    </row>
    <row r="205" spans="1:10" x14ac:dyDescent="0.25">
      <c r="A205" s="46" t="s">
        <v>262</v>
      </c>
      <c r="B205" s="46" t="s">
        <v>263</v>
      </c>
      <c r="C205" s="46" t="s">
        <v>272</v>
      </c>
      <c r="D205" s="46"/>
      <c r="E205" s="46"/>
      <c r="F205" s="47">
        <v>1</v>
      </c>
      <c r="G205" s="46" t="s">
        <v>35</v>
      </c>
      <c r="H205" s="48">
        <v>4500</v>
      </c>
      <c r="I205" s="48">
        <f t="shared" si="8"/>
        <v>4500</v>
      </c>
      <c r="J205" s="46" t="s">
        <v>150</v>
      </c>
    </row>
    <row r="206" spans="1:10" x14ac:dyDescent="0.25">
      <c r="A206" s="46" t="s">
        <v>262</v>
      </c>
      <c r="B206" s="46" t="s">
        <v>263</v>
      </c>
      <c r="C206" s="46" t="s">
        <v>273</v>
      </c>
      <c r="D206" s="46"/>
      <c r="E206" s="46"/>
      <c r="F206" s="47">
        <v>2</v>
      </c>
      <c r="G206" s="46" t="s">
        <v>35</v>
      </c>
      <c r="H206" s="48">
        <v>450</v>
      </c>
      <c r="I206" s="48">
        <f t="shared" si="8"/>
        <v>900</v>
      </c>
      <c r="J206" s="46" t="s">
        <v>150</v>
      </c>
    </row>
    <row r="207" spans="1:10" x14ac:dyDescent="0.25">
      <c r="A207" s="46" t="s">
        <v>262</v>
      </c>
      <c r="B207" s="46" t="s">
        <v>263</v>
      </c>
      <c r="C207" s="46" t="s">
        <v>274</v>
      </c>
      <c r="D207" s="46"/>
      <c r="E207" s="46"/>
      <c r="F207" s="47">
        <v>1</v>
      </c>
      <c r="G207" s="46" t="s">
        <v>35</v>
      </c>
      <c r="H207" s="48">
        <v>1800</v>
      </c>
      <c r="I207" s="48">
        <f t="shared" si="8"/>
        <v>1800</v>
      </c>
      <c r="J207" s="46" t="s">
        <v>150</v>
      </c>
    </row>
    <row r="208" spans="1:10" x14ac:dyDescent="0.25">
      <c r="A208" s="46" t="s">
        <v>262</v>
      </c>
      <c r="B208" s="46" t="s">
        <v>263</v>
      </c>
      <c r="C208" s="46" t="s">
        <v>275</v>
      </c>
      <c r="D208" s="46"/>
      <c r="E208" s="46"/>
      <c r="F208" s="47">
        <v>4</v>
      </c>
      <c r="G208" s="46" t="s">
        <v>35</v>
      </c>
      <c r="H208" s="48">
        <v>1800</v>
      </c>
      <c r="I208" s="48">
        <f t="shared" si="8"/>
        <v>7200</v>
      </c>
      <c r="J208" s="46" t="s">
        <v>150</v>
      </c>
    </row>
    <row r="209" spans="1:10" x14ac:dyDescent="0.25">
      <c r="A209" s="46" t="s">
        <v>262</v>
      </c>
      <c r="B209" s="46" t="s">
        <v>263</v>
      </c>
      <c r="C209" s="46" t="s">
        <v>276</v>
      </c>
      <c r="D209" s="46"/>
      <c r="E209" s="46"/>
      <c r="F209" s="47">
        <v>9</v>
      </c>
      <c r="G209" s="46" t="s">
        <v>35</v>
      </c>
      <c r="H209" s="48">
        <v>350</v>
      </c>
      <c r="I209" s="48">
        <f t="shared" si="8"/>
        <v>3150</v>
      </c>
      <c r="J209" s="46" t="s">
        <v>150</v>
      </c>
    </row>
    <row r="210" spans="1:10" x14ac:dyDescent="0.25">
      <c r="A210" s="46" t="s">
        <v>262</v>
      </c>
      <c r="B210" s="46" t="s">
        <v>263</v>
      </c>
      <c r="C210" s="46" t="s">
        <v>277</v>
      </c>
      <c r="D210" s="46"/>
      <c r="E210" s="46"/>
      <c r="F210" s="47">
        <v>3</v>
      </c>
      <c r="G210" s="46" t="s">
        <v>35</v>
      </c>
      <c r="H210" s="48">
        <v>38000</v>
      </c>
      <c r="I210" s="48">
        <f t="shared" si="8"/>
        <v>114000</v>
      </c>
      <c r="J210" s="46" t="s">
        <v>150</v>
      </c>
    </row>
    <row r="211" spans="1:10" x14ac:dyDescent="0.25">
      <c r="A211" s="46" t="s">
        <v>262</v>
      </c>
      <c r="B211" s="46" t="s">
        <v>263</v>
      </c>
      <c r="C211" s="46" t="s">
        <v>278</v>
      </c>
      <c r="D211" s="46"/>
      <c r="E211" s="46"/>
      <c r="F211" s="47">
        <v>1</v>
      </c>
      <c r="G211" s="46" t="s">
        <v>35</v>
      </c>
      <c r="H211" s="48">
        <v>35000</v>
      </c>
      <c r="I211" s="48">
        <f t="shared" si="8"/>
        <v>35000</v>
      </c>
      <c r="J211" s="46" t="s">
        <v>150</v>
      </c>
    </row>
    <row r="212" spans="1:10" x14ac:dyDescent="0.25">
      <c r="A212" s="46" t="s">
        <v>262</v>
      </c>
      <c r="B212" s="46" t="s">
        <v>263</v>
      </c>
      <c r="C212" s="46" t="s">
        <v>279</v>
      </c>
      <c r="D212" s="46"/>
      <c r="E212" s="46"/>
      <c r="F212" s="47">
        <v>1</v>
      </c>
      <c r="G212" s="46" t="s">
        <v>35</v>
      </c>
      <c r="H212" s="48">
        <v>38000</v>
      </c>
      <c r="I212" s="48">
        <f t="shared" si="8"/>
        <v>38000</v>
      </c>
      <c r="J212" s="46" t="s">
        <v>150</v>
      </c>
    </row>
    <row r="213" spans="1:10" x14ac:dyDescent="0.25">
      <c r="A213" s="46" t="s">
        <v>262</v>
      </c>
      <c r="B213" s="46" t="s">
        <v>263</v>
      </c>
      <c r="C213" s="46" t="s">
        <v>280</v>
      </c>
      <c r="D213" s="46"/>
      <c r="E213" s="46"/>
      <c r="F213" s="47">
        <v>2</v>
      </c>
      <c r="G213" s="46" t="s">
        <v>35</v>
      </c>
      <c r="H213" s="48">
        <v>32000</v>
      </c>
      <c r="I213" s="48">
        <f t="shared" si="8"/>
        <v>64000</v>
      </c>
      <c r="J213" s="46" t="s">
        <v>150</v>
      </c>
    </row>
    <row r="214" spans="1:10" x14ac:dyDescent="0.25">
      <c r="A214" s="46" t="s">
        <v>262</v>
      </c>
      <c r="B214" s="46" t="s">
        <v>263</v>
      </c>
      <c r="C214" s="46" t="s">
        <v>281</v>
      </c>
      <c r="D214" s="46"/>
      <c r="E214" s="46"/>
      <c r="F214" s="47">
        <v>1</v>
      </c>
      <c r="G214" s="46" t="s">
        <v>35</v>
      </c>
      <c r="H214" s="48">
        <v>38000</v>
      </c>
      <c r="I214" s="48">
        <f t="shared" si="8"/>
        <v>38000</v>
      </c>
      <c r="J214" s="46" t="s">
        <v>150</v>
      </c>
    </row>
    <row r="215" spans="1:10" x14ac:dyDescent="0.25">
      <c r="A215" s="46" t="s">
        <v>262</v>
      </c>
      <c r="B215" s="46" t="s">
        <v>263</v>
      </c>
      <c r="C215" s="46" t="s">
        <v>282</v>
      </c>
      <c r="D215" s="46"/>
      <c r="E215" s="46"/>
      <c r="F215" s="47">
        <v>1</v>
      </c>
      <c r="G215" s="46" t="s">
        <v>35</v>
      </c>
      <c r="H215" s="48">
        <v>25000</v>
      </c>
      <c r="I215" s="48">
        <f t="shared" si="8"/>
        <v>25000</v>
      </c>
      <c r="J215" s="46" t="s">
        <v>150</v>
      </c>
    </row>
    <row r="216" spans="1:10" x14ac:dyDescent="0.25">
      <c r="A216" s="46" t="s">
        <v>262</v>
      </c>
      <c r="B216" s="46" t="s">
        <v>263</v>
      </c>
      <c r="C216" s="46" t="s">
        <v>283</v>
      </c>
      <c r="D216" s="46"/>
      <c r="E216" s="46"/>
      <c r="F216" s="47">
        <v>1</v>
      </c>
      <c r="G216" s="46" t="s">
        <v>35</v>
      </c>
      <c r="H216" s="48">
        <v>250</v>
      </c>
      <c r="I216" s="48">
        <f t="shared" si="8"/>
        <v>250</v>
      </c>
      <c r="J216" s="46" t="s">
        <v>150</v>
      </c>
    </row>
    <row r="217" spans="1:10" x14ac:dyDescent="0.25">
      <c r="A217" s="49"/>
      <c r="B217" s="49" t="s">
        <v>284</v>
      </c>
      <c r="C217" s="49"/>
      <c r="D217" s="49"/>
      <c r="E217" s="49"/>
      <c r="F217" s="49"/>
      <c r="G217" s="49"/>
      <c r="H217" s="49"/>
      <c r="I217" s="50">
        <f>SUM(I197:I216)</f>
        <v>389550</v>
      </c>
      <c r="J217" s="49"/>
    </row>
    <row r="219" spans="1:10" ht="15.75" x14ac:dyDescent="0.25">
      <c r="B219" s="8" t="s">
        <v>285</v>
      </c>
      <c r="I219" s="51">
        <f>I14+I20+I26+I32+I84+I101+I108+I137+I161+I175+I195+I217</f>
        <v>1831546.5499999998</v>
      </c>
    </row>
    <row r="220" spans="1:10" x14ac:dyDescent="0.25">
      <c r="B220" s="52" t="s">
        <v>286</v>
      </c>
    </row>
    <row r="221" spans="1:10" x14ac:dyDescent="0.25">
      <c r="B221" s="52" t="s">
        <v>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2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8" customWidth="1"/>
    <col min="4" max="4" width="7" customWidth="1"/>
    <col min="5" max="5" width="12" customWidth="1"/>
    <col min="6" max="6" width="10" customWidth="1"/>
    <col min="7" max="7" width="6" customWidth="1"/>
    <col min="8" max="8" width="50" customWidth="1"/>
    <col min="9" max="9" width="22" customWidth="1"/>
    <col min="10" max="10" width="14" customWidth="1"/>
    <col min="11" max="11" width="42" customWidth="1"/>
  </cols>
  <sheetData>
    <row r="1" spans="1:11" ht="18.75" customHeight="1" x14ac:dyDescent="0.3">
      <c r="A1" s="1" t="s">
        <v>288</v>
      </c>
    </row>
    <row r="2" spans="1:11" x14ac:dyDescent="0.25">
      <c r="A2" s="2" t="s">
        <v>289</v>
      </c>
    </row>
    <row r="3" spans="1:11" x14ac:dyDescent="0.25">
      <c r="A3" t="s">
        <v>290</v>
      </c>
    </row>
    <row r="4" spans="1:11" x14ac:dyDescent="0.25">
      <c r="A4" s="3" t="s">
        <v>291</v>
      </c>
    </row>
    <row r="5" spans="1:11" x14ac:dyDescent="0.25">
      <c r="A5" s="3" t="s">
        <v>292</v>
      </c>
    </row>
    <row r="7" spans="1:11" ht="21.95" customHeight="1" x14ac:dyDescent="0.25">
      <c r="A7" s="4" t="s">
        <v>293</v>
      </c>
      <c r="B7" s="4" t="s">
        <v>294</v>
      </c>
      <c r="C7" s="4" t="s">
        <v>295</v>
      </c>
      <c r="D7" s="4" t="s">
        <v>296</v>
      </c>
      <c r="E7" s="4" t="s">
        <v>297</v>
      </c>
      <c r="F7" s="4" t="s">
        <v>87</v>
      </c>
      <c r="G7" s="4" t="s">
        <v>88</v>
      </c>
      <c r="H7" s="4" t="s">
        <v>298</v>
      </c>
      <c r="I7" s="4" t="s">
        <v>299</v>
      </c>
      <c r="J7" s="4" t="s">
        <v>86</v>
      </c>
      <c r="K7" s="4" t="s">
        <v>300</v>
      </c>
    </row>
    <row r="8" spans="1:11" x14ac:dyDescent="0.25">
      <c r="A8" s="56" t="s">
        <v>301</v>
      </c>
      <c r="B8" s="54"/>
      <c r="C8" s="54"/>
      <c r="D8" s="54"/>
      <c r="E8" s="54"/>
      <c r="F8" s="54"/>
      <c r="G8" s="54"/>
      <c r="H8" s="54"/>
      <c r="I8" s="54"/>
      <c r="J8" s="54"/>
      <c r="K8" s="55"/>
    </row>
    <row r="9" spans="1:11" ht="30" customHeight="1" x14ac:dyDescent="0.25">
      <c r="A9" s="5" t="s">
        <v>302</v>
      </c>
      <c r="B9" s="5" t="s">
        <v>303</v>
      </c>
      <c r="C9" s="6" t="s">
        <v>304</v>
      </c>
      <c r="D9" s="5">
        <v>13</v>
      </c>
      <c r="E9" s="5"/>
      <c r="F9" s="7">
        <v>4</v>
      </c>
      <c r="G9" s="5"/>
      <c r="H9" s="6" t="s">
        <v>133</v>
      </c>
      <c r="I9" s="6" t="s">
        <v>134</v>
      </c>
      <c r="J9" s="6" t="s">
        <v>94</v>
      </c>
      <c r="K9" s="6" t="s">
        <v>305</v>
      </c>
    </row>
    <row r="10" spans="1:11" ht="30" customHeight="1" x14ac:dyDescent="0.25">
      <c r="A10" s="5" t="s">
        <v>302</v>
      </c>
      <c r="B10" s="5" t="s">
        <v>303</v>
      </c>
      <c r="C10" s="6" t="s">
        <v>304</v>
      </c>
      <c r="D10" s="5">
        <v>14</v>
      </c>
      <c r="E10" s="5"/>
      <c r="F10" s="7">
        <v>5</v>
      </c>
      <c r="G10" s="5"/>
      <c r="H10" s="6" t="s">
        <v>133</v>
      </c>
      <c r="I10" s="6" t="s">
        <v>135</v>
      </c>
      <c r="J10" s="6" t="s">
        <v>94</v>
      </c>
      <c r="K10" s="6" t="s">
        <v>306</v>
      </c>
    </row>
    <row r="11" spans="1:11" ht="30" customHeight="1" x14ac:dyDescent="0.25">
      <c r="A11" s="5" t="s">
        <v>302</v>
      </c>
      <c r="B11" s="5" t="s">
        <v>303</v>
      </c>
      <c r="C11" s="6" t="s">
        <v>304</v>
      </c>
      <c r="D11" s="5">
        <v>17</v>
      </c>
      <c r="E11" s="5"/>
      <c r="F11" s="7">
        <v>300</v>
      </c>
      <c r="G11" s="5"/>
      <c r="H11" s="6" t="s">
        <v>153</v>
      </c>
      <c r="I11" s="6" t="s">
        <v>154</v>
      </c>
      <c r="J11" s="6" t="s">
        <v>94</v>
      </c>
      <c r="K11" s="6" t="s">
        <v>307</v>
      </c>
    </row>
    <row r="12" spans="1:11" ht="30" customHeight="1" x14ac:dyDescent="0.25">
      <c r="A12" s="5" t="s">
        <v>302</v>
      </c>
      <c r="B12" s="5" t="s">
        <v>303</v>
      </c>
      <c r="C12" s="6" t="s">
        <v>304</v>
      </c>
      <c r="D12" s="5">
        <v>18</v>
      </c>
      <c r="E12" s="5"/>
      <c r="F12" s="7">
        <v>100</v>
      </c>
      <c r="G12" s="5"/>
      <c r="H12" s="6" t="s">
        <v>153</v>
      </c>
      <c r="I12" s="6" t="s">
        <v>155</v>
      </c>
      <c r="J12" s="6" t="s">
        <v>94</v>
      </c>
      <c r="K12" s="6" t="s">
        <v>308</v>
      </c>
    </row>
    <row r="13" spans="1:11" ht="30" customHeight="1" x14ac:dyDescent="0.25">
      <c r="A13" s="5" t="s">
        <v>302</v>
      </c>
      <c r="B13" s="5" t="s">
        <v>303</v>
      </c>
      <c r="C13" s="6" t="s">
        <v>304</v>
      </c>
      <c r="D13" s="5">
        <v>19</v>
      </c>
      <c r="E13" s="5"/>
      <c r="F13" s="7">
        <v>2</v>
      </c>
      <c r="G13" s="5"/>
      <c r="H13" s="6" t="s">
        <v>153</v>
      </c>
      <c r="I13" s="6" t="s">
        <v>156</v>
      </c>
      <c r="J13" s="6" t="s">
        <v>94</v>
      </c>
      <c r="K13" s="6" t="s">
        <v>309</v>
      </c>
    </row>
    <row r="14" spans="1:11" ht="45" customHeight="1" x14ac:dyDescent="0.25">
      <c r="A14" s="5" t="s">
        <v>302</v>
      </c>
      <c r="B14" s="5" t="s">
        <v>303</v>
      </c>
      <c r="C14" s="6" t="s">
        <v>304</v>
      </c>
      <c r="D14" s="5">
        <v>23</v>
      </c>
      <c r="E14" s="5"/>
      <c r="F14" s="7">
        <v>150</v>
      </c>
      <c r="G14" s="5"/>
      <c r="H14" s="6" t="s">
        <v>161</v>
      </c>
      <c r="I14" s="6" t="s">
        <v>125</v>
      </c>
      <c r="J14" s="6" t="s">
        <v>94</v>
      </c>
      <c r="K14" s="6" t="s">
        <v>310</v>
      </c>
    </row>
    <row r="15" spans="1:11" ht="30" customHeight="1" x14ac:dyDescent="0.25">
      <c r="A15" s="5" t="s">
        <v>302</v>
      </c>
      <c r="B15" s="5" t="s">
        <v>303</v>
      </c>
      <c r="C15" s="6" t="s">
        <v>304</v>
      </c>
      <c r="D15" s="5">
        <v>24</v>
      </c>
      <c r="E15" s="5"/>
      <c r="F15" s="7">
        <v>2</v>
      </c>
      <c r="G15" s="5"/>
      <c r="H15" s="6" t="s">
        <v>161</v>
      </c>
      <c r="I15" s="6" t="s">
        <v>162</v>
      </c>
      <c r="J15" s="6" t="s">
        <v>94</v>
      </c>
      <c r="K15" s="6" t="s">
        <v>311</v>
      </c>
    </row>
    <row r="16" spans="1:11" ht="30" customHeight="1" x14ac:dyDescent="0.25">
      <c r="A16" s="5" t="s">
        <v>302</v>
      </c>
      <c r="B16" s="5" t="s">
        <v>303</v>
      </c>
      <c r="C16" s="6" t="s">
        <v>304</v>
      </c>
      <c r="D16" s="5">
        <v>38</v>
      </c>
      <c r="E16" s="5"/>
      <c r="F16" s="7">
        <v>2</v>
      </c>
      <c r="G16" s="5"/>
      <c r="H16" s="6" t="s">
        <v>147</v>
      </c>
      <c r="I16" s="6" t="s">
        <v>136</v>
      </c>
      <c r="J16" s="6" t="s">
        <v>94</v>
      </c>
      <c r="K16" s="6" t="s">
        <v>312</v>
      </c>
    </row>
    <row r="17" spans="1:11" ht="30" customHeight="1" x14ac:dyDescent="0.25">
      <c r="A17" s="5" t="s">
        <v>302</v>
      </c>
      <c r="B17" s="5" t="s">
        <v>303</v>
      </c>
      <c r="C17" s="6" t="s">
        <v>304</v>
      </c>
      <c r="D17" s="5">
        <v>40</v>
      </c>
      <c r="E17" s="5"/>
      <c r="F17" s="7">
        <v>45</v>
      </c>
      <c r="G17" s="5"/>
      <c r="H17" s="6" t="s">
        <v>120</v>
      </c>
      <c r="I17" s="6" t="s">
        <v>122</v>
      </c>
      <c r="J17" s="6" t="s">
        <v>94</v>
      </c>
      <c r="K17" s="6" t="s">
        <v>313</v>
      </c>
    </row>
    <row r="18" spans="1:11" ht="30" customHeight="1" x14ac:dyDescent="0.25">
      <c r="A18" s="5" t="s">
        <v>302</v>
      </c>
      <c r="B18" s="5" t="s">
        <v>303</v>
      </c>
      <c r="C18" s="6" t="s">
        <v>304</v>
      </c>
      <c r="D18" s="5">
        <v>41</v>
      </c>
      <c r="E18" s="5"/>
      <c r="F18" s="7">
        <v>20</v>
      </c>
      <c r="G18" s="5"/>
      <c r="H18" s="6" t="s">
        <v>120</v>
      </c>
      <c r="I18" s="6" t="s">
        <v>123</v>
      </c>
      <c r="J18" s="6" t="s">
        <v>94</v>
      </c>
      <c r="K18" s="6" t="s">
        <v>313</v>
      </c>
    </row>
    <row r="19" spans="1:11" ht="30" customHeight="1" x14ac:dyDescent="0.25">
      <c r="A19" s="5" t="s">
        <v>302</v>
      </c>
      <c r="B19" s="5" t="s">
        <v>303</v>
      </c>
      <c r="C19" s="6" t="s">
        <v>304</v>
      </c>
      <c r="D19" s="5">
        <v>42</v>
      </c>
      <c r="E19" s="5"/>
      <c r="F19" s="7">
        <v>275</v>
      </c>
      <c r="G19" s="5"/>
      <c r="H19" s="6" t="s">
        <v>130</v>
      </c>
      <c r="I19" s="6" t="s">
        <v>131</v>
      </c>
      <c r="J19" s="6" t="s">
        <v>94</v>
      </c>
      <c r="K19" s="6" t="s">
        <v>314</v>
      </c>
    </row>
    <row r="20" spans="1:11" ht="30" customHeight="1" x14ac:dyDescent="0.25">
      <c r="A20" s="5" t="s">
        <v>302</v>
      </c>
      <c r="B20" s="5" t="s">
        <v>303</v>
      </c>
      <c r="C20" s="6" t="s">
        <v>304</v>
      </c>
      <c r="D20" s="5">
        <v>43</v>
      </c>
      <c r="E20" s="5"/>
      <c r="F20" s="7">
        <v>35</v>
      </c>
      <c r="G20" s="5"/>
      <c r="H20" s="6" t="s">
        <v>130</v>
      </c>
      <c r="I20" s="6" t="s">
        <v>132</v>
      </c>
      <c r="J20" s="6" t="s">
        <v>94</v>
      </c>
      <c r="K20" s="6" t="s">
        <v>314</v>
      </c>
    </row>
    <row r="21" spans="1:11" ht="30" customHeight="1" x14ac:dyDescent="0.25">
      <c r="A21" s="5" t="s">
        <v>302</v>
      </c>
      <c r="B21" s="5" t="s">
        <v>303</v>
      </c>
      <c r="C21" s="6" t="s">
        <v>304</v>
      </c>
      <c r="D21" s="5">
        <v>44</v>
      </c>
      <c r="E21" s="5"/>
      <c r="F21" s="7">
        <v>2</v>
      </c>
      <c r="G21" s="5"/>
      <c r="H21" s="6" t="s">
        <v>144</v>
      </c>
      <c r="I21" s="6" t="s">
        <v>137</v>
      </c>
      <c r="J21" s="6" t="s">
        <v>94</v>
      </c>
      <c r="K21" s="6" t="s">
        <v>315</v>
      </c>
    </row>
    <row r="22" spans="1:11" ht="30" customHeight="1" x14ac:dyDescent="0.25">
      <c r="A22" s="5" t="s">
        <v>302</v>
      </c>
      <c r="B22" s="5" t="s">
        <v>303</v>
      </c>
      <c r="C22" s="6" t="s">
        <v>304</v>
      </c>
      <c r="D22" s="5">
        <v>47</v>
      </c>
      <c r="E22" s="5"/>
      <c r="F22" s="7">
        <v>2</v>
      </c>
      <c r="G22" s="5"/>
      <c r="H22" s="6" t="s">
        <v>145</v>
      </c>
      <c r="I22" s="6" t="s">
        <v>146</v>
      </c>
      <c r="J22" s="6" t="s">
        <v>94</v>
      </c>
      <c r="K22" s="6" t="s">
        <v>315</v>
      </c>
    </row>
    <row r="23" spans="1:11" ht="30" customHeight="1" x14ac:dyDescent="0.25">
      <c r="A23" s="5" t="s">
        <v>302</v>
      </c>
      <c r="B23" s="5" t="s">
        <v>303</v>
      </c>
      <c r="C23" s="6" t="s">
        <v>304</v>
      </c>
      <c r="D23" s="5">
        <v>48</v>
      </c>
      <c r="E23" s="5"/>
      <c r="F23" s="7">
        <v>2</v>
      </c>
      <c r="G23" s="5"/>
      <c r="H23" s="6" t="s">
        <v>145</v>
      </c>
      <c r="I23" s="6" t="s">
        <v>123</v>
      </c>
      <c r="J23" s="6" t="s">
        <v>94</v>
      </c>
      <c r="K23" s="6" t="s">
        <v>315</v>
      </c>
    </row>
    <row r="24" spans="1:11" ht="45" customHeight="1" x14ac:dyDescent="0.25">
      <c r="A24" s="5" t="s">
        <v>302</v>
      </c>
      <c r="B24" s="5" t="s">
        <v>303</v>
      </c>
      <c r="C24" s="6" t="s">
        <v>304</v>
      </c>
      <c r="D24" s="5">
        <v>67</v>
      </c>
      <c r="E24" s="5"/>
      <c r="F24" s="7">
        <v>50</v>
      </c>
      <c r="G24" s="5"/>
      <c r="H24" s="6" t="s">
        <v>216</v>
      </c>
      <c r="I24" s="6" t="s">
        <v>135</v>
      </c>
      <c r="J24" s="6" t="s">
        <v>94</v>
      </c>
      <c r="K24" s="6" t="s">
        <v>316</v>
      </c>
    </row>
    <row r="25" spans="1:11" ht="45" customHeight="1" x14ac:dyDescent="0.25">
      <c r="A25" s="5" t="s">
        <v>302</v>
      </c>
      <c r="B25" s="5" t="s">
        <v>303</v>
      </c>
      <c r="C25" s="6" t="s">
        <v>304</v>
      </c>
      <c r="D25" s="5">
        <v>70</v>
      </c>
      <c r="E25" s="5"/>
      <c r="F25" s="7">
        <v>80</v>
      </c>
      <c r="G25" s="5"/>
      <c r="H25" s="6" t="s">
        <v>216</v>
      </c>
      <c r="I25" s="6" t="s">
        <v>197</v>
      </c>
      <c r="J25" s="6" t="s">
        <v>94</v>
      </c>
      <c r="K25" s="6" t="s">
        <v>316</v>
      </c>
    </row>
    <row r="26" spans="1:11" ht="30" customHeight="1" x14ac:dyDescent="0.25">
      <c r="A26" s="5" t="s">
        <v>302</v>
      </c>
      <c r="B26" s="5" t="s">
        <v>303</v>
      </c>
      <c r="C26" s="6" t="s">
        <v>304</v>
      </c>
      <c r="D26" s="5">
        <v>73</v>
      </c>
      <c r="E26" s="5"/>
      <c r="F26" s="7">
        <v>4</v>
      </c>
      <c r="G26" s="5"/>
      <c r="H26" s="6" t="s">
        <v>199</v>
      </c>
      <c r="I26" s="6" t="s">
        <v>137</v>
      </c>
      <c r="J26" s="6" t="s">
        <v>94</v>
      </c>
      <c r="K26" s="6" t="s">
        <v>317</v>
      </c>
    </row>
    <row r="27" spans="1:11" ht="30" customHeight="1" x14ac:dyDescent="0.25">
      <c r="A27" s="5" t="s">
        <v>302</v>
      </c>
      <c r="B27" s="5" t="s">
        <v>303</v>
      </c>
      <c r="C27" s="6" t="s">
        <v>304</v>
      </c>
      <c r="D27" s="5">
        <v>74</v>
      </c>
      <c r="E27" s="5"/>
      <c r="F27" s="7">
        <v>200</v>
      </c>
      <c r="G27" s="5"/>
      <c r="H27" s="6" t="s">
        <v>199</v>
      </c>
      <c r="I27" s="6" t="s">
        <v>200</v>
      </c>
      <c r="J27" s="6" t="s">
        <v>94</v>
      </c>
      <c r="K27" s="6" t="s">
        <v>318</v>
      </c>
    </row>
    <row r="28" spans="1:11" ht="30" customHeight="1" x14ac:dyDescent="0.25">
      <c r="A28" s="5" t="s">
        <v>302</v>
      </c>
      <c r="B28" s="5" t="s">
        <v>303</v>
      </c>
      <c r="C28" s="6" t="s">
        <v>304</v>
      </c>
      <c r="D28" s="5">
        <v>75</v>
      </c>
      <c r="E28" s="5"/>
      <c r="F28" s="7">
        <v>150</v>
      </c>
      <c r="G28" s="5"/>
      <c r="H28" s="6" t="s">
        <v>215</v>
      </c>
      <c r="I28" s="6" t="s">
        <v>135</v>
      </c>
      <c r="J28" s="6" t="s">
        <v>94</v>
      </c>
      <c r="K28" s="6" t="s">
        <v>319</v>
      </c>
    </row>
    <row r="29" spans="1:11" ht="30" customHeight="1" x14ac:dyDescent="0.25">
      <c r="A29" s="5" t="s">
        <v>302</v>
      </c>
      <c r="B29" s="5" t="s">
        <v>303</v>
      </c>
      <c r="C29" s="6" t="s">
        <v>304</v>
      </c>
      <c r="D29" s="5">
        <v>76</v>
      </c>
      <c r="E29" s="5"/>
      <c r="F29" s="7">
        <v>10</v>
      </c>
      <c r="G29" s="5"/>
      <c r="H29" s="6" t="s">
        <v>215</v>
      </c>
      <c r="I29" s="6" t="s">
        <v>137</v>
      </c>
      <c r="J29" s="6" t="s">
        <v>94</v>
      </c>
      <c r="K29" s="6" t="s">
        <v>320</v>
      </c>
    </row>
    <row r="30" spans="1:11" ht="30" customHeight="1" x14ac:dyDescent="0.25">
      <c r="A30" s="5" t="s">
        <v>302</v>
      </c>
      <c r="B30" s="5" t="s">
        <v>303</v>
      </c>
      <c r="C30" s="6" t="s">
        <v>304</v>
      </c>
      <c r="D30" s="5">
        <v>77</v>
      </c>
      <c r="E30" s="5"/>
      <c r="F30" s="7">
        <v>250</v>
      </c>
      <c r="G30" s="5"/>
      <c r="H30" s="6" t="s">
        <v>215</v>
      </c>
      <c r="I30" s="6" t="s">
        <v>200</v>
      </c>
      <c r="J30" s="6" t="s">
        <v>94</v>
      </c>
      <c r="K30" s="6" t="s">
        <v>319</v>
      </c>
    </row>
    <row r="31" spans="1:11" ht="30" customHeight="1" x14ac:dyDescent="0.25">
      <c r="A31" s="5" t="s">
        <v>302</v>
      </c>
      <c r="B31" s="5" t="s">
        <v>303</v>
      </c>
      <c r="C31" s="6" t="s">
        <v>304</v>
      </c>
      <c r="D31" s="5">
        <v>78</v>
      </c>
      <c r="E31" s="5"/>
      <c r="F31" s="7">
        <v>100</v>
      </c>
      <c r="G31" s="5"/>
      <c r="H31" s="6" t="s">
        <v>215</v>
      </c>
      <c r="I31" s="6" t="s">
        <v>197</v>
      </c>
      <c r="J31" s="6" t="s">
        <v>94</v>
      </c>
      <c r="K31" s="6" t="s">
        <v>319</v>
      </c>
    </row>
    <row r="32" spans="1:11" ht="30" customHeight="1" x14ac:dyDescent="0.25">
      <c r="A32" s="5" t="s">
        <v>302</v>
      </c>
      <c r="B32" s="5" t="s">
        <v>303</v>
      </c>
      <c r="C32" s="6" t="s">
        <v>304</v>
      </c>
      <c r="D32" s="5">
        <v>79</v>
      </c>
      <c r="E32" s="5"/>
      <c r="F32" s="7">
        <v>5</v>
      </c>
      <c r="G32" s="5"/>
      <c r="H32" s="6" t="s">
        <v>206</v>
      </c>
      <c r="I32" s="6" t="s">
        <v>134</v>
      </c>
      <c r="J32" s="6" t="s">
        <v>94</v>
      </c>
      <c r="K32" s="6" t="s">
        <v>321</v>
      </c>
    </row>
    <row r="33" spans="1:11" ht="30" customHeight="1" x14ac:dyDescent="0.25">
      <c r="A33" s="5" t="s">
        <v>302</v>
      </c>
      <c r="B33" s="5" t="s">
        <v>303</v>
      </c>
      <c r="C33" s="6" t="s">
        <v>304</v>
      </c>
      <c r="D33" s="5">
        <v>80</v>
      </c>
      <c r="E33" s="5"/>
      <c r="F33" s="7">
        <v>200</v>
      </c>
      <c r="G33" s="5"/>
      <c r="H33" s="6" t="s">
        <v>206</v>
      </c>
      <c r="I33" s="6" t="s">
        <v>135</v>
      </c>
      <c r="J33" s="6" t="s">
        <v>94</v>
      </c>
      <c r="K33" s="6" t="s">
        <v>322</v>
      </c>
    </row>
    <row r="34" spans="1:11" ht="30" customHeight="1" x14ac:dyDescent="0.25">
      <c r="A34" s="5" t="s">
        <v>302</v>
      </c>
      <c r="B34" s="5" t="s">
        <v>303</v>
      </c>
      <c r="C34" s="6" t="s">
        <v>304</v>
      </c>
      <c r="D34" s="5">
        <v>81</v>
      </c>
      <c r="E34" s="5"/>
      <c r="F34" s="7">
        <v>200</v>
      </c>
      <c r="G34" s="5"/>
      <c r="H34" s="6" t="s">
        <v>206</v>
      </c>
      <c r="I34" s="6" t="s">
        <v>200</v>
      </c>
      <c r="J34" s="6" t="s">
        <v>94</v>
      </c>
      <c r="K34" s="6" t="s">
        <v>322</v>
      </c>
    </row>
    <row r="35" spans="1:11" ht="30" customHeight="1" x14ac:dyDescent="0.25">
      <c r="A35" s="5" t="s">
        <v>302</v>
      </c>
      <c r="B35" s="5" t="s">
        <v>303</v>
      </c>
      <c r="C35" s="6" t="s">
        <v>304</v>
      </c>
      <c r="D35" s="5">
        <v>82</v>
      </c>
      <c r="E35" s="5"/>
      <c r="F35" s="7">
        <v>10</v>
      </c>
      <c r="G35" s="5"/>
      <c r="H35" s="6" t="s">
        <v>206</v>
      </c>
      <c r="I35" s="6" t="s">
        <v>207</v>
      </c>
      <c r="J35" s="6" t="s">
        <v>94</v>
      </c>
      <c r="K35" s="6" t="s">
        <v>321</v>
      </c>
    </row>
    <row r="36" spans="1:11" ht="30" customHeight="1" x14ac:dyDescent="0.25">
      <c r="A36" s="5" t="s">
        <v>302</v>
      </c>
      <c r="B36" s="5" t="s">
        <v>303</v>
      </c>
      <c r="C36" s="6" t="s">
        <v>304</v>
      </c>
      <c r="D36" s="5">
        <v>83</v>
      </c>
      <c r="E36" s="5"/>
      <c r="F36" s="7">
        <v>70</v>
      </c>
      <c r="G36" s="5"/>
      <c r="H36" s="6" t="s">
        <v>218</v>
      </c>
      <c r="I36" s="6" t="s">
        <v>135</v>
      </c>
      <c r="J36" s="6" t="s">
        <v>94</v>
      </c>
      <c r="K36" s="6" t="s">
        <v>323</v>
      </c>
    </row>
    <row r="37" spans="1:11" ht="30" customHeight="1" x14ac:dyDescent="0.25">
      <c r="A37" s="5" t="s">
        <v>302</v>
      </c>
      <c r="B37" s="5" t="s">
        <v>303</v>
      </c>
      <c r="C37" s="6" t="s">
        <v>304</v>
      </c>
      <c r="D37" s="5">
        <v>84</v>
      </c>
      <c r="E37" s="5"/>
      <c r="F37" s="7">
        <v>80</v>
      </c>
      <c r="G37" s="5"/>
      <c r="H37" s="6" t="s">
        <v>218</v>
      </c>
      <c r="I37" s="6" t="s">
        <v>200</v>
      </c>
      <c r="J37" s="6" t="s">
        <v>94</v>
      </c>
      <c r="K37" s="6" t="s">
        <v>323</v>
      </c>
    </row>
    <row r="38" spans="1:11" ht="30" customHeight="1" x14ac:dyDescent="0.25">
      <c r="A38" s="5" t="s">
        <v>302</v>
      </c>
      <c r="B38" s="5" t="s">
        <v>303</v>
      </c>
      <c r="C38" s="6" t="s">
        <v>304</v>
      </c>
      <c r="D38" s="5">
        <v>85</v>
      </c>
      <c r="E38" s="5"/>
      <c r="F38" s="7">
        <v>5</v>
      </c>
      <c r="G38" s="5"/>
      <c r="H38" s="6" t="s">
        <v>218</v>
      </c>
      <c r="I38" s="6" t="s">
        <v>207</v>
      </c>
      <c r="J38" s="6" t="s">
        <v>94</v>
      </c>
      <c r="K38" s="6" t="s">
        <v>324</v>
      </c>
    </row>
    <row r="39" spans="1:11" ht="30" customHeight="1" x14ac:dyDescent="0.25">
      <c r="A39" s="5" t="s">
        <v>302</v>
      </c>
      <c r="B39" s="5" t="s">
        <v>303</v>
      </c>
      <c r="C39" s="6" t="s">
        <v>304</v>
      </c>
      <c r="D39" s="5">
        <v>86</v>
      </c>
      <c r="E39" s="5"/>
      <c r="F39" s="7">
        <v>10</v>
      </c>
      <c r="G39" s="5"/>
      <c r="H39" s="6" t="s">
        <v>202</v>
      </c>
      <c r="I39" s="6" t="s">
        <v>203</v>
      </c>
      <c r="J39" s="6" t="s">
        <v>94</v>
      </c>
      <c r="K39" s="6" t="s">
        <v>325</v>
      </c>
    </row>
    <row r="40" spans="1:11" ht="30" customHeight="1" x14ac:dyDescent="0.25">
      <c r="A40" s="5" t="s">
        <v>302</v>
      </c>
      <c r="B40" s="5" t="s">
        <v>303</v>
      </c>
      <c r="C40" s="6" t="s">
        <v>304</v>
      </c>
      <c r="D40" s="5">
        <v>88</v>
      </c>
      <c r="E40" s="5"/>
      <c r="F40" s="7">
        <v>3</v>
      </c>
      <c r="G40" s="5"/>
      <c r="H40" s="6" t="s">
        <v>217</v>
      </c>
      <c r="I40" s="6" t="s">
        <v>203</v>
      </c>
      <c r="J40" s="6" t="s">
        <v>94</v>
      </c>
      <c r="K40" s="6" t="s">
        <v>326</v>
      </c>
    </row>
    <row r="41" spans="1:11" ht="30" customHeight="1" x14ac:dyDescent="0.25">
      <c r="A41" s="5" t="s">
        <v>302</v>
      </c>
      <c r="B41" s="5" t="s">
        <v>303</v>
      </c>
      <c r="C41" s="6" t="s">
        <v>304</v>
      </c>
      <c r="D41" s="5">
        <v>90</v>
      </c>
      <c r="E41" s="5"/>
      <c r="F41" s="7">
        <v>10</v>
      </c>
      <c r="G41" s="5"/>
      <c r="H41" s="6" t="s">
        <v>217</v>
      </c>
      <c r="I41" s="6" t="s">
        <v>210</v>
      </c>
      <c r="J41" s="6" t="s">
        <v>94</v>
      </c>
      <c r="K41" s="6" t="s">
        <v>327</v>
      </c>
    </row>
    <row r="42" spans="1:11" ht="30" customHeight="1" x14ac:dyDescent="0.25">
      <c r="A42" s="5" t="s">
        <v>302</v>
      </c>
      <c r="B42" s="5" t="s">
        <v>303</v>
      </c>
      <c r="C42" s="6" t="s">
        <v>304</v>
      </c>
      <c r="D42" s="5">
        <v>91</v>
      </c>
      <c r="E42" s="5"/>
      <c r="F42" s="7">
        <v>10</v>
      </c>
      <c r="G42" s="5"/>
      <c r="H42" s="6" t="s">
        <v>217</v>
      </c>
      <c r="I42" s="6" t="s">
        <v>207</v>
      </c>
      <c r="J42" s="6" t="s">
        <v>94</v>
      </c>
      <c r="K42" s="6" t="s">
        <v>328</v>
      </c>
    </row>
    <row r="43" spans="1:11" ht="30" customHeight="1" x14ac:dyDescent="0.25">
      <c r="A43" s="5" t="s">
        <v>302</v>
      </c>
      <c r="B43" s="5" t="s">
        <v>303</v>
      </c>
      <c r="C43" s="6" t="s">
        <v>304</v>
      </c>
      <c r="D43" s="5">
        <v>92</v>
      </c>
      <c r="E43" s="5"/>
      <c r="F43" s="7">
        <v>5</v>
      </c>
      <c r="G43" s="5"/>
      <c r="H43" s="6" t="s">
        <v>211</v>
      </c>
      <c r="I43" s="6" t="s">
        <v>137</v>
      </c>
      <c r="J43" s="6" t="s">
        <v>94</v>
      </c>
      <c r="K43" s="6" t="s">
        <v>329</v>
      </c>
    </row>
    <row r="44" spans="1:11" ht="30" customHeight="1" x14ac:dyDescent="0.25">
      <c r="A44" s="5" t="s">
        <v>302</v>
      </c>
      <c r="B44" s="5" t="s">
        <v>303</v>
      </c>
      <c r="C44" s="6" t="s">
        <v>304</v>
      </c>
      <c r="D44" s="5">
        <v>95</v>
      </c>
      <c r="E44" s="5"/>
      <c r="F44" s="7">
        <v>10</v>
      </c>
      <c r="G44" s="5"/>
      <c r="H44" s="6" t="s">
        <v>208</v>
      </c>
      <c r="I44" s="6" t="s">
        <v>134</v>
      </c>
      <c r="J44" s="6" t="s">
        <v>94</v>
      </c>
      <c r="K44" s="6" t="s">
        <v>330</v>
      </c>
    </row>
    <row r="45" spans="1:11" ht="30" customHeight="1" x14ac:dyDescent="0.25">
      <c r="A45" s="5" t="s">
        <v>302</v>
      </c>
      <c r="B45" s="5" t="s">
        <v>303</v>
      </c>
      <c r="C45" s="6" t="s">
        <v>304</v>
      </c>
      <c r="D45" s="5">
        <v>97</v>
      </c>
      <c r="E45" s="5"/>
      <c r="F45" s="7">
        <v>10</v>
      </c>
      <c r="G45" s="5"/>
      <c r="H45" s="6" t="s">
        <v>208</v>
      </c>
      <c r="I45" s="6" t="s">
        <v>137</v>
      </c>
      <c r="J45" s="6" t="s">
        <v>94</v>
      </c>
      <c r="K45" s="6" t="s">
        <v>331</v>
      </c>
    </row>
    <row r="46" spans="1:11" ht="30" customHeight="1" x14ac:dyDescent="0.25">
      <c r="A46" s="5" t="s">
        <v>302</v>
      </c>
      <c r="B46" s="5" t="s">
        <v>303</v>
      </c>
      <c r="C46" s="6" t="s">
        <v>304</v>
      </c>
      <c r="D46" s="5">
        <v>99</v>
      </c>
      <c r="E46" s="5"/>
      <c r="F46" s="7">
        <v>20</v>
      </c>
      <c r="G46" s="5"/>
      <c r="H46" s="6" t="s">
        <v>208</v>
      </c>
      <c r="I46" s="6" t="s">
        <v>197</v>
      </c>
      <c r="J46" s="6" t="s">
        <v>94</v>
      </c>
      <c r="K46" s="6" t="s">
        <v>332</v>
      </c>
    </row>
    <row r="47" spans="1:11" ht="30" customHeight="1" x14ac:dyDescent="0.25">
      <c r="A47" s="5" t="s">
        <v>302</v>
      </c>
      <c r="B47" s="5" t="s">
        <v>303</v>
      </c>
      <c r="C47" s="6" t="s">
        <v>304</v>
      </c>
      <c r="D47" s="5">
        <v>101</v>
      </c>
      <c r="E47" s="5"/>
      <c r="F47" s="7">
        <v>10</v>
      </c>
      <c r="G47" s="5"/>
      <c r="H47" s="6" t="s">
        <v>219</v>
      </c>
      <c r="I47" s="6" t="s">
        <v>137</v>
      </c>
      <c r="J47" s="6" t="s">
        <v>94</v>
      </c>
      <c r="K47" s="6" t="s">
        <v>333</v>
      </c>
    </row>
    <row r="48" spans="1:11" ht="30" customHeight="1" x14ac:dyDescent="0.25">
      <c r="A48" s="5" t="s">
        <v>302</v>
      </c>
      <c r="B48" s="5" t="s">
        <v>303</v>
      </c>
      <c r="C48" s="6" t="s">
        <v>304</v>
      </c>
      <c r="D48" s="5">
        <v>105</v>
      </c>
      <c r="E48" s="5"/>
      <c r="F48" s="7">
        <v>5</v>
      </c>
      <c r="G48" s="5"/>
      <c r="H48" s="6" t="s">
        <v>196</v>
      </c>
      <c r="I48" s="6" t="s">
        <v>197</v>
      </c>
      <c r="J48" s="6" t="s">
        <v>94</v>
      </c>
      <c r="K48" s="6" t="s">
        <v>334</v>
      </c>
    </row>
    <row r="49" spans="1:11" ht="30" customHeight="1" x14ac:dyDescent="0.25">
      <c r="A49" s="5" t="s">
        <v>302</v>
      </c>
      <c r="B49" s="5" t="s">
        <v>303</v>
      </c>
      <c r="C49" s="6" t="s">
        <v>304</v>
      </c>
      <c r="D49" s="5">
        <v>108</v>
      </c>
      <c r="E49" s="5"/>
      <c r="F49" s="7">
        <v>20</v>
      </c>
      <c r="G49" s="5"/>
      <c r="H49" s="6" t="s">
        <v>227</v>
      </c>
      <c r="I49" s="6" t="s">
        <v>225</v>
      </c>
      <c r="J49" s="6" t="s">
        <v>94</v>
      </c>
      <c r="K49" s="6" t="s">
        <v>335</v>
      </c>
    </row>
    <row r="50" spans="1:11" ht="45" customHeight="1" x14ac:dyDescent="0.25">
      <c r="A50" s="5" t="s">
        <v>302</v>
      </c>
      <c r="B50" s="5" t="s">
        <v>303</v>
      </c>
      <c r="C50" s="6" t="s">
        <v>304</v>
      </c>
      <c r="D50" s="5">
        <v>109</v>
      </c>
      <c r="E50" s="5"/>
      <c r="F50" s="7">
        <v>3000</v>
      </c>
      <c r="G50" s="5"/>
      <c r="H50" s="6" t="s">
        <v>227</v>
      </c>
      <c r="I50" s="6" t="s">
        <v>151</v>
      </c>
      <c r="J50" s="6" t="s">
        <v>94</v>
      </c>
      <c r="K50" s="6" t="s">
        <v>336</v>
      </c>
    </row>
    <row r="51" spans="1:11" ht="45" customHeight="1" x14ac:dyDescent="0.25">
      <c r="A51" s="5" t="s">
        <v>302</v>
      </c>
      <c r="B51" s="5" t="s">
        <v>303</v>
      </c>
      <c r="C51" s="6" t="s">
        <v>304</v>
      </c>
      <c r="D51" s="5">
        <v>110</v>
      </c>
      <c r="E51" s="5"/>
      <c r="F51" s="7">
        <v>280</v>
      </c>
      <c r="G51" s="5"/>
      <c r="H51" s="6" t="s">
        <v>227</v>
      </c>
      <c r="I51" s="6" t="s">
        <v>228</v>
      </c>
      <c r="J51" s="6" t="s">
        <v>94</v>
      </c>
      <c r="K51" s="6" t="s">
        <v>336</v>
      </c>
    </row>
    <row r="52" spans="1:11" ht="30" customHeight="1" x14ac:dyDescent="0.25">
      <c r="A52" s="5" t="s">
        <v>302</v>
      </c>
      <c r="B52" s="5" t="s">
        <v>303</v>
      </c>
      <c r="C52" s="6" t="s">
        <v>304</v>
      </c>
      <c r="D52" s="5">
        <v>111</v>
      </c>
      <c r="E52" s="5"/>
      <c r="F52" s="7">
        <v>5</v>
      </c>
      <c r="G52" s="5"/>
      <c r="H52" s="6" t="s">
        <v>209</v>
      </c>
      <c r="I52" s="6" t="s">
        <v>203</v>
      </c>
      <c r="J52" s="6" t="s">
        <v>94</v>
      </c>
      <c r="K52" s="6" t="s">
        <v>337</v>
      </c>
    </row>
    <row r="53" spans="1:11" ht="45" customHeight="1" x14ac:dyDescent="0.25">
      <c r="A53" s="5" t="s">
        <v>302</v>
      </c>
      <c r="B53" s="5" t="s">
        <v>303</v>
      </c>
      <c r="C53" s="6" t="s">
        <v>304</v>
      </c>
      <c r="D53" s="5">
        <v>114</v>
      </c>
      <c r="E53" s="5"/>
      <c r="F53" s="7">
        <v>5</v>
      </c>
      <c r="G53" s="5"/>
      <c r="H53" s="6" t="s">
        <v>220</v>
      </c>
      <c r="I53" s="6" t="s">
        <v>210</v>
      </c>
      <c r="J53" s="6" t="s">
        <v>94</v>
      </c>
      <c r="K53" s="6" t="s">
        <v>338</v>
      </c>
    </row>
    <row r="54" spans="1:11" ht="30" customHeight="1" x14ac:dyDescent="0.25">
      <c r="A54" s="5" t="s">
        <v>302</v>
      </c>
      <c r="B54" s="5" t="s">
        <v>303</v>
      </c>
      <c r="C54" s="6" t="s">
        <v>304</v>
      </c>
      <c r="D54" s="5">
        <v>116</v>
      </c>
      <c r="E54" s="5"/>
      <c r="F54" s="7">
        <v>125</v>
      </c>
      <c r="G54" s="5"/>
      <c r="H54" s="6" t="s">
        <v>195</v>
      </c>
      <c r="I54" s="6" t="s">
        <v>128</v>
      </c>
      <c r="J54" s="6" t="s">
        <v>94</v>
      </c>
      <c r="K54" s="6" t="s">
        <v>339</v>
      </c>
    </row>
    <row r="55" spans="1:11" ht="30" customHeight="1" x14ac:dyDescent="0.25">
      <c r="A55" s="5" t="s">
        <v>302</v>
      </c>
      <c r="B55" s="5" t="s">
        <v>303</v>
      </c>
      <c r="C55" s="6" t="s">
        <v>304</v>
      </c>
      <c r="D55" s="5">
        <v>117</v>
      </c>
      <c r="E55" s="5"/>
      <c r="F55" s="7">
        <v>75</v>
      </c>
      <c r="G55" s="5"/>
      <c r="H55" s="6" t="s">
        <v>214</v>
      </c>
      <c r="I55" s="6" t="s">
        <v>128</v>
      </c>
      <c r="J55" s="6" t="s">
        <v>94</v>
      </c>
      <c r="K55" s="6" t="s">
        <v>340</v>
      </c>
    </row>
    <row r="56" spans="1:11" ht="30" customHeight="1" x14ac:dyDescent="0.25">
      <c r="A56" s="5" t="s">
        <v>302</v>
      </c>
      <c r="B56" s="5" t="s">
        <v>303</v>
      </c>
      <c r="C56" s="6" t="s">
        <v>304</v>
      </c>
      <c r="D56" s="5">
        <v>122</v>
      </c>
      <c r="E56" s="5"/>
      <c r="F56" s="7">
        <v>10</v>
      </c>
      <c r="G56" s="5"/>
      <c r="H56" s="6" t="s">
        <v>148</v>
      </c>
      <c r="I56" s="6" t="s">
        <v>151</v>
      </c>
      <c r="J56" s="6" t="s">
        <v>94</v>
      </c>
      <c r="K56" s="6" t="s">
        <v>341</v>
      </c>
    </row>
    <row r="57" spans="1:11" ht="30" customHeight="1" x14ac:dyDescent="0.25">
      <c r="A57" s="5" t="s">
        <v>302</v>
      </c>
      <c r="B57" s="5" t="s">
        <v>303</v>
      </c>
      <c r="C57" s="6" t="s">
        <v>304</v>
      </c>
      <c r="D57" s="5">
        <v>124</v>
      </c>
      <c r="E57" s="5"/>
      <c r="F57" s="7">
        <v>4</v>
      </c>
      <c r="G57" s="5"/>
      <c r="H57" s="6" t="s">
        <v>223</v>
      </c>
      <c r="I57" s="6" t="s">
        <v>149</v>
      </c>
      <c r="J57" s="6" t="s">
        <v>94</v>
      </c>
      <c r="K57" s="6" t="s">
        <v>342</v>
      </c>
    </row>
    <row r="58" spans="1:11" ht="30" customHeight="1" x14ac:dyDescent="0.25">
      <c r="A58" s="5" t="s">
        <v>302</v>
      </c>
      <c r="B58" s="5" t="s">
        <v>303</v>
      </c>
      <c r="C58" s="6" t="s">
        <v>304</v>
      </c>
      <c r="D58" s="5">
        <v>126</v>
      </c>
      <c r="E58" s="5"/>
      <c r="F58" s="7">
        <v>4</v>
      </c>
      <c r="G58" s="5"/>
      <c r="H58" s="6" t="s">
        <v>223</v>
      </c>
      <c r="I58" s="6" t="s">
        <v>225</v>
      </c>
      <c r="J58" s="6" t="s">
        <v>94</v>
      </c>
      <c r="K58" s="6" t="s">
        <v>343</v>
      </c>
    </row>
    <row r="59" spans="1:11" ht="30" customHeight="1" x14ac:dyDescent="0.25">
      <c r="A59" s="5" t="s">
        <v>302</v>
      </c>
      <c r="B59" s="5" t="s">
        <v>303</v>
      </c>
      <c r="C59" s="6" t="s">
        <v>304</v>
      </c>
      <c r="D59" s="5">
        <v>128</v>
      </c>
      <c r="E59" s="5"/>
      <c r="F59" s="7">
        <v>8</v>
      </c>
      <c r="G59" s="5"/>
      <c r="H59" s="6" t="s">
        <v>191</v>
      </c>
      <c r="I59" s="6" t="s">
        <v>190</v>
      </c>
      <c r="J59" s="6" t="s">
        <v>94</v>
      </c>
      <c r="K59" s="6" t="s">
        <v>344</v>
      </c>
    </row>
    <row r="60" spans="1:11" ht="30" customHeight="1" x14ac:dyDescent="0.25">
      <c r="A60" s="5" t="s">
        <v>302</v>
      </c>
      <c r="B60" s="5" t="s">
        <v>303</v>
      </c>
      <c r="C60" s="6" t="s">
        <v>304</v>
      </c>
      <c r="D60" s="5">
        <v>129</v>
      </c>
      <c r="E60" s="5"/>
      <c r="F60" s="7">
        <v>3</v>
      </c>
      <c r="G60" s="5"/>
      <c r="H60" s="6" t="s">
        <v>189</v>
      </c>
      <c r="I60" s="6" t="s">
        <v>190</v>
      </c>
      <c r="J60" s="6" t="s">
        <v>94</v>
      </c>
      <c r="K60" s="6" t="s">
        <v>345</v>
      </c>
    </row>
    <row r="61" spans="1:11" ht="30" customHeight="1" x14ac:dyDescent="0.25">
      <c r="A61" s="5" t="s">
        <v>302</v>
      </c>
      <c r="B61" s="5" t="s">
        <v>303</v>
      </c>
      <c r="C61" s="6" t="s">
        <v>304</v>
      </c>
      <c r="D61" s="5">
        <v>131</v>
      </c>
      <c r="E61" s="5"/>
      <c r="F61" s="7">
        <v>10</v>
      </c>
      <c r="G61" s="5"/>
      <c r="H61" s="6" t="s">
        <v>188</v>
      </c>
      <c r="I61" s="6" t="s">
        <v>187</v>
      </c>
      <c r="J61" s="6" t="s">
        <v>94</v>
      </c>
      <c r="K61" s="6" t="s">
        <v>346</v>
      </c>
    </row>
    <row r="62" spans="1:11" ht="30" customHeight="1" x14ac:dyDescent="0.25">
      <c r="A62" s="5" t="s">
        <v>302</v>
      </c>
      <c r="B62" s="5" t="s">
        <v>303</v>
      </c>
      <c r="C62" s="6" t="s">
        <v>304</v>
      </c>
      <c r="D62" s="5">
        <v>132</v>
      </c>
      <c r="E62" s="5"/>
      <c r="F62" s="7">
        <v>2</v>
      </c>
      <c r="G62" s="5"/>
      <c r="H62" s="6" t="s">
        <v>186</v>
      </c>
      <c r="I62" s="6" t="s">
        <v>187</v>
      </c>
      <c r="J62" s="6" t="s">
        <v>94</v>
      </c>
      <c r="K62" s="6" t="s">
        <v>347</v>
      </c>
    </row>
    <row r="63" spans="1:11" ht="45" customHeight="1" x14ac:dyDescent="0.25">
      <c r="A63" s="5" t="s">
        <v>302</v>
      </c>
      <c r="B63" s="5" t="s">
        <v>303</v>
      </c>
      <c r="C63" s="6" t="s">
        <v>348</v>
      </c>
      <c r="D63" s="5">
        <v>1</v>
      </c>
      <c r="E63" s="5"/>
      <c r="F63" s="7">
        <v>2</v>
      </c>
      <c r="G63" s="5"/>
      <c r="H63" s="6" t="s">
        <v>267</v>
      </c>
      <c r="I63" s="6"/>
      <c r="J63" s="6"/>
      <c r="K63" s="6" t="s">
        <v>349</v>
      </c>
    </row>
    <row r="64" spans="1:11" ht="30" customHeight="1" x14ac:dyDescent="0.25">
      <c r="A64" s="5" t="s">
        <v>302</v>
      </c>
      <c r="B64" s="5" t="s">
        <v>303</v>
      </c>
      <c r="C64" s="6" t="s">
        <v>348</v>
      </c>
      <c r="D64" s="5">
        <v>2</v>
      </c>
      <c r="E64" s="5"/>
      <c r="F64" s="7">
        <v>1</v>
      </c>
      <c r="G64" s="5"/>
      <c r="H64" s="6" t="s">
        <v>266</v>
      </c>
      <c r="I64" s="6"/>
      <c r="J64" s="6"/>
      <c r="K64" s="6" t="s">
        <v>350</v>
      </c>
    </row>
    <row r="65" spans="1:11" ht="45" customHeight="1" x14ac:dyDescent="0.25">
      <c r="A65" s="5" t="s">
        <v>302</v>
      </c>
      <c r="B65" s="5" t="s">
        <v>303</v>
      </c>
      <c r="C65" s="6" t="s">
        <v>348</v>
      </c>
      <c r="D65" s="5">
        <v>3</v>
      </c>
      <c r="E65" s="5"/>
      <c r="F65" s="7">
        <v>2</v>
      </c>
      <c r="G65" s="5"/>
      <c r="H65" s="6" t="s">
        <v>265</v>
      </c>
      <c r="I65" s="6"/>
      <c r="J65" s="6"/>
      <c r="K65" s="6" t="s">
        <v>351</v>
      </c>
    </row>
    <row r="66" spans="1:11" ht="45" customHeight="1" x14ac:dyDescent="0.25">
      <c r="A66" s="5" t="s">
        <v>302</v>
      </c>
      <c r="B66" s="5" t="s">
        <v>303</v>
      </c>
      <c r="C66" s="6" t="s">
        <v>348</v>
      </c>
      <c r="D66" s="5">
        <v>4</v>
      </c>
      <c r="E66" s="5"/>
      <c r="F66" s="7">
        <v>1</v>
      </c>
      <c r="G66" s="5"/>
      <c r="H66" s="6" t="s">
        <v>274</v>
      </c>
      <c r="I66" s="6"/>
      <c r="J66" s="6"/>
      <c r="K66" s="6" t="s">
        <v>352</v>
      </c>
    </row>
    <row r="67" spans="1:11" ht="45" customHeight="1" x14ac:dyDescent="0.25">
      <c r="A67" s="5" t="s">
        <v>302</v>
      </c>
      <c r="B67" s="5" t="s">
        <v>303</v>
      </c>
      <c r="C67" s="6" t="s">
        <v>348</v>
      </c>
      <c r="D67" s="5">
        <v>5</v>
      </c>
      <c r="E67" s="5"/>
      <c r="F67" s="7">
        <v>4</v>
      </c>
      <c r="G67" s="5"/>
      <c r="H67" s="6" t="s">
        <v>275</v>
      </c>
      <c r="I67" s="6"/>
      <c r="J67" s="6"/>
      <c r="K67" s="6" t="s">
        <v>353</v>
      </c>
    </row>
    <row r="68" spans="1:11" ht="45" customHeight="1" x14ac:dyDescent="0.25">
      <c r="A68" s="5" t="s">
        <v>302</v>
      </c>
      <c r="B68" s="5" t="s">
        <v>303</v>
      </c>
      <c r="C68" s="6" t="s">
        <v>348</v>
      </c>
      <c r="D68" s="5">
        <v>6</v>
      </c>
      <c r="E68" s="5"/>
      <c r="F68" s="7">
        <v>2</v>
      </c>
      <c r="G68" s="5"/>
      <c r="H68" s="6" t="s">
        <v>273</v>
      </c>
      <c r="I68" s="6"/>
      <c r="J68" s="6"/>
      <c r="K68" s="6" t="s">
        <v>354</v>
      </c>
    </row>
    <row r="69" spans="1:11" ht="45" customHeight="1" x14ac:dyDescent="0.25">
      <c r="A69" s="5" t="s">
        <v>302</v>
      </c>
      <c r="B69" s="5" t="s">
        <v>303</v>
      </c>
      <c r="C69" s="6" t="s">
        <v>348</v>
      </c>
      <c r="D69" s="5">
        <v>7</v>
      </c>
      <c r="E69" s="5"/>
      <c r="F69" s="7">
        <v>9</v>
      </c>
      <c r="G69" s="5"/>
      <c r="H69" s="6" t="s">
        <v>276</v>
      </c>
      <c r="I69" s="6"/>
      <c r="J69" s="6"/>
      <c r="K69" s="6" t="s">
        <v>355</v>
      </c>
    </row>
    <row r="70" spans="1:11" ht="30" customHeight="1" x14ac:dyDescent="0.25">
      <c r="A70" s="5" t="s">
        <v>302</v>
      </c>
      <c r="B70" s="5" t="s">
        <v>303</v>
      </c>
      <c r="C70" s="6" t="s">
        <v>348</v>
      </c>
      <c r="D70" s="5">
        <v>8</v>
      </c>
      <c r="E70" s="5"/>
      <c r="F70" s="7">
        <v>1</v>
      </c>
      <c r="G70" s="5"/>
      <c r="H70" s="6" t="s">
        <v>278</v>
      </c>
      <c r="I70" s="6"/>
      <c r="J70" s="6"/>
      <c r="K70" s="6" t="s">
        <v>356</v>
      </c>
    </row>
    <row r="71" spans="1:11" ht="30" customHeight="1" x14ac:dyDescent="0.25">
      <c r="A71" s="5" t="s">
        <v>302</v>
      </c>
      <c r="B71" s="5" t="s">
        <v>303</v>
      </c>
      <c r="C71" s="6" t="s">
        <v>348</v>
      </c>
      <c r="D71" s="5">
        <v>9</v>
      </c>
      <c r="E71" s="5"/>
      <c r="F71" s="7">
        <v>1</v>
      </c>
      <c r="G71" s="5"/>
      <c r="H71" s="6" t="s">
        <v>279</v>
      </c>
      <c r="I71" s="6"/>
      <c r="J71" s="6"/>
      <c r="K71" s="6" t="s">
        <v>356</v>
      </c>
    </row>
    <row r="72" spans="1:11" ht="45" customHeight="1" x14ac:dyDescent="0.25">
      <c r="A72" s="5" t="s">
        <v>302</v>
      </c>
      <c r="B72" s="5" t="s">
        <v>303</v>
      </c>
      <c r="C72" s="6" t="s">
        <v>348</v>
      </c>
      <c r="D72" s="5">
        <v>10</v>
      </c>
      <c r="E72" s="5"/>
      <c r="F72" s="7">
        <v>3</v>
      </c>
      <c r="G72" s="5"/>
      <c r="H72" s="6" t="s">
        <v>277</v>
      </c>
      <c r="I72" s="6"/>
      <c r="J72" s="6"/>
      <c r="K72" s="6" t="s">
        <v>357</v>
      </c>
    </row>
    <row r="73" spans="1:11" ht="45" customHeight="1" x14ac:dyDescent="0.25">
      <c r="A73" s="5" t="s">
        <v>302</v>
      </c>
      <c r="B73" s="5" t="s">
        <v>303</v>
      </c>
      <c r="C73" s="6" t="s">
        <v>348</v>
      </c>
      <c r="D73" s="5">
        <v>11</v>
      </c>
      <c r="E73" s="5"/>
      <c r="F73" s="7">
        <v>2</v>
      </c>
      <c r="G73" s="5"/>
      <c r="H73" s="6" t="s">
        <v>280</v>
      </c>
      <c r="I73" s="6"/>
      <c r="J73" s="6"/>
      <c r="K73" s="6" t="s">
        <v>358</v>
      </c>
    </row>
    <row r="74" spans="1:11" ht="45" customHeight="1" x14ac:dyDescent="0.25">
      <c r="A74" s="5" t="s">
        <v>302</v>
      </c>
      <c r="B74" s="5" t="s">
        <v>303</v>
      </c>
      <c r="C74" s="6" t="s">
        <v>348</v>
      </c>
      <c r="D74" s="5">
        <v>12</v>
      </c>
      <c r="E74" s="5"/>
      <c r="F74" s="7">
        <v>1</v>
      </c>
      <c r="G74" s="5"/>
      <c r="H74" s="6" t="s">
        <v>282</v>
      </c>
      <c r="I74" s="6"/>
      <c r="J74" s="6"/>
      <c r="K74" s="6" t="s">
        <v>359</v>
      </c>
    </row>
    <row r="75" spans="1:11" ht="45" customHeight="1" x14ac:dyDescent="0.25">
      <c r="A75" s="5" t="s">
        <v>302</v>
      </c>
      <c r="B75" s="5" t="s">
        <v>303</v>
      </c>
      <c r="C75" s="6" t="s">
        <v>348</v>
      </c>
      <c r="D75" s="5">
        <v>13</v>
      </c>
      <c r="E75" s="5"/>
      <c r="F75" s="7">
        <v>1</v>
      </c>
      <c r="G75" s="5"/>
      <c r="H75" s="6" t="s">
        <v>281</v>
      </c>
      <c r="I75" s="6"/>
      <c r="J75" s="6"/>
      <c r="K75" s="6" t="s">
        <v>360</v>
      </c>
    </row>
    <row r="76" spans="1:11" ht="45" customHeight="1" x14ac:dyDescent="0.25">
      <c r="A76" s="5" t="s">
        <v>302</v>
      </c>
      <c r="B76" s="5" t="s">
        <v>303</v>
      </c>
      <c r="C76" s="6" t="s">
        <v>348</v>
      </c>
      <c r="D76" s="5">
        <v>14</v>
      </c>
      <c r="E76" s="5"/>
      <c r="F76" s="7">
        <v>9</v>
      </c>
      <c r="G76" s="5"/>
      <c r="H76" s="6" t="s">
        <v>270</v>
      </c>
      <c r="I76" s="6"/>
      <c r="J76" s="6"/>
      <c r="K76" s="6" t="s">
        <v>361</v>
      </c>
    </row>
    <row r="77" spans="1:11" ht="45" customHeight="1" x14ac:dyDescent="0.25">
      <c r="A77" s="5" t="s">
        <v>302</v>
      </c>
      <c r="B77" s="5" t="s">
        <v>303</v>
      </c>
      <c r="C77" s="6" t="s">
        <v>348</v>
      </c>
      <c r="D77" s="5">
        <v>15</v>
      </c>
      <c r="E77" s="5"/>
      <c r="F77" s="7">
        <v>1</v>
      </c>
      <c r="G77" s="5"/>
      <c r="H77" s="6" t="s">
        <v>268</v>
      </c>
      <c r="I77" s="6"/>
      <c r="J77" s="6"/>
      <c r="K77" s="6" t="s">
        <v>362</v>
      </c>
    </row>
    <row r="78" spans="1:11" ht="45" customHeight="1" x14ac:dyDescent="0.25">
      <c r="A78" s="5" t="s">
        <v>302</v>
      </c>
      <c r="B78" s="5" t="s">
        <v>303</v>
      </c>
      <c r="C78" s="6" t="s">
        <v>348</v>
      </c>
      <c r="D78" s="5">
        <v>16</v>
      </c>
      <c r="E78" s="5"/>
      <c r="F78" s="7">
        <v>2</v>
      </c>
      <c r="G78" s="5"/>
      <c r="H78" s="6" t="s">
        <v>271</v>
      </c>
      <c r="I78" s="6"/>
      <c r="J78" s="6"/>
      <c r="K78" s="6" t="s">
        <v>363</v>
      </c>
    </row>
    <row r="79" spans="1:11" ht="45" customHeight="1" x14ac:dyDescent="0.25">
      <c r="A79" s="5" t="s">
        <v>302</v>
      </c>
      <c r="B79" s="5" t="s">
        <v>303</v>
      </c>
      <c r="C79" s="6" t="s">
        <v>348</v>
      </c>
      <c r="D79" s="5">
        <v>17</v>
      </c>
      <c r="E79" s="5"/>
      <c r="F79" s="7">
        <v>1</v>
      </c>
      <c r="G79" s="5"/>
      <c r="H79" s="6" t="s">
        <v>272</v>
      </c>
      <c r="I79" s="6"/>
      <c r="J79" s="6"/>
      <c r="K79" s="6" t="s">
        <v>364</v>
      </c>
    </row>
    <row r="80" spans="1:11" ht="45" customHeight="1" x14ac:dyDescent="0.25">
      <c r="A80" s="5" t="s">
        <v>302</v>
      </c>
      <c r="B80" s="5" t="s">
        <v>303</v>
      </c>
      <c r="C80" s="6" t="s">
        <v>348</v>
      </c>
      <c r="D80" s="5">
        <v>18</v>
      </c>
      <c r="E80" s="5"/>
      <c r="F80" s="7">
        <v>1</v>
      </c>
      <c r="G80" s="5"/>
      <c r="H80" s="6" t="s">
        <v>269</v>
      </c>
      <c r="I80" s="6"/>
      <c r="J80" s="6"/>
      <c r="K80" s="6" t="s">
        <v>365</v>
      </c>
    </row>
    <row r="81" spans="1:11" ht="30" customHeight="1" x14ac:dyDescent="0.25">
      <c r="A81" s="5" t="s">
        <v>302</v>
      </c>
      <c r="B81" s="5" t="s">
        <v>303</v>
      </c>
      <c r="C81" s="6" t="s">
        <v>348</v>
      </c>
      <c r="D81" s="5">
        <v>19</v>
      </c>
      <c r="E81" s="5"/>
      <c r="F81" s="7">
        <v>1</v>
      </c>
      <c r="G81" s="5"/>
      <c r="H81" s="6" t="s">
        <v>283</v>
      </c>
      <c r="I81" s="6"/>
      <c r="J81" s="6"/>
      <c r="K81" s="6" t="s">
        <v>366</v>
      </c>
    </row>
    <row r="82" spans="1:11" ht="45" customHeight="1" x14ac:dyDescent="0.25">
      <c r="A82" s="5" t="s">
        <v>302</v>
      </c>
      <c r="B82" s="5" t="s">
        <v>303</v>
      </c>
      <c r="C82" s="6" t="s">
        <v>348</v>
      </c>
      <c r="D82" s="5">
        <v>20</v>
      </c>
      <c r="E82" s="5"/>
      <c r="F82" s="7">
        <v>3</v>
      </c>
      <c r="G82" s="5"/>
      <c r="H82" s="6" t="s">
        <v>264</v>
      </c>
      <c r="I82" s="6"/>
      <c r="J82" s="6"/>
      <c r="K82" s="6" t="s">
        <v>367</v>
      </c>
    </row>
    <row r="83" spans="1:11" ht="30" customHeight="1" x14ac:dyDescent="0.25">
      <c r="A83" s="5" t="s">
        <v>302</v>
      </c>
      <c r="B83" s="5" t="s">
        <v>303</v>
      </c>
      <c r="C83" s="6" t="s">
        <v>368</v>
      </c>
      <c r="D83" s="5">
        <v>1</v>
      </c>
      <c r="E83" s="5"/>
      <c r="F83" s="7">
        <v>53.5</v>
      </c>
      <c r="G83" s="5"/>
      <c r="H83" s="6" t="s">
        <v>111</v>
      </c>
      <c r="I83" s="6" t="s">
        <v>97</v>
      </c>
      <c r="J83" s="6" t="s">
        <v>94</v>
      </c>
      <c r="K83" s="6" t="s">
        <v>369</v>
      </c>
    </row>
    <row r="84" spans="1:11" ht="30" customHeight="1" x14ac:dyDescent="0.25">
      <c r="A84" s="5" t="s">
        <v>302</v>
      </c>
      <c r="B84" s="5" t="s">
        <v>303</v>
      </c>
      <c r="C84" s="6" t="s">
        <v>368</v>
      </c>
      <c r="D84" s="5">
        <v>2</v>
      </c>
      <c r="E84" s="5"/>
      <c r="F84" s="7">
        <v>99.5</v>
      </c>
      <c r="G84" s="5"/>
      <c r="H84" s="6" t="s">
        <v>111</v>
      </c>
      <c r="I84" s="6" t="s">
        <v>98</v>
      </c>
      <c r="J84" s="6" t="s">
        <v>94</v>
      </c>
      <c r="K84" s="6" t="s">
        <v>369</v>
      </c>
    </row>
    <row r="85" spans="1:11" ht="30" customHeight="1" x14ac:dyDescent="0.25">
      <c r="A85" s="5" t="s">
        <v>302</v>
      </c>
      <c r="B85" s="5" t="s">
        <v>303</v>
      </c>
      <c r="C85" s="6" t="s">
        <v>368</v>
      </c>
      <c r="D85" s="5">
        <v>3</v>
      </c>
      <c r="E85" s="5"/>
      <c r="F85" s="7">
        <v>1</v>
      </c>
      <c r="G85" s="5"/>
      <c r="H85" s="6" t="s">
        <v>111</v>
      </c>
      <c r="I85" s="6" t="s">
        <v>100</v>
      </c>
      <c r="J85" s="6" t="s">
        <v>94</v>
      </c>
      <c r="K85" s="6" t="s">
        <v>370</v>
      </c>
    </row>
    <row r="86" spans="1:11" ht="30" customHeight="1" x14ac:dyDescent="0.25">
      <c r="A86" s="5" t="s">
        <v>302</v>
      </c>
      <c r="B86" s="5" t="s">
        <v>303</v>
      </c>
      <c r="C86" s="6" t="s">
        <v>368</v>
      </c>
      <c r="D86" s="5">
        <v>4</v>
      </c>
      <c r="E86" s="5"/>
      <c r="F86" s="7">
        <v>46.5</v>
      </c>
      <c r="G86" s="5"/>
      <c r="H86" s="6" t="s">
        <v>111</v>
      </c>
      <c r="I86" s="6" t="s">
        <v>113</v>
      </c>
      <c r="J86" s="6" t="s">
        <v>94</v>
      </c>
      <c r="K86" s="6" t="s">
        <v>369</v>
      </c>
    </row>
    <row r="87" spans="1:11" ht="30" customHeight="1" x14ac:dyDescent="0.25">
      <c r="A87" s="5" t="s">
        <v>302</v>
      </c>
      <c r="B87" s="5" t="s">
        <v>303</v>
      </c>
      <c r="C87" s="6" t="s">
        <v>368</v>
      </c>
      <c r="D87" s="5">
        <v>5</v>
      </c>
      <c r="E87" s="5"/>
      <c r="F87" s="7">
        <v>25</v>
      </c>
      <c r="G87" s="5"/>
      <c r="H87" s="6" t="s">
        <v>116</v>
      </c>
      <c r="I87" s="6" t="s">
        <v>98</v>
      </c>
      <c r="J87" s="6" t="s">
        <v>94</v>
      </c>
      <c r="K87" s="6" t="s">
        <v>369</v>
      </c>
    </row>
    <row r="88" spans="1:11" ht="30" customHeight="1" x14ac:dyDescent="0.25">
      <c r="A88" s="5" t="s">
        <v>302</v>
      </c>
      <c r="B88" s="5" t="s">
        <v>303</v>
      </c>
      <c r="C88" s="6" t="s">
        <v>368</v>
      </c>
      <c r="D88" s="5">
        <v>6</v>
      </c>
      <c r="E88" s="5"/>
      <c r="F88" s="7">
        <v>3.5</v>
      </c>
      <c r="G88" s="5"/>
      <c r="H88" s="6" t="s">
        <v>116</v>
      </c>
      <c r="I88" s="6" t="s">
        <v>100</v>
      </c>
      <c r="J88" s="6" t="s">
        <v>94</v>
      </c>
      <c r="K88" s="6" t="s">
        <v>369</v>
      </c>
    </row>
    <row r="89" spans="1:11" ht="30" customHeight="1" x14ac:dyDescent="0.25">
      <c r="A89" s="5" t="s">
        <v>302</v>
      </c>
      <c r="B89" s="5" t="s">
        <v>303</v>
      </c>
      <c r="C89" s="6" t="s">
        <v>368</v>
      </c>
      <c r="D89" s="5">
        <v>7</v>
      </c>
      <c r="E89" s="5"/>
      <c r="F89" s="7">
        <v>128</v>
      </c>
      <c r="G89" s="5"/>
      <c r="H89" s="6" t="s">
        <v>116</v>
      </c>
      <c r="I89" s="6" t="s">
        <v>113</v>
      </c>
      <c r="J89" s="6" t="s">
        <v>94</v>
      </c>
      <c r="K89" s="6" t="s">
        <v>369</v>
      </c>
    </row>
    <row r="90" spans="1:11" ht="30" customHeight="1" x14ac:dyDescent="0.25">
      <c r="A90" s="5" t="s">
        <v>302</v>
      </c>
      <c r="B90" s="5" t="s">
        <v>303</v>
      </c>
      <c r="C90" s="6" t="s">
        <v>368</v>
      </c>
      <c r="D90" s="5">
        <v>8</v>
      </c>
      <c r="E90" s="5"/>
      <c r="F90" s="7">
        <v>33.5</v>
      </c>
      <c r="G90" s="5"/>
      <c r="H90" s="6" t="s">
        <v>116</v>
      </c>
      <c r="I90" s="6" t="s">
        <v>117</v>
      </c>
      <c r="J90" s="6" t="s">
        <v>94</v>
      </c>
      <c r="K90" s="6" t="s">
        <v>369</v>
      </c>
    </row>
    <row r="91" spans="1:11" ht="30" customHeight="1" x14ac:dyDescent="0.25">
      <c r="A91" s="5" t="s">
        <v>302</v>
      </c>
      <c r="B91" s="5" t="s">
        <v>303</v>
      </c>
      <c r="C91" s="6" t="s">
        <v>368</v>
      </c>
      <c r="D91" s="5">
        <v>9</v>
      </c>
      <c r="E91" s="5"/>
      <c r="F91" s="7">
        <v>308.5</v>
      </c>
      <c r="G91" s="5"/>
      <c r="H91" s="6" t="s">
        <v>92</v>
      </c>
      <c r="I91" s="6" t="s">
        <v>93</v>
      </c>
      <c r="J91" s="6" t="s">
        <v>94</v>
      </c>
      <c r="K91" s="6" t="s">
        <v>369</v>
      </c>
    </row>
    <row r="92" spans="1:11" ht="30" customHeight="1" x14ac:dyDescent="0.25">
      <c r="A92" s="5" t="s">
        <v>302</v>
      </c>
      <c r="B92" s="5" t="s">
        <v>303</v>
      </c>
      <c r="C92" s="6" t="s">
        <v>368</v>
      </c>
      <c r="D92" s="5">
        <v>10</v>
      </c>
      <c r="E92" s="5"/>
      <c r="F92" s="7">
        <v>106</v>
      </c>
      <c r="G92" s="5"/>
      <c r="H92" s="6" t="s">
        <v>92</v>
      </c>
      <c r="I92" s="6" t="s">
        <v>96</v>
      </c>
      <c r="J92" s="6" t="s">
        <v>94</v>
      </c>
      <c r="K92" s="6" t="s">
        <v>369</v>
      </c>
    </row>
    <row r="93" spans="1:11" ht="30" customHeight="1" x14ac:dyDescent="0.25">
      <c r="A93" s="5" t="s">
        <v>302</v>
      </c>
      <c r="B93" s="5" t="s">
        <v>303</v>
      </c>
      <c r="C93" s="6" t="s">
        <v>368</v>
      </c>
      <c r="D93" s="5">
        <v>11</v>
      </c>
      <c r="E93" s="5"/>
      <c r="F93" s="7">
        <v>4</v>
      </c>
      <c r="G93" s="5"/>
      <c r="H93" s="6" t="s">
        <v>92</v>
      </c>
      <c r="I93" s="6" t="s">
        <v>97</v>
      </c>
      <c r="J93" s="6" t="s">
        <v>94</v>
      </c>
      <c r="K93" s="6" t="s">
        <v>369</v>
      </c>
    </row>
    <row r="94" spans="1:11" ht="30" customHeight="1" x14ac:dyDescent="0.25">
      <c r="A94" s="5" t="s">
        <v>302</v>
      </c>
      <c r="B94" s="5" t="s">
        <v>303</v>
      </c>
      <c r="C94" s="6" t="s">
        <v>368</v>
      </c>
      <c r="D94" s="5">
        <v>12</v>
      </c>
      <c r="E94" s="5"/>
      <c r="F94" s="7">
        <v>6.5</v>
      </c>
      <c r="G94" s="5"/>
      <c r="H94" s="6" t="s">
        <v>92</v>
      </c>
      <c r="I94" s="6" t="s">
        <v>98</v>
      </c>
      <c r="J94" s="6" t="s">
        <v>94</v>
      </c>
      <c r="K94" s="6" t="s">
        <v>369</v>
      </c>
    </row>
    <row r="95" spans="1:11" ht="30" customHeight="1" x14ac:dyDescent="0.25">
      <c r="A95" s="5" t="s">
        <v>302</v>
      </c>
      <c r="B95" s="5" t="s">
        <v>303</v>
      </c>
      <c r="C95" s="6" t="s">
        <v>368</v>
      </c>
      <c r="D95" s="5">
        <v>13</v>
      </c>
      <c r="E95" s="5"/>
      <c r="F95" s="7">
        <v>1</v>
      </c>
      <c r="G95" s="5"/>
      <c r="H95" s="6" t="s">
        <v>92</v>
      </c>
      <c r="I95" s="6" t="s">
        <v>99</v>
      </c>
      <c r="J95" s="6" t="s">
        <v>94</v>
      </c>
      <c r="K95" s="6" t="s">
        <v>371</v>
      </c>
    </row>
    <row r="96" spans="1:11" ht="30" customHeight="1" x14ac:dyDescent="0.25">
      <c r="A96" s="5" t="s">
        <v>302</v>
      </c>
      <c r="B96" s="5" t="s">
        <v>303</v>
      </c>
      <c r="C96" s="6" t="s">
        <v>368</v>
      </c>
      <c r="D96" s="5">
        <v>14</v>
      </c>
      <c r="E96" s="5"/>
      <c r="F96" s="7">
        <v>1</v>
      </c>
      <c r="G96" s="5"/>
      <c r="H96" s="6" t="s">
        <v>92</v>
      </c>
      <c r="I96" s="6" t="s">
        <v>100</v>
      </c>
      <c r="J96" s="6" t="s">
        <v>94</v>
      </c>
      <c r="K96" s="6" t="s">
        <v>371</v>
      </c>
    </row>
    <row r="97" spans="1:11" ht="30" customHeight="1" x14ac:dyDescent="0.25">
      <c r="A97" s="5" t="s">
        <v>302</v>
      </c>
      <c r="B97" s="5" t="s">
        <v>303</v>
      </c>
      <c r="C97" s="6" t="s">
        <v>368</v>
      </c>
      <c r="D97" s="5">
        <v>15</v>
      </c>
      <c r="E97" s="5"/>
      <c r="F97" s="7">
        <v>20.5</v>
      </c>
      <c r="G97" s="5"/>
      <c r="H97" s="6" t="s">
        <v>103</v>
      </c>
      <c r="I97" s="6" t="s">
        <v>104</v>
      </c>
      <c r="J97" s="6" t="s">
        <v>94</v>
      </c>
      <c r="K97" s="6" t="s">
        <v>372</v>
      </c>
    </row>
    <row r="98" spans="1:11" ht="30" customHeight="1" x14ac:dyDescent="0.25">
      <c r="A98" s="5" t="s">
        <v>302</v>
      </c>
      <c r="B98" s="5" t="s">
        <v>303</v>
      </c>
      <c r="C98" s="6" t="s">
        <v>368</v>
      </c>
      <c r="D98" s="5">
        <v>16</v>
      </c>
      <c r="E98" s="5"/>
      <c r="F98" s="7">
        <v>255.5</v>
      </c>
      <c r="G98" s="5"/>
      <c r="H98" s="6" t="s">
        <v>103</v>
      </c>
      <c r="I98" s="6" t="s">
        <v>105</v>
      </c>
      <c r="J98" s="6" t="s">
        <v>94</v>
      </c>
      <c r="K98" s="6" t="s">
        <v>372</v>
      </c>
    </row>
    <row r="99" spans="1:11" ht="30" customHeight="1" x14ac:dyDescent="0.25">
      <c r="A99" s="5" t="s">
        <v>302</v>
      </c>
      <c r="B99" s="5" t="s">
        <v>303</v>
      </c>
      <c r="C99" s="6" t="s">
        <v>368</v>
      </c>
      <c r="D99" s="5">
        <v>17</v>
      </c>
      <c r="E99" s="5"/>
      <c r="F99" s="7">
        <v>112</v>
      </c>
      <c r="G99" s="5"/>
      <c r="H99" s="6" t="s">
        <v>103</v>
      </c>
      <c r="I99" s="6" t="s">
        <v>106</v>
      </c>
      <c r="J99" s="6" t="s">
        <v>94</v>
      </c>
      <c r="K99" s="6" t="s">
        <v>372</v>
      </c>
    </row>
    <row r="100" spans="1:11" ht="30" customHeight="1" x14ac:dyDescent="0.25">
      <c r="A100" s="5" t="s">
        <v>302</v>
      </c>
      <c r="B100" s="5" t="s">
        <v>303</v>
      </c>
      <c r="C100" s="6" t="s">
        <v>368</v>
      </c>
      <c r="D100" s="5">
        <v>18</v>
      </c>
      <c r="E100" s="5"/>
      <c r="F100" s="7">
        <v>13</v>
      </c>
      <c r="G100" s="5"/>
      <c r="H100" s="6" t="s">
        <v>107</v>
      </c>
      <c r="I100" s="6" t="s">
        <v>108</v>
      </c>
      <c r="J100" s="6" t="s">
        <v>94</v>
      </c>
      <c r="K100" s="6" t="s">
        <v>373</v>
      </c>
    </row>
    <row r="101" spans="1:11" ht="30" customHeight="1" x14ac:dyDescent="0.25">
      <c r="A101" s="5" t="s">
        <v>302</v>
      </c>
      <c r="B101" s="5" t="s">
        <v>303</v>
      </c>
      <c r="C101" s="6" t="s">
        <v>374</v>
      </c>
      <c r="D101" s="5">
        <v>2</v>
      </c>
      <c r="E101" s="5"/>
      <c r="F101" s="7">
        <v>24</v>
      </c>
      <c r="G101" s="5"/>
      <c r="H101" s="6" t="s">
        <v>244</v>
      </c>
      <c r="I101" s="6" t="s">
        <v>245</v>
      </c>
      <c r="J101" s="6"/>
      <c r="K101" s="6" t="s">
        <v>375</v>
      </c>
    </row>
    <row r="102" spans="1:11" ht="30" customHeight="1" x14ac:dyDescent="0.25">
      <c r="A102" s="5" t="s">
        <v>302</v>
      </c>
      <c r="B102" s="5" t="s">
        <v>303</v>
      </c>
      <c r="C102" s="6" t="s">
        <v>374</v>
      </c>
      <c r="D102" s="5">
        <v>3</v>
      </c>
      <c r="E102" s="5"/>
      <c r="F102" s="7">
        <v>2</v>
      </c>
      <c r="G102" s="5"/>
      <c r="H102" s="6" t="s">
        <v>240</v>
      </c>
      <c r="I102" s="6"/>
      <c r="J102" s="6" t="s">
        <v>241</v>
      </c>
      <c r="K102" s="6" t="s">
        <v>376</v>
      </c>
    </row>
    <row r="103" spans="1:11" ht="30" customHeight="1" x14ac:dyDescent="0.25">
      <c r="A103" s="5" t="s">
        <v>302</v>
      </c>
      <c r="B103" s="5" t="s">
        <v>303</v>
      </c>
      <c r="C103" s="6" t="s">
        <v>374</v>
      </c>
      <c r="D103" s="5">
        <v>4</v>
      </c>
      <c r="E103" s="5"/>
      <c r="F103" s="7">
        <v>2</v>
      </c>
      <c r="G103" s="5"/>
      <c r="H103" s="6" t="s">
        <v>238</v>
      </c>
      <c r="I103" s="6"/>
      <c r="J103" s="6"/>
      <c r="K103" s="6" t="s">
        <v>377</v>
      </c>
    </row>
    <row r="104" spans="1:11" ht="30" customHeight="1" x14ac:dyDescent="0.25">
      <c r="A104" s="5" t="s">
        <v>302</v>
      </c>
      <c r="B104" s="5" t="s">
        <v>303</v>
      </c>
      <c r="C104" s="6" t="s">
        <v>374</v>
      </c>
      <c r="D104" s="5">
        <v>8</v>
      </c>
      <c r="E104" s="5"/>
      <c r="F104" s="7">
        <v>2</v>
      </c>
      <c r="G104" s="5"/>
      <c r="H104" s="6" t="s">
        <v>258</v>
      </c>
      <c r="I104" s="6"/>
      <c r="J104" s="6" t="s">
        <v>243</v>
      </c>
      <c r="K104" s="6" t="s">
        <v>378</v>
      </c>
    </row>
    <row r="105" spans="1:11" ht="30" customHeight="1" x14ac:dyDescent="0.25">
      <c r="A105" s="5" t="s">
        <v>302</v>
      </c>
      <c r="B105" s="5" t="s">
        <v>303</v>
      </c>
      <c r="C105" s="6" t="s">
        <v>374</v>
      </c>
      <c r="D105" s="5">
        <v>9</v>
      </c>
      <c r="E105" s="5"/>
      <c r="F105" s="7">
        <v>4</v>
      </c>
      <c r="G105" s="5"/>
      <c r="H105" s="6" t="s">
        <v>257</v>
      </c>
      <c r="I105" s="6"/>
      <c r="J105" s="6" t="s">
        <v>243</v>
      </c>
      <c r="K105" s="6" t="s">
        <v>379</v>
      </c>
    </row>
    <row r="106" spans="1:11" ht="30" customHeight="1" x14ac:dyDescent="0.25">
      <c r="A106" s="5" t="s">
        <v>302</v>
      </c>
      <c r="B106" s="5" t="s">
        <v>303</v>
      </c>
      <c r="C106" s="6" t="s">
        <v>374</v>
      </c>
      <c r="D106" s="5">
        <v>12</v>
      </c>
      <c r="E106" s="5"/>
      <c r="F106" s="7">
        <v>4</v>
      </c>
      <c r="G106" s="5"/>
      <c r="H106" s="6" t="s">
        <v>259</v>
      </c>
      <c r="I106" s="6"/>
      <c r="J106" s="6" t="s">
        <v>243</v>
      </c>
      <c r="K106" s="6" t="s">
        <v>380</v>
      </c>
    </row>
    <row r="107" spans="1:11" x14ac:dyDescent="0.25">
      <c r="A107" s="53" t="s">
        <v>381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5"/>
    </row>
    <row r="109" spans="1:11" x14ac:dyDescent="0.25">
      <c r="A109" s="56" t="s">
        <v>382</v>
      </c>
      <c r="B109" s="54"/>
      <c r="C109" s="54"/>
      <c r="D109" s="54"/>
      <c r="E109" s="54"/>
      <c r="F109" s="54"/>
      <c r="G109" s="54"/>
      <c r="H109" s="54"/>
      <c r="I109" s="54"/>
      <c r="J109" s="54"/>
      <c r="K109" s="55"/>
    </row>
    <row r="110" spans="1:11" ht="30" customHeight="1" x14ac:dyDescent="0.25">
      <c r="A110" s="5" t="s">
        <v>383</v>
      </c>
      <c r="B110" s="5" t="s">
        <v>384</v>
      </c>
      <c r="C110" s="6" t="s">
        <v>368</v>
      </c>
      <c r="D110" s="5">
        <v>15</v>
      </c>
      <c r="E110" s="5"/>
      <c r="F110" s="7">
        <v>20.5</v>
      </c>
      <c r="G110" s="5"/>
      <c r="H110" s="6" t="s">
        <v>103</v>
      </c>
      <c r="I110" s="6" t="s">
        <v>104</v>
      </c>
      <c r="J110" s="6" t="s">
        <v>94</v>
      </c>
      <c r="K110" s="6" t="s">
        <v>385</v>
      </c>
    </row>
    <row r="111" spans="1:11" ht="30" customHeight="1" x14ac:dyDescent="0.25">
      <c r="A111" s="5" t="s">
        <v>383</v>
      </c>
      <c r="B111" s="5" t="s">
        <v>384</v>
      </c>
      <c r="C111" s="6" t="s">
        <v>368</v>
      </c>
      <c r="D111" s="5">
        <v>16</v>
      </c>
      <c r="E111" s="5"/>
      <c r="F111" s="7">
        <v>255.5</v>
      </c>
      <c r="G111" s="5"/>
      <c r="H111" s="6" t="s">
        <v>103</v>
      </c>
      <c r="I111" s="6" t="s">
        <v>105</v>
      </c>
      <c r="J111" s="6" t="s">
        <v>94</v>
      </c>
      <c r="K111" s="6" t="s">
        <v>385</v>
      </c>
    </row>
    <row r="112" spans="1:11" ht="30" customHeight="1" x14ac:dyDescent="0.25">
      <c r="A112" s="5" t="s">
        <v>383</v>
      </c>
      <c r="B112" s="5" t="s">
        <v>384</v>
      </c>
      <c r="C112" s="6" t="s">
        <v>368</v>
      </c>
      <c r="D112" s="5">
        <v>17</v>
      </c>
      <c r="E112" s="5"/>
      <c r="F112" s="7">
        <v>112</v>
      </c>
      <c r="G112" s="5"/>
      <c r="H112" s="6" t="s">
        <v>103</v>
      </c>
      <c r="I112" s="6" t="s">
        <v>106</v>
      </c>
      <c r="J112" s="6" t="s">
        <v>94</v>
      </c>
      <c r="K112" s="6" t="s">
        <v>385</v>
      </c>
    </row>
    <row r="113" spans="1:11" ht="30" customHeight="1" x14ac:dyDescent="0.25">
      <c r="A113" s="5" t="s">
        <v>383</v>
      </c>
      <c r="B113" s="5" t="s">
        <v>384</v>
      </c>
      <c r="C113" s="6" t="s">
        <v>368</v>
      </c>
      <c r="D113" s="5">
        <v>18</v>
      </c>
      <c r="E113" s="5"/>
      <c r="F113" s="7">
        <v>13</v>
      </c>
      <c r="G113" s="5"/>
      <c r="H113" s="6" t="s">
        <v>107</v>
      </c>
      <c r="I113" s="6" t="s">
        <v>108</v>
      </c>
      <c r="J113" s="6" t="s">
        <v>94</v>
      </c>
      <c r="K113" s="6" t="s">
        <v>386</v>
      </c>
    </row>
    <row r="114" spans="1:11" x14ac:dyDescent="0.25">
      <c r="A114" s="53" t="s">
        <v>387</v>
      </c>
      <c r="B114" s="54"/>
      <c r="C114" s="54"/>
      <c r="D114" s="54"/>
      <c r="E114" s="54"/>
      <c r="F114" s="54"/>
      <c r="G114" s="54"/>
      <c r="H114" s="54"/>
      <c r="I114" s="54"/>
      <c r="J114" s="54"/>
      <c r="K114" s="55"/>
    </row>
    <row r="116" spans="1:11" x14ac:dyDescent="0.25">
      <c r="A116" s="56" t="s">
        <v>388</v>
      </c>
      <c r="B116" s="54"/>
      <c r="C116" s="54"/>
      <c r="D116" s="54"/>
      <c r="E116" s="54"/>
      <c r="F116" s="54"/>
      <c r="G116" s="54"/>
      <c r="H116" s="54"/>
      <c r="I116" s="54"/>
      <c r="J116" s="54"/>
      <c r="K116" s="55"/>
    </row>
    <row r="117" spans="1:11" ht="30" customHeight="1" x14ac:dyDescent="0.25">
      <c r="A117" s="5" t="s">
        <v>383</v>
      </c>
      <c r="B117" s="5" t="s">
        <v>389</v>
      </c>
      <c r="C117" s="6" t="s">
        <v>368</v>
      </c>
      <c r="D117" s="5">
        <v>15</v>
      </c>
      <c r="E117" s="5"/>
      <c r="F117" s="7">
        <v>20.5</v>
      </c>
      <c r="G117" s="5"/>
      <c r="H117" s="6" t="s">
        <v>103</v>
      </c>
      <c r="I117" s="6" t="s">
        <v>104</v>
      </c>
      <c r="J117" s="6" t="s">
        <v>94</v>
      </c>
      <c r="K117" s="6" t="s">
        <v>390</v>
      </c>
    </row>
    <row r="118" spans="1:11" ht="30" customHeight="1" x14ac:dyDescent="0.25">
      <c r="A118" s="5" t="s">
        <v>383</v>
      </c>
      <c r="B118" s="5" t="s">
        <v>389</v>
      </c>
      <c r="C118" s="6" t="s">
        <v>368</v>
      </c>
      <c r="D118" s="5">
        <v>16</v>
      </c>
      <c r="E118" s="5"/>
      <c r="F118" s="7">
        <v>255.5</v>
      </c>
      <c r="G118" s="5"/>
      <c r="H118" s="6" t="s">
        <v>103</v>
      </c>
      <c r="I118" s="6" t="s">
        <v>105</v>
      </c>
      <c r="J118" s="6" t="s">
        <v>94</v>
      </c>
      <c r="K118" s="6" t="s">
        <v>390</v>
      </c>
    </row>
    <row r="119" spans="1:11" ht="30" customHeight="1" x14ac:dyDescent="0.25">
      <c r="A119" s="5" t="s">
        <v>383</v>
      </c>
      <c r="B119" s="5" t="s">
        <v>389</v>
      </c>
      <c r="C119" s="6" t="s">
        <v>368</v>
      </c>
      <c r="D119" s="5">
        <v>17</v>
      </c>
      <c r="E119" s="5"/>
      <c r="F119" s="7">
        <v>112</v>
      </c>
      <c r="G119" s="5"/>
      <c r="H119" s="6" t="s">
        <v>103</v>
      </c>
      <c r="I119" s="6" t="s">
        <v>106</v>
      </c>
      <c r="J119" s="6" t="s">
        <v>94</v>
      </c>
      <c r="K119" s="6" t="s">
        <v>390</v>
      </c>
    </row>
    <row r="120" spans="1:11" ht="30" customHeight="1" x14ac:dyDescent="0.25">
      <c r="A120" s="5" t="s">
        <v>383</v>
      </c>
      <c r="B120" s="5" t="s">
        <v>389</v>
      </c>
      <c r="C120" s="6" t="s">
        <v>368</v>
      </c>
      <c r="D120" s="5">
        <v>18</v>
      </c>
      <c r="E120" s="5"/>
      <c r="F120" s="7">
        <v>13</v>
      </c>
      <c r="G120" s="5"/>
      <c r="H120" s="6" t="s">
        <v>107</v>
      </c>
      <c r="I120" s="6" t="s">
        <v>108</v>
      </c>
      <c r="J120" s="6" t="s">
        <v>94</v>
      </c>
      <c r="K120" s="6" t="s">
        <v>391</v>
      </c>
    </row>
    <row r="121" spans="1:11" x14ac:dyDescent="0.25">
      <c r="A121" s="53" t="s">
        <v>392</v>
      </c>
      <c r="B121" s="54"/>
      <c r="C121" s="54"/>
      <c r="D121" s="54"/>
      <c r="E121" s="54"/>
      <c r="F121" s="54"/>
      <c r="G121" s="54"/>
      <c r="H121" s="54"/>
      <c r="I121" s="54"/>
      <c r="J121" s="54"/>
      <c r="K121" s="55"/>
    </row>
    <row r="123" spans="1:11" x14ac:dyDescent="0.25">
      <c r="A123" s="56" t="s">
        <v>393</v>
      </c>
      <c r="B123" s="54"/>
      <c r="C123" s="54"/>
      <c r="D123" s="54"/>
      <c r="E123" s="54"/>
      <c r="F123" s="54"/>
      <c r="G123" s="54"/>
      <c r="H123" s="54"/>
      <c r="I123" s="54"/>
      <c r="J123" s="54"/>
      <c r="K123" s="55"/>
    </row>
    <row r="124" spans="1:11" ht="30" customHeight="1" x14ac:dyDescent="0.25">
      <c r="A124" s="5" t="s">
        <v>383</v>
      </c>
      <c r="B124" s="5" t="s">
        <v>303</v>
      </c>
      <c r="C124" s="6" t="s">
        <v>304</v>
      </c>
      <c r="D124" s="5">
        <v>15</v>
      </c>
      <c r="E124" s="5"/>
      <c r="F124" s="7">
        <v>5</v>
      </c>
      <c r="G124" s="5"/>
      <c r="H124" s="6" t="s">
        <v>133</v>
      </c>
      <c r="I124" s="6" t="s">
        <v>136</v>
      </c>
      <c r="J124" s="6" t="s">
        <v>94</v>
      </c>
      <c r="K124" s="6" t="s">
        <v>394</v>
      </c>
    </row>
    <row r="125" spans="1:11" ht="30" customHeight="1" x14ac:dyDescent="0.25">
      <c r="A125" s="5" t="s">
        <v>383</v>
      </c>
      <c r="B125" s="5" t="s">
        <v>303</v>
      </c>
      <c r="C125" s="6" t="s">
        <v>304</v>
      </c>
      <c r="D125" s="5">
        <v>17</v>
      </c>
      <c r="E125" s="5"/>
      <c r="F125" s="7">
        <v>200</v>
      </c>
      <c r="G125" s="5"/>
      <c r="H125" s="6" t="s">
        <v>153</v>
      </c>
      <c r="I125" s="6" t="s">
        <v>154</v>
      </c>
      <c r="J125" s="6" t="s">
        <v>94</v>
      </c>
      <c r="K125" s="6" t="s">
        <v>395</v>
      </c>
    </row>
    <row r="126" spans="1:11" ht="30" customHeight="1" x14ac:dyDescent="0.25">
      <c r="A126" s="5" t="s">
        <v>383</v>
      </c>
      <c r="B126" s="5" t="s">
        <v>303</v>
      </c>
      <c r="C126" s="6" t="s">
        <v>304</v>
      </c>
      <c r="D126" s="5">
        <v>64</v>
      </c>
      <c r="E126" s="5"/>
      <c r="F126" s="7">
        <v>74</v>
      </c>
      <c r="G126" s="5"/>
      <c r="H126" s="6" t="s">
        <v>201</v>
      </c>
      <c r="I126" s="6" t="s">
        <v>134</v>
      </c>
      <c r="J126" s="6" t="s">
        <v>94</v>
      </c>
      <c r="K126" s="6" t="s">
        <v>396</v>
      </c>
    </row>
    <row r="127" spans="1:11" ht="30" customHeight="1" x14ac:dyDescent="0.25">
      <c r="A127" s="5" t="s">
        <v>383</v>
      </c>
      <c r="B127" s="5" t="s">
        <v>303</v>
      </c>
      <c r="C127" s="6" t="s">
        <v>304</v>
      </c>
      <c r="D127" s="5">
        <v>65</v>
      </c>
      <c r="E127" s="5"/>
      <c r="F127" s="7">
        <v>200</v>
      </c>
      <c r="G127" s="5"/>
      <c r="H127" s="6" t="s">
        <v>201</v>
      </c>
      <c r="I127" s="6" t="s">
        <v>135</v>
      </c>
      <c r="J127" s="6" t="s">
        <v>94</v>
      </c>
      <c r="K127" s="6" t="s">
        <v>396</v>
      </c>
    </row>
    <row r="128" spans="1:11" ht="30" customHeight="1" x14ac:dyDescent="0.25">
      <c r="A128" s="5" t="s">
        <v>383</v>
      </c>
      <c r="B128" s="5" t="s">
        <v>303</v>
      </c>
      <c r="C128" s="6" t="s">
        <v>304</v>
      </c>
      <c r="D128" s="5">
        <v>74</v>
      </c>
      <c r="E128" s="5"/>
      <c r="F128" s="7">
        <v>100</v>
      </c>
      <c r="G128" s="5"/>
      <c r="H128" s="6" t="s">
        <v>199</v>
      </c>
      <c r="I128" s="6" t="s">
        <v>200</v>
      </c>
      <c r="J128" s="6" t="s">
        <v>94</v>
      </c>
      <c r="K128" s="6" t="s">
        <v>397</v>
      </c>
    </row>
    <row r="129" spans="1:11" ht="30" customHeight="1" x14ac:dyDescent="0.25">
      <c r="A129" s="5" t="s">
        <v>383</v>
      </c>
      <c r="B129" s="5" t="s">
        <v>303</v>
      </c>
      <c r="C129" s="6" t="s">
        <v>304</v>
      </c>
      <c r="D129" s="5">
        <v>75</v>
      </c>
      <c r="E129" s="5"/>
      <c r="F129" s="7">
        <v>50</v>
      </c>
      <c r="G129" s="5"/>
      <c r="H129" s="6" t="s">
        <v>215</v>
      </c>
      <c r="I129" s="6" t="s">
        <v>135</v>
      </c>
      <c r="J129" s="6" t="s">
        <v>94</v>
      </c>
      <c r="K129" s="6" t="s">
        <v>398</v>
      </c>
    </row>
    <row r="130" spans="1:11" ht="30" customHeight="1" x14ac:dyDescent="0.25">
      <c r="A130" s="5" t="s">
        <v>383</v>
      </c>
      <c r="B130" s="5" t="s">
        <v>303</v>
      </c>
      <c r="C130" s="6" t="s">
        <v>304</v>
      </c>
      <c r="D130" s="5">
        <v>77</v>
      </c>
      <c r="E130" s="5"/>
      <c r="F130" s="7">
        <v>100</v>
      </c>
      <c r="G130" s="5"/>
      <c r="H130" s="6" t="s">
        <v>215</v>
      </c>
      <c r="I130" s="6" t="s">
        <v>200</v>
      </c>
      <c r="J130" s="6" t="s">
        <v>94</v>
      </c>
      <c r="K130" s="6" t="s">
        <v>398</v>
      </c>
    </row>
    <row r="131" spans="1:11" ht="30" customHeight="1" x14ac:dyDescent="0.25">
      <c r="A131" s="5" t="s">
        <v>383</v>
      </c>
      <c r="B131" s="5" t="s">
        <v>303</v>
      </c>
      <c r="C131" s="6" t="s">
        <v>304</v>
      </c>
      <c r="D131" s="5">
        <v>78</v>
      </c>
      <c r="E131" s="5"/>
      <c r="F131" s="7">
        <v>60</v>
      </c>
      <c r="G131" s="5"/>
      <c r="H131" s="6" t="s">
        <v>215</v>
      </c>
      <c r="I131" s="6" t="s">
        <v>197</v>
      </c>
      <c r="J131" s="6" t="s">
        <v>94</v>
      </c>
      <c r="K131" s="6" t="s">
        <v>398</v>
      </c>
    </row>
    <row r="132" spans="1:11" ht="30" customHeight="1" x14ac:dyDescent="0.25">
      <c r="A132" s="5" t="s">
        <v>383</v>
      </c>
      <c r="B132" s="5" t="s">
        <v>303</v>
      </c>
      <c r="C132" s="6" t="s">
        <v>304</v>
      </c>
      <c r="D132" s="5">
        <v>81</v>
      </c>
      <c r="E132" s="5"/>
      <c r="F132" s="7">
        <v>100</v>
      </c>
      <c r="G132" s="5"/>
      <c r="H132" s="6" t="s">
        <v>206</v>
      </c>
      <c r="I132" s="6" t="s">
        <v>200</v>
      </c>
      <c r="J132" s="6" t="s">
        <v>94</v>
      </c>
      <c r="K132" s="6" t="s">
        <v>399</v>
      </c>
    </row>
    <row r="133" spans="1:11" ht="30" customHeight="1" x14ac:dyDescent="0.25">
      <c r="A133" s="5" t="s">
        <v>383</v>
      </c>
      <c r="B133" s="5" t="s">
        <v>303</v>
      </c>
      <c r="C133" s="6" t="s">
        <v>304</v>
      </c>
      <c r="D133" s="5">
        <v>98</v>
      </c>
      <c r="E133" s="5"/>
      <c r="F133" s="7">
        <v>500</v>
      </c>
      <c r="G133" s="5"/>
      <c r="H133" s="6" t="s">
        <v>208</v>
      </c>
      <c r="I133" s="6" t="s">
        <v>200</v>
      </c>
      <c r="J133" s="6" t="s">
        <v>94</v>
      </c>
      <c r="K133" s="6" t="s">
        <v>400</v>
      </c>
    </row>
    <row r="134" spans="1:11" ht="45" customHeight="1" x14ac:dyDescent="0.25">
      <c r="A134" s="5" t="s">
        <v>383</v>
      </c>
      <c r="B134" s="5" t="s">
        <v>303</v>
      </c>
      <c r="C134" s="6" t="s">
        <v>304</v>
      </c>
      <c r="D134" s="5">
        <v>100</v>
      </c>
      <c r="E134" s="5"/>
      <c r="F134" s="7">
        <v>50</v>
      </c>
      <c r="G134" s="5"/>
      <c r="H134" s="6" t="s">
        <v>219</v>
      </c>
      <c r="I134" s="6" t="s">
        <v>135</v>
      </c>
      <c r="J134" s="6" t="s">
        <v>94</v>
      </c>
      <c r="K134" s="6" t="s">
        <v>401</v>
      </c>
    </row>
    <row r="135" spans="1:11" ht="45" customHeight="1" x14ac:dyDescent="0.25">
      <c r="A135" s="5" t="s">
        <v>383</v>
      </c>
      <c r="B135" s="5" t="s">
        <v>303</v>
      </c>
      <c r="C135" s="6" t="s">
        <v>304</v>
      </c>
      <c r="D135" s="5">
        <v>102</v>
      </c>
      <c r="E135" s="5"/>
      <c r="F135" s="7">
        <v>200</v>
      </c>
      <c r="G135" s="5"/>
      <c r="H135" s="6" t="s">
        <v>219</v>
      </c>
      <c r="I135" s="6" t="s">
        <v>200</v>
      </c>
      <c r="J135" s="6" t="s">
        <v>94</v>
      </c>
      <c r="K135" s="6" t="s">
        <v>401</v>
      </c>
    </row>
    <row r="136" spans="1:11" ht="45" customHeight="1" x14ac:dyDescent="0.25">
      <c r="A136" s="5" t="s">
        <v>383</v>
      </c>
      <c r="B136" s="5" t="s">
        <v>303</v>
      </c>
      <c r="C136" s="6" t="s">
        <v>304</v>
      </c>
      <c r="D136" s="5">
        <v>103</v>
      </c>
      <c r="E136" s="5"/>
      <c r="F136" s="7">
        <v>50</v>
      </c>
      <c r="G136" s="5"/>
      <c r="H136" s="6" t="s">
        <v>219</v>
      </c>
      <c r="I136" s="6" t="s">
        <v>197</v>
      </c>
      <c r="J136" s="6" t="s">
        <v>94</v>
      </c>
      <c r="K136" s="6" t="s">
        <v>401</v>
      </c>
    </row>
    <row r="137" spans="1:11" ht="30" customHeight="1" x14ac:dyDescent="0.25">
      <c r="A137" s="5" t="s">
        <v>383</v>
      </c>
      <c r="B137" s="5" t="s">
        <v>303</v>
      </c>
      <c r="C137" s="6" t="s">
        <v>304</v>
      </c>
      <c r="D137" s="5">
        <v>104</v>
      </c>
      <c r="E137" s="5"/>
      <c r="F137" s="7">
        <v>100</v>
      </c>
      <c r="G137" s="5"/>
      <c r="H137" s="6" t="s">
        <v>198</v>
      </c>
      <c r="I137" s="6" t="s">
        <v>135</v>
      </c>
      <c r="J137" s="6" t="s">
        <v>94</v>
      </c>
      <c r="K137" s="6" t="s">
        <v>402</v>
      </c>
    </row>
    <row r="138" spans="1:11" x14ac:dyDescent="0.25">
      <c r="A138" s="53" t="s">
        <v>403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5"/>
    </row>
    <row r="140" spans="1:11" x14ac:dyDescent="0.25">
      <c r="A140" s="56" t="s">
        <v>404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5"/>
    </row>
    <row r="141" spans="1:11" ht="30" customHeight="1" x14ac:dyDescent="0.25">
      <c r="A141" s="5" t="s">
        <v>405</v>
      </c>
      <c r="B141" s="5" t="s">
        <v>384</v>
      </c>
      <c r="C141" s="6" t="s">
        <v>368</v>
      </c>
      <c r="D141" s="5">
        <v>15</v>
      </c>
      <c r="E141" s="5"/>
      <c r="F141" s="7">
        <v>20.5</v>
      </c>
      <c r="G141" s="5"/>
      <c r="H141" s="6" t="s">
        <v>103</v>
      </c>
      <c r="I141" s="6" t="s">
        <v>104</v>
      </c>
      <c r="J141" s="6" t="s">
        <v>94</v>
      </c>
      <c r="K141" s="6" t="s">
        <v>406</v>
      </c>
    </row>
    <row r="142" spans="1:11" ht="30" customHeight="1" x14ac:dyDescent="0.25">
      <c r="A142" s="5" t="s">
        <v>405</v>
      </c>
      <c r="B142" s="5" t="s">
        <v>384</v>
      </c>
      <c r="C142" s="6" t="s">
        <v>368</v>
      </c>
      <c r="D142" s="5">
        <v>16</v>
      </c>
      <c r="E142" s="5"/>
      <c r="F142" s="7">
        <v>255.5</v>
      </c>
      <c r="G142" s="5"/>
      <c r="H142" s="6" t="s">
        <v>103</v>
      </c>
      <c r="I142" s="6" t="s">
        <v>105</v>
      </c>
      <c r="J142" s="6" t="s">
        <v>94</v>
      </c>
      <c r="K142" s="6" t="s">
        <v>406</v>
      </c>
    </row>
    <row r="143" spans="1:11" ht="30" customHeight="1" x14ac:dyDescent="0.25">
      <c r="A143" s="5" t="s">
        <v>405</v>
      </c>
      <c r="B143" s="5" t="s">
        <v>384</v>
      </c>
      <c r="C143" s="6" t="s">
        <v>368</v>
      </c>
      <c r="D143" s="5">
        <v>17</v>
      </c>
      <c r="E143" s="5"/>
      <c r="F143" s="7">
        <v>112</v>
      </c>
      <c r="G143" s="5"/>
      <c r="H143" s="6" t="s">
        <v>103</v>
      </c>
      <c r="I143" s="6" t="s">
        <v>106</v>
      </c>
      <c r="J143" s="6" t="s">
        <v>94</v>
      </c>
      <c r="K143" s="6" t="s">
        <v>406</v>
      </c>
    </row>
    <row r="144" spans="1:11" ht="30" customHeight="1" x14ac:dyDescent="0.25">
      <c r="A144" s="5" t="s">
        <v>405</v>
      </c>
      <c r="B144" s="5" t="s">
        <v>384</v>
      </c>
      <c r="C144" s="6" t="s">
        <v>368</v>
      </c>
      <c r="D144" s="5">
        <v>18</v>
      </c>
      <c r="E144" s="5"/>
      <c r="F144" s="7">
        <v>13</v>
      </c>
      <c r="G144" s="5"/>
      <c r="H144" s="6" t="s">
        <v>107</v>
      </c>
      <c r="I144" s="6" t="s">
        <v>108</v>
      </c>
      <c r="J144" s="6" t="s">
        <v>94</v>
      </c>
      <c r="K144" s="6" t="s">
        <v>407</v>
      </c>
    </row>
    <row r="145" spans="1:11" x14ac:dyDescent="0.25">
      <c r="A145" s="53" t="s">
        <v>408</v>
      </c>
      <c r="B145" s="54"/>
      <c r="C145" s="54"/>
      <c r="D145" s="54"/>
      <c r="E145" s="54"/>
      <c r="F145" s="54"/>
      <c r="G145" s="54"/>
      <c r="H145" s="54"/>
      <c r="I145" s="54"/>
      <c r="J145" s="54"/>
      <c r="K145" s="55"/>
    </row>
    <row r="147" spans="1:11" x14ac:dyDescent="0.25">
      <c r="A147" s="56" t="s">
        <v>409</v>
      </c>
      <c r="B147" s="54"/>
      <c r="C147" s="54"/>
      <c r="D147" s="54"/>
      <c r="E147" s="54"/>
      <c r="F147" s="54"/>
      <c r="G147" s="54"/>
      <c r="H147" s="54"/>
      <c r="I147" s="54"/>
      <c r="J147" s="54"/>
      <c r="K147" s="55"/>
    </row>
    <row r="148" spans="1:11" ht="30" customHeight="1" x14ac:dyDescent="0.25">
      <c r="A148" s="5" t="s">
        <v>405</v>
      </c>
      <c r="B148" s="5" t="s">
        <v>389</v>
      </c>
      <c r="C148" s="6" t="s">
        <v>368</v>
      </c>
      <c r="D148" s="5">
        <v>15</v>
      </c>
      <c r="E148" s="5"/>
      <c r="F148" s="7">
        <v>20.5</v>
      </c>
      <c r="G148" s="5"/>
      <c r="H148" s="6" t="s">
        <v>103</v>
      </c>
      <c r="I148" s="6" t="s">
        <v>104</v>
      </c>
      <c r="J148" s="6" t="s">
        <v>94</v>
      </c>
      <c r="K148" s="6" t="s">
        <v>410</v>
      </c>
    </row>
    <row r="149" spans="1:11" ht="30" customHeight="1" x14ac:dyDescent="0.25">
      <c r="A149" s="5" t="s">
        <v>405</v>
      </c>
      <c r="B149" s="5" t="s">
        <v>389</v>
      </c>
      <c r="C149" s="6" t="s">
        <v>368</v>
      </c>
      <c r="D149" s="5">
        <v>16</v>
      </c>
      <c r="E149" s="5"/>
      <c r="F149" s="7">
        <v>255.5</v>
      </c>
      <c r="G149" s="5"/>
      <c r="H149" s="6" t="s">
        <v>103</v>
      </c>
      <c r="I149" s="6" t="s">
        <v>105</v>
      </c>
      <c r="J149" s="6" t="s">
        <v>94</v>
      </c>
      <c r="K149" s="6" t="s">
        <v>410</v>
      </c>
    </row>
    <row r="150" spans="1:11" ht="30" customHeight="1" x14ac:dyDescent="0.25">
      <c r="A150" s="5" t="s">
        <v>405</v>
      </c>
      <c r="B150" s="5" t="s">
        <v>389</v>
      </c>
      <c r="C150" s="6" t="s">
        <v>368</v>
      </c>
      <c r="D150" s="5">
        <v>17</v>
      </c>
      <c r="E150" s="5"/>
      <c r="F150" s="7">
        <v>112</v>
      </c>
      <c r="G150" s="5"/>
      <c r="H150" s="6" t="s">
        <v>103</v>
      </c>
      <c r="I150" s="6" t="s">
        <v>106</v>
      </c>
      <c r="J150" s="6" t="s">
        <v>94</v>
      </c>
      <c r="K150" s="6" t="s">
        <v>410</v>
      </c>
    </row>
    <row r="151" spans="1:11" ht="30" customHeight="1" x14ac:dyDescent="0.25">
      <c r="A151" s="5" t="s">
        <v>405</v>
      </c>
      <c r="B151" s="5" t="s">
        <v>389</v>
      </c>
      <c r="C151" s="6" t="s">
        <v>368</v>
      </c>
      <c r="D151" s="5">
        <v>18</v>
      </c>
      <c r="E151" s="5"/>
      <c r="F151" s="7">
        <v>13</v>
      </c>
      <c r="G151" s="5"/>
      <c r="H151" s="6" t="s">
        <v>107</v>
      </c>
      <c r="I151" s="6" t="s">
        <v>108</v>
      </c>
      <c r="J151" s="6" t="s">
        <v>94</v>
      </c>
      <c r="K151" s="6" t="s">
        <v>411</v>
      </c>
    </row>
    <row r="152" spans="1:11" x14ac:dyDescent="0.25">
      <c r="A152" s="53" t="s">
        <v>412</v>
      </c>
      <c r="B152" s="54"/>
      <c r="C152" s="54"/>
      <c r="D152" s="54"/>
      <c r="E152" s="54"/>
      <c r="F152" s="54"/>
      <c r="G152" s="54"/>
      <c r="H152" s="54"/>
      <c r="I152" s="54"/>
      <c r="J152" s="54"/>
      <c r="K152" s="55"/>
    </row>
    <row r="154" spans="1:11" x14ac:dyDescent="0.25">
      <c r="A154" s="56" t="s">
        <v>413</v>
      </c>
      <c r="B154" s="54"/>
      <c r="C154" s="54"/>
      <c r="D154" s="54"/>
      <c r="E154" s="54"/>
      <c r="F154" s="54"/>
      <c r="G154" s="54"/>
      <c r="H154" s="54"/>
      <c r="I154" s="54"/>
      <c r="J154" s="54"/>
      <c r="K154" s="55"/>
    </row>
    <row r="155" spans="1:11" ht="30" customHeight="1" x14ac:dyDescent="0.25">
      <c r="A155" s="5" t="s">
        <v>405</v>
      </c>
      <c r="B155" s="5" t="s">
        <v>303</v>
      </c>
      <c r="C155" s="6" t="s">
        <v>304</v>
      </c>
      <c r="D155" s="5">
        <v>15</v>
      </c>
      <c r="E155" s="5"/>
      <c r="F155" s="7">
        <v>5</v>
      </c>
      <c r="G155" s="5"/>
      <c r="H155" s="6" t="s">
        <v>133</v>
      </c>
      <c r="I155" s="6" t="s">
        <v>136</v>
      </c>
      <c r="J155" s="6" t="s">
        <v>94</v>
      </c>
      <c r="K155" s="6" t="s">
        <v>414</v>
      </c>
    </row>
    <row r="156" spans="1:11" ht="30" customHeight="1" x14ac:dyDescent="0.25">
      <c r="A156" s="5" t="s">
        <v>405</v>
      </c>
      <c r="B156" s="5" t="s">
        <v>303</v>
      </c>
      <c r="C156" s="6" t="s">
        <v>304</v>
      </c>
      <c r="D156" s="5">
        <v>64</v>
      </c>
      <c r="E156" s="5"/>
      <c r="F156" s="7">
        <v>74</v>
      </c>
      <c r="G156" s="5"/>
      <c r="H156" s="6" t="s">
        <v>201</v>
      </c>
      <c r="I156" s="6" t="s">
        <v>134</v>
      </c>
      <c r="J156" s="6" t="s">
        <v>94</v>
      </c>
      <c r="K156" s="6" t="s">
        <v>415</v>
      </c>
    </row>
    <row r="157" spans="1:11" ht="30" customHeight="1" x14ac:dyDescent="0.25">
      <c r="A157" s="5" t="s">
        <v>405</v>
      </c>
      <c r="B157" s="5" t="s">
        <v>303</v>
      </c>
      <c r="C157" s="6" t="s">
        <v>304</v>
      </c>
      <c r="D157" s="5">
        <v>65</v>
      </c>
      <c r="E157" s="5"/>
      <c r="F157" s="7">
        <v>200</v>
      </c>
      <c r="G157" s="5"/>
      <c r="H157" s="6" t="s">
        <v>201</v>
      </c>
      <c r="I157" s="6" t="s">
        <v>135</v>
      </c>
      <c r="J157" s="6" t="s">
        <v>94</v>
      </c>
      <c r="K157" s="6" t="s">
        <v>415</v>
      </c>
    </row>
    <row r="158" spans="1:11" ht="30" customHeight="1" x14ac:dyDescent="0.25">
      <c r="A158" s="5" t="s">
        <v>405</v>
      </c>
      <c r="B158" s="5" t="s">
        <v>303</v>
      </c>
      <c r="C158" s="6" t="s">
        <v>304</v>
      </c>
      <c r="D158" s="5">
        <v>74</v>
      </c>
      <c r="E158" s="5"/>
      <c r="F158" s="7">
        <v>80</v>
      </c>
      <c r="G158" s="5"/>
      <c r="H158" s="6" t="s">
        <v>199</v>
      </c>
      <c r="I158" s="6" t="s">
        <v>200</v>
      </c>
      <c r="J158" s="6" t="s">
        <v>94</v>
      </c>
      <c r="K158" s="6" t="s">
        <v>416</v>
      </c>
    </row>
    <row r="159" spans="1:11" ht="30" customHeight="1" x14ac:dyDescent="0.25">
      <c r="A159" s="5" t="s">
        <v>405</v>
      </c>
      <c r="B159" s="5" t="s">
        <v>303</v>
      </c>
      <c r="C159" s="6" t="s">
        <v>304</v>
      </c>
      <c r="D159" s="5">
        <v>98</v>
      </c>
      <c r="E159" s="5"/>
      <c r="F159" s="7">
        <v>500</v>
      </c>
      <c r="G159" s="5"/>
      <c r="H159" s="6" t="s">
        <v>208</v>
      </c>
      <c r="I159" s="6" t="s">
        <v>200</v>
      </c>
      <c r="J159" s="6" t="s">
        <v>94</v>
      </c>
      <c r="K159" s="6" t="s">
        <v>417</v>
      </c>
    </row>
    <row r="160" spans="1:11" ht="45" customHeight="1" x14ac:dyDescent="0.25">
      <c r="A160" s="5" t="s">
        <v>405</v>
      </c>
      <c r="B160" s="5" t="s">
        <v>303</v>
      </c>
      <c r="C160" s="6" t="s">
        <v>304</v>
      </c>
      <c r="D160" s="5">
        <v>100</v>
      </c>
      <c r="E160" s="5"/>
      <c r="F160" s="7">
        <v>50</v>
      </c>
      <c r="G160" s="5"/>
      <c r="H160" s="6" t="s">
        <v>219</v>
      </c>
      <c r="I160" s="6" t="s">
        <v>135</v>
      </c>
      <c r="J160" s="6" t="s">
        <v>94</v>
      </c>
      <c r="K160" s="6" t="s">
        <v>418</v>
      </c>
    </row>
    <row r="161" spans="1:11" ht="45" customHeight="1" x14ac:dyDescent="0.25">
      <c r="A161" s="5" t="s">
        <v>405</v>
      </c>
      <c r="B161" s="5" t="s">
        <v>303</v>
      </c>
      <c r="C161" s="6" t="s">
        <v>304</v>
      </c>
      <c r="D161" s="5">
        <v>102</v>
      </c>
      <c r="E161" s="5"/>
      <c r="F161" s="7">
        <v>200</v>
      </c>
      <c r="G161" s="5"/>
      <c r="H161" s="6" t="s">
        <v>219</v>
      </c>
      <c r="I161" s="6" t="s">
        <v>200</v>
      </c>
      <c r="J161" s="6" t="s">
        <v>94</v>
      </c>
      <c r="K161" s="6" t="s">
        <v>418</v>
      </c>
    </row>
    <row r="162" spans="1:11" ht="45" customHeight="1" x14ac:dyDescent="0.25">
      <c r="A162" s="5" t="s">
        <v>405</v>
      </c>
      <c r="B162" s="5" t="s">
        <v>303</v>
      </c>
      <c r="C162" s="6" t="s">
        <v>304</v>
      </c>
      <c r="D162" s="5">
        <v>103</v>
      </c>
      <c r="E162" s="5"/>
      <c r="F162" s="7">
        <v>50</v>
      </c>
      <c r="G162" s="5"/>
      <c r="H162" s="6" t="s">
        <v>219</v>
      </c>
      <c r="I162" s="6" t="s">
        <v>197</v>
      </c>
      <c r="J162" s="6" t="s">
        <v>94</v>
      </c>
      <c r="K162" s="6" t="s">
        <v>418</v>
      </c>
    </row>
    <row r="163" spans="1:11" ht="30" customHeight="1" x14ac:dyDescent="0.25">
      <c r="A163" s="5" t="s">
        <v>405</v>
      </c>
      <c r="B163" s="5" t="s">
        <v>303</v>
      </c>
      <c r="C163" s="6" t="s">
        <v>304</v>
      </c>
      <c r="D163" s="5">
        <v>104</v>
      </c>
      <c r="E163" s="5"/>
      <c r="F163" s="7">
        <v>100</v>
      </c>
      <c r="G163" s="5"/>
      <c r="H163" s="6" t="s">
        <v>198</v>
      </c>
      <c r="I163" s="6" t="s">
        <v>135</v>
      </c>
      <c r="J163" s="6" t="s">
        <v>94</v>
      </c>
      <c r="K163" s="6" t="s">
        <v>419</v>
      </c>
    </row>
    <row r="164" spans="1:11" x14ac:dyDescent="0.25">
      <c r="A164" s="53" t="s">
        <v>420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5"/>
    </row>
    <row r="166" spans="1:11" x14ac:dyDescent="0.25">
      <c r="A166" s="56" t="s">
        <v>421</v>
      </c>
      <c r="B166" s="54"/>
      <c r="C166" s="54"/>
      <c r="D166" s="54"/>
      <c r="E166" s="54"/>
      <c r="F166" s="54"/>
      <c r="G166" s="54"/>
      <c r="H166" s="54"/>
      <c r="I166" s="54"/>
      <c r="J166" s="54"/>
      <c r="K166" s="55"/>
    </row>
    <row r="167" spans="1:11" ht="30" customHeight="1" x14ac:dyDescent="0.25">
      <c r="A167" s="5" t="s">
        <v>422</v>
      </c>
      <c r="B167" s="5" t="s">
        <v>384</v>
      </c>
      <c r="C167" s="6" t="s">
        <v>368</v>
      </c>
      <c r="D167" s="5">
        <v>15</v>
      </c>
      <c r="E167" s="5"/>
      <c r="F167" s="7">
        <v>20.5</v>
      </c>
      <c r="G167" s="5"/>
      <c r="H167" s="6" t="s">
        <v>103</v>
      </c>
      <c r="I167" s="6" t="s">
        <v>104</v>
      </c>
      <c r="J167" s="6" t="s">
        <v>94</v>
      </c>
      <c r="K167" s="6" t="s">
        <v>423</v>
      </c>
    </row>
    <row r="168" spans="1:11" ht="30" customHeight="1" x14ac:dyDescent="0.25">
      <c r="A168" s="5" t="s">
        <v>422</v>
      </c>
      <c r="B168" s="5" t="s">
        <v>384</v>
      </c>
      <c r="C168" s="6" t="s">
        <v>368</v>
      </c>
      <c r="D168" s="5">
        <v>16</v>
      </c>
      <c r="E168" s="5"/>
      <c r="F168" s="7">
        <v>255.5</v>
      </c>
      <c r="G168" s="5"/>
      <c r="H168" s="6" t="s">
        <v>103</v>
      </c>
      <c r="I168" s="6" t="s">
        <v>105</v>
      </c>
      <c r="J168" s="6" t="s">
        <v>94</v>
      </c>
      <c r="K168" s="6" t="s">
        <v>423</v>
      </c>
    </row>
    <row r="169" spans="1:11" ht="30" customHeight="1" x14ac:dyDescent="0.25">
      <c r="A169" s="5" t="s">
        <v>422</v>
      </c>
      <c r="B169" s="5" t="s">
        <v>384</v>
      </c>
      <c r="C169" s="6" t="s">
        <v>368</v>
      </c>
      <c r="D169" s="5">
        <v>17</v>
      </c>
      <c r="E169" s="5"/>
      <c r="F169" s="7">
        <v>112</v>
      </c>
      <c r="G169" s="5"/>
      <c r="H169" s="6" t="s">
        <v>103</v>
      </c>
      <c r="I169" s="6" t="s">
        <v>106</v>
      </c>
      <c r="J169" s="6" t="s">
        <v>94</v>
      </c>
      <c r="K169" s="6" t="s">
        <v>423</v>
      </c>
    </row>
    <row r="170" spans="1:11" ht="30" customHeight="1" x14ac:dyDescent="0.25">
      <c r="A170" s="5" t="s">
        <v>422</v>
      </c>
      <c r="B170" s="5" t="s">
        <v>384</v>
      </c>
      <c r="C170" s="6" t="s">
        <v>368</v>
      </c>
      <c r="D170" s="5">
        <v>18</v>
      </c>
      <c r="E170" s="5"/>
      <c r="F170" s="7">
        <v>13</v>
      </c>
      <c r="G170" s="5"/>
      <c r="H170" s="6" t="s">
        <v>107</v>
      </c>
      <c r="I170" s="6" t="s">
        <v>108</v>
      </c>
      <c r="J170" s="6" t="s">
        <v>94</v>
      </c>
      <c r="K170" s="6" t="s">
        <v>424</v>
      </c>
    </row>
    <row r="171" spans="1:11" x14ac:dyDescent="0.25">
      <c r="A171" s="53" t="s">
        <v>425</v>
      </c>
      <c r="B171" s="54"/>
      <c r="C171" s="54"/>
      <c r="D171" s="54"/>
      <c r="E171" s="54"/>
      <c r="F171" s="54"/>
      <c r="G171" s="54"/>
      <c r="H171" s="54"/>
      <c r="I171" s="54"/>
      <c r="J171" s="54"/>
      <c r="K171" s="55"/>
    </row>
    <row r="173" spans="1:11" x14ac:dyDescent="0.25">
      <c r="A173" s="56" t="s">
        <v>426</v>
      </c>
      <c r="B173" s="54"/>
      <c r="C173" s="54"/>
      <c r="D173" s="54"/>
      <c r="E173" s="54"/>
      <c r="F173" s="54"/>
      <c r="G173" s="54"/>
      <c r="H173" s="54"/>
      <c r="I173" s="54"/>
      <c r="J173" s="54"/>
      <c r="K173" s="55"/>
    </row>
    <row r="174" spans="1:11" ht="30" customHeight="1" x14ac:dyDescent="0.25">
      <c r="A174" s="5" t="s">
        <v>422</v>
      </c>
      <c r="B174" s="5" t="s">
        <v>389</v>
      </c>
      <c r="C174" s="6" t="s">
        <v>368</v>
      </c>
      <c r="D174" s="5">
        <v>15</v>
      </c>
      <c r="E174" s="5"/>
      <c r="F174" s="7">
        <v>20.5</v>
      </c>
      <c r="G174" s="5"/>
      <c r="H174" s="6" t="s">
        <v>103</v>
      </c>
      <c r="I174" s="6" t="s">
        <v>104</v>
      </c>
      <c r="J174" s="6" t="s">
        <v>94</v>
      </c>
      <c r="K174" s="6" t="s">
        <v>427</v>
      </c>
    </row>
    <row r="175" spans="1:11" ht="30" customHeight="1" x14ac:dyDescent="0.25">
      <c r="A175" s="5" t="s">
        <v>422</v>
      </c>
      <c r="B175" s="5" t="s">
        <v>389</v>
      </c>
      <c r="C175" s="6" t="s">
        <v>368</v>
      </c>
      <c r="D175" s="5">
        <v>16</v>
      </c>
      <c r="E175" s="5"/>
      <c r="F175" s="7">
        <v>255.5</v>
      </c>
      <c r="G175" s="5"/>
      <c r="H175" s="6" t="s">
        <v>103</v>
      </c>
      <c r="I175" s="6" t="s">
        <v>105</v>
      </c>
      <c r="J175" s="6" t="s">
        <v>94</v>
      </c>
      <c r="K175" s="6" t="s">
        <v>427</v>
      </c>
    </row>
    <row r="176" spans="1:11" ht="30" customHeight="1" x14ac:dyDescent="0.25">
      <c r="A176" s="5" t="s">
        <v>422</v>
      </c>
      <c r="B176" s="5" t="s">
        <v>389</v>
      </c>
      <c r="C176" s="6" t="s">
        <v>368</v>
      </c>
      <c r="D176" s="5">
        <v>17</v>
      </c>
      <c r="E176" s="5"/>
      <c r="F176" s="7">
        <v>112</v>
      </c>
      <c r="G176" s="5"/>
      <c r="H176" s="6" t="s">
        <v>103</v>
      </c>
      <c r="I176" s="6" t="s">
        <v>106</v>
      </c>
      <c r="J176" s="6" t="s">
        <v>94</v>
      </c>
      <c r="K176" s="6" t="s">
        <v>427</v>
      </c>
    </row>
    <row r="177" spans="1:11" ht="30" customHeight="1" x14ac:dyDescent="0.25">
      <c r="A177" s="5" t="s">
        <v>422</v>
      </c>
      <c r="B177" s="5" t="s">
        <v>389</v>
      </c>
      <c r="C177" s="6" t="s">
        <v>368</v>
      </c>
      <c r="D177" s="5">
        <v>18</v>
      </c>
      <c r="E177" s="5"/>
      <c r="F177" s="7">
        <v>13</v>
      </c>
      <c r="G177" s="5"/>
      <c r="H177" s="6" t="s">
        <v>107</v>
      </c>
      <c r="I177" s="6" t="s">
        <v>108</v>
      </c>
      <c r="J177" s="6" t="s">
        <v>94</v>
      </c>
      <c r="K177" s="6" t="s">
        <v>428</v>
      </c>
    </row>
    <row r="178" spans="1:11" x14ac:dyDescent="0.25">
      <c r="A178" s="53" t="s">
        <v>429</v>
      </c>
      <c r="B178" s="54"/>
      <c r="C178" s="54"/>
      <c r="D178" s="54"/>
      <c r="E178" s="54"/>
      <c r="F178" s="54"/>
      <c r="G178" s="54"/>
      <c r="H178" s="54"/>
      <c r="I178" s="54"/>
      <c r="J178" s="54"/>
      <c r="K178" s="55"/>
    </row>
    <row r="180" spans="1:11" x14ac:dyDescent="0.25">
      <c r="A180" s="56" t="s">
        <v>430</v>
      </c>
      <c r="B180" s="54"/>
      <c r="C180" s="54"/>
      <c r="D180" s="54"/>
      <c r="E180" s="54"/>
      <c r="F180" s="54"/>
      <c r="G180" s="54"/>
      <c r="H180" s="54"/>
      <c r="I180" s="54"/>
      <c r="J180" s="54"/>
      <c r="K180" s="55"/>
    </row>
    <row r="181" spans="1:11" ht="30" customHeight="1" x14ac:dyDescent="0.25">
      <c r="A181" s="5" t="s">
        <v>422</v>
      </c>
      <c r="B181" s="5" t="s">
        <v>303</v>
      </c>
      <c r="C181" s="6" t="s">
        <v>304</v>
      </c>
      <c r="D181" s="5">
        <v>20</v>
      </c>
      <c r="E181" s="5"/>
      <c r="F181" s="7">
        <v>20</v>
      </c>
      <c r="G181" s="5"/>
      <c r="H181" s="6" t="s">
        <v>153</v>
      </c>
      <c r="I181" s="6" t="s">
        <v>157</v>
      </c>
      <c r="J181" s="6" t="s">
        <v>94</v>
      </c>
      <c r="K181" s="6" t="s">
        <v>431</v>
      </c>
    </row>
    <row r="182" spans="1:11" ht="30" customHeight="1" x14ac:dyDescent="0.25">
      <c r="A182" s="5" t="s">
        <v>422</v>
      </c>
      <c r="B182" s="5" t="s">
        <v>303</v>
      </c>
      <c r="C182" s="6" t="s">
        <v>304</v>
      </c>
      <c r="D182" s="5">
        <v>64</v>
      </c>
      <c r="E182" s="5"/>
      <c r="F182" s="7">
        <v>74</v>
      </c>
      <c r="G182" s="5"/>
      <c r="H182" s="6" t="s">
        <v>201</v>
      </c>
      <c r="I182" s="6" t="s">
        <v>134</v>
      </c>
      <c r="J182" s="6" t="s">
        <v>94</v>
      </c>
      <c r="K182" s="6" t="s">
        <v>432</v>
      </c>
    </row>
    <row r="183" spans="1:11" ht="30" customHeight="1" x14ac:dyDescent="0.25">
      <c r="A183" s="5" t="s">
        <v>422</v>
      </c>
      <c r="B183" s="5" t="s">
        <v>303</v>
      </c>
      <c r="C183" s="6" t="s">
        <v>304</v>
      </c>
      <c r="D183" s="5">
        <v>74</v>
      </c>
      <c r="E183" s="5"/>
      <c r="F183" s="7">
        <v>50</v>
      </c>
      <c r="G183" s="5"/>
      <c r="H183" s="6" t="s">
        <v>199</v>
      </c>
      <c r="I183" s="6" t="s">
        <v>200</v>
      </c>
      <c r="J183" s="6" t="s">
        <v>94</v>
      </c>
      <c r="K183" s="6" t="s">
        <v>433</v>
      </c>
    </row>
    <row r="184" spans="1:11" ht="30" customHeight="1" x14ac:dyDescent="0.25">
      <c r="A184" s="5" t="s">
        <v>422</v>
      </c>
      <c r="B184" s="5" t="s">
        <v>303</v>
      </c>
      <c r="C184" s="6" t="s">
        <v>304</v>
      </c>
      <c r="D184" s="5">
        <v>98</v>
      </c>
      <c r="E184" s="5"/>
      <c r="F184" s="7">
        <v>500</v>
      </c>
      <c r="G184" s="5"/>
      <c r="H184" s="6" t="s">
        <v>208</v>
      </c>
      <c r="I184" s="6" t="s">
        <v>200</v>
      </c>
      <c r="J184" s="6" t="s">
        <v>94</v>
      </c>
      <c r="K184" s="6" t="s">
        <v>434</v>
      </c>
    </row>
    <row r="185" spans="1:11" ht="45" customHeight="1" x14ac:dyDescent="0.25">
      <c r="A185" s="5" t="s">
        <v>422</v>
      </c>
      <c r="B185" s="5" t="s">
        <v>303</v>
      </c>
      <c r="C185" s="6" t="s">
        <v>304</v>
      </c>
      <c r="D185" s="5">
        <v>100</v>
      </c>
      <c r="E185" s="5"/>
      <c r="F185" s="7">
        <v>50</v>
      </c>
      <c r="G185" s="5"/>
      <c r="H185" s="6" t="s">
        <v>219</v>
      </c>
      <c r="I185" s="6" t="s">
        <v>135</v>
      </c>
      <c r="J185" s="6" t="s">
        <v>94</v>
      </c>
      <c r="K185" s="6" t="s">
        <v>435</v>
      </c>
    </row>
    <row r="186" spans="1:11" ht="45" customHeight="1" x14ac:dyDescent="0.25">
      <c r="A186" s="5" t="s">
        <v>422</v>
      </c>
      <c r="B186" s="5" t="s">
        <v>303</v>
      </c>
      <c r="C186" s="6" t="s">
        <v>304</v>
      </c>
      <c r="D186" s="5">
        <v>102</v>
      </c>
      <c r="E186" s="5"/>
      <c r="F186" s="7">
        <v>200</v>
      </c>
      <c r="G186" s="5"/>
      <c r="H186" s="6" t="s">
        <v>219</v>
      </c>
      <c r="I186" s="6" t="s">
        <v>200</v>
      </c>
      <c r="J186" s="6" t="s">
        <v>94</v>
      </c>
      <c r="K186" s="6" t="s">
        <v>435</v>
      </c>
    </row>
    <row r="187" spans="1:11" ht="45" customHeight="1" x14ac:dyDescent="0.25">
      <c r="A187" s="5" t="s">
        <v>422</v>
      </c>
      <c r="B187" s="5" t="s">
        <v>303</v>
      </c>
      <c r="C187" s="6" t="s">
        <v>304</v>
      </c>
      <c r="D187" s="5">
        <v>103</v>
      </c>
      <c r="E187" s="5"/>
      <c r="F187" s="7">
        <v>50</v>
      </c>
      <c r="G187" s="5"/>
      <c r="H187" s="6" t="s">
        <v>219</v>
      </c>
      <c r="I187" s="6" t="s">
        <v>197</v>
      </c>
      <c r="J187" s="6" t="s">
        <v>94</v>
      </c>
      <c r="K187" s="6" t="s">
        <v>435</v>
      </c>
    </row>
    <row r="188" spans="1:11" ht="30" customHeight="1" x14ac:dyDescent="0.25">
      <c r="A188" s="5" t="s">
        <v>422</v>
      </c>
      <c r="B188" s="5" t="s">
        <v>303</v>
      </c>
      <c r="C188" s="6" t="s">
        <v>304</v>
      </c>
      <c r="D188" s="5">
        <v>104</v>
      </c>
      <c r="E188" s="5"/>
      <c r="F188" s="7">
        <v>100</v>
      </c>
      <c r="G188" s="5"/>
      <c r="H188" s="6" t="s">
        <v>198</v>
      </c>
      <c r="I188" s="6" t="s">
        <v>135</v>
      </c>
      <c r="J188" s="6" t="s">
        <v>94</v>
      </c>
      <c r="K188" s="6" t="s">
        <v>436</v>
      </c>
    </row>
    <row r="189" spans="1:11" x14ac:dyDescent="0.25">
      <c r="A189" s="53" t="s">
        <v>437</v>
      </c>
      <c r="B189" s="54"/>
      <c r="C189" s="54"/>
      <c r="D189" s="54"/>
      <c r="E189" s="54"/>
      <c r="F189" s="54"/>
      <c r="G189" s="54"/>
      <c r="H189" s="54"/>
      <c r="I189" s="54"/>
      <c r="J189" s="54"/>
      <c r="K189" s="55"/>
    </row>
    <row r="191" spans="1:11" x14ac:dyDescent="0.25">
      <c r="A191" s="56" t="s">
        <v>438</v>
      </c>
      <c r="B191" s="54"/>
      <c r="C191" s="54"/>
      <c r="D191" s="54"/>
      <c r="E191" s="54"/>
      <c r="F191" s="54"/>
      <c r="G191" s="54"/>
      <c r="H191" s="54"/>
      <c r="I191" s="54"/>
      <c r="J191" s="54"/>
      <c r="K191" s="55"/>
    </row>
    <row r="192" spans="1:11" ht="30" customHeight="1" x14ac:dyDescent="0.25">
      <c r="A192" s="5" t="s">
        <v>439</v>
      </c>
      <c r="B192" s="5" t="s">
        <v>384</v>
      </c>
      <c r="C192" s="6" t="s">
        <v>368</v>
      </c>
      <c r="D192" s="5">
        <v>15</v>
      </c>
      <c r="E192" s="5"/>
      <c r="F192" s="7">
        <v>20.5</v>
      </c>
      <c r="G192" s="5"/>
      <c r="H192" s="6" t="s">
        <v>103</v>
      </c>
      <c r="I192" s="6" t="s">
        <v>104</v>
      </c>
      <c r="J192" s="6" t="s">
        <v>94</v>
      </c>
      <c r="K192" s="6" t="s">
        <v>440</v>
      </c>
    </row>
    <row r="193" spans="1:11" ht="30" customHeight="1" x14ac:dyDescent="0.25">
      <c r="A193" s="5" t="s">
        <v>439</v>
      </c>
      <c r="B193" s="5" t="s">
        <v>384</v>
      </c>
      <c r="C193" s="6" t="s">
        <v>368</v>
      </c>
      <c r="D193" s="5">
        <v>16</v>
      </c>
      <c r="E193" s="5"/>
      <c r="F193" s="7">
        <v>255.5</v>
      </c>
      <c r="G193" s="5"/>
      <c r="H193" s="6" t="s">
        <v>103</v>
      </c>
      <c r="I193" s="6" t="s">
        <v>105</v>
      </c>
      <c r="J193" s="6" t="s">
        <v>94</v>
      </c>
      <c r="K193" s="6" t="s">
        <v>440</v>
      </c>
    </row>
    <row r="194" spans="1:11" ht="30" customHeight="1" x14ac:dyDescent="0.25">
      <c r="A194" s="5" t="s">
        <v>439</v>
      </c>
      <c r="B194" s="5" t="s">
        <v>384</v>
      </c>
      <c r="C194" s="6" t="s">
        <v>368</v>
      </c>
      <c r="D194" s="5">
        <v>17</v>
      </c>
      <c r="E194" s="5"/>
      <c r="F194" s="7">
        <v>112</v>
      </c>
      <c r="G194" s="5"/>
      <c r="H194" s="6" t="s">
        <v>103</v>
      </c>
      <c r="I194" s="6" t="s">
        <v>106</v>
      </c>
      <c r="J194" s="6" t="s">
        <v>94</v>
      </c>
      <c r="K194" s="6" t="s">
        <v>440</v>
      </c>
    </row>
    <row r="195" spans="1:11" ht="30" customHeight="1" x14ac:dyDescent="0.25">
      <c r="A195" s="5" t="s">
        <v>439</v>
      </c>
      <c r="B195" s="5" t="s">
        <v>384</v>
      </c>
      <c r="C195" s="6" t="s">
        <v>368</v>
      </c>
      <c r="D195" s="5">
        <v>18</v>
      </c>
      <c r="E195" s="5"/>
      <c r="F195" s="7">
        <v>13</v>
      </c>
      <c r="G195" s="5"/>
      <c r="H195" s="6" t="s">
        <v>107</v>
      </c>
      <c r="I195" s="6" t="s">
        <v>108</v>
      </c>
      <c r="J195" s="6" t="s">
        <v>94</v>
      </c>
      <c r="K195" s="6" t="s">
        <v>441</v>
      </c>
    </row>
    <row r="196" spans="1:11" x14ac:dyDescent="0.25">
      <c r="A196" s="53" t="s">
        <v>442</v>
      </c>
      <c r="B196" s="54"/>
      <c r="C196" s="54"/>
      <c r="D196" s="54"/>
      <c r="E196" s="54"/>
      <c r="F196" s="54"/>
      <c r="G196" s="54"/>
      <c r="H196" s="54"/>
      <c r="I196" s="54"/>
      <c r="J196" s="54"/>
      <c r="K196" s="55"/>
    </row>
    <row r="198" spans="1:11" x14ac:dyDescent="0.25">
      <c r="A198" s="56" t="s">
        <v>443</v>
      </c>
      <c r="B198" s="54"/>
      <c r="C198" s="54"/>
      <c r="D198" s="54"/>
      <c r="E198" s="54"/>
      <c r="F198" s="54"/>
      <c r="G198" s="54"/>
      <c r="H198" s="54"/>
      <c r="I198" s="54"/>
      <c r="J198" s="54"/>
      <c r="K198" s="55"/>
    </row>
    <row r="199" spans="1:11" ht="30" customHeight="1" x14ac:dyDescent="0.25">
      <c r="A199" s="5" t="s">
        <v>439</v>
      </c>
      <c r="B199" s="5" t="s">
        <v>389</v>
      </c>
      <c r="C199" s="6" t="s">
        <v>368</v>
      </c>
      <c r="D199" s="5">
        <v>15</v>
      </c>
      <c r="E199" s="5"/>
      <c r="F199" s="7">
        <v>20.5</v>
      </c>
      <c r="G199" s="5"/>
      <c r="H199" s="6" t="s">
        <v>103</v>
      </c>
      <c r="I199" s="6" t="s">
        <v>104</v>
      </c>
      <c r="J199" s="6" t="s">
        <v>94</v>
      </c>
      <c r="K199" s="6" t="s">
        <v>444</v>
      </c>
    </row>
    <row r="200" spans="1:11" ht="30" customHeight="1" x14ac:dyDescent="0.25">
      <c r="A200" s="5" t="s">
        <v>439</v>
      </c>
      <c r="B200" s="5" t="s">
        <v>389</v>
      </c>
      <c r="C200" s="6" t="s">
        <v>368</v>
      </c>
      <c r="D200" s="5">
        <v>16</v>
      </c>
      <c r="E200" s="5"/>
      <c r="F200" s="7">
        <v>255.5</v>
      </c>
      <c r="G200" s="5"/>
      <c r="H200" s="6" t="s">
        <v>103</v>
      </c>
      <c r="I200" s="6" t="s">
        <v>105</v>
      </c>
      <c r="J200" s="6" t="s">
        <v>94</v>
      </c>
      <c r="K200" s="6" t="s">
        <v>444</v>
      </c>
    </row>
    <row r="201" spans="1:11" ht="30" customHeight="1" x14ac:dyDescent="0.25">
      <c r="A201" s="5" t="s">
        <v>439</v>
      </c>
      <c r="B201" s="5" t="s">
        <v>389</v>
      </c>
      <c r="C201" s="6" t="s">
        <v>368</v>
      </c>
      <c r="D201" s="5">
        <v>17</v>
      </c>
      <c r="E201" s="5"/>
      <c r="F201" s="7">
        <v>112</v>
      </c>
      <c r="G201" s="5"/>
      <c r="H201" s="6" t="s">
        <v>103</v>
      </c>
      <c r="I201" s="6" t="s">
        <v>106</v>
      </c>
      <c r="J201" s="6" t="s">
        <v>94</v>
      </c>
      <c r="K201" s="6" t="s">
        <v>444</v>
      </c>
    </row>
    <row r="202" spans="1:11" ht="30" customHeight="1" x14ac:dyDescent="0.25">
      <c r="A202" s="5" t="s">
        <v>439</v>
      </c>
      <c r="B202" s="5" t="s">
        <v>389</v>
      </c>
      <c r="C202" s="6" t="s">
        <v>368</v>
      </c>
      <c r="D202" s="5">
        <v>18</v>
      </c>
      <c r="E202" s="5"/>
      <c r="F202" s="7">
        <v>13</v>
      </c>
      <c r="G202" s="5"/>
      <c r="H202" s="6" t="s">
        <v>107</v>
      </c>
      <c r="I202" s="6" t="s">
        <v>108</v>
      </c>
      <c r="J202" s="6" t="s">
        <v>94</v>
      </c>
      <c r="K202" s="6" t="s">
        <v>445</v>
      </c>
    </row>
    <row r="203" spans="1:11" x14ac:dyDescent="0.25">
      <c r="A203" s="53" t="s">
        <v>446</v>
      </c>
      <c r="B203" s="54"/>
      <c r="C203" s="54"/>
      <c r="D203" s="54"/>
      <c r="E203" s="54"/>
      <c r="F203" s="54"/>
      <c r="G203" s="54"/>
      <c r="H203" s="54"/>
      <c r="I203" s="54"/>
      <c r="J203" s="54"/>
      <c r="K203" s="55"/>
    </row>
    <row r="205" spans="1:11" x14ac:dyDescent="0.25">
      <c r="A205" s="56" t="s">
        <v>447</v>
      </c>
      <c r="B205" s="54"/>
      <c r="C205" s="54"/>
      <c r="D205" s="54"/>
      <c r="E205" s="54"/>
      <c r="F205" s="54"/>
      <c r="G205" s="54"/>
      <c r="H205" s="54"/>
      <c r="I205" s="54"/>
      <c r="J205" s="54"/>
      <c r="K205" s="55"/>
    </row>
    <row r="206" spans="1:11" ht="30" customHeight="1" x14ac:dyDescent="0.25">
      <c r="A206" s="5" t="s">
        <v>439</v>
      </c>
      <c r="B206" s="5" t="s">
        <v>303</v>
      </c>
      <c r="C206" s="6" t="s">
        <v>304</v>
      </c>
      <c r="D206" s="5">
        <v>20</v>
      </c>
      <c r="E206" s="5"/>
      <c r="F206" s="7">
        <v>20</v>
      </c>
      <c r="G206" s="5"/>
      <c r="H206" s="6" t="s">
        <v>153</v>
      </c>
      <c r="I206" s="6" t="s">
        <v>157</v>
      </c>
      <c r="J206" s="6" t="s">
        <v>94</v>
      </c>
      <c r="K206" s="6" t="s">
        <v>448</v>
      </c>
    </row>
    <row r="207" spans="1:11" ht="30" customHeight="1" x14ac:dyDescent="0.25">
      <c r="A207" s="5" t="s">
        <v>439</v>
      </c>
      <c r="B207" s="5" t="s">
        <v>303</v>
      </c>
      <c r="C207" s="6" t="s">
        <v>304</v>
      </c>
      <c r="D207" s="5">
        <v>64</v>
      </c>
      <c r="E207" s="5"/>
      <c r="F207" s="7">
        <v>74</v>
      </c>
      <c r="G207" s="5"/>
      <c r="H207" s="6" t="s">
        <v>201</v>
      </c>
      <c r="I207" s="6" t="s">
        <v>134</v>
      </c>
      <c r="J207" s="6" t="s">
        <v>94</v>
      </c>
      <c r="K207" s="6" t="s">
        <v>449</v>
      </c>
    </row>
    <row r="208" spans="1:11" ht="30" customHeight="1" x14ac:dyDescent="0.25">
      <c r="A208" s="5" t="s">
        <v>439</v>
      </c>
      <c r="B208" s="5" t="s">
        <v>303</v>
      </c>
      <c r="C208" s="6" t="s">
        <v>304</v>
      </c>
      <c r="D208" s="5">
        <v>98</v>
      </c>
      <c r="E208" s="5"/>
      <c r="F208" s="7">
        <v>500</v>
      </c>
      <c r="G208" s="5"/>
      <c r="H208" s="6" t="s">
        <v>208</v>
      </c>
      <c r="I208" s="6" t="s">
        <v>200</v>
      </c>
      <c r="J208" s="6" t="s">
        <v>94</v>
      </c>
      <c r="K208" s="6" t="s">
        <v>450</v>
      </c>
    </row>
    <row r="209" spans="1:11" ht="45" customHeight="1" x14ac:dyDescent="0.25">
      <c r="A209" s="5" t="s">
        <v>439</v>
      </c>
      <c r="B209" s="5" t="s">
        <v>303</v>
      </c>
      <c r="C209" s="6" t="s">
        <v>304</v>
      </c>
      <c r="D209" s="5">
        <v>100</v>
      </c>
      <c r="E209" s="5"/>
      <c r="F209" s="7">
        <v>50</v>
      </c>
      <c r="G209" s="5"/>
      <c r="H209" s="6" t="s">
        <v>219</v>
      </c>
      <c r="I209" s="6" t="s">
        <v>135</v>
      </c>
      <c r="J209" s="6" t="s">
        <v>94</v>
      </c>
      <c r="K209" s="6" t="s">
        <v>451</v>
      </c>
    </row>
    <row r="210" spans="1:11" ht="45" customHeight="1" x14ac:dyDescent="0.25">
      <c r="A210" s="5" t="s">
        <v>439</v>
      </c>
      <c r="B210" s="5" t="s">
        <v>303</v>
      </c>
      <c r="C210" s="6" t="s">
        <v>304</v>
      </c>
      <c r="D210" s="5">
        <v>102</v>
      </c>
      <c r="E210" s="5"/>
      <c r="F210" s="7">
        <v>200</v>
      </c>
      <c r="G210" s="5"/>
      <c r="H210" s="6" t="s">
        <v>219</v>
      </c>
      <c r="I210" s="6" t="s">
        <v>200</v>
      </c>
      <c r="J210" s="6" t="s">
        <v>94</v>
      </c>
      <c r="K210" s="6" t="s">
        <v>451</v>
      </c>
    </row>
    <row r="211" spans="1:11" ht="45" customHeight="1" x14ac:dyDescent="0.25">
      <c r="A211" s="5" t="s">
        <v>439</v>
      </c>
      <c r="B211" s="5" t="s">
        <v>303</v>
      </c>
      <c r="C211" s="6" t="s">
        <v>304</v>
      </c>
      <c r="D211" s="5">
        <v>103</v>
      </c>
      <c r="E211" s="5"/>
      <c r="F211" s="7">
        <v>50</v>
      </c>
      <c r="G211" s="5"/>
      <c r="H211" s="6" t="s">
        <v>219</v>
      </c>
      <c r="I211" s="6" t="s">
        <v>197</v>
      </c>
      <c r="J211" s="6" t="s">
        <v>94</v>
      </c>
      <c r="K211" s="6" t="s">
        <v>451</v>
      </c>
    </row>
    <row r="212" spans="1:11" ht="30" customHeight="1" x14ac:dyDescent="0.25">
      <c r="A212" s="5" t="s">
        <v>439</v>
      </c>
      <c r="B212" s="5" t="s">
        <v>303</v>
      </c>
      <c r="C212" s="6" t="s">
        <v>304</v>
      </c>
      <c r="D212" s="5">
        <v>104</v>
      </c>
      <c r="E212" s="5"/>
      <c r="F212" s="7">
        <v>100</v>
      </c>
      <c r="G212" s="5"/>
      <c r="H212" s="6" t="s">
        <v>198</v>
      </c>
      <c r="I212" s="6" t="s">
        <v>135</v>
      </c>
      <c r="J212" s="6" t="s">
        <v>94</v>
      </c>
      <c r="K212" s="6" t="s">
        <v>452</v>
      </c>
    </row>
    <row r="213" spans="1:11" x14ac:dyDescent="0.25">
      <c r="A213" s="53" t="s">
        <v>453</v>
      </c>
      <c r="B213" s="54"/>
      <c r="C213" s="54"/>
      <c r="D213" s="54"/>
      <c r="E213" s="54"/>
      <c r="F213" s="54"/>
      <c r="G213" s="54"/>
      <c r="H213" s="54"/>
      <c r="I213" s="54"/>
      <c r="J213" s="54"/>
      <c r="K213" s="55"/>
    </row>
    <row r="215" spans="1:11" x14ac:dyDescent="0.25">
      <c r="A215" s="56" t="s">
        <v>454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5"/>
    </row>
    <row r="216" spans="1:11" ht="30" customHeight="1" x14ac:dyDescent="0.25">
      <c r="A216" s="5" t="s">
        <v>455</v>
      </c>
      <c r="B216" s="5" t="s">
        <v>384</v>
      </c>
      <c r="C216" s="6" t="s">
        <v>368</v>
      </c>
      <c r="D216" s="5">
        <v>15</v>
      </c>
      <c r="E216" s="5"/>
      <c r="F216" s="7">
        <v>20.5</v>
      </c>
      <c r="G216" s="5"/>
      <c r="H216" s="6" t="s">
        <v>103</v>
      </c>
      <c r="I216" s="6" t="s">
        <v>104</v>
      </c>
      <c r="J216" s="6" t="s">
        <v>94</v>
      </c>
      <c r="K216" s="6" t="s">
        <v>456</v>
      </c>
    </row>
    <row r="217" spans="1:11" ht="30" customHeight="1" x14ac:dyDescent="0.25">
      <c r="A217" s="5" t="s">
        <v>455</v>
      </c>
      <c r="B217" s="5" t="s">
        <v>384</v>
      </c>
      <c r="C217" s="6" t="s">
        <v>368</v>
      </c>
      <c r="D217" s="5">
        <v>16</v>
      </c>
      <c r="E217" s="5"/>
      <c r="F217" s="7">
        <v>255.5</v>
      </c>
      <c r="G217" s="5"/>
      <c r="H217" s="6" t="s">
        <v>103</v>
      </c>
      <c r="I217" s="6" t="s">
        <v>105</v>
      </c>
      <c r="J217" s="6" t="s">
        <v>94</v>
      </c>
      <c r="K217" s="6" t="s">
        <v>456</v>
      </c>
    </row>
    <row r="218" spans="1:11" ht="30" customHeight="1" x14ac:dyDescent="0.25">
      <c r="A218" s="5" t="s">
        <v>455</v>
      </c>
      <c r="B218" s="5" t="s">
        <v>384</v>
      </c>
      <c r="C218" s="6" t="s">
        <v>368</v>
      </c>
      <c r="D218" s="5">
        <v>17</v>
      </c>
      <c r="E218" s="5"/>
      <c r="F218" s="7">
        <v>112</v>
      </c>
      <c r="G218" s="5"/>
      <c r="H218" s="6" t="s">
        <v>103</v>
      </c>
      <c r="I218" s="6" t="s">
        <v>106</v>
      </c>
      <c r="J218" s="6" t="s">
        <v>94</v>
      </c>
      <c r="K218" s="6" t="s">
        <v>456</v>
      </c>
    </row>
    <row r="219" spans="1:11" ht="30" customHeight="1" x14ac:dyDescent="0.25">
      <c r="A219" s="5" t="s">
        <v>455</v>
      </c>
      <c r="B219" s="5" t="s">
        <v>384</v>
      </c>
      <c r="C219" s="6" t="s">
        <v>368</v>
      </c>
      <c r="D219" s="5">
        <v>18</v>
      </c>
      <c r="E219" s="5"/>
      <c r="F219" s="7">
        <v>13</v>
      </c>
      <c r="G219" s="5"/>
      <c r="H219" s="6" t="s">
        <v>107</v>
      </c>
      <c r="I219" s="6" t="s">
        <v>108</v>
      </c>
      <c r="J219" s="6" t="s">
        <v>94</v>
      </c>
      <c r="K219" s="6" t="s">
        <v>457</v>
      </c>
    </row>
    <row r="220" spans="1:11" x14ac:dyDescent="0.25">
      <c r="A220" s="53" t="s">
        <v>458</v>
      </c>
      <c r="B220" s="54"/>
      <c r="C220" s="54"/>
      <c r="D220" s="54"/>
      <c r="E220" s="54"/>
      <c r="F220" s="54"/>
      <c r="G220" s="54"/>
      <c r="H220" s="54"/>
      <c r="I220" s="54"/>
      <c r="J220" s="54"/>
      <c r="K220" s="55"/>
    </row>
    <row r="222" spans="1:11" x14ac:dyDescent="0.25">
      <c r="A222" s="56" t="s">
        <v>459</v>
      </c>
      <c r="B222" s="54"/>
      <c r="C222" s="54"/>
      <c r="D222" s="54"/>
      <c r="E222" s="54"/>
      <c r="F222" s="54"/>
      <c r="G222" s="54"/>
      <c r="H222" s="54"/>
      <c r="I222" s="54"/>
      <c r="J222" s="54"/>
      <c r="K222" s="55"/>
    </row>
    <row r="223" spans="1:11" ht="30" customHeight="1" x14ac:dyDescent="0.25">
      <c r="A223" s="5" t="s">
        <v>455</v>
      </c>
      <c r="B223" s="5" t="s">
        <v>389</v>
      </c>
      <c r="C223" s="6" t="s">
        <v>368</v>
      </c>
      <c r="D223" s="5">
        <v>15</v>
      </c>
      <c r="E223" s="5"/>
      <c r="F223" s="7">
        <v>20.5</v>
      </c>
      <c r="G223" s="5"/>
      <c r="H223" s="6" t="s">
        <v>103</v>
      </c>
      <c r="I223" s="6" t="s">
        <v>104</v>
      </c>
      <c r="J223" s="6" t="s">
        <v>94</v>
      </c>
      <c r="K223" s="6" t="s">
        <v>460</v>
      </c>
    </row>
    <row r="224" spans="1:11" ht="30" customHeight="1" x14ac:dyDescent="0.25">
      <c r="A224" s="5" t="s">
        <v>455</v>
      </c>
      <c r="B224" s="5" t="s">
        <v>389</v>
      </c>
      <c r="C224" s="6" t="s">
        <v>368</v>
      </c>
      <c r="D224" s="5">
        <v>16</v>
      </c>
      <c r="E224" s="5"/>
      <c r="F224" s="7">
        <v>255.5</v>
      </c>
      <c r="G224" s="5"/>
      <c r="H224" s="6" t="s">
        <v>103</v>
      </c>
      <c r="I224" s="6" t="s">
        <v>105</v>
      </c>
      <c r="J224" s="6" t="s">
        <v>94</v>
      </c>
      <c r="K224" s="6" t="s">
        <v>460</v>
      </c>
    </row>
    <row r="225" spans="1:11" ht="30" customHeight="1" x14ac:dyDescent="0.25">
      <c r="A225" s="5" t="s">
        <v>455</v>
      </c>
      <c r="B225" s="5" t="s">
        <v>389</v>
      </c>
      <c r="C225" s="6" t="s">
        <v>368</v>
      </c>
      <c r="D225" s="5">
        <v>17</v>
      </c>
      <c r="E225" s="5"/>
      <c r="F225" s="7">
        <v>112</v>
      </c>
      <c r="G225" s="5"/>
      <c r="H225" s="6" t="s">
        <v>103</v>
      </c>
      <c r="I225" s="6" t="s">
        <v>106</v>
      </c>
      <c r="J225" s="6" t="s">
        <v>94</v>
      </c>
      <c r="K225" s="6" t="s">
        <v>460</v>
      </c>
    </row>
    <row r="226" spans="1:11" ht="30" customHeight="1" x14ac:dyDescent="0.25">
      <c r="A226" s="5" t="s">
        <v>455</v>
      </c>
      <c r="B226" s="5" t="s">
        <v>389</v>
      </c>
      <c r="C226" s="6" t="s">
        <v>368</v>
      </c>
      <c r="D226" s="5">
        <v>18</v>
      </c>
      <c r="E226" s="5"/>
      <c r="F226" s="7">
        <v>13</v>
      </c>
      <c r="G226" s="5"/>
      <c r="H226" s="6" t="s">
        <v>107</v>
      </c>
      <c r="I226" s="6" t="s">
        <v>108</v>
      </c>
      <c r="J226" s="6" t="s">
        <v>94</v>
      </c>
      <c r="K226" s="6" t="s">
        <v>461</v>
      </c>
    </row>
    <row r="227" spans="1:11" x14ac:dyDescent="0.25">
      <c r="A227" s="53" t="s">
        <v>462</v>
      </c>
      <c r="B227" s="54"/>
      <c r="C227" s="54"/>
      <c r="D227" s="54"/>
      <c r="E227" s="54"/>
      <c r="F227" s="54"/>
      <c r="G227" s="54"/>
      <c r="H227" s="54"/>
      <c r="I227" s="54"/>
      <c r="J227" s="54"/>
      <c r="K227" s="55"/>
    </row>
    <row r="229" spans="1:11" x14ac:dyDescent="0.25">
      <c r="A229" s="56" t="s">
        <v>463</v>
      </c>
      <c r="B229" s="54"/>
      <c r="C229" s="54"/>
      <c r="D229" s="54"/>
      <c r="E229" s="54"/>
      <c r="F229" s="54"/>
      <c r="G229" s="54"/>
      <c r="H229" s="54"/>
      <c r="I229" s="54"/>
      <c r="J229" s="54"/>
      <c r="K229" s="55"/>
    </row>
    <row r="230" spans="1:11" ht="30" customHeight="1" x14ac:dyDescent="0.25">
      <c r="A230" s="5" t="s">
        <v>455</v>
      </c>
      <c r="B230" s="5" t="s">
        <v>303</v>
      </c>
      <c r="C230" s="6" t="s">
        <v>304</v>
      </c>
      <c r="D230" s="5">
        <v>20</v>
      </c>
      <c r="E230" s="5"/>
      <c r="F230" s="7">
        <v>15</v>
      </c>
      <c r="G230" s="5"/>
      <c r="H230" s="6" t="s">
        <v>153</v>
      </c>
      <c r="I230" s="6" t="s">
        <v>157</v>
      </c>
      <c r="J230" s="6" t="s">
        <v>94</v>
      </c>
      <c r="K230" s="6" t="s">
        <v>464</v>
      </c>
    </row>
    <row r="231" spans="1:11" ht="30" customHeight="1" x14ac:dyDescent="0.25">
      <c r="A231" s="5" t="s">
        <v>455</v>
      </c>
      <c r="B231" s="5" t="s">
        <v>303</v>
      </c>
      <c r="C231" s="6" t="s">
        <v>304</v>
      </c>
      <c r="D231" s="5">
        <v>64</v>
      </c>
      <c r="E231" s="5"/>
      <c r="F231" s="7">
        <v>74</v>
      </c>
      <c r="G231" s="5"/>
      <c r="H231" s="6" t="s">
        <v>201</v>
      </c>
      <c r="I231" s="6" t="s">
        <v>134</v>
      </c>
      <c r="J231" s="6" t="s">
        <v>94</v>
      </c>
      <c r="K231" s="6" t="s">
        <v>465</v>
      </c>
    </row>
    <row r="232" spans="1:11" ht="30" customHeight="1" x14ac:dyDescent="0.25">
      <c r="A232" s="5" t="s">
        <v>455</v>
      </c>
      <c r="B232" s="5" t="s">
        <v>303</v>
      </c>
      <c r="C232" s="6" t="s">
        <v>304</v>
      </c>
      <c r="D232" s="5">
        <v>98</v>
      </c>
      <c r="E232" s="5"/>
      <c r="F232" s="7">
        <v>500</v>
      </c>
      <c r="G232" s="5"/>
      <c r="H232" s="6" t="s">
        <v>208</v>
      </c>
      <c r="I232" s="6" t="s">
        <v>200</v>
      </c>
      <c r="J232" s="6" t="s">
        <v>94</v>
      </c>
      <c r="K232" s="6" t="s">
        <v>466</v>
      </c>
    </row>
    <row r="233" spans="1:11" ht="45" customHeight="1" x14ac:dyDescent="0.25">
      <c r="A233" s="5" t="s">
        <v>455</v>
      </c>
      <c r="B233" s="5" t="s">
        <v>303</v>
      </c>
      <c r="C233" s="6" t="s">
        <v>304</v>
      </c>
      <c r="D233" s="5">
        <v>100</v>
      </c>
      <c r="E233" s="5"/>
      <c r="F233" s="7">
        <v>50</v>
      </c>
      <c r="G233" s="5"/>
      <c r="H233" s="6" t="s">
        <v>219</v>
      </c>
      <c r="I233" s="6" t="s">
        <v>135</v>
      </c>
      <c r="J233" s="6" t="s">
        <v>94</v>
      </c>
      <c r="K233" s="6" t="s">
        <v>467</v>
      </c>
    </row>
    <row r="234" spans="1:11" ht="45" customHeight="1" x14ac:dyDescent="0.25">
      <c r="A234" s="5" t="s">
        <v>455</v>
      </c>
      <c r="B234" s="5" t="s">
        <v>303</v>
      </c>
      <c r="C234" s="6" t="s">
        <v>304</v>
      </c>
      <c r="D234" s="5">
        <v>102</v>
      </c>
      <c r="E234" s="5"/>
      <c r="F234" s="7">
        <v>200</v>
      </c>
      <c r="G234" s="5"/>
      <c r="H234" s="6" t="s">
        <v>219</v>
      </c>
      <c r="I234" s="6" t="s">
        <v>200</v>
      </c>
      <c r="J234" s="6" t="s">
        <v>94</v>
      </c>
      <c r="K234" s="6" t="s">
        <v>467</v>
      </c>
    </row>
    <row r="235" spans="1:11" ht="45" customHeight="1" x14ac:dyDescent="0.25">
      <c r="A235" s="5" t="s">
        <v>455</v>
      </c>
      <c r="B235" s="5" t="s">
        <v>303</v>
      </c>
      <c r="C235" s="6" t="s">
        <v>304</v>
      </c>
      <c r="D235" s="5">
        <v>103</v>
      </c>
      <c r="E235" s="5"/>
      <c r="F235" s="7">
        <v>50</v>
      </c>
      <c r="G235" s="5"/>
      <c r="H235" s="6" t="s">
        <v>219</v>
      </c>
      <c r="I235" s="6" t="s">
        <v>197</v>
      </c>
      <c r="J235" s="6" t="s">
        <v>94</v>
      </c>
      <c r="K235" s="6" t="s">
        <v>467</v>
      </c>
    </row>
    <row r="236" spans="1:11" ht="30" customHeight="1" x14ac:dyDescent="0.25">
      <c r="A236" s="5" t="s">
        <v>455</v>
      </c>
      <c r="B236" s="5" t="s">
        <v>303</v>
      </c>
      <c r="C236" s="6" t="s">
        <v>304</v>
      </c>
      <c r="D236" s="5">
        <v>104</v>
      </c>
      <c r="E236" s="5"/>
      <c r="F236" s="7">
        <v>100</v>
      </c>
      <c r="G236" s="5"/>
      <c r="H236" s="6" t="s">
        <v>198</v>
      </c>
      <c r="I236" s="6" t="s">
        <v>135</v>
      </c>
      <c r="J236" s="6" t="s">
        <v>94</v>
      </c>
      <c r="K236" s="6" t="s">
        <v>468</v>
      </c>
    </row>
    <row r="237" spans="1:11" x14ac:dyDescent="0.25">
      <c r="A237" s="53" t="s">
        <v>469</v>
      </c>
      <c r="B237" s="54"/>
      <c r="C237" s="54"/>
      <c r="D237" s="54"/>
      <c r="E237" s="54"/>
      <c r="F237" s="54"/>
      <c r="G237" s="54"/>
      <c r="H237" s="54"/>
      <c r="I237" s="54"/>
      <c r="J237" s="54"/>
      <c r="K237" s="55"/>
    </row>
    <row r="239" spans="1:11" x14ac:dyDescent="0.25">
      <c r="A239" s="56" t="s">
        <v>470</v>
      </c>
      <c r="B239" s="54"/>
      <c r="C239" s="54"/>
      <c r="D239" s="54"/>
      <c r="E239" s="54"/>
      <c r="F239" s="54"/>
      <c r="G239" s="54"/>
      <c r="H239" s="54"/>
      <c r="I239" s="54"/>
      <c r="J239" s="54"/>
      <c r="K239" s="55"/>
    </row>
    <row r="240" spans="1:11" ht="30" customHeight="1" x14ac:dyDescent="0.25">
      <c r="A240" s="5" t="s">
        <v>61</v>
      </c>
      <c r="B240" s="5" t="s">
        <v>303</v>
      </c>
      <c r="C240" s="6" t="s">
        <v>304</v>
      </c>
      <c r="D240" s="5">
        <v>13</v>
      </c>
      <c r="E240" s="5"/>
      <c r="F240" s="7">
        <v>3</v>
      </c>
      <c r="G240" s="5"/>
      <c r="H240" s="6" t="s">
        <v>133</v>
      </c>
      <c r="I240" s="6" t="s">
        <v>134</v>
      </c>
      <c r="J240" s="6" t="s">
        <v>94</v>
      </c>
      <c r="K240" s="6" t="s">
        <v>471</v>
      </c>
    </row>
    <row r="241" spans="1:11" ht="30" customHeight="1" x14ac:dyDescent="0.25">
      <c r="A241" s="5" t="s">
        <v>61</v>
      </c>
      <c r="B241" s="5" t="s">
        <v>303</v>
      </c>
      <c r="C241" s="6" t="s">
        <v>304</v>
      </c>
      <c r="D241" s="5">
        <v>16</v>
      </c>
      <c r="E241" s="5"/>
      <c r="F241" s="7">
        <v>2</v>
      </c>
      <c r="G241" s="5"/>
      <c r="H241" s="6" t="s">
        <v>133</v>
      </c>
      <c r="I241" s="6" t="s">
        <v>137</v>
      </c>
      <c r="J241" s="6" t="s">
        <v>94</v>
      </c>
      <c r="K241" s="6" t="s">
        <v>472</v>
      </c>
    </row>
    <row r="242" spans="1:11" ht="30" customHeight="1" x14ac:dyDescent="0.25">
      <c r="A242" s="5" t="s">
        <v>61</v>
      </c>
      <c r="B242" s="5" t="s">
        <v>303</v>
      </c>
      <c r="C242" s="6" t="s">
        <v>304</v>
      </c>
      <c r="D242" s="5">
        <v>18</v>
      </c>
      <c r="E242" s="5"/>
      <c r="F242" s="7">
        <v>50</v>
      </c>
      <c r="G242" s="5"/>
      <c r="H242" s="6" t="s">
        <v>153</v>
      </c>
      <c r="I242" s="6" t="s">
        <v>155</v>
      </c>
      <c r="J242" s="6" t="s">
        <v>94</v>
      </c>
      <c r="K242" s="6" t="s">
        <v>471</v>
      </c>
    </row>
    <row r="243" spans="1:11" ht="30" customHeight="1" x14ac:dyDescent="0.25">
      <c r="A243" s="5" t="s">
        <v>61</v>
      </c>
      <c r="B243" s="5" t="s">
        <v>303</v>
      </c>
      <c r="C243" s="6" t="s">
        <v>304</v>
      </c>
      <c r="D243" s="5">
        <v>21</v>
      </c>
      <c r="E243" s="5"/>
      <c r="F243" s="7">
        <v>4</v>
      </c>
      <c r="G243" s="5"/>
      <c r="H243" s="6" t="s">
        <v>153</v>
      </c>
      <c r="I243" s="6" t="s">
        <v>158</v>
      </c>
      <c r="J243" s="6" t="s">
        <v>94</v>
      </c>
      <c r="K243" s="6" t="s">
        <v>471</v>
      </c>
    </row>
    <row r="244" spans="1:11" ht="30" customHeight="1" x14ac:dyDescent="0.25">
      <c r="A244" s="5" t="s">
        <v>61</v>
      </c>
      <c r="B244" s="5" t="s">
        <v>303</v>
      </c>
      <c r="C244" s="6" t="s">
        <v>304</v>
      </c>
      <c r="D244" s="5">
        <v>23</v>
      </c>
      <c r="E244" s="5"/>
      <c r="F244" s="7">
        <v>100</v>
      </c>
      <c r="G244" s="5"/>
      <c r="H244" s="6" t="s">
        <v>161</v>
      </c>
      <c r="I244" s="6" t="s">
        <v>125</v>
      </c>
      <c r="J244" s="6" t="s">
        <v>94</v>
      </c>
      <c r="K244" s="6" t="s">
        <v>473</v>
      </c>
    </row>
    <row r="245" spans="1:11" ht="30" customHeight="1" x14ac:dyDescent="0.25">
      <c r="A245" s="5" t="s">
        <v>61</v>
      </c>
      <c r="B245" s="5" t="s">
        <v>303</v>
      </c>
      <c r="C245" s="6" t="s">
        <v>304</v>
      </c>
      <c r="D245" s="5">
        <v>24</v>
      </c>
      <c r="E245" s="5"/>
      <c r="F245" s="7">
        <v>2</v>
      </c>
      <c r="G245" s="5"/>
      <c r="H245" s="6" t="s">
        <v>161</v>
      </c>
      <c r="I245" s="6" t="s">
        <v>162</v>
      </c>
      <c r="J245" s="6" t="s">
        <v>94</v>
      </c>
      <c r="K245" s="6" t="s">
        <v>474</v>
      </c>
    </row>
    <row r="246" spans="1:11" ht="30" customHeight="1" x14ac:dyDescent="0.25">
      <c r="A246" s="5" t="s">
        <v>61</v>
      </c>
      <c r="B246" s="5" t="s">
        <v>303</v>
      </c>
      <c r="C246" s="6" t="s">
        <v>304</v>
      </c>
      <c r="D246" s="5">
        <v>40</v>
      </c>
      <c r="E246" s="5"/>
      <c r="F246" s="7">
        <v>50</v>
      </c>
      <c r="G246" s="5"/>
      <c r="H246" s="6" t="s">
        <v>120</v>
      </c>
      <c r="I246" s="6" t="s">
        <v>122</v>
      </c>
      <c r="J246" s="6" t="s">
        <v>94</v>
      </c>
      <c r="K246" s="6" t="s">
        <v>475</v>
      </c>
    </row>
    <row r="247" spans="1:11" ht="30" customHeight="1" x14ac:dyDescent="0.25">
      <c r="A247" s="5" t="s">
        <v>61</v>
      </c>
      <c r="B247" s="5" t="s">
        <v>303</v>
      </c>
      <c r="C247" s="6" t="s">
        <v>304</v>
      </c>
      <c r="D247" s="5">
        <v>42</v>
      </c>
      <c r="E247" s="5"/>
      <c r="F247" s="7">
        <v>200</v>
      </c>
      <c r="G247" s="5"/>
      <c r="H247" s="6" t="s">
        <v>130</v>
      </c>
      <c r="I247" s="6" t="s">
        <v>131</v>
      </c>
      <c r="J247" s="6" t="s">
        <v>94</v>
      </c>
      <c r="K247" s="6" t="s">
        <v>476</v>
      </c>
    </row>
    <row r="248" spans="1:11" ht="30" customHeight="1" x14ac:dyDescent="0.25">
      <c r="A248" s="5" t="s">
        <v>61</v>
      </c>
      <c r="B248" s="5" t="s">
        <v>303</v>
      </c>
      <c r="C248" s="6" t="s">
        <v>304</v>
      </c>
      <c r="D248" s="5">
        <v>43</v>
      </c>
      <c r="E248" s="5"/>
      <c r="F248" s="7">
        <v>60</v>
      </c>
      <c r="G248" s="5"/>
      <c r="H248" s="6" t="s">
        <v>130</v>
      </c>
      <c r="I248" s="6" t="s">
        <v>132</v>
      </c>
      <c r="J248" s="6" t="s">
        <v>94</v>
      </c>
      <c r="K248" s="6" t="s">
        <v>476</v>
      </c>
    </row>
    <row r="249" spans="1:11" ht="30" customHeight="1" x14ac:dyDescent="0.25">
      <c r="A249" s="5" t="s">
        <v>61</v>
      </c>
      <c r="B249" s="5" t="s">
        <v>303</v>
      </c>
      <c r="C249" s="6" t="s">
        <v>304</v>
      </c>
      <c r="D249" s="5">
        <v>46</v>
      </c>
      <c r="E249" s="5"/>
      <c r="F249" s="7">
        <v>95</v>
      </c>
      <c r="G249" s="5"/>
      <c r="H249" s="6" t="s">
        <v>145</v>
      </c>
      <c r="I249" s="6" t="s">
        <v>122</v>
      </c>
      <c r="J249" s="6" t="s">
        <v>94</v>
      </c>
      <c r="K249" s="6" t="s">
        <v>477</v>
      </c>
    </row>
    <row r="250" spans="1:11" ht="30" customHeight="1" x14ac:dyDescent="0.25">
      <c r="A250" s="5" t="s">
        <v>61</v>
      </c>
      <c r="B250" s="5" t="s">
        <v>303</v>
      </c>
      <c r="C250" s="6" t="s">
        <v>304</v>
      </c>
      <c r="D250" s="5">
        <v>65</v>
      </c>
      <c r="E250" s="5"/>
      <c r="F250" s="7">
        <v>865</v>
      </c>
      <c r="G250" s="5"/>
      <c r="H250" s="6" t="s">
        <v>201</v>
      </c>
      <c r="I250" s="6" t="s">
        <v>135</v>
      </c>
      <c r="J250" s="6" t="s">
        <v>94</v>
      </c>
      <c r="K250" s="6" t="s">
        <v>478</v>
      </c>
    </row>
    <row r="251" spans="1:11" ht="45" customHeight="1" x14ac:dyDescent="0.25">
      <c r="A251" s="5" t="s">
        <v>61</v>
      </c>
      <c r="B251" s="5" t="s">
        <v>303</v>
      </c>
      <c r="C251" s="6" t="s">
        <v>304</v>
      </c>
      <c r="D251" s="5">
        <v>69</v>
      </c>
      <c r="E251" s="5"/>
      <c r="F251" s="7">
        <v>120</v>
      </c>
      <c r="G251" s="5"/>
      <c r="H251" s="6" t="s">
        <v>216</v>
      </c>
      <c r="I251" s="6" t="s">
        <v>200</v>
      </c>
      <c r="J251" s="6" t="s">
        <v>94</v>
      </c>
      <c r="K251" s="6" t="s">
        <v>479</v>
      </c>
    </row>
    <row r="252" spans="1:11" ht="30" customHeight="1" x14ac:dyDescent="0.25">
      <c r="A252" s="5" t="s">
        <v>61</v>
      </c>
      <c r="B252" s="5" t="s">
        <v>303</v>
      </c>
      <c r="C252" s="6" t="s">
        <v>304</v>
      </c>
      <c r="D252" s="5">
        <v>97</v>
      </c>
      <c r="E252" s="5"/>
      <c r="F252" s="7">
        <v>10</v>
      </c>
      <c r="G252" s="5"/>
      <c r="H252" s="6" t="s">
        <v>208</v>
      </c>
      <c r="I252" s="6" t="s">
        <v>137</v>
      </c>
      <c r="J252" s="6" t="s">
        <v>94</v>
      </c>
      <c r="K252" s="6" t="s">
        <v>480</v>
      </c>
    </row>
    <row r="253" spans="1:11" ht="30" customHeight="1" x14ac:dyDescent="0.25">
      <c r="A253" s="5" t="s">
        <v>61</v>
      </c>
      <c r="B253" s="5" t="s">
        <v>303</v>
      </c>
      <c r="C253" s="6" t="s">
        <v>304</v>
      </c>
      <c r="D253" s="5">
        <v>98</v>
      </c>
      <c r="E253" s="5"/>
      <c r="F253" s="7">
        <v>500</v>
      </c>
      <c r="G253" s="5"/>
      <c r="H253" s="6" t="s">
        <v>208</v>
      </c>
      <c r="I253" s="6" t="s">
        <v>200</v>
      </c>
      <c r="J253" s="6" t="s">
        <v>94</v>
      </c>
      <c r="K253" s="6" t="s">
        <v>480</v>
      </c>
    </row>
    <row r="254" spans="1:11" ht="30" customHeight="1" x14ac:dyDescent="0.25">
      <c r="A254" s="5" t="s">
        <v>61</v>
      </c>
      <c r="B254" s="5" t="s">
        <v>303</v>
      </c>
      <c r="C254" s="6" t="s">
        <v>304</v>
      </c>
      <c r="D254" s="5">
        <v>99</v>
      </c>
      <c r="E254" s="5"/>
      <c r="F254" s="7">
        <v>30</v>
      </c>
      <c r="G254" s="5"/>
      <c r="H254" s="6" t="s">
        <v>208</v>
      </c>
      <c r="I254" s="6" t="s">
        <v>197</v>
      </c>
      <c r="J254" s="6" t="s">
        <v>94</v>
      </c>
      <c r="K254" s="6" t="s">
        <v>480</v>
      </c>
    </row>
    <row r="255" spans="1:11" ht="30" customHeight="1" x14ac:dyDescent="0.25">
      <c r="A255" s="5" t="s">
        <v>61</v>
      </c>
      <c r="B255" s="5" t="s">
        <v>303</v>
      </c>
      <c r="C255" s="6" t="s">
        <v>304</v>
      </c>
      <c r="D255" s="5">
        <v>100</v>
      </c>
      <c r="E255" s="5"/>
      <c r="F255" s="7">
        <v>100</v>
      </c>
      <c r="G255" s="5"/>
      <c r="H255" s="6" t="s">
        <v>219</v>
      </c>
      <c r="I255" s="6" t="s">
        <v>135</v>
      </c>
      <c r="J255" s="6" t="s">
        <v>94</v>
      </c>
      <c r="K255" s="6" t="s">
        <v>480</v>
      </c>
    </row>
    <row r="256" spans="1:11" ht="30" customHeight="1" x14ac:dyDescent="0.25">
      <c r="A256" s="5" t="s">
        <v>61</v>
      </c>
      <c r="B256" s="5" t="s">
        <v>303</v>
      </c>
      <c r="C256" s="6" t="s">
        <v>304</v>
      </c>
      <c r="D256" s="5">
        <v>102</v>
      </c>
      <c r="E256" s="5"/>
      <c r="F256" s="7">
        <v>200</v>
      </c>
      <c r="G256" s="5"/>
      <c r="H256" s="6" t="s">
        <v>219</v>
      </c>
      <c r="I256" s="6" t="s">
        <v>200</v>
      </c>
      <c r="J256" s="6" t="s">
        <v>94</v>
      </c>
      <c r="K256" s="6" t="s">
        <v>480</v>
      </c>
    </row>
    <row r="257" spans="1:11" ht="30" customHeight="1" x14ac:dyDescent="0.25">
      <c r="A257" s="5" t="s">
        <v>61</v>
      </c>
      <c r="B257" s="5" t="s">
        <v>303</v>
      </c>
      <c r="C257" s="6" t="s">
        <v>304</v>
      </c>
      <c r="D257" s="5">
        <v>103</v>
      </c>
      <c r="E257" s="5"/>
      <c r="F257" s="7">
        <v>100</v>
      </c>
      <c r="G257" s="5"/>
      <c r="H257" s="6" t="s">
        <v>219</v>
      </c>
      <c r="I257" s="6" t="s">
        <v>197</v>
      </c>
      <c r="J257" s="6" t="s">
        <v>94</v>
      </c>
      <c r="K257" s="6" t="s">
        <v>480</v>
      </c>
    </row>
    <row r="258" spans="1:11" ht="30" customHeight="1" x14ac:dyDescent="0.25">
      <c r="A258" s="5" t="s">
        <v>61</v>
      </c>
      <c r="B258" s="5" t="s">
        <v>303</v>
      </c>
      <c r="C258" s="6" t="s">
        <v>304</v>
      </c>
      <c r="D258" s="5">
        <v>104</v>
      </c>
      <c r="E258" s="5"/>
      <c r="F258" s="7">
        <v>100</v>
      </c>
      <c r="G258" s="5"/>
      <c r="H258" s="6" t="s">
        <v>198</v>
      </c>
      <c r="I258" s="6" t="s">
        <v>135</v>
      </c>
      <c r="J258" s="6" t="s">
        <v>94</v>
      </c>
      <c r="K258" s="6" t="s">
        <v>481</v>
      </c>
    </row>
    <row r="259" spans="1:11" ht="30" customHeight="1" x14ac:dyDescent="0.25">
      <c r="A259" s="5" t="s">
        <v>61</v>
      </c>
      <c r="B259" s="5" t="s">
        <v>303</v>
      </c>
      <c r="C259" s="6" t="s">
        <v>304</v>
      </c>
      <c r="D259" s="5">
        <v>121</v>
      </c>
      <c r="E259" s="5"/>
      <c r="F259" s="7">
        <v>5</v>
      </c>
      <c r="G259" s="5"/>
      <c r="H259" s="6" t="s">
        <v>148</v>
      </c>
      <c r="I259" s="6" t="s">
        <v>149</v>
      </c>
      <c r="J259" s="6" t="s">
        <v>94</v>
      </c>
      <c r="K259" s="6" t="s">
        <v>482</v>
      </c>
    </row>
    <row r="260" spans="1:11" ht="30" customHeight="1" x14ac:dyDescent="0.25">
      <c r="A260" s="5" t="s">
        <v>61</v>
      </c>
      <c r="B260" s="5" t="s">
        <v>303</v>
      </c>
      <c r="C260" s="6" t="s">
        <v>304</v>
      </c>
      <c r="D260" s="5">
        <v>122</v>
      </c>
      <c r="E260" s="5"/>
      <c r="F260" s="7">
        <v>20</v>
      </c>
      <c r="G260" s="5"/>
      <c r="H260" s="6" t="s">
        <v>148</v>
      </c>
      <c r="I260" s="6" t="s">
        <v>151</v>
      </c>
      <c r="J260" s="6" t="s">
        <v>94</v>
      </c>
      <c r="K260" s="6" t="s">
        <v>483</v>
      </c>
    </row>
    <row r="261" spans="1:11" ht="30" customHeight="1" x14ac:dyDescent="0.25">
      <c r="A261" s="5" t="s">
        <v>61</v>
      </c>
      <c r="B261" s="5" t="s">
        <v>303</v>
      </c>
      <c r="C261" s="6" t="s">
        <v>304</v>
      </c>
      <c r="D261" s="5">
        <v>124</v>
      </c>
      <c r="E261" s="5"/>
      <c r="F261" s="7">
        <v>4</v>
      </c>
      <c r="G261" s="5"/>
      <c r="H261" s="6" t="s">
        <v>223</v>
      </c>
      <c r="I261" s="6" t="s">
        <v>149</v>
      </c>
      <c r="J261" s="6" t="s">
        <v>94</v>
      </c>
      <c r="K261" s="6" t="s">
        <v>484</v>
      </c>
    </row>
    <row r="262" spans="1:11" ht="30" customHeight="1" x14ac:dyDescent="0.25">
      <c r="A262" s="5" t="s">
        <v>61</v>
      </c>
      <c r="B262" s="5" t="s">
        <v>303</v>
      </c>
      <c r="C262" s="6" t="s">
        <v>304</v>
      </c>
      <c r="D262" s="5">
        <v>125</v>
      </c>
      <c r="E262" s="5"/>
      <c r="F262" s="7">
        <v>4</v>
      </c>
      <c r="G262" s="5"/>
      <c r="H262" s="6" t="s">
        <v>223</v>
      </c>
      <c r="I262" s="6" t="s">
        <v>224</v>
      </c>
      <c r="J262" s="6" t="s">
        <v>94</v>
      </c>
      <c r="K262" s="6" t="s">
        <v>484</v>
      </c>
    </row>
    <row r="263" spans="1:11" ht="30" customHeight="1" x14ac:dyDescent="0.25">
      <c r="A263" s="5" t="s">
        <v>61</v>
      </c>
      <c r="B263" s="5" t="s">
        <v>303</v>
      </c>
      <c r="C263" s="6" t="s">
        <v>304</v>
      </c>
      <c r="D263" s="5">
        <v>128</v>
      </c>
      <c r="E263" s="5"/>
      <c r="F263" s="7">
        <v>8</v>
      </c>
      <c r="G263" s="5"/>
      <c r="H263" s="6" t="s">
        <v>191</v>
      </c>
      <c r="I263" s="6" t="s">
        <v>190</v>
      </c>
      <c r="J263" s="6" t="s">
        <v>94</v>
      </c>
      <c r="K263" s="6" t="s">
        <v>485</v>
      </c>
    </row>
    <row r="264" spans="1:11" ht="30" customHeight="1" x14ac:dyDescent="0.25">
      <c r="A264" s="5" t="s">
        <v>61</v>
      </c>
      <c r="B264" s="5" t="s">
        <v>303</v>
      </c>
      <c r="C264" s="6" t="s">
        <v>304</v>
      </c>
      <c r="D264" s="5">
        <v>129</v>
      </c>
      <c r="E264" s="5"/>
      <c r="F264" s="7">
        <v>8</v>
      </c>
      <c r="G264" s="5"/>
      <c r="H264" s="6" t="s">
        <v>189</v>
      </c>
      <c r="I264" s="6" t="s">
        <v>190</v>
      </c>
      <c r="J264" s="6" t="s">
        <v>94</v>
      </c>
      <c r="K264" s="6" t="s">
        <v>485</v>
      </c>
    </row>
    <row r="265" spans="1:11" ht="30" customHeight="1" x14ac:dyDescent="0.25">
      <c r="A265" s="5" t="s">
        <v>61</v>
      </c>
      <c r="B265" s="5" t="s">
        <v>303</v>
      </c>
      <c r="C265" s="6" t="s">
        <v>304</v>
      </c>
      <c r="D265" s="5">
        <v>130</v>
      </c>
      <c r="E265" s="5"/>
      <c r="F265" s="7">
        <v>5</v>
      </c>
      <c r="G265" s="5"/>
      <c r="H265" s="6" t="s">
        <v>192</v>
      </c>
      <c r="I265" s="6" t="s">
        <v>190</v>
      </c>
      <c r="J265" s="6" t="s">
        <v>94</v>
      </c>
      <c r="K265" s="6" t="s">
        <v>486</v>
      </c>
    </row>
    <row r="266" spans="1:11" ht="30" customHeight="1" x14ac:dyDescent="0.25">
      <c r="A266" s="5" t="s">
        <v>61</v>
      </c>
      <c r="B266" s="5" t="s">
        <v>303</v>
      </c>
      <c r="C266" s="6" t="s">
        <v>304</v>
      </c>
      <c r="D266" s="5">
        <v>131</v>
      </c>
      <c r="E266" s="5"/>
      <c r="F266" s="7">
        <v>10</v>
      </c>
      <c r="G266" s="5"/>
      <c r="H266" s="6" t="s">
        <v>188</v>
      </c>
      <c r="I266" s="6" t="s">
        <v>187</v>
      </c>
      <c r="J266" s="6" t="s">
        <v>94</v>
      </c>
      <c r="K266" s="6" t="s">
        <v>487</v>
      </c>
    </row>
    <row r="267" spans="1:11" ht="30" customHeight="1" x14ac:dyDescent="0.25">
      <c r="A267" s="5" t="s">
        <v>61</v>
      </c>
      <c r="B267" s="5" t="s">
        <v>303</v>
      </c>
      <c r="C267" s="6" t="s">
        <v>304</v>
      </c>
      <c r="D267" s="5">
        <v>132</v>
      </c>
      <c r="E267" s="5"/>
      <c r="F267" s="7">
        <v>3</v>
      </c>
      <c r="G267" s="5"/>
      <c r="H267" s="6" t="s">
        <v>186</v>
      </c>
      <c r="I267" s="6" t="s">
        <v>187</v>
      </c>
      <c r="J267" s="6" t="s">
        <v>94</v>
      </c>
      <c r="K267" s="6" t="s">
        <v>488</v>
      </c>
    </row>
    <row r="268" spans="1:11" ht="30" customHeight="1" x14ac:dyDescent="0.25">
      <c r="A268" s="5" t="s">
        <v>61</v>
      </c>
      <c r="B268" s="5" t="s">
        <v>303</v>
      </c>
      <c r="C268" s="6" t="s">
        <v>368</v>
      </c>
      <c r="D268" s="5">
        <v>18</v>
      </c>
      <c r="E268" s="5"/>
      <c r="F268" s="7">
        <v>13</v>
      </c>
      <c r="G268" s="5"/>
      <c r="H268" s="6" t="s">
        <v>107</v>
      </c>
      <c r="I268" s="6" t="s">
        <v>108</v>
      </c>
      <c r="J268" s="6" t="s">
        <v>94</v>
      </c>
      <c r="K268" s="6" t="s">
        <v>489</v>
      </c>
    </row>
    <row r="269" spans="1:11" ht="30" customHeight="1" x14ac:dyDescent="0.25">
      <c r="A269" s="5" t="s">
        <v>61</v>
      </c>
      <c r="B269" s="5" t="s">
        <v>303</v>
      </c>
      <c r="C269" s="6" t="s">
        <v>374</v>
      </c>
      <c r="D269" s="5">
        <v>2</v>
      </c>
      <c r="E269" s="5"/>
      <c r="F269" s="7">
        <v>24</v>
      </c>
      <c r="G269" s="5"/>
      <c r="H269" s="6" t="s">
        <v>244</v>
      </c>
      <c r="I269" s="6" t="s">
        <v>245</v>
      </c>
      <c r="J269" s="6"/>
      <c r="K269" s="6" t="s">
        <v>490</v>
      </c>
    </row>
    <row r="270" spans="1:11" x14ac:dyDescent="0.25">
      <c r="A270" s="53" t="s">
        <v>491</v>
      </c>
      <c r="B270" s="54"/>
      <c r="C270" s="54"/>
      <c r="D270" s="54"/>
      <c r="E270" s="54"/>
      <c r="F270" s="54"/>
      <c r="G270" s="54"/>
      <c r="H270" s="54"/>
      <c r="I270" s="54"/>
      <c r="J270" s="54"/>
      <c r="K270" s="55"/>
    </row>
    <row r="272" spans="1:11" x14ac:dyDescent="0.25">
      <c r="A272" s="56" t="s">
        <v>492</v>
      </c>
      <c r="B272" s="54"/>
      <c r="C272" s="54"/>
      <c r="D272" s="54"/>
      <c r="E272" s="54"/>
      <c r="F272" s="54"/>
      <c r="G272" s="54"/>
      <c r="H272" s="54"/>
      <c r="I272" s="54"/>
      <c r="J272" s="54"/>
      <c r="K272" s="55"/>
    </row>
    <row r="273" spans="1:11" ht="30" customHeight="1" x14ac:dyDescent="0.25">
      <c r="A273" s="5" t="s">
        <v>493</v>
      </c>
      <c r="B273" s="5" t="s">
        <v>384</v>
      </c>
      <c r="C273" s="6" t="s">
        <v>304</v>
      </c>
      <c r="D273" s="5">
        <v>1</v>
      </c>
      <c r="E273" s="5"/>
      <c r="F273" s="7">
        <v>3773</v>
      </c>
      <c r="G273" s="5"/>
      <c r="H273" s="6" t="s">
        <v>142</v>
      </c>
      <c r="I273" s="6" t="s">
        <v>131</v>
      </c>
      <c r="J273" s="6" t="s">
        <v>94</v>
      </c>
      <c r="K273" s="6" t="s">
        <v>494</v>
      </c>
    </row>
    <row r="274" spans="1:11" ht="30" customHeight="1" x14ac:dyDescent="0.25">
      <c r="A274" s="5" t="s">
        <v>493</v>
      </c>
      <c r="B274" s="5" t="s">
        <v>384</v>
      </c>
      <c r="C274" s="6" t="s">
        <v>304</v>
      </c>
      <c r="D274" s="5">
        <v>2</v>
      </c>
      <c r="E274" s="5"/>
      <c r="F274" s="7">
        <v>775</v>
      </c>
      <c r="G274" s="5"/>
      <c r="H274" s="6" t="s">
        <v>142</v>
      </c>
      <c r="I274" s="6" t="s">
        <v>132</v>
      </c>
      <c r="J274" s="6" t="s">
        <v>94</v>
      </c>
      <c r="K274" s="6" t="s">
        <v>494</v>
      </c>
    </row>
    <row r="275" spans="1:11" ht="30" customHeight="1" x14ac:dyDescent="0.25">
      <c r="A275" s="5" t="s">
        <v>493</v>
      </c>
      <c r="B275" s="5" t="s">
        <v>384</v>
      </c>
      <c r="C275" s="6" t="s">
        <v>304</v>
      </c>
      <c r="D275" s="5">
        <v>3</v>
      </c>
      <c r="E275" s="5"/>
      <c r="F275" s="7">
        <v>10</v>
      </c>
      <c r="G275" s="5"/>
      <c r="H275" s="6" t="s">
        <v>142</v>
      </c>
      <c r="I275" s="6" t="s">
        <v>134</v>
      </c>
      <c r="J275" s="6" t="s">
        <v>94</v>
      </c>
      <c r="K275" s="6" t="s">
        <v>494</v>
      </c>
    </row>
    <row r="276" spans="1:11" ht="30" customHeight="1" x14ac:dyDescent="0.25">
      <c r="A276" s="5" t="s">
        <v>493</v>
      </c>
      <c r="B276" s="5" t="s">
        <v>384</v>
      </c>
      <c r="C276" s="6" t="s">
        <v>304</v>
      </c>
      <c r="D276" s="5">
        <v>4</v>
      </c>
      <c r="E276" s="5"/>
      <c r="F276" s="7">
        <v>13</v>
      </c>
      <c r="G276" s="5"/>
      <c r="H276" s="6" t="s">
        <v>142</v>
      </c>
      <c r="I276" s="6" t="s">
        <v>135</v>
      </c>
      <c r="J276" s="6" t="s">
        <v>94</v>
      </c>
      <c r="K276" s="6" t="s">
        <v>495</v>
      </c>
    </row>
    <row r="277" spans="1:11" ht="30" customHeight="1" x14ac:dyDescent="0.25">
      <c r="A277" s="5" t="s">
        <v>493</v>
      </c>
      <c r="B277" s="5" t="s">
        <v>384</v>
      </c>
      <c r="C277" s="6" t="s">
        <v>304</v>
      </c>
      <c r="D277" s="5">
        <v>5</v>
      </c>
      <c r="E277" s="5"/>
      <c r="F277" s="7">
        <v>10</v>
      </c>
      <c r="G277" s="5"/>
      <c r="H277" s="6" t="s">
        <v>142</v>
      </c>
      <c r="I277" s="6" t="s">
        <v>136</v>
      </c>
      <c r="J277" s="6" t="s">
        <v>94</v>
      </c>
      <c r="K277" s="6" t="s">
        <v>494</v>
      </c>
    </row>
    <row r="278" spans="1:11" ht="30" customHeight="1" x14ac:dyDescent="0.25">
      <c r="A278" s="5" t="s">
        <v>493</v>
      </c>
      <c r="B278" s="5" t="s">
        <v>384</v>
      </c>
      <c r="C278" s="6" t="s">
        <v>304</v>
      </c>
      <c r="D278" s="5">
        <v>6</v>
      </c>
      <c r="E278" s="5"/>
      <c r="F278" s="7">
        <v>5</v>
      </c>
      <c r="G278" s="5"/>
      <c r="H278" s="6" t="s">
        <v>142</v>
      </c>
      <c r="I278" s="6" t="s">
        <v>137</v>
      </c>
      <c r="J278" s="6" t="s">
        <v>94</v>
      </c>
      <c r="K278" s="6" t="s">
        <v>494</v>
      </c>
    </row>
    <row r="279" spans="1:11" ht="30" customHeight="1" x14ac:dyDescent="0.25">
      <c r="A279" s="5" t="s">
        <v>493</v>
      </c>
      <c r="B279" s="5" t="s">
        <v>384</v>
      </c>
      <c r="C279" s="6" t="s">
        <v>304</v>
      </c>
      <c r="D279" s="5">
        <v>7</v>
      </c>
      <c r="E279" s="5"/>
      <c r="F279" s="7">
        <v>5</v>
      </c>
      <c r="G279" s="5"/>
      <c r="H279" s="6" t="s">
        <v>138</v>
      </c>
      <c r="I279" s="6" t="s">
        <v>125</v>
      </c>
      <c r="J279" s="6" t="s">
        <v>94</v>
      </c>
      <c r="K279" s="6" t="s">
        <v>494</v>
      </c>
    </row>
    <row r="280" spans="1:11" ht="30" customHeight="1" x14ac:dyDescent="0.25">
      <c r="A280" s="5" t="s">
        <v>493</v>
      </c>
      <c r="B280" s="5" t="s">
        <v>384</v>
      </c>
      <c r="C280" s="6" t="s">
        <v>304</v>
      </c>
      <c r="D280" s="5">
        <v>8</v>
      </c>
      <c r="E280" s="5"/>
      <c r="F280" s="7">
        <v>98</v>
      </c>
      <c r="G280" s="5"/>
      <c r="H280" s="6" t="s">
        <v>139</v>
      </c>
      <c r="I280" s="6" t="s">
        <v>131</v>
      </c>
      <c r="J280" s="6" t="s">
        <v>94</v>
      </c>
      <c r="K280" s="6" t="s">
        <v>494</v>
      </c>
    </row>
    <row r="281" spans="1:11" ht="30" customHeight="1" x14ac:dyDescent="0.25">
      <c r="A281" s="5" t="s">
        <v>493</v>
      </c>
      <c r="B281" s="5" t="s">
        <v>384</v>
      </c>
      <c r="C281" s="6" t="s">
        <v>304</v>
      </c>
      <c r="D281" s="5">
        <v>9</v>
      </c>
      <c r="E281" s="5"/>
      <c r="F281" s="7">
        <v>1458</v>
      </c>
      <c r="G281" s="5"/>
      <c r="H281" s="6" t="s">
        <v>140</v>
      </c>
      <c r="I281" s="6" t="s">
        <v>141</v>
      </c>
      <c r="J281" s="6" t="s">
        <v>94</v>
      </c>
      <c r="K281" s="6" t="s">
        <v>494</v>
      </c>
    </row>
    <row r="282" spans="1:11" ht="30" customHeight="1" x14ac:dyDescent="0.25">
      <c r="A282" s="5" t="s">
        <v>493</v>
      </c>
      <c r="B282" s="5" t="s">
        <v>384</v>
      </c>
      <c r="C282" s="6" t="s">
        <v>304</v>
      </c>
      <c r="D282" s="5">
        <v>10</v>
      </c>
      <c r="E282" s="5"/>
      <c r="F282" s="7">
        <v>183</v>
      </c>
      <c r="G282" s="5"/>
      <c r="H282" s="6" t="s">
        <v>143</v>
      </c>
      <c r="I282" s="6" t="s">
        <v>141</v>
      </c>
      <c r="J282" s="6" t="s">
        <v>94</v>
      </c>
      <c r="K282" s="6" t="s">
        <v>494</v>
      </c>
    </row>
    <row r="283" spans="1:11" ht="30" customHeight="1" x14ac:dyDescent="0.25">
      <c r="A283" s="5" t="s">
        <v>493</v>
      </c>
      <c r="B283" s="5" t="s">
        <v>384</v>
      </c>
      <c r="C283" s="6" t="s">
        <v>304</v>
      </c>
      <c r="D283" s="5">
        <v>11</v>
      </c>
      <c r="E283" s="5"/>
      <c r="F283" s="7">
        <v>523</v>
      </c>
      <c r="G283" s="5"/>
      <c r="H283" s="6" t="s">
        <v>133</v>
      </c>
      <c r="I283" s="6" t="s">
        <v>131</v>
      </c>
      <c r="J283" s="6" t="s">
        <v>94</v>
      </c>
      <c r="K283" s="6" t="s">
        <v>494</v>
      </c>
    </row>
    <row r="284" spans="1:11" ht="30" customHeight="1" x14ac:dyDescent="0.25">
      <c r="A284" s="5" t="s">
        <v>493</v>
      </c>
      <c r="B284" s="5" t="s">
        <v>384</v>
      </c>
      <c r="C284" s="6" t="s">
        <v>304</v>
      </c>
      <c r="D284" s="5">
        <v>12</v>
      </c>
      <c r="E284" s="5"/>
      <c r="F284" s="7">
        <v>110</v>
      </c>
      <c r="G284" s="5"/>
      <c r="H284" s="6" t="s">
        <v>133</v>
      </c>
      <c r="I284" s="6" t="s">
        <v>132</v>
      </c>
      <c r="J284" s="6" t="s">
        <v>94</v>
      </c>
      <c r="K284" s="6" t="s">
        <v>494</v>
      </c>
    </row>
    <row r="285" spans="1:11" ht="30" customHeight="1" x14ac:dyDescent="0.25">
      <c r="A285" s="5" t="s">
        <v>493</v>
      </c>
      <c r="B285" s="5" t="s">
        <v>384</v>
      </c>
      <c r="C285" s="6" t="s">
        <v>304</v>
      </c>
      <c r="D285" s="5">
        <v>13</v>
      </c>
      <c r="E285" s="5"/>
      <c r="F285" s="7">
        <v>2</v>
      </c>
      <c r="G285" s="5"/>
      <c r="H285" s="6" t="s">
        <v>133</v>
      </c>
      <c r="I285" s="6" t="s">
        <v>134</v>
      </c>
      <c r="J285" s="6" t="s">
        <v>94</v>
      </c>
      <c r="K285" s="6" t="s">
        <v>496</v>
      </c>
    </row>
    <row r="286" spans="1:11" ht="30" customHeight="1" x14ac:dyDescent="0.25">
      <c r="A286" s="5" t="s">
        <v>493</v>
      </c>
      <c r="B286" s="5" t="s">
        <v>384</v>
      </c>
      <c r="C286" s="6" t="s">
        <v>304</v>
      </c>
      <c r="D286" s="5">
        <v>14</v>
      </c>
      <c r="E286" s="5"/>
      <c r="F286" s="7">
        <v>5</v>
      </c>
      <c r="G286" s="5"/>
      <c r="H286" s="6" t="s">
        <v>133</v>
      </c>
      <c r="I286" s="6" t="s">
        <v>135</v>
      </c>
      <c r="J286" s="6" t="s">
        <v>94</v>
      </c>
      <c r="K286" s="6" t="s">
        <v>496</v>
      </c>
    </row>
    <row r="287" spans="1:11" ht="30" customHeight="1" x14ac:dyDescent="0.25">
      <c r="A287" s="5" t="s">
        <v>493</v>
      </c>
      <c r="B287" s="5" t="s">
        <v>384</v>
      </c>
      <c r="C287" s="6" t="s">
        <v>304</v>
      </c>
      <c r="D287" s="5">
        <v>15</v>
      </c>
      <c r="E287" s="5"/>
      <c r="F287" s="7">
        <v>5</v>
      </c>
      <c r="G287" s="5"/>
      <c r="H287" s="6" t="s">
        <v>133</v>
      </c>
      <c r="I287" s="6" t="s">
        <v>136</v>
      </c>
      <c r="J287" s="6" t="s">
        <v>94</v>
      </c>
      <c r="K287" s="6" t="s">
        <v>496</v>
      </c>
    </row>
    <row r="288" spans="1:11" ht="30" customHeight="1" x14ac:dyDescent="0.25">
      <c r="A288" s="5" t="s">
        <v>493</v>
      </c>
      <c r="B288" s="5" t="s">
        <v>384</v>
      </c>
      <c r="C288" s="6" t="s">
        <v>304</v>
      </c>
      <c r="D288" s="5">
        <v>16</v>
      </c>
      <c r="E288" s="5"/>
      <c r="F288" s="7">
        <v>2</v>
      </c>
      <c r="G288" s="5"/>
      <c r="H288" s="6" t="s">
        <v>133</v>
      </c>
      <c r="I288" s="6" t="s">
        <v>137</v>
      </c>
      <c r="J288" s="6" t="s">
        <v>94</v>
      </c>
      <c r="K288" s="6" t="s">
        <v>496</v>
      </c>
    </row>
    <row r="289" spans="1:11" ht="45" customHeight="1" x14ac:dyDescent="0.25">
      <c r="A289" s="5" t="s">
        <v>493</v>
      </c>
      <c r="B289" s="5" t="s">
        <v>384</v>
      </c>
      <c r="C289" s="6" t="s">
        <v>304</v>
      </c>
      <c r="D289" s="5">
        <v>17</v>
      </c>
      <c r="E289" s="5"/>
      <c r="F289" s="7">
        <v>530</v>
      </c>
      <c r="G289" s="5"/>
      <c r="H289" s="6" t="s">
        <v>153</v>
      </c>
      <c r="I289" s="6" t="s">
        <v>154</v>
      </c>
      <c r="J289" s="6" t="s">
        <v>94</v>
      </c>
      <c r="K289" s="6" t="s">
        <v>497</v>
      </c>
    </row>
    <row r="290" spans="1:11" ht="45" customHeight="1" x14ac:dyDescent="0.25">
      <c r="A290" s="5" t="s">
        <v>493</v>
      </c>
      <c r="B290" s="5" t="s">
        <v>384</v>
      </c>
      <c r="C290" s="6" t="s">
        <v>304</v>
      </c>
      <c r="D290" s="5">
        <v>18</v>
      </c>
      <c r="E290" s="5"/>
      <c r="F290" s="7">
        <v>125</v>
      </c>
      <c r="G290" s="5"/>
      <c r="H290" s="6" t="s">
        <v>153</v>
      </c>
      <c r="I290" s="6" t="s">
        <v>155</v>
      </c>
      <c r="J290" s="6" t="s">
        <v>94</v>
      </c>
      <c r="K290" s="6" t="s">
        <v>497</v>
      </c>
    </row>
    <row r="291" spans="1:11" ht="30" customHeight="1" x14ac:dyDescent="0.25">
      <c r="A291" s="5" t="s">
        <v>493</v>
      </c>
      <c r="B291" s="5" t="s">
        <v>384</v>
      </c>
      <c r="C291" s="6" t="s">
        <v>304</v>
      </c>
      <c r="D291" s="5">
        <v>19</v>
      </c>
      <c r="E291" s="5"/>
      <c r="F291" s="7">
        <v>2</v>
      </c>
      <c r="G291" s="5"/>
      <c r="H291" s="6" t="s">
        <v>153</v>
      </c>
      <c r="I291" s="6" t="s">
        <v>156</v>
      </c>
      <c r="J291" s="6" t="s">
        <v>94</v>
      </c>
      <c r="K291" s="6" t="s">
        <v>498</v>
      </c>
    </row>
    <row r="292" spans="1:11" ht="45" customHeight="1" x14ac:dyDescent="0.25">
      <c r="A292" s="5" t="s">
        <v>493</v>
      </c>
      <c r="B292" s="5" t="s">
        <v>384</v>
      </c>
      <c r="C292" s="6" t="s">
        <v>304</v>
      </c>
      <c r="D292" s="5">
        <v>20</v>
      </c>
      <c r="E292" s="5"/>
      <c r="F292" s="7">
        <v>10</v>
      </c>
      <c r="G292" s="5"/>
      <c r="H292" s="6" t="s">
        <v>153</v>
      </c>
      <c r="I292" s="6" t="s">
        <v>157</v>
      </c>
      <c r="J292" s="6" t="s">
        <v>94</v>
      </c>
      <c r="K292" s="6" t="s">
        <v>497</v>
      </c>
    </row>
    <row r="293" spans="1:11" ht="30" customHeight="1" x14ac:dyDescent="0.25">
      <c r="A293" s="5" t="s">
        <v>493</v>
      </c>
      <c r="B293" s="5" t="s">
        <v>384</v>
      </c>
      <c r="C293" s="6" t="s">
        <v>304</v>
      </c>
      <c r="D293" s="5">
        <v>21</v>
      </c>
      <c r="E293" s="5"/>
      <c r="F293" s="7">
        <v>3</v>
      </c>
      <c r="G293" s="5"/>
      <c r="H293" s="6" t="s">
        <v>153</v>
      </c>
      <c r="I293" s="6" t="s">
        <v>158</v>
      </c>
      <c r="J293" s="6" t="s">
        <v>94</v>
      </c>
      <c r="K293" s="6" t="s">
        <v>498</v>
      </c>
    </row>
    <row r="294" spans="1:11" ht="30" customHeight="1" x14ac:dyDescent="0.25">
      <c r="A294" s="5" t="s">
        <v>493</v>
      </c>
      <c r="B294" s="5" t="s">
        <v>384</v>
      </c>
      <c r="C294" s="6" t="s">
        <v>304</v>
      </c>
      <c r="D294" s="5">
        <v>22</v>
      </c>
      <c r="E294" s="5"/>
      <c r="F294" s="7">
        <v>1</v>
      </c>
      <c r="G294" s="5"/>
      <c r="H294" s="6" t="s">
        <v>153</v>
      </c>
      <c r="I294" s="6" t="s">
        <v>159</v>
      </c>
      <c r="J294" s="6" t="s">
        <v>94</v>
      </c>
      <c r="K294" s="6" t="s">
        <v>498</v>
      </c>
    </row>
    <row r="295" spans="1:11" ht="45" customHeight="1" x14ac:dyDescent="0.25">
      <c r="A295" s="5" t="s">
        <v>493</v>
      </c>
      <c r="B295" s="5" t="s">
        <v>384</v>
      </c>
      <c r="C295" s="6" t="s">
        <v>304</v>
      </c>
      <c r="D295" s="5">
        <v>23</v>
      </c>
      <c r="E295" s="5"/>
      <c r="F295" s="7">
        <v>268</v>
      </c>
      <c r="G295" s="5"/>
      <c r="H295" s="6" t="s">
        <v>161</v>
      </c>
      <c r="I295" s="6" t="s">
        <v>125</v>
      </c>
      <c r="J295" s="6" t="s">
        <v>94</v>
      </c>
      <c r="K295" s="6" t="s">
        <v>499</v>
      </c>
    </row>
    <row r="296" spans="1:11" ht="30" customHeight="1" x14ac:dyDescent="0.25">
      <c r="A296" s="5" t="s">
        <v>493</v>
      </c>
      <c r="B296" s="5" t="s">
        <v>384</v>
      </c>
      <c r="C296" s="6" t="s">
        <v>304</v>
      </c>
      <c r="D296" s="5">
        <v>25</v>
      </c>
      <c r="E296" s="5"/>
      <c r="F296" s="7">
        <v>18</v>
      </c>
      <c r="G296" s="5"/>
      <c r="H296" s="6" t="s">
        <v>161</v>
      </c>
      <c r="I296" s="6" t="s">
        <v>126</v>
      </c>
      <c r="J296" s="6" t="s">
        <v>94</v>
      </c>
      <c r="K296" s="6" t="s">
        <v>500</v>
      </c>
    </row>
    <row r="297" spans="1:11" ht="45" customHeight="1" x14ac:dyDescent="0.25">
      <c r="A297" s="5" t="s">
        <v>493</v>
      </c>
      <c r="B297" s="5" t="s">
        <v>384</v>
      </c>
      <c r="C297" s="6" t="s">
        <v>304</v>
      </c>
      <c r="D297" s="5">
        <v>26</v>
      </c>
      <c r="E297" s="5"/>
      <c r="F297" s="7">
        <v>75</v>
      </c>
      <c r="G297" s="5"/>
      <c r="H297" s="6" t="s">
        <v>161</v>
      </c>
      <c r="I297" s="6" t="s">
        <v>129</v>
      </c>
      <c r="J297" s="6" t="s">
        <v>94</v>
      </c>
      <c r="K297" s="6" t="s">
        <v>501</v>
      </c>
    </row>
    <row r="298" spans="1:11" ht="30" customHeight="1" x14ac:dyDescent="0.25">
      <c r="A298" s="5" t="s">
        <v>493</v>
      </c>
      <c r="B298" s="5" t="s">
        <v>384</v>
      </c>
      <c r="C298" s="6" t="s">
        <v>304</v>
      </c>
      <c r="D298" s="5">
        <v>27</v>
      </c>
      <c r="E298" s="5"/>
      <c r="F298" s="7">
        <v>65</v>
      </c>
      <c r="G298" s="5"/>
      <c r="H298" s="6" t="s">
        <v>152</v>
      </c>
      <c r="I298" s="6" t="s">
        <v>141</v>
      </c>
      <c r="J298" s="6" t="s">
        <v>94</v>
      </c>
      <c r="K298" s="6" t="s">
        <v>500</v>
      </c>
    </row>
    <row r="299" spans="1:11" ht="45" customHeight="1" x14ac:dyDescent="0.25">
      <c r="A299" s="5" t="s">
        <v>493</v>
      </c>
      <c r="B299" s="5" t="s">
        <v>384</v>
      </c>
      <c r="C299" s="6" t="s">
        <v>304</v>
      </c>
      <c r="D299" s="5">
        <v>28</v>
      </c>
      <c r="E299" s="5"/>
      <c r="F299" s="7">
        <v>87.5</v>
      </c>
      <c r="G299" s="5"/>
      <c r="H299" s="6" t="s">
        <v>160</v>
      </c>
      <c r="I299" s="6" t="s">
        <v>141</v>
      </c>
      <c r="J299" s="6" t="s">
        <v>94</v>
      </c>
      <c r="K299" s="6" t="s">
        <v>502</v>
      </c>
    </row>
    <row r="300" spans="1:11" ht="30" customHeight="1" x14ac:dyDescent="0.25">
      <c r="A300" s="5" t="s">
        <v>493</v>
      </c>
      <c r="B300" s="5" t="s">
        <v>384</v>
      </c>
      <c r="C300" s="6" t="s">
        <v>304</v>
      </c>
      <c r="D300" s="5">
        <v>30</v>
      </c>
      <c r="E300" s="5"/>
      <c r="F300" s="7">
        <v>150</v>
      </c>
      <c r="G300" s="5"/>
      <c r="H300" s="6" t="s">
        <v>163</v>
      </c>
      <c r="I300" s="6" t="s">
        <v>132</v>
      </c>
      <c r="J300" s="6" t="s">
        <v>94</v>
      </c>
      <c r="K300" s="6" t="s">
        <v>503</v>
      </c>
    </row>
    <row r="301" spans="1:11" ht="45" customHeight="1" x14ac:dyDescent="0.25">
      <c r="A301" s="5" t="s">
        <v>493</v>
      </c>
      <c r="B301" s="5" t="s">
        <v>384</v>
      </c>
      <c r="C301" s="6" t="s">
        <v>304</v>
      </c>
      <c r="D301" s="5">
        <v>32</v>
      </c>
      <c r="E301" s="5"/>
      <c r="F301" s="7">
        <v>242.5</v>
      </c>
      <c r="G301" s="5"/>
      <c r="H301" s="6" t="s">
        <v>124</v>
      </c>
      <c r="I301" s="6" t="s">
        <v>125</v>
      </c>
      <c r="J301" s="6" t="s">
        <v>94</v>
      </c>
      <c r="K301" s="6" t="s">
        <v>504</v>
      </c>
    </row>
    <row r="302" spans="1:11" ht="45" customHeight="1" x14ac:dyDescent="0.25">
      <c r="A302" s="5" t="s">
        <v>493</v>
      </c>
      <c r="B302" s="5" t="s">
        <v>384</v>
      </c>
      <c r="C302" s="6" t="s">
        <v>304</v>
      </c>
      <c r="D302" s="5">
        <v>35</v>
      </c>
      <c r="E302" s="5"/>
      <c r="F302" s="7">
        <v>25</v>
      </c>
      <c r="G302" s="5"/>
      <c r="H302" s="6" t="s">
        <v>127</v>
      </c>
      <c r="I302" s="6" t="s">
        <v>129</v>
      </c>
      <c r="J302" s="6" t="s">
        <v>94</v>
      </c>
      <c r="K302" s="6" t="s">
        <v>504</v>
      </c>
    </row>
    <row r="303" spans="1:11" ht="30" customHeight="1" x14ac:dyDescent="0.25">
      <c r="A303" s="5" t="s">
        <v>493</v>
      </c>
      <c r="B303" s="5" t="s">
        <v>384</v>
      </c>
      <c r="C303" s="6" t="s">
        <v>304</v>
      </c>
      <c r="D303" s="5">
        <v>37</v>
      </c>
      <c r="E303" s="5"/>
      <c r="F303" s="7">
        <v>102</v>
      </c>
      <c r="G303" s="5"/>
      <c r="H303" s="6" t="s">
        <v>147</v>
      </c>
      <c r="I303" s="6" t="s">
        <v>132</v>
      </c>
      <c r="J303" s="6" t="s">
        <v>94</v>
      </c>
      <c r="K303" s="6" t="s">
        <v>505</v>
      </c>
    </row>
    <row r="304" spans="1:11" ht="30" customHeight="1" x14ac:dyDescent="0.25">
      <c r="A304" s="5" t="s">
        <v>493</v>
      </c>
      <c r="B304" s="5" t="s">
        <v>384</v>
      </c>
      <c r="C304" s="6" t="s">
        <v>304</v>
      </c>
      <c r="D304" s="5">
        <v>39</v>
      </c>
      <c r="E304" s="5"/>
      <c r="F304" s="7">
        <v>1140</v>
      </c>
      <c r="G304" s="5"/>
      <c r="H304" s="6" t="s">
        <v>120</v>
      </c>
      <c r="I304" s="6" t="s">
        <v>121</v>
      </c>
      <c r="J304" s="6" t="s">
        <v>94</v>
      </c>
      <c r="K304" s="6" t="s">
        <v>506</v>
      </c>
    </row>
    <row r="305" spans="1:11" ht="30" customHeight="1" x14ac:dyDescent="0.25">
      <c r="A305" s="5" t="s">
        <v>493</v>
      </c>
      <c r="B305" s="5" t="s">
        <v>384</v>
      </c>
      <c r="C305" s="6" t="s">
        <v>304</v>
      </c>
      <c r="D305" s="5">
        <v>42</v>
      </c>
      <c r="E305" s="5"/>
      <c r="F305" s="7">
        <v>300</v>
      </c>
      <c r="G305" s="5"/>
      <c r="H305" s="6" t="s">
        <v>130</v>
      </c>
      <c r="I305" s="6" t="s">
        <v>131</v>
      </c>
      <c r="J305" s="6" t="s">
        <v>94</v>
      </c>
      <c r="K305" s="6" t="s">
        <v>507</v>
      </c>
    </row>
    <row r="306" spans="1:11" ht="30" customHeight="1" x14ac:dyDescent="0.25">
      <c r="A306" s="5" t="s">
        <v>493</v>
      </c>
      <c r="B306" s="5" t="s">
        <v>384</v>
      </c>
      <c r="C306" s="6" t="s">
        <v>304</v>
      </c>
      <c r="D306" s="5">
        <v>43</v>
      </c>
      <c r="E306" s="5"/>
      <c r="F306" s="7">
        <v>80</v>
      </c>
      <c r="G306" s="5"/>
      <c r="H306" s="6" t="s">
        <v>130</v>
      </c>
      <c r="I306" s="6" t="s">
        <v>132</v>
      </c>
      <c r="J306" s="6" t="s">
        <v>94</v>
      </c>
      <c r="K306" s="6" t="s">
        <v>508</v>
      </c>
    </row>
    <row r="307" spans="1:11" ht="30" customHeight="1" x14ac:dyDescent="0.25">
      <c r="A307" s="5" t="s">
        <v>493</v>
      </c>
      <c r="B307" s="5" t="s">
        <v>384</v>
      </c>
      <c r="C307" s="6" t="s">
        <v>304</v>
      </c>
      <c r="D307" s="5">
        <v>45</v>
      </c>
      <c r="E307" s="5"/>
      <c r="F307" s="7">
        <v>330</v>
      </c>
      <c r="G307" s="5"/>
      <c r="H307" s="6" t="s">
        <v>145</v>
      </c>
      <c r="I307" s="6" t="s">
        <v>121</v>
      </c>
      <c r="J307" s="6" t="s">
        <v>94</v>
      </c>
      <c r="K307" s="6" t="s">
        <v>509</v>
      </c>
    </row>
    <row r="308" spans="1:11" ht="30" customHeight="1" x14ac:dyDescent="0.25">
      <c r="A308" s="5" t="s">
        <v>493</v>
      </c>
      <c r="B308" s="5" t="s">
        <v>384</v>
      </c>
      <c r="C308" s="6" t="s">
        <v>304</v>
      </c>
      <c r="D308" s="5">
        <v>46</v>
      </c>
      <c r="E308" s="5"/>
      <c r="F308" s="7">
        <v>150</v>
      </c>
      <c r="G308" s="5"/>
      <c r="H308" s="6" t="s">
        <v>145</v>
      </c>
      <c r="I308" s="6" t="s">
        <v>122</v>
      </c>
      <c r="J308" s="6" t="s">
        <v>94</v>
      </c>
      <c r="K308" s="6" t="s">
        <v>509</v>
      </c>
    </row>
    <row r="309" spans="1:11" ht="45" customHeight="1" x14ac:dyDescent="0.25">
      <c r="A309" s="5" t="s">
        <v>493</v>
      </c>
      <c r="B309" s="5" t="s">
        <v>384</v>
      </c>
      <c r="C309" s="6" t="s">
        <v>304</v>
      </c>
      <c r="D309" s="5">
        <v>49</v>
      </c>
      <c r="E309" s="5"/>
      <c r="F309" s="7">
        <v>173</v>
      </c>
      <c r="G309" s="5"/>
      <c r="H309" s="6" t="s">
        <v>166</v>
      </c>
      <c r="I309" s="6" t="s">
        <v>167</v>
      </c>
      <c r="J309" s="6" t="s">
        <v>94</v>
      </c>
      <c r="K309" s="6" t="s">
        <v>510</v>
      </c>
    </row>
    <row r="310" spans="1:11" ht="45" customHeight="1" x14ac:dyDescent="0.25">
      <c r="A310" s="5" t="s">
        <v>493</v>
      </c>
      <c r="B310" s="5" t="s">
        <v>384</v>
      </c>
      <c r="C310" s="6" t="s">
        <v>304</v>
      </c>
      <c r="D310" s="5">
        <v>50</v>
      </c>
      <c r="E310" s="5"/>
      <c r="F310" s="7">
        <v>1948</v>
      </c>
      <c r="G310" s="5"/>
      <c r="H310" s="6" t="s">
        <v>168</v>
      </c>
      <c r="I310" s="6" t="s">
        <v>169</v>
      </c>
      <c r="J310" s="6" t="s">
        <v>94</v>
      </c>
      <c r="K310" s="6" t="s">
        <v>511</v>
      </c>
    </row>
    <row r="311" spans="1:11" ht="45" customHeight="1" x14ac:dyDescent="0.25">
      <c r="A311" s="5" t="s">
        <v>493</v>
      </c>
      <c r="B311" s="5" t="s">
        <v>384</v>
      </c>
      <c r="C311" s="6" t="s">
        <v>304</v>
      </c>
      <c r="D311" s="5">
        <v>51</v>
      </c>
      <c r="E311" s="5"/>
      <c r="F311" s="7">
        <v>160</v>
      </c>
      <c r="G311" s="5"/>
      <c r="H311" s="6" t="s">
        <v>170</v>
      </c>
      <c r="I311" s="6" t="s">
        <v>171</v>
      </c>
      <c r="J311" s="6" t="s">
        <v>94</v>
      </c>
      <c r="K311" s="6" t="s">
        <v>512</v>
      </c>
    </row>
    <row r="312" spans="1:11" ht="45" customHeight="1" x14ac:dyDescent="0.25">
      <c r="A312" s="5" t="s">
        <v>493</v>
      </c>
      <c r="B312" s="5" t="s">
        <v>384</v>
      </c>
      <c r="C312" s="6" t="s">
        <v>304</v>
      </c>
      <c r="D312" s="5">
        <v>52</v>
      </c>
      <c r="E312" s="5"/>
      <c r="F312" s="7">
        <v>1930</v>
      </c>
      <c r="G312" s="5"/>
      <c r="H312" s="6" t="s">
        <v>174</v>
      </c>
      <c r="I312" s="6" t="s">
        <v>171</v>
      </c>
      <c r="J312" s="6" t="s">
        <v>94</v>
      </c>
      <c r="K312" s="6" t="s">
        <v>513</v>
      </c>
    </row>
    <row r="313" spans="1:11" ht="45" customHeight="1" x14ac:dyDescent="0.25">
      <c r="A313" s="5" t="s">
        <v>493</v>
      </c>
      <c r="B313" s="5" t="s">
        <v>384</v>
      </c>
      <c r="C313" s="6" t="s">
        <v>304</v>
      </c>
      <c r="D313" s="5">
        <v>53</v>
      </c>
      <c r="E313" s="5"/>
      <c r="F313" s="7">
        <v>453</v>
      </c>
      <c r="G313" s="5"/>
      <c r="H313" s="6" t="s">
        <v>174</v>
      </c>
      <c r="I313" s="6" t="s">
        <v>173</v>
      </c>
      <c r="J313" s="6" t="s">
        <v>94</v>
      </c>
      <c r="K313" s="6" t="s">
        <v>514</v>
      </c>
    </row>
    <row r="314" spans="1:11" ht="45" customHeight="1" x14ac:dyDescent="0.25">
      <c r="A314" s="5" t="s">
        <v>493</v>
      </c>
      <c r="B314" s="5" t="s">
        <v>384</v>
      </c>
      <c r="C314" s="6" t="s">
        <v>304</v>
      </c>
      <c r="D314" s="5">
        <v>54</v>
      </c>
      <c r="E314" s="5"/>
      <c r="F314" s="7">
        <v>243</v>
      </c>
      <c r="G314" s="5"/>
      <c r="H314" s="6" t="s">
        <v>172</v>
      </c>
      <c r="I314" s="6" t="s">
        <v>171</v>
      </c>
      <c r="J314" s="6" t="s">
        <v>94</v>
      </c>
      <c r="K314" s="6" t="s">
        <v>515</v>
      </c>
    </row>
    <row r="315" spans="1:11" ht="45" customHeight="1" x14ac:dyDescent="0.25">
      <c r="A315" s="5" t="s">
        <v>493</v>
      </c>
      <c r="B315" s="5" t="s">
        <v>384</v>
      </c>
      <c r="C315" s="6" t="s">
        <v>304</v>
      </c>
      <c r="D315" s="5">
        <v>55</v>
      </c>
      <c r="E315" s="5"/>
      <c r="F315" s="7">
        <v>133</v>
      </c>
      <c r="G315" s="5"/>
      <c r="H315" s="6" t="s">
        <v>172</v>
      </c>
      <c r="I315" s="6" t="s">
        <v>173</v>
      </c>
      <c r="J315" s="6" t="s">
        <v>94</v>
      </c>
      <c r="K315" s="6" t="s">
        <v>515</v>
      </c>
    </row>
    <row r="316" spans="1:11" ht="45" customHeight="1" x14ac:dyDescent="0.25">
      <c r="A316" s="5" t="s">
        <v>493</v>
      </c>
      <c r="B316" s="5" t="s">
        <v>384</v>
      </c>
      <c r="C316" s="6" t="s">
        <v>304</v>
      </c>
      <c r="D316" s="5">
        <v>56</v>
      </c>
      <c r="E316" s="5"/>
      <c r="F316" s="7">
        <v>290</v>
      </c>
      <c r="G316" s="5"/>
      <c r="H316" s="6" t="s">
        <v>175</v>
      </c>
      <c r="I316" s="6" t="s">
        <v>176</v>
      </c>
      <c r="J316" s="6" t="s">
        <v>94</v>
      </c>
      <c r="K316" s="6" t="s">
        <v>516</v>
      </c>
    </row>
    <row r="317" spans="1:11" ht="45" customHeight="1" x14ac:dyDescent="0.25">
      <c r="A317" s="5" t="s">
        <v>493</v>
      </c>
      <c r="B317" s="5" t="s">
        <v>384</v>
      </c>
      <c r="C317" s="6" t="s">
        <v>304</v>
      </c>
      <c r="D317" s="5">
        <v>57</v>
      </c>
      <c r="E317" s="5"/>
      <c r="F317" s="7">
        <v>403</v>
      </c>
      <c r="G317" s="5"/>
      <c r="H317" s="6" t="s">
        <v>175</v>
      </c>
      <c r="I317" s="6" t="s">
        <v>177</v>
      </c>
      <c r="J317" s="6" t="s">
        <v>94</v>
      </c>
      <c r="K317" s="6" t="s">
        <v>517</v>
      </c>
    </row>
    <row r="318" spans="1:11" ht="30" customHeight="1" x14ac:dyDescent="0.25">
      <c r="A318" s="5" t="s">
        <v>493</v>
      </c>
      <c r="B318" s="5" t="s">
        <v>384</v>
      </c>
      <c r="C318" s="6" t="s">
        <v>304</v>
      </c>
      <c r="D318" s="5">
        <v>58</v>
      </c>
      <c r="E318" s="5"/>
      <c r="F318" s="7">
        <v>98</v>
      </c>
      <c r="G318" s="5"/>
      <c r="H318" s="6" t="s">
        <v>175</v>
      </c>
      <c r="I318" s="6" t="s">
        <v>178</v>
      </c>
      <c r="J318" s="6" t="s">
        <v>94</v>
      </c>
      <c r="K318" s="6" t="s">
        <v>518</v>
      </c>
    </row>
    <row r="319" spans="1:11" ht="45" customHeight="1" x14ac:dyDescent="0.25">
      <c r="A319" s="5" t="s">
        <v>493</v>
      </c>
      <c r="B319" s="5" t="s">
        <v>384</v>
      </c>
      <c r="C319" s="6" t="s">
        <v>304</v>
      </c>
      <c r="D319" s="5">
        <v>59</v>
      </c>
      <c r="E319" s="5"/>
      <c r="F319" s="7">
        <v>578</v>
      </c>
      <c r="G319" s="5"/>
      <c r="H319" s="6" t="s">
        <v>181</v>
      </c>
      <c r="I319" s="6" t="s">
        <v>171</v>
      </c>
      <c r="J319" s="6" t="s">
        <v>94</v>
      </c>
      <c r="K319" s="6" t="s">
        <v>519</v>
      </c>
    </row>
    <row r="320" spans="1:11" ht="45" customHeight="1" x14ac:dyDescent="0.25">
      <c r="A320" s="5" t="s">
        <v>493</v>
      </c>
      <c r="B320" s="5" t="s">
        <v>384</v>
      </c>
      <c r="C320" s="6" t="s">
        <v>304</v>
      </c>
      <c r="D320" s="5">
        <v>60</v>
      </c>
      <c r="E320" s="5"/>
      <c r="F320" s="7">
        <v>75</v>
      </c>
      <c r="G320" s="5"/>
      <c r="H320" s="6" t="s">
        <v>181</v>
      </c>
      <c r="I320" s="6" t="s">
        <v>173</v>
      </c>
      <c r="J320" s="6" t="s">
        <v>94</v>
      </c>
      <c r="K320" s="6" t="s">
        <v>519</v>
      </c>
    </row>
    <row r="321" spans="1:11" ht="30" customHeight="1" x14ac:dyDescent="0.25">
      <c r="A321" s="5" t="s">
        <v>493</v>
      </c>
      <c r="B321" s="5" t="s">
        <v>384</v>
      </c>
      <c r="C321" s="6" t="s">
        <v>304</v>
      </c>
      <c r="D321" s="5">
        <v>61</v>
      </c>
      <c r="E321" s="5"/>
      <c r="F321" s="7">
        <v>290</v>
      </c>
      <c r="G321" s="5"/>
      <c r="H321" s="6" t="s">
        <v>182</v>
      </c>
      <c r="I321" s="6" t="s">
        <v>176</v>
      </c>
      <c r="J321" s="6" t="s">
        <v>94</v>
      </c>
      <c r="K321" s="6" t="s">
        <v>520</v>
      </c>
    </row>
    <row r="322" spans="1:11" ht="30" customHeight="1" x14ac:dyDescent="0.25">
      <c r="A322" s="5" t="s">
        <v>493</v>
      </c>
      <c r="B322" s="5" t="s">
        <v>384</v>
      </c>
      <c r="C322" s="6" t="s">
        <v>304</v>
      </c>
      <c r="D322" s="5">
        <v>62</v>
      </c>
      <c r="E322" s="5"/>
      <c r="F322" s="7">
        <v>232</v>
      </c>
      <c r="G322" s="5"/>
      <c r="H322" s="6" t="s">
        <v>183</v>
      </c>
      <c r="I322" s="6" t="s">
        <v>167</v>
      </c>
      <c r="J322" s="6" t="s">
        <v>94</v>
      </c>
      <c r="K322" s="6" t="s">
        <v>521</v>
      </c>
    </row>
    <row r="323" spans="1:11" ht="30" customHeight="1" x14ac:dyDescent="0.25">
      <c r="A323" s="5" t="s">
        <v>493</v>
      </c>
      <c r="B323" s="5" t="s">
        <v>384</v>
      </c>
      <c r="C323" s="6" t="s">
        <v>304</v>
      </c>
      <c r="D323" s="5">
        <v>63</v>
      </c>
      <c r="E323" s="5"/>
      <c r="F323" s="7">
        <v>245</v>
      </c>
      <c r="G323" s="5"/>
      <c r="H323" s="6" t="s">
        <v>179</v>
      </c>
      <c r="I323" s="6" t="s">
        <v>180</v>
      </c>
      <c r="J323" s="6" t="s">
        <v>94</v>
      </c>
      <c r="K323" s="6" t="s">
        <v>522</v>
      </c>
    </row>
    <row r="324" spans="1:11" ht="30" customHeight="1" x14ac:dyDescent="0.25">
      <c r="A324" s="5" t="s">
        <v>493</v>
      </c>
      <c r="B324" s="5" t="s">
        <v>384</v>
      </c>
      <c r="C324" s="6" t="s">
        <v>304</v>
      </c>
      <c r="D324" s="5">
        <v>64</v>
      </c>
      <c r="E324" s="5"/>
      <c r="F324" s="7">
        <v>1000</v>
      </c>
      <c r="G324" s="5"/>
      <c r="H324" s="6" t="s">
        <v>201</v>
      </c>
      <c r="I324" s="6" t="s">
        <v>134</v>
      </c>
      <c r="J324" s="6" t="s">
        <v>94</v>
      </c>
      <c r="K324" s="6" t="s">
        <v>523</v>
      </c>
    </row>
    <row r="325" spans="1:11" ht="30" customHeight="1" x14ac:dyDescent="0.25">
      <c r="A325" s="5" t="s">
        <v>493</v>
      </c>
      <c r="B325" s="5" t="s">
        <v>384</v>
      </c>
      <c r="C325" s="6" t="s">
        <v>304</v>
      </c>
      <c r="D325" s="5">
        <v>65</v>
      </c>
      <c r="E325" s="5"/>
      <c r="F325" s="7">
        <v>1500</v>
      </c>
      <c r="G325" s="5"/>
      <c r="H325" s="6" t="s">
        <v>201</v>
      </c>
      <c r="I325" s="6" t="s">
        <v>135</v>
      </c>
      <c r="J325" s="6" t="s">
        <v>94</v>
      </c>
      <c r="K325" s="6" t="s">
        <v>523</v>
      </c>
    </row>
    <row r="326" spans="1:11" ht="30" customHeight="1" x14ac:dyDescent="0.25">
      <c r="A326" s="5" t="s">
        <v>493</v>
      </c>
      <c r="B326" s="5" t="s">
        <v>384</v>
      </c>
      <c r="C326" s="6" t="s">
        <v>304</v>
      </c>
      <c r="D326" s="5">
        <v>66</v>
      </c>
      <c r="E326" s="5"/>
      <c r="F326" s="7">
        <v>420</v>
      </c>
      <c r="G326" s="5"/>
      <c r="H326" s="6" t="s">
        <v>201</v>
      </c>
      <c r="I326" s="6" t="s">
        <v>200</v>
      </c>
      <c r="J326" s="6" t="s">
        <v>94</v>
      </c>
      <c r="K326" s="6" t="s">
        <v>524</v>
      </c>
    </row>
    <row r="327" spans="1:11" ht="45" customHeight="1" x14ac:dyDescent="0.25">
      <c r="A327" s="5" t="s">
        <v>493</v>
      </c>
      <c r="B327" s="5" t="s">
        <v>384</v>
      </c>
      <c r="C327" s="6" t="s">
        <v>304</v>
      </c>
      <c r="D327" s="5">
        <v>71</v>
      </c>
      <c r="E327" s="5"/>
      <c r="F327" s="7">
        <v>2255</v>
      </c>
      <c r="G327" s="5"/>
      <c r="H327" s="6" t="s">
        <v>199</v>
      </c>
      <c r="I327" s="6" t="s">
        <v>134</v>
      </c>
      <c r="J327" s="6" t="s">
        <v>94</v>
      </c>
      <c r="K327" s="6" t="s">
        <v>525</v>
      </c>
    </row>
    <row r="328" spans="1:11" ht="45" customHeight="1" x14ac:dyDescent="0.25">
      <c r="A328" s="5" t="s">
        <v>493</v>
      </c>
      <c r="B328" s="5" t="s">
        <v>384</v>
      </c>
      <c r="C328" s="6" t="s">
        <v>304</v>
      </c>
      <c r="D328" s="5">
        <v>72</v>
      </c>
      <c r="E328" s="5"/>
      <c r="F328" s="7">
        <v>3910</v>
      </c>
      <c r="G328" s="5"/>
      <c r="H328" s="6" t="s">
        <v>199</v>
      </c>
      <c r="I328" s="6" t="s">
        <v>135</v>
      </c>
      <c r="J328" s="6" t="s">
        <v>94</v>
      </c>
      <c r="K328" s="6" t="s">
        <v>525</v>
      </c>
    </row>
    <row r="329" spans="1:11" ht="30" customHeight="1" x14ac:dyDescent="0.25">
      <c r="A329" s="5" t="s">
        <v>493</v>
      </c>
      <c r="B329" s="5" t="s">
        <v>384</v>
      </c>
      <c r="C329" s="6" t="s">
        <v>304</v>
      </c>
      <c r="D329" s="5">
        <v>86</v>
      </c>
      <c r="E329" s="5"/>
      <c r="F329" s="7">
        <v>10</v>
      </c>
      <c r="G329" s="5"/>
      <c r="H329" s="6" t="s">
        <v>202</v>
      </c>
      <c r="I329" s="6" t="s">
        <v>203</v>
      </c>
      <c r="J329" s="6" t="s">
        <v>94</v>
      </c>
      <c r="K329" s="6" t="s">
        <v>526</v>
      </c>
    </row>
    <row r="330" spans="1:11" ht="45" customHeight="1" x14ac:dyDescent="0.25">
      <c r="A330" s="5" t="s">
        <v>493</v>
      </c>
      <c r="B330" s="5" t="s">
        <v>384</v>
      </c>
      <c r="C330" s="6" t="s">
        <v>304</v>
      </c>
      <c r="D330" s="5">
        <v>87</v>
      </c>
      <c r="E330" s="5"/>
      <c r="F330" s="7">
        <v>1038</v>
      </c>
      <c r="G330" s="5"/>
      <c r="H330" s="6" t="s">
        <v>202</v>
      </c>
      <c r="I330" s="6" t="s">
        <v>204</v>
      </c>
      <c r="J330" s="6" t="s">
        <v>94</v>
      </c>
      <c r="K330" s="6" t="s">
        <v>527</v>
      </c>
    </row>
    <row r="331" spans="1:11" ht="30" customHeight="1" x14ac:dyDescent="0.25">
      <c r="A331" s="5" t="s">
        <v>493</v>
      </c>
      <c r="B331" s="5" t="s">
        <v>384</v>
      </c>
      <c r="C331" s="6" t="s">
        <v>304</v>
      </c>
      <c r="D331" s="5">
        <v>89</v>
      </c>
      <c r="E331" s="5"/>
      <c r="F331" s="7">
        <v>170</v>
      </c>
      <c r="G331" s="5"/>
      <c r="H331" s="6" t="s">
        <v>217</v>
      </c>
      <c r="I331" s="6" t="s">
        <v>204</v>
      </c>
      <c r="J331" s="6" t="s">
        <v>94</v>
      </c>
      <c r="K331" s="6" t="s">
        <v>528</v>
      </c>
    </row>
    <row r="332" spans="1:11" ht="30" customHeight="1" x14ac:dyDescent="0.25">
      <c r="A332" s="5" t="s">
        <v>493</v>
      </c>
      <c r="B332" s="5" t="s">
        <v>384</v>
      </c>
      <c r="C332" s="6" t="s">
        <v>304</v>
      </c>
      <c r="D332" s="5">
        <v>93</v>
      </c>
      <c r="E332" s="5"/>
      <c r="F332" s="7">
        <v>60</v>
      </c>
      <c r="G332" s="5"/>
      <c r="H332" s="6" t="s">
        <v>211</v>
      </c>
      <c r="I332" s="6" t="s">
        <v>210</v>
      </c>
      <c r="J332" s="6" t="s">
        <v>94</v>
      </c>
      <c r="K332" s="6" t="s">
        <v>529</v>
      </c>
    </row>
    <row r="333" spans="1:11" ht="30" customHeight="1" x14ac:dyDescent="0.25">
      <c r="A333" s="5" t="s">
        <v>493</v>
      </c>
      <c r="B333" s="5" t="s">
        <v>384</v>
      </c>
      <c r="C333" s="6" t="s">
        <v>304</v>
      </c>
      <c r="D333" s="5">
        <v>94</v>
      </c>
      <c r="E333" s="5"/>
      <c r="F333" s="7">
        <v>38</v>
      </c>
      <c r="G333" s="5"/>
      <c r="H333" s="6" t="s">
        <v>211</v>
      </c>
      <c r="I333" s="6" t="s">
        <v>207</v>
      </c>
      <c r="J333" s="6" t="s">
        <v>94</v>
      </c>
      <c r="K333" s="6" t="s">
        <v>529</v>
      </c>
    </row>
    <row r="334" spans="1:11" ht="45" customHeight="1" x14ac:dyDescent="0.25">
      <c r="A334" s="5" t="s">
        <v>493</v>
      </c>
      <c r="B334" s="5" t="s">
        <v>384</v>
      </c>
      <c r="C334" s="6" t="s">
        <v>304</v>
      </c>
      <c r="D334" s="5">
        <v>96</v>
      </c>
      <c r="E334" s="5"/>
      <c r="F334" s="7">
        <v>4835</v>
      </c>
      <c r="G334" s="5"/>
      <c r="H334" s="6" t="s">
        <v>208</v>
      </c>
      <c r="I334" s="6" t="s">
        <v>135</v>
      </c>
      <c r="J334" s="6" t="s">
        <v>94</v>
      </c>
      <c r="K334" s="6" t="s">
        <v>530</v>
      </c>
    </row>
    <row r="335" spans="1:11" ht="30" customHeight="1" x14ac:dyDescent="0.25">
      <c r="A335" s="5" t="s">
        <v>493</v>
      </c>
      <c r="B335" s="5" t="s">
        <v>384</v>
      </c>
      <c r="C335" s="6" t="s">
        <v>304</v>
      </c>
      <c r="D335" s="5">
        <v>106</v>
      </c>
      <c r="E335" s="5"/>
      <c r="F335" s="7">
        <v>390</v>
      </c>
      <c r="G335" s="5"/>
      <c r="H335" s="6" t="s">
        <v>229</v>
      </c>
      <c r="I335" s="6" t="s">
        <v>151</v>
      </c>
      <c r="J335" s="6" t="s">
        <v>94</v>
      </c>
      <c r="K335" s="6" t="s">
        <v>531</v>
      </c>
    </row>
    <row r="336" spans="1:11" ht="45" customHeight="1" x14ac:dyDescent="0.25">
      <c r="A336" s="5" t="s">
        <v>493</v>
      </c>
      <c r="B336" s="5" t="s">
        <v>384</v>
      </c>
      <c r="C336" s="6" t="s">
        <v>304</v>
      </c>
      <c r="D336" s="5">
        <v>109</v>
      </c>
      <c r="E336" s="5"/>
      <c r="F336" s="7">
        <v>3000</v>
      </c>
      <c r="G336" s="5"/>
      <c r="H336" s="6" t="s">
        <v>227</v>
      </c>
      <c r="I336" s="6" t="s">
        <v>151</v>
      </c>
      <c r="J336" s="6" t="s">
        <v>94</v>
      </c>
      <c r="K336" s="6" t="s">
        <v>532</v>
      </c>
    </row>
    <row r="337" spans="1:11" ht="45" customHeight="1" x14ac:dyDescent="0.25">
      <c r="A337" s="5" t="s">
        <v>493</v>
      </c>
      <c r="B337" s="5" t="s">
        <v>384</v>
      </c>
      <c r="C337" s="6" t="s">
        <v>304</v>
      </c>
      <c r="D337" s="5">
        <v>110</v>
      </c>
      <c r="E337" s="5"/>
      <c r="F337" s="7">
        <v>280</v>
      </c>
      <c r="G337" s="5"/>
      <c r="H337" s="6" t="s">
        <v>227</v>
      </c>
      <c r="I337" s="6" t="s">
        <v>228</v>
      </c>
      <c r="J337" s="6" t="s">
        <v>94</v>
      </c>
      <c r="K337" s="6" t="s">
        <v>532</v>
      </c>
    </row>
    <row r="338" spans="1:11" ht="30" customHeight="1" x14ac:dyDescent="0.25">
      <c r="A338" s="5" t="s">
        <v>493</v>
      </c>
      <c r="B338" s="5" t="s">
        <v>384</v>
      </c>
      <c r="C338" s="6" t="s">
        <v>304</v>
      </c>
      <c r="D338" s="5">
        <v>112</v>
      </c>
      <c r="E338" s="5"/>
      <c r="F338" s="7">
        <v>8</v>
      </c>
      <c r="G338" s="5"/>
      <c r="H338" s="6" t="s">
        <v>209</v>
      </c>
      <c r="I338" s="6" t="s">
        <v>204</v>
      </c>
      <c r="J338" s="6" t="s">
        <v>94</v>
      </c>
      <c r="K338" s="6" t="s">
        <v>533</v>
      </c>
    </row>
    <row r="339" spans="1:11" ht="45" customHeight="1" x14ac:dyDescent="0.25">
      <c r="A339" s="5" t="s">
        <v>493</v>
      </c>
      <c r="B339" s="5" t="s">
        <v>384</v>
      </c>
      <c r="C339" s="6" t="s">
        <v>304</v>
      </c>
      <c r="D339" s="5">
        <v>115</v>
      </c>
      <c r="E339" s="5"/>
      <c r="F339" s="7">
        <v>15</v>
      </c>
      <c r="G339" s="5"/>
      <c r="H339" s="6" t="s">
        <v>220</v>
      </c>
      <c r="I339" s="6" t="s">
        <v>207</v>
      </c>
      <c r="J339" s="6" t="s">
        <v>94</v>
      </c>
      <c r="K339" s="6" t="s">
        <v>534</v>
      </c>
    </row>
    <row r="340" spans="1:11" ht="30" customHeight="1" x14ac:dyDescent="0.25">
      <c r="A340" s="5" t="s">
        <v>493</v>
      </c>
      <c r="B340" s="5" t="s">
        <v>384</v>
      </c>
      <c r="C340" s="6" t="s">
        <v>304</v>
      </c>
      <c r="D340" s="5">
        <v>116</v>
      </c>
      <c r="E340" s="5"/>
      <c r="F340" s="7">
        <v>250</v>
      </c>
      <c r="G340" s="5"/>
      <c r="H340" s="6" t="s">
        <v>195</v>
      </c>
      <c r="I340" s="6" t="s">
        <v>128</v>
      </c>
      <c r="J340" s="6" t="s">
        <v>94</v>
      </c>
      <c r="K340" s="6" t="s">
        <v>535</v>
      </c>
    </row>
    <row r="341" spans="1:11" ht="45" customHeight="1" x14ac:dyDescent="0.25">
      <c r="A341" s="5" t="s">
        <v>493</v>
      </c>
      <c r="B341" s="5" t="s">
        <v>384</v>
      </c>
      <c r="C341" s="6" t="s">
        <v>304</v>
      </c>
      <c r="D341" s="5">
        <v>118</v>
      </c>
      <c r="E341" s="5"/>
      <c r="F341" s="7">
        <v>130</v>
      </c>
      <c r="G341" s="5"/>
      <c r="H341" s="6" t="s">
        <v>230</v>
      </c>
      <c r="I341" s="6" t="s">
        <v>231</v>
      </c>
      <c r="J341" s="6" t="s">
        <v>94</v>
      </c>
      <c r="K341" s="6" t="s">
        <v>536</v>
      </c>
    </row>
    <row r="342" spans="1:11" ht="45" customHeight="1" x14ac:dyDescent="0.25">
      <c r="A342" s="5" t="s">
        <v>493</v>
      </c>
      <c r="B342" s="5" t="s">
        <v>384</v>
      </c>
      <c r="C342" s="6" t="s">
        <v>304</v>
      </c>
      <c r="D342" s="5">
        <v>119</v>
      </c>
      <c r="E342" s="5"/>
      <c r="F342" s="7">
        <v>527.5</v>
      </c>
      <c r="G342" s="5"/>
      <c r="H342" s="6" t="s">
        <v>230</v>
      </c>
      <c r="I342" s="6" t="s">
        <v>232</v>
      </c>
      <c r="J342" s="6" t="s">
        <v>94</v>
      </c>
      <c r="K342" s="6" t="s">
        <v>536</v>
      </c>
    </row>
    <row r="343" spans="1:11" ht="45" customHeight="1" x14ac:dyDescent="0.25">
      <c r="A343" s="5" t="s">
        <v>493</v>
      </c>
      <c r="B343" s="5" t="s">
        <v>384</v>
      </c>
      <c r="C343" s="6" t="s">
        <v>304</v>
      </c>
      <c r="D343" s="5">
        <v>120</v>
      </c>
      <c r="E343" s="5"/>
      <c r="F343" s="7">
        <v>65</v>
      </c>
      <c r="G343" s="5"/>
      <c r="H343" s="6" t="s">
        <v>233</v>
      </c>
      <c r="I343" s="6" t="s">
        <v>234</v>
      </c>
      <c r="J343" s="6" t="s">
        <v>94</v>
      </c>
      <c r="K343" s="6" t="s">
        <v>537</v>
      </c>
    </row>
    <row r="344" spans="1:11" ht="30" customHeight="1" x14ac:dyDescent="0.25">
      <c r="A344" s="5" t="s">
        <v>493</v>
      </c>
      <c r="B344" s="5" t="s">
        <v>384</v>
      </c>
      <c r="C344" s="6" t="s">
        <v>304</v>
      </c>
      <c r="D344" s="5">
        <v>122</v>
      </c>
      <c r="E344" s="5"/>
      <c r="F344" s="7">
        <v>35</v>
      </c>
      <c r="G344" s="5"/>
      <c r="H344" s="6" t="s">
        <v>148</v>
      </c>
      <c r="I344" s="6" t="s">
        <v>151</v>
      </c>
      <c r="J344" s="6" t="s">
        <v>94</v>
      </c>
      <c r="K344" s="6" t="s">
        <v>538</v>
      </c>
    </row>
    <row r="345" spans="1:11" ht="30" customHeight="1" x14ac:dyDescent="0.25">
      <c r="A345" s="5" t="s">
        <v>493</v>
      </c>
      <c r="B345" s="5" t="s">
        <v>384</v>
      </c>
      <c r="C345" s="6" t="s">
        <v>304</v>
      </c>
      <c r="D345" s="5">
        <v>128</v>
      </c>
      <c r="E345" s="5"/>
      <c r="F345" s="7">
        <v>18</v>
      </c>
      <c r="G345" s="5"/>
      <c r="H345" s="6" t="s">
        <v>191</v>
      </c>
      <c r="I345" s="6" t="s">
        <v>190</v>
      </c>
      <c r="J345" s="6" t="s">
        <v>94</v>
      </c>
      <c r="K345" s="6" t="s">
        <v>539</v>
      </c>
    </row>
    <row r="346" spans="1:11" ht="30" customHeight="1" x14ac:dyDescent="0.25">
      <c r="A346" s="5" t="s">
        <v>493</v>
      </c>
      <c r="B346" s="5" t="s">
        <v>384</v>
      </c>
      <c r="C346" s="6" t="s">
        <v>304</v>
      </c>
      <c r="D346" s="5">
        <v>129</v>
      </c>
      <c r="E346" s="5"/>
      <c r="F346" s="7">
        <v>12</v>
      </c>
      <c r="G346" s="5"/>
      <c r="H346" s="6" t="s">
        <v>189</v>
      </c>
      <c r="I346" s="6" t="s">
        <v>190</v>
      </c>
      <c r="J346" s="6" t="s">
        <v>94</v>
      </c>
      <c r="K346" s="6" t="s">
        <v>540</v>
      </c>
    </row>
    <row r="347" spans="1:11" ht="30" customHeight="1" x14ac:dyDescent="0.25">
      <c r="A347" s="5" t="s">
        <v>493</v>
      </c>
      <c r="B347" s="5" t="s">
        <v>384</v>
      </c>
      <c r="C347" s="6" t="s">
        <v>304</v>
      </c>
      <c r="D347" s="5">
        <v>130</v>
      </c>
      <c r="E347" s="5"/>
      <c r="F347" s="7">
        <v>5</v>
      </c>
      <c r="G347" s="5"/>
      <c r="H347" s="6" t="s">
        <v>192</v>
      </c>
      <c r="I347" s="6" t="s">
        <v>190</v>
      </c>
      <c r="J347" s="6" t="s">
        <v>94</v>
      </c>
      <c r="K347" s="6" t="s">
        <v>541</v>
      </c>
    </row>
    <row r="348" spans="1:11" ht="30" customHeight="1" x14ac:dyDescent="0.25">
      <c r="A348" s="5" t="s">
        <v>493</v>
      </c>
      <c r="B348" s="5" t="s">
        <v>384</v>
      </c>
      <c r="C348" s="6" t="s">
        <v>304</v>
      </c>
      <c r="D348" s="5">
        <v>131</v>
      </c>
      <c r="E348" s="5"/>
      <c r="F348" s="7">
        <v>20</v>
      </c>
      <c r="G348" s="5"/>
      <c r="H348" s="6" t="s">
        <v>188</v>
      </c>
      <c r="I348" s="6" t="s">
        <v>187</v>
      </c>
      <c r="J348" s="6" t="s">
        <v>94</v>
      </c>
      <c r="K348" s="6" t="s">
        <v>542</v>
      </c>
    </row>
    <row r="349" spans="1:11" ht="30" customHeight="1" x14ac:dyDescent="0.25">
      <c r="A349" s="5" t="s">
        <v>493</v>
      </c>
      <c r="B349" s="5" t="s">
        <v>384</v>
      </c>
      <c r="C349" s="6" t="s">
        <v>368</v>
      </c>
      <c r="D349" s="5">
        <v>1</v>
      </c>
      <c r="E349" s="5"/>
      <c r="F349" s="7">
        <v>214</v>
      </c>
      <c r="G349" s="5"/>
      <c r="H349" s="6" t="s">
        <v>111</v>
      </c>
      <c r="I349" s="6" t="s">
        <v>97</v>
      </c>
      <c r="J349" s="6" t="s">
        <v>94</v>
      </c>
      <c r="K349" s="6" t="s">
        <v>543</v>
      </c>
    </row>
    <row r="350" spans="1:11" ht="30" customHeight="1" x14ac:dyDescent="0.25">
      <c r="A350" s="5" t="s">
        <v>493</v>
      </c>
      <c r="B350" s="5" t="s">
        <v>384</v>
      </c>
      <c r="C350" s="6" t="s">
        <v>368</v>
      </c>
      <c r="D350" s="5">
        <v>2</v>
      </c>
      <c r="E350" s="5"/>
      <c r="F350" s="7">
        <v>398</v>
      </c>
      <c r="G350" s="5"/>
      <c r="H350" s="6" t="s">
        <v>111</v>
      </c>
      <c r="I350" s="6" t="s">
        <v>98</v>
      </c>
      <c r="J350" s="6" t="s">
        <v>94</v>
      </c>
      <c r="K350" s="6" t="s">
        <v>543</v>
      </c>
    </row>
    <row r="351" spans="1:11" ht="30" customHeight="1" x14ac:dyDescent="0.25">
      <c r="A351" s="5" t="s">
        <v>493</v>
      </c>
      <c r="B351" s="5" t="s">
        <v>384</v>
      </c>
      <c r="C351" s="6" t="s">
        <v>368</v>
      </c>
      <c r="D351" s="5">
        <v>4</v>
      </c>
      <c r="E351" s="5"/>
      <c r="F351" s="7">
        <v>186</v>
      </c>
      <c r="G351" s="5"/>
      <c r="H351" s="6" t="s">
        <v>111</v>
      </c>
      <c r="I351" s="6" t="s">
        <v>113</v>
      </c>
      <c r="J351" s="6" t="s">
        <v>94</v>
      </c>
      <c r="K351" s="6" t="s">
        <v>543</v>
      </c>
    </row>
    <row r="352" spans="1:11" ht="30" customHeight="1" x14ac:dyDescent="0.25">
      <c r="A352" s="5" t="s">
        <v>493</v>
      </c>
      <c r="B352" s="5" t="s">
        <v>384</v>
      </c>
      <c r="C352" s="6" t="s">
        <v>368</v>
      </c>
      <c r="D352" s="5">
        <v>5</v>
      </c>
      <c r="E352" s="5"/>
      <c r="F352" s="7">
        <v>100</v>
      </c>
      <c r="G352" s="5"/>
      <c r="H352" s="6" t="s">
        <v>116</v>
      </c>
      <c r="I352" s="6" t="s">
        <v>98</v>
      </c>
      <c r="J352" s="6" t="s">
        <v>94</v>
      </c>
      <c r="K352" s="6" t="s">
        <v>543</v>
      </c>
    </row>
    <row r="353" spans="1:11" ht="30" customHeight="1" x14ac:dyDescent="0.25">
      <c r="A353" s="5" t="s">
        <v>493</v>
      </c>
      <c r="B353" s="5" t="s">
        <v>384</v>
      </c>
      <c r="C353" s="6" t="s">
        <v>368</v>
      </c>
      <c r="D353" s="5">
        <v>6</v>
      </c>
      <c r="E353" s="5"/>
      <c r="F353" s="7">
        <v>14</v>
      </c>
      <c r="G353" s="5"/>
      <c r="H353" s="6" t="s">
        <v>116</v>
      </c>
      <c r="I353" s="6" t="s">
        <v>100</v>
      </c>
      <c r="J353" s="6" t="s">
        <v>94</v>
      </c>
      <c r="K353" s="6" t="s">
        <v>543</v>
      </c>
    </row>
    <row r="354" spans="1:11" ht="30" customHeight="1" x14ac:dyDescent="0.25">
      <c r="A354" s="5" t="s">
        <v>493</v>
      </c>
      <c r="B354" s="5" t="s">
        <v>384</v>
      </c>
      <c r="C354" s="6" t="s">
        <v>368</v>
      </c>
      <c r="D354" s="5">
        <v>7</v>
      </c>
      <c r="E354" s="5"/>
      <c r="F354" s="7">
        <v>512</v>
      </c>
      <c r="G354" s="5"/>
      <c r="H354" s="6" t="s">
        <v>116</v>
      </c>
      <c r="I354" s="6" t="s">
        <v>113</v>
      </c>
      <c r="J354" s="6" t="s">
        <v>94</v>
      </c>
      <c r="K354" s="6" t="s">
        <v>543</v>
      </c>
    </row>
    <row r="355" spans="1:11" ht="30" customHeight="1" x14ac:dyDescent="0.25">
      <c r="A355" s="5" t="s">
        <v>493</v>
      </c>
      <c r="B355" s="5" t="s">
        <v>384</v>
      </c>
      <c r="C355" s="6" t="s">
        <v>368</v>
      </c>
      <c r="D355" s="5">
        <v>8</v>
      </c>
      <c r="E355" s="5"/>
      <c r="F355" s="7">
        <v>134</v>
      </c>
      <c r="G355" s="5"/>
      <c r="H355" s="6" t="s">
        <v>116</v>
      </c>
      <c r="I355" s="6" t="s">
        <v>117</v>
      </c>
      <c r="J355" s="6" t="s">
        <v>94</v>
      </c>
      <c r="K355" s="6" t="s">
        <v>543</v>
      </c>
    </row>
    <row r="356" spans="1:11" ht="30" customHeight="1" x14ac:dyDescent="0.25">
      <c r="A356" s="5" t="s">
        <v>493</v>
      </c>
      <c r="B356" s="5" t="s">
        <v>384</v>
      </c>
      <c r="C356" s="6" t="s">
        <v>368</v>
      </c>
      <c r="D356" s="5">
        <v>9</v>
      </c>
      <c r="E356" s="5"/>
      <c r="F356" s="7">
        <v>1234</v>
      </c>
      <c r="G356" s="5"/>
      <c r="H356" s="6" t="s">
        <v>92</v>
      </c>
      <c r="I356" s="6" t="s">
        <v>93</v>
      </c>
      <c r="J356" s="6" t="s">
        <v>94</v>
      </c>
      <c r="K356" s="6" t="s">
        <v>543</v>
      </c>
    </row>
    <row r="357" spans="1:11" ht="30" customHeight="1" x14ac:dyDescent="0.25">
      <c r="A357" s="5" t="s">
        <v>493</v>
      </c>
      <c r="B357" s="5" t="s">
        <v>384</v>
      </c>
      <c r="C357" s="6" t="s">
        <v>368</v>
      </c>
      <c r="D357" s="5">
        <v>10</v>
      </c>
      <c r="E357" s="5"/>
      <c r="F357" s="7">
        <v>424</v>
      </c>
      <c r="G357" s="5"/>
      <c r="H357" s="6" t="s">
        <v>92</v>
      </c>
      <c r="I357" s="6" t="s">
        <v>96</v>
      </c>
      <c r="J357" s="6" t="s">
        <v>94</v>
      </c>
      <c r="K357" s="6" t="s">
        <v>543</v>
      </c>
    </row>
    <row r="358" spans="1:11" ht="30" customHeight="1" x14ac:dyDescent="0.25">
      <c r="A358" s="5" t="s">
        <v>493</v>
      </c>
      <c r="B358" s="5" t="s">
        <v>384</v>
      </c>
      <c r="C358" s="6" t="s">
        <v>368</v>
      </c>
      <c r="D358" s="5">
        <v>11</v>
      </c>
      <c r="E358" s="5"/>
      <c r="F358" s="7">
        <v>16</v>
      </c>
      <c r="G358" s="5"/>
      <c r="H358" s="6" t="s">
        <v>92</v>
      </c>
      <c r="I358" s="6" t="s">
        <v>97</v>
      </c>
      <c r="J358" s="6" t="s">
        <v>94</v>
      </c>
      <c r="K358" s="6" t="s">
        <v>543</v>
      </c>
    </row>
    <row r="359" spans="1:11" ht="30" customHeight="1" x14ac:dyDescent="0.25">
      <c r="A359" s="5" t="s">
        <v>493</v>
      </c>
      <c r="B359" s="5" t="s">
        <v>384</v>
      </c>
      <c r="C359" s="6" t="s">
        <v>368</v>
      </c>
      <c r="D359" s="5">
        <v>12</v>
      </c>
      <c r="E359" s="5"/>
      <c r="F359" s="7">
        <v>26</v>
      </c>
      <c r="G359" s="5"/>
      <c r="H359" s="6" t="s">
        <v>92</v>
      </c>
      <c r="I359" s="6" t="s">
        <v>98</v>
      </c>
      <c r="J359" s="6" t="s">
        <v>94</v>
      </c>
      <c r="K359" s="6" t="s">
        <v>543</v>
      </c>
    </row>
    <row r="360" spans="1:11" ht="30" customHeight="1" x14ac:dyDescent="0.25">
      <c r="A360" s="5" t="s">
        <v>493</v>
      </c>
      <c r="B360" s="5" t="s">
        <v>384</v>
      </c>
      <c r="C360" s="6" t="s">
        <v>368</v>
      </c>
      <c r="D360" s="5">
        <v>15</v>
      </c>
      <c r="E360" s="5"/>
      <c r="F360" s="7">
        <v>71.75</v>
      </c>
      <c r="G360" s="5"/>
      <c r="H360" s="6" t="s">
        <v>103</v>
      </c>
      <c r="I360" s="6" t="s">
        <v>104</v>
      </c>
      <c r="J360" s="6" t="s">
        <v>94</v>
      </c>
      <c r="K360" s="6" t="s">
        <v>544</v>
      </c>
    </row>
    <row r="361" spans="1:11" ht="30" customHeight="1" x14ac:dyDescent="0.25">
      <c r="A361" s="5" t="s">
        <v>493</v>
      </c>
      <c r="B361" s="5" t="s">
        <v>384</v>
      </c>
      <c r="C361" s="6" t="s">
        <v>368</v>
      </c>
      <c r="D361" s="5">
        <v>16</v>
      </c>
      <c r="E361" s="5"/>
      <c r="F361" s="7">
        <v>894.25</v>
      </c>
      <c r="G361" s="5"/>
      <c r="H361" s="6" t="s">
        <v>103</v>
      </c>
      <c r="I361" s="6" t="s">
        <v>105</v>
      </c>
      <c r="J361" s="6" t="s">
        <v>94</v>
      </c>
      <c r="K361" s="6" t="s">
        <v>544</v>
      </c>
    </row>
    <row r="362" spans="1:11" ht="30" customHeight="1" x14ac:dyDescent="0.25">
      <c r="A362" s="5" t="s">
        <v>493</v>
      </c>
      <c r="B362" s="5" t="s">
        <v>384</v>
      </c>
      <c r="C362" s="6" t="s">
        <v>368</v>
      </c>
      <c r="D362" s="5">
        <v>17</v>
      </c>
      <c r="E362" s="5"/>
      <c r="F362" s="7">
        <v>392</v>
      </c>
      <c r="G362" s="5"/>
      <c r="H362" s="6" t="s">
        <v>103</v>
      </c>
      <c r="I362" s="6" t="s">
        <v>106</v>
      </c>
      <c r="J362" s="6" t="s">
        <v>94</v>
      </c>
      <c r="K362" s="6" t="s">
        <v>544</v>
      </c>
    </row>
    <row r="363" spans="1:11" ht="30" customHeight="1" x14ac:dyDescent="0.25">
      <c r="A363" s="5" t="s">
        <v>493</v>
      </c>
      <c r="B363" s="5" t="s">
        <v>384</v>
      </c>
      <c r="C363" s="6" t="s">
        <v>368</v>
      </c>
      <c r="D363" s="5">
        <v>18</v>
      </c>
      <c r="E363" s="5"/>
      <c r="F363" s="7">
        <v>39</v>
      </c>
      <c r="G363" s="5"/>
      <c r="H363" s="6" t="s">
        <v>107</v>
      </c>
      <c r="I363" s="6" t="s">
        <v>108</v>
      </c>
      <c r="J363" s="6" t="s">
        <v>94</v>
      </c>
      <c r="K363" s="6" t="s">
        <v>545</v>
      </c>
    </row>
    <row r="364" spans="1:11" ht="30" customHeight="1" x14ac:dyDescent="0.25">
      <c r="A364" s="5" t="s">
        <v>493</v>
      </c>
      <c r="B364" s="5" t="s">
        <v>384</v>
      </c>
      <c r="C364" s="6" t="s">
        <v>374</v>
      </c>
      <c r="D364" s="5">
        <v>1</v>
      </c>
      <c r="E364" s="5"/>
      <c r="F364" s="7">
        <v>72</v>
      </c>
      <c r="G364" s="5"/>
      <c r="H364" s="6" t="s">
        <v>246</v>
      </c>
      <c r="I364" s="6" t="s">
        <v>245</v>
      </c>
      <c r="J364" s="6"/>
      <c r="K364" s="6" t="s">
        <v>546</v>
      </c>
    </row>
    <row r="365" spans="1:11" x14ac:dyDescent="0.25">
      <c r="A365" s="53" t="s">
        <v>547</v>
      </c>
      <c r="B365" s="54"/>
      <c r="C365" s="54"/>
      <c r="D365" s="54"/>
      <c r="E365" s="54"/>
      <c r="F365" s="54"/>
      <c r="G365" s="54"/>
      <c r="H365" s="54"/>
      <c r="I365" s="54"/>
      <c r="J365" s="54"/>
      <c r="K365" s="55"/>
    </row>
    <row r="367" spans="1:11" x14ac:dyDescent="0.25">
      <c r="A367" s="56" t="s">
        <v>548</v>
      </c>
      <c r="B367" s="54"/>
      <c r="C367" s="54"/>
      <c r="D367" s="54"/>
      <c r="E367" s="54"/>
      <c r="F367" s="54"/>
      <c r="G367" s="54"/>
      <c r="H367" s="54"/>
      <c r="I367" s="54"/>
      <c r="J367" s="54"/>
      <c r="K367" s="55"/>
    </row>
    <row r="368" spans="1:11" ht="30" customHeight="1" x14ac:dyDescent="0.25">
      <c r="A368" s="5" t="s">
        <v>493</v>
      </c>
      <c r="B368" s="5" t="s">
        <v>389</v>
      </c>
      <c r="C368" s="6" t="s">
        <v>304</v>
      </c>
      <c r="D368" s="5">
        <v>1</v>
      </c>
      <c r="E368" s="5"/>
      <c r="F368" s="7">
        <v>3772</v>
      </c>
      <c r="G368" s="5"/>
      <c r="H368" s="6" t="s">
        <v>142</v>
      </c>
      <c r="I368" s="6" t="s">
        <v>131</v>
      </c>
      <c r="J368" s="6" t="s">
        <v>94</v>
      </c>
      <c r="K368" s="6" t="s">
        <v>549</v>
      </c>
    </row>
    <row r="369" spans="1:11" ht="30" customHeight="1" x14ac:dyDescent="0.25">
      <c r="A369" s="5" t="s">
        <v>493</v>
      </c>
      <c r="B369" s="5" t="s">
        <v>389</v>
      </c>
      <c r="C369" s="6" t="s">
        <v>304</v>
      </c>
      <c r="D369" s="5">
        <v>2</v>
      </c>
      <c r="E369" s="5"/>
      <c r="F369" s="7">
        <v>775</v>
      </c>
      <c r="G369" s="5"/>
      <c r="H369" s="6" t="s">
        <v>142</v>
      </c>
      <c r="I369" s="6" t="s">
        <v>132</v>
      </c>
      <c r="J369" s="6" t="s">
        <v>94</v>
      </c>
      <c r="K369" s="6" t="s">
        <v>549</v>
      </c>
    </row>
    <row r="370" spans="1:11" ht="30" customHeight="1" x14ac:dyDescent="0.25">
      <c r="A370" s="5" t="s">
        <v>493</v>
      </c>
      <c r="B370" s="5" t="s">
        <v>389</v>
      </c>
      <c r="C370" s="6" t="s">
        <v>304</v>
      </c>
      <c r="D370" s="5">
        <v>3</v>
      </c>
      <c r="E370" s="5"/>
      <c r="F370" s="7">
        <v>10</v>
      </c>
      <c r="G370" s="5"/>
      <c r="H370" s="6" t="s">
        <v>142</v>
      </c>
      <c r="I370" s="6" t="s">
        <v>134</v>
      </c>
      <c r="J370" s="6" t="s">
        <v>94</v>
      </c>
      <c r="K370" s="6" t="s">
        <v>549</v>
      </c>
    </row>
    <row r="371" spans="1:11" ht="30" customHeight="1" x14ac:dyDescent="0.25">
      <c r="A371" s="5" t="s">
        <v>493</v>
      </c>
      <c r="B371" s="5" t="s">
        <v>389</v>
      </c>
      <c r="C371" s="6" t="s">
        <v>304</v>
      </c>
      <c r="D371" s="5">
        <v>4</v>
      </c>
      <c r="E371" s="5"/>
      <c r="F371" s="7">
        <v>12</v>
      </c>
      <c r="G371" s="5"/>
      <c r="H371" s="6" t="s">
        <v>142</v>
      </c>
      <c r="I371" s="6" t="s">
        <v>135</v>
      </c>
      <c r="J371" s="6" t="s">
        <v>94</v>
      </c>
      <c r="K371" s="6" t="s">
        <v>550</v>
      </c>
    </row>
    <row r="372" spans="1:11" ht="30" customHeight="1" x14ac:dyDescent="0.25">
      <c r="A372" s="5" t="s">
        <v>493</v>
      </c>
      <c r="B372" s="5" t="s">
        <v>389</v>
      </c>
      <c r="C372" s="6" t="s">
        <v>304</v>
      </c>
      <c r="D372" s="5">
        <v>5</v>
      </c>
      <c r="E372" s="5"/>
      <c r="F372" s="7">
        <v>10</v>
      </c>
      <c r="G372" s="5"/>
      <c r="H372" s="6" t="s">
        <v>142</v>
      </c>
      <c r="I372" s="6" t="s">
        <v>136</v>
      </c>
      <c r="J372" s="6" t="s">
        <v>94</v>
      </c>
      <c r="K372" s="6" t="s">
        <v>549</v>
      </c>
    </row>
    <row r="373" spans="1:11" ht="30" customHeight="1" x14ac:dyDescent="0.25">
      <c r="A373" s="5" t="s">
        <v>493</v>
      </c>
      <c r="B373" s="5" t="s">
        <v>389</v>
      </c>
      <c r="C373" s="6" t="s">
        <v>304</v>
      </c>
      <c r="D373" s="5">
        <v>6</v>
      </c>
      <c r="E373" s="5"/>
      <c r="F373" s="7">
        <v>5</v>
      </c>
      <c r="G373" s="5"/>
      <c r="H373" s="6" t="s">
        <v>142</v>
      </c>
      <c r="I373" s="6" t="s">
        <v>137</v>
      </c>
      <c r="J373" s="6" t="s">
        <v>94</v>
      </c>
      <c r="K373" s="6" t="s">
        <v>549</v>
      </c>
    </row>
    <row r="374" spans="1:11" ht="30" customHeight="1" x14ac:dyDescent="0.25">
      <c r="A374" s="5" t="s">
        <v>493</v>
      </c>
      <c r="B374" s="5" t="s">
        <v>389</v>
      </c>
      <c r="C374" s="6" t="s">
        <v>304</v>
      </c>
      <c r="D374" s="5">
        <v>7</v>
      </c>
      <c r="E374" s="5"/>
      <c r="F374" s="7">
        <v>5</v>
      </c>
      <c r="G374" s="5"/>
      <c r="H374" s="6" t="s">
        <v>138</v>
      </c>
      <c r="I374" s="6" t="s">
        <v>125</v>
      </c>
      <c r="J374" s="6" t="s">
        <v>94</v>
      </c>
      <c r="K374" s="6" t="s">
        <v>549</v>
      </c>
    </row>
    <row r="375" spans="1:11" ht="30" customHeight="1" x14ac:dyDescent="0.25">
      <c r="A375" s="5" t="s">
        <v>493</v>
      </c>
      <c r="B375" s="5" t="s">
        <v>389</v>
      </c>
      <c r="C375" s="6" t="s">
        <v>304</v>
      </c>
      <c r="D375" s="5">
        <v>8</v>
      </c>
      <c r="E375" s="5"/>
      <c r="F375" s="7">
        <v>97</v>
      </c>
      <c r="G375" s="5"/>
      <c r="H375" s="6" t="s">
        <v>139</v>
      </c>
      <c r="I375" s="6" t="s">
        <v>131</v>
      </c>
      <c r="J375" s="6" t="s">
        <v>94</v>
      </c>
      <c r="K375" s="6" t="s">
        <v>549</v>
      </c>
    </row>
    <row r="376" spans="1:11" ht="30" customHeight="1" x14ac:dyDescent="0.25">
      <c r="A376" s="5" t="s">
        <v>493</v>
      </c>
      <c r="B376" s="5" t="s">
        <v>389</v>
      </c>
      <c r="C376" s="6" t="s">
        <v>304</v>
      </c>
      <c r="D376" s="5">
        <v>9</v>
      </c>
      <c r="E376" s="5"/>
      <c r="F376" s="7">
        <v>1457</v>
      </c>
      <c r="G376" s="5"/>
      <c r="H376" s="6" t="s">
        <v>140</v>
      </c>
      <c r="I376" s="6" t="s">
        <v>141</v>
      </c>
      <c r="J376" s="6" t="s">
        <v>94</v>
      </c>
      <c r="K376" s="6" t="s">
        <v>549</v>
      </c>
    </row>
    <row r="377" spans="1:11" ht="30" customHeight="1" x14ac:dyDescent="0.25">
      <c r="A377" s="5" t="s">
        <v>493</v>
      </c>
      <c r="B377" s="5" t="s">
        <v>389</v>
      </c>
      <c r="C377" s="6" t="s">
        <v>304</v>
      </c>
      <c r="D377" s="5">
        <v>10</v>
      </c>
      <c r="E377" s="5"/>
      <c r="F377" s="7">
        <v>182</v>
      </c>
      <c r="G377" s="5"/>
      <c r="H377" s="6" t="s">
        <v>143</v>
      </c>
      <c r="I377" s="6" t="s">
        <v>141</v>
      </c>
      <c r="J377" s="6" t="s">
        <v>94</v>
      </c>
      <c r="K377" s="6" t="s">
        <v>549</v>
      </c>
    </row>
    <row r="378" spans="1:11" ht="30" customHeight="1" x14ac:dyDescent="0.25">
      <c r="A378" s="5" t="s">
        <v>493</v>
      </c>
      <c r="B378" s="5" t="s">
        <v>389</v>
      </c>
      <c r="C378" s="6" t="s">
        <v>304</v>
      </c>
      <c r="D378" s="5">
        <v>11</v>
      </c>
      <c r="E378" s="5"/>
      <c r="F378" s="7">
        <v>522</v>
      </c>
      <c r="G378" s="5"/>
      <c r="H378" s="6" t="s">
        <v>133</v>
      </c>
      <c r="I378" s="6" t="s">
        <v>131</v>
      </c>
      <c r="J378" s="6" t="s">
        <v>94</v>
      </c>
      <c r="K378" s="6" t="s">
        <v>549</v>
      </c>
    </row>
    <row r="379" spans="1:11" ht="30" customHeight="1" x14ac:dyDescent="0.25">
      <c r="A379" s="5" t="s">
        <v>493</v>
      </c>
      <c r="B379" s="5" t="s">
        <v>389</v>
      </c>
      <c r="C379" s="6" t="s">
        <v>304</v>
      </c>
      <c r="D379" s="5">
        <v>12</v>
      </c>
      <c r="E379" s="5"/>
      <c r="F379" s="7">
        <v>110</v>
      </c>
      <c r="G379" s="5"/>
      <c r="H379" s="6" t="s">
        <v>133</v>
      </c>
      <c r="I379" s="6" t="s">
        <v>132</v>
      </c>
      <c r="J379" s="6" t="s">
        <v>94</v>
      </c>
      <c r="K379" s="6" t="s">
        <v>549</v>
      </c>
    </row>
    <row r="380" spans="1:11" ht="30" customHeight="1" x14ac:dyDescent="0.25">
      <c r="A380" s="5" t="s">
        <v>493</v>
      </c>
      <c r="B380" s="5" t="s">
        <v>389</v>
      </c>
      <c r="C380" s="6" t="s">
        <v>304</v>
      </c>
      <c r="D380" s="5">
        <v>13</v>
      </c>
      <c r="E380" s="5"/>
      <c r="F380" s="7">
        <v>1</v>
      </c>
      <c r="G380" s="5"/>
      <c r="H380" s="6" t="s">
        <v>133</v>
      </c>
      <c r="I380" s="6" t="s">
        <v>134</v>
      </c>
      <c r="J380" s="6" t="s">
        <v>94</v>
      </c>
      <c r="K380" s="6" t="s">
        <v>551</v>
      </c>
    </row>
    <row r="381" spans="1:11" ht="30" customHeight="1" x14ac:dyDescent="0.25">
      <c r="A381" s="5" t="s">
        <v>493</v>
      </c>
      <c r="B381" s="5" t="s">
        <v>389</v>
      </c>
      <c r="C381" s="6" t="s">
        <v>304</v>
      </c>
      <c r="D381" s="5">
        <v>14</v>
      </c>
      <c r="E381" s="5"/>
      <c r="F381" s="7">
        <v>5</v>
      </c>
      <c r="G381" s="5"/>
      <c r="H381" s="6" t="s">
        <v>133</v>
      </c>
      <c r="I381" s="6" t="s">
        <v>135</v>
      </c>
      <c r="J381" s="6" t="s">
        <v>94</v>
      </c>
      <c r="K381" s="6" t="s">
        <v>552</v>
      </c>
    </row>
    <row r="382" spans="1:11" ht="30" customHeight="1" x14ac:dyDescent="0.25">
      <c r="A382" s="5" t="s">
        <v>493</v>
      </c>
      <c r="B382" s="5" t="s">
        <v>389</v>
      </c>
      <c r="C382" s="6" t="s">
        <v>304</v>
      </c>
      <c r="D382" s="5">
        <v>16</v>
      </c>
      <c r="E382" s="5"/>
      <c r="F382" s="7">
        <v>1</v>
      </c>
      <c r="G382" s="5"/>
      <c r="H382" s="6" t="s">
        <v>133</v>
      </c>
      <c r="I382" s="6" t="s">
        <v>137</v>
      </c>
      <c r="J382" s="6" t="s">
        <v>94</v>
      </c>
      <c r="K382" s="6" t="s">
        <v>551</v>
      </c>
    </row>
    <row r="383" spans="1:11" ht="45" customHeight="1" x14ac:dyDescent="0.25">
      <c r="A383" s="5" t="s">
        <v>493</v>
      </c>
      <c r="B383" s="5" t="s">
        <v>389</v>
      </c>
      <c r="C383" s="6" t="s">
        <v>304</v>
      </c>
      <c r="D383" s="5">
        <v>17</v>
      </c>
      <c r="E383" s="5"/>
      <c r="F383" s="7">
        <v>530</v>
      </c>
      <c r="G383" s="5"/>
      <c r="H383" s="6" t="s">
        <v>153</v>
      </c>
      <c r="I383" s="6" t="s">
        <v>154</v>
      </c>
      <c r="J383" s="6" t="s">
        <v>94</v>
      </c>
      <c r="K383" s="6" t="s">
        <v>553</v>
      </c>
    </row>
    <row r="384" spans="1:11" ht="45" customHeight="1" x14ac:dyDescent="0.25">
      <c r="A384" s="5" t="s">
        <v>493</v>
      </c>
      <c r="B384" s="5" t="s">
        <v>389</v>
      </c>
      <c r="C384" s="6" t="s">
        <v>304</v>
      </c>
      <c r="D384" s="5">
        <v>18</v>
      </c>
      <c r="E384" s="5"/>
      <c r="F384" s="7">
        <v>125</v>
      </c>
      <c r="G384" s="5"/>
      <c r="H384" s="6" t="s">
        <v>153</v>
      </c>
      <c r="I384" s="6" t="s">
        <v>155</v>
      </c>
      <c r="J384" s="6" t="s">
        <v>94</v>
      </c>
      <c r="K384" s="6" t="s">
        <v>553</v>
      </c>
    </row>
    <row r="385" spans="1:11" ht="30" customHeight="1" x14ac:dyDescent="0.25">
      <c r="A385" s="5" t="s">
        <v>493</v>
      </c>
      <c r="B385" s="5" t="s">
        <v>389</v>
      </c>
      <c r="C385" s="6" t="s">
        <v>304</v>
      </c>
      <c r="D385" s="5">
        <v>19</v>
      </c>
      <c r="E385" s="5"/>
      <c r="F385" s="7">
        <v>1</v>
      </c>
      <c r="G385" s="5"/>
      <c r="H385" s="6" t="s">
        <v>153</v>
      </c>
      <c r="I385" s="6" t="s">
        <v>156</v>
      </c>
      <c r="J385" s="6" t="s">
        <v>94</v>
      </c>
      <c r="K385" s="6" t="s">
        <v>551</v>
      </c>
    </row>
    <row r="386" spans="1:11" ht="45" customHeight="1" x14ac:dyDescent="0.25">
      <c r="A386" s="5" t="s">
        <v>493</v>
      </c>
      <c r="B386" s="5" t="s">
        <v>389</v>
      </c>
      <c r="C386" s="6" t="s">
        <v>304</v>
      </c>
      <c r="D386" s="5">
        <v>20</v>
      </c>
      <c r="E386" s="5"/>
      <c r="F386" s="7">
        <v>5</v>
      </c>
      <c r="G386" s="5"/>
      <c r="H386" s="6" t="s">
        <v>153</v>
      </c>
      <c r="I386" s="6" t="s">
        <v>157</v>
      </c>
      <c r="J386" s="6" t="s">
        <v>94</v>
      </c>
      <c r="K386" s="6" t="s">
        <v>553</v>
      </c>
    </row>
    <row r="387" spans="1:11" ht="30" customHeight="1" x14ac:dyDescent="0.25">
      <c r="A387" s="5" t="s">
        <v>493</v>
      </c>
      <c r="B387" s="5" t="s">
        <v>389</v>
      </c>
      <c r="C387" s="6" t="s">
        <v>304</v>
      </c>
      <c r="D387" s="5">
        <v>21</v>
      </c>
      <c r="E387" s="5"/>
      <c r="F387" s="7">
        <v>3</v>
      </c>
      <c r="G387" s="5"/>
      <c r="H387" s="6" t="s">
        <v>153</v>
      </c>
      <c r="I387" s="6" t="s">
        <v>158</v>
      </c>
      <c r="J387" s="6" t="s">
        <v>94</v>
      </c>
      <c r="K387" s="6" t="s">
        <v>551</v>
      </c>
    </row>
    <row r="388" spans="1:11" ht="30" customHeight="1" x14ac:dyDescent="0.25">
      <c r="A388" s="5" t="s">
        <v>493</v>
      </c>
      <c r="B388" s="5" t="s">
        <v>389</v>
      </c>
      <c r="C388" s="6" t="s">
        <v>304</v>
      </c>
      <c r="D388" s="5">
        <v>22</v>
      </c>
      <c r="E388" s="5"/>
      <c r="F388" s="7">
        <v>1</v>
      </c>
      <c r="G388" s="5"/>
      <c r="H388" s="6" t="s">
        <v>153</v>
      </c>
      <c r="I388" s="6" t="s">
        <v>159</v>
      </c>
      <c r="J388" s="6" t="s">
        <v>94</v>
      </c>
      <c r="K388" s="6" t="s">
        <v>551</v>
      </c>
    </row>
    <row r="389" spans="1:11" ht="45" customHeight="1" x14ac:dyDescent="0.25">
      <c r="A389" s="5" t="s">
        <v>493</v>
      </c>
      <c r="B389" s="5" t="s">
        <v>389</v>
      </c>
      <c r="C389" s="6" t="s">
        <v>304</v>
      </c>
      <c r="D389" s="5">
        <v>23</v>
      </c>
      <c r="E389" s="5"/>
      <c r="F389" s="7">
        <v>267</v>
      </c>
      <c r="G389" s="5"/>
      <c r="H389" s="6" t="s">
        <v>161</v>
      </c>
      <c r="I389" s="6" t="s">
        <v>125</v>
      </c>
      <c r="J389" s="6" t="s">
        <v>94</v>
      </c>
      <c r="K389" s="6" t="s">
        <v>554</v>
      </c>
    </row>
    <row r="390" spans="1:11" ht="30" customHeight="1" x14ac:dyDescent="0.25">
      <c r="A390" s="5" t="s">
        <v>493</v>
      </c>
      <c r="B390" s="5" t="s">
        <v>389</v>
      </c>
      <c r="C390" s="6" t="s">
        <v>304</v>
      </c>
      <c r="D390" s="5">
        <v>25</v>
      </c>
      <c r="E390" s="5"/>
      <c r="F390" s="7">
        <v>17</v>
      </c>
      <c r="G390" s="5"/>
      <c r="H390" s="6" t="s">
        <v>161</v>
      </c>
      <c r="I390" s="6" t="s">
        <v>126</v>
      </c>
      <c r="J390" s="6" t="s">
        <v>94</v>
      </c>
      <c r="K390" s="6" t="s">
        <v>555</v>
      </c>
    </row>
    <row r="391" spans="1:11" ht="45" customHeight="1" x14ac:dyDescent="0.25">
      <c r="A391" s="5" t="s">
        <v>493</v>
      </c>
      <c r="B391" s="5" t="s">
        <v>389</v>
      </c>
      <c r="C391" s="6" t="s">
        <v>304</v>
      </c>
      <c r="D391" s="5">
        <v>26</v>
      </c>
      <c r="E391" s="5"/>
      <c r="F391" s="7">
        <v>75</v>
      </c>
      <c r="G391" s="5"/>
      <c r="H391" s="6" t="s">
        <v>161</v>
      </c>
      <c r="I391" s="6" t="s">
        <v>129</v>
      </c>
      <c r="J391" s="6" t="s">
        <v>94</v>
      </c>
      <c r="K391" s="6" t="s">
        <v>556</v>
      </c>
    </row>
    <row r="392" spans="1:11" ht="30" customHeight="1" x14ac:dyDescent="0.25">
      <c r="A392" s="5" t="s">
        <v>493</v>
      </c>
      <c r="B392" s="5" t="s">
        <v>389</v>
      </c>
      <c r="C392" s="6" t="s">
        <v>304</v>
      </c>
      <c r="D392" s="5">
        <v>27</v>
      </c>
      <c r="E392" s="5"/>
      <c r="F392" s="7">
        <v>65</v>
      </c>
      <c r="G392" s="5"/>
      <c r="H392" s="6" t="s">
        <v>152</v>
      </c>
      <c r="I392" s="6" t="s">
        <v>141</v>
      </c>
      <c r="J392" s="6" t="s">
        <v>94</v>
      </c>
      <c r="K392" s="6" t="s">
        <v>555</v>
      </c>
    </row>
    <row r="393" spans="1:11" ht="45" customHeight="1" x14ac:dyDescent="0.25">
      <c r="A393" s="5" t="s">
        <v>493</v>
      </c>
      <c r="B393" s="5" t="s">
        <v>389</v>
      </c>
      <c r="C393" s="6" t="s">
        <v>304</v>
      </c>
      <c r="D393" s="5">
        <v>28</v>
      </c>
      <c r="E393" s="5"/>
      <c r="F393" s="7">
        <v>87.5</v>
      </c>
      <c r="G393" s="5"/>
      <c r="H393" s="6" t="s">
        <v>160</v>
      </c>
      <c r="I393" s="6" t="s">
        <v>141</v>
      </c>
      <c r="J393" s="6" t="s">
        <v>94</v>
      </c>
      <c r="K393" s="6" t="s">
        <v>557</v>
      </c>
    </row>
    <row r="394" spans="1:11" ht="30" customHeight="1" x14ac:dyDescent="0.25">
      <c r="A394" s="5" t="s">
        <v>493</v>
      </c>
      <c r="B394" s="5" t="s">
        <v>389</v>
      </c>
      <c r="C394" s="6" t="s">
        <v>304</v>
      </c>
      <c r="D394" s="5">
        <v>30</v>
      </c>
      <c r="E394" s="5"/>
      <c r="F394" s="7">
        <v>150</v>
      </c>
      <c r="G394" s="5"/>
      <c r="H394" s="6" t="s">
        <v>163</v>
      </c>
      <c r="I394" s="6" t="s">
        <v>132</v>
      </c>
      <c r="J394" s="6" t="s">
        <v>94</v>
      </c>
      <c r="K394" s="6" t="s">
        <v>558</v>
      </c>
    </row>
    <row r="395" spans="1:11" ht="45" customHeight="1" x14ac:dyDescent="0.25">
      <c r="A395" s="5" t="s">
        <v>493</v>
      </c>
      <c r="B395" s="5" t="s">
        <v>389</v>
      </c>
      <c r="C395" s="6" t="s">
        <v>304</v>
      </c>
      <c r="D395" s="5">
        <v>32</v>
      </c>
      <c r="E395" s="5"/>
      <c r="F395" s="7">
        <v>242.5</v>
      </c>
      <c r="G395" s="5"/>
      <c r="H395" s="6" t="s">
        <v>124</v>
      </c>
      <c r="I395" s="6" t="s">
        <v>125</v>
      </c>
      <c r="J395" s="6" t="s">
        <v>94</v>
      </c>
      <c r="K395" s="6" t="s">
        <v>559</v>
      </c>
    </row>
    <row r="396" spans="1:11" ht="45" customHeight="1" x14ac:dyDescent="0.25">
      <c r="A396" s="5" t="s">
        <v>493</v>
      </c>
      <c r="B396" s="5" t="s">
        <v>389</v>
      </c>
      <c r="C396" s="6" t="s">
        <v>304</v>
      </c>
      <c r="D396" s="5">
        <v>35</v>
      </c>
      <c r="E396" s="5"/>
      <c r="F396" s="7">
        <v>25</v>
      </c>
      <c r="G396" s="5"/>
      <c r="H396" s="6" t="s">
        <v>127</v>
      </c>
      <c r="I396" s="6" t="s">
        <v>129</v>
      </c>
      <c r="J396" s="6" t="s">
        <v>94</v>
      </c>
      <c r="K396" s="6" t="s">
        <v>559</v>
      </c>
    </row>
    <row r="397" spans="1:11" ht="30" customHeight="1" x14ac:dyDescent="0.25">
      <c r="A397" s="5" t="s">
        <v>493</v>
      </c>
      <c r="B397" s="5" t="s">
        <v>389</v>
      </c>
      <c r="C397" s="6" t="s">
        <v>304</v>
      </c>
      <c r="D397" s="5">
        <v>37</v>
      </c>
      <c r="E397" s="5"/>
      <c r="F397" s="7">
        <v>103</v>
      </c>
      <c r="G397" s="5"/>
      <c r="H397" s="6" t="s">
        <v>147</v>
      </c>
      <c r="I397" s="6" t="s">
        <v>132</v>
      </c>
      <c r="J397" s="6" t="s">
        <v>94</v>
      </c>
      <c r="K397" s="6" t="s">
        <v>560</v>
      </c>
    </row>
    <row r="398" spans="1:11" ht="30" customHeight="1" x14ac:dyDescent="0.25">
      <c r="A398" s="5" t="s">
        <v>493</v>
      </c>
      <c r="B398" s="5" t="s">
        <v>389</v>
      </c>
      <c r="C398" s="6" t="s">
        <v>304</v>
      </c>
      <c r="D398" s="5">
        <v>39</v>
      </c>
      <c r="E398" s="5"/>
      <c r="F398" s="7">
        <v>1140</v>
      </c>
      <c r="G398" s="5"/>
      <c r="H398" s="6" t="s">
        <v>120</v>
      </c>
      <c r="I398" s="6" t="s">
        <v>121</v>
      </c>
      <c r="J398" s="6" t="s">
        <v>94</v>
      </c>
      <c r="K398" s="6" t="s">
        <v>561</v>
      </c>
    </row>
    <row r="399" spans="1:11" ht="30" customHeight="1" x14ac:dyDescent="0.25">
      <c r="A399" s="5" t="s">
        <v>493</v>
      </c>
      <c r="B399" s="5" t="s">
        <v>389</v>
      </c>
      <c r="C399" s="6" t="s">
        <v>304</v>
      </c>
      <c r="D399" s="5">
        <v>42</v>
      </c>
      <c r="E399" s="5"/>
      <c r="F399" s="7">
        <v>300</v>
      </c>
      <c r="G399" s="5"/>
      <c r="H399" s="6" t="s">
        <v>130</v>
      </c>
      <c r="I399" s="6" t="s">
        <v>131</v>
      </c>
      <c r="J399" s="6" t="s">
        <v>94</v>
      </c>
      <c r="K399" s="6" t="s">
        <v>562</v>
      </c>
    </row>
    <row r="400" spans="1:11" ht="30" customHeight="1" x14ac:dyDescent="0.25">
      <c r="A400" s="5" t="s">
        <v>493</v>
      </c>
      <c r="B400" s="5" t="s">
        <v>389</v>
      </c>
      <c r="C400" s="6" t="s">
        <v>304</v>
      </c>
      <c r="D400" s="5">
        <v>43</v>
      </c>
      <c r="E400" s="5"/>
      <c r="F400" s="7">
        <v>80</v>
      </c>
      <c r="G400" s="5"/>
      <c r="H400" s="6" t="s">
        <v>130</v>
      </c>
      <c r="I400" s="6" t="s">
        <v>132</v>
      </c>
      <c r="J400" s="6" t="s">
        <v>94</v>
      </c>
      <c r="K400" s="6" t="s">
        <v>563</v>
      </c>
    </row>
    <row r="401" spans="1:11" ht="30" customHeight="1" x14ac:dyDescent="0.25">
      <c r="A401" s="5" t="s">
        <v>493</v>
      </c>
      <c r="B401" s="5" t="s">
        <v>389</v>
      </c>
      <c r="C401" s="6" t="s">
        <v>304</v>
      </c>
      <c r="D401" s="5">
        <v>45</v>
      </c>
      <c r="E401" s="5"/>
      <c r="F401" s="7">
        <v>330</v>
      </c>
      <c r="G401" s="5"/>
      <c r="H401" s="6" t="s">
        <v>145</v>
      </c>
      <c r="I401" s="6" t="s">
        <v>121</v>
      </c>
      <c r="J401" s="6" t="s">
        <v>94</v>
      </c>
      <c r="K401" s="6" t="s">
        <v>564</v>
      </c>
    </row>
    <row r="402" spans="1:11" ht="30" customHeight="1" x14ac:dyDescent="0.25">
      <c r="A402" s="5" t="s">
        <v>493</v>
      </c>
      <c r="B402" s="5" t="s">
        <v>389</v>
      </c>
      <c r="C402" s="6" t="s">
        <v>304</v>
      </c>
      <c r="D402" s="5">
        <v>46</v>
      </c>
      <c r="E402" s="5"/>
      <c r="F402" s="7">
        <v>150</v>
      </c>
      <c r="G402" s="5"/>
      <c r="H402" s="6" t="s">
        <v>145</v>
      </c>
      <c r="I402" s="6" t="s">
        <v>122</v>
      </c>
      <c r="J402" s="6" t="s">
        <v>94</v>
      </c>
      <c r="K402" s="6" t="s">
        <v>564</v>
      </c>
    </row>
    <row r="403" spans="1:11" ht="45" customHeight="1" x14ac:dyDescent="0.25">
      <c r="A403" s="5" t="s">
        <v>493</v>
      </c>
      <c r="B403" s="5" t="s">
        <v>389</v>
      </c>
      <c r="C403" s="6" t="s">
        <v>304</v>
      </c>
      <c r="D403" s="5">
        <v>49</v>
      </c>
      <c r="E403" s="5"/>
      <c r="F403" s="7">
        <v>172</v>
      </c>
      <c r="G403" s="5"/>
      <c r="H403" s="6" t="s">
        <v>166</v>
      </c>
      <c r="I403" s="6" t="s">
        <v>167</v>
      </c>
      <c r="J403" s="6" t="s">
        <v>94</v>
      </c>
      <c r="K403" s="6" t="s">
        <v>565</v>
      </c>
    </row>
    <row r="404" spans="1:11" ht="45" customHeight="1" x14ac:dyDescent="0.25">
      <c r="A404" s="5" t="s">
        <v>493</v>
      </c>
      <c r="B404" s="5" t="s">
        <v>389</v>
      </c>
      <c r="C404" s="6" t="s">
        <v>304</v>
      </c>
      <c r="D404" s="5">
        <v>50</v>
      </c>
      <c r="E404" s="5"/>
      <c r="F404" s="7">
        <v>1947</v>
      </c>
      <c r="G404" s="5"/>
      <c r="H404" s="6" t="s">
        <v>168</v>
      </c>
      <c r="I404" s="6" t="s">
        <v>169</v>
      </c>
      <c r="J404" s="6" t="s">
        <v>94</v>
      </c>
      <c r="K404" s="6" t="s">
        <v>566</v>
      </c>
    </row>
    <row r="405" spans="1:11" ht="45" customHeight="1" x14ac:dyDescent="0.25">
      <c r="A405" s="5" t="s">
        <v>493</v>
      </c>
      <c r="B405" s="5" t="s">
        <v>389</v>
      </c>
      <c r="C405" s="6" t="s">
        <v>304</v>
      </c>
      <c r="D405" s="5">
        <v>51</v>
      </c>
      <c r="E405" s="5"/>
      <c r="F405" s="7">
        <v>160</v>
      </c>
      <c r="G405" s="5"/>
      <c r="H405" s="6" t="s">
        <v>170</v>
      </c>
      <c r="I405" s="6" t="s">
        <v>171</v>
      </c>
      <c r="J405" s="6" t="s">
        <v>94</v>
      </c>
      <c r="K405" s="6" t="s">
        <v>567</v>
      </c>
    </row>
    <row r="406" spans="1:11" ht="45" customHeight="1" x14ac:dyDescent="0.25">
      <c r="A406" s="5" t="s">
        <v>493</v>
      </c>
      <c r="B406" s="5" t="s">
        <v>389</v>
      </c>
      <c r="C406" s="6" t="s">
        <v>304</v>
      </c>
      <c r="D406" s="5">
        <v>52</v>
      </c>
      <c r="E406" s="5"/>
      <c r="F406" s="7">
        <v>1930</v>
      </c>
      <c r="G406" s="5"/>
      <c r="H406" s="6" t="s">
        <v>174</v>
      </c>
      <c r="I406" s="6" t="s">
        <v>171</v>
      </c>
      <c r="J406" s="6" t="s">
        <v>94</v>
      </c>
      <c r="K406" s="6" t="s">
        <v>568</v>
      </c>
    </row>
    <row r="407" spans="1:11" ht="45" customHeight="1" x14ac:dyDescent="0.25">
      <c r="A407" s="5" t="s">
        <v>493</v>
      </c>
      <c r="B407" s="5" t="s">
        <v>389</v>
      </c>
      <c r="C407" s="6" t="s">
        <v>304</v>
      </c>
      <c r="D407" s="5">
        <v>53</v>
      </c>
      <c r="E407" s="5"/>
      <c r="F407" s="7">
        <v>452</v>
      </c>
      <c r="G407" s="5"/>
      <c r="H407" s="6" t="s">
        <v>174</v>
      </c>
      <c r="I407" s="6" t="s">
        <v>173</v>
      </c>
      <c r="J407" s="6" t="s">
        <v>94</v>
      </c>
      <c r="K407" s="6" t="s">
        <v>569</v>
      </c>
    </row>
    <row r="408" spans="1:11" ht="45" customHeight="1" x14ac:dyDescent="0.25">
      <c r="A408" s="5" t="s">
        <v>493</v>
      </c>
      <c r="B408" s="5" t="s">
        <v>389</v>
      </c>
      <c r="C408" s="6" t="s">
        <v>304</v>
      </c>
      <c r="D408" s="5">
        <v>54</v>
      </c>
      <c r="E408" s="5"/>
      <c r="F408" s="7">
        <v>242</v>
      </c>
      <c r="G408" s="5"/>
      <c r="H408" s="6" t="s">
        <v>172</v>
      </c>
      <c r="I408" s="6" t="s">
        <v>171</v>
      </c>
      <c r="J408" s="6" t="s">
        <v>94</v>
      </c>
      <c r="K408" s="6" t="s">
        <v>570</v>
      </c>
    </row>
    <row r="409" spans="1:11" ht="45" customHeight="1" x14ac:dyDescent="0.25">
      <c r="A409" s="5" t="s">
        <v>493</v>
      </c>
      <c r="B409" s="5" t="s">
        <v>389</v>
      </c>
      <c r="C409" s="6" t="s">
        <v>304</v>
      </c>
      <c r="D409" s="5">
        <v>55</v>
      </c>
      <c r="E409" s="5"/>
      <c r="F409" s="7">
        <v>132</v>
      </c>
      <c r="G409" s="5"/>
      <c r="H409" s="6" t="s">
        <v>172</v>
      </c>
      <c r="I409" s="6" t="s">
        <v>173</v>
      </c>
      <c r="J409" s="6" t="s">
        <v>94</v>
      </c>
      <c r="K409" s="6" t="s">
        <v>570</v>
      </c>
    </row>
    <row r="410" spans="1:11" ht="45" customHeight="1" x14ac:dyDescent="0.25">
      <c r="A410" s="5" t="s">
        <v>493</v>
      </c>
      <c r="B410" s="5" t="s">
        <v>389</v>
      </c>
      <c r="C410" s="6" t="s">
        <v>304</v>
      </c>
      <c r="D410" s="5">
        <v>56</v>
      </c>
      <c r="E410" s="5"/>
      <c r="F410" s="7">
        <v>290</v>
      </c>
      <c r="G410" s="5"/>
      <c r="H410" s="6" t="s">
        <v>175</v>
      </c>
      <c r="I410" s="6" t="s">
        <v>176</v>
      </c>
      <c r="J410" s="6" t="s">
        <v>94</v>
      </c>
      <c r="K410" s="6" t="s">
        <v>571</v>
      </c>
    </row>
    <row r="411" spans="1:11" ht="45" customHeight="1" x14ac:dyDescent="0.25">
      <c r="A411" s="5" t="s">
        <v>493</v>
      </c>
      <c r="B411" s="5" t="s">
        <v>389</v>
      </c>
      <c r="C411" s="6" t="s">
        <v>304</v>
      </c>
      <c r="D411" s="5">
        <v>57</v>
      </c>
      <c r="E411" s="5"/>
      <c r="F411" s="7">
        <v>402</v>
      </c>
      <c r="G411" s="5"/>
      <c r="H411" s="6" t="s">
        <v>175</v>
      </c>
      <c r="I411" s="6" t="s">
        <v>177</v>
      </c>
      <c r="J411" s="6" t="s">
        <v>94</v>
      </c>
      <c r="K411" s="6" t="s">
        <v>572</v>
      </c>
    </row>
    <row r="412" spans="1:11" ht="30" customHeight="1" x14ac:dyDescent="0.25">
      <c r="A412" s="5" t="s">
        <v>493</v>
      </c>
      <c r="B412" s="5" t="s">
        <v>389</v>
      </c>
      <c r="C412" s="6" t="s">
        <v>304</v>
      </c>
      <c r="D412" s="5">
        <v>58</v>
      </c>
      <c r="E412" s="5"/>
      <c r="F412" s="7">
        <v>97</v>
      </c>
      <c r="G412" s="5"/>
      <c r="H412" s="6" t="s">
        <v>175</v>
      </c>
      <c r="I412" s="6" t="s">
        <v>178</v>
      </c>
      <c r="J412" s="6" t="s">
        <v>94</v>
      </c>
      <c r="K412" s="6" t="s">
        <v>573</v>
      </c>
    </row>
    <row r="413" spans="1:11" ht="45" customHeight="1" x14ac:dyDescent="0.25">
      <c r="A413" s="5" t="s">
        <v>493</v>
      </c>
      <c r="B413" s="5" t="s">
        <v>389</v>
      </c>
      <c r="C413" s="6" t="s">
        <v>304</v>
      </c>
      <c r="D413" s="5">
        <v>59</v>
      </c>
      <c r="E413" s="5"/>
      <c r="F413" s="7">
        <v>577</v>
      </c>
      <c r="G413" s="5"/>
      <c r="H413" s="6" t="s">
        <v>181</v>
      </c>
      <c r="I413" s="6" t="s">
        <v>171</v>
      </c>
      <c r="J413" s="6" t="s">
        <v>94</v>
      </c>
      <c r="K413" s="6" t="s">
        <v>574</v>
      </c>
    </row>
    <row r="414" spans="1:11" ht="45" customHeight="1" x14ac:dyDescent="0.25">
      <c r="A414" s="5" t="s">
        <v>493</v>
      </c>
      <c r="B414" s="5" t="s">
        <v>389</v>
      </c>
      <c r="C414" s="6" t="s">
        <v>304</v>
      </c>
      <c r="D414" s="5">
        <v>60</v>
      </c>
      <c r="E414" s="5"/>
      <c r="F414" s="7">
        <v>75</v>
      </c>
      <c r="G414" s="5"/>
      <c r="H414" s="6" t="s">
        <v>181</v>
      </c>
      <c r="I414" s="6" t="s">
        <v>173</v>
      </c>
      <c r="J414" s="6" t="s">
        <v>94</v>
      </c>
      <c r="K414" s="6" t="s">
        <v>574</v>
      </c>
    </row>
    <row r="415" spans="1:11" ht="30" customHeight="1" x14ac:dyDescent="0.25">
      <c r="A415" s="5" t="s">
        <v>493</v>
      </c>
      <c r="B415" s="5" t="s">
        <v>389</v>
      </c>
      <c r="C415" s="6" t="s">
        <v>304</v>
      </c>
      <c r="D415" s="5">
        <v>61</v>
      </c>
      <c r="E415" s="5"/>
      <c r="F415" s="7">
        <v>290</v>
      </c>
      <c r="G415" s="5"/>
      <c r="H415" s="6" t="s">
        <v>182</v>
      </c>
      <c r="I415" s="6" t="s">
        <v>176</v>
      </c>
      <c r="J415" s="6" t="s">
        <v>94</v>
      </c>
      <c r="K415" s="6" t="s">
        <v>575</v>
      </c>
    </row>
    <row r="416" spans="1:11" ht="30" customHeight="1" x14ac:dyDescent="0.25">
      <c r="A416" s="5" t="s">
        <v>493</v>
      </c>
      <c r="B416" s="5" t="s">
        <v>389</v>
      </c>
      <c r="C416" s="6" t="s">
        <v>304</v>
      </c>
      <c r="D416" s="5">
        <v>62</v>
      </c>
      <c r="E416" s="5"/>
      <c r="F416" s="7">
        <v>233</v>
      </c>
      <c r="G416" s="5"/>
      <c r="H416" s="6" t="s">
        <v>183</v>
      </c>
      <c r="I416" s="6" t="s">
        <v>167</v>
      </c>
      <c r="J416" s="6" t="s">
        <v>94</v>
      </c>
      <c r="K416" s="6" t="s">
        <v>576</v>
      </c>
    </row>
    <row r="417" spans="1:11" ht="30" customHeight="1" x14ac:dyDescent="0.25">
      <c r="A417" s="5" t="s">
        <v>493</v>
      </c>
      <c r="B417" s="5" t="s">
        <v>389</v>
      </c>
      <c r="C417" s="6" t="s">
        <v>304</v>
      </c>
      <c r="D417" s="5">
        <v>63</v>
      </c>
      <c r="E417" s="5"/>
      <c r="F417" s="7">
        <v>245</v>
      </c>
      <c r="G417" s="5"/>
      <c r="H417" s="6" t="s">
        <v>179</v>
      </c>
      <c r="I417" s="6" t="s">
        <v>180</v>
      </c>
      <c r="J417" s="6" t="s">
        <v>94</v>
      </c>
      <c r="K417" s="6" t="s">
        <v>577</v>
      </c>
    </row>
    <row r="418" spans="1:11" ht="30" customHeight="1" x14ac:dyDescent="0.25">
      <c r="A418" s="5" t="s">
        <v>493</v>
      </c>
      <c r="B418" s="5" t="s">
        <v>389</v>
      </c>
      <c r="C418" s="6" t="s">
        <v>304</v>
      </c>
      <c r="D418" s="5">
        <v>64</v>
      </c>
      <c r="E418" s="5"/>
      <c r="F418" s="7">
        <v>1000</v>
      </c>
      <c r="G418" s="5"/>
      <c r="H418" s="6" t="s">
        <v>201</v>
      </c>
      <c r="I418" s="6" t="s">
        <v>134</v>
      </c>
      <c r="J418" s="6" t="s">
        <v>94</v>
      </c>
      <c r="K418" s="6" t="s">
        <v>578</v>
      </c>
    </row>
    <row r="419" spans="1:11" ht="30" customHeight="1" x14ac:dyDescent="0.25">
      <c r="A419" s="5" t="s">
        <v>493</v>
      </c>
      <c r="B419" s="5" t="s">
        <v>389</v>
      </c>
      <c r="C419" s="6" t="s">
        <v>304</v>
      </c>
      <c r="D419" s="5">
        <v>65</v>
      </c>
      <c r="E419" s="5"/>
      <c r="F419" s="7">
        <v>1500</v>
      </c>
      <c r="G419" s="5"/>
      <c r="H419" s="6" t="s">
        <v>201</v>
      </c>
      <c r="I419" s="6" t="s">
        <v>135</v>
      </c>
      <c r="J419" s="6" t="s">
        <v>94</v>
      </c>
      <c r="K419" s="6" t="s">
        <v>578</v>
      </c>
    </row>
    <row r="420" spans="1:11" ht="30" customHeight="1" x14ac:dyDescent="0.25">
      <c r="A420" s="5" t="s">
        <v>493</v>
      </c>
      <c r="B420" s="5" t="s">
        <v>389</v>
      </c>
      <c r="C420" s="6" t="s">
        <v>304</v>
      </c>
      <c r="D420" s="5">
        <v>66</v>
      </c>
      <c r="E420" s="5"/>
      <c r="F420" s="7">
        <v>415</v>
      </c>
      <c r="G420" s="5"/>
      <c r="H420" s="6" t="s">
        <v>201</v>
      </c>
      <c r="I420" s="6" t="s">
        <v>200</v>
      </c>
      <c r="J420" s="6" t="s">
        <v>94</v>
      </c>
      <c r="K420" s="6" t="s">
        <v>579</v>
      </c>
    </row>
    <row r="421" spans="1:11" ht="45" customHeight="1" x14ac:dyDescent="0.25">
      <c r="A421" s="5" t="s">
        <v>493</v>
      </c>
      <c r="B421" s="5" t="s">
        <v>389</v>
      </c>
      <c r="C421" s="6" t="s">
        <v>304</v>
      </c>
      <c r="D421" s="5">
        <v>71</v>
      </c>
      <c r="E421" s="5"/>
      <c r="F421" s="7">
        <v>2255</v>
      </c>
      <c r="G421" s="5"/>
      <c r="H421" s="6" t="s">
        <v>199</v>
      </c>
      <c r="I421" s="6" t="s">
        <v>134</v>
      </c>
      <c r="J421" s="6" t="s">
        <v>94</v>
      </c>
      <c r="K421" s="6" t="s">
        <v>580</v>
      </c>
    </row>
    <row r="422" spans="1:11" ht="45" customHeight="1" x14ac:dyDescent="0.25">
      <c r="A422" s="5" t="s">
        <v>493</v>
      </c>
      <c r="B422" s="5" t="s">
        <v>389</v>
      </c>
      <c r="C422" s="6" t="s">
        <v>304</v>
      </c>
      <c r="D422" s="5">
        <v>72</v>
      </c>
      <c r="E422" s="5"/>
      <c r="F422" s="7">
        <v>3910</v>
      </c>
      <c r="G422" s="5"/>
      <c r="H422" s="6" t="s">
        <v>199</v>
      </c>
      <c r="I422" s="6" t="s">
        <v>135</v>
      </c>
      <c r="J422" s="6" t="s">
        <v>94</v>
      </c>
      <c r="K422" s="6" t="s">
        <v>580</v>
      </c>
    </row>
    <row r="423" spans="1:11" ht="30" customHeight="1" x14ac:dyDescent="0.25">
      <c r="A423" s="5" t="s">
        <v>493</v>
      </c>
      <c r="B423" s="5" t="s">
        <v>389</v>
      </c>
      <c r="C423" s="6" t="s">
        <v>304</v>
      </c>
      <c r="D423" s="5">
        <v>86</v>
      </c>
      <c r="E423" s="5"/>
      <c r="F423" s="7">
        <v>10</v>
      </c>
      <c r="G423" s="5"/>
      <c r="H423" s="6" t="s">
        <v>202</v>
      </c>
      <c r="I423" s="6" t="s">
        <v>203</v>
      </c>
      <c r="J423" s="6" t="s">
        <v>94</v>
      </c>
      <c r="K423" s="6" t="s">
        <v>581</v>
      </c>
    </row>
    <row r="424" spans="1:11" ht="45" customHeight="1" x14ac:dyDescent="0.25">
      <c r="A424" s="5" t="s">
        <v>493</v>
      </c>
      <c r="B424" s="5" t="s">
        <v>389</v>
      </c>
      <c r="C424" s="6" t="s">
        <v>304</v>
      </c>
      <c r="D424" s="5">
        <v>87</v>
      </c>
      <c r="E424" s="5"/>
      <c r="F424" s="7">
        <v>1037</v>
      </c>
      <c r="G424" s="5"/>
      <c r="H424" s="6" t="s">
        <v>202</v>
      </c>
      <c r="I424" s="6" t="s">
        <v>204</v>
      </c>
      <c r="J424" s="6" t="s">
        <v>94</v>
      </c>
      <c r="K424" s="6" t="s">
        <v>582</v>
      </c>
    </row>
    <row r="425" spans="1:11" ht="30" customHeight="1" x14ac:dyDescent="0.25">
      <c r="A425" s="5" t="s">
        <v>493</v>
      </c>
      <c r="B425" s="5" t="s">
        <v>389</v>
      </c>
      <c r="C425" s="6" t="s">
        <v>304</v>
      </c>
      <c r="D425" s="5">
        <v>89</v>
      </c>
      <c r="E425" s="5"/>
      <c r="F425" s="7">
        <v>170</v>
      </c>
      <c r="G425" s="5"/>
      <c r="H425" s="6" t="s">
        <v>217</v>
      </c>
      <c r="I425" s="6" t="s">
        <v>204</v>
      </c>
      <c r="J425" s="6" t="s">
        <v>94</v>
      </c>
      <c r="K425" s="6" t="s">
        <v>583</v>
      </c>
    </row>
    <row r="426" spans="1:11" ht="30" customHeight="1" x14ac:dyDescent="0.25">
      <c r="A426" s="5" t="s">
        <v>493</v>
      </c>
      <c r="B426" s="5" t="s">
        <v>389</v>
      </c>
      <c r="C426" s="6" t="s">
        <v>304</v>
      </c>
      <c r="D426" s="5">
        <v>93</v>
      </c>
      <c r="E426" s="5"/>
      <c r="F426" s="7">
        <v>60</v>
      </c>
      <c r="G426" s="5"/>
      <c r="H426" s="6" t="s">
        <v>211</v>
      </c>
      <c r="I426" s="6" t="s">
        <v>210</v>
      </c>
      <c r="J426" s="6" t="s">
        <v>94</v>
      </c>
      <c r="K426" s="6" t="s">
        <v>584</v>
      </c>
    </row>
    <row r="427" spans="1:11" ht="30" customHeight="1" x14ac:dyDescent="0.25">
      <c r="A427" s="5" t="s">
        <v>493</v>
      </c>
      <c r="B427" s="5" t="s">
        <v>389</v>
      </c>
      <c r="C427" s="6" t="s">
        <v>304</v>
      </c>
      <c r="D427" s="5">
        <v>94</v>
      </c>
      <c r="E427" s="5"/>
      <c r="F427" s="7">
        <v>37</v>
      </c>
      <c r="G427" s="5"/>
      <c r="H427" s="6" t="s">
        <v>211</v>
      </c>
      <c r="I427" s="6" t="s">
        <v>207</v>
      </c>
      <c r="J427" s="6" t="s">
        <v>94</v>
      </c>
      <c r="K427" s="6" t="s">
        <v>584</v>
      </c>
    </row>
    <row r="428" spans="1:11" ht="45" customHeight="1" x14ac:dyDescent="0.25">
      <c r="A428" s="5" t="s">
        <v>493</v>
      </c>
      <c r="B428" s="5" t="s">
        <v>389</v>
      </c>
      <c r="C428" s="6" t="s">
        <v>304</v>
      </c>
      <c r="D428" s="5">
        <v>96</v>
      </c>
      <c r="E428" s="5"/>
      <c r="F428" s="7">
        <v>4835</v>
      </c>
      <c r="G428" s="5"/>
      <c r="H428" s="6" t="s">
        <v>208</v>
      </c>
      <c r="I428" s="6" t="s">
        <v>135</v>
      </c>
      <c r="J428" s="6" t="s">
        <v>94</v>
      </c>
      <c r="K428" s="6" t="s">
        <v>585</v>
      </c>
    </row>
    <row r="429" spans="1:11" ht="30" customHeight="1" x14ac:dyDescent="0.25">
      <c r="A429" s="5" t="s">
        <v>493</v>
      </c>
      <c r="B429" s="5" t="s">
        <v>389</v>
      </c>
      <c r="C429" s="6" t="s">
        <v>304</v>
      </c>
      <c r="D429" s="5">
        <v>106</v>
      </c>
      <c r="E429" s="5"/>
      <c r="F429" s="7">
        <v>390</v>
      </c>
      <c r="G429" s="5"/>
      <c r="H429" s="6" t="s">
        <v>229</v>
      </c>
      <c r="I429" s="6" t="s">
        <v>151</v>
      </c>
      <c r="J429" s="6" t="s">
        <v>94</v>
      </c>
      <c r="K429" s="6" t="s">
        <v>586</v>
      </c>
    </row>
    <row r="430" spans="1:11" ht="45" customHeight="1" x14ac:dyDescent="0.25">
      <c r="A430" s="5" t="s">
        <v>493</v>
      </c>
      <c r="B430" s="5" t="s">
        <v>389</v>
      </c>
      <c r="C430" s="6" t="s">
        <v>304</v>
      </c>
      <c r="D430" s="5">
        <v>109</v>
      </c>
      <c r="E430" s="5"/>
      <c r="F430" s="7">
        <v>3000</v>
      </c>
      <c r="G430" s="5"/>
      <c r="H430" s="6" t="s">
        <v>227</v>
      </c>
      <c r="I430" s="6" t="s">
        <v>151</v>
      </c>
      <c r="J430" s="6" t="s">
        <v>94</v>
      </c>
      <c r="K430" s="6" t="s">
        <v>587</v>
      </c>
    </row>
    <row r="431" spans="1:11" ht="45" customHeight="1" x14ac:dyDescent="0.25">
      <c r="A431" s="5" t="s">
        <v>493</v>
      </c>
      <c r="B431" s="5" t="s">
        <v>389</v>
      </c>
      <c r="C431" s="6" t="s">
        <v>304</v>
      </c>
      <c r="D431" s="5">
        <v>110</v>
      </c>
      <c r="E431" s="5"/>
      <c r="F431" s="7">
        <v>280</v>
      </c>
      <c r="G431" s="5"/>
      <c r="H431" s="6" t="s">
        <v>227</v>
      </c>
      <c r="I431" s="6" t="s">
        <v>228</v>
      </c>
      <c r="J431" s="6" t="s">
        <v>94</v>
      </c>
      <c r="K431" s="6" t="s">
        <v>587</v>
      </c>
    </row>
    <row r="432" spans="1:11" ht="30" customHeight="1" x14ac:dyDescent="0.25">
      <c r="A432" s="5" t="s">
        <v>493</v>
      </c>
      <c r="B432" s="5" t="s">
        <v>389</v>
      </c>
      <c r="C432" s="6" t="s">
        <v>304</v>
      </c>
      <c r="D432" s="5">
        <v>112</v>
      </c>
      <c r="E432" s="5"/>
      <c r="F432" s="7">
        <v>7</v>
      </c>
      <c r="G432" s="5"/>
      <c r="H432" s="6" t="s">
        <v>209</v>
      </c>
      <c r="I432" s="6" t="s">
        <v>204</v>
      </c>
      <c r="J432" s="6" t="s">
        <v>94</v>
      </c>
      <c r="K432" s="6" t="s">
        <v>588</v>
      </c>
    </row>
    <row r="433" spans="1:11" ht="45" customHeight="1" x14ac:dyDescent="0.25">
      <c r="A433" s="5" t="s">
        <v>493</v>
      </c>
      <c r="B433" s="5" t="s">
        <v>389</v>
      </c>
      <c r="C433" s="6" t="s">
        <v>304</v>
      </c>
      <c r="D433" s="5">
        <v>115</v>
      </c>
      <c r="E433" s="5"/>
      <c r="F433" s="7">
        <v>10</v>
      </c>
      <c r="G433" s="5"/>
      <c r="H433" s="6" t="s">
        <v>220</v>
      </c>
      <c r="I433" s="6" t="s">
        <v>207</v>
      </c>
      <c r="J433" s="6" t="s">
        <v>94</v>
      </c>
      <c r="K433" s="6" t="s">
        <v>589</v>
      </c>
    </row>
    <row r="434" spans="1:11" ht="30" customHeight="1" x14ac:dyDescent="0.25">
      <c r="A434" s="5" t="s">
        <v>493</v>
      </c>
      <c r="B434" s="5" t="s">
        <v>389</v>
      </c>
      <c r="C434" s="6" t="s">
        <v>304</v>
      </c>
      <c r="D434" s="5">
        <v>116</v>
      </c>
      <c r="E434" s="5"/>
      <c r="F434" s="7">
        <v>250</v>
      </c>
      <c r="G434" s="5"/>
      <c r="H434" s="6" t="s">
        <v>195</v>
      </c>
      <c r="I434" s="6" t="s">
        <v>128</v>
      </c>
      <c r="J434" s="6" t="s">
        <v>94</v>
      </c>
      <c r="K434" s="6" t="s">
        <v>590</v>
      </c>
    </row>
    <row r="435" spans="1:11" ht="45" customHeight="1" x14ac:dyDescent="0.25">
      <c r="A435" s="5" t="s">
        <v>493</v>
      </c>
      <c r="B435" s="5" t="s">
        <v>389</v>
      </c>
      <c r="C435" s="6" t="s">
        <v>304</v>
      </c>
      <c r="D435" s="5">
        <v>118</v>
      </c>
      <c r="E435" s="5"/>
      <c r="F435" s="7">
        <v>130</v>
      </c>
      <c r="G435" s="5"/>
      <c r="H435" s="6" t="s">
        <v>230</v>
      </c>
      <c r="I435" s="6" t="s">
        <v>231</v>
      </c>
      <c r="J435" s="6" t="s">
        <v>94</v>
      </c>
      <c r="K435" s="6" t="s">
        <v>591</v>
      </c>
    </row>
    <row r="436" spans="1:11" ht="45" customHeight="1" x14ac:dyDescent="0.25">
      <c r="A436" s="5" t="s">
        <v>493</v>
      </c>
      <c r="B436" s="5" t="s">
        <v>389</v>
      </c>
      <c r="C436" s="6" t="s">
        <v>304</v>
      </c>
      <c r="D436" s="5">
        <v>119</v>
      </c>
      <c r="E436" s="5"/>
      <c r="F436" s="7">
        <v>527.5</v>
      </c>
      <c r="G436" s="5"/>
      <c r="H436" s="6" t="s">
        <v>230</v>
      </c>
      <c r="I436" s="6" t="s">
        <v>232</v>
      </c>
      <c r="J436" s="6" t="s">
        <v>94</v>
      </c>
      <c r="K436" s="6" t="s">
        <v>591</v>
      </c>
    </row>
    <row r="437" spans="1:11" ht="45" customHeight="1" x14ac:dyDescent="0.25">
      <c r="A437" s="5" t="s">
        <v>493</v>
      </c>
      <c r="B437" s="5" t="s">
        <v>389</v>
      </c>
      <c r="C437" s="6" t="s">
        <v>304</v>
      </c>
      <c r="D437" s="5">
        <v>120</v>
      </c>
      <c r="E437" s="5"/>
      <c r="F437" s="7">
        <v>65</v>
      </c>
      <c r="G437" s="5"/>
      <c r="H437" s="6" t="s">
        <v>233</v>
      </c>
      <c r="I437" s="6" t="s">
        <v>234</v>
      </c>
      <c r="J437" s="6" t="s">
        <v>94</v>
      </c>
      <c r="K437" s="6" t="s">
        <v>592</v>
      </c>
    </row>
    <row r="438" spans="1:11" ht="30" customHeight="1" x14ac:dyDescent="0.25">
      <c r="A438" s="5" t="s">
        <v>493</v>
      </c>
      <c r="B438" s="5" t="s">
        <v>389</v>
      </c>
      <c r="C438" s="6" t="s">
        <v>304</v>
      </c>
      <c r="D438" s="5">
        <v>122</v>
      </c>
      <c r="E438" s="5"/>
      <c r="F438" s="7">
        <v>35</v>
      </c>
      <c r="G438" s="5"/>
      <c r="H438" s="6" t="s">
        <v>148</v>
      </c>
      <c r="I438" s="6" t="s">
        <v>151</v>
      </c>
      <c r="J438" s="6" t="s">
        <v>94</v>
      </c>
      <c r="K438" s="6" t="s">
        <v>593</v>
      </c>
    </row>
    <row r="439" spans="1:11" ht="30" customHeight="1" x14ac:dyDescent="0.25">
      <c r="A439" s="5" t="s">
        <v>493</v>
      </c>
      <c r="B439" s="5" t="s">
        <v>389</v>
      </c>
      <c r="C439" s="6" t="s">
        <v>304</v>
      </c>
      <c r="D439" s="5">
        <v>128</v>
      </c>
      <c r="E439" s="5"/>
      <c r="F439" s="7">
        <v>18</v>
      </c>
      <c r="G439" s="5"/>
      <c r="H439" s="6" t="s">
        <v>191</v>
      </c>
      <c r="I439" s="6" t="s">
        <v>190</v>
      </c>
      <c r="J439" s="6" t="s">
        <v>94</v>
      </c>
      <c r="K439" s="6" t="s">
        <v>594</v>
      </c>
    </row>
    <row r="440" spans="1:11" ht="30" customHeight="1" x14ac:dyDescent="0.25">
      <c r="A440" s="5" t="s">
        <v>493</v>
      </c>
      <c r="B440" s="5" t="s">
        <v>389</v>
      </c>
      <c r="C440" s="6" t="s">
        <v>304</v>
      </c>
      <c r="D440" s="5">
        <v>129</v>
      </c>
      <c r="E440" s="5"/>
      <c r="F440" s="7">
        <v>12</v>
      </c>
      <c r="G440" s="5"/>
      <c r="H440" s="6" t="s">
        <v>189</v>
      </c>
      <c r="I440" s="6" t="s">
        <v>190</v>
      </c>
      <c r="J440" s="6" t="s">
        <v>94</v>
      </c>
      <c r="K440" s="6" t="s">
        <v>595</v>
      </c>
    </row>
    <row r="441" spans="1:11" ht="30" customHeight="1" x14ac:dyDescent="0.25">
      <c r="A441" s="5" t="s">
        <v>493</v>
      </c>
      <c r="B441" s="5" t="s">
        <v>389</v>
      </c>
      <c r="C441" s="6" t="s">
        <v>304</v>
      </c>
      <c r="D441" s="5">
        <v>130</v>
      </c>
      <c r="E441" s="5"/>
      <c r="F441" s="7">
        <v>5</v>
      </c>
      <c r="G441" s="5"/>
      <c r="H441" s="6" t="s">
        <v>192</v>
      </c>
      <c r="I441" s="6" t="s">
        <v>190</v>
      </c>
      <c r="J441" s="6" t="s">
        <v>94</v>
      </c>
      <c r="K441" s="6" t="s">
        <v>596</v>
      </c>
    </row>
    <row r="442" spans="1:11" ht="30" customHeight="1" x14ac:dyDescent="0.25">
      <c r="A442" s="5" t="s">
        <v>493</v>
      </c>
      <c r="B442" s="5" t="s">
        <v>389</v>
      </c>
      <c r="C442" s="6" t="s">
        <v>304</v>
      </c>
      <c r="D442" s="5">
        <v>131</v>
      </c>
      <c r="E442" s="5"/>
      <c r="F442" s="7">
        <v>20</v>
      </c>
      <c r="G442" s="5"/>
      <c r="H442" s="6" t="s">
        <v>188</v>
      </c>
      <c r="I442" s="6" t="s">
        <v>187</v>
      </c>
      <c r="J442" s="6" t="s">
        <v>94</v>
      </c>
      <c r="K442" s="6" t="s">
        <v>597</v>
      </c>
    </row>
    <row r="443" spans="1:11" ht="30" customHeight="1" x14ac:dyDescent="0.25">
      <c r="A443" s="5" t="s">
        <v>493</v>
      </c>
      <c r="B443" s="5" t="s">
        <v>389</v>
      </c>
      <c r="C443" s="6" t="s">
        <v>368</v>
      </c>
      <c r="D443" s="5">
        <v>1</v>
      </c>
      <c r="E443" s="5"/>
      <c r="F443" s="7">
        <v>214</v>
      </c>
      <c r="G443" s="5"/>
      <c r="H443" s="6" t="s">
        <v>111</v>
      </c>
      <c r="I443" s="6" t="s">
        <v>97</v>
      </c>
      <c r="J443" s="6" t="s">
        <v>94</v>
      </c>
      <c r="K443" s="6" t="s">
        <v>598</v>
      </c>
    </row>
    <row r="444" spans="1:11" ht="30" customHeight="1" x14ac:dyDescent="0.25">
      <c r="A444" s="5" t="s">
        <v>493</v>
      </c>
      <c r="B444" s="5" t="s">
        <v>389</v>
      </c>
      <c r="C444" s="6" t="s">
        <v>368</v>
      </c>
      <c r="D444" s="5">
        <v>2</v>
      </c>
      <c r="E444" s="5"/>
      <c r="F444" s="7">
        <v>398</v>
      </c>
      <c r="G444" s="5"/>
      <c r="H444" s="6" t="s">
        <v>111</v>
      </c>
      <c r="I444" s="6" t="s">
        <v>98</v>
      </c>
      <c r="J444" s="6" t="s">
        <v>94</v>
      </c>
      <c r="K444" s="6" t="s">
        <v>598</v>
      </c>
    </row>
    <row r="445" spans="1:11" ht="30" customHeight="1" x14ac:dyDescent="0.25">
      <c r="A445" s="5" t="s">
        <v>493</v>
      </c>
      <c r="B445" s="5" t="s">
        <v>389</v>
      </c>
      <c r="C445" s="6" t="s">
        <v>368</v>
      </c>
      <c r="D445" s="5">
        <v>4</v>
      </c>
      <c r="E445" s="5"/>
      <c r="F445" s="7">
        <v>186</v>
      </c>
      <c r="G445" s="5"/>
      <c r="H445" s="6" t="s">
        <v>111</v>
      </c>
      <c r="I445" s="6" t="s">
        <v>113</v>
      </c>
      <c r="J445" s="6" t="s">
        <v>94</v>
      </c>
      <c r="K445" s="6" t="s">
        <v>598</v>
      </c>
    </row>
    <row r="446" spans="1:11" ht="30" customHeight="1" x14ac:dyDescent="0.25">
      <c r="A446" s="5" t="s">
        <v>493</v>
      </c>
      <c r="B446" s="5" t="s">
        <v>389</v>
      </c>
      <c r="C446" s="6" t="s">
        <v>368</v>
      </c>
      <c r="D446" s="5">
        <v>5</v>
      </c>
      <c r="E446" s="5"/>
      <c r="F446" s="7">
        <v>100</v>
      </c>
      <c r="G446" s="5"/>
      <c r="H446" s="6" t="s">
        <v>116</v>
      </c>
      <c r="I446" s="6" t="s">
        <v>98</v>
      </c>
      <c r="J446" s="6" t="s">
        <v>94</v>
      </c>
      <c r="K446" s="6" t="s">
        <v>598</v>
      </c>
    </row>
    <row r="447" spans="1:11" ht="30" customHeight="1" x14ac:dyDescent="0.25">
      <c r="A447" s="5" t="s">
        <v>493</v>
      </c>
      <c r="B447" s="5" t="s">
        <v>389</v>
      </c>
      <c r="C447" s="6" t="s">
        <v>368</v>
      </c>
      <c r="D447" s="5">
        <v>6</v>
      </c>
      <c r="E447" s="5"/>
      <c r="F447" s="7">
        <v>14</v>
      </c>
      <c r="G447" s="5"/>
      <c r="H447" s="6" t="s">
        <v>116</v>
      </c>
      <c r="I447" s="6" t="s">
        <v>100</v>
      </c>
      <c r="J447" s="6" t="s">
        <v>94</v>
      </c>
      <c r="K447" s="6" t="s">
        <v>598</v>
      </c>
    </row>
    <row r="448" spans="1:11" ht="30" customHeight="1" x14ac:dyDescent="0.25">
      <c r="A448" s="5" t="s">
        <v>493</v>
      </c>
      <c r="B448" s="5" t="s">
        <v>389</v>
      </c>
      <c r="C448" s="6" t="s">
        <v>368</v>
      </c>
      <c r="D448" s="5">
        <v>7</v>
      </c>
      <c r="E448" s="5"/>
      <c r="F448" s="7">
        <v>512</v>
      </c>
      <c r="G448" s="5"/>
      <c r="H448" s="6" t="s">
        <v>116</v>
      </c>
      <c r="I448" s="6" t="s">
        <v>113</v>
      </c>
      <c r="J448" s="6" t="s">
        <v>94</v>
      </c>
      <c r="K448" s="6" t="s">
        <v>598</v>
      </c>
    </row>
    <row r="449" spans="1:11" ht="30" customHeight="1" x14ac:dyDescent="0.25">
      <c r="A449" s="5" t="s">
        <v>493</v>
      </c>
      <c r="B449" s="5" t="s">
        <v>389</v>
      </c>
      <c r="C449" s="6" t="s">
        <v>368</v>
      </c>
      <c r="D449" s="5">
        <v>8</v>
      </c>
      <c r="E449" s="5"/>
      <c r="F449" s="7">
        <v>134</v>
      </c>
      <c r="G449" s="5"/>
      <c r="H449" s="6" t="s">
        <v>116</v>
      </c>
      <c r="I449" s="6" t="s">
        <v>117</v>
      </c>
      <c r="J449" s="6" t="s">
        <v>94</v>
      </c>
      <c r="K449" s="6" t="s">
        <v>598</v>
      </c>
    </row>
    <row r="450" spans="1:11" ht="30" customHeight="1" x14ac:dyDescent="0.25">
      <c r="A450" s="5" t="s">
        <v>493</v>
      </c>
      <c r="B450" s="5" t="s">
        <v>389</v>
      </c>
      <c r="C450" s="6" t="s">
        <v>368</v>
      </c>
      <c r="D450" s="5">
        <v>9</v>
      </c>
      <c r="E450" s="5"/>
      <c r="F450" s="7">
        <v>1234</v>
      </c>
      <c r="G450" s="5"/>
      <c r="H450" s="6" t="s">
        <v>92</v>
      </c>
      <c r="I450" s="6" t="s">
        <v>93</v>
      </c>
      <c r="J450" s="6" t="s">
        <v>94</v>
      </c>
      <c r="K450" s="6" t="s">
        <v>598</v>
      </c>
    </row>
    <row r="451" spans="1:11" ht="30" customHeight="1" x14ac:dyDescent="0.25">
      <c r="A451" s="5" t="s">
        <v>493</v>
      </c>
      <c r="B451" s="5" t="s">
        <v>389</v>
      </c>
      <c r="C451" s="6" t="s">
        <v>368</v>
      </c>
      <c r="D451" s="5">
        <v>10</v>
      </c>
      <c r="E451" s="5"/>
      <c r="F451" s="7">
        <v>424</v>
      </c>
      <c r="G451" s="5"/>
      <c r="H451" s="6" t="s">
        <v>92</v>
      </c>
      <c r="I451" s="6" t="s">
        <v>96</v>
      </c>
      <c r="J451" s="6" t="s">
        <v>94</v>
      </c>
      <c r="K451" s="6" t="s">
        <v>598</v>
      </c>
    </row>
    <row r="452" spans="1:11" ht="30" customHeight="1" x14ac:dyDescent="0.25">
      <c r="A452" s="5" t="s">
        <v>493</v>
      </c>
      <c r="B452" s="5" t="s">
        <v>389</v>
      </c>
      <c r="C452" s="6" t="s">
        <v>368</v>
      </c>
      <c r="D452" s="5">
        <v>11</v>
      </c>
      <c r="E452" s="5"/>
      <c r="F452" s="7">
        <v>16</v>
      </c>
      <c r="G452" s="5"/>
      <c r="H452" s="6" t="s">
        <v>92</v>
      </c>
      <c r="I452" s="6" t="s">
        <v>97</v>
      </c>
      <c r="J452" s="6" t="s">
        <v>94</v>
      </c>
      <c r="K452" s="6" t="s">
        <v>598</v>
      </c>
    </row>
    <row r="453" spans="1:11" ht="30" customHeight="1" x14ac:dyDescent="0.25">
      <c r="A453" s="5" t="s">
        <v>493</v>
      </c>
      <c r="B453" s="5" t="s">
        <v>389</v>
      </c>
      <c r="C453" s="6" t="s">
        <v>368</v>
      </c>
      <c r="D453" s="5">
        <v>12</v>
      </c>
      <c r="E453" s="5"/>
      <c r="F453" s="7">
        <v>26</v>
      </c>
      <c r="G453" s="5"/>
      <c r="H453" s="6" t="s">
        <v>92</v>
      </c>
      <c r="I453" s="6" t="s">
        <v>98</v>
      </c>
      <c r="J453" s="6" t="s">
        <v>94</v>
      </c>
      <c r="K453" s="6" t="s">
        <v>598</v>
      </c>
    </row>
    <row r="454" spans="1:11" ht="30" customHeight="1" x14ac:dyDescent="0.25">
      <c r="A454" s="5" t="s">
        <v>493</v>
      </c>
      <c r="B454" s="5" t="s">
        <v>389</v>
      </c>
      <c r="C454" s="6" t="s">
        <v>368</v>
      </c>
      <c r="D454" s="5">
        <v>15</v>
      </c>
      <c r="E454" s="5"/>
      <c r="F454" s="7">
        <v>71.75</v>
      </c>
      <c r="G454" s="5"/>
      <c r="H454" s="6" t="s">
        <v>103</v>
      </c>
      <c r="I454" s="6" t="s">
        <v>104</v>
      </c>
      <c r="J454" s="6" t="s">
        <v>94</v>
      </c>
      <c r="K454" s="6" t="s">
        <v>599</v>
      </c>
    </row>
    <row r="455" spans="1:11" ht="30" customHeight="1" x14ac:dyDescent="0.25">
      <c r="A455" s="5" t="s">
        <v>493</v>
      </c>
      <c r="B455" s="5" t="s">
        <v>389</v>
      </c>
      <c r="C455" s="6" t="s">
        <v>368</v>
      </c>
      <c r="D455" s="5">
        <v>16</v>
      </c>
      <c r="E455" s="5"/>
      <c r="F455" s="7">
        <v>894.25</v>
      </c>
      <c r="G455" s="5"/>
      <c r="H455" s="6" t="s">
        <v>103</v>
      </c>
      <c r="I455" s="6" t="s">
        <v>105</v>
      </c>
      <c r="J455" s="6" t="s">
        <v>94</v>
      </c>
      <c r="K455" s="6" t="s">
        <v>599</v>
      </c>
    </row>
    <row r="456" spans="1:11" ht="30" customHeight="1" x14ac:dyDescent="0.25">
      <c r="A456" s="5" t="s">
        <v>493</v>
      </c>
      <c r="B456" s="5" t="s">
        <v>389</v>
      </c>
      <c r="C456" s="6" t="s">
        <v>368</v>
      </c>
      <c r="D456" s="5">
        <v>17</v>
      </c>
      <c r="E456" s="5"/>
      <c r="F456" s="7">
        <v>392</v>
      </c>
      <c r="G456" s="5"/>
      <c r="H456" s="6" t="s">
        <v>103</v>
      </c>
      <c r="I456" s="6" t="s">
        <v>106</v>
      </c>
      <c r="J456" s="6" t="s">
        <v>94</v>
      </c>
      <c r="K456" s="6" t="s">
        <v>599</v>
      </c>
    </row>
    <row r="457" spans="1:11" ht="30" customHeight="1" x14ac:dyDescent="0.25">
      <c r="A457" s="5" t="s">
        <v>493</v>
      </c>
      <c r="B457" s="5" t="s">
        <v>389</v>
      </c>
      <c r="C457" s="6" t="s">
        <v>368</v>
      </c>
      <c r="D457" s="5">
        <v>18</v>
      </c>
      <c r="E457" s="5"/>
      <c r="F457" s="7">
        <v>39</v>
      </c>
      <c r="G457" s="5"/>
      <c r="H457" s="6" t="s">
        <v>107</v>
      </c>
      <c r="I457" s="6" t="s">
        <v>108</v>
      </c>
      <c r="J457" s="6" t="s">
        <v>94</v>
      </c>
      <c r="K457" s="6" t="s">
        <v>600</v>
      </c>
    </row>
    <row r="458" spans="1:11" ht="30" customHeight="1" x14ac:dyDescent="0.25">
      <c r="A458" s="5" t="s">
        <v>493</v>
      </c>
      <c r="B458" s="5" t="s">
        <v>389</v>
      </c>
      <c r="C458" s="6" t="s">
        <v>374</v>
      </c>
      <c r="D458" s="5">
        <v>1</v>
      </c>
      <c r="E458" s="5"/>
      <c r="F458" s="7">
        <v>72</v>
      </c>
      <c r="G458" s="5"/>
      <c r="H458" s="6" t="s">
        <v>246</v>
      </c>
      <c r="I458" s="6" t="s">
        <v>245</v>
      </c>
      <c r="J458" s="6"/>
      <c r="K458" s="6" t="s">
        <v>546</v>
      </c>
    </row>
    <row r="459" spans="1:11" x14ac:dyDescent="0.25">
      <c r="A459" s="53" t="s">
        <v>601</v>
      </c>
      <c r="B459" s="54"/>
      <c r="C459" s="54"/>
      <c r="D459" s="54"/>
      <c r="E459" s="54"/>
      <c r="F459" s="54"/>
      <c r="G459" s="54"/>
      <c r="H459" s="54"/>
      <c r="I459" s="54"/>
      <c r="J459" s="54"/>
      <c r="K459" s="55"/>
    </row>
    <row r="461" spans="1:11" x14ac:dyDescent="0.25">
      <c r="A461" s="56" t="s">
        <v>602</v>
      </c>
      <c r="B461" s="54"/>
      <c r="C461" s="54"/>
      <c r="D461" s="54"/>
      <c r="E461" s="54"/>
      <c r="F461" s="54"/>
      <c r="G461" s="54"/>
      <c r="H461" s="54"/>
      <c r="I461" s="54"/>
      <c r="J461" s="54"/>
      <c r="K461" s="55"/>
    </row>
    <row r="462" spans="1:11" ht="45" customHeight="1" x14ac:dyDescent="0.25">
      <c r="A462" s="5" t="s">
        <v>493</v>
      </c>
      <c r="B462" s="5" t="s">
        <v>303</v>
      </c>
      <c r="C462" s="6" t="s">
        <v>304</v>
      </c>
      <c r="D462" s="5">
        <v>29</v>
      </c>
      <c r="E462" s="5"/>
      <c r="F462" s="7">
        <v>5</v>
      </c>
      <c r="G462" s="5"/>
      <c r="H462" s="6" t="s">
        <v>163</v>
      </c>
      <c r="I462" s="6" t="s">
        <v>131</v>
      </c>
      <c r="J462" s="6" t="s">
        <v>94</v>
      </c>
      <c r="K462" s="6" t="s">
        <v>603</v>
      </c>
    </row>
    <row r="463" spans="1:11" ht="45" customHeight="1" x14ac:dyDescent="0.25">
      <c r="A463" s="5" t="s">
        <v>493</v>
      </c>
      <c r="B463" s="5" t="s">
        <v>303</v>
      </c>
      <c r="C463" s="6" t="s">
        <v>304</v>
      </c>
      <c r="D463" s="5">
        <v>31</v>
      </c>
      <c r="E463" s="5"/>
      <c r="F463" s="7">
        <v>10</v>
      </c>
      <c r="G463" s="5"/>
      <c r="H463" s="6" t="s">
        <v>163</v>
      </c>
      <c r="I463" s="6" t="s">
        <v>135</v>
      </c>
      <c r="J463" s="6" t="s">
        <v>94</v>
      </c>
      <c r="K463" s="6" t="s">
        <v>604</v>
      </c>
    </row>
    <row r="464" spans="1:11" ht="30" customHeight="1" x14ac:dyDescent="0.25">
      <c r="A464" s="5" t="s">
        <v>493</v>
      </c>
      <c r="B464" s="5" t="s">
        <v>303</v>
      </c>
      <c r="C464" s="6" t="s">
        <v>304</v>
      </c>
      <c r="D464" s="5">
        <v>34</v>
      </c>
      <c r="E464" s="5"/>
      <c r="F464" s="7">
        <v>15</v>
      </c>
      <c r="G464" s="5"/>
      <c r="H464" s="6" t="s">
        <v>127</v>
      </c>
      <c r="I464" s="6" t="s">
        <v>128</v>
      </c>
      <c r="J464" s="6" t="s">
        <v>94</v>
      </c>
      <c r="K464" s="6" t="s">
        <v>605</v>
      </c>
    </row>
    <row r="465" spans="1:11" ht="45" customHeight="1" x14ac:dyDescent="0.25">
      <c r="A465" s="5" t="s">
        <v>493</v>
      </c>
      <c r="B465" s="5" t="s">
        <v>303</v>
      </c>
      <c r="C465" s="6" t="s">
        <v>304</v>
      </c>
      <c r="D465" s="5">
        <v>36</v>
      </c>
      <c r="E465" s="5"/>
      <c r="F465" s="7">
        <v>3</v>
      </c>
      <c r="G465" s="5"/>
      <c r="H465" s="6" t="s">
        <v>147</v>
      </c>
      <c r="I465" s="6" t="s">
        <v>131</v>
      </c>
      <c r="J465" s="6" t="s">
        <v>94</v>
      </c>
      <c r="K465" s="6" t="s">
        <v>606</v>
      </c>
    </row>
    <row r="466" spans="1:11" ht="30" customHeight="1" x14ac:dyDescent="0.25">
      <c r="A466" s="5" t="s">
        <v>493</v>
      </c>
      <c r="B466" s="5" t="s">
        <v>303</v>
      </c>
      <c r="C466" s="6" t="s">
        <v>304</v>
      </c>
      <c r="D466" s="5">
        <v>40</v>
      </c>
      <c r="E466" s="5"/>
      <c r="F466" s="7">
        <v>100</v>
      </c>
      <c r="G466" s="5"/>
      <c r="H466" s="6" t="s">
        <v>120</v>
      </c>
      <c r="I466" s="6" t="s">
        <v>122</v>
      </c>
      <c r="J466" s="6" t="s">
        <v>94</v>
      </c>
      <c r="K466" s="6" t="s">
        <v>607</v>
      </c>
    </row>
    <row r="467" spans="1:11" ht="45" customHeight="1" x14ac:dyDescent="0.25">
      <c r="A467" s="5" t="s">
        <v>493</v>
      </c>
      <c r="B467" s="5" t="s">
        <v>303</v>
      </c>
      <c r="C467" s="6" t="s">
        <v>304</v>
      </c>
      <c r="D467" s="5">
        <v>74</v>
      </c>
      <c r="E467" s="5"/>
      <c r="F467" s="7">
        <v>1200</v>
      </c>
      <c r="G467" s="5"/>
      <c r="H467" s="6" t="s">
        <v>199</v>
      </c>
      <c r="I467" s="6" t="s">
        <v>200</v>
      </c>
      <c r="J467" s="6" t="s">
        <v>94</v>
      </c>
      <c r="K467" s="6" t="s">
        <v>608</v>
      </c>
    </row>
    <row r="468" spans="1:11" ht="30" customHeight="1" x14ac:dyDescent="0.25">
      <c r="A468" s="5" t="s">
        <v>493</v>
      </c>
      <c r="B468" s="5" t="s">
        <v>303</v>
      </c>
      <c r="C468" s="6" t="s">
        <v>304</v>
      </c>
      <c r="D468" s="5">
        <v>75</v>
      </c>
      <c r="E468" s="5"/>
      <c r="F468" s="7">
        <v>250</v>
      </c>
      <c r="G468" s="5"/>
      <c r="H468" s="6" t="s">
        <v>215</v>
      </c>
      <c r="I468" s="6" t="s">
        <v>135</v>
      </c>
      <c r="J468" s="6" t="s">
        <v>94</v>
      </c>
      <c r="K468" s="6" t="s">
        <v>609</v>
      </c>
    </row>
    <row r="469" spans="1:11" ht="45" customHeight="1" x14ac:dyDescent="0.25">
      <c r="A469" s="5" t="s">
        <v>493</v>
      </c>
      <c r="B469" s="5" t="s">
        <v>303</v>
      </c>
      <c r="C469" s="6" t="s">
        <v>304</v>
      </c>
      <c r="D469" s="5">
        <v>77</v>
      </c>
      <c r="E469" s="5"/>
      <c r="F469" s="7">
        <v>700</v>
      </c>
      <c r="G469" s="5"/>
      <c r="H469" s="6" t="s">
        <v>215</v>
      </c>
      <c r="I469" s="6" t="s">
        <v>200</v>
      </c>
      <c r="J469" s="6" t="s">
        <v>94</v>
      </c>
      <c r="K469" s="6" t="s">
        <v>608</v>
      </c>
    </row>
    <row r="470" spans="1:11" ht="30" customHeight="1" x14ac:dyDescent="0.25">
      <c r="A470" s="5" t="s">
        <v>493</v>
      </c>
      <c r="B470" s="5" t="s">
        <v>303</v>
      </c>
      <c r="C470" s="6" t="s">
        <v>304</v>
      </c>
      <c r="D470" s="5">
        <v>78</v>
      </c>
      <c r="E470" s="5"/>
      <c r="F470" s="7">
        <v>200</v>
      </c>
      <c r="G470" s="5"/>
      <c r="H470" s="6" t="s">
        <v>215</v>
      </c>
      <c r="I470" s="6" t="s">
        <v>197</v>
      </c>
      <c r="J470" s="6" t="s">
        <v>94</v>
      </c>
      <c r="K470" s="6" t="s">
        <v>609</v>
      </c>
    </row>
    <row r="471" spans="1:11" ht="30" customHeight="1" x14ac:dyDescent="0.25">
      <c r="A471" s="5" t="s">
        <v>493</v>
      </c>
      <c r="B471" s="5" t="s">
        <v>303</v>
      </c>
      <c r="C471" s="6" t="s">
        <v>304</v>
      </c>
      <c r="D471" s="5">
        <v>80</v>
      </c>
      <c r="E471" s="5"/>
      <c r="F471" s="7">
        <v>800</v>
      </c>
      <c r="G471" s="5"/>
      <c r="H471" s="6" t="s">
        <v>206</v>
      </c>
      <c r="I471" s="6" t="s">
        <v>135</v>
      </c>
      <c r="J471" s="6" t="s">
        <v>94</v>
      </c>
      <c r="K471" s="6" t="s">
        <v>610</v>
      </c>
    </row>
    <row r="472" spans="1:11" ht="30" customHeight="1" x14ac:dyDescent="0.25">
      <c r="A472" s="5" t="s">
        <v>493</v>
      </c>
      <c r="B472" s="5" t="s">
        <v>303</v>
      </c>
      <c r="C472" s="6" t="s">
        <v>304</v>
      </c>
      <c r="D472" s="5">
        <v>81</v>
      </c>
      <c r="E472" s="5"/>
      <c r="F472" s="7">
        <v>400</v>
      </c>
      <c r="G472" s="5"/>
      <c r="H472" s="6" t="s">
        <v>206</v>
      </c>
      <c r="I472" s="6" t="s">
        <v>200</v>
      </c>
      <c r="J472" s="6" t="s">
        <v>94</v>
      </c>
      <c r="K472" s="6" t="s">
        <v>610</v>
      </c>
    </row>
    <row r="473" spans="1:11" ht="30" customHeight="1" x14ac:dyDescent="0.25">
      <c r="A473" s="5" t="s">
        <v>493</v>
      </c>
      <c r="B473" s="5" t="s">
        <v>303</v>
      </c>
      <c r="C473" s="6" t="s">
        <v>304</v>
      </c>
      <c r="D473" s="5">
        <v>83</v>
      </c>
      <c r="E473" s="5"/>
      <c r="F473" s="7">
        <v>100</v>
      </c>
      <c r="G473" s="5"/>
      <c r="H473" s="6" t="s">
        <v>218</v>
      </c>
      <c r="I473" s="6" t="s">
        <v>135</v>
      </c>
      <c r="J473" s="6" t="s">
        <v>94</v>
      </c>
      <c r="K473" s="6" t="s">
        <v>611</v>
      </c>
    </row>
    <row r="474" spans="1:11" ht="30" customHeight="1" x14ac:dyDescent="0.25">
      <c r="A474" s="5" t="s">
        <v>493</v>
      </c>
      <c r="B474" s="5" t="s">
        <v>303</v>
      </c>
      <c r="C474" s="6" t="s">
        <v>304</v>
      </c>
      <c r="D474" s="5">
        <v>84</v>
      </c>
      <c r="E474" s="5"/>
      <c r="F474" s="7">
        <v>150</v>
      </c>
      <c r="G474" s="5"/>
      <c r="H474" s="6" t="s">
        <v>218</v>
      </c>
      <c r="I474" s="6" t="s">
        <v>200</v>
      </c>
      <c r="J474" s="6" t="s">
        <v>94</v>
      </c>
      <c r="K474" s="6" t="s">
        <v>611</v>
      </c>
    </row>
    <row r="475" spans="1:11" ht="45" customHeight="1" x14ac:dyDescent="0.25">
      <c r="A475" s="5" t="s">
        <v>493</v>
      </c>
      <c r="B475" s="5" t="s">
        <v>303</v>
      </c>
      <c r="C475" s="6" t="s">
        <v>304</v>
      </c>
      <c r="D475" s="5">
        <v>97</v>
      </c>
      <c r="E475" s="5"/>
      <c r="F475" s="7">
        <v>20</v>
      </c>
      <c r="G475" s="5"/>
      <c r="H475" s="6" t="s">
        <v>208</v>
      </c>
      <c r="I475" s="6" t="s">
        <v>137</v>
      </c>
      <c r="J475" s="6" t="s">
        <v>94</v>
      </c>
      <c r="K475" s="6" t="s">
        <v>612</v>
      </c>
    </row>
    <row r="476" spans="1:11" ht="45" customHeight="1" x14ac:dyDescent="0.25">
      <c r="A476" s="5" t="s">
        <v>493</v>
      </c>
      <c r="B476" s="5" t="s">
        <v>303</v>
      </c>
      <c r="C476" s="6" t="s">
        <v>304</v>
      </c>
      <c r="D476" s="5">
        <v>98</v>
      </c>
      <c r="E476" s="5"/>
      <c r="F476" s="7">
        <v>1050</v>
      </c>
      <c r="G476" s="5"/>
      <c r="H476" s="6" t="s">
        <v>208</v>
      </c>
      <c r="I476" s="6" t="s">
        <v>200</v>
      </c>
      <c r="J476" s="6" t="s">
        <v>94</v>
      </c>
      <c r="K476" s="6" t="s">
        <v>612</v>
      </c>
    </row>
    <row r="477" spans="1:11" ht="45" customHeight="1" x14ac:dyDescent="0.25">
      <c r="A477" s="5" t="s">
        <v>493</v>
      </c>
      <c r="B477" s="5" t="s">
        <v>303</v>
      </c>
      <c r="C477" s="6" t="s">
        <v>304</v>
      </c>
      <c r="D477" s="5">
        <v>99</v>
      </c>
      <c r="E477" s="5"/>
      <c r="F477" s="7">
        <v>35</v>
      </c>
      <c r="G477" s="5"/>
      <c r="H477" s="6" t="s">
        <v>208</v>
      </c>
      <c r="I477" s="6" t="s">
        <v>197</v>
      </c>
      <c r="J477" s="6" t="s">
        <v>94</v>
      </c>
      <c r="K477" s="6" t="s">
        <v>612</v>
      </c>
    </row>
    <row r="478" spans="1:11" ht="45" customHeight="1" x14ac:dyDescent="0.25">
      <c r="A478" s="5" t="s">
        <v>493</v>
      </c>
      <c r="B478" s="5" t="s">
        <v>303</v>
      </c>
      <c r="C478" s="6" t="s">
        <v>304</v>
      </c>
      <c r="D478" s="5">
        <v>100</v>
      </c>
      <c r="E478" s="5"/>
      <c r="F478" s="7">
        <v>100</v>
      </c>
      <c r="G478" s="5"/>
      <c r="H478" s="6" t="s">
        <v>219</v>
      </c>
      <c r="I478" s="6" t="s">
        <v>135</v>
      </c>
      <c r="J478" s="6" t="s">
        <v>94</v>
      </c>
      <c r="K478" s="6" t="s">
        <v>612</v>
      </c>
    </row>
    <row r="479" spans="1:11" ht="45" customHeight="1" x14ac:dyDescent="0.25">
      <c r="A479" s="5" t="s">
        <v>493</v>
      </c>
      <c r="B479" s="5" t="s">
        <v>303</v>
      </c>
      <c r="C479" s="6" t="s">
        <v>304</v>
      </c>
      <c r="D479" s="5">
        <v>102</v>
      </c>
      <c r="E479" s="5"/>
      <c r="F479" s="7">
        <v>190</v>
      </c>
      <c r="G479" s="5"/>
      <c r="H479" s="6" t="s">
        <v>219</v>
      </c>
      <c r="I479" s="6" t="s">
        <v>200</v>
      </c>
      <c r="J479" s="6" t="s">
        <v>94</v>
      </c>
      <c r="K479" s="6" t="s">
        <v>612</v>
      </c>
    </row>
    <row r="480" spans="1:11" ht="45" customHeight="1" x14ac:dyDescent="0.25">
      <c r="A480" s="5" t="s">
        <v>493</v>
      </c>
      <c r="B480" s="5" t="s">
        <v>303</v>
      </c>
      <c r="C480" s="6" t="s">
        <v>304</v>
      </c>
      <c r="D480" s="5">
        <v>103</v>
      </c>
      <c r="E480" s="5"/>
      <c r="F480" s="7">
        <v>225</v>
      </c>
      <c r="G480" s="5"/>
      <c r="H480" s="6" t="s">
        <v>219</v>
      </c>
      <c r="I480" s="6" t="s">
        <v>197</v>
      </c>
      <c r="J480" s="6" t="s">
        <v>94</v>
      </c>
      <c r="K480" s="6" t="s">
        <v>612</v>
      </c>
    </row>
    <row r="481" spans="1:11" ht="45" customHeight="1" x14ac:dyDescent="0.25">
      <c r="A481" s="5" t="s">
        <v>493</v>
      </c>
      <c r="B481" s="5" t="s">
        <v>303</v>
      </c>
      <c r="C481" s="6" t="s">
        <v>304</v>
      </c>
      <c r="D481" s="5">
        <v>104</v>
      </c>
      <c r="E481" s="5"/>
      <c r="F481" s="7">
        <v>170</v>
      </c>
      <c r="G481" s="5"/>
      <c r="H481" s="6" t="s">
        <v>198</v>
      </c>
      <c r="I481" s="6" t="s">
        <v>135</v>
      </c>
      <c r="J481" s="6" t="s">
        <v>94</v>
      </c>
      <c r="K481" s="6" t="s">
        <v>613</v>
      </c>
    </row>
    <row r="482" spans="1:11" ht="60" customHeight="1" x14ac:dyDescent="0.25">
      <c r="A482" s="5" t="s">
        <v>493</v>
      </c>
      <c r="B482" s="5" t="s">
        <v>303</v>
      </c>
      <c r="C482" s="6" t="s">
        <v>304</v>
      </c>
      <c r="D482" s="5">
        <v>107</v>
      </c>
      <c r="E482" s="5"/>
      <c r="F482" s="7">
        <v>31440</v>
      </c>
      <c r="G482" s="5"/>
      <c r="H482" s="6" t="s">
        <v>227</v>
      </c>
      <c r="I482" s="6" t="s">
        <v>149</v>
      </c>
      <c r="J482" s="6" t="s">
        <v>94</v>
      </c>
      <c r="K482" s="6" t="s">
        <v>614</v>
      </c>
    </row>
    <row r="483" spans="1:11" ht="45" customHeight="1" x14ac:dyDescent="0.25">
      <c r="A483" s="5" t="s">
        <v>493</v>
      </c>
      <c r="B483" s="5" t="s">
        <v>303</v>
      </c>
      <c r="C483" s="6" t="s">
        <v>304</v>
      </c>
      <c r="D483" s="5">
        <v>108</v>
      </c>
      <c r="E483" s="5"/>
      <c r="F483" s="7">
        <v>90</v>
      </c>
      <c r="G483" s="5"/>
      <c r="H483" s="6" t="s">
        <v>227</v>
      </c>
      <c r="I483" s="6" t="s">
        <v>225</v>
      </c>
      <c r="J483" s="6" t="s">
        <v>94</v>
      </c>
      <c r="K483" s="6" t="s">
        <v>615</v>
      </c>
    </row>
    <row r="484" spans="1:11" ht="45" customHeight="1" x14ac:dyDescent="0.25">
      <c r="A484" s="5" t="s">
        <v>493</v>
      </c>
      <c r="B484" s="5" t="s">
        <v>303</v>
      </c>
      <c r="C484" s="6" t="s">
        <v>304</v>
      </c>
      <c r="D484" s="5">
        <v>121</v>
      </c>
      <c r="E484" s="5"/>
      <c r="F484" s="7">
        <v>10</v>
      </c>
      <c r="G484" s="5"/>
      <c r="H484" s="6" t="s">
        <v>148</v>
      </c>
      <c r="I484" s="6" t="s">
        <v>149</v>
      </c>
      <c r="J484" s="6" t="s">
        <v>94</v>
      </c>
      <c r="K484" s="6" t="s">
        <v>616</v>
      </c>
    </row>
    <row r="485" spans="1:11" ht="30" customHeight="1" x14ac:dyDescent="0.25">
      <c r="A485" s="5" t="s">
        <v>493</v>
      </c>
      <c r="B485" s="5" t="s">
        <v>303</v>
      </c>
      <c r="C485" s="6" t="s">
        <v>304</v>
      </c>
      <c r="D485" s="5">
        <v>125</v>
      </c>
      <c r="E485" s="5"/>
      <c r="F485" s="7">
        <v>4</v>
      </c>
      <c r="G485" s="5"/>
      <c r="H485" s="6" t="s">
        <v>223</v>
      </c>
      <c r="I485" s="6" t="s">
        <v>224</v>
      </c>
      <c r="J485" s="6" t="s">
        <v>94</v>
      </c>
      <c r="K485" s="6" t="s">
        <v>617</v>
      </c>
    </row>
    <row r="486" spans="1:11" ht="30" customHeight="1" x14ac:dyDescent="0.25">
      <c r="A486" s="5" t="s">
        <v>493</v>
      </c>
      <c r="B486" s="5" t="s">
        <v>303</v>
      </c>
      <c r="C486" s="6" t="s">
        <v>368</v>
      </c>
      <c r="D486" s="5">
        <v>3</v>
      </c>
      <c r="E486" s="5"/>
      <c r="F486" s="7">
        <v>8</v>
      </c>
      <c r="G486" s="5"/>
      <c r="H486" s="6" t="s">
        <v>111</v>
      </c>
      <c r="I486" s="6" t="s">
        <v>100</v>
      </c>
      <c r="J486" s="6" t="s">
        <v>94</v>
      </c>
      <c r="K486" s="6" t="s">
        <v>618</v>
      </c>
    </row>
    <row r="487" spans="1:11" ht="30" customHeight="1" x14ac:dyDescent="0.25">
      <c r="A487" s="5" t="s">
        <v>493</v>
      </c>
      <c r="B487" s="5" t="s">
        <v>303</v>
      </c>
      <c r="C487" s="6" t="s">
        <v>368</v>
      </c>
      <c r="D487" s="5">
        <v>13</v>
      </c>
      <c r="E487" s="5"/>
      <c r="F487" s="7">
        <v>8</v>
      </c>
      <c r="G487" s="5"/>
      <c r="H487" s="6" t="s">
        <v>92</v>
      </c>
      <c r="I487" s="6" t="s">
        <v>99</v>
      </c>
      <c r="J487" s="6" t="s">
        <v>94</v>
      </c>
      <c r="K487" s="6" t="s">
        <v>619</v>
      </c>
    </row>
    <row r="488" spans="1:11" ht="30" customHeight="1" x14ac:dyDescent="0.25">
      <c r="A488" s="5" t="s">
        <v>493</v>
      </c>
      <c r="B488" s="5" t="s">
        <v>303</v>
      </c>
      <c r="C488" s="6" t="s">
        <v>368</v>
      </c>
      <c r="D488" s="5">
        <v>14</v>
      </c>
      <c r="E488" s="5"/>
      <c r="F488" s="7">
        <v>8</v>
      </c>
      <c r="G488" s="5"/>
      <c r="H488" s="6" t="s">
        <v>92</v>
      </c>
      <c r="I488" s="6" t="s">
        <v>100</v>
      </c>
      <c r="J488" s="6" t="s">
        <v>94</v>
      </c>
      <c r="K488" s="6" t="s">
        <v>619</v>
      </c>
    </row>
    <row r="489" spans="1:11" ht="45" customHeight="1" x14ac:dyDescent="0.25">
      <c r="A489" s="5" t="s">
        <v>493</v>
      </c>
      <c r="B489" s="5" t="s">
        <v>303</v>
      </c>
      <c r="C489" s="6" t="s">
        <v>374</v>
      </c>
      <c r="D489" s="5">
        <v>9</v>
      </c>
      <c r="E489" s="5"/>
      <c r="F489" s="7">
        <v>8</v>
      </c>
      <c r="G489" s="5"/>
      <c r="H489" s="6" t="s">
        <v>257</v>
      </c>
      <c r="I489" s="6"/>
      <c r="J489" s="6" t="s">
        <v>243</v>
      </c>
      <c r="K489" s="6" t="s">
        <v>620</v>
      </c>
    </row>
    <row r="490" spans="1:11" x14ac:dyDescent="0.25">
      <c r="A490" s="53" t="s">
        <v>621</v>
      </c>
      <c r="B490" s="54"/>
      <c r="C490" s="54"/>
      <c r="D490" s="54"/>
      <c r="E490" s="54"/>
      <c r="F490" s="54"/>
      <c r="G490" s="54"/>
      <c r="H490" s="54"/>
      <c r="I490" s="54"/>
      <c r="J490" s="54"/>
      <c r="K490" s="55"/>
    </row>
    <row r="492" spans="1:11" x14ac:dyDescent="0.25">
      <c r="A492" s="56" t="s">
        <v>622</v>
      </c>
      <c r="B492" s="54"/>
      <c r="C492" s="54"/>
      <c r="D492" s="54"/>
      <c r="E492" s="54"/>
      <c r="F492" s="54"/>
      <c r="G492" s="54"/>
      <c r="H492" s="54"/>
      <c r="I492" s="54"/>
      <c r="J492" s="54"/>
      <c r="K492" s="55"/>
    </row>
    <row r="493" spans="1:11" ht="30" customHeight="1" x14ac:dyDescent="0.25">
      <c r="A493" s="5" t="s">
        <v>623</v>
      </c>
      <c r="B493" s="5" t="s">
        <v>303</v>
      </c>
      <c r="C493" s="6" t="s">
        <v>304</v>
      </c>
      <c r="D493" s="5">
        <v>17</v>
      </c>
      <c r="E493" s="5"/>
      <c r="F493" s="7">
        <v>300</v>
      </c>
      <c r="G493" s="5"/>
      <c r="H493" s="6" t="s">
        <v>153</v>
      </c>
      <c r="I493" s="6" t="s">
        <v>154</v>
      </c>
      <c r="J493" s="6" t="s">
        <v>94</v>
      </c>
      <c r="K493" s="6" t="s">
        <v>624</v>
      </c>
    </row>
    <row r="494" spans="1:11" ht="30" customHeight="1" x14ac:dyDescent="0.25">
      <c r="A494" s="5" t="s">
        <v>623</v>
      </c>
      <c r="B494" s="5" t="s">
        <v>303</v>
      </c>
      <c r="C494" s="6" t="s">
        <v>304</v>
      </c>
      <c r="D494" s="5">
        <v>18</v>
      </c>
      <c r="E494" s="5"/>
      <c r="F494" s="7">
        <v>75</v>
      </c>
      <c r="G494" s="5"/>
      <c r="H494" s="6" t="s">
        <v>153</v>
      </c>
      <c r="I494" s="6" t="s">
        <v>155</v>
      </c>
      <c r="J494" s="6" t="s">
        <v>94</v>
      </c>
      <c r="K494" s="6" t="s">
        <v>624</v>
      </c>
    </row>
    <row r="495" spans="1:11" ht="30" customHeight="1" x14ac:dyDescent="0.25">
      <c r="A495" s="5" t="s">
        <v>623</v>
      </c>
      <c r="B495" s="5" t="s">
        <v>303</v>
      </c>
      <c r="C495" s="6" t="s">
        <v>304</v>
      </c>
      <c r="D495" s="5">
        <v>22</v>
      </c>
      <c r="E495" s="5"/>
      <c r="F495" s="7">
        <v>3</v>
      </c>
      <c r="G495" s="5"/>
      <c r="H495" s="6" t="s">
        <v>153</v>
      </c>
      <c r="I495" s="6" t="s">
        <v>159</v>
      </c>
      <c r="J495" s="6" t="s">
        <v>94</v>
      </c>
      <c r="K495" s="6" t="s">
        <v>624</v>
      </c>
    </row>
    <row r="496" spans="1:11" ht="45" customHeight="1" x14ac:dyDescent="0.25">
      <c r="A496" s="5" t="s">
        <v>623</v>
      </c>
      <c r="B496" s="5" t="s">
        <v>303</v>
      </c>
      <c r="C496" s="6" t="s">
        <v>304</v>
      </c>
      <c r="D496" s="5">
        <v>23</v>
      </c>
      <c r="E496" s="5"/>
      <c r="F496" s="7">
        <v>150</v>
      </c>
      <c r="G496" s="5"/>
      <c r="H496" s="6" t="s">
        <v>161</v>
      </c>
      <c r="I496" s="6" t="s">
        <v>125</v>
      </c>
      <c r="J496" s="6" t="s">
        <v>94</v>
      </c>
      <c r="K496" s="6" t="s">
        <v>625</v>
      </c>
    </row>
    <row r="497" spans="1:11" ht="45" customHeight="1" x14ac:dyDescent="0.25">
      <c r="A497" s="5" t="s">
        <v>623</v>
      </c>
      <c r="B497" s="5" t="s">
        <v>303</v>
      </c>
      <c r="C497" s="6" t="s">
        <v>304</v>
      </c>
      <c r="D497" s="5">
        <v>24</v>
      </c>
      <c r="E497" s="5"/>
      <c r="F497" s="7">
        <v>1</v>
      </c>
      <c r="G497" s="5"/>
      <c r="H497" s="6" t="s">
        <v>161</v>
      </c>
      <c r="I497" s="6" t="s">
        <v>162</v>
      </c>
      <c r="J497" s="6" t="s">
        <v>94</v>
      </c>
      <c r="K497" s="6" t="s">
        <v>626</v>
      </c>
    </row>
    <row r="498" spans="1:11" ht="30" customHeight="1" x14ac:dyDescent="0.25">
      <c r="A498" s="5" t="s">
        <v>623</v>
      </c>
      <c r="B498" s="5" t="s">
        <v>303</v>
      </c>
      <c r="C498" s="6" t="s">
        <v>304</v>
      </c>
      <c r="D498" s="5">
        <v>29</v>
      </c>
      <c r="E498" s="5"/>
      <c r="F498" s="7">
        <v>5</v>
      </c>
      <c r="G498" s="5"/>
      <c r="H498" s="6" t="s">
        <v>163</v>
      </c>
      <c r="I498" s="6" t="s">
        <v>131</v>
      </c>
      <c r="J498" s="6" t="s">
        <v>94</v>
      </c>
      <c r="K498" s="6" t="s">
        <v>627</v>
      </c>
    </row>
    <row r="499" spans="1:11" ht="45" customHeight="1" x14ac:dyDescent="0.25">
      <c r="A499" s="5" t="s">
        <v>623</v>
      </c>
      <c r="B499" s="5" t="s">
        <v>303</v>
      </c>
      <c r="C499" s="6" t="s">
        <v>304</v>
      </c>
      <c r="D499" s="5">
        <v>30</v>
      </c>
      <c r="E499" s="5"/>
      <c r="F499" s="7">
        <v>100</v>
      </c>
      <c r="G499" s="5"/>
      <c r="H499" s="6" t="s">
        <v>163</v>
      </c>
      <c r="I499" s="6" t="s">
        <v>132</v>
      </c>
      <c r="J499" s="6" t="s">
        <v>94</v>
      </c>
      <c r="K499" s="6" t="s">
        <v>628</v>
      </c>
    </row>
    <row r="500" spans="1:11" ht="45" customHeight="1" x14ac:dyDescent="0.25">
      <c r="A500" s="5" t="s">
        <v>623</v>
      </c>
      <c r="B500" s="5" t="s">
        <v>303</v>
      </c>
      <c r="C500" s="6" t="s">
        <v>304</v>
      </c>
      <c r="D500" s="5">
        <v>33</v>
      </c>
      <c r="E500" s="5"/>
      <c r="F500" s="7">
        <v>5</v>
      </c>
      <c r="G500" s="5"/>
      <c r="H500" s="6" t="s">
        <v>124</v>
      </c>
      <c r="I500" s="6" t="s">
        <v>126</v>
      </c>
      <c r="J500" s="6" t="s">
        <v>94</v>
      </c>
      <c r="K500" s="6" t="s">
        <v>629</v>
      </c>
    </row>
    <row r="501" spans="1:11" ht="30" customHeight="1" x14ac:dyDescent="0.25">
      <c r="A501" s="5" t="s">
        <v>623</v>
      </c>
      <c r="B501" s="5" t="s">
        <v>303</v>
      </c>
      <c r="C501" s="6" t="s">
        <v>304</v>
      </c>
      <c r="D501" s="5">
        <v>34</v>
      </c>
      <c r="E501" s="5"/>
      <c r="F501" s="7">
        <v>15</v>
      </c>
      <c r="G501" s="5"/>
      <c r="H501" s="6" t="s">
        <v>127</v>
      </c>
      <c r="I501" s="6" t="s">
        <v>128</v>
      </c>
      <c r="J501" s="6" t="s">
        <v>94</v>
      </c>
      <c r="K501" s="6" t="s">
        <v>630</v>
      </c>
    </row>
    <row r="502" spans="1:11" ht="30" customHeight="1" x14ac:dyDescent="0.25">
      <c r="A502" s="5" t="s">
        <v>623</v>
      </c>
      <c r="B502" s="5" t="s">
        <v>303</v>
      </c>
      <c r="C502" s="6" t="s">
        <v>304</v>
      </c>
      <c r="D502" s="5">
        <v>36</v>
      </c>
      <c r="E502" s="5"/>
      <c r="F502" s="7">
        <v>2</v>
      </c>
      <c r="G502" s="5"/>
      <c r="H502" s="6" t="s">
        <v>147</v>
      </c>
      <c r="I502" s="6" t="s">
        <v>131</v>
      </c>
      <c r="J502" s="6" t="s">
        <v>94</v>
      </c>
      <c r="K502" s="6" t="s">
        <v>631</v>
      </c>
    </row>
    <row r="503" spans="1:11" ht="30" customHeight="1" x14ac:dyDescent="0.25">
      <c r="A503" s="5" t="s">
        <v>623</v>
      </c>
      <c r="B503" s="5" t="s">
        <v>303</v>
      </c>
      <c r="C503" s="6" t="s">
        <v>304</v>
      </c>
      <c r="D503" s="5">
        <v>38</v>
      </c>
      <c r="E503" s="5"/>
      <c r="F503" s="7">
        <v>3</v>
      </c>
      <c r="G503" s="5"/>
      <c r="H503" s="6" t="s">
        <v>147</v>
      </c>
      <c r="I503" s="6" t="s">
        <v>136</v>
      </c>
      <c r="J503" s="6" t="s">
        <v>94</v>
      </c>
      <c r="K503" s="6" t="s">
        <v>632</v>
      </c>
    </row>
    <row r="504" spans="1:11" ht="30" customHeight="1" x14ac:dyDescent="0.25">
      <c r="A504" s="5" t="s">
        <v>623</v>
      </c>
      <c r="B504" s="5" t="s">
        <v>303</v>
      </c>
      <c r="C504" s="6" t="s">
        <v>304</v>
      </c>
      <c r="D504" s="5">
        <v>41</v>
      </c>
      <c r="E504" s="5"/>
      <c r="F504" s="7">
        <v>15</v>
      </c>
      <c r="G504" s="5"/>
      <c r="H504" s="6" t="s">
        <v>120</v>
      </c>
      <c r="I504" s="6" t="s">
        <v>123</v>
      </c>
      <c r="J504" s="6" t="s">
        <v>94</v>
      </c>
      <c r="K504" s="6" t="s">
        <v>633</v>
      </c>
    </row>
    <row r="505" spans="1:11" ht="45" customHeight="1" x14ac:dyDescent="0.25">
      <c r="A505" s="5" t="s">
        <v>623</v>
      </c>
      <c r="B505" s="5" t="s">
        <v>303</v>
      </c>
      <c r="C505" s="6" t="s">
        <v>304</v>
      </c>
      <c r="D505" s="5">
        <v>44</v>
      </c>
      <c r="E505" s="5"/>
      <c r="F505" s="7">
        <v>3</v>
      </c>
      <c r="G505" s="5"/>
      <c r="H505" s="6" t="s">
        <v>144</v>
      </c>
      <c r="I505" s="6" t="s">
        <v>137</v>
      </c>
      <c r="J505" s="6" t="s">
        <v>94</v>
      </c>
      <c r="K505" s="6" t="s">
        <v>634</v>
      </c>
    </row>
    <row r="506" spans="1:11" ht="45" customHeight="1" x14ac:dyDescent="0.25">
      <c r="A506" s="5" t="s">
        <v>623</v>
      </c>
      <c r="B506" s="5" t="s">
        <v>303</v>
      </c>
      <c r="C506" s="6" t="s">
        <v>304</v>
      </c>
      <c r="D506" s="5">
        <v>47</v>
      </c>
      <c r="E506" s="5"/>
      <c r="F506" s="7">
        <v>3</v>
      </c>
      <c r="G506" s="5"/>
      <c r="H506" s="6" t="s">
        <v>145</v>
      </c>
      <c r="I506" s="6" t="s">
        <v>146</v>
      </c>
      <c r="J506" s="6" t="s">
        <v>94</v>
      </c>
      <c r="K506" s="6" t="s">
        <v>634</v>
      </c>
    </row>
    <row r="507" spans="1:11" ht="45" customHeight="1" x14ac:dyDescent="0.25">
      <c r="A507" s="5" t="s">
        <v>623</v>
      </c>
      <c r="B507" s="5" t="s">
        <v>303</v>
      </c>
      <c r="C507" s="6" t="s">
        <v>304</v>
      </c>
      <c r="D507" s="5">
        <v>48</v>
      </c>
      <c r="E507" s="5"/>
      <c r="F507" s="7">
        <v>3</v>
      </c>
      <c r="G507" s="5"/>
      <c r="H507" s="6" t="s">
        <v>145</v>
      </c>
      <c r="I507" s="6" t="s">
        <v>123</v>
      </c>
      <c r="J507" s="6" t="s">
        <v>94</v>
      </c>
      <c r="K507" s="6" t="s">
        <v>634</v>
      </c>
    </row>
    <row r="508" spans="1:11" ht="45" customHeight="1" x14ac:dyDescent="0.25">
      <c r="A508" s="5" t="s">
        <v>623</v>
      </c>
      <c r="B508" s="5" t="s">
        <v>303</v>
      </c>
      <c r="C508" s="6" t="s">
        <v>304</v>
      </c>
      <c r="D508" s="5">
        <v>68</v>
      </c>
      <c r="E508" s="5"/>
      <c r="F508" s="7">
        <v>5</v>
      </c>
      <c r="G508" s="5"/>
      <c r="H508" s="6" t="s">
        <v>216</v>
      </c>
      <c r="I508" s="6" t="s">
        <v>137</v>
      </c>
      <c r="J508" s="6" t="s">
        <v>94</v>
      </c>
      <c r="K508" s="6" t="s">
        <v>635</v>
      </c>
    </row>
    <row r="509" spans="1:11" ht="30" customHeight="1" x14ac:dyDescent="0.25">
      <c r="A509" s="5" t="s">
        <v>623</v>
      </c>
      <c r="B509" s="5" t="s">
        <v>303</v>
      </c>
      <c r="C509" s="6" t="s">
        <v>304</v>
      </c>
      <c r="D509" s="5">
        <v>73</v>
      </c>
      <c r="E509" s="5"/>
      <c r="F509" s="7">
        <v>6</v>
      </c>
      <c r="G509" s="5"/>
      <c r="H509" s="6" t="s">
        <v>199</v>
      </c>
      <c r="I509" s="6" t="s">
        <v>137</v>
      </c>
      <c r="J509" s="6" t="s">
        <v>94</v>
      </c>
      <c r="K509" s="6" t="s">
        <v>636</v>
      </c>
    </row>
    <row r="510" spans="1:11" ht="30" customHeight="1" x14ac:dyDescent="0.25">
      <c r="A510" s="5" t="s">
        <v>623</v>
      </c>
      <c r="B510" s="5" t="s">
        <v>303</v>
      </c>
      <c r="C510" s="6" t="s">
        <v>304</v>
      </c>
      <c r="D510" s="5">
        <v>74</v>
      </c>
      <c r="E510" s="5"/>
      <c r="F510" s="7">
        <v>180</v>
      </c>
      <c r="G510" s="5"/>
      <c r="H510" s="6" t="s">
        <v>199</v>
      </c>
      <c r="I510" s="6" t="s">
        <v>200</v>
      </c>
      <c r="J510" s="6" t="s">
        <v>94</v>
      </c>
      <c r="K510" s="6" t="s">
        <v>637</v>
      </c>
    </row>
    <row r="511" spans="1:11" ht="30" customHeight="1" x14ac:dyDescent="0.25">
      <c r="A511" s="5" t="s">
        <v>623</v>
      </c>
      <c r="B511" s="5" t="s">
        <v>303</v>
      </c>
      <c r="C511" s="6" t="s">
        <v>304</v>
      </c>
      <c r="D511" s="5">
        <v>75</v>
      </c>
      <c r="E511" s="5"/>
      <c r="F511" s="7">
        <v>125</v>
      </c>
      <c r="G511" s="5"/>
      <c r="H511" s="6" t="s">
        <v>215</v>
      </c>
      <c r="I511" s="6" t="s">
        <v>135</v>
      </c>
      <c r="J511" s="6" t="s">
        <v>94</v>
      </c>
      <c r="K511" s="6" t="s">
        <v>638</v>
      </c>
    </row>
    <row r="512" spans="1:11" ht="30" customHeight="1" x14ac:dyDescent="0.25">
      <c r="A512" s="5" t="s">
        <v>623</v>
      </c>
      <c r="B512" s="5" t="s">
        <v>303</v>
      </c>
      <c r="C512" s="6" t="s">
        <v>304</v>
      </c>
      <c r="D512" s="5">
        <v>76</v>
      </c>
      <c r="E512" s="5"/>
      <c r="F512" s="7">
        <v>10</v>
      </c>
      <c r="G512" s="5"/>
      <c r="H512" s="6" t="s">
        <v>215</v>
      </c>
      <c r="I512" s="6" t="s">
        <v>137</v>
      </c>
      <c r="J512" s="6" t="s">
        <v>94</v>
      </c>
      <c r="K512" s="6" t="s">
        <v>639</v>
      </c>
    </row>
    <row r="513" spans="1:11" ht="30" customHeight="1" x14ac:dyDescent="0.25">
      <c r="A513" s="5" t="s">
        <v>623</v>
      </c>
      <c r="B513" s="5" t="s">
        <v>303</v>
      </c>
      <c r="C513" s="6" t="s">
        <v>304</v>
      </c>
      <c r="D513" s="5">
        <v>77</v>
      </c>
      <c r="E513" s="5"/>
      <c r="F513" s="7">
        <v>130</v>
      </c>
      <c r="G513" s="5"/>
      <c r="H513" s="6" t="s">
        <v>215</v>
      </c>
      <c r="I513" s="6" t="s">
        <v>200</v>
      </c>
      <c r="J513" s="6" t="s">
        <v>94</v>
      </c>
      <c r="K513" s="6" t="s">
        <v>638</v>
      </c>
    </row>
    <row r="514" spans="1:11" ht="30" customHeight="1" x14ac:dyDescent="0.25">
      <c r="A514" s="5" t="s">
        <v>623</v>
      </c>
      <c r="B514" s="5" t="s">
        <v>303</v>
      </c>
      <c r="C514" s="6" t="s">
        <v>304</v>
      </c>
      <c r="D514" s="5">
        <v>78</v>
      </c>
      <c r="E514" s="5"/>
      <c r="F514" s="7">
        <v>100</v>
      </c>
      <c r="G514" s="5"/>
      <c r="H514" s="6" t="s">
        <v>215</v>
      </c>
      <c r="I514" s="6" t="s">
        <v>197</v>
      </c>
      <c r="J514" s="6" t="s">
        <v>94</v>
      </c>
      <c r="K514" s="6" t="s">
        <v>638</v>
      </c>
    </row>
    <row r="515" spans="1:11" ht="30" customHeight="1" x14ac:dyDescent="0.25">
      <c r="A515" s="5" t="s">
        <v>623</v>
      </c>
      <c r="B515" s="5" t="s">
        <v>303</v>
      </c>
      <c r="C515" s="6" t="s">
        <v>304</v>
      </c>
      <c r="D515" s="5">
        <v>80</v>
      </c>
      <c r="E515" s="5"/>
      <c r="F515" s="7">
        <v>80</v>
      </c>
      <c r="G515" s="5"/>
      <c r="H515" s="6" t="s">
        <v>206</v>
      </c>
      <c r="I515" s="6" t="s">
        <v>135</v>
      </c>
      <c r="J515" s="6" t="s">
        <v>94</v>
      </c>
      <c r="K515" s="6" t="s">
        <v>640</v>
      </c>
    </row>
    <row r="516" spans="1:11" ht="30" customHeight="1" x14ac:dyDescent="0.25">
      <c r="A516" s="5" t="s">
        <v>623</v>
      </c>
      <c r="B516" s="5" t="s">
        <v>303</v>
      </c>
      <c r="C516" s="6" t="s">
        <v>304</v>
      </c>
      <c r="D516" s="5">
        <v>81</v>
      </c>
      <c r="E516" s="5"/>
      <c r="F516" s="7">
        <v>100</v>
      </c>
      <c r="G516" s="5"/>
      <c r="H516" s="6" t="s">
        <v>206</v>
      </c>
      <c r="I516" s="6" t="s">
        <v>200</v>
      </c>
      <c r="J516" s="6" t="s">
        <v>94</v>
      </c>
      <c r="K516" s="6" t="s">
        <v>640</v>
      </c>
    </row>
    <row r="517" spans="1:11" ht="30" customHeight="1" x14ac:dyDescent="0.25">
      <c r="A517" s="5" t="s">
        <v>623</v>
      </c>
      <c r="B517" s="5" t="s">
        <v>303</v>
      </c>
      <c r="C517" s="6" t="s">
        <v>304</v>
      </c>
      <c r="D517" s="5">
        <v>83</v>
      </c>
      <c r="E517" s="5"/>
      <c r="F517" s="7">
        <v>40</v>
      </c>
      <c r="G517" s="5"/>
      <c r="H517" s="6" t="s">
        <v>218</v>
      </c>
      <c r="I517" s="6" t="s">
        <v>135</v>
      </c>
      <c r="J517" s="6" t="s">
        <v>94</v>
      </c>
      <c r="K517" s="6" t="s">
        <v>641</v>
      </c>
    </row>
    <row r="518" spans="1:11" ht="30" customHeight="1" x14ac:dyDescent="0.25">
      <c r="A518" s="5" t="s">
        <v>623</v>
      </c>
      <c r="B518" s="5" t="s">
        <v>303</v>
      </c>
      <c r="C518" s="6" t="s">
        <v>304</v>
      </c>
      <c r="D518" s="5">
        <v>84</v>
      </c>
      <c r="E518" s="5"/>
      <c r="F518" s="7">
        <v>50</v>
      </c>
      <c r="G518" s="5"/>
      <c r="H518" s="6" t="s">
        <v>218</v>
      </c>
      <c r="I518" s="6" t="s">
        <v>200</v>
      </c>
      <c r="J518" s="6" t="s">
        <v>94</v>
      </c>
      <c r="K518" s="6" t="s">
        <v>641</v>
      </c>
    </row>
    <row r="519" spans="1:11" ht="45" customHeight="1" x14ac:dyDescent="0.25">
      <c r="A519" s="5" t="s">
        <v>623</v>
      </c>
      <c r="B519" s="5" t="s">
        <v>303</v>
      </c>
      <c r="C519" s="6" t="s">
        <v>304</v>
      </c>
      <c r="D519" s="5">
        <v>85</v>
      </c>
      <c r="E519" s="5"/>
      <c r="F519" s="7">
        <v>5</v>
      </c>
      <c r="G519" s="5"/>
      <c r="H519" s="6" t="s">
        <v>218</v>
      </c>
      <c r="I519" s="6" t="s">
        <v>207</v>
      </c>
      <c r="J519" s="6" t="s">
        <v>94</v>
      </c>
      <c r="K519" s="6" t="s">
        <v>642</v>
      </c>
    </row>
    <row r="520" spans="1:11" ht="30" customHeight="1" x14ac:dyDescent="0.25">
      <c r="A520" s="5" t="s">
        <v>623</v>
      </c>
      <c r="B520" s="5" t="s">
        <v>303</v>
      </c>
      <c r="C520" s="6" t="s">
        <v>304</v>
      </c>
      <c r="D520" s="5">
        <v>88</v>
      </c>
      <c r="E520" s="5"/>
      <c r="F520" s="7">
        <v>2</v>
      </c>
      <c r="G520" s="5"/>
      <c r="H520" s="6" t="s">
        <v>217</v>
      </c>
      <c r="I520" s="6" t="s">
        <v>203</v>
      </c>
      <c r="J520" s="6" t="s">
        <v>94</v>
      </c>
      <c r="K520" s="6" t="s">
        <v>643</v>
      </c>
    </row>
    <row r="521" spans="1:11" ht="30" customHeight="1" x14ac:dyDescent="0.25">
      <c r="A521" s="5" t="s">
        <v>623</v>
      </c>
      <c r="B521" s="5" t="s">
        <v>303</v>
      </c>
      <c r="C521" s="6" t="s">
        <v>304</v>
      </c>
      <c r="D521" s="5">
        <v>91</v>
      </c>
      <c r="E521" s="5"/>
      <c r="F521" s="7">
        <v>10</v>
      </c>
      <c r="G521" s="5"/>
      <c r="H521" s="6" t="s">
        <v>217</v>
      </c>
      <c r="I521" s="6" t="s">
        <v>207</v>
      </c>
      <c r="J521" s="6" t="s">
        <v>94</v>
      </c>
      <c r="K521" s="6" t="s">
        <v>643</v>
      </c>
    </row>
    <row r="522" spans="1:11" ht="45" customHeight="1" x14ac:dyDescent="0.25">
      <c r="A522" s="5" t="s">
        <v>623</v>
      </c>
      <c r="B522" s="5" t="s">
        <v>303</v>
      </c>
      <c r="C522" s="6" t="s">
        <v>304</v>
      </c>
      <c r="D522" s="5">
        <v>101</v>
      </c>
      <c r="E522" s="5"/>
      <c r="F522" s="7">
        <v>10</v>
      </c>
      <c r="G522" s="5"/>
      <c r="H522" s="6" t="s">
        <v>219</v>
      </c>
      <c r="I522" s="6" t="s">
        <v>137</v>
      </c>
      <c r="J522" s="6" t="s">
        <v>94</v>
      </c>
      <c r="K522" s="6" t="s">
        <v>644</v>
      </c>
    </row>
    <row r="523" spans="1:11" ht="30" customHeight="1" x14ac:dyDescent="0.25">
      <c r="A523" s="5" t="s">
        <v>623</v>
      </c>
      <c r="B523" s="5" t="s">
        <v>303</v>
      </c>
      <c r="C523" s="6" t="s">
        <v>304</v>
      </c>
      <c r="D523" s="5">
        <v>108</v>
      </c>
      <c r="E523" s="5"/>
      <c r="F523" s="7">
        <v>10</v>
      </c>
      <c r="G523" s="5"/>
      <c r="H523" s="6" t="s">
        <v>227</v>
      </c>
      <c r="I523" s="6" t="s">
        <v>225</v>
      </c>
      <c r="J523" s="6" t="s">
        <v>94</v>
      </c>
      <c r="K523" s="6" t="s">
        <v>645</v>
      </c>
    </row>
    <row r="524" spans="1:11" ht="45" customHeight="1" x14ac:dyDescent="0.25">
      <c r="A524" s="5" t="s">
        <v>623</v>
      </c>
      <c r="B524" s="5" t="s">
        <v>303</v>
      </c>
      <c r="C524" s="6" t="s">
        <v>304</v>
      </c>
      <c r="D524" s="5">
        <v>109</v>
      </c>
      <c r="E524" s="5"/>
      <c r="F524" s="7">
        <v>2000</v>
      </c>
      <c r="G524" s="5"/>
      <c r="H524" s="6" t="s">
        <v>227</v>
      </c>
      <c r="I524" s="6" t="s">
        <v>151</v>
      </c>
      <c r="J524" s="6" t="s">
        <v>94</v>
      </c>
      <c r="K524" s="6" t="s">
        <v>646</v>
      </c>
    </row>
    <row r="525" spans="1:11" ht="45" customHeight="1" x14ac:dyDescent="0.25">
      <c r="A525" s="5" t="s">
        <v>623</v>
      </c>
      <c r="B525" s="5" t="s">
        <v>303</v>
      </c>
      <c r="C525" s="6" t="s">
        <v>304</v>
      </c>
      <c r="D525" s="5">
        <v>110</v>
      </c>
      <c r="E525" s="5"/>
      <c r="F525" s="7">
        <v>200</v>
      </c>
      <c r="G525" s="5"/>
      <c r="H525" s="6" t="s">
        <v>227</v>
      </c>
      <c r="I525" s="6" t="s">
        <v>228</v>
      </c>
      <c r="J525" s="6" t="s">
        <v>94</v>
      </c>
      <c r="K525" s="6" t="s">
        <v>646</v>
      </c>
    </row>
    <row r="526" spans="1:11" ht="45" customHeight="1" x14ac:dyDescent="0.25">
      <c r="A526" s="5" t="s">
        <v>623</v>
      </c>
      <c r="B526" s="5" t="s">
        <v>303</v>
      </c>
      <c r="C526" s="6" t="s">
        <v>304</v>
      </c>
      <c r="D526" s="5">
        <v>113</v>
      </c>
      <c r="E526" s="5"/>
      <c r="F526" s="7">
        <v>5</v>
      </c>
      <c r="G526" s="5"/>
      <c r="H526" s="6" t="s">
        <v>209</v>
      </c>
      <c r="I526" s="6" t="s">
        <v>210</v>
      </c>
      <c r="J526" s="6" t="s">
        <v>94</v>
      </c>
      <c r="K526" s="6" t="s">
        <v>647</v>
      </c>
    </row>
    <row r="527" spans="1:11" ht="45" customHeight="1" x14ac:dyDescent="0.25">
      <c r="A527" s="5" t="s">
        <v>623</v>
      </c>
      <c r="B527" s="5" t="s">
        <v>303</v>
      </c>
      <c r="C527" s="6" t="s">
        <v>304</v>
      </c>
      <c r="D527" s="5">
        <v>117</v>
      </c>
      <c r="E527" s="5"/>
      <c r="F527" s="7">
        <v>75</v>
      </c>
      <c r="G527" s="5"/>
      <c r="H527" s="6" t="s">
        <v>214</v>
      </c>
      <c r="I527" s="6" t="s">
        <v>128</v>
      </c>
      <c r="J527" s="6" t="s">
        <v>94</v>
      </c>
      <c r="K527" s="6" t="s">
        <v>648</v>
      </c>
    </row>
    <row r="528" spans="1:11" ht="30" customHeight="1" x14ac:dyDescent="0.25">
      <c r="A528" s="5" t="s">
        <v>623</v>
      </c>
      <c r="B528" s="5" t="s">
        <v>303</v>
      </c>
      <c r="C528" s="6" t="s">
        <v>304</v>
      </c>
      <c r="D528" s="5">
        <v>123</v>
      </c>
      <c r="E528" s="5"/>
      <c r="F528" s="7">
        <v>2</v>
      </c>
      <c r="G528" s="5"/>
      <c r="H528" s="6" t="s">
        <v>236</v>
      </c>
      <c r="I528" s="6"/>
      <c r="J528" s="6" t="s">
        <v>237</v>
      </c>
      <c r="K528" s="6" t="s">
        <v>649</v>
      </c>
    </row>
    <row r="529" spans="1:11" ht="30" customHeight="1" x14ac:dyDescent="0.25">
      <c r="A529" s="5" t="s">
        <v>623</v>
      </c>
      <c r="B529" s="5" t="s">
        <v>303</v>
      </c>
      <c r="C529" s="6" t="s">
        <v>304</v>
      </c>
      <c r="D529" s="5">
        <v>127</v>
      </c>
      <c r="E529" s="5"/>
      <c r="F529" s="7">
        <v>4</v>
      </c>
      <c r="G529" s="5"/>
      <c r="H529" s="6" t="s">
        <v>223</v>
      </c>
      <c r="I529" s="6" t="s">
        <v>226</v>
      </c>
      <c r="J529" s="6" t="s">
        <v>94</v>
      </c>
      <c r="K529" s="6" t="s">
        <v>650</v>
      </c>
    </row>
    <row r="530" spans="1:11" ht="30" customHeight="1" x14ac:dyDescent="0.25">
      <c r="A530" s="5" t="s">
        <v>623</v>
      </c>
      <c r="B530" s="5" t="s">
        <v>303</v>
      </c>
      <c r="C530" s="6" t="s">
        <v>304</v>
      </c>
      <c r="D530" s="5">
        <v>128</v>
      </c>
      <c r="E530" s="5"/>
      <c r="F530" s="7">
        <v>6</v>
      </c>
      <c r="G530" s="5"/>
      <c r="H530" s="6" t="s">
        <v>191</v>
      </c>
      <c r="I530" s="6" t="s">
        <v>190</v>
      </c>
      <c r="J530" s="6" t="s">
        <v>94</v>
      </c>
      <c r="K530" s="6" t="s">
        <v>651</v>
      </c>
    </row>
    <row r="531" spans="1:11" ht="30" customHeight="1" x14ac:dyDescent="0.25">
      <c r="A531" s="5" t="s">
        <v>623</v>
      </c>
      <c r="B531" s="5" t="s">
        <v>303</v>
      </c>
      <c r="C531" s="6" t="s">
        <v>368</v>
      </c>
      <c r="D531" s="5">
        <v>1</v>
      </c>
      <c r="E531" s="5"/>
      <c r="F531" s="7">
        <v>53.5</v>
      </c>
      <c r="G531" s="5"/>
      <c r="H531" s="6" t="s">
        <v>111</v>
      </c>
      <c r="I531" s="6" t="s">
        <v>97</v>
      </c>
      <c r="J531" s="6" t="s">
        <v>94</v>
      </c>
      <c r="K531" s="6" t="s">
        <v>652</v>
      </c>
    </row>
    <row r="532" spans="1:11" ht="30" customHeight="1" x14ac:dyDescent="0.25">
      <c r="A532" s="5" t="s">
        <v>623</v>
      </c>
      <c r="B532" s="5" t="s">
        <v>303</v>
      </c>
      <c r="C532" s="6" t="s">
        <v>368</v>
      </c>
      <c r="D532" s="5">
        <v>2</v>
      </c>
      <c r="E532" s="5"/>
      <c r="F532" s="7">
        <v>99.5</v>
      </c>
      <c r="G532" s="5"/>
      <c r="H532" s="6" t="s">
        <v>111</v>
      </c>
      <c r="I532" s="6" t="s">
        <v>98</v>
      </c>
      <c r="J532" s="6" t="s">
        <v>94</v>
      </c>
      <c r="K532" s="6" t="s">
        <v>652</v>
      </c>
    </row>
    <row r="533" spans="1:11" ht="30" customHeight="1" x14ac:dyDescent="0.25">
      <c r="A533" s="5" t="s">
        <v>623</v>
      </c>
      <c r="B533" s="5" t="s">
        <v>303</v>
      </c>
      <c r="C533" s="6" t="s">
        <v>368</v>
      </c>
      <c r="D533" s="5">
        <v>3</v>
      </c>
      <c r="E533" s="5"/>
      <c r="F533" s="7">
        <v>1</v>
      </c>
      <c r="G533" s="5"/>
      <c r="H533" s="6" t="s">
        <v>111</v>
      </c>
      <c r="I533" s="6" t="s">
        <v>100</v>
      </c>
      <c r="J533" s="6" t="s">
        <v>94</v>
      </c>
      <c r="K533" s="6" t="s">
        <v>653</v>
      </c>
    </row>
    <row r="534" spans="1:11" ht="30" customHeight="1" x14ac:dyDescent="0.25">
      <c r="A534" s="5" t="s">
        <v>623</v>
      </c>
      <c r="B534" s="5" t="s">
        <v>303</v>
      </c>
      <c r="C534" s="6" t="s">
        <v>368</v>
      </c>
      <c r="D534" s="5">
        <v>4</v>
      </c>
      <c r="E534" s="5"/>
      <c r="F534" s="7">
        <v>46.5</v>
      </c>
      <c r="G534" s="5"/>
      <c r="H534" s="6" t="s">
        <v>111</v>
      </c>
      <c r="I534" s="6" t="s">
        <v>113</v>
      </c>
      <c r="J534" s="6" t="s">
        <v>94</v>
      </c>
      <c r="K534" s="6" t="s">
        <v>652</v>
      </c>
    </row>
    <row r="535" spans="1:11" ht="30" customHeight="1" x14ac:dyDescent="0.25">
      <c r="A535" s="5" t="s">
        <v>623</v>
      </c>
      <c r="B535" s="5" t="s">
        <v>303</v>
      </c>
      <c r="C535" s="6" t="s">
        <v>368</v>
      </c>
      <c r="D535" s="5">
        <v>5</v>
      </c>
      <c r="E535" s="5"/>
      <c r="F535" s="7">
        <v>25</v>
      </c>
      <c r="G535" s="5"/>
      <c r="H535" s="6" t="s">
        <v>116</v>
      </c>
      <c r="I535" s="6" t="s">
        <v>98</v>
      </c>
      <c r="J535" s="6" t="s">
        <v>94</v>
      </c>
      <c r="K535" s="6" t="s">
        <v>652</v>
      </c>
    </row>
    <row r="536" spans="1:11" ht="30" customHeight="1" x14ac:dyDescent="0.25">
      <c r="A536" s="5" t="s">
        <v>623</v>
      </c>
      <c r="B536" s="5" t="s">
        <v>303</v>
      </c>
      <c r="C536" s="6" t="s">
        <v>368</v>
      </c>
      <c r="D536" s="5">
        <v>6</v>
      </c>
      <c r="E536" s="5"/>
      <c r="F536" s="7">
        <v>3.5</v>
      </c>
      <c r="G536" s="5"/>
      <c r="H536" s="6" t="s">
        <v>116</v>
      </c>
      <c r="I536" s="6" t="s">
        <v>100</v>
      </c>
      <c r="J536" s="6" t="s">
        <v>94</v>
      </c>
      <c r="K536" s="6" t="s">
        <v>652</v>
      </c>
    </row>
    <row r="537" spans="1:11" ht="30" customHeight="1" x14ac:dyDescent="0.25">
      <c r="A537" s="5" t="s">
        <v>623</v>
      </c>
      <c r="B537" s="5" t="s">
        <v>303</v>
      </c>
      <c r="C537" s="6" t="s">
        <v>368</v>
      </c>
      <c r="D537" s="5">
        <v>7</v>
      </c>
      <c r="E537" s="5"/>
      <c r="F537" s="7">
        <v>128</v>
      </c>
      <c r="G537" s="5"/>
      <c r="H537" s="6" t="s">
        <v>116</v>
      </c>
      <c r="I537" s="6" t="s">
        <v>113</v>
      </c>
      <c r="J537" s="6" t="s">
        <v>94</v>
      </c>
      <c r="K537" s="6" t="s">
        <v>652</v>
      </c>
    </row>
    <row r="538" spans="1:11" ht="30" customHeight="1" x14ac:dyDescent="0.25">
      <c r="A538" s="5" t="s">
        <v>623</v>
      </c>
      <c r="B538" s="5" t="s">
        <v>303</v>
      </c>
      <c r="C538" s="6" t="s">
        <v>368</v>
      </c>
      <c r="D538" s="5">
        <v>8</v>
      </c>
      <c r="E538" s="5"/>
      <c r="F538" s="7">
        <v>33.5</v>
      </c>
      <c r="G538" s="5"/>
      <c r="H538" s="6" t="s">
        <v>116</v>
      </c>
      <c r="I538" s="6" t="s">
        <v>117</v>
      </c>
      <c r="J538" s="6" t="s">
        <v>94</v>
      </c>
      <c r="K538" s="6" t="s">
        <v>652</v>
      </c>
    </row>
    <row r="539" spans="1:11" ht="30" customHeight="1" x14ac:dyDescent="0.25">
      <c r="A539" s="5" t="s">
        <v>623</v>
      </c>
      <c r="B539" s="5" t="s">
        <v>303</v>
      </c>
      <c r="C539" s="6" t="s">
        <v>368</v>
      </c>
      <c r="D539" s="5">
        <v>9</v>
      </c>
      <c r="E539" s="5"/>
      <c r="F539" s="7">
        <v>308.5</v>
      </c>
      <c r="G539" s="5"/>
      <c r="H539" s="6" t="s">
        <v>92</v>
      </c>
      <c r="I539" s="6" t="s">
        <v>93</v>
      </c>
      <c r="J539" s="6" t="s">
        <v>94</v>
      </c>
      <c r="K539" s="6" t="s">
        <v>652</v>
      </c>
    </row>
    <row r="540" spans="1:11" ht="30" customHeight="1" x14ac:dyDescent="0.25">
      <c r="A540" s="5" t="s">
        <v>623</v>
      </c>
      <c r="B540" s="5" t="s">
        <v>303</v>
      </c>
      <c r="C540" s="6" t="s">
        <v>368</v>
      </c>
      <c r="D540" s="5">
        <v>10</v>
      </c>
      <c r="E540" s="5"/>
      <c r="F540" s="7">
        <v>106</v>
      </c>
      <c r="G540" s="5"/>
      <c r="H540" s="6" t="s">
        <v>92</v>
      </c>
      <c r="I540" s="6" t="s">
        <v>96</v>
      </c>
      <c r="J540" s="6" t="s">
        <v>94</v>
      </c>
      <c r="K540" s="6" t="s">
        <v>652</v>
      </c>
    </row>
    <row r="541" spans="1:11" ht="30" customHeight="1" x14ac:dyDescent="0.25">
      <c r="A541" s="5" t="s">
        <v>623</v>
      </c>
      <c r="B541" s="5" t="s">
        <v>303</v>
      </c>
      <c r="C541" s="6" t="s">
        <v>368</v>
      </c>
      <c r="D541" s="5">
        <v>11</v>
      </c>
      <c r="E541" s="5"/>
      <c r="F541" s="7">
        <v>4</v>
      </c>
      <c r="G541" s="5"/>
      <c r="H541" s="6" t="s">
        <v>92</v>
      </c>
      <c r="I541" s="6" t="s">
        <v>97</v>
      </c>
      <c r="J541" s="6" t="s">
        <v>94</v>
      </c>
      <c r="K541" s="6" t="s">
        <v>652</v>
      </c>
    </row>
    <row r="542" spans="1:11" ht="30" customHeight="1" x14ac:dyDescent="0.25">
      <c r="A542" s="5" t="s">
        <v>623</v>
      </c>
      <c r="B542" s="5" t="s">
        <v>303</v>
      </c>
      <c r="C542" s="6" t="s">
        <v>368</v>
      </c>
      <c r="D542" s="5">
        <v>12</v>
      </c>
      <c r="E542" s="5"/>
      <c r="F542" s="7">
        <v>6.5</v>
      </c>
      <c r="G542" s="5"/>
      <c r="H542" s="6" t="s">
        <v>92</v>
      </c>
      <c r="I542" s="6" t="s">
        <v>98</v>
      </c>
      <c r="J542" s="6" t="s">
        <v>94</v>
      </c>
      <c r="K542" s="6" t="s">
        <v>652</v>
      </c>
    </row>
    <row r="543" spans="1:11" ht="45" customHeight="1" x14ac:dyDescent="0.25">
      <c r="A543" s="5" t="s">
        <v>623</v>
      </c>
      <c r="B543" s="5" t="s">
        <v>303</v>
      </c>
      <c r="C543" s="6" t="s">
        <v>368</v>
      </c>
      <c r="D543" s="5">
        <v>13</v>
      </c>
      <c r="E543" s="5"/>
      <c r="F543" s="7">
        <v>1</v>
      </c>
      <c r="G543" s="5"/>
      <c r="H543" s="6" t="s">
        <v>92</v>
      </c>
      <c r="I543" s="6" t="s">
        <v>99</v>
      </c>
      <c r="J543" s="6" t="s">
        <v>94</v>
      </c>
      <c r="K543" s="6" t="s">
        <v>654</v>
      </c>
    </row>
    <row r="544" spans="1:11" ht="45" customHeight="1" x14ac:dyDescent="0.25">
      <c r="A544" s="5" t="s">
        <v>623</v>
      </c>
      <c r="B544" s="5" t="s">
        <v>303</v>
      </c>
      <c r="C544" s="6" t="s">
        <v>368</v>
      </c>
      <c r="D544" s="5">
        <v>14</v>
      </c>
      <c r="E544" s="5"/>
      <c r="F544" s="7">
        <v>1</v>
      </c>
      <c r="G544" s="5"/>
      <c r="H544" s="6" t="s">
        <v>92</v>
      </c>
      <c r="I544" s="6" t="s">
        <v>100</v>
      </c>
      <c r="J544" s="6" t="s">
        <v>94</v>
      </c>
      <c r="K544" s="6" t="s">
        <v>654</v>
      </c>
    </row>
    <row r="545" spans="1:11" ht="30" customHeight="1" x14ac:dyDescent="0.25">
      <c r="A545" s="5" t="s">
        <v>623</v>
      </c>
      <c r="B545" s="5" t="s">
        <v>303</v>
      </c>
      <c r="C545" s="6" t="s">
        <v>374</v>
      </c>
      <c r="D545" s="5">
        <v>5</v>
      </c>
      <c r="E545" s="5"/>
      <c r="F545" s="7">
        <v>2</v>
      </c>
      <c r="G545" s="5"/>
      <c r="H545" s="6" t="s">
        <v>250</v>
      </c>
      <c r="I545" s="6"/>
      <c r="J545" s="6" t="s">
        <v>248</v>
      </c>
      <c r="K545" s="6" t="s">
        <v>655</v>
      </c>
    </row>
    <row r="546" spans="1:11" ht="30" customHeight="1" x14ac:dyDescent="0.25">
      <c r="A546" s="5" t="s">
        <v>623</v>
      </c>
      <c r="B546" s="5" t="s">
        <v>303</v>
      </c>
      <c r="C546" s="6" t="s">
        <v>374</v>
      </c>
      <c r="D546" s="5">
        <v>6</v>
      </c>
      <c r="E546" s="5"/>
      <c r="F546" s="7">
        <v>1</v>
      </c>
      <c r="G546" s="5"/>
      <c r="H546" s="6" t="s">
        <v>247</v>
      </c>
      <c r="I546" s="6"/>
      <c r="J546" s="6" t="s">
        <v>248</v>
      </c>
      <c r="K546" s="6" t="s">
        <v>656</v>
      </c>
    </row>
    <row r="547" spans="1:11" ht="30" customHeight="1" x14ac:dyDescent="0.25">
      <c r="A547" s="5" t="s">
        <v>623</v>
      </c>
      <c r="B547" s="5" t="s">
        <v>303</v>
      </c>
      <c r="C547" s="6" t="s">
        <v>374</v>
      </c>
      <c r="D547" s="5">
        <v>7</v>
      </c>
      <c r="E547" s="5"/>
      <c r="F547" s="7">
        <v>2</v>
      </c>
      <c r="G547" s="5"/>
      <c r="H547" s="6" t="s">
        <v>249</v>
      </c>
      <c r="I547" s="6"/>
      <c r="J547" s="6" t="s">
        <v>248</v>
      </c>
      <c r="K547" s="6" t="s">
        <v>657</v>
      </c>
    </row>
    <row r="548" spans="1:11" ht="30" customHeight="1" x14ac:dyDescent="0.25">
      <c r="A548" s="5" t="s">
        <v>623</v>
      </c>
      <c r="B548" s="5" t="s">
        <v>303</v>
      </c>
      <c r="C548" s="6" t="s">
        <v>374</v>
      </c>
      <c r="D548" s="5">
        <v>8</v>
      </c>
      <c r="E548" s="5"/>
      <c r="F548" s="7">
        <v>2</v>
      </c>
      <c r="G548" s="5"/>
      <c r="H548" s="6" t="s">
        <v>258</v>
      </c>
      <c r="I548" s="6"/>
      <c r="J548" s="6" t="s">
        <v>243</v>
      </c>
      <c r="K548" s="6" t="s">
        <v>658</v>
      </c>
    </row>
    <row r="549" spans="1:11" ht="30" customHeight="1" x14ac:dyDescent="0.25">
      <c r="A549" s="5" t="s">
        <v>623</v>
      </c>
      <c r="B549" s="5" t="s">
        <v>303</v>
      </c>
      <c r="C549" s="6" t="s">
        <v>374</v>
      </c>
      <c r="D549" s="5">
        <v>10</v>
      </c>
      <c r="E549" s="5"/>
      <c r="F549" s="7">
        <v>2</v>
      </c>
      <c r="G549" s="5"/>
      <c r="H549" s="6" t="s">
        <v>253</v>
      </c>
      <c r="I549" s="6"/>
      <c r="J549" s="6" t="s">
        <v>243</v>
      </c>
      <c r="K549" s="6" t="s">
        <v>659</v>
      </c>
    </row>
    <row r="550" spans="1:11" ht="45" customHeight="1" x14ac:dyDescent="0.25">
      <c r="A550" s="5" t="s">
        <v>623</v>
      </c>
      <c r="B550" s="5" t="s">
        <v>303</v>
      </c>
      <c r="C550" s="6" t="s">
        <v>374</v>
      </c>
      <c r="D550" s="5">
        <v>11</v>
      </c>
      <c r="E550" s="5"/>
      <c r="F550" s="7">
        <v>2</v>
      </c>
      <c r="G550" s="5"/>
      <c r="H550" s="6" t="s">
        <v>254</v>
      </c>
      <c r="I550" s="6"/>
      <c r="J550" s="6" t="s">
        <v>243</v>
      </c>
      <c r="K550" s="6" t="s">
        <v>660</v>
      </c>
    </row>
    <row r="551" spans="1:11" ht="30" customHeight="1" x14ac:dyDescent="0.25">
      <c r="A551" s="5" t="s">
        <v>623</v>
      </c>
      <c r="B551" s="5" t="s">
        <v>303</v>
      </c>
      <c r="C551" s="6" t="s">
        <v>374</v>
      </c>
      <c r="D551" s="5">
        <v>12</v>
      </c>
      <c r="E551" s="5"/>
      <c r="F551" s="7">
        <v>4</v>
      </c>
      <c r="G551" s="5"/>
      <c r="H551" s="6" t="s">
        <v>259</v>
      </c>
      <c r="I551" s="6"/>
      <c r="J551" s="6" t="s">
        <v>243</v>
      </c>
      <c r="K551" s="6" t="s">
        <v>661</v>
      </c>
    </row>
    <row r="552" spans="1:11" ht="45" customHeight="1" x14ac:dyDescent="0.25">
      <c r="A552" s="5" t="s">
        <v>623</v>
      </c>
      <c r="B552" s="5" t="s">
        <v>303</v>
      </c>
      <c r="C552" s="6" t="s">
        <v>374</v>
      </c>
      <c r="D552" s="5">
        <v>13</v>
      </c>
      <c r="E552" s="5"/>
      <c r="F552" s="7">
        <v>4</v>
      </c>
      <c r="G552" s="5"/>
      <c r="H552" s="6" t="s">
        <v>242</v>
      </c>
      <c r="I552" s="6"/>
      <c r="J552" s="6" t="s">
        <v>243</v>
      </c>
      <c r="K552" s="6" t="s">
        <v>662</v>
      </c>
    </row>
    <row r="553" spans="1:11" ht="45" customHeight="1" x14ac:dyDescent="0.25">
      <c r="A553" s="5" t="s">
        <v>623</v>
      </c>
      <c r="B553" s="5" t="s">
        <v>303</v>
      </c>
      <c r="C553" s="6" t="s">
        <v>374</v>
      </c>
      <c r="D553" s="5">
        <v>14</v>
      </c>
      <c r="E553" s="5"/>
      <c r="F553" s="7">
        <v>6</v>
      </c>
      <c r="G553" s="5"/>
      <c r="H553" s="6" t="s">
        <v>251</v>
      </c>
      <c r="I553" s="6"/>
      <c r="J553" s="6" t="s">
        <v>243</v>
      </c>
      <c r="K553" s="6" t="s">
        <v>663</v>
      </c>
    </row>
    <row r="554" spans="1:11" ht="45" customHeight="1" x14ac:dyDescent="0.25">
      <c r="A554" s="5" t="s">
        <v>623</v>
      </c>
      <c r="B554" s="5" t="s">
        <v>303</v>
      </c>
      <c r="C554" s="6" t="s">
        <v>374</v>
      </c>
      <c r="D554" s="5">
        <v>15</v>
      </c>
      <c r="E554" s="5"/>
      <c r="F554" s="7">
        <v>4</v>
      </c>
      <c r="G554" s="5"/>
      <c r="H554" s="6" t="s">
        <v>252</v>
      </c>
      <c r="I554" s="6"/>
      <c r="J554" s="6" t="s">
        <v>243</v>
      </c>
      <c r="K554" s="6" t="s">
        <v>663</v>
      </c>
    </row>
    <row r="555" spans="1:11" ht="45" customHeight="1" x14ac:dyDescent="0.25">
      <c r="A555" s="5" t="s">
        <v>623</v>
      </c>
      <c r="B555" s="5" t="s">
        <v>303</v>
      </c>
      <c r="C555" s="6" t="s">
        <v>374</v>
      </c>
      <c r="D555" s="5">
        <v>16</v>
      </c>
      <c r="E555" s="5"/>
      <c r="F555" s="7">
        <v>4</v>
      </c>
      <c r="G555" s="5"/>
      <c r="H555" s="6" t="s">
        <v>260</v>
      </c>
      <c r="I555" s="6"/>
      <c r="J555" s="6" t="s">
        <v>243</v>
      </c>
      <c r="K555" s="6" t="s">
        <v>664</v>
      </c>
    </row>
    <row r="556" spans="1:11" ht="45" customHeight="1" x14ac:dyDescent="0.25">
      <c r="A556" s="5" t="s">
        <v>623</v>
      </c>
      <c r="B556" s="5" t="s">
        <v>303</v>
      </c>
      <c r="C556" s="6" t="s">
        <v>374</v>
      </c>
      <c r="D556" s="5">
        <v>17</v>
      </c>
      <c r="E556" s="5"/>
      <c r="F556" s="7">
        <v>4</v>
      </c>
      <c r="G556" s="5"/>
      <c r="H556" s="6" t="s">
        <v>255</v>
      </c>
      <c r="I556" s="6"/>
      <c r="J556" s="6" t="s">
        <v>256</v>
      </c>
      <c r="K556" s="6" t="s">
        <v>665</v>
      </c>
    </row>
    <row r="557" spans="1:11" x14ac:dyDescent="0.25">
      <c r="A557" s="53" t="s">
        <v>666</v>
      </c>
      <c r="B557" s="54"/>
      <c r="C557" s="54"/>
      <c r="D557" s="54"/>
      <c r="E557" s="54"/>
      <c r="F557" s="54"/>
      <c r="G557" s="54"/>
      <c r="H557" s="54"/>
      <c r="I557" s="54"/>
      <c r="J557" s="54"/>
      <c r="K557" s="55"/>
    </row>
    <row r="559" spans="1:11" x14ac:dyDescent="0.25">
      <c r="A559" s="56" t="s">
        <v>667</v>
      </c>
      <c r="B559" s="54"/>
      <c r="C559" s="54"/>
      <c r="D559" s="54"/>
      <c r="E559" s="54"/>
      <c r="F559" s="54"/>
      <c r="G559" s="54"/>
      <c r="H559" s="54"/>
      <c r="I559" s="54"/>
      <c r="J559" s="54"/>
      <c r="K559" s="55"/>
    </row>
    <row r="560" spans="1:11" ht="30" customHeight="1" x14ac:dyDescent="0.25">
      <c r="A560" s="5" t="s">
        <v>668</v>
      </c>
      <c r="B560" s="5" t="s">
        <v>303</v>
      </c>
      <c r="C560" s="6" t="s">
        <v>304</v>
      </c>
      <c r="D560" s="5">
        <v>109</v>
      </c>
      <c r="E560" s="5"/>
      <c r="F560" s="7">
        <v>2035</v>
      </c>
      <c r="G560" s="5"/>
      <c r="H560" s="6" t="s">
        <v>227</v>
      </c>
      <c r="I560" s="6" t="s">
        <v>151</v>
      </c>
      <c r="J560" s="6" t="s">
        <v>94</v>
      </c>
      <c r="K560" s="6" t="s">
        <v>669</v>
      </c>
    </row>
    <row r="561" spans="1:11" ht="30" customHeight="1" x14ac:dyDescent="0.25">
      <c r="A561" s="5" t="s">
        <v>668</v>
      </c>
      <c r="B561" s="5" t="s">
        <v>303</v>
      </c>
      <c r="C561" s="6" t="s">
        <v>304</v>
      </c>
      <c r="D561" s="5">
        <v>110</v>
      </c>
      <c r="E561" s="5"/>
      <c r="F561" s="7">
        <v>170</v>
      </c>
      <c r="G561" s="5"/>
      <c r="H561" s="6" t="s">
        <v>227</v>
      </c>
      <c r="I561" s="6" t="s">
        <v>228</v>
      </c>
      <c r="J561" s="6" t="s">
        <v>94</v>
      </c>
      <c r="K561" s="6" t="s">
        <v>669</v>
      </c>
    </row>
    <row r="562" spans="1:11" x14ac:dyDescent="0.25">
      <c r="A562" s="53" t="s">
        <v>670</v>
      </c>
      <c r="B562" s="54"/>
      <c r="C562" s="54"/>
      <c r="D562" s="54"/>
      <c r="E562" s="54"/>
      <c r="F562" s="54"/>
      <c r="G562" s="54"/>
      <c r="H562" s="54"/>
      <c r="I562" s="54"/>
      <c r="J562" s="54"/>
      <c r="K562" s="55"/>
    </row>
  </sheetData>
  <mergeCells count="44">
    <mergeCell ref="A562:K562"/>
    <mergeCell ref="A213:K213"/>
    <mergeCell ref="A203:K203"/>
    <mergeCell ref="A116:K116"/>
    <mergeCell ref="A8:K8"/>
    <mergeCell ref="A215:K215"/>
    <mergeCell ref="A140:K140"/>
    <mergeCell ref="A171:K171"/>
    <mergeCell ref="A109:K109"/>
    <mergeCell ref="A147:K147"/>
    <mergeCell ref="A180:K180"/>
    <mergeCell ref="A152:K152"/>
    <mergeCell ref="A121:K121"/>
    <mergeCell ref="A459:K459"/>
    <mergeCell ref="A173:K173"/>
    <mergeCell ref="A229:K229"/>
    <mergeCell ref="A559:K559"/>
    <mergeCell ref="A107:K107"/>
    <mergeCell ref="A178:K178"/>
    <mergeCell ref="A191:K191"/>
    <mergeCell ref="A222:K222"/>
    <mergeCell ref="A123:K123"/>
    <mergeCell ref="A138:K138"/>
    <mergeCell ref="A461:K461"/>
    <mergeCell ref="A237:K237"/>
    <mergeCell ref="A492:K492"/>
    <mergeCell ref="A367:K367"/>
    <mergeCell ref="A205:K205"/>
    <mergeCell ref="A227:K227"/>
    <mergeCell ref="A196:K196"/>
    <mergeCell ref="A557:K557"/>
    <mergeCell ref="A164:K164"/>
    <mergeCell ref="A220:K220"/>
    <mergeCell ref="A114:K114"/>
    <mergeCell ref="A490:K490"/>
    <mergeCell ref="A270:K270"/>
    <mergeCell ref="A166:K166"/>
    <mergeCell ref="A189:K189"/>
    <mergeCell ref="A198:K198"/>
    <mergeCell ref="A145:K145"/>
    <mergeCell ref="A365:K365"/>
    <mergeCell ref="A272:K272"/>
    <mergeCell ref="A154:K154"/>
    <mergeCell ref="A239:K2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0"/>
  <sheetViews>
    <sheetView workbookViewId="0">
      <pane ySplit="3" topLeftCell="A4" activePane="bottomLeft" state="frozen"/>
      <selection pane="bottomLeft" activeCell="I164" sqref="I164"/>
    </sheetView>
  </sheetViews>
  <sheetFormatPr defaultRowHeight="15" x14ac:dyDescent="0.25"/>
  <cols>
    <col min="1" max="1" width="18" customWidth="1"/>
    <col min="2" max="2" width="40" customWidth="1"/>
    <col min="3" max="3" width="15" customWidth="1"/>
    <col min="4" max="4" width="38" customWidth="1"/>
    <col min="5" max="5" width="7" customWidth="1"/>
    <col min="6" max="6" width="12" customWidth="1"/>
    <col min="7" max="7" width="10" customWidth="1"/>
    <col min="8" max="8" width="6" customWidth="1"/>
    <col min="9" max="9" width="50" customWidth="1"/>
    <col min="10" max="10" width="22" customWidth="1"/>
    <col min="11" max="11" width="14" customWidth="1"/>
    <col min="12" max="12" width="8" customWidth="1"/>
  </cols>
  <sheetData>
    <row r="1" spans="1:12" ht="15.75" customHeight="1" x14ac:dyDescent="0.25">
      <c r="A1" s="8" t="s">
        <v>671</v>
      </c>
    </row>
    <row r="3" spans="1:12" ht="21.95" customHeight="1" x14ac:dyDescent="0.25">
      <c r="A3" s="4" t="s">
        <v>672</v>
      </c>
      <c r="B3" s="4" t="s">
        <v>673</v>
      </c>
      <c r="C3" s="4" t="s">
        <v>674</v>
      </c>
      <c r="D3" s="4" t="s">
        <v>675</v>
      </c>
      <c r="E3" s="4" t="s">
        <v>296</v>
      </c>
      <c r="F3" s="4" t="s">
        <v>297</v>
      </c>
      <c r="G3" s="4" t="s">
        <v>87</v>
      </c>
      <c r="H3" s="4" t="s">
        <v>88</v>
      </c>
      <c r="I3" s="4" t="s">
        <v>298</v>
      </c>
      <c r="J3" s="4" t="s">
        <v>299</v>
      </c>
      <c r="K3" s="4" t="s">
        <v>86</v>
      </c>
      <c r="L3" s="4" t="s">
        <v>676</v>
      </c>
    </row>
    <row r="4" spans="1:12" ht="30" customHeight="1" x14ac:dyDescent="0.25">
      <c r="A4" s="6" t="s">
        <v>304</v>
      </c>
      <c r="B4" s="6" t="s">
        <v>677</v>
      </c>
      <c r="C4" s="5"/>
      <c r="D4" s="6"/>
      <c r="E4" s="5">
        <v>1</v>
      </c>
      <c r="F4" s="5"/>
      <c r="G4" s="7">
        <v>7545</v>
      </c>
      <c r="H4" s="5"/>
      <c r="I4" s="6" t="s">
        <v>142</v>
      </c>
      <c r="J4" s="6" t="s">
        <v>131</v>
      </c>
      <c r="K4" s="6" t="s">
        <v>94</v>
      </c>
      <c r="L4" s="5" t="s">
        <v>384</v>
      </c>
    </row>
    <row r="5" spans="1:12" ht="30" customHeight="1" x14ac:dyDescent="0.25">
      <c r="A5" s="6" t="s">
        <v>304</v>
      </c>
      <c r="B5" s="6" t="s">
        <v>677</v>
      </c>
      <c r="C5" s="5"/>
      <c r="D5" s="6"/>
      <c r="E5" s="5">
        <v>2</v>
      </c>
      <c r="F5" s="5"/>
      <c r="G5" s="7">
        <v>1550</v>
      </c>
      <c r="H5" s="5"/>
      <c r="I5" s="6" t="s">
        <v>142</v>
      </c>
      <c r="J5" s="6" t="s">
        <v>132</v>
      </c>
      <c r="K5" s="6" t="s">
        <v>94</v>
      </c>
      <c r="L5" s="5" t="s">
        <v>384</v>
      </c>
    </row>
    <row r="6" spans="1:12" ht="30" customHeight="1" x14ac:dyDescent="0.25">
      <c r="A6" s="6" t="s">
        <v>304</v>
      </c>
      <c r="B6" s="6" t="s">
        <v>677</v>
      </c>
      <c r="C6" s="5"/>
      <c r="D6" s="6"/>
      <c r="E6" s="5">
        <v>3</v>
      </c>
      <c r="F6" s="5"/>
      <c r="G6" s="7">
        <v>20</v>
      </c>
      <c r="H6" s="5"/>
      <c r="I6" s="6" t="s">
        <v>142</v>
      </c>
      <c r="J6" s="6" t="s">
        <v>134</v>
      </c>
      <c r="K6" s="6" t="s">
        <v>94</v>
      </c>
      <c r="L6" s="5" t="s">
        <v>384</v>
      </c>
    </row>
    <row r="7" spans="1:12" ht="30" customHeight="1" x14ac:dyDescent="0.25">
      <c r="A7" s="6" t="s">
        <v>304</v>
      </c>
      <c r="B7" s="6" t="s">
        <v>677</v>
      </c>
      <c r="C7" s="5"/>
      <c r="D7" s="6"/>
      <c r="E7" s="5">
        <v>4</v>
      </c>
      <c r="F7" s="5"/>
      <c r="G7" s="7">
        <v>25</v>
      </c>
      <c r="H7" s="5"/>
      <c r="I7" s="6" t="s">
        <v>142</v>
      </c>
      <c r="J7" s="6" t="s">
        <v>135</v>
      </c>
      <c r="K7" s="6" t="s">
        <v>94</v>
      </c>
      <c r="L7" s="5" t="s">
        <v>384</v>
      </c>
    </row>
    <row r="8" spans="1:12" ht="30" customHeight="1" x14ac:dyDescent="0.25">
      <c r="A8" s="6" t="s">
        <v>304</v>
      </c>
      <c r="B8" s="6" t="s">
        <v>677</v>
      </c>
      <c r="C8" s="5"/>
      <c r="D8" s="6"/>
      <c r="E8" s="5">
        <v>5</v>
      </c>
      <c r="F8" s="5"/>
      <c r="G8" s="7">
        <v>20</v>
      </c>
      <c r="H8" s="5"/>
      <c r="I8" s="6" t="s">
        <v>142</v>
      </c>
      <c r="J8" s="6" t="s">
        <v>136</v>
      </c>
      <c r="K8" s="6" t="s">
        <v>94</v>
      </c>
      <c r="L8" s="5" t="s">
        <v>384</v>
      </c>
    </row>
    <row r="9" spans="1:12" ht="30" customHeight="1" x14ac:dyDescent="0.25">
      <c r="A9" s="6" t="s">
        <v>304</v>
      </c>
      <c r="B9" s="6" t="s">
        <v>677</v>
      </c>
      <c r="C9" s="5"/>
      <c r="D9" s="6"/>
      <c r="E9" s="5">
        <v>6</v>
      </c>
      <c r="F9" s="5"/>
      <c r="G9" s="7">
        <v>10</v>
      </c>
      <c r="H9" s="5"/>
      <c r="I9" s="6" t="s">
        <v>142</v>
      </c>
      <c r="J9" s="6" t="s">
        <v>137</v>
      </c>
      <c r="K9" s="6" t="s">
        <v>94</v>
      </c>
      <c r="L9" s="5" t="s">
        <v>384</v>
      </c>
    </row>
    <row r="10" spans="1:12" ht="30" customHeight="1" x14ac:dyDescent="0.25">
      <c r="A10" s="6" t="s">
        <v>304</v>
      </c>
      <c r="B10" s="6" t="s">
        <v>677</v>
      </c>
      <c r="C10" s="5"/>
      <c r="D10" s="6"/>
      <c r="E10" s="5">
        <v>7</v>
      </c>
      <c r="F10" s="5"/>
      <c r="G10" s="7">
        <v>10</v>
      </c>
      <c r="H10" s="5"/>
      <c r="I10" s="6" t="s">
        <v>138</v>
      </c>
      <c r="J10" s="6" t="s">
        <v>125</v>
      </c>
      <c r="K10" s="6" t="s">
        <v>94</v>
      </c>
      <c r="L10" s="5" t="s">
        <v>384</v>
      </c>
    </row>
    <row r="11" spans="1:12" ht="30" customHeight="1" x14ac:dyDescent="0.25">
      <c r="A11" s="6" t="s">
        <v>304</v>
      </c>
      <c r="B11" s="6" t="s">
        <v>677</v>
      </c>
      <c r="C11" s="5"/>
      <c r="D11" s="6"/>
      <c r="E11" s="5">
        <v>8</v>
      </c>
      <c r="F11" s="5"/>
      <c r="G11" s="7">
        <v>195</v>
      </c>
      <c r="H11" s="5"/>
      <c r="I11" s="6" t="s">
        <v>139</v>
      </c>
      <c r="J11" s="6" t="s">
        <v>131</v>
      </c>
      <c r="K11" s="6" t="s">
        <v>94</v>
      </c>
      <c r="L11" s="5" t="s">
        <v>384</v>
      </c>
    </row>
    <row r="12" spans="1:12" ht="30" customHeight="1" x14ac:dyDescent="0.25">
      <c r="A12" s="6" t="s">
        <v>304</v>
      </c>
      <c r="B12" s="6" t="s">
        <v>677</v>
      </c>
      <c r="C12" s="5"/>
      <c r="D12" s="6"/>
      <c r="E12" s="5">
        <v>9</v>
      </c>
      <c r="F12" s="5"/>
      <c r="G12" s="7">
        <v>2915</v>
      </c>
      <c r="H12" s="5"/>
      <c r="I12" s="6" t="s">
        <v>140</v>
      </c>
      <c r="J12" s="6" t="s">
        <v>141</v>
      </c>
      <c r="K12" s="6" t="s">
        <v>94</v>
      </c>
      <c r="L12" s="5" t="s">
        <v>384</v>
      </c>
    </row>
    <row r="13" spans="1:12" ht="30" customHeight="1" x14ac:dyDescent="0.25">
      <c r="A13" s="6" t="s">
        <v>304</v>
      </c>
      <c r="B13" s="6" t="s">
        <v>677</v>
      </c>
      <c r="C13" s="5"/>
      <c r="D13" s="6"/>
      <c r="E13" s="5">
        <v>10</v>
      </c>
      <c r="F13" s="5"/>
      <c r="G13" s="7">
        <v>365</v>
      </c>
      <c r="H13" s="5"/>
      <c r="I13" s="6" t="s">
        <v>143</v>
      </c>
      <c r="J13" s="6" t="s">
        <v>141</v>
      </c>
      <c r="K13" s="6" t="s">
        <v>94</v>
      </c>
      <c r="L13" s="5" t="s">
        <v>384</v>
      </c>
    </row>
    <row r="14" spans="1:12" ht="30" customHeight="1" x14ac:dyDescent="0.25">
      <c r="A14" s="6" t="s">
        <v>304</v>
      </c>
      <c r="B14" s="6" t="s">
        <v>677</v>
      </c>
      <c r="C14" s="5"/>
      <c r="D14" s="6"/>
      <c r="E14" s="5">
        <v>11</v>
      </c>
      <c r="F14" s="5"/>
      <c r="G14" s="7">
        <v>1045</v>
      </c>
      <c r="H14" s="5"/>
      <c r="I14" s="6" t="s">
        <v>133</v>
      </c>
      <c r="J14" s="6" t="s">
        <v>131</v>
      </c>
      <c r="K14" s="6" t="s">
        <v>94</v>
      </c>
      <c r="L14" s="5" t="s">
        <v>384</v>
      </c>
    </row>
    <row r="15" spans="1:12" ht="30" customHeight="1" x14ac:dyDescent="0.25">
      <c r="A15" s="6" t="s">
        <v>304</v>
      </c>
      <c r="B15" s="6" t="s">
        <v>677</v>
      </c>
      <c r="C15" s="5"/>
      <c r="D15" s="6"/>
      <c r="E15" s="5">
        <v>12</v>
      </c>
      <c r="F15" s="5"/>
      <c r="G15" s="7">
        <v>220</v>
      </c>
      <c r="H15" s="5"/>
      <c r="I15" s="6" t="s">
        <v>133</v>
      </c>
      <c r="J15" s="6" t="s">
        <v>132</v>
      </c>
      <c r="K15" s="6" t="s">
        <v>94</v>
      </c>
      <c r="L15" s="5" t="s">
        <v>384</v>
      </c>
    </row>
    <row r="16" spans="1:12" ht="30" customHeight="1" x14ac:dyDescent="0.25">
      <c r="A16" s="6" t="s">
        <v>304</v>
      </c>
      <c r="B16" s="6" t="s">
        <v>677</v>
      </c>
      <c r="C16" s="5"/>
      <c r="D16" s="6"/>
      <c r="E16" s="5">
        <v>13</v>
      </c>
      <c r="F16" s="5"/>
      <c r="G16" s="7">
        <v>10</v>
      </c>
      <c r="H16" s="5"/>
      <c r="I16" s="6" t="s">
        <v>133</v>
      </c>
      <c r="J16" s="6" t="s">
        <v>134</v>
      </c>
      <c r="K16" s="6" t="s">
        <v>94</v>
      </c>
      <c r="L16" s="5" t="s">
        <v>384</v>
      </c>
    </row>
    <row r="17" spans="1:12" ht="30" customHeight="1" x14ac:dyDescent="0.25">
      <c r="A17" s="6" t="s">
        <v>304</v>
      </c>
      <c r="B17" s="6" t="s">
        <v>677</v>
      </c>
      <c r="C17" s="5"/>
      <c r="D17" s="6"/>
      <c r="E17" s="5">
        <v>14</v>
      </c>
      <c r="F17" s="5"/>
      <c r="G17" s="7">
        <v>15</v>
      </c>
      <c r="H17" s="5"/>
      <c r="I17" s="6" t="s">
        <v>133</v>
      </c>
      <c r="J17" s="6" t="s">
        <v>135</v>
      </c>
      <c r="K17" s="6" t="s">
        <v>94</v>
      </c>
      <c r="L17" s="5" t="s">
        <v>384</v>
      </c>
    </row>
    <row r="18" spans="1:12" ht="30" customHeight="1" x14ac:dyDescent="0.25">
      <c r="A18" s="6" t="s">
        <v>304</v>
      </c>
      <c r="B18" s="6" t="s">
        <v>677</v>
      </c>
      <c r="C18" s="5"/>
      <c r="D18" s="6"/>
      <c r="E18" s="5">
        <v>15</v>
      </c>
      <c r="F18" s="5"/>
      <c r="G18" s="7">
        <v>15</v>
      </c>
      <c r="H18" s="5"/>
      <c r="I18" s="6" t="s">
        <v>133</v>
      </c>
      <c r="J18" s="6" t="s">
        <v>136</v>
      </c>
      <c r="K18" s="6" t="s">
        <v>94</v>
      </c>
      <c r="L18" s="5" t="s">
        <v>384</v>
      </c>
    </row>
    <row r="19" spans="1:12" ht="30" customHeight="1" x14ac:dyDescent="0.25">
      <c r="A19" s="6" t="s">
        <v>304</v>
      </c>
      <c r="B19" s="6" t="s">
        <v>677</v>
      </c>
      <c r="C19" s="5"/>
      <c r="D19" s="6"/>
      <c r="E19" s="5">
        <v>16</v>
      </c>
      <c r="F19" s="5"/>
      <c r="G19" s="7">
        <v>5</v>
      </c>
      <c r="H19" s="5"/>
      <c r="I19" s="6" t="s">
        <v>133</v>
      </c>
      <c r="J19" s="6" t="s">
        <v>137</v>
      </c>
      <c r="K19" s="6" t="s">
        <v>94</v>
      </c>
      <c r="L19" s="5" t="s">
        <v>384</v>
      </c>
    </row>
    <row r="20" spans="1:12" ht="30" customHeight="1" x14ac:dyDescent="0.25">
      <c r="A20" s="6" t="s">
        <v>304</v>
      </c>
      <c r="B20" s="6" t="s">
        <v>677</v>
      </c>
      <c r="C20" s="5"/>
      <c r="D20" s="6"/>
      <c r="E20" s="5">
        <v>17</v>
      </c>
      <c r="F20" s="5"/>
      <c r="G20" s="7">
        <v>1860</v>
      </c>
      <c r="H20" s="5"/>
      <c r="I20" s="6" t="s">
        <v>153</v>
      </c>
      <c r="J20" s="6" t="s">
        <v>154</v>
      </c>
      <c r="K20" s="6" t="s">
        <v>94</v>
      </c>
      <c r="L20" s="5" t="s">
        <v>384</v>
      </c>
    </row>
    <row r="21" spans="1:12" ht="30" customHeight="1" x14ac:dyDescent="0.25">
      <c r="A21" s="6" t="s">
        <v>304</v>
      </c>
      <c r="B21" s="6" t="s">
        <v>677</v>
      </c>
      <c r="C21" s="5"/>
      <c r="D21" s="6"/>
      <c r="E21" s="5">
        <v>18</v>
      </c>
      <c r="F21" s="5"/>
      <c r="G21" s="7">
        <v>475</v>
      </c>
      <c r="H21" s="5"/>
      <c r="I21" s="6" t="s">
        <v>153</v>
      </c>
      <c r="J21" s="6" t="s">
        <v>155</v>
      </c>
      <c r="K21" s="6" t="s">
        <v>94</v>
      </c>
      <c r="L21" s="5" t="s">
        <v>384</v>
      </c>
    </row>
    <row r="22" spans="1:12" ht="30" customHeight="1" x14ac:dyDescent="0.25">
      <c r="A22" s="6" t="s">
        <v>304</v>
      </c>
      <c r="B22" s="6" t="s">
        <v>677</v>
      </c>
      <c r="C22" s="5"/>
      <c r="D22" s="6"/>
      <c r="E22" s="5">
        <v>19</v>
      </c>
      <c r="F22" s="5"/>
      <c r="G22" s="7">
        <v>5</v>
      </c>
      <c r="H22" s="5"/>
      <c r="I22" s="6" t="s">
        <v>153</v>
      </c>
      <c r="J22" s="6" t="s">
        <v>156</v>
      </c>
      <c r="K22" s="6" t="s">
        <v>94</v>
      </c>
      <c r="L22" s="5" t="s">
        <v>384</v>
      </c>
    </row>
    <row r="23" spans="1:12" ht="30" customHeight="1" x14ac:dyDescent="0.25">
      <c r="A23" s="6" t="s">
        <v>304</v>
      </c>
      <c r="B23" s="6" t="s">
        <v>677</v>
      </c>
      <c r="C23" s="5"/>
      <c r="D23" s="6"/>
      <c r="E23" s="5">
        <v>20</v>
      </c>
      <c r="F23" s="5"/>
      <c r="G23" s="7">
        <v>70</v>
      </c>
      <c r="H23" s="5"/>
      <c r="I23" s="6" t="s">
        <v>153</v>
      </c>
      <c r="J23" s="6" t="s">
        <v>157</v>
      </c>
      <c r="K23" s="6" t="s">
        <v>94</v>
      </c>
      <c r="L23" s="5" t="s">
        <v>384</v>
      </c>
    </row>
    <row r="24" spans="1:12" ht="30" customHeight="1" x14ac:dyDescent="0.25">
      <c r="A24" s="6" t="s">
        <v>304</v>
      </c>
      <c r="B24" s="6" t="s">
        <v>677</v>
      </c>
      <c r="C24" s="5"/>
      <c r="D24" s="6"/>
      <c r="E24" s="5">
        <v>21</v>
      </c>
      <c r="F24" s="5"/>
      <c r="G24" s="7">
        <v>10</v>
      </c>
      <c r="H24" s="5"/>
      <c r="I24" s="6" t="s">
        <v>153</v>
      </c>
      <c r="J24" s="6" t="s">
        <v>158</v>
      </c>
      <c r="K24" s="6" t="s">
        <v>94</v>
      </c>
      <c r="L24" s="5" t="s">
        <v>384</v>
      </c>
    </row>
    <row r="25" spans="1:12" ht="30" customHeight="1" x14ac:dyDescent="0.25">
      <c r="A25" s="6" t="s">
        <v>304</v>
      </c>
      <c r="B25" s="6" t="s">
        <v>677</v>
      </c>
      <c r="C25" s="5"/>
      <c r="D25" s="6"/>
      <c r="E25" s="5">
        <v>22</v>
      </c>
      <c r="F25" s="5"/>
      <c r="G25" s="7">
        <v>5</v>
      </c>
      <c r="H25" s="5"/>
      <c r="I25" s="6" t="s">
        <v>153</v>
      </c>
      <c r="J25" s="6" t="s">
        <v>159</v>
      </c>
      <c r="K25" s="6" t="s">
        <v>94</v>
      </c>
      <c r="L25" s="5" t="s">
        <v>384</v>
      </c>
    </row>
    <row r="26" spans="1:12" ht="30" customHeight="1" x14ac:dyDescent="0.25">
      <c r="A26" s="6" t="s">
        <v>304</v>
      </c>
      <c r="B26" s="6" t="s">
        <v>677</v>
      </c>
      <c r="C26" s="5"/>
      <c r="D26" s="6"/>
      <c r="E26" s="5">
        <v>23</v>
      </c>
      <c r="F26" s="5"/>
      <c r="G26" s="7">
        <v>935</v>
      </c>
      <c r="H26" s="5"/>
      <c r="I26" s="6" t="s">
        <v>161</v>
      </c>
      <c r="J26" s="6" t="s">
        <v>125</v>
      </c>
      <c r="K26" s="6" t="s">
        <v>94</v>
      </c>
      <c r="L26" s="5" t="s">
        <v>384</v>
      </c>
    </row>
    <row r="27" spans="1:12" ht="30" customHeight="1" x14ac:dyDescent="0.25">
      <c r="A27" s="6" t="s">
        <v>304</v>
      </c>
      <c r="B27" s="6" t="s">
        <v>677</v>
      </c>
      <c r="C27" s="5"/>
      <c r="D27" s="6"/>
      <c r="E27" s="5">
        <v>24</v>
      </c>
      <c r="F27" s="5"/>
      <c r="G27" s="7">
        <v>5</v>
      </c>
      <c r="H27" s="5"/>
      <c r="I27" s="6" t="s">
        <v>161</v>
      </c>
      <c r="J27" s="6" t="s">
        <v>162</v>
      </c>
      <c r="K27" s="6" t="s">
        <v>94</v>
      </c>
      <c r="L27" s="5" t="s">
        <v>384</v>
      </c>
    </row>
    <row r="28" spans="1:12" ht="30" customHeight="1" x14ac:dyDescent="0.25">
      <c r="A28" s="6" t="s">
        <v>304</v>
      </c>
      <c r="B28" s="6" t="s">
        <v>677</v>
      </c>
      <c r="C28" s="5"/>
      <c r="D28" s="6"/>
      <c r="E28" s="5">
        <v>25</v>
      </c>
      <c r="F28" s="5"/>
      <c r="G28" s="7">
        <v>35</v>
      </c>
      <c r="H28" s="5"/>
      <c r="I28" s="6" t="s">
        <v>161</v>
      </c>
      <c r="J28" s="6" t="s">
        <v>126</v>
      </c>
      <c r="K28" s="6" t="s">
        <v>94</v>
      </c>
      <c r="L28" s="5" t="s">
        <v>384</v>
      </c>
    </row>
    <row r="29" spans="1:12" ht="30" customHeight="1" x14ac:dyDescent="0.25">
      <c r="A29" s="6" t="s">
        <v>304</v>
      </c>
      <c r="B29" s="6" t="s">
        <v>677</v>
      </c>
      <c r="C29" s="5"/>
      <c r="D29" s="6"/>
      <c r="E29" s="5">
        <v>26</v>
      </c>
      <c r="F29" s="5"/>
      <c r="G29" s="7">
        <v>150</v>
      </c>
      <c r="H29" s="5"/>
      <c r="I29" s="6" t="s">
        <v>161</v>
      </c>
      <c r="J29" s="6" t="s">
        <v>129</v>
      </c>
      <c r="K29" s="6" t="s">
        <v>94</v>
      </c>
      <c r="L29" s="5" t="s">
        <v>384</v>
      </c>
    </row>
    <row r="30" spans="1:12" ht="30" customHeight="1" x14ac:dyDescent="0.25">
      <c r="A30" s="6" t="s">
        <v>304</v>
      </c>
      <c r="B30" s="6" t="s">
        <v>677</v>
      </c>
      <c r="C30" s="5"/>
      <c r="D30" s="6"/>
      <c r="E30" s="5">
        <v>27</v>
      </c>
      <c r="F30" s="5"/>
      <c r="G30" s="7">
        <v>130</v>
      </c>
      <c r="H30" s="5"/>
      <c r="I30" s="6" t="s">
        <v>152</v>
      </c>
      <c r="J30" s="6" t="s">
        <v>141</v>
      </c>
      <c r="K30" s="6" t="s">
        <v>94</v>
      </c>
      <c r="L30" s="5" t="s">
        <v>384</v>
      </c>
    </row>
    <row r="31" spans="1:12" ht="30" customHeight="1" x14ac:dyDescent="0.25">
      <c r="A31" s="6" t="s">
        <v>304</v>
      </c>
      <c r="B31" s="6" t="s">
        <v>677</v>
      </c>
      <c r="C31" s="5"/>
      <c r="D31" s="6"/>
      <c r="E31" s="5">
        <v>28</v>
      </c>
      <c r="F31" s="5"/>
      <c r="G31" s="7">
        <v>175</v>
      </c>
      <c r="H31" s="5"/>
      <c r="I31" s="6" t="s">
        <v>160</v>
      </c>
      <c r="J31" s="6" t="s">
        <v>141</v>
      </c>
      <c r="K31" s="6" t="s">
        <v>94</v>
      </c>
      <c r="L31" s="5" t="s">
        <v>384</v>
      </c>
    </row>
    <row r="32" spans="1:12" ht="30" customHeight="1" x14ac:dyDescent="0.25">
      <c r="A32" s="6" t="s">
        <v>304</v>
      </c>
      <c r="B32" s="6" t="s">
        <v>677</v>
      </c>
      <c r="C32" s="5"/>
      <c r="D32" s="6"/>
      <c r="E32" s="5">
        <v>29</v>
      </c>
      <c r="F32" s="5"/>
      <c r="G32" s="7">
        <v>10</v>
      </c>
      <c r="H32" s="5"/>
      <c r="I32" s="6" t="s">
        <v>163</v>
      </c>
      <c r="J32" s="6" t="s">
        <v>131</v>
      </c>
      <c r="K32" s="6" t="s">
        <v>94</v>
      </c>
      <c r="L32" s="5" t="s">
        <v>384</v>
      </c>
    </row>
    <row r="33" spans="1:12" ht="30" customHeight="1" x14ac:dyDescent="0.25">
      <c r="A33" s="6" t="s">
        <v>304</v>
      </c>
      <c r="B33" s="6" t="s">
        <v>677</v>
      </c>
      <c r="C33" s="5"/>
      <c r="D33" s="6"/>
      <c r="E33" s="5">
        <v>30</v>
      </c>
      <c r="F33" s="5"/>
      <c r="G33" s="7">
        <v>400</v>
      </c>
      <c r="H33" s="5"/>
      <c r="I33" s="6" t="s">
        <v>163</v>
      </c>
      <c r="J33" s="6" t="s">
        <v>132</v>
      </c>
      <c r="K33" s="6" t="s">
        <v>94</v>
      </c>
      <c r="L33" s="5" t="s">
        <v>384</v>
      </c>
    </row>
    <row r="34" spans="1:12" ht="30" customHeight="1" x14ac:dyDescent="0.25">
      <c r="A34" s="6" t="s">
        <v>304</v>
      </c>
      <c r="B34" s="6" t="s">
        <v>677</v>
      </c>
      <c r="C34" s="5"/>
      <c r="D34" s="6"/>
      <c r="E34" s="5">
        <v>31</v>
      </c>
      <c r="F34" s="5"/>
      <c r="G34" s="7">
        <v>10</v>
      </c>
      <c r="H34" s="5"/>
      <c r="I34" s="6" t="s">
        <v>163</v>
      </c>
      <c r="J34" s="6" t="s">
        <v>135</v>
      </c>
      <c r="K34" s="6" t="s">
        <v>94</v>
      </c>
      <c r="L34" s="5" t="s">
        <v>384</v>
      </c>
    </row>
    <row r="35" spans="1:12" ht="30" customHeight="1" x14ac:dyDescent="0.25">
      <c r="A35" s="6" t="s">
        <v>304</v>
      </c>
      <c r="B35" s="6" t="s">
        <v>677</v>
      </c>
      <c r="C35" s="5"/>
      <c r="D35" s="6"/>
      <c r="E35" s="5">
        <v>32</v>
      </c>
      <c r="F35" s="5"/>
      <c r="G35" s="7">
        <v>485</v>
      </c>
      <c r="H35" s="5"/>
      <c r="I35" s="6" t="s">
        <v>124</v>
      </c>
      <c r="J35" s="6" t="s">
        <v>125</v>
      </c>
      <c r="K35" s="6" t="s">
        <v>94</v>
      </c>
      <c r="L35" s="5" t="s">
        <v>384</v>
      </c>
    </row>
    <row r="36" spans="1:12" ht="30" customHeight="1" x14ac:dyDescent="0.25">
      <c r="A36" s="6" t="s">
        <v>304</v>
      </c>
      <c r="B36" s="6" t="s">
        <v>677</v>
      </c>
      <c r="C36" s="5"/>
      <c r="D36" s="6"/>
      <c r="E36" s="5">
        <v>33</v>
      </c>
      <c r="F36" s="5"/>
      <c r="G36" s="7">
        <v>5</v>
      </c>
      <c r="H36" s="5"/>
      <c r="I36" s="6" t="s">
        <v>124</v>
      </c>
      <c r="J36" s="6" t="s">
        <v>126</v>
      </c>
      <c r="K36" s="6" t="s">
        <v>94</v>
      </c>
      <c r="L36" s="5" t="s">
        <v>384</v>
      </c>
    </row>
    <row r="37" spans="1:12" ht="30" customHeight="1" x14ac:dyDescent="0.25">
      <c r="A37" s="6" t="s">
        <v>304</v>
      </c>
      <c r="B37" s="6" t="s">
        <v>677</v>
      </c>
      <c r="C37" s="5"/>
      <c r="D37" s="6"/>
      <c r="E37" s="5">
        <v>34</v>
      </c>
      <c r="F37" s="5"/>
      <c r="G37" s="7">
        <v>30</v>
      </c>
      <c r="H37" s="5"/>
      <c r="I37" s="6" t="s">
        <v>127</v>
      </c>
      <c r="J37" s="6" t="s">
        <v>128</v>
      </c>
      <c r="K37" s="6" t="s">
        <v>94</v>
      </c>
      <c r="L37" s="5" t="s">
        <v>384</v>
      </c>
    </row>
    <row r="38" spans="1:12" ht="30" customHeight="1" x14ac:dyDescent="0.25">
      <c r="A38" s="6" t="s">
        <v>304</v>
      </c>
      <c r="B38" s="6" t="s">
        <v>677</v>
      </c>
      <c r="C38" s="5"/>
      <c r="D38" s="6"/>
      <c r="E38" s="5">
        <v>35</v>
      </c>
      <c r="F38" s="5"/>
      <c r="G38" s="7">
        <v>50</v>
      </c>
      <c r="H38" s="5"/>
      <c r="I38" s="6" t="s">
        <v>127</v>
      </c>
      <c r="J38" s="6" t="s">
        <v>129</v>
      </c>
      <c r="K38" s="6" t="s">
        <v>94</v>
      </c>
      <c r="L38" s="5" t="s">
        <v>384</v>
      </c>
    </row>
    <row r="39" spans="1:12" ht="30" customHeight="1" x14ac:dyDescent="0.25">
      <c r="A39" s="6" t="s">
        <v>304</v>
      </c>
      <c r="B39" s="6" t="s">
        <v>677</v>
      </c>
      <c r="C39" s="5"/>
      <c r="D39" s="6"/>
      <c r="E39" s="5">
        <v>36</v>
      </c>
      <c r="F39" s="5"/>
      <c r="G39" s="7">
        <v>5</v>
      </c>
      <c r="H39" s="5"/>
      <c r="I39" s="6" t="s">
        <v>147</v>
      </c>
      <c r="J39" s="6" t="s">
        <v>131</v>
      </c>
      <c r="K39" s="6" t="s">
        <v>94</v>
      </c>
      <c r="L39" s="5" t="s">
        <v>384</v>
      </c>
    </row>
    <row r="40" spans="1:12" ht="30" customHeight="1" x14ac:dyDescent="0.25">
      <c r="A40" s="6" t="s">
        <v>304</v>
      </c>
      <c r="B40" s="6" t="s">
        <v>677</v>
      </c>
      <c r="C40" s="5"/>
      <c r="D40" s="6"/>
      <c r="E40" s="5">
        <v>37</v>
      </c>
      <c r="F40" s="5"/>
      <c r="G40" s="7">
        <v>205</v>
      </c>
      <c r="H40" s="5"/>
      <c r="I40" s="6" t="s">
        <v>147</v>
      </c>
      <c r="J40" s="6" t="s">
        <v>132</v>
      </c>
      <c r="K40" s="6" t="s">
        <v>94</v>
      </c>
      <c r="L40" s="5" t="s">
        <v>384</v>
      </c>
    </row>
    <row r="41" spans="1:12" ht="30" customHeight="1" x14ac:dyDescent="0.25">
      <c r="A41" s="6" t="s">
        <v>304</v>
      </c>
      <c r="B41" s="6" t="s">
        <v>677</v>
      </c>
      <c r="C41" s="5"/>
      <c r="D41" s="6"/>
      <c r="E41" s="5">
        <v>38</v>
      </c>
      <c r="F41" s="5"/>
      <c r="G41" s="7">
        <v>5</v>
      </c>
      <c r="H41" s="5"/>
      <c r="I41" s="6" t="s">
        <v>147</v>
      </c>
      <c r="J41" s="6" t="s">
        <v>136</v>
      </c>
      <c r="K41" s="6" t="s">
        <v>94</v>
      </c>
      <c r="L41" s="5" t="s">
        <v>384</v>
      </c>
    </row>
    <row r="42" spans="1:12" ht="30" customHeight="1" x14ac:dyDescent="0.25">
      <c r="A42" s="6" t="s">
        <v>304</v>
      </c>
      <c r="B42" s="6" t="s">
        <v>677</v>
      </c>
      <c r="C42" s="5"/>
      <c r="D42" s="6"/>
      <c r="E42" s="5">
        <v>39</v>
      </c>
      <c r="F42" s="5"/>
      <c r="G42" s="7">
        <v>2280</v>
      </c>
      <c r="H42" s="5"/>
      <c r="I42" s="6" t="s">
        <v>120</v>
      </c>
      <c r="J42" s="6" t="s">
        <v>121</v>
      </c>
      <c r="K42" s="6" t="s">
        <v>94</v>
      </c>
      <c r="L42" s="5" t="s">
        <v>384</v>
      </c>
    </row>
    <row r="43" spans="1:12" ht="30" customHeight="1" x14ac:dyDescent="0.25">
      <c r="A43" s="6" t="s">
        <v>304</v>
      </c>
      <c r="B43" s="6" t="s">
        <v>677</v>
      </c>
      <c r="C43" s="5"/>
      <c r="D43" s="6"/>
      <c r="E43" s="5">
        <v>40</v>
      </c>
      <c r="F43" s="5"/>
      <c r="G43" s="7">
        <v>195</v>
      </c>
      <c r="H43" s="5"/>
      <c r="I43" s="6" t="s">
        <v>120</v>
      </c>
      <c r="J43" s="6" t="s">
        <v>122</v>
      </c>
      <c r="K43" s="6" t="s">
        <v>94</v>
      </c>
      <c r="L43" s="5" t="s">
        <v>384</v>
      </c>
    </row>
    <row r="44" spans="1:12" ht="30" customHeight="1" x14ac:dyDescent="0.25">
      <c r="A44" s="6" t="s">
        <v>304</v>
      </c>
      <c r="B44" s="6" t="s">
        <v>677</v>
      </c>
      <c r="C44" s="5"/>
      <c r="D44" s="6"/>
      <c r="E44" s="5">
        <v>41</v>
      </c>
      <c r="F44" s="5"/>
      <c r="G44" s="7">
        <v>35</v>
      </c>
      <c r="H44" s="5"/>
      <c r="I44" s="6" t="s">
        <v>120</v>
      </c>
      <c r="J44" s="6" t="s">
        <v>123</v>
      </c>
      <c r="K44" s="6" t="s">
        <v>94</v>
      </c>
      <c r="L44" s="5" t="s">
        <v>384</v>
      </c>
    </row>
    <row r="45" spans="1:12" ht="30" customHeight="1" x14ac:dyDescent="0.25">
      <c r="A45" s="6" t="s">
        <v>304</v>
      </c>
      <c r="B45" s="6" t="s">
        <v>677</v>
      </c>
      <c r="C45" s="5"/>
      <c r="D45" s="6"/>
      <c r="E45" s="5">
        <v>42</v>
      </c>
      <c r="F45" s="5"/>
      <c r="G45" s="7">
        <v>1075</v>
      </c>
      <c r="H45" s="5"/>
      <c r="I45" s="6" t="s">
        <v>130</v>
      </c>
      <c r="J45" s="6" t="s">
        <v>131</v>
      </c>
      <c r="K45" s="6" t="s">
        <v>94</v>
      </c>
      <c r="L45" s="5" t="s">
        <v>384</v>
      </c>
    </row>
    <row r="46" spans="1:12" ht="30" customHeight="1" x14ac:dyDescent="0.25">
      <c r="A46" s="6" t="s">
        <v>304</v>
      </c>
      <c r="B46" s="6" t="s">
        <v>677</v>
      </c>
      <c r="C46" s="5"/>
      <c r="D46" s="6"/>
      <c r="E46" s="5">
        <v>43</v>
      </c>
      <c r="F46" s="5"/>
      <c r="G46" s="7">
        <v>255</v>
      </c>
      <c r="H46" s="5"/>
      <c r="I46" s="6" t="s">
        <v>130</v>
      </c>
      <c r="J46" s="6" t="s">
        <v>132</v>
      </c>
      <c r="K46" s="6" t="s">
        <v>94</v>
      </c>
      <c r="L46" s="5" t="s">
        <v>384</v>
      </c>
    </row>
    <row r="47" spans="1:12" ht="30" customHeight="1" x14ac:dyDescent="0.25">
      <c r="A47" s="6" t="s">
        <v>304</v>
      </c>
      <c r="B47" s="6" t="s">
        <v>677</v>
      </c>
      <c r="C47" s="5"/>
      <c r="D47" s="6"/>
      <c r="E47" s="5">
        <v>44</v>
      </c>
      <c r="F47" s="5"/>
      <c r="G47" s="7">
        <v>5</v>
      </c>
      <c r="H47" s="5"/>
      <c r="I47" s="6" t="s">
        <v>144</v>
      </c>
      <c r="J47" s="6" t="s">
        <v>137</v>
      </c>
      <c r="K47" s="6" t="s">
        <v>94</v>
      </c>
      <c r="L47" s="5" t="s">
        <v>384</v>
      </c>
    </row>
    <row r="48" spans="1:12" ht="30" customHeight="1" x14ac:dyDescent="0.25">
      <c r="A48" s="6" t="s">
        <v>304</v>
      </c>
      <c r="B48" s="6" t="s">
        <v>677</v>
      </c>
      <c r="C48" s="5"/>
      <c r="D48" s="6"/>
      <c r="E48" s="5">
        <v>45</v>
      </c>
      <c r="F48" s="5"/>
      <c r="G48" s="7">
        <v>660</v>
      </c>
      <c r="H48" s="5"/>
      <c r="I48" s="6" t="s">
        <v>145</v>
      </c>
      <c r="J48" s="6" t="s">
        <v>121</v>
      </c>
      <c r="K48" s="6" t="s">
        <v>94</v>
      </c>
      <c r="L48" s="5" t="s">
        <v>384</v>
      </c>
    </row>
    <row r="49" spans="1:12" ht="30" customHeight="1" x14ac:dyDescent="0.25">
      <c r="A49" s="6" t="s">
        <v>304</v>
      </c>
      <c r="B49" s="6" t="s">
        <v>677</v>
      </c>
      <c r="C49" s="5"/>
      <c r="D49" s="6"/>
      <c r="E49" s="5">
        <v>46</v>
      </c>
      <c r="F49" s="5"/>
      <c r="G49" s="7">
        <v>395</v>
      </c>
      <c r="H49" s="5"/>
      <c r="I49" s="6" t="s">
        <v>145</v>
      </c>
      <c r="J49" s="6" t="s">
        <v>122</v>
      </c>
      <c r="K49" s="6" t="s">
        <v>94</v>
      </c>
      <c r="L49" s="5" t="s">
        <v>384</v>
      </c>
    </row>
    <row r="50" spans="1:12" ht="30" customHeight="1" x14ac:dyDescent="0.25">
      <c r="A50" s="6" t="s">
        <v>304</v>
      </c>
      <c r="B50" s="6" t="s">
        <v>677</v>
      </c>
      <c r="C50" s="5"/>
      <c r="D50" s="6"/>
      <c r="E50" s="5">
        <v>47</v>
      </c>
      <c r="F50" s="5"/>
      <c r="G50" s="7">
        <v>5</v>
      </c>
      <c r="H50" s="5"/>
      <c r="I50" s="6" t="s">
        <v>145</v>
      </c>
      <c r="J50" s="6" t="s">
        <v>146</v>
      </c>
      <c r="K50" s="6" t="s">
        <v>94</v>
      </c>
      <c r="L50" s="5" t="s">
        <v>384</v>
      </c>
    </row>
    <row r="51" spans="1:12" ht="30" customHeight="1" x14ac:dyDescent="0.25">
      <c r="A51" s="6" t="s">
        <v>304</v>
      </c>
      <c r="B51" s="6" t="s">
        <v>677</v>
      </c>
      <c r="C51" s="5"/>
      <c r="D51" s="6"/>
      <c r="E51" s="5">
        <v>48</v>
      </c>
      <c r="F51" s="5"/>
      <c r="G51" s="7">
        <v>5</v>
      </c>
      <c r="H51" s="5"/>
      <c r="I51" s="6" t="s">
        <v>145</v>
      </c>
      <c r="J51" s="6" t="s">
        <v>123</v>
      </c>
      <c r="K51" s="6" t="s">
        <v>94</v>
      </c>
      <c r="L51" s="5" t="s">
        <v>384</v>
      </c>
    </row>
    <row r="52" spans="1:12" ht="30" customHeight="1" x14ac:dyDescent="0.25">
      <c r="A52" s="6" t="s">
        <v>304</v>
      </c>
      <c r="B52" s="6" t="s">
        <v>677</v>
      </c>
      <c r="C52" s="5"/>
      <c r="D52" s="6"/>
      <c r="E52" s="5">
        <v>49</v>
      </c>
      <c r="F52" s="5"/>
      <c r="G52" s="7">
        <v>345</v>
      </c>
      <c r="H52" s="5"/>
      <c r="I52" s="6" t="s">
        <v>166</v>
      </c>
      <c r="J52" s="6" t="s">
        <v>167</v>
      </c>
      <c r="K52" s="6" t="s">
        <v>94</v>
      </c>
      <c r="L52" s="5" t="s">
        <v>384</v>
      </c>
    </row>
    <row r="53" spans="1:12" ht="30" customHeight="1" x14ac:dyDescent="0.25">
      <c r="A53" s="6" t="s">
        <v>304</v>
      </c>
      <c r="B53" s="6" t="s">
        <v>677</v>
      </c>
      <c r="C53" s="5"/>
      <c r="D53" s="6"/>
      <c r="E53" s="5">
        <v>50</v>
      </c>
      <c r="F53" s="5"/>
      <c r="G53" s="7">
        <v>3895</v>
      </c>
      <c r="H53" s="5"/>
      <c r="I53" s="6" t="s">
        <v>168</v>
      </c>
      <c r="J53" s="6" t="s">
        <v>169</v>
      </c>
      <c r="K53" s="6" t="s">
        <v>94</v>
      </c>
      <c r="L53" s="5" t="s">
        <v>384</v>
      </c>
    </row>
    <row r="54" spans="1:12" ht="30" customHeight="1" x14ac:dyDescent="0.25">
      <c r="A54" s="6" t="s">
        <v>304</v>
      </c>
      <c r="B54" s="6" t="s">
        <v>677</v>
      </c>
      <c r="C54" s="5"/>
      <c r="D54" s="6"/>
      <c r="E54" s="5">
        <v>51</v>
      </c>
      <c r="F54" s="5"/>
      <c r="G54" s="7">
        <v>320</v>
      </c>
      <c r="H54" s="5"/>
      <c r="I54" s="6" t="s">
        <v>170</v>
      </c>
      <c r="J54" s="6" t="s">
        <v>171</v>
      </c>
      <c r="K54" s="6" t="s">
        <v>94</v>
      </c>
      <c r="L54" s="5" t="s">
        <v>384</v>
      </c>
    </row>
    <row r="55" spans="1:12" ht="30" customHeight="1" x14ac:dyDescent="0.25">
      <c r="A55" s="6" t="s">
        <v>304</v>
      </c>
      <c r="B55" s="6" t="s">
        <v>677</v>
      </c>
      <c r="C55" s="5"/>
      <c r="D55" s="6"/>
      <c r="E55" s="5">
        <v>52</v>
      </c>
      <c r="F55" s="5"/>
      <c r="G55" s="7">
        <v>3860</v>
      </c>
      <c r="H55" s="5"/>
      <c r="I55" s="6" t="s">
        <v>174</v>
      </c>
      <c r="J55" s="6" t="s">
        <v>171</v>
      </c>
      <c r="K55" s="6" t="s">
        <v>94</v>
      </c>
      <c r="L55" s="5" t="s">
        <v>384</v>
      </c>
    </row>
    <row r="56" spans="1:12" ht="30" customHeight="1" x14ac:dyDescent="0.25">
      <c r="A56" s="6" t="s">
        <v>304</v>
      </c>
      <c r="B56" s="6" t="s">
        <v>677</v>
      </c>
      <c r="C56" s="5"/>
      <c r="D56" s="6"/>
      <c r="E56" s="5">
        <v>53</v>
      </c>
      <c r="F56" s="5"/>
      <c r="G56" s="7">
        <v>905</v>
      </c>
      <c r="H56" s="5"/>
      <c r="I56" s="6" t="s">
        <v>174</v>
      </c>
      <c r="J56" s="6" t="s">
        <v>173</v>
      </c>
      <c r="K56" s="6" t="s">
        <v>94</v>
      </c>
      <c r="L56" s="5" t="s">
        <v>384</v>
      </c>
    </row>
    <row r="57" spans="1:12" ht="30" customHeight="1" x14ac:dyDescent="0.25">
      <c r="A57" s="6" t="s">
        <v>304</v>
      </c>
      <c r="B57" s="6" t="s">
        <v>677</v>
      </c>
      <c r="C57" s="5"/>
      <c r="D57" s="6"/>
      <c r="E57" s="5">
        <v>54</v>
      </c>
      <c r="F57" s="5"/>
      <c r="G57" s="7">
        <v>485</v>
      </c>
      <c r="H57" s="5"/>
      <c r="I57" s="6" t="s">
        <v>172</v>
      </c>
      <c r="J57" s="6" t="s">
        <v>171</v>
      </c>
      <c r="K57" s="6" t="s">
        <v>94</v>
      </c>
      <c r="L57" s="5" t="s">
        <v>384</v>
      </c>
    </row>
    <row r="58" spans="1:12" ht="30" customHeight="1" x14ac:dyDescent="0.25">
      <c r="A58" s="6" t="s">
        <v>304</v>
      </c>
      <c r="B58" s="6" t="s">
        <v>677</v>
      </c>
      <c r="C58" s="5"/>
      <c r="D58" s="6"/>
      <c r="E58" s="5">
        <v>55</v>
      </c>
      <c r="F58" s="5"/>
      <c r="G58" s="7">
        <v>265</v>
      </c>
      <c r="H58" s="5"/>
      <c r="I58" s="6" t="s">
        <v>172</v>
      </c>
      <c r="J58" s="6" t="s">
        <v>173</v>
      </c>
      <c r="K58" s="6" t="s">
        <v>94</v>
      </c>
      <c r="L58" s="5" t="s">
        <v>384</v>
      </c>
    </row>
    <row r="59" spans="1:12" ht="30" customHeight="1" x14ac:dyDescent="0.25">
      <c r="A59" s="6" t="s">
        <v>304</v>
      </c>
      <c r="B59" s="6" t="s">
        <v>677</v>
      </c>
      <c r="C59" s="5"/>
      <c r="D59" s="6"/>
      <c r="E59" s="5">
        <v>56</v>
      </c>
      <c r="F59" s="5"/>
      <c r="G59" s="7">
        <v>580</v>
      </c>
      <c r="H59" s="5"/>
      <c r="I59" s="6" t="s">
        <v>175</v>
      </c>
      <c r="J59" s="6" t="s">
        <v>176</v>
      </c>
      <c r="K59" s="6" t="s">
        <v>94</v>
      </c>
      <c r="L59" s="5" t="s">
        <v>384</v>
      </c>
    </row>
    <row r="60" spans="1:12" ht="30" customHeight="1" x14ac:dyDescent="0.25">
      <c r="A60" s="6" t="s">
        <v>304</v>
      </c>
      <c r="B60" s="6" t="s">
        <v>677</v>
      </c>
      <c r="C60" s="5"/>
      <c r="D60" s="6"/>
      <c r="E60" s="5">
        <v>57</v>
      </c>
      <c r="F60" s="5"/>
      <c r="G60" s="7">
        <v>805</v>
      </c>
      <c r="H60" s="5"/>
      <c r="I60" s="6" t="s">
        <v>175</v>
      </c>
      <c r="J60" s="6" t="s">
        <v>177</v>
      </c>
      <c r="K60" s="6" t="s">
        <v>94</v>
      </c>
      <c r="L60" s="5" t="s">
        <v>384</v>
      </c>
    </row>
    <row r="61" spans="1:12" ht="30" customHeight="1" x14ac:dyDescent="0.25">
      <c r="A61" s="6" t="s">
        <v>304</v>
      </c>
      <c r="B61" s="6" t="s">
        <v>677</v>
      </c>
      <c r="C61" s="5"/>
      <c r="D61" s="6"/>
      <c r="E61" s="5">
        <v>58</v>
      </c>
      <c r="F61" s="5"/>
      <c r="G61" s="7">
        <v>195</v>
      </c>
      <c r="H61" s="5"/>
      <c r="I61" s="6" t="s">
        <v>175</v>
      </c>
      <c r="J61" s="6" t="s">
        <v>178</v>
      </c>
      <c r="K61" s="6" t="s">
        <v>94</v>
      </c>
      <c r="L61" s="5" t="s">
        <v>384</v>
      </c>
    </row>
    <row r="62" spans="1:12" ht="30" customHeight="1" x14ac:dyDescent="0.25">
      <c r="A62" s="6" t="s">
        <v>304</v>
      </c>
      <c r="B62" s="6" t="s">
        <v>677</v>
      </c>
      <c r="C62" s="5"/>
      <c r="D62" s="6"/>
      <c r="E62" s="5">
        <v>59</v>
      </c>
      <c r="F62" s="5"/>
      <c r="G62" s="7">
        <v>1155</v>
      </c>
      <c r="H62" s="5"/>
      <c r="I62" s="6" t="s">
        <v>181</v>
      </c>
      <c r="J62" s="6" t="s">
        <v>171</v>
      </c>
      <c r="K62" s="6" t="s">
        <v>94</v>
      </c>
      <c r="L62" s="5" t="s">
        <v>384</v>
      </c>
    </row>
    <row r="63" spans="1:12" ht="30" customHeight="1" x14ac:dyDescent="0.25">
      <c r="A63" s="6" t="s">
        <v>304</v>
      </c>
      <c r="B63" s="6" t="s">
        <v>677</v>
      </c>
      <c r="C63" s="5"/>
      <c r="D63" s="6"/>
      <c r="E63" s="5">
        <v>60</v>
      </c>
      <c r="F63" s="5"/>
      <c r="G63" s="7">
        <v>150</v>
      </c>
      <c r="H63" s="5"/>
      <c r="I63" s="6" t="s">
        <v>181</v>
      </c>
      <c r="J63" s="6" t="s">
        <v>173</v>
      </c>
      <c r="K63" s="6" t="s">
        <v>94</v>
      </c>
      <c r="L63" s="5" t="s">
        <v>384</v>
      </c>
    </row>
    <row r="64" spans="1:12" ht="30" customHeight="1" x14ac:dyDescent="0.25">
      <c r="A64" s="6" t="s">
        <v>304</v>
      </c>
      <c r="B64" s="6" t="s">
        <v>677</v>
      </c>
      <c r="C64" s="5"/>
      <c r="D64" s="6"/>
      <c r="E64" s="5">
        <v>61</v>
      </c>
      <c r="F64" s="5"/>
      <c r="G64" s="7">
        <v>580</v>
      </c>
      <c r="H64" s="5"/>
      <c r="I64" s="6" t="s">
        <v>182</v>
      </c>
      <c r="J64" s="6" t="s">
        <v>176</v>
      </c>
      <c r="K64" s="6" t="s">
        <v>94</v>
      </c>
      <c r="L64" s="5" t="s">
        <v>384</v>
      </c>
    </row>
    <row r="65" spans="1:12" ht="30" customHeight="1" x14ac:dyDescent="0.25">
      <c r="A65" s="6" t="s">
        <v>304</v>
      </c>
      <c r="B65" s="6" t="s">
        <v>677</v>
      </c>
      <c r="C65" s="5"/>
      <c r="D65" s="6"/>
      <c r="E65" s="5">
        <v>62</v>
      </c>
      <c r="F65" s="5"/>
      <c r="G65" s="7">
        <v>465</v>
      </c>
      <c r="H65" s="5"/>
      <c r="I65" s="6" t="s">
        <v>183</v>
      </c>
      <c r="J65" s="6" t="s">
        <v>167</v>
      </c>
      <c r="K65" s="6" t="s">
        <v>94</v>
      </c>
      <c r="L65" s="5" t="s">
        <v>384</v>
      </c>
    </row>
    <row r="66" spans="1:12" ht="30" customHeight="1" x14ac:dyDescent="0.25">
      <c r="A66" s="6" t="s">
        <v>304</v>
      </c>
      <c r="B66" s="6" t="s">
        <v>677</v>
      </c>
      <c r="C66" s="5"/>
      <c r="D66" s="6"/>
      <c r="E66" s="5">
        <v>63</v>
      </c>
      <c r="F66" s="5"/>
      <c r="G66" s="7">
        <v>490</v>
      </c>
      <c r="H66" s="5"/>
      <c r="I66" s="6" t="s">
        <v>179</v>
      </c>
      <c r="J66" s="6" t="s">
        <v>180</v>
      </c>
      <c r="K66" s="6" t="s">
        <v>94</v>
      </c>
      <c r="L66" s="5" t="s">
        <v>384</v>
      </c>
    </row>
    <row r="67" spans="1:12" ht="30" customHeight="1" x14ac:dyDescent="0.25">
      <c r="A67" s="6" t="s">
        <v>304</v>
      </c>
      <c r="B67" s="6" t="s">
        <v>677</v>
      </c>
      <c r="C67" s="5"/>
      <c r="D67" s="6"/>
      <c r="E67" s="5">
        <v>64</v>
      </c>
      <c r="F67" s="5"/>
      <c r="G67" s="7">
        <v>2370</v>
      </c>
      <c r="H67" s="5"/>
      <c r="I67" s="6" t="s">
        <v>201</v>
      </c>
      <c r="J67" s="6" t="s">
        <v>134</v>
      </c>
      <c r="K67" s="6" t="s">
        <v>94</v>
      </c>
      <c r="L67" s="5" t="s">
        <v>384</v>
      </c>
    </row>
    <row r="68" spans="1:12" ht="30" customHeight="1" x14ac:dyDescent="0.25">
      <c r="A68" s="6" t="s">
        <v>304</v>
      </c>
      <c r="B68" s="6" t="s">
        <v>677</v>
      </c>
      <c r="C68" s="5"/>
      <c r="D68" s="6"/>
      <c r="E68" s="5">
        <v>65</v>
      </c>
      <c r="F68" s="5"/>
      <c r="G68" s="7">
        <v>3865</v>
      </c>
      <c r="H68" s="5"/>
      <c r="I68" s="6" t="s">
        <v>201</v>
      </c>
      <c r="J68" s="6" t="s">
        <v>135</v>
      </c>
      <c r="K68" s="6" t="s">
        <v>94</v>
      </c>
      <c r="L68" s="5" t="s">
        <v>384</v>
      </c>
    </row>
    <row r="69" spans="1:12" ht="30" customHeight="1" x14ac:dyDescent="0.25">
      <c r="A69" s="6" t="s">
        <v>304</v>
      </c>
      <c r="B69" s="6" t="s">
        <v>677</v>
      </c>
      <c r="C69" s="5"/>
      <c r="D69" s="6"/>
      <c r="E69" s="5">
        <v>66</v>
      </c>
      <c r="F69" s="5"/>
      <c r="G69" s="7">
        <v>835</v>
      </c>
      <c r="H69" s="5"/>
      <c r="I69" s="6" t="s">
        <v>201</v>
      </c>
      <c r="J69" s="6" t="s">
        <v>200</v>
      </c>
      <c r="K69" s="6" t="s">
        <v>94</v>
      </c>
      <c r="L69" s="5" t="s">
        <v>384</v>
      </c>
    </row>
    <row r="70" spans="1:12" ht="30" customHeight="1" x14ac:dyDescent="0.25">
      <c r="A70" s="6" t="s">
        <v>304</v>
      </c>
      <c r="B70" s="6" t="s">
        <v>677</v>
      </c>
      <c r="C70" s="5"/>
      <c r="D70" s="6"/>
      <c r="E70" s="5">
        <v>67</v>
      </c>
      <c r="F70" s="5"/>
      <c r="G70" s="7">
        <v>50</v>
      </c>
      <c r="H70" s="5"/>
      <c r="I70" s="6" t="s">
        <v>216</v>
      </c>
      <c r="J70" s="6" t="s">
        <v>135</v>
      </c>
      <c r="K70" s="6" t="s">
        <v>94</v>
      </c>
      <c r="L70" s="5" t="s">
        <v>384</v>
      </c>
    </row>
    <row r="71" spans="1:12" ht="30" customHeight="1" x14ac:dyDescent="0.25">
      <c r="A71" s="6" t="s">
        <v>304</v>
      </c>
      <c r="B71" s="6" t="s">
        <v>677</v>
      </c>
      <c r="C71" s="5"/>
      <c r="D71" s="6"/>
      <c r="E71" s="5">
        <v>68</v>
      </c>
      <c r="F71" s="5"/>
      <c r="G71" s="7">
        <v>5</v>
      </c>
      <c r="H71" s="5"/>
      <c r="I71" s="6" t="s">
        <v>216</v>
      </c>
      <c r="J71" s="6" t="s">
        <v>137</v>
      </c>
      <c r="K71" s="6" t="s">
        <v>94</v>
      </c>
      <c r="L71" s="5" t="s">
        <v>384</v>
      </c>
    </row>
    <row r="72" spans="1:12" ht="30" customHeight="1" x14ac:dyDescent="0.25">
      <c r="A72" s="6" t="s">
        <v>304</v>
      </c>
      <c r="B72" s="6" t="s">
        <v>677</v>
      </c>
      <c r="C72" s="5"/>
      <c r="D72" s="6"/>
      <c r="E72" s="5">
        <v>69</v>
      </c>
      <c r="F72" s="5"/>
      <c r="G72" s="7">
        <v>120</v>
      </c>
      <c r="H72" s="5"/>
      <c r="I72" s="6" t="s">
        <v>216</v>
      </c>
      <c r="J72" s="6" t="s">
        <v>200</v>
      </c>
      <c r="K72" s="6" t="s">
        <v>94</v>
      </c>
      <c r="L72" s="5" t="s">
        <v>384</v>
      </c>
    </row>
    <row r="73" spans="1:12" ht="30" customHeight="1" x14ac:dyDescent="0.25">
      <c r="A73" s="6" t="s">
        <v>304</v>
      </c>
      <c r="B73" s="6" t="s">
        <v>677</v>
      </c>
      <c r="C73" s="5"/>
      <c r="D73" s="6"/>
      <c r="E73" s="5">
        <v>70</v>
      </c>
      <c r="F73" s="5"/>
      <c r="G73" s="7">
        <v>80</v>
      </c>
      <c r="H73" s="5"/>
      <c r="I73" s="6" t="s">
        <v>216</v>
      </c>
      <c r="J73" s="6" t="s">
        <v>197</v>
      </c>
      <c r="K73" s="6" t="s">
        <v>94</v>
      </c>
      <c r="L73" s="5" t="s">
        <v>384</v>
      </c>
    </row>
    <row r="74" spans="1:12" ht="30" customHeight="1" x14ac:dyDescent="0.25">
      <c r="A74" s="6" t="s">
        <v>304</v>
      </c>
      <c r="B74" s="6" t="s">
        <v>677</v>
      </c>
      <c r="C74" s="5"/>
      <c r="D74" s="6"/>
      <c r="E74" s="5">
        <v>71</v>
      </c>
      <c r="F74" s="5"/>
      <c r="G74" s="7">
        <v>4510</v>
      </c>
      <c r="H74" s="5"/>
      <c r="I74" s="6" t="s">
        <v>199</v>
      </c>
      <c r="J74" s="6" t="s">
        <v>134</v>
      </c>
      <c r="K74" s="6" t="s">
        <v>94</v>
      </c>
      <c r="L74" s="5" t="s">
        <v>384</v>
      </c>
    </row>
    <row r="75" spans="1:12" ht="30" customHeight="1" x14ac:dyDescent="0.25">
      <c r="A75" s="6" t="s">
        <v>304</v>
      </c>
      <c r="B75" s="6" t="s">
        <v>677</v>
      </c>
      <c r="C75" s="5"/>
      <c r="D75" s="6"/>
      <c r="E75" s="5">
        <v>72</v>
      </c>
      <c r="F75" s="5"/>
      <c r="G75" s="7">
        <v>7820</v>
      </c>
      <c r="H75" s="5"/>
      <c r="I75" s="6" t="s">
        <v>199</v>
      </c>
      <c r="J75" s="6" t="s">
        <v>135</v>
      </c>
      <c r="K75" s="6" t="s">
        <v>94</v>
      </c>
      <c r="L75" s="5" t="s">
        <v>384</v>
      </c>
    </row>
    <row r="76" spans="1:12" ht="30" customHeight="1" x14ac:dyDescent="0.25">
      <c r="A76" s="6" t="s">
        <v>304</v>
      </c>
      <c r="B76" s="6" t="s">
        <v>677</v>
      </c>
      <c r="C76" s="5"/>
      <c r="D76" s="6"/>
      <c r="E76" s="5">
        <v>73</v>
      </c>
      <c r="F76" s="5"/>
      <c r="G76" s="7">
        <v>10</v>
      </c>
      <c r="H76" s="5"/>
      <c r="I76" s="6" t="s">
        <v>199</v>
      </c>
      <c r="J76" s="6" t="s">
        <v>137</v>
      </c>
      <c r="K76" s="6" t="s">
        <v>94</v>
      </c>
      <c r="L76" s="5" t="s">
        <v>384</v>
      </c>
    </row>
    <row r="77" spans="1:12" ht="30" customHeight="1" x14ac:dyDescent="0.25">
      <c r="A77" s="6" t="s">
        <v>304</v>
      </c>
      <c r="B77" s="6" t="s">
        <v>677</v>
      </c>
      <c r="C77" s="5"/>
      <c r="D77" s="6"/>
      <c r="E77" s="5">
        <v>74</v>
      </c>
      <c r="F77" s="5"/>
      <c r="G77" s="7">
        <v>1580</v>
      </c>
      <c r="H77" s="5"/>
      <c r="I77" s="6" t="s">
        <v>199</v>
      </c>
      <c r="J77" s="6" t="s">
        <v>200</v>
      </c>
      <c r="K77" s="6" t="s">
        <v>94</v>
      </c>
      <c r="L77" s="5" t="s">
        <v>384</v>
      </c>
    </row>
    <row r="78" spans="1:12" ht="30" customHeight="1" x14ac:dyDescent="0.25">
      <c r="A78" s="6" t="s">
        <v>304</v>
      </c>
      <c r="B78" s="6" t="s">
        <v>677</v>
      </c>
      <c r="C78" s="5"/>
      <c r="D78" s="6"/>
      <c r="E78" s="5">
        <v>75</v>
      </c>
      <c r="F78" s="5"/>
      <c r="G78" s="7">
        <v>525</v>
      </c>
      <c r="H78" s="5"/>
      <c r="I78" s="6" t="s">
        <v>215</v>
      </c>
      <c r="J78" s="6" t="s">
        <v>135</v>
      </c>
      <c r="K78" s="6" t="s">
        <v>94</v>
      </c>
      <c r="L78" s="5" t="s">
        <v>384</v>
      </c>
    </row>
    <row r="79" spans="1:12" ht="30" customHeight="1" x14ac:dyDescent="0.25">
      <c r="A79" s="6" t="s">
        <v>304</v>
      </c>
      <c r="B79" s="6" t="s">
        <v>677</v>
      </c>
      <c r="C79" s="5"/>
      <c r="D79" s="6"/>
      <c r="E79" s="5">
        <v>76</v>
      </c>
      <c r="F79" s="5"/>
      <c r="G79" s="7">
        <v>20</v>
      </c>
      <c r="H79" s="5"/>
      <c r="I79" s="6" t="s">
        <v>215</v>
      </c>
      <c r="J79" s="6" t="s">
        <v>137</v>
      </c>
      <c r="K79" s="6" t="s">
        <v>94</v>
      </c>
      <c r="L79" s="5" t="s">
        <v>384</v>
      </c>
    </row>
    <row r="80" spans="1:12" ht="30" customHeight="1" x14ac:dyDescent="0.25">
      <c r="A80" s="6" t="s">
        <v>304</v>
      </c>
      <c r="B80" s="6" t="s">
        <v>677</v>
      </c>
      <c r="C80" s="5"/>
      <c r="D80" s="6"/>
      <c r="E80" s="5">
        <v>77</v>
      </c>
      <c r="F80" s="5"/>
      <c r="G80" s="7">
        <v>1080</v>
      </c>
      <c r="H80" s="5"/>
      <c r="I80" s="6" t="s">
        <v>215</v>
      </c>
      <c r="J80" s="6" t="s">
        <v>200</v>
      </c>
      <c r="K80" s="6" t="s">
        <v>94</v>
      </c>
      <c r="L80" s="5" t="s">
        <v>384</v>
      </c>
    </row>
    <row r="81" spans="1:12" ht="30" customHeight="1" x14ac:dyDescent="0.25">
      <c r="A81" s="6" t="s">
        <v>304</v>
      </c>
      <c r="B81" s="6" t="s">
        <v>677</v>
      </c>
      <c r="C81" s="5"/>
      <c r="D81" s="6"/>
      <c r="E81" s="5">
        <v>78</v>
      </c>
      <c r="F81" s="5"/>
      <c r="G81" s="7">
        <v>460</v>
      </c>
      <c r="H81" s="5"/>
      <c r="I81" s="6" t="s">
        <v>215</v>
      </c>
      <c r="J81" s="6" t="s">
        <v>197</v>
      </c>
      <c r="K81" s="6" t="s">
        <v>94</v>
      </c>
      <c r="L81" s="5" t="s">
        <v>384</v>
      </c>
    </row>
    <row r="82" spans="1:12" ht="30" customHeight="1" x14ac:dyDescent="0.25">
      <c r="A82" s="6" t="s">
        <v>304</v>
      </c>
      <c r="B82" s="6" t="s">
        <v>677</v>
      </c>
      <c r="C82" s="5"/>
      <c r="D82" s="6"/>
      <c r="E82" s="5">
        <v>79</v>
      </c>
      <c r="F82" s="5"/>
      <c r="G82" s="7">
        <v>5</v>
      </c>
      <c r="H82" s="5"/>
      <c r="I82" s="6" t="s">
        <v>206</v>
      </c>
      <c r="J82" s="6" t="s">
        <v>134</v>
      </c>
      <c r="K82" s="6" t="s">
        <v>94</v>
      </c>
      <c r="L82" s="5" t="s">
        <v>384</v>
      </c>
    </row>
    <row r="83" spans="1:12" ht="30" customHeight="1" x14ac:dyDescent="0.25">
      <c r="A83" s="6" t="s">
        <v>304</v>
      </c>
      <c r="B83" s="6" t="s">
        <v>677</v>
      </c>
      <c r="C83" s="5"/>
      <c r="D83" s="6"/>
      <c r="E83" s="5">
        <v>80</v>
      </c>
      <c r="F83" s="5"/>
      <c r="G83" s="7">
        <v>1080</v>
      </c>
      <c r="H83" s="5"/>
      <c r="I83" s="6" t="s">
        <v>206</v>
      </c>
      <c r="J83" s="6" t="s">
        <v>135</v>
      </c>
      <c r="K83" s="6" t="s">
        <v>94</v>
      </c>
      <c r="L83" s="5" t="s">
        <v>384</v>
      </c>
    </row>
    <row r="84" spans="1:12" ht="30" customHeight="1" x14ac:dyDescent="0.25">
      <c r="A84" s="6" t="s">
        <v>304</v>
      </c>
      <c r="B84" s="6" t="s">
        <v>677</v>
      </c>
      <c r="C84" s="5"/>
      <c r="D84" s="6"/>
      <c r="E84" s="5">
        <v>81</v>
      </c>
      <c r="F84" s="5"/>
      <c r="G84" s="7">
        <v>700</v>
      </c>
      <c r="H84" s="5"/>
      <c r="I84" s="6" t="s">
        <v>206</v>
      </c>
      <c r="J84" s="6" t="s">
        <v>200</v>
      </c>
      <c r="K84" s="6" t="s">
        <v>94</v>
      </c>
      <c r="L84" s="5" t="s">
        <v>384</v>
      </c>
    </row>
    <row r="85" spans="1:12" ht="30" customHeight="1" x14ac:dyDescent="0.25">
      <c r="A85" s="6" t="s">
        <v>304</v>
      </c>
      <c r="B85" s="6" t="s">
        <v>677</v>
      </c>
      <c r="C85" s="5"/>
      <c r="D85" s="6"/>
      <c r="E85" s="5">
        <v>82</v>
      </c>
      <c r="F85" s="5"/>
      <c r="G85" s="7">
        <v>10</v>
      </c>
      <c r="H85" s="5"/>
      <c r="I85" s="6" t="s">
        <v>206</v>
      </c>
      <c r="J85" s="6" t="s">
        <v>207</v>
      </c>
      <c r="K85" s="6" t="s">
        <v>94</v>
      </c>
      <c r="L85" s="5" t="s">
        <v>384</v>
      </c>
    </row>
    <row r="86" spans="1:12" ht="30" customHeight="1" x14ac:dyDescent="0.25">
      <c r="A86" s="6" t="s">
        <v>304</v>
      </c>
      <c r="B86" s="6" t="s">
        <v>677</v>
      </c>
      <c r="C86" s="5"/>
      <c r="D86" s="6"/>
      <c r="E86" s="5">
        <v>83</v>
      </c>
      <c r="F86" s="5"/>
      <c r="G86" s="7">
        <v>210</v>
      </c>
      <c r="H86" s="5"/>
      <c r="I86" s="6" t="s">
        <v>218</v>
      </c>
      <c r="J86" s="6" t="s">
        <v>135</v>
      </c>
      <c r="K86" s="6" t="s">
        <v>94</v>
      </c>
      <c r="L86" s="5" t="s">
        <v>384</v>
      </c>
    </row>
    <row r="87" spans="1:12" ht="30" customHeight="1" x14ac:dyDescent="0.25">
      <c r="A87" s="6" t="s">
        <v>304</v>
      </c>
      <c r="B87" s="6" t="s">
        <v>677</v>
      </c>
      <c r="C87" s="5"/>
      <c r="D87" s="6"/>
      <c r="E87" s="5">
        <v>84</v>
      </c>
      <c r="F87" s="5"/>
      <c r="G87" s="7">
        <v>280</v>
      </c>
      <c r="H87" s="5"/>
      <c r="I87" s="6" t="s">
        <v>218</v>
      </c>
      <c r="J87" s="6" t="s">
        <v>200</v>
      </c>
      <c r="K87" s="6" t="s">
        <v>94</v>
      </c>
      <c r="L87" s="5" t="s">
        <v>384</v>
      </c>
    </row>
    <row r="88" spans="1:12" ht="30" customHeight="1" x14ac:dyDescent="0.25">
      <c r="A88" s="6" t="s">
        <v>304</v>
      </c>
      <c r="B88" s="6" t="s">
        <v>677</v>
      </c>
      <c r="C88" s="5"/>
      <c r="D88" s="6"/>
      <c r="E88" s="5">
        <v>85</v>
      </c>
      <c r="F88" s="5"/>
      <c r="G88" s="7">
        <v>10</v>
      </c>
      <c r="H88" s="5"/>
      <c r="I88" s="6" t="s">
        <v>218</v>
      </c>
      <c r="J88" s="6" t="s">
        <v>207</v>
      </c>
      <c r="K88" s="6" t="s">
        <v>94</v>
      </c>
      <c r="L88" s="5" t="s">
        <v>384</v>
      </c>
    </row>
    <row r="89" spans="1:12" ht="30" customHeight="1" x14ac:dyDescent="0.25">
      <c r="A89" s="6" t="s">
        <v>304</v>
      </c>
      <c r="B89" s="6" t="s">
        <v>677</v>
      </c>
      <c r="C89" s="5"/>
      <c r="D89" s="6"/>
      <c r="E89" s="5">
        <v>86</v>
      </c>
      <c r="F89" s="5"/>
      <c r="G89" s="7">
        <v>30</v>
      </c>
      <c r="H89" s="5"/>
      <c r="I89" s="6" t="s">
        <v>202</v>
      </c>
      <c r="J89" s="6" t="s">
        <v>203</v>
      </c>
      <c r="K89" s="6" t="s">
        <v>94</v>
      </c>
      <c r="L89" s="5" t="s">
        <v>384</v>
      </c>
    </row>
    <row r="90" spans="1:12" ht="30" customHeight="1" x14ac:dyDescent="0.25">
      <c r="A90" s="6" t="s">
        <v>304</v>
      </c>
      <c r="B90" s="6" t="s">
        <v>677</v>
      </c>
      <c r="C90" s="5"/>
      <c r="D90" s="6"/>
      <c r="E90" s="5">
        <v>87</v>
      </c>
      <c r="F90" s="5"/>
      <c r="G90" s="7">
        <v>2075</v>
      </c>
      <c r="H90" s="5"/>
      <c r="I90" s="6" t="s">
        <v>202</v>
      </c>
      <c r="J90" s="6" t="s">
        <v>204</v>
      </c>
      <c r="K90" s="6" t="s">
        <v>94</v>
      </c>
      <c r="L90" s="5" t="s">
        <v>384</v>
      </c>
    </row>
    <row r="91" spans="1:12" ht="30" customHeight="1" x14ac:dyDescent="0.25">
      <c r="A91" s="6" t="s">
        <v>304</v>
      </c>
      <c r="B91" s="6" t="s">
        <v>677</v>
      </c>
      <c r="C91" s="5"/>
      <c r="D91" s="6"/>
      <c r="E91" s="5">
        <v>88</v>
      </c>
      <c r="F91" s="5"/>
      <c r="G91" s="7">
        <v>5</v>
      </c>
      <c r="H91" s="5"/>
      <c r="I91" s="6" t="s">
        <v>217</v>
      </c>
      <c r="J91" s="6" t="s">
        <v>203</v>
      </c>
      <c r="K91" s="6" t="s">
        <v>94</v>
      </c>
      <c r="L91" s="5" t="s">
        <v>384</v>
      </c>
    </row>
    <row r="92" spans="1:12" ht="30" customHeight="1" x14ac:dyDescent="0.25">
      <c r="A92" s="6" t="s">
        <v>304</v>
      </c>
      <c r="B92" s="6" t="s">
        <v>677</v>
      </c>
      <c r="C92" s="5"/>
      <c r="D92" s="6"/>
      <c r="E92" s="5">
        <v>89</v>
      </c>
      <c r="F92" s="5"/>
      <c r="G92" s="7">
        <v>340</v>
      </c>
      <c r="H92" s="5"/>
      <c r="I92" s="6" t="s">
        <v>217</v>
      </c>
      <c r="J92" s="6" t="s">
        <v>204</v>
      </c>
      <c r="K92" s="6" t="s">
        <v>94</v>
      </c>
      <c r="L92" s="5" t="s">
        <v>384</v>
      </c>
    </row>
    <row r="93" spans="1:12" ht="30" customHeight="1" x14ac:dyDescent="0.25">
      <c r="A93" s="6" t="s">
        <v>304</v>
      </c>
      <c r="B93" s="6" t="s">
        <v>677</v>
      </c>
      <c r="C93" s="5"/>
      <c r="D93" s="6"/>
      <c r="E93" s="5">
        <v>90</v>
      </c>
      <c r="F93" s="5"/>
      <c r="G93" s="7">
        <v>10</v>
      </c>
      <c r="H93" s="5"/>
      <c r="I93" s="6" t="s">
        <v>217</v>
      </c>
      <c r="J93" s="6" t="s">
        <v>210</v>
      </c>
      <c r="K93" s="6" t="s">
        <v>94</v>
      </c>
      <c r="L93" s="5" t="s">
        <v>384</v>
      </c>
    </row>
    <row r="94" spans="1:12" ht="30" customHeight="1" x14ac:dyDescent="0.25">
      <c r="A94" s="6" t="s">
        <v>304</v>
      </c>
      <c r="B94" s="6" t="s">
        <v>677</v>
      </c>
      <c r="C94" s="5"/>
      <c r="D94" s="6"/>
      <c r="E94" s="5">
        <v>91</v>
      </c>
      <c r="F94" s="5"/>
      <c r="G94" s="7">
        <v>20</v>
      </c>
      <c r="H94" s="5"/>
      <c r="I94" s="6" t="s">
        <v>217</v>
      </c>
      <c r="J94" s="6" t="s">
        <v>207</v>
      </c>
      <c r="K94" s="6" t="s">
        <v>94</v>
      </c>
      <c r="L94" s="5" t="s">
        <v>384</v>
      </c>
    </row>
    <row r="95" spans="1:12" ht="30" customHeight="1" x14ac:dyDescent="0.25">
      <c r="A95" s="6" t="s">
        <v>304</v>
      </c>
      <c r="B95" s="6" t="s">
        <v>677</v>
      </c>
      <c r="C95" s="5"/>
      <c r="D95" s="6"/>
      <c r="E95" s="5">
        <v>92</v>
      </c>
      <c r="F95" s="5"/>
      <c r="G95" s="7">
        <v>5</v>
      </c>
      <c r="H95" s="5"/>
      <c r="I95" s="6" t="s">
        <v>211</v>
      </c>
      <c r="J95" s="6" t="s">
        <v>137</v>
      </c>
      <c r="K95" s="6" t="s">
        <v>94</v>
      </c>
      <c r="L95" s="5" t="s">
        <v>384</v>
      </c>
    </row>
    <row r="96" spans="1:12" ht="30" customHeight="1" x14ac:dyDescent="0.25">
      <c r="A96" s="6" t="s">
        <v>304</v>
      </c>
      <c r="B96" s="6" t="s">
        <v>677</v>
      </c>
      <c r="C96" s="5"/>
      <c r="D96" s="6"/>
      <c r="E96" s="5">
        <v>93</v>
      </c>
      <c r="F96" s="5"/>
      <c r="G96" s="7">
        <v>120</v>
      </c>
      <c r="H96" s="5"/>
      <c r="I96" s="6" t="s">
        <v>211</v>
      </c>
      <c r="J96" s="6" t="s">
        <v>210</v>
      </c>
      <c r="K96" s="6" t="s">
        <v>94</v>
      </c>
      <c r="L96" s="5" t="s">
        <v>384</v>
      </c>
    </row>
    <row r="97" spans="1:12" ht="30" customHeight="1" x14ac:dyDescent="0.25">
      <c r="A97" s="6" t="s">
        <v>304</v>
      </c>
      <c r="B97" s="6" t="s">
        <v>677</v>
      </c>
      <c r="C97" s="5"/>
      <c r="D97" s="6"/>
      <c r="E97" s="5">
        <v>94</v>
      </c>
      <c r="F97" s="5"/>
      <c r="G97" s="7">
        <v>75</v>
      </c>
      <c r="H97" s="5"/>
      <c r="I97" s="6" t="s">
        <v>211</v>
      </c>
      <c r="J97" s="6" t="s">
        <v>207</v>
      </c>
      <c r="K97" s="6" t="s">
        <v>94</v>
      </c>
      <c r="L97" s="5" t="s">
        <v>384</v>
      </c>
    </row>
    <row r="98" spans="1:12" ht="30" customHeight="1" x14ac:dyDescent="0.25">
      <c r="A98" s="6" t="s">
        <v>304</v>
      </c>
      <c r="B98" s="6" t="s">
        <v>677</v>
      </c>
      <c r="C98" s="5"/>
      <c r="D98" s="6"/>
      <c r="E98" s="5">
        <v>95</v>
      </c>
      <c r="F98" s="5"/>
      <c r="G98" s="7">
        <v>10</v>
      </c>
      <c r="H98" s="5"/>
      <c r="I98" s="6" t="s">
        <v>208</v>
      </c>
      <c r="J98" s="6" t="s">
        <v>134</v>
      </c>
      <c r="K98" s="6" t="s">
        <v>94</v>
      </c>
      <c r="L98" s="5" t="s">
        <v>384</v>
      </c>
    </row>
    <row r="99" spans="1:12" ht="30" customHeight="1" x14ac:dyDescent="0.25">
      <c r="A99" s="6" t="s">
        <v>304</v>
      </c>
      <c r="B99" s="6" t="s">
        <v>677</v>
      </c>
      <c r="C99" s="5"/>
      <c r="D99" s="6"/>
      <c r="E99" s="5">
        <v>96</v>
      </c>
      <c r="F99" s="5"/>
      <c r="G99" s="7">
        <v>9670</v>
      </c>
      <c r="H99" s="5"/>
      <c r="I99" s="6" t="s">
        <v>208</v>
      </c>
      <c r="J99" s="6" t="s">
        <v>135</v>
      </c>
      <c r="K99" s="6" t="s">
        <v>94</v>
      </c>
      <c r="L99" s="5" t="s">
        <v>384</v>
      </c>
    </row>
    <row r="100" spans="1:12" ht="30" customHeight="1" x14ac:dyDescent="0.25">
      <c r="A100" s="6" t="s">
        <v>304</v>
      </c>
      <c r="B100" s="6" t="s">
        <v>677</v>
      </c>
      <c r="C100" s="5"/>
      <c r="D100" s="6"/>
      <c r="E100" s="5">
        <v>97</v>
      </c>
      <c r="F100" s="5"/>
      <c r="G100" s="7">
        <v>40</v>
      </c>
      <c r="H100" s="5"/>
      <c r="I100" s="6" t="s">
        <v>208</v>
      </c>
      <c r="J100" s="6" t="s">
        <v>137</v>
      </c>
      <c r="K100" s="6" t="s">
        <v>94</v>
      </c>
      <c r="L100" s="5" t="s">
        <v>384</v>
      </c>
    </row>
    <row r="101" spans="1:12" ht="30" customHeight="1" x14ac:dyDescent="0.25">
      <c r="A101" s="6" t="s">
        <v>304</v>
      </c>
      <c r="B101" s="6" t="s">
        <v>677</v>
      </c>
      <c r="C101" s="5"/>
      <c r="D101" s="6"/>
      <c r="E101" s="5">
        <v>98</v>
      </c>
      <c r="F101" s="5"/>
      <c r="G101" s="7">
        <v>3550</v>
      </c>
      <c r="H101" s="5"/>
      <c r="I101" s="6" t="s">
        <v>208</v>
      </c>
      <c r="J101" s="6" t="s">
        <v>200</v>
      </c>
      <c r="K101" s="6" t="s">
        <v>94</v>
      </c>
      <c r="L101" s="5" t="s">
        <v>384</v>
      </c>
    </row>
    <row r="102" spans="1:12" ht="30" customHeight="1" x14ac:dyDescent="0.25">
      <c r="A102" s="6" t="s">
        <v>304</v>
      </c>
      <c r="B102" s="6" t="s">
        <v>677</v>
      </c>
      <c r="C102" s="5"/>
      <c r="D102" s="6"/>
      <c r="E102" s="5">
        <v>99</v>
      </c>
      <c r="F102" s="5"/>
      <c r="G102" s="7">
        <v>85</v>
      </c>
      <c r="H102" s="5"/>
      <c r="I102" s="6" t="s">
        <v>208</v>
      </c>
      <c r="J102" s="6" t="s">
        <v>197</v>
      </c>
      <c r="K102" s="6" t="s">
        <v>94</v>
      </c>
      <c r="L102" s="5" t="s">
        <v>384</v>
      </c>
    </row>
    <row r="103" spans="1:12" ht="30" customHeight="1" x14ac:dyDescent="0.25">
      <c r="A103" s="6" t="s">
        <v>304</v>
      </c>
      <c r="B103" s="6" t="s">
        <v>677</v>
      </c>
      <c r="C103" s="5"/>
      <c r="D103" s="6"/>
      <c r="E103" s="5">
        <v>100</v>
      </c>
      <c r="F103" s="5"/>
      <c r="G103" s="7">
        <v>450</v>
      </c>
      <c r="H103" s="5"/>
      <c r="I103" s="6" t="s">
        <v>219</v>
      </c>
      <c r="J103" s="6" t="s">
        <v>135</v>
      </c>
      <c r="K103" s="6" t="s">
        <v>94</v>
      </c>
      <c r="L103" s="5" t="s">
        <v>384</v>
      </c>
    </row>
    <row r="104" spans="1:12" ht="30" customHeight="1" x14ac:dyDescent="0.25">
      <c r="A104" s="6" t="s">
        <v>304</v>
      </c>
      <c r="B104" s="6" t="s">
        <v>677</v>
      </c>
      <c r="C104" s="5"/>
      <c r="D104" s="6"/>
      <c r="E104" s="5">
        <v>101</v>
      </c>
      <c r="F104" s="5"/>
      <c r="G104" s="7">
        <v>20</v>
      </c>
      <c r="H104" s="5"/>
      <c r="I104" s="6" t="s">
        <v>219</v>
      </c>
      <c r="J104" s="6" t="s">
        <v>137</v>
      </c>
      <c r="K104" s="6" t="s">
        <v>94</v>
      </c>
      <c r="L104" s="5" t="s">
        <v>384</v>
      </c>
    </row>
    <row r="105" spans="1:12" ht="30" customHeight="1" x14ac:dyDescent="0.25">
      <c r="A105" s="6" t="s">
        <v>304</v>
      </c>
      <c r="B105" s="6" t="s">
        <v>677</v>
      </c>
      <c r="C105" s="5"/>
      <c r="D105" s="6"/>
      <c r="E105" s="5">
        <v>102</v>
      </c>
      <c r="F105" s="5"/>
      <c r="G105" s="7">
        <v>1390</v>
      </c>
      <c r="H105" s="5"/>
      <c r="I105" s="6" t="s">
        <v>219</v>
      </c>
      <c r="J105" s="6" t="s">
        <v>200</v>
      </c>
      <c r="K105" s="6" t="s">
        <v>94</v>
      </c>
      <c r="L105" s="5" t="s">
        <v>384</v>
      </c>
    </row>
    <row r="106" spans="1:12" ht="30" customHeight="1" x14ac:dyDescent="0.25">
      <c r="A106" s="6" t="s">
        <v>304</v>
      </c>
      <c r="B106" s="6" t="s">
        <v>677</v>
      </c>
      <c r="C106" s="5"/>
      <c r="D106" s="6"/>
      <c r="E106" s="5">
        <v>103</v>
      </c>
      <c r="F106" s="5"/>
      <c r="G106" s="7">
        <v>475</v>
      </c>
      <c r="H106" s="5"/>
      <c r="I106" s="6" t="s">
        <v>219</v>
      </c>
      <c r="J106" s="6" t="s">
        <v>197</v>
      </c>
      <c r="K106" s="6" t="s">
        <v>94</v>
      </c>
      <c r="L106" s="5" t="s">
        <v>384</v>
      </c>
    </row>
    <row r="107" spans="1:12" ht="30" customHeight="1" x14ac:dyDescent="0.25">
      <c r="A107" s="6" t="s">
        <v>304</v>
      </c>
      <c r="B107" s="6" t="s">
        <v>677</v>
      </c>
      <c r="C107" s="5"/>
      <c r="D107" s="6"/>
      <c r="E107" s="5">
        <v>104</v>
      </c>
      <c r="F107" s="5"/>
      <c r="G107" s="7">
        <v>770</v>
      </c>
      <c r="H107" s="5"/>
      <c r="I107" s="6" t="s">
        <v>198</v>
      </c>
      <c r="J107" s="6" t="s">
        <v>135</v>
      </c>
      <c r="K107" s="6" t="s">
        <v>94</v>
      </c>
      <c r="L107" s="5" t="s">
        <v>384</v>
      </c>
    </row>
    <row r="108" spans="1:12" ht="30" customHeight="1" x14ac:dyDescent="0.25">
      <c r="A108" s="6" t="s">
        <v>304</v>
      </c>
      <c r="B108" s="6" t="s">
        <v>677</v>
      </c>
      <c r="C108" s="5"/>
      <c r="D108" s="6"/>
      <c r="E108" s="5">
        <v>105</v>
      </c>
      <c r="F108" s="5"/>
      <c r="G108" s="7">
        <v>5</v>
      </c>
      <c r="H108" s="5"/>
      <c r="I108" s="6" t="s">
        <v>196</v>
      </c>
      <c r="J108" s="6" t="s">
        <v>197</v>
      </c>
      <c r="K108" s="6" t="s">
        <v>94</v>
      </c>
      <c r="L108" s="5" t="s">
        <v>384</v>
      </c>
    </row>
    <row r="109" spans="1:12" ht="30" customHeight="1" x14ac:dyDescent="0.25">
      <c r="A109" s="6" t="s">
        <v>304</v>
      </c>
      <c r="B109" s="6" t="s">
        <v>677</v>
      </c>
      <c r="C109" s="5"/>
      <c r="D109" s="6"/>
      <c r="E109" s="5">
        <v>106</v>
      </c>
      <c r="F109" s="5"/>
      <c r="G109" s="7">
        <v>780</v>
      </c>
      <c r="H109" s="5"/>
      <c r="I109" s="6" t="s">
        <v>229</v>
      </c>
      <c r="J109" s="6" t="s">
        <v>151</v>
      </c>
      <c r="K109" s="6" t="s">
        <v>94</v>
      </c>
      <c r="L109" s="5" t="s">
        <v>384</v>
      </c>
    </row>
    <row r="110" spans="1:12" ht="30" customHeight="1" x14ac:dyDescent="0.25">
      <c r="A110" s="6" t="s">
        <v>304</v>
      </c>
      <c r="B110" s="6" t="s">
        <v>677</v>
      </c>
      <c r="C110" s="5"/>
      <c r="D110" s="6"/>
      <c r="E110" s="5">
        <v>107</v>
      </c>
      <c r="F110" s="5"/>
      <c r="G110" s="7">
        <v>31440</v>
      </c>
      <c r="H110" s="5"/>
      <c r="I110" s="6" t="s">
        <v>227</v>
      </c>
      <c r="J110" s="6" t="s">
        <v>149</v>
      </c>
      <c r="K110" s="6" t="s">
        <v>94</v>
      </c>
      <c r="L110" s="5" t="s">
        <v>384</v>
      </c>
    </row>
    <row r="111" spans="1:12" ht="30" customHeight="1" x14ac:dyDescent="0.25">
      <c r="A111" s="6" t="s">
        <v>304</v>
      </c>
      <c r="B111" s="6" t="s">
        <v>677</v>
      </c>
      <c r="C111" s="5"/>
      <c r="D111" s="6"/>
      <c r="E111" s="5">
        <v>108</v>
      </c>
      <c r="F111" s="5"/>
      <c r="G111" s="7">
        <v>120</v>
      </c>
      <c r="H111" s="5"/>
      <c r="I111" s="6" t="s">
        <v>227</v>
      </c>
      <c r="J111" s="6" t="s">
        <v>225</v>
      </c>
      <c r="K111" s="6" t="s">
        <v>94</v>
      </c>
      <c r="L111" s="5" t="s">
        <v>384</v>
      </c>
    </row>
    <row r="112" spans="1:12" ht="30" customHeight="1" x14ac:dyDescent="0.25">
      <c r="A112" s="6" t="s">
        <v>304</v>
      </c>
      <c r="B112" s="6" t="s">
        <v>677</v>
      </c>
      <c r="C112" s="5"/>
      <c r="D112" s="6"/>
      <c r="E112" s="5">
        <v>109</v>
      </c>
      <c r="F112" s="5"/>
      <c r="G112" s="7">
        <v>13035</v>
      </c>
      <c r="H112" s="5"/>
      <c r="I112" s="6" t="s">
        <v>227</v>
      </c>
      <c r="J112" s="6" t="s">
        <v>151</v>
      </c>
      <c r="K112" s="6" t="s">
        <v>94</v>
      </c>
      <c r="L112" s="5" t="s">
        <v>384</v>
      </c>
    </row>
    <row r="113" spans="1:12" ht="30" customHeight="1" x14ac:dyDescent="0.25">
      <c r="A113" s="6" t="s">
        <v>304</v>
      </c>
      <c r="B113" s="6" t="s">
        <v>677</v>
      </c>
      <c r="C113" s="5"/>
      <c r="D113" s="6"/>
      <c r="E113" s="5">
        <v>110</v>
      </c>
      <c r="F113" s="5"/>
      <c r="G113" s="7">
        <v>1210</v>
      </c>
      <c r="H113" s="5"/>
      <c r="I113" s="6" t="s">
        <v>227</v>
      </c>
      <c r="J113" s="6" t="s">
        <v>228</v>
      </c>
      <c r="K113" s="6" t="s">
        <v>94</v>
      </c>
      <c r="L113" s="5" t="s">
        <v>384</v>
      </c>
    </row>
    <row r="114" spans="1:12" ht="30" customHeight="1" x14ac:dyDescent="0.25">
      <c r="A114" s="6" t="s">
        <v>304</v>
      </c>
      <c r="B114" s="6" t="s">
        <v>677</v>
      </c>
      <c r="C114" s="5"/>
      <c r="D114" s="6"/>
      <c r="E114" s="5">
        <v>111</v>
      </c>
      <c r="F114" s="5"/>
      <c r="G114" s="7">
        <v>5</v>
      </c>
      <c r="H114" s="5"/>
      <c r="I114" s="6" t="s">
        <v>209</v>
      </c>
      <c r="J114" s="6" t="s">
        <v>203</v>
      </c>
      <c r="K114" s="6" t="s">
        <v>94</v>
      </c>
      <c r="L114" s="5" t="s">
        <v>384</v>
      </c>
    </row>
    <row r="115" spans="1:12" ht="30" customHeight="1" x14ac:dyDescent="0.25">
      <c r="A115" s="6" t="s">
        <v>304</v>
      </c>
      <c r="B115" s="6" t="s">
        <v>677</v>
      </c>
      <c r="C115" s="5"/>
      <c r="D115" s="6"/>
      <c r="E115" s="5">
        <v>112</v>
      </c>
      <c r="F115" s="5"/>
      <c r="G115" s="7">
        <v>15</v>
      </c>
      <c r="H115" s="5"/>
      <c r="I115" s="6" t="s">
        <v>209</v>
      </c>
      <c r="J115" s="6" t="s">
        <v>204</v>
      </c>
      <c r="K115" s="6" t="s">
        <v>94</v>
      </c>
      <c r="L115" s="5" t="s">
        <v>384</v>
      </c>
    </row>
    <row r="116" spans="1:12" ht="30" customHeight="1" x14ac:dyDescent="0.25">
      <c r="A116" s="6" t="s">
        <v>304</v>
      </c>
      <c r="B116" s="6" t="s">
        <v>677</v>
      </c>
      <c r="C116" s="5"/>
      <c r="D116" s="6"/>
      <c r="E116" s="5">
        <v>113</v>
      </c>
      <c r="F116" s="5"/>
      <c r="G116" s="7">
        <v>5</v>
      </c>
      <c r="H116" s="5"/>
      <c r="I116" s="6" t="s">
        <v>209</v>
      </c>
      <c r="J116" s="6" t="s">
        <v>210</v>
      </c>
      <c r="K116" s="6" t="s">
        <v>94</v>
      </c>
      <c r="L116" s="5" t="s">
        <v>384</v>
      </c>
    </row>
    <row r="117" spans="1:12" ht="30" customHeight="1" x14ac:dyDescent="0.25">
      <c r="A117" s="6" t="s">
        <v>304</v>
      </c>
      <c r="B117" s="6" t="s">
        <v>677</v>
      </c>
      <c r="C117" s="5"/>
      <c r="D117" s="6"/>
      <c r="E117" s="5">
        <v>114</v>
      </c>
      <c r="F117" s="5"/>
      <c r="G117" s="7">
        <v>5</v>
      </c>
      <c r="H117" s="5"/>
      <c r="I117" s="6" t="s">
        <v>220</v>
      </c>
      <c r="J117" s="6" t="s">
        <v>210</v>
      </c>
      <c r="K117" s="6" t="s">
        <v>94</v>
      </c>
      <c r="L117" s="5" t="s">
        <v>384</v>
      </c>
    </row>
    <row r="118" spans="1:12" ht="30" customHeight="1" x14ac:dyDescent="0.25">
      <c r="A118" s="6" t="s">
        <v>304</v>
      </c>
      <c r="B118" s="6" t="s">
        <v>677</v>
      </c>
      <c r="C118" s="5"/>
      <c r="D118" s="6"/>
      <c r="E118" s="5">
        <v>115</v>
      </c>
      <c r="F118" s="5"/>
      <c r="G118" s="7">
        <v>25</v>
      </c>
      <c r="H118" s="5"/>
      <c r="I118" s="6" t="s">
        <v>220</v>
      </c>
      <c r="J118" s="6" t="s">
        <v>207</v>
      </c>
      <c r="K118" s="6" t="s">
        <v>94</v>
      </c>
      <c r="L118" s="5" t="s">
        <v>384</v>
      </c>
    </row>
    <row r="119" spans="1:12" ht="30" customHeight="1" x14ac:dyDescent="0.25">
      <c r="A119" s="6" t="s">
        <v>304</v>
      </c>
      <c r="B119" s="6" t="s">
        <v>677</v>
      </c>
      <c r="C119" s="5"/>
      <c r="D119" s="6"/>
      <c r="E119" s="5">
        <v>116</v>
      </c>
      <c r="F119" s="5"/>
      <c r="G119" s="7">
        <v>625</v>
      </c>
      <c r="H119" s="5"/>
      <c r="I119" s="6" t="s">
        <v>195</v>
      </c>
      <c r="J119" s="6" t="s">
        <v>128</v>
      </c>
      <c r="K119" s="6" t="s">
        <v>94</v>
      </c>
      <c r="L119" s="5" t="s">
        <v>384</v>
      </c>
    </row>
    <row r="120" spans="1:12" ht="30" customHeight="1" x14ac:dyDescent="0.25">
      <c r="A120" s="6" t="s">
        <v>304</v>
      </c>
      <c r="B120" s="6" t="s">
        <v>677</v>
      </c>
      <c r="C120" s="5"/>
      <c r="D120" s="6"/>
      <c r="E120" s="5">
        <v>117</v>
      </c>
      <c r="F120" s="5"/>
      <c r="G120" s="7">
        <v>150</v>
      </c>
      <c r="H120" s="5"/>
      <c r="I120" s="6" t="s">
        <v>214</v>
      </c>
      <c r="J120" s="6" t="s">
        <v>128</v>
      </c>
      <c r="K120" s="6" t="s">
        <v>94</v>
      </c>
      <c r="L120" s="5" t="s">
        <v>384</v>
      </c>
    </row>
    <row r="121" spans="1:12" ht="30" customHeight="1" x14ac:dyDescent="0.25">
      <c r="A121" s="6" t="s">
        <v>304</v>
      </c>
      <c r="B121" s="6" t="s">
        <v>677</v>
      </c>
      <c r="C121" s="5"/>
      <c r="D121" s="6"/>
      <c r="E121" s="5">
        <v>118</v>
      </c>
      <c r="F121" s="5"/>
      <c r="G121" s="7">
        <v>260</v>
      </c>
      <c r="H121" s="5"/>
      <c r="I121" s="6" t="s">
        <v>230</v>
      </c>
      <c r="J121" s="6" t="s">
        <v>231</v>
      </c>
      <c r="K121" s="6" t="s">
        <v>94</v>
      </c>
      <c r="L121" s="5" t="s">
        <v>384</v>
      </c>
    </row>
    <row r="122" spans="1:12" ht="30" customHeight="1" x14ac:dyDescent="0.25">
      <c r="A122" s="6" t="s">
        <v>304</v>
      </c>
      <c r="B122" s="6" t="s">
        <v>677</v>
      </c>
      <c r="C122" s="5"/>
      <c r="D122" s="6"/>
      <c r="E122" s="5">
        <v>119</v>
      </c>
      <c r="F122" s="5"/>
      <c r="G122" s="7">
        <v>1055</v>
      </c>
      <c r="H122" s="5"/>
      <c r="I122" s="6" t="s">
        <v>230</v>
      </c>
      <c r="J122" s="6" t="s">
        <v>232</v>
      </c>
      <c r="K122" s="6" t="s">
        <v>94</v>
      </c>
      <c r="L122" s="5" t="s">
        <v>384</v>
      </c>
    </row>
    <row r="123" spans="1:12" ht="30" customHeight="1" x14ac:dyDescent="0.25">
      <c r="A123" s="6" t="s">
        <v>304</v>
      </c>
      <c r="B123" s="6" t="s">
        <v>677</v>
      </c>
      <c r="C123" s="5"/>
      <c r="D123" s="6"/>
      <c r="E123" s="5">
        <v>120</v>
      </c>
      <c r="F123" s="5"/>
      <c r="G123" s="7">
        <v>130</v>
      </c>
      <c r="H123" s="5"/>
      <c r="I123" s="6" t="s">
        <v>233</v>
      </c>
      <c r="J123" s="6" t="s">
        <v>234</v>
      </c>
      <c r="K123" s="6" t="s">
        <v>94</v>
      </c>
      <c r="L123" s="5" t="s">
        <v>384</v>
      </c>
    </row>
    <row r="124" spans="1:12" ht="30" customHeight="1" x14ac:dyDescent="0.25">
      <c r="A124" s="6" t="s">
        <v>304</v>
      </c>
      <c r="B124" s="6" t="s">
        <v>677</v>
      </c>
      <c r="C124" s="5"/>
      <c r="D124" s="6"/>
      <c r="E124" s="5">
        <v>121</v>
      </c>
      <c r="F124" s="5"/>
      <c r="G124" s="7">
        <v>15</v>
      </c>
      <c r="H124" s="5"/>
      <c r="I124" s="6" t="s">
        <v>148</v>
      </c>
      <c r="J124" s="6" t="s">
        <v>149</v>
      </c>
      <c r="K124" s="6" t="s">
        <v>94</v>
      </c>
      <c r="L124" s="5" t="s">
        <v>384</v>
      </c>
    </row>
    <row r="125" spans="1:12" ht="30" customHeight="1" x14ac:dyDescent="0.25">
      <c r="A125" s="6" t="s">
        <v>304</v>
      </c>
      <c r="B125" s="6" t="s">
        <v>677</v>
      </c>
      <c r="C125" s="5"/>
      <c r="D125" s="6"/>
      <c r="E125" s="5">
        <v>122</v>
      </c>
      <c r="F125" s="5"/>
      <c r="G125" s="7">
        <v>100</v>
      </c>
      <c r="H125" s="5"/>
      <c r="I125" s="6" t="s">
        <v>148</v>
      </c>
      <c r="J125" s="6" t="s">
        <v>151</v>
      </c>
      <c r="K125" s="6" t="s">
        <v>94</v>
      </c>
      <c r="L125" s="5" t="s">
        <v>384</v>
      </c>
    </row>
    <row r="126" spans="1:12" ht="30" customHeight="1" x14ac:dyDescent="0.25">
      <c r="A126" s="6" t="s">
        <v>304</v>
      </c>
      <c r="B126" s="6" t="s">
        <v>677</v>
      </c>
      <c r="C126" s="5"/>
      <c r="D126" s="6"/>
      <c r="E126" s="5">
        <v>123</v>
      </c>
      <c r="F126" s="5"/>
      <c r="G126" s="7">
        <v>2</v>
      </c>
      <c r="H126" s="5"/>
      <c r="I126" s="6" t="s">
        <v>236</v>
      </c>
      <c r="J126" s="6"/>
      <c r="K126" s="6" t="s">
        <v>237</v>
      </c>
      <c r="L126" s="5" t="s">
        <v>384</v>
      </c>
    </row>
    <row r="127" spans="1:12" ht="30" customHeight="1" x14ac:dyDescent="0.25">
      <c r="A127" s="6" t="s">
        <v>304</v>
      </c>
      <c r="B127" s="6" t="s">
        <v>677</v>
      </c>
      <c r="C127" s="5"/>
      <c r="D127" s="6"/>
      <c r="E127" s="5">
        <v>124</v>
      </c>
      <c r="F127" s="5"/>
      <c r="G127" s="7">
        <v>8</v>
      </c>
      <c r="H127" s="5"/>
      <c r="I127" s="6" t="s">
        <v>223</v>
      </c>
      <c r="J127" s="6" t="s">
        <v>149</v>
      </c>
      <c r="K127" s="6" t="s">
        <v>94</v>
      </c>
      <c r="L127" s="5" t="s">
        <v>384</v>
      </c>
    </row>
    <row r="128" spans="1:12" ht="30" customHeight="1" x14ac:dyDescent="0.25">
      <c r="A128" s="6" t="s">
        <v>304</v>
      </c>
      <c r="B128" s="6" t="s">
        <v>677</v>
      </c>
      <c r="C128" s="5"/>
      <c r="D128" s="6"/>
      <c r="E128" s="5">
        <v>125</v>
      </c>
      <c r="F128" s="5"/>
      <c r="G128" s="7">
        <v>8</v>
      </c>
      <c r="H128" s="5"/>
      <c r="I128" s="6" t="s">
        <v>223</v>
      </c>
      <c r="J128" s="6" t="s">
        <v>224</v>
      </c>
      <c r="K128" s="6" t="s">
        <v>94</v>
      </c>
      <c r="L128" s="5" t="s">
        <v>384</v>
      </c>
    </row>
    <row r="129" spans="1:12" ht="30" customHeight="1" x14ac:dyDescent="0.25">
      <c r="A129" s="6" t="s">
        <v>304</v>
      </c>
      <c r="B129" s="6" t="s">
        <v>677</v>
      </c>
      <c r="C129" s="5"/>
      <c r="D129" s="6"/>
      <c r="E129" s="5">
        <v>126</v>
      </c>
      <c r="F129" s="5"/>
      <c r="G129" s="7">
        <v>4</v>
      </c>
      <c r="H129" s="5"/>
      <c r="I129" s="6" t="s">
        <v>223</v>
      </c>
      <c r="J129" s="6" t="s">
        <v>225</v>
      </c>
      <c r="K129" s="6" t="s">
        <v>94</v>
      </c>
      <c r="L129" s="5" t="s">
        <v>384</v>
      </c>
    </row>
    <row r="130" spans="1:12" ht="30" customHeight="1" x14ac:dyDescent="0.25">
      <c r="A130" s="6" t="s">
        <v>304</v>
      </c>
      <c r="B130" s="6" t="s">
        <v>677</v>
      </c>
      <c r="C130" s="5"/>
      <c r="D130" s="6"/>
      <c r="E130" s="5">
        <v>127</v>
      </c>
      <c r="F130" s="5"/>
      <c r="G130" s="7">
        <v>4</v>
      </c>
      <c r="H130" s="5"/>
      <c r="I130" s="6" t="s">
        <v>223</v>
      </c>
      <c r="J130" s="6" t="s">
        <v>226</v>
      </c>
      <c r="K130" s="6" t="s">
        <v>94</v>
      </c>
      <c r="L130" s="5" t="s">
        <v>384</v>
      </c>
    </row>
    <row r="131" spans="1:12" ht="30" customHeight="1" x14ac:dyDescent="0.25">
      <c r="A131" s="6" t="s">
        <v>304</v>
      </c>
      <c r="B131" s="6" t="s">
        <v>677</v>
      </c>
      <c r="C131" s="5"/>
      <c r="D131" s="6"/>
      <c r="E131" s="5">
        <v>128</v>
      </c>
      <c r="F131" s="5"/>
      <c r="G131" s="7">
        <v>60</v>
      </c>
      <c r="H131" s="5"/>
      <c r="I131" s="6" t="s">
        <v>191</v>
      </c>
      <c r="J131" s="6" t="s">
        <v>190</v>
      </c>
      <c r="K131" s="6" t="s">
        <v>94</v>
      </c>
      <c r="L131" s="5" t="s">
        <v>384</v>
      </c>
    </row>
    <row r="132" spans="1:12" ht="30" customHeight="1" x14ac:dyDescent="0.25">
      <c r="A132" s="6" t="s">
        <v>304</v>
      </c>
      <c r="B132" s="6" t="s">
        <v>677</v>
      </c>
      <c r="C132" s="5"/>
      <c r="D132" s="6"/>
      <c r="E132" s="5">
        <v>129</v>
      </c>
      <c r="F132" s="5"/>
      <c r="G132" s="7">
        <v>35</v>
      </c>
      <c r="H132" s="5"/>
      <c r="I132" s="6" t="s">
        <v>189</v>
      </c>
      <c r="J132" s="6" t="s">
        <v>190</v>
      </c>
      <c r="K132" s="6" t="s">
        <v>94</v>
      </c>
      <c r="L132" s="5" t="s">
        <v>384</v>
      </c>
    </row>
    <row r="133" spans="1:12" ht="30" customHeight="1" x14ac:dyDescent="0.25">
      <c r="A133" s="6" t="s">
        <v>304</v>
      </c>
      <c r="B133" s="6" t="s">
        <v>677</v>
      </c>
      <c r="C133" s="5"/>
      <c r="D133" s="6"/>
      <c r="E133" s="5">
        <v>130</v>
      </c>
      <c r="F133" s="5"/>
      <c r="G133" s="7">
        <v>15</v>
      </c>
      <c r="H133" s="5"/>
      <c r="I133" s="6" t="s">
        <v>192</v>
      </c>
      <c r="J133" s="6" t="s">
        <v>190</v>
      </c>
      <c r="K133" s="6" t="s">
        <v>94</v>
      </c>
      <c r="L133" s="5" t="s">
        <v>384</v>
      </c>
    </row>
    <row r="134" spans="1:12" ht="30" customHeight="1" x14ac:dyDescent="0.25">
      <c r="A134" s="6" t="s">
        <v>304</v>
      </c>
      <c r="B134" s="6" t="s">
        <v>677</v>
      </c>
      <c r="C134" s="5"/>
      <c r="D134" s="6"/>
      <c r="E134" s="5">
        <v>131</v>
      </c>
      <c r="F134" s="5"/>
      <c r="G134" s="7">
        <v>60</v>
      </c>
      <c r="H134" s="5"/>
      <c r="I134" s="6" t="s">
        <v>188</v>
      </c>
      <c r="J134" s="6" t="s">
        <v>187</v>
      </c>
      <c r="K134" s="6" t="s">
        <v>94</v>
      </c>
      <c r="L134" s="5" t="s">
        <v>384</v>
      </c>
    </row>
    <row r="135" spans="1:12" ht="30" customHeight="1" x14ac:dyDescent="0.25">
      <c r="A135" s="6" t="s">
        <v>304</v>
      </c>
      <c r="B135" s="6" t="s">
        <v>677</v>
      </c>
      <c r="C135" s="5"/>
      <c r="D135" s="6"/>
      <c r="E135" s="5">
        <v>132</v>
      </c>
      <c r="F135" s="5"/>
      <c r="G135" s="7">
        <v>5</v>
      </c>
      <c r="H135" s="5"/>
      <c r="I135" s="6" t="s">
        <v>186</v>
      </c>
      <c r="J135" s="6" t="s">
        <v>187</v>
      </c>
      <c r="K135" s="6" t="s">
        <v>94</v>
      </c>
      <c r="L135" s="5" t="s">
        <v>384</v>
      </c>
    </row>
    <row r="136" spans="1:12" ht="30" customHeight="1" x14ac:dyDescent="0.25">
      <c r="A136" s="6" t="s">
        <v>348</v>
      </c>
      <c r="B136" s="6" t="s">
        <v>678</v>
      </c>
      <c r="C136" s="5"/>
      <c r="D136" s="6"/>
      <c r="E136" s="5">
        <v>1</v>
      </c>
      <c r="F136" s="5"/>
      <c r="G136" s="7">
        <v>2</v>
      </c>
      <c r="H136" s="5"/>
      <c r="I136" s="6" t="s">
        <v>267</v>
      </c>
      <c r="J136" s="6"/>
      <c r="K136" s="6"/>
      <c r="L136" s="5" t="s">
        <v>384</v>
      </c>
    </row>
    <row r="137" spans="1:12" ht="30" customHeight="1" x14ac:dyDescent="0.25">
      <c r="A137" s="6" t="s">
        <v>348</v>
      </c>
      <c r="B137" s="6" t="s">
        <v>678</v>
      </c>
      <c r="C137" s="5"/>
      <c r="D137" s="6"/>
      <c r="E137" s="5">
        <v>2</v>
      </c>
      <c r="F137" s="5"/>
      <c r="G137" s="7">
        <v>1</v>
      </c>
      <c r="H137" s="5"/>
      <c r="I137" s="6" t="s">
        <v>266</v>
      </c>
      <c r="J137" s="6"/>
      <c r="K137" s="6"/>
      <c r="L137" s="5" t="s">
        <v>384</v>
      </c>
    </row>
    <row r="138" spans="1:12" ht="30" customHeight="1" x14ac:dyDescent="0.25">
      <c r="A138" s="6" t="s">
        <v>348</v>
      </c>
      <c r="B138" s="6" t="s">
        <v>678</v>
      </c>
      <c r="C138" s="5"/>
      <c r="D138" s="6"/>
      <c r="E138" s="5">
        <v>3</v>
      </c>
      <c r="F138" s="5"/>
      <c r="G138" s="7">
        <v>2</v>
      </c>
      <c r="H138" s="5"/>
      <c r="I138" s="6" t="s">
        <v>265</v>
      </c>
      <c r="J138" s="6"/>
      <c r="K138" s="6"/>
      <c r="L138" s="5" t="s">
        <v>384</v>
      </c>
    </row>
    <row r="139" spans="1:12" ht="30" customHeight="1" x14ac:dyDescent="0.25">
      <c r="A139" s="6" t="s">
        <v>348</v>
      </c>
      <c r="B139" s="6" t="s">
        <v>678</v>
      </c>
      <c r="C139" s="5"/>
      <c r="D139" s="6"/>
      <c r="E139" s="5">
        <v>4</v>
      </c>
      <c r="F139" s="5"/>
      <c r="G139" s="7">
        <v>1</v>
      </c>
      <c r="H139" s="5"/>
      <c r="I139" s="6" t="s">
        <v>274</v>
      </c>
      <c r="J139" s="6"/>
      <c r="K139" s="6"/>
      <c r="L139" s="5" t="s">
        <v>384</v>
      </c>
    </row>
    <row r="140" spans="1:12" ht="30" customHeight="1" x14ac:dyDescent="0.25">
      <c r="A140" s="6" t="s">
        <v>348</v>
      </c>
      <c r="B140" s="6" t="s">
        <v>678</v>
      </c>
      <c r="C140" s="5"/>
      <c r="D140" s="6"/>
      <c r="E140" s="5">
        <v>5</v>
      </c>
      <c r="F140" s="5"/>
      <c r="G140" s="7">
        <v>4</v>
      </c>
      <c r="H140" s="5"/>
      <c r="I140" s="6" t="s">
        <v>275</v>
      </c>
      <c r="J140" s="6"/>
      <c r="K140" s="6"/>
      <c r="L140" s="5" t="s">
        <v>384</v>
      </c>
    </row>
    <row r="141" spans="1:12" ht="30" customHeight="1" x14ac:dyDescent="0.25">
      <c r="A141" s="6" t="s">
        <v>348</v>
      </c>
      <c r="B141" s="6" t="s">
        <v>678</v>
      </c>
      <c r="C141" s="5"/>
      <c r="D141" s="6"/>
      <c r="E141" s="5">
        <v>6</v>
      </c>
      <c r="F141" s="5"/>
      <c r="G141" s="7">
        <v>2</v>
      </c>
      <c r="H141" s="5"/>
      <c r="I141" s="6" t="s">
        <v>273</v>
      </c>
      <c r="J141" s="6"/>
      <c r="K141" s="6"/>
      <c r="L141" s="5" t="s">
        <v>384</v>
      </c>
    </row>
    <row r="142" spans="1:12" ht="30" customHeight="1" x14ac:dyDescent="0.25">
      <c r="A142" s="6" t="s">
        <v>348</v>
      </c>
      <c r="B142" s="6" t="s">
        <v>678</v>
      </c>
      <c r="C142" s="5"/>
      <c r="D142" s="6"/>
      <c r="E142" s="5">
        <v>7</v>
      </c>
      <c r="F142" s="5"/>
      <c r="G142" s="7">
        <v>9</v>
      </c>
      <c r="H142" s="5"/>
      <c r="I142" s="6" t="s">
        <v>276</v>
      </c>
      <c r="J142" s="6"/>
      <c r="K142" s="6"/>
      <c r="L142" s="5" t="s">
        <v>384</v>
      </c>
    </row>
    <row r="143" spans="1:12" ht="30" customHeight="1" x14ac:dyDescent="0.25">
      <c r="A143" s="6" t="s">
        <v>348</v>
      </c>
      <c r="B143" s="6" t="s">
        <v>678</v>
      </c>
      <c r="C143" s="5"/>
      <c r="D143" s="6"/>
      <c r="E143" s="5">
        <v>8</v>
      </c>
      <c r="F143" s="5"/>
      <c r="G143" s="7">
        <v>1</v>
      </c>
      <c r="H143" s="5"/>
      <c r="I143" s="6" t="s">
        <v>278</v>
      </c>
      <c r="J143" s="6"/>
      <c r="K143" s="6"/>
      <c r="L143" s="5" t="s">
        <v>384</v>
      </c>
    </row>
    <row r="144" spans="1:12" ht="30" customHeight="1" x14ac:dyDescent="0.25">
      <c r="A144" s="6" t="s">
        <v>348</v>
      </c>
      <c r="B144" s="6" t="s">
        <v>678</v>
      </c>
      <c r="C144" s="5"/>
      <c r="D144" s="6"/>
      <c r="E144" s="5">
        <v>9</v>
      </c>
      <c r="F144" s="5"/>
      <c r="G144" s="7">
        <v>1</v>
      </c>
      <c r="H144" s="5"/>
      <c r="I144" s="6" t="s">
        <v>279</v>
      </c>
      <c r="J144" s="6"/>
      <c r="K144" s="6"/>
      <c r="L144" s="5" t="s">
        <v>384</v>
      </c>
    </row>
    <row r="145" spans="1:12" ht="30" customHeight="1" x14ac:dyDescent="0.25">
      <c r="A145" s="6" t="s">
        <v>348</v>
      </c>
      <c r="B145" s="6" t="s">
        <v>678</v>
      </c>
      <c r="C145" s="5"/>
      <c r="D145" s="6"/>
      <c r="E145" s="5">
        <v>10</v>
      </c>
      <c r="F145" s="5"/>
      <c r="G145" s="7">
        <v>3</v>
      </c>
      <c r="H145" s="5"/>
      <c r="I145" s="6" t="s">
        <v>277</v>
      </c>
      <c r="J145" s="6"/>
      <c r="K145" s="6"/>
      <c r="L145" s="5" t="s">
        <v>384</v>
      </c>
    </row>
    <row r="146" spans="1:12" ht="30" customHeight="1" x14ac:dyDescent="0.25">
      <c r="A146" s="6" t="s">
        <v>348</v>
      </c>
      <c r="B146" s="6" t="s">
        <v>678</v>
      </c>
      <c r="C146" s="5"/>
      <c r="D146" s="6"/>
      <c r="E146" s="5">
        <v>11</v>
      </c>
      <c r="F146" s="5"/>
      <c r="G146" s="7">
        <v>2</v>
      </c>
      <c r="H146" s="5"/>
      <c r="I146" s="6" t="s">
        <v>280</v>
      </c>
      <c r="J146" s="6"/>
      <c r="K146" s="6"/>
      <c r="L146" s="5" t="s">
        <v>384</v>
      </c>
    </row>
    <row r="147" spans="1:12" ht="30" customHeight="1" x14ac:dyDescent="0.25">
      <c r="A147" s="6" t="s">
        <v>348</v>
      </c>
      <c r="B147" s="6" t="s">
        <v>678</v>
      </c>
      <c r="C147" s="5"/>
      <c r="D147" s="6"/>
      <c r="E147" s="5">
        <v>12</v>
      </c>
      <c r="F147" s="5"/>
      <c r="G147" s="7">
        <v>1</v>
      </c>
      <c r="H147" s="5"/>
      <c r="I147" s="6" t="s">
        <v>282</v>
      </c>
      <c r="J147" s="6"/>
      <c r="K147" s="6"/>
      <c r="L147" s="5" t="s">
        <v>384</v>
      </c>
    </row>
    <row r="148" spans="1:12" ht="30" customHeight="1" x14ac:dyDescent="0.25">
      <c r="A148" s="6" t="s">
        <v>348</v>
      </c>
      <c r="B148" s="6" t="s">
        <v>678</v>
      </c>
      <c r="C148" s="5"/>
      <c r="D148" s="6"/>
      <c r="E148" s="5">
        <v>13</v>
      </c>
      <c r="F148" s="5"/>
      <c r="G148" s="7">
        <v>1</v>
      </c>
      <c r="H148" s="5"/>
      <c r="I148" s="6" t="s">
        <v>281</v>
      </c>
      <c r="J148" s="6"/>
      <c r="K148" s="6"/>
      <c r="L148" s="5" t="s">
        <v>384</v>
      </c>
    </row>
    <row r="149" spans="1:12" ht="30" customHeight="1" x14ac:dyDescent="0.25">
      <c r="A149" s="6" t="s">
        <v>348</v>
      </c>
      <c r="B149" s="6" t="s">
        <v>678</v>
      </c>
      <c r="C149" s="5"/>
      <c r="D149" s="6"/>
      <c r="E149" s="5">
        <v>14</v>
      </c>
      <c r="F149" s="5"/>
      <c r="G149" s="7">
        <v>9</v>
      </c>
      <c r="H149" s="5"/>
      <c r="I149" s="6" t="s">
        <v>270</v>
      </c>
      <c r="J149" s="6"/>
      <c r="K149" s="6"/>
      <c r="L149" s="5" t="s">
        <v>384</v>
      </c>
    </row>
    <row r="150" spans="1:12" ht="30" customHeight="1" x14ac:dyDescent="0.25">
      <c r="A150" s="6" t="s">
        <v>348</v>
      </c>
      <c r="B150" s="6" t="s">
        <v>678</v>
      </c>
      <c r="C150" s="5"/>
      <c r="D150" s="6"/>
      <c r="E150" s="5">
        <v>15</v>
      </c>
      <c r="F150" s="5"/>
      <c r="G150" s="7">
        <v>1</v>
      </c>
      <c r="H150" s="5"/>
      <c r="I150" s="6" t="s">
        <v>268</v>
      </c>
      <c r="J150" s="6"/>
      <c r="K150" s="6"/>
      <c r="L150" s="5" t="s">
        <v>384</v>
      </c>
    </row>
    <row r="151" spans="1:12" ht="30" customHeight="1" x14ac:dyDescent="0.25">
      <c r="A151" s="6" t="s">
        <v>348</v>
      </c>
      <c r="B151" s="6" t="s">
        <v>678</v>
      </c>
      <c r="C151" s="5"/>
      <c r="D151" s="6"/>
      <c r="E151" s="5">
        <v>16</v>
      </c>
      <c r="F151" s="5"/>
      <c r="G151" s="7">
        <v>2</v>
      </c>
      <c r="H151" s="5"/>
      <c r="I151" s="6" t="s">
        <v>271</v>
      </c>
      <c r="J151" s="6"/>
      <c r="K151" s="6"/>
      <c r="L151" s="5" t="s">
        <v>384</v>
      </c>
    </row>
    <row r="152" spans="1:12" ht="30" customHeight="1" x14ac:dyDescent="0.25">
      <c r="A152" s="6" t="s">
        <v>348</v>
      </c>
      <c r="B152" s="6" t="s">
        <v>678</v>
      </c>
      <c r="C152" s="5"/>
      <c r="D152" s="6"/>
      <c r="E152" s="5">
        <v>17</v>
      </c>
      <c r="F152" s="5"/>
      <c r="G152" s="7">
        <v>1</v>
      </c>
      <c r="H152" s="5"/>
      <c r="I152" s="6" t="s">
        <v>272</v>
      </c>
      <c r="J152" s="6"/>
      <c r="K152" s="6"/>
      <c r="L152" s="5" t="s">
        <v>384</v>
      </c>
    </row>
    <row r="153" spans="1:12" ht="30" customHeight="1" x14ac:dyDescent="0.25">
      <c r="A153" s="6" t="s">
        <v>348</v>
      </c>
      <c r="B153" s="6" t="s">
        <v>678</v>
      </c>
      <c r="C153" s="5"/>
      <c r="D153" s="6"/>
      <c r="E153" s="5">
        <v>18</v>
      </c>
      <c r="F153" s="5"/>
      <c r="G153" s="7">
        <v>1</v>
      </c>
      <c r="H153" s="5"/>
      <c r="I153" s="6" t="s">
        <v>269</v>
      </c>
      <c r="J153" s="6"/>
      <c r="K153" s="6"/>
      <c r="L153" s="5" t="s">
        <v>384</v>
      </c>
    </row>
    <row r="154" spans="1:12" ht="30" customHeight="1" x14ac:dyDescent="0.25">
      <c r="A154" s="6" t="s">
        <v>348</v>
      </c>
      <c r="B154" s="6" t="s">
        <v>678</v>
      </c>
      <c r="C154" s="5"/>
      <c r="D154" s="6"/>
      <c r="E154" s="5">
        <v>19</v>
      </c>
      <c r="F154" s="5"/>
      <c r="G154" s="7">
        <v>1</v>
      </c>
      <c r="H154" s="5"/>
      <c r="I154" s="6" t="s">
        <v>283</v>
      </c>
      <c r="J154" s="6"/>
      <c r="K154" s="6"/>
      <c r="L154" s="5" t="s">
        <v>384</v>
      </c>
    </row>
    <row r="155" spans="1:12" ht="30" customHeight="1" x14ac:dyDescent="0.25">
      <c r="A155" s="6" t="s">
        <v>348</v>
      </c>
      <c r="B155" s="6" t="s">
        <v>678</v>
      </c>
      <c r="C155" s="5"/>
      <c r="D155" s="6"/>
      <c r="E155" s="5">
        <v>20</v>
      </c>
      <c r="F155" s="5"/>
      <c r="G155" s="7">
        <v>3</v>
      </c>
      <c r="H155" s="5"/>
      <c r="I155" s="6" t="s">
        <v>264</v>
      </c>
      <c r="J155" s="6"/>
      <c r="K155" s="6"/>
      <c r="L155" s="5" t="s">
        <v>384</v>
      </c>
    </row>
    <row r="156" spans="1:12" ht="30" customHeight="1" x14ac:dyDescent="0.25">
      <c r="A156" s="6" t="s">
        <v>368</v>
      </c>
      <c r="B156" s="6" t="s">
        <v>679</v>
      </c>
      <c r="C156" s="5"/>
      <c r="D156" s="6"/>
      <c r="E156" s="5">
        <v>1</v>
      </c>
      <c r="F156" s="5"/>
      <c r="G156" s="7">
        <v>535</v>
      </c>
      <c r="H156" s="5"/>
      <c r="I156" s="6" t="s">
        <v>111</v>
      </c>
      <c r="J156" s="6" t="s">
        <v>97</v>
      </c>
      <c r="K156" s="6" t="s">
        <v>94</v>
      </c>
      <c r="L156" s="5" t="s">
        <v>384</v>
      </c>
    </row>
    <row r="157" spans="1:12" ht="30" customHeight="1" x14ac:dyDescent="0.25">
      <c r="A157" s="6" t="s">
        <v>368</v>
      </c>
      <c r="B157" s="6" t="s">
        <v>679</v>
      </c>
      <c r="C157" s="5"/>
      <c r="D157" s="6"/>
      <c r="E157" s="5">
        <v>2</v>
      </c>
      <c r="F157" s="5"/>
      <c r="G157" s="7">
        <v>995</v>
      </c>
      <c r="H157" s="5"/>
      <c r="I157" s="6" t="s">
        <v>111</v>
      </c>
      <c r="J157" s="6" t="s">
        <v>98</v>
      </c>
      <c r="K157" s="6" t="s">
        <v>94</v>
      </c>
      <c r="L157" s="5" t="s">
        <v>384</v>
      </c>
    </row>
    <row r="158" spans="1:12" ht="30" customHeight="1" x14ac:dyDescent="0.25">
      <c r="A158" s="6" t="s">
        <v>368</v>
      </c>
      <c r="B158" s="6" t="s">
        <v>679</v>
      </c>
      <c r="C158" s="5"/>
      <c r="D158" s="6"/>
      <c r="E158" s="5">
        <v>3</v>
      </c>
      <c r="F158" s="5"/>
      <c r="G158" s="7">
        <v>10</v>
      </c>
      <c r="H158" s="5"/>
      <c r="I158" s="6" t="s">
        <v>111</v>
      </c>
      <c r="J158" s="6" t="s">
        <v>100</v>
      </c>
      <c r="K158" s="6" t="s">
        <v>94</v>
      </c>
      <c r="L158" s="5" t="s">
        <v>384</v>
      </c>
    </row>
    <row r="159" spans="1:12" ht="30" customHeight="1" x14ac:dyDescent="0.25">
      <c r="A159" s="6" t="s">
        <v>368</v>
      </c>
      <c r="B159" s="6" t="s">
        <v>679</v>
      </c>
      <c r="C159" s="5"/>
      <c r="D159" s="6"/>
      <c r="E159" s="5">
        <v>4</v>
      </c>
      <c r="F159" s="5"/>
      <c r="G159" s="7">
        <v>465</v>
      </c>
      <c r="H159" s="5"/>
      <c r="I159" s="6" t="s">
        <v>111</v>
      </c>
      <c r="J159" s="6" t="s">
        <v>113</v>
      </c>
      <c r="K159" s="6" t="s">
        <v>94</v>
      </c>
      <c r="L159" s="5" t="s">
        <v>384</v>
      </c>
    </row>
    <row r="160" spans="1:12" ht="30" customHeight="1" x14ac:dyDescent="0.25">
      <c r="A160" s="6" t="s">
        <v>368</v>
      </c>
      <c r="B160" s="6" t="s">
        <v>679</v>
      </c>
      <c r="C160" s="5"/>
      <c r="D160" s="6"/>
      <c r="E160" s="5">
        <v>5</v>
      </c>
      <c r="F160" s="5"/>
      <c r="G160" s="7">
        <v>250</v>
      </c>
      <c r="H160" s="5"/>
      <c r="I160" s="6" t="s">
        <v>116</v>
      </c>
      <c r="J160" s="6" t="s">
        <v>98</v>
      </c>
      <c r="K160" s="6" t="s">
        <v>94</v>
      </c>
      <c r="L160" s="5" t="s">
        <v>384</v>
      </c>
    </row>
    <row r="161" spans="1:12" ht="30" customHeight="1" x14ac:dyDescent="0.25">
      <c r="A161" s="6" t="s">
        <v>368</v>
      </c>
      <c r="B161" s="6" t="s">
        <v>679</v>
      </c>
      <c r="C161" s="5"/>
      <c r="D161" s="6"/>
      <c r="E161" s="5">
        <v>6</v>
      </c>
      <c r="F161" s="5"/>
      <c r="G161" s="7">
        <v>35</v>
      </c>
      <c r="H161" s="5"/>
      <c r="I161" s="6" t="s">
        <v>116</v>
      </c>
      <c r="J161" s="6" t="s">
        <v>100</v>
      </c>
      <c r="K161" s="6" t="s">
        <v>94</v>
      </c>
      <c r="L161" s="5" t="s">
        <v>384</v>
      </c>
    </row>
    <row r="162" spans="1:12" ht="30" customHeight="1" x14ac:dyDescent="0.25">
      <c r="A162" s="6" t="s">
        <v>368</v>
      </c>
      <c r="B162" s="6" t="s">
        <v>679</v>
      </c>
      <c r="C162" s="5"/>
      <c r="D162" s="6"/>
      <c r="E162" s="5">
        <v>7</v>
      </c>
      <c r="F162" s="5"/>
      <c r="G162" s="7">
        <v>1280</v>
      </c>
      <c r="H162" s="5"/>
      <c r="I162" s="6" t="s">
        <v>116</v>
      </c>
      <c r="J162" s="6" t="s">
        <v>113</v>
      </c>
      <c r="K162" s="6" t="s">
        <v>94</v>
      </c>
      <c r="L162" s="5" t="s">
        <v>384</v>
      </c>
    </row>
    <row r="163" spans="1:12" ht="30" customHeight="1" x14ac:dyDescent="0.25">
      <c r="A163" s="6" t="s">
        <v>368</v>
      </c>
      <c r="B163" s="6" t="s">
        <v>679</v>
      </c>
      <c r="C163" s="5"/>
      <c r="D163" s="6"/>
      <c r="E163" s="5">
        <v>8</v>
      </c>
      <c r="F163" s="5"/>
      <c r="G163" s="7">
        <v>335</v>
      </c>
      <c r="H163" s="5"/>
      <c r="I163" s="6" t="s">
        <v>116</v>
      </c>
      <c r="J163" s="6" t="s">
        <v>117</v>
      </c>
      <c r="K163" s="6" t="s">
        <v>94</v>
      </c>
      <c r="L163" s="5" t="s">
        <v>384</v>
      </c>
    </row>
    <row r="164" spans="1:12" ht="30" customHeight="1" x14ac:dyDescent="0.25">
      <c r="A164" s="6" t="s">
        <v>368</v>
      </c>
      <c r="B164" s="6" t="s">
        <v>679</v>
      </c>
      <c r="C164" s="5"/>
      <c r="D164" s="6"/>
      <c r="E164" s="5">
        <v>9</v>
      </c>
      <c r="F164" s="5"/>
      <c r="G164" s="7">
        <v>3085</v>
      </c>
      <c r="H164" s="5"/>
      <c r="I164" s="6" t="s">
        <v>92</v>
      </c>
      <c r="J164" s="6" t="s">
        <v>93</v>
      </c>
      <c r="K164" s="6" t="s">
        <v>94</v>
      </c>
      <c r="L164" s="5" t="s">
        <v>384</v>
      </c>
    </row>
    <row r="165" spans="1:12" ht="30" customHeight="1" x14ac:dyDescent="0.25">
      <c r="A165" s="6" t="s">
        <v>368</v>
      </c>
      <c r="B165" s="6" t="s">
        <v>679</v>
      </c>
      <c r="C165" s="5"/>
      <c r="D165" s="6"/>
      <c r="E165" s="5">
        <v>10</v>
      </c>
      <c r="F165" s="5"/>
      <c r="G165" s="7">
        <v>1060</v>
      </c>
      <c r="H165" s="5"/>
      <c r="I165" s="6" t="s">
        <v>92</v>
      </c>
      <c r="J165" s="6" t="s">
        <v>96</v>
      </c>
      <c r="K165" s="6" t="s">
        <v>94</v>
      </c>
      <c r="L165" s="5" t="s">
        <v>384</v>
      </c>
    </row>
    <row r="166" spans="1:12" ht="30" customHeight="1" x14ac:dyDescent="0.25">
      <c r="A166" s="6" t="s">
        <v>368</v>
      </c>
      <c r="B166" s="6" t="s">
        <v>679</v>
      </c>
      <c r="C166" s="5"/>
      <c r="D166" s="6"/>
      <c r="E166" s="5">
        <v>11</v>
      </c>
      <c r="F166" s="5"/>
      <c r="G166" s="7">
        <v>40</v>
      </c>
      <c r="H166" s="5"/>
      <c r="I166" s="6" t="s">
        <v>92</v>
      </c>
      <c r="J166" s="6" t="s">
        <v>97</v>
      </c>
      <c r="K166" s="6" t="s">
        <v>94</v>
      </c>
      <c r="L166" s="5" t="s">
        <v>384</v>
      </c>
    </row>
    <row r="167" spans="1:12" ht="30" customHeight="1" x14ac:dyDescent="0.25">
      <c r="A167" s="6" t="s">
        <v>368</v>
      </c>
      <c r="B167" s="6" t="s">
        <v>679</v>
      </c>
      <c r="C167" s="5"/>
      <c r="D167" s="6"/>
      <c r="E167" s="5">
        <v>12</v>
      </c>
      <c r="F167" s="5"/>
      <c r="G167" s="7">
        <v>65</v>
      </c>
      <c r="H167" s="5"/>
      <c r="I167" s="6" t="s">
        <v>92</v>
      </c>
      <c r="J167" s="6" t="s">
        <v>98</v>
      </c>
      <c r="K167" s="6" t="s">
        <v>94</v>
      </c>
      <c r="L167" s="5" t="s">
        <v>384</v>
      </c>
    </row>
    <row r="168" spans="1:12" ht="30" customHeight="1" x14ac:dyDescent="0.25">
      <c r="A168" s="6" t="s">
        <v>368</v>
      </c>
      <c r="B168" s="6" t="s">
        <v>679</v>
      </c>
      <c r="C168" s="5"/>
      <c r="D168" s="6"/>
      <c r="E168" s="5">
        <v>13</v>
      </c>
      <c r="F168" s="5"/>
      <c r="G168" s="7">
        <v>10</v>
      </c>
      <c r="H168" s="5"/>
      <c r="I168" s="6" t="s">
        <v>92</v>
      </c>
      <c r="J168" s="6" t="s">
        <v>99</v>
      </c>
      <c r="K168" s="6" t="s">
        <v>94</v>
      </c>
      <c r="L168" s="5" t="s">
        <v>384</v>
      </c>
    </row>
    <row r="169" spans="1:12" ht="30" customHeight="1" x14ac:dyDescent="0.25">
      <c r="A169" s="6" t="s">
        <v>368</v>
      </c>
      <c r="B169" s="6" t="s">
        <v>679</v>
      </c>
      <c r="C169" s="5"/>
      <c r="D169" s="6"/>
      <c r="E169" s="5">
        <v>14</v>
      </c>
      <c r="F169" s="5"/>
      <c r="G169" s="7">
        <v>10</v>
      </c>
      <c r="H169" s="5"/>
      <c r="I169" s="6" t="s">
        <v>92</v>
      </c>
      <c r="J169" s="6" t="s">
        <v>100</v>
      </c>
      <c r="K169" s="6" t="s">
        <v>94</v>
      </c>
      <c r="L169" s="5" t="s">
        <v>384</v>
      </c>
    </row>
    <row r="170" spans="1:12" ht="30" customHeight="1" x14ac:dyDescent="0.25">
      <c r="A170" s="6" t="s">
        <v>368</v>
      </c>
      <c r="B170" s="6" t="s">
        <v>679</v>
      </c>
      <c r="C170" s="5"/>
      <c r="D170" s="6"/>
      <c r="E170" s="5">
        <v>15</v>
      </c>
      <c r="F170" s="5"/>
      <c r="G170" s="7">
        <v>205</v>
      </c>
      <c r="H170" s="5"/>
      <c r="I170" s="6" t="s">
        <v>103</v>
      </c>
      <c r="J170" s="6" t="s">
        <v>104</v>
      </c>
      <c r="K170" s="6" t="s">
        <v>94</v>
      </c>
      <c r="L170" s="5" t="s">
        <v>384</v>
      </c>
    </row>
    <row r="171" spans="1:12" ht="30" customHeight="1" x14ac:dyDescent="0.25">
      <c r="A171" s="6" t="s">
        <v>368</v>
      </c>
      <c r="B171" s="6" t="s">
        <v>679</v>
      </c>
      <c r="C171" s="5"/>
      <c r="D171" s="6"/>
      <c r="E171" s="5">
        <v>16</v>
      </c>
      <c r="F171" s="5"/>
      <c r="G171" s="7">
        <v>2555</v>
      </c>
      <c r="H171" s="5"/>
      <c r="I171" s="6" t="s">
        <v>103</v>
      </c>
      <c r="J171" s="6" t="s">
        <v>105</v>
      </c>
      <c r="K171" s="6" t="s">
        <v>94</v>
      </c>
      <c r="L171" s="5" t="s">
        <v>384</v>
      </c>
    </row>
    <row r="172" spans="1:12" ht="30" customHeight="1" x14ac:dyDescent="0.25">
      <c r="A172" s="6" t="s">
        <v>368</v>
      </c>
      <c r="B172" s="6" t="s">
        <v>679</v>
      </c>
      <c r="C172" s="5"/>
      <c r="D172" s="6"/>
      <c r="E172" s="5">
        <v>17</v>
      </c>
      <c r="F172" s="5"/>
      <c r="G172" s="7">
        <v>1120</v>
      </c>
      <c r="H172" s="5"/>
      <c r="I172" s="6" t="s">
        <v>103</v>
      </c>
      <c r="J172" s="6" t="s">
        <v>106</v>
      </c>
      <c r="K172" s="6" t="s">
        <v>94</v>
      </c>
      <c r="L172" s="5" t="s">
        <v>384</v>
      </c>
    </row>
    <row r="173" spans="1:12" ht="30" customHeight="1" x14ac:dyDescent="0.25">
      <c r="A173" s="6" t="s">
        <v>368</v>
      </c>
      <c r="B173" s="6" t="s">
        <v>679</v>
      </c>
      <c r="C173" s="5"/>
      <c r="D173" s="6"/>
      <c r="E173" s="5">
        <v>18</v>
      </c>
      <c r="F173" s="5"/>
      <c r="G173" s="7">
        <v>130</v>
      </c>
      <c r="H173" s="5"/>
      <c r="I173" s="6" t="s">
        <v>107</v>
      </c>
      <c r="J173" s="6" t="s">
        <v>108</v>
      </c>
      <c r="K173" s="6" t="s">
        <v>94</v>
      </c>
      <c r="L173" s="5" t="s">
        <v>384</v>
      </c>
    </row>
    <row r="174" spans="1:12" ht="30" customHeight="1" x14ac:dyDescent="0.25">
      <c r="A174" s="6" t="s">
        <v>374</v>
      </c>
      <c r="B174" s="6" t="s">
        <v>680</v>
      </c>
      <c r="C174" s="5"/>
      <c r="D174" s="6"/>
      <c r="E174" s="5">
        <v>1</v>
      </c>
      <c r="F174" s="5"/>
      <c r="G174" s="7">
        <v>144</v>
      </c>
      <c r="H174" s="5"/>
      <c r="I174" s="6" t="s">
        <v>246</v>
      </c>
      <c r="J174" s="6" t="s">
        <v>245</v>
      </c>
      <c r="K174" s="6"/>
      <c r="L174" s="5" t="s">
        <v>384</v>
      </c>
    </row>
    <row r="175" spans="1:12" ht="30" customHeight="1" x14ac:dyDescent="0.25">
      <c r="A175" s="6" t="s">
        <v>374</v>
      </c>
      <c r="B175" s="6" t="s">
        <v>680</v>
      </c>
      <c r="C175" s="5"/>
      <c r="D175" s="6"/>
      <c r="E175" s="5">
        <v>2</v>
      </c>
      <c r="F175" s="5"/>
      <c r="G175" s="7">
        <v>48</v>
      </c>
      <c r="H175" s="5"/>
      <c r="I175" s="6" t="s">
        <v>244</v>
      </c>
      <c r="J175" s="6" t="s">
        <v>245</v>
      </c>
      <c r="K175" s="6"/>
      <c r="L175" s="5" t="s">
        <v>384</v>
      </c>
    </row>
    <row r="176" spans="1:12" ht="30" customHeight="1" x14ac:dyDescent="0.25">
      <c r="A176" s="6" t="s">
        <v>374</v>
      </c>
      <c r="B176" s="6" t="s">
        <v>680</v>
      </c>
      <c r="C176" s="5"/>
      <c r="D176" s="6"/>
      <c r="E176" s="5">
        <v>3</v>
      </c>
      <c r="F176" s="5"/>
      <c r="G176" s="7">
        <v>2</v>
      </c>
      <c r="H176" s="5"/>
      <c r="I176" s="6" t="s">
        <v>240</v>
      </c>
      <c r="J176" s="6"/>
      <c r="K176" s="6" t="s">
        <v>241</v>
      </c>
      <c r="L176" s="5" t="s">
        <v>384</v>
      </c>
    </row>
    <row r="177" spans="1:12" ht="30" customHeight="1" x14ac:dyDescent="0.25">
      <c r="A177" s="6" t="s">
        <v>374</v>
      </c>
      <c r="B177" s="6" t="s">
        <v>680</v>
      </c>
      <c r="C177" s="5"/>
      <c r="D177" s="6"/>
      <c r="E177" s="5">
        <v>4</v>
      </c>
      <c r="F177" s="5"/>
      <c r="G177" s="7">
        <v>2</v>
      </c>
      <c r="H177" s="5"/>
      <c r="I177" s="6" t="s">
        <v>238</v>
      </c>
      <c r="J177" s="6"/>
      <c r="K177" s="6"/>
      <c r="L177" s="5" t="s">
        <v>384</v>
      </c>
    </row>
    <row r="178" spans="1:12" ht="30" customHeight="1" x14ac:dyDescent="0.25">
      <c r="A178" s="6" t="s">
        <v>374</v>
      </c>
      <c r="B178" s="6" t="s">
        <v>680</v>
      </c>
      <c r="C178" s="5"/>
      <c r="D178" s="6"/>
      <c r="E178" s="5">
        <v>5</v>
      </c>
      <c r="F178" s="5"/>
      <c r="G178" s="7">
        <v>2</v>
      </c>
      <c r="H178" s="5"/>
      <c r="I178" s="6" t="s">
        <v>250</v>
      </c>
      <c r="J178" s="6"/>
      <c r="K178" s="6" t="s">
        <v>248</v>
      </c>
      <c r="L178" s="5" t="s">
        <v>384</v>
      </c>
    </row>
    <row r="179" spans="1:12" ht="30" customHeight="1" x14ac:dyDescent="0.25">
      <c r="A179" s="6" t="s">
        <v>374</v>
      </c>
      <c r="B179" s="6" t="s">
        <v>680</v>
      </c>
      <c r="C179" s="5"/>
      <c r="D179" s="6"/>
      <c r="E179" s="5">
        <v>6</v>
      </c>
      <c r="F179" s="5"/>
      <c r="G179" s="7">
        <v>1</v>
      </c>
      <c r="H179" s="5"/>
      <c r="I179" s="6" t="s">
        <v>247</v>
      </c>
      <c r="J179" s="6"/>
      <c r="K179" s="6" t="s">
        <v>248</v>
      </c>
      <c r="L179" s="5" t="s">
        <v>384</v>
      </c>
    </row>
    <row r="180" spans="1:12" ht="30" customHeight="1" x14ac:dyDescent="0.25">
      <c r="A180" s="6" t="s">
        <v>374</v>
      </c>
      <c r="B180" s="6" t="s">
        <v>680</v>
      </c>
      <c r="C180" s="5"/>
      <c r="D180" s="6"/>
      <c r="E180" s="5">
        <v>7</v>
      </c>
      <c r="F180" s="5"/>
      <c r="G180" s="7">
        <v>2</v>
      </c>
      <c r="H180" s="5"/>
      <c r="I180" s="6" t="s">
        <v>249</v>
      </c>
      <c r="J180" s="6"/>
      <c r="K180" s="6" t="s">
        <v>248</v>
      </c>
      <c r="L180" s="5" t="s">
        <v>384</v>
      </c>
    </row>
    <row r="181" spans="1:12" ht="30" customHeight="1" x14ac:dyDescent="0.25">
      <c r="A181" s="6" t="s">
        <v>374</v>
      </c>
      <c r="B181" s="6" t="s">
        <v>680</v>
      </c>
      <c r="C181" s="5"/>
      <c r="D181" s="6"/>
      <c r="E181" s="5">
        <v>8</v>
      </c>
      <c r="F181" s="5"/>
      <c r="G181" s="7">
        <v>4</v>
      </c>
      <c r="H181" s="5"/>
      <c r="I181" s="6" t="s">
        <v>258</v>
      </c>
      <c r="J181" s="6"/>
      <c r="K181" s="6" t="s">
        <v>243</v>
      </c>
      <c r="L181" s="5" t="s">
        <v>384</v>
      </c>
    </row>
    <row r="182" spans="1:12" ht="30" customHeight="1" x14ac:dyDescent="0.25">
      <c r="A182" s="6" t="s">
        <v>374</v>
      </c>
      <c r="B182" s="6" t="s">
        <v>680</v>
      </c>
      <c r="C182" s="5"/>
      <c r="D182" s="6"/>
      <c r="E182" s="5">
        <v>9</v>
      </c>
      <c r="F182" s="5"/>
      <c r="G182" s="7">
        <v>12</v>
      </c>
      <c r="H182" s="5"/>
      <c r="I182" s="6" t="s">
        <v>257</v>
      </c>
      <c r="J182" s="6"/>
      <c r="K182" s="6" t="s">
        <v>243</v>
      </c>
      <c r="L182" s="5" t="s">
        <v>384</v>
      </c>
    </row>
    <row r="183" spans="1:12" ht="30" customHeight="1" x14ac:dyDescent="0.25">
      <c r="A183" s="6" t="s">
        <v>374</v>
      </c>
      <c r="B183" s="6" t="s">
        <v>680</v>
      </c>
      <c r="C183" s="5"/>
      <c r="D183" s="6"/>
      <c r="E183" s="5">
        <v>10</v>
      </c>
      <c r="F183" s="5"/>
      <c r="G183" s="7">
        <v>2</v>
      </c>
      <c r="H183" s="5"/>
      <c r="I183" s="6" t="s">
        <v>253</v>
      </c>
      <c r="J183" s="6"/>
      <c r="K183" s="6" t="s">
        <v>243</v>
      </c>
      <c r="L183" s="5" t="s">
        <v>384</v>
      </c>
    </row>
    <row r="184" spans="1:12" ht="30" customHeight="1" x14ac:dyDescent="0.25">
      <c r="A184" s="6" t="s">
        <v>374</v>
      </c>
      <c r="B184" s="6" t="s">
        <v>680</v>
      </c>
      <c r="C184" s="5"/>
      <c r="D184" s="6"/>
      <c r="E184" s="5">
        <v>11</v>
      </c>
      <c r="F184" s="5"/>
      <c r="G184" s="7">
        <v>2</v>
      </c>
      <c r="H184" s="5"/>
      <c r="I184" s="6" t="s">
        <v>254</v>
      </c>
      <c r="J184" s="6"/>
      <c r="K184" s="6" t="s">
        <v>243</v>
      </c>
      <c r="L184" s="5" t="s">
        <v>384</v>
      </c>
    </row>
    <row r="185" spans="1:12" ht="30" customHeight="1" x14ac:dyDescent="0.25">
      <c r="A185" s="6" t="s">
        <v>374</v>
      </c>
      <c r="B185" s="6" t="s">
        <v>680</v>
      </c>
      <c r="C185" s="5"/>
      <c r="D185" s="6"/>
      <c r="E185" s="5">
        <v>12</v>
      </c>
      <c r="F185" s="5"/>
      <c r="G185" s="7">
        <v>8</v>
      </c>
      <c r="H185" s="5"/>
      <c r="I185" s="6" t="s">
        <v>259</v>
      </c>
      <c r="J185" s="6"/>
      <c r="K185" s="6" t="s">
        <v>243</v>
      </c>
      <c r="L185" s="5" t="s">
        <v>384</v>
      </c>
    </row>
    <row r="186" spans="1:12" ht="30" customHeight="1" x14ac:dyDescent="0.25">
      <c r="A186" s="6" t="s">
        <v>374</v>
      </c>
      <c r="B186" s="6" t="s">
        <v>680</v>
      </c>
      <c r="C186" s="5"/>
      <c r="D186" s="6"/>
      <c r="E186" s="5">
        <v>13</v>
      </c>
      <c r="F186" s="5"/>
      <c r="G186" s="7">
        <v>4</v>
      </c>
      <c r="H186" s="5"/>
      <c r="I186" s="6" t="s">
        <v>242</v>
      </c>
      <c r="J186" s="6"/>
      <c r="K186" s="6" t="s">
        <v>243</v>
      </c>
      <c r="L186" s="5" t="s">
        <v>384</v>
      </c>
    </row>
    <row r="187" spans="1:12" ht="30" customHeight="1" x14ac:dyDescent="0.25">
      <c r="A187" s="6" t="s">
        <v>374</v>
      </c>
      <c r="B187" s="6" t="s">
        <v>680</v>
      </c>
      <c r="C187" s="5"/>
      <c r="D187" s="6"/>
      <c r="E187" s="5">
        <v>14</v>
      </c>
      <c r="F187" s="5"/>
      <c r="G187" s="7">
        <v>6</v>
      </c>
      <c r="H187" s="5"/>
      <c r="I187" s="6" t="s">
        <v>251</v>
      </c>
      <c r="J187" s="6"/>
      <c r="K187" s="6" t="s">
        <v>243</v>
      </c>
      <c r="L187" s="5" t="s">
        <v>384</v>
      </c>
    </row>
    <row r="188" spans="1:12" ht="30" customHeight="1" x14ac:dyDescent="0.25">
      <c r="A188" s="6" t="s">
        <v>374</v>
      </c>
      <c r="B188" s="6" t="s">
        <v>680</v>
      </c>
      <c r="C188" s="5"/>
      <c r="D188" s="6"/>
      <c r="E188" s="5">
        <v>15</v>
      </c>
      <c r="F188" s="5"/>
      <c r="G188" s="7">
        <v>4</v>
      </c>
      <c r="H188" s="5"/>
      <c r="I188" s="6" t="s">
        <v>252</v>
      </c>
      <c r="J188" s="6"/>
      <c r="K188" s="6" t="s">
        <v>243</v>
      </c>
      <c r="L188" s="5" t="s">
        <v>384</v>
      </c>
    </row>
    <row r="189" spans="1:12" ht="30" customHeight="1" x14ac:dyDescent="0.25">
      <c r="A189" s="6" t="s">
        <v>374</v>
      </c>
      <c r="B189" s="6" t="s">
        <v>680</v>
      </c>
      <c r="C189" s="5"/>
      <c r="D189" s="6"/>
      <c r="E189" s="5">
        <v>16</v>
      </c>
      <c r="F189" s="5"/>
      <c r="G189" s="7">
        <v>4</v>
      </c>
      <c r="H189" s="5"/>
      <c r="I189" s="6" t="s">
        <v>260</v>
      </c>
      <c r="J189" s="6"/>
      <c r="K189" s="6" t="s">
        <v>243</v>
      </c>
      <c r="L189" s="5" t="s">
        <v>384</v>
      </c>
    </row>
    <row r="190" spans="1:12" ht="30" customHeight="1" x14ac:dyDescent="0.25">
      <c r="A190" s="6" t="s">
        <v>374</v>
      </c>
      <c r="B190" s="6" t="s">
        <v>680</v>
      </c>
      <c r="C190" s="5"/>
      <c r="D190" s="6"/>
      <c r="E190" s="5">
        <v>17</v>
      </c>
      <c r="F190" s="5"/>
      <c r="G190" s="7">
        <v>4</v>
      </c>
      <c r="H190" s="5"/>
      <c r="I190" s="6" t="s">
        <v>255</v>
      </c>
      <c r="J190" s="6"/>
      <c r="K190" s="6" t="s">
        <v>256</v>
      </c>
      <c r="L190" s="5" t="s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7" customWidth="1"/>
    <col min="3" max="3" width="12" customWidth="1"/>
    <col min="4" max="4" width="50" customWidth="1"/>
    <col min="5" max="5" width="12" customWidth="1"/>
    <col min="6" max="6" width="10" customWidth="1"/>
    <col min="7" max="7" width="8" customWidth="1"/>
    <col min="8" max="8" width="12" customWidth="1"/>
    <col min="9" max="9" width="8" customWidth="1"/>
    <col min="10" max="10" width="60" customWidth="1"/>
  </cols>
  <sheetData>
    <row r="1" spans="1:10" ht="15.75" customHeight="1" x14ac:dyDescent="0.25">
      <c r="A1" s="8" t="s">
        <v>681</v>
      </c>
    </row>
    <row r="2" spans="1:10" x14ac:dyDescent="0.25">
      <c r="A2" s="3" t="s">
        <v>682</v>
      </c>
    </row>
    <row r="4" spans="1:10" ht="21.95" customHeight="1" x14ac:dyDescent="0.25">
      <c r="A4" s="4" t="s">
        <v>672</v>
      </c>
      <c r="B4" s="4" t="s">
        <v>683</v>
      </c>
      <c r="C4" s="4" t="s">
        <v>297</v>
      </c>
      <c r="D4" s="4" t="s">
        <v>298</v>
      </c>
      <c r="E4" s="4" t="s">
        <v>684</v>
      </c>
      <c r="F4" s="4" t="s">
        <v>293</v>
      </c>
      <c r="G4" s="4" t="s">
        <v>294</v>
      </c>
      <c r="H4" s="4" t="s">
        <v>685</v>
      </c>
      <c r="I4" s="4" t="s">
        <v>686</v>
      </c>
      <c r="J4" s="4" t="s">
        <v>687</v>
      </c>
    </row>
    <row r="5" spans="1:10" x14ac:dyDescent="0.25">
      <c r="A5" s="6" t="s">
        <v>304</v>
      </c>
      <c r="B5" s="5">
        <v>1</v>
      </c>
      <c r="C5" s="5"/>
      <c r="D5" s="6" t="s">
        <v>142</v>
      </c>
      <c r="E5" s="7">
        <v>7545</v>
      </c>
      <c r="F5" s="5" t="s">
        <v>493</v>
      </c>
      <c r="G5" s="5" t="s">
        <v>384</v>
      </c>
      <c r="H5" s="7">
        <v>3773</v>
      </c>
      <c r="I5" s="9">
        <v>0.499</v>
      </c>
      <c r="J5" s="6" t="s">
        <v>688</v>
      </c>
    </row>
    <row r="6" spans="1:10" x14ac:dyDescent="0.25">
      <c r="A6" s="6" t="s">
        <v>304</v>
      </c>
      <c r="B6" s="5">
        <v>1</v>
      </c>
      <c r="C6" s="5"/>
      <c r="D6" s="6" t="s">
        <v>142</v>
      </c>
      <c r="E6" s="7">
        <v>7545</v>
      </c>
      <c r="F6" s="5" t="s">
        <v>493</v>
      </c>
      <c r="G6" s="5" t="s">
        <v>389</v>
      </c>
      <c r="H6" s="7">
        <v>3772</v>
      </c>
      <c r="I6" s="9">
        <v>0.499</v>
      </c>
      <c r="J6" s="6" t="s">
        <v>689</v>
      </c>
    </row>
    <row r="7" spans="1:10" x14ac:dyDescent="0.25">
      <c r="A7" s="6" t="s">
        <v>304</v>
      </c>
      <c r="B7" s="5">
        <v>2</v>
      </c>
      <c r="C7" s="5"/>
      <c r="D7" s="6" t="s">
        <v>142</v>
      </c>
      <c r="E7" s="7">
        <v>1550</v>
      </c>
      <c r="F7" s="5" t="s">
        <v>493</v>
      </c>
      <c r="G7" s="5" t="s">
        <v>384</v>
      </c>
      <c r="H7" s="7">
        <v>775</v>
      </c>
      <c r="I7" s="9">
        <v>0.5</v>
      </c>
      <c r="J7" s="6" t="s">
        <v>688</v>
      </c>
    </row>
    <row r="8" spans="1:10" x14ac:dyDescent="0.25">
      <c r="A8" s="6" t="s">
        <v>304</v>
      </c>
      <c r="B8" s="5">
        <v>2</v>
      </c>
      <c r="C8" s="5"/>
      <c r="D8" s="6" t="s">
        <v>142</v>
      </c>
      <c r="E8" s="7">
        <v>1550</v>
      </c>
      <c r="F8" s="5" t="s">
        <v>493</v>
      </c>
      <c r="G8" s="5" t="s">
        <v>389</v>
      </c>
      <c r="H8" s="7">
        <v>775</v>
      </c>
      <c r="I8" s="9">
        <v>0.5</v>
      </c>
      <c r="J8" s="6" t="s">
        <v>689</v>
      </c>
    </row>
    <row r="9" spans="1:10" x14ac:dyDescent="0.25">
      <c r="A9" s="6" t="s">
        <v>304</v>
      </c>
      <c r="B9" s="5">
        <v>3</v>
      </c>
      <c r="C9" s="5"/>
      <c r="D9" s="6" t="s">
        <v>142</v>
      </c>
      <c r="E9" s="7">
        <v>20</v>
      </c>
      <c r="F9" s="5" t="s">
        <v>493</v>
      </c>
      <c r="G9" s="5" t="s">
        <v>384</v>
      </c>
      <c r="H9" s="7">
        <v>10</v>
      </c>
      <c r="I9" s="9">
        <v>0.5</v>
      </c>
      <c r="J9" s="6" t="s">
        <v>688</v>
      </c>
    </row>
    <row r="10" spans="1:10" x14ac:dyDescent="0.25">
      <c r="A10" s="6" t="s">
        <v>304</v>
      </c>
      <c r="B10" s="5">
        <v>3</v>
      </c>
      <c r="C10" s="5"/>
      <c r="D10" s="6" t="s">
        <v>142</v>
      </c>
      <c r="E10" s="7">
        <v>20</v>
      </c>
      <c r="F10" s="5" t="s">
        <v>493</v>
      </c>
      <c r="G10" s="5" t="s">
        <v>389</v>
      </c>
      <c r="H10" s="7">
        <v>10</v>
      </c>
      <c r="I10" s="9">
        <v>0.5</v>
      </c>
      <c r="J10" s="6" t="s">
        <v>689</v>
      </c>
    </row>
    <row r="11" spans="1:10" x14ac:dyDescent="0.25">
      <c r="A11" s="6" t="s">
        <v>304</v>
      </c>
      <c r="B11" s="5">
        <v>4</v>
      </c>
      <c r="C11" s="5"/>
      <c r="D11" s="6" t="s">
        <v>142</v>
      </c>
      <c r="E11" s="7">
        <v>25</v>
      </c>
      <c r="F11" s="5" t="s">
        <v>493</v>
      </c>
      <c r="G11" s="5" t="s">
        <v>384</v>
      </c>
      <c r="H11" s="7">
        <v>13</v>
      </c>
      <c r="I11" s="9">
        <v>0.52</v>
      </c>
      <c r="J11" s="6" t="s">
        <v>690</v>
      </c>
    </row>
    <row r="12" spans="1:10" x14ac:dyDescent="0.25">
      <c r="A12" s="6" t="s">
        <v>304</v>
      </c>
      <c r="B12" s="5">
        <v>4</v>
      </c>
      <c r="C12" s="5"/>
      <c r="D12" s="6" t="s">
        <v>142</v>
      </c>
      <c r="E12" s="7">
        <v>25</v>
      </c>
      <c r="F12" s="5" t="s">
        <v>493</v>
      </c>
      <c r="G12" s="5" t="s">
        <v>389</v>
      </c>
      <c r="H12" s="7">
        <v>12</v>
      </c>
      <c r="I12" s="9">
        <v>0.48</v>
      </c>
      <c r="J12" s="6" t="s">
        <v>691</v>
      </c>
    </row>
    <row r="13" spans="1:10" x14ac:dyDescent="0.25">
      <c r="A13" s="6" t="s">
        <v>304</v>
      </c>
      <c r="B13" s="5">
        <v>5</v>
      </c>
      <c r="C13" s="5"/>
      <c r="D13" s="6" t="s">
        <v>142</v>
      </c>
      <c r="E13" s="7">
        <v>20</v>
      </c>
      <c r="F13" s="5" t="s">
        <v>493</v>
      </c>
      <c r="G13" s="5" t="s">
        <v>384</v>
      </c>
      <c r="H13" s="7">
        <v>10</v>
      </c>
      <c r="I13" s="9">
        <v>0.5</v>
      </c>
      <c r="J13" s="6" t="s">
        <v>688</v>
      </c>
    </row>
    <row r="14" spans="1:10" x14ac:dyDescent="0.25">
      <c r="A14" s="6" t="s">
        <v>304</v>
      </c>
      <c r="B14" s="5">
        <v>5</v>
      </c>
      <c r="C14" s="5"/>
      <c r="D14" s="6" t="s">
        <v>142</v>
      </c>
      <c r="E14" s="7">
        <v>20</v>
      </c>
      <c r="F14" s="5" t="s">
        <v>493</v>
      </c>
      <c r="G14" s="5" t="s">
        <v>389</v>
      </c>
      <c r="H14" s="7">
        <v>10</v>
      </c>
      <c r="I14" s="9">
        <v>0.5</v>
      </c>
      <c r="J14" s="6" t="s">
        <v>689</v>
      </c>
    </row>
    <row r="15" spans="1:10" x14ac:dyDescent="0.25">
      <c r="A15" s="6" t="s">
        <v>304</v>
      </c>
      <c r="B15" s="5">
        <v>6</v>
      </c>
      <c r="C15" s="5"/>
      <c r="D15" s="6" t="s">
        <v>142</v>
      </c>
      <c r="E15" s="7">
        <v>10</v>
      </c>
      <c r="F15" s="5" t="s">
        <v>493</v>
      </c>
      <c r="G15" s="5" t="s">
        <v>384</v>
      </c>
      <c r="H15" s="7">
        <v>5</v>
      </c>
      <c r="I15" s="9">
        <v>0.5</v>
      </c>
      <c r="J15" s="6" t="s">
        <v>688</v>
      </c>
    </row>
    <row r="16" spans="1:10" x14ac:dyDescent="0.25">
      <c r="A16" s="6" t="s">
        <v>304</v>
      </c>
      <c r="B16" s="5">
        <v>6</v>
      </c>
      <c r="C16" s="5"/>
      <c r="D16" s="6" t="s">
        <v>142</v>
      </c>
      <c r="E16" s="7">
        <v>10</v>
      </c>
      <c r="F16" s="5" t="s">
        <v>493</v>
      </c>
      <c r="G16" s="5" t="s">
        <v>389</v>
      </c>
      <c r="H16" s="7">
        <v>5</v>
      </c>
      <c r="I16" s="9">
        <v>0.5</v>
      </c>
      <c r="J16" s="6" t="s">
        <v>689</v>
      </c>
    </row>
    <row r="17" spans="1:10" x14ac:dyDescent="0.25">
      <c r="A17" s="6" t="s">
        <v>304</v>
      </c>
      <c r="B17" s="5">
        <v>7</v>
      </c>
      <c r="C17" s="5"/>
      <c r="D17" s="6" t="s">
        <v>138</v>
      </c>
      <c r="E17" s="7">
        <v>10</v>
      </c>
      <c r="F17" s="5" t="s">
        <v>493</v>
      </c>
      <c r="G17" s="5" t="s">
        <v>384</v>
      </c>
      <c r="H17" s="7">
        <v>5</v>
      </c>
      <c r="I17" s="9">
        <v>0.5</v>
      </c>
      <c r="J17" s="6" t="s">
        <v>688</v>
      </c>
    </row>
    <row r="18" spans="1:10" x14ac:dyDescent="0.25">
      <c r="A18" s="6" t="s">
        <v>304</v>
      </c>
      <c r="B18" s="5">
        <v>7</v>
      </c>
      <c r="C18" s="5"/>
      <c r="D18" s="6" t="s">
        <v>138</v>
      </c>
      <c r="E18" s="7">
        <v>10</v>
      </c>
      <c r="F18" s="5" t="s">
        <v>493</v>
      </c>
      <c r="G18" s="5" t="s">
        <v>389</v>
      </c>
      <c r="H18" s="7">
        <v>5</v>
      </c>
      <c r="I18" s="9">
        <v>0.5</v>
      </c>
      <c r="J18" s="6" t="s">
        <v>689</v>
      </c>
    </row>
    <row r="19" spans="1:10" x14ac:dyDescent="0.25">
      <c r="A19" s="6" t="s">
        <v>304</v>
      </c>
      <c r="B19" s="5">
        <v>8</v>
      </c>
      <c r="C19" s="5"/>
      <c r="D19" s="6" t="s">
        <v>139</v>
      </c>
      <c r="E19" s="7">
        <v>195</v>
      </c>
      <c r="F19" s="5" t="s">
        <v>493</v>
      </c>
      <c r="G19" s="5" t="s">
        <v>384</v>
      </c>
      <c r="H19" s="7">
        <v>98</v>
      </c>
      <c r="I19" s="9">
        <v>0.5</v>
      </c>
      <c r="J19" s="6" t="s">
        <v>688</v>
      </c>
    </row>
    <row r="20" spans="1:10" x14ac:dyDescent="0.25">
      <c r="A20" s="6" t="s">
        <v>304</v>
      </c>
      <c r="B20" s="5">
        <v>8</v>
      </c>
      <c r="C20" s="5"/>
      <c r="D20" s="6" t="s">
        <v>139</v>
      </c>
      <c r="E20" s="7">
        <v>195</v>
      </c>
      <c r="F20" s="5" t="s">
        <v>493</v>
      </c>
      <c r="G20" s="5" t="s">
        <v>389</v>
      </c>
      <c r="H20" s="7">
        <v>97</v>
      </c>
      <c r="I20" s="9">
        <v>0.5</v>
      </c>
      <c r="J20" s="6" t="s">
        <v>689</v>
      </c>
    </row>
    <row r="21" spans="1:10" ht="30" customHeight="1" x14ac:dyDescent="0.25">
      <c r="A21" s="6" t="s">
        <v>304</v>
      </c>
      <c r="B21" s="5">
        <v>9</v>
      </c>
      <c r="C21" s="5"/>
      <c r="D21" s="6" t="s">
        <v>140</v>
      </c>
      <c r="E21" s="7">
        <v>2915</v>
      </c>
      <c r="F21" s="5" t="s">
        <v>493</v>
      </c>
      <c r="G21" s="5" t="s">
        <v>384</v>
      </c>
      <c r="H21" s="7">
        <v>1458</v>
      </c>
      <c r="I21" s="9">
        <v>0.5</v>
      </c>
      <c r="J21" s="6" t="s">
        <v>688</v>
      </c>
    </row>
    <row r="22" spans="1:10" ht="30" customHeight="1" x14ac:dyDescent="0.25">
      <c r="A22" s="6" t="s">
        <v>304</v>
      </c>
      <c r="B22" s="5">
        <v>9</v>
      </c>
      <c r="C22" s="5"/>
      <c r="D22" s="6" t="s">
        <v>140</v>
      </c>
      <c r="E22" s="7">
        <v>2915</v>
      </c>
      <c r="F22" s="5" t="s">
        <v>493</v>
      </c>
      <c r="G22" s="5" t="s">
        <v>389</v>
      </c>
      <c r="H22" s="7">
        <v>1457</v>
      </c>
      <c r="I22" s="9">
        <v>0.5</v>
      </c>
      <c r="J22" s="6" t="s">
        <v>689</v>
      </c>
    </row>
    <row r="23" spans="1:10" x14ac:dyDescent="0.25">
      <c r="A23" s="6" t="s">
        <v>304</v>
      </c>
      <c r="B23" s="5">
        <v>10</v>
      </c>
      <c r="C23" s="5"/>
      <c r="D23" s="6" t="s">
        <v>143</v>
      </c>
      <c r="E23" s="7">
        <v>365</v>
      </c>
      <c r="F23" s="5" t="s">
        <v>493</v>
      </c>
      <c r="G23" s="5" t="s">
        <v>384</v>
      </c>
      <c r="H23" s="7">
        <v>183</v>
      </c>
      <c r="I23" s="9">
        <v>0.5</v>
      </c>
      <c r="J23" s="6" t="s">
        <v>688</v>
      </c>
    </row>
    <row r="24" spans="1:10" x14ac:dyDescent="0.25">
      <c r="A24" s="6" t="s">
        <v>304</v>
      </c>
      <c r="B24" s="5">
        <v>10</v>
      </c>
      <c r="C24" s="5"/>
      <c r="D24" s="6" t="s">
        <v>143</v>
      </c>
      <c r="E24" s="7">
        <v>365</v>
      </c>
      <c r="F24" s="5" t="s">
        <v>493</v>
      </c>
      <c r="G24" s="5" t="s">
        <v>389</v>
      </c>
      <c r="H24" s="7">
        <v>182</v>
      </c>
      <c r="I24" s="9">
        <v>0.5</v>
      </c>
      <c r="J24" s="6" t="s">
        <v>689</v>
      </c>
    </row>
    <row r="25" spans="1:10" x14ac:dyDescent="0.25">
      <c r="A25" s="6" t="s">
        <v>304</v>
      </c>
      <c r="B25" s="5">
        <v>11</v>
      </c>
      <c r="C25" s="5"/>
      <c r="D25" s="6" t="s">
        <v>133</v>
      </c>
      <c r="E25" s="7">
        <v>1045</v>
      </c>
      <c r="F25" s="5" t="s">
        <v>493</v>
      </c>
      <c r="G25" s="5" t="s">
        <v>384</v>
      </c>
      <c r="H25" s="7">
        <v>523</v>
      </c>
      <c r="I25" s="9">
        <v>0.5</v>
      </c>
      <c r="J25" s="6" t="s">
        <v>688</v>
      </c>
    </row>
    <row r="26" spans="1:10" x14ac:dyDescent="0.25">
      <c r="A26" s="6" t="s">
        <v>304</v>
      </c>
      <c r="B26" s="5">
        <v>11</v>
      </c>
      <c r="C26" s="5"/>
      <c r="D26" s="6" t="s">
        <v>133</v>
      </c>
      <c r="E26" s="7">
        <v>1045</v>
      </c>
      <c r="F26" s="5" t="s">
        <v>493</v>
      </c>
      <c r="G26" s="5" t="s">
        <v>389</v>
      </c>
      <c r="H26" s="7">
        <v>522</v>
      </c>
      <c r="I26" s="9">
        <v>0.5</v>
      </c>
      <c r="J26" s="6" t="s">
        <v>689</v>
      </c>
    </row>
    <row r="27" spans="1:10" x14ac:dyDescent="0.25">
      <c r="A27" s="6" t="s">
        <v>304</v>
      </c>
      <c r="B27" s="5">
        <v>12</v>
      </c>
      <c r="C27" s="5"/>
      <c r="D27" s="6" t="s">
        <v>133</v>
      </c>
      <c r="E27" s="7">
        <v>220</v>
      </c>
      <c r="F27" s="5" t="s">
        <v>493</v>
      </c>
      <c r="G27" s="5" t="s">
        <v>384</v>
      </c>
      <c r="H27" s="7">
        <v>110</v>
      </c>
      <c r="I27" s="9">
        <v>0.5</v>
      </c>
      <c r="J27" s="6" t="s">
        <v>688</v>
      </c>
    </row>
    <row r="28" spans="1:10" x14ac:dyDescent="0.25">
      <c r="A28" s="6" t="s">
        <v>304</v>
      </c>
      <c r="B28" s="5">
        <v>12</v>
      </c>
      <c r="C28" s="5"/>
      <c r="D28" s="6" t="s">
        <v>133</v>
      </c>
      <c r="E28" s="7">
        <v>220</v>
      </c>
      <c r="F28" s="5" t="s">
        <v>493</v>
      </c>
      <c r="G28" s="5" t="s">
        <v>389</v>
      </c>
      <c r="H28" s="7">
        <v>110</v>
      </c>
      <c r="I28" s="9">
        <v>0.5</v>
      </c>
      <c r="J28" s="6" t="s">
        <v>689</v>
      </c>
    </row>
    <row r="29" spans="1:10" x14ac:dyDescent="0.25">
      <c r="A29" s="6" t="s">
        <v>304</v>
      </c>
      <c r="B29" s="5">
        <v>13</v>
      </c>
      <c r="C29" s="5"/>
      <c r="D29" s="6" t="s">
        <v>133</v>
      </c>
      <c r="E29" s="7">
        <v>10</v>
      </c>
      <c r="F29" s="5" t="s">
        <v>302</v>
      </c>
      <c r="G29" s="5" t="s">
        <v>303</v>
      </c>
      <c r="H29" s="7">
        <v>4</v>
      </c>
      <c r="I29" s="9">
        <v>0.4</v>
      </c>
      <c r="J29" s="6" t="s">
        <v>692</v>
      </c>
    </row>
    <row r="30" spans="1:10" x14ac:dyDescent="0.25">
      <c r="A30" s="6" t="s">
        <v>304</v>
      </c>
      <c r="B30" s="5">
        <v>13</v>
      </c>
      <c r="C30" s="5"/>
      <c r="D30" s="6" t="s">
        <v>133</v>
      </c>
      <c r="E30" s="7">
        <v>10</v>
      </c>
      <c r="F30" s="5" t="s">
        <v>61</v>
      </c>
      <c r="G30" s="5" t="s">
        <v>303</v>
      </c>
      <c r="H30" s="7">
        <v>3</v>
      </c>
      <c r="I30" s="9">
        <v>0.3</v>
      </c>
      <c r="J30" s="6" t="s">
        <v>693</v>
      </c>
    </row>
    <row r="31" spans="1:10" x14ac:dyDescent="0.25">
      <c r="A31" s="6" t="s">
        <v>304</v>
      </c>
      <c r="B31" s="5">
        <v>13</v>
      </c>
      <c r="C31" s="5"/>
      <c r="D31" s="6" t="s">
        <v>133</v>
      </c>
      <c r="E31" s="7">
        <v>10</v>
      </c>
      <c r="F31" s="5" t="s">
        <v>493</v>
      </c>
      <c r="G31" s="5" t="s">
        <v>384</v>
      </c>
      <c r="H31" s="7">
        <v>2</v>
      </c>
      <c r="I31" s="9">
        <v>0.2</v>
      </c>
      <c r="J31" s="6" t="s">
        <v>694</v>
      </c>
    </row>
    <row r="32" spans="1:10" x14ac:dyDescent="0.25">
      <c r="A32" s="6" t="s">
        <v>304</v>
      </c>
      <c r="B32" s="5">
        <v>13</v>
      </c>
      <c r="C32" s="5"/>
      <c r="D32" s="6" t="s">
        <v>133</v>
      </c>
      <c r="E32" s="7">
        <v>10</v>
      </c>
      <c r="F32" s="5" t="s">
        <v>493</v>
      </c>
      <c r="G32" s="5" t="s">
        <v>389</v>
      </c>
      <c r="H32" s="7">
        <v>1</v>
      </c>
      <c r="I32" s="9">
        <v>0.1</v>
      </c>
      <c r="J32" s="6" t="s">
        <v>695</v>
      </c>
    </row>
    <row r="33" spans="1:10" x14ac:dyDescent="0.25">
      <c r="A33" s="6" t="s">
        <v>304</v>
      </c>
      <c r="B33" s="5">
        <v>14</v>
      </c>
      <c r="C33" s="5"/>
      <c r="D33" s="6" t="s">
        <v>133</v>
      </c>
      <c r="E33" s="7">
        <v>15</v>
      </c>
      <c r="F33" s="5" t="s">
        <v>302</v>
      </c>
      <c r="G33" s="5" t="s">
        <v>303</v>
      </c>
      <c r="H33" s="7">
        <v>5</v>
      </c>
      <c r="I33" s="9">
        <v>0.33300000000000002</v>
      </c>
      <c r="J33" s="6" t="s">
        <v>696</v>
      </c>
    </row>
    <row r="34" spans="1:10" x14ac:dyDescent="0.25">
      <c r="A34" s="6" t="s">
        <v>304</v>
      </c>
      <c r="B34" s="5">
        <v>14</v>
      </c>
      <c r="C34" s="5"/>
      <c r="D34" s="6" t="s">
        <v>133</v>
      </c>
      <c r="E34" s="7">
        <v>15</v>
      </c>
      <c r="F34" s="5" t="s">
        <v>493</v>
      </c>
      <c r="G34" s="5" t="s">
        <v>384</v>
      </c>
      <c r="H34" s="7">
        <v>5</v>
      </c>
      <c r="I34" s="9">
        <v>0.33300000000000002</v>
      </c>
      <c r="J34" s="6" t="s">
        <v>694</v>
      </c>
    </row>
    <row r="35" spans="1:10" x14ac:dyDescent="0.25">
      <c r="A35" s="6" t="s">
        <v>304</v>
      </c>
      <c r="B35" s="5">
        <v>14</v>
      </c>
      <c r="C35" s="5"/>
      <c r="D35" s="6" t="s">
        <v>133</v>
      </c>
      <c r="E35" s="7">
        <v>15</v>
      </c>
      <c r="F35" s="5" t="s">
        <v>493</v>
      </c>
      <c r="G35" s="5" t="s">
        <v>389</v>
      </c>
      <c r="H35" s="7">
        <v>5</v>
      </c>
      <c r="I35" s="9">
        <v>0.33300000000000002</v>
      </c>
      <c r="J35" s="6" t="s">
        <v>697</v>
      </c>
    </row>
    <row r="36" spans="1:10" x14ac:dyDescent="0.25">
      <c r="A36" s="6" t="s">
        <v>304</v>
      </c>
      <c r="B36" s="5">
        <v>15</v>
      </c>
      <c r="C36" s="5"/>
      <c r="D36" s="6" t="s">
        <v>133</v>
      </c>
      <c r="E36" s="7">
        <v>15</v>
      </c>
      <c r="F36" s="5" t="s">
        <v>383</v>
      </c>
      <c r="G36" s="5" t="s">
        <v>303</v>
      </c>
      <c r="H36" s="7">
        <v>5</v>
      </c>
      <c r="I36" s="9">
        <v>0.33300000000000002</v>
      </c>
      <c r="J36" s="6" t="s">
        <v>698</v>
      </c>
    </row>
    <row r="37" spans="1:10" x14ac:dyDescent="0.25">
      <c r="A37" s="6" t="s">
        <v>304</v>
      </c>
      <c r="B37" s="5">
        <v>15</v>
      </c>
      <c r="C37" s="5"/>
      <c r="D37" s="6" t="s">
        <v>133</v>
      </c>
      <c r="E37" s="7">
        <v>15</v>
      </c>
      <c r="F37" s="5" t="s">
        <v>405</v>
      </c>
      <c r="G37" s="5" t="s">
        <v>303</v>
      </c>
      <c r="H37" s="7">
        <v>5</v>
      </c>
      <c r="I37" s="9">
        <v>0.33300000000000002</v>
      </c>
      <c r="J37" s="6" t="s">
        <v>699</v>
      </c>
    </row>
    <row r="38" spans="1:10" x14ac:dyDescent="0.25">
      <c r="A38" s="6" t="s">
        <v>304</v>
      </c>
      <c r="B38" s="5">
        <v>15</v>
      </c>
      <c r="C38" s="5"/>
      <c r="D38" s="6" t="s">
        <v>133</v>
      </c>
      <c r="E38" s="7">
        <v>15</v>
      </c>
      <c r="F38" s="5" t="s">
        <v>493</v>
      </c>
      <c r="G38" s="5" t="s">
        <v>384</v>
      </c>
      <c r="H38" s="7">
        <v>5</v>
      </c>
      <c r="I38" s="9">
        <v>0.33300000000000002</v>
      </c>
      <c r="J38" s="6" t="s">
        <v>694</v>
      </c>
    </row>
    <row r="39" spans="1:10" x14ac:dyDescent="0.25">
      <c r="A39" s="6" t="s">
        <v>304</v>
      </c>
      <c r="B39" s="5">
        <v>16</v>
      </c>
      <c r="C39" s="5"/>
      <c r="D39" s="6" t="s">
        <v>133</v>
      </c>
      <c r="E39" s="7">
        <v>5</v>
      </c>
      <c r="F39" s="5" t="s">
        <v>61</v>
      </c>
      <c r="G39" s="5" t="s">
        <v>303</v>
      </c>
      <c r="H39" s="7">
        <v>2</v>
      </c>
      <c r="I39" s="9">
        <v>0.4</v>
      </c>
      <c r="J39" s="6" t="s">
        <v>700</v>
      </c>
    </row>
    <row r="40" spans="1:10" x14ac:dyDescent="0.25">
      <c r="A40" s="6" t="s">
        <v>304</v>
      </c>
      <c r="B40" s="5">
        <v>16</v>
      </c>
      <c r="C40" s="5"/>
      <c r="D40" s="6" t="s">
        <v>133</v>
      </c>
      <c r="E40" s="7">
        <v>5</v>
      </c>
      <c r="F40" s="5" t="s">
        <v>493</v>
      </c>
      <c r="G40" s="5" t="s">
        <v>384</v>
      </c>
      <c r="H40" s="7">
        <v>2</v>
      </c>
      <c r="I40" s="9">
        <v>0.4</v>
      </c>
      <c r="J40" s="6" t="s">
        <v>694</v>
      </c>
    </row>
    <row r="41" spans="1:10" x14ac:dyDescent="0.25">
      <c r="A41" s="6" t="s">
        <v>304</v>
      </c>
      <c r="B41" s="5">
        <v>16</v>
      </c>
      <c r="C41" s="5"/>
      <c r="D41" s="6" t="s">
        <v>133</v>
      </c>
      <c r="E41" s="7">
        <v>5</v>
      </c>
      <c r="F41" s="5" t="s">
        <v>493</v>
      </c>
      <c r="G41" s="5" t="s">
        <v>389</v>
      </c>
      <c r="H41" s="7">
        <v>1</v>
      </c>
      <c r="I41" s="9">
        <v>0.2</v>
      </c>
      <c r="J41" s="6" t="s">
        <v>695</v>
      </c>
    </row>
    <row r="42" spans="1:10" x14ac:dyDescent="0.25">
      <c r="A42" s="6" t="s">
        <v>304</v>
      </c>
      <c r="B42" s="5">
        <v>17</v>
      </c>
      <c r="C42" s="5"/>
      <c r="D42" s="6" t="s">
        <v>153</v>
      </c>
      <c r="E42" s="7">
        <v>1860</v>
      </c>
      <c r="F42" s="5" t="s">
        <v>302</v>
      </c>
      <c r="G42" s="5" t="s">
        <v>303</v>
      </c>
      <c r="H42" s="7">
        <v>300</v>
      </c>
      <c r="I42" s="9">
        <v>0.161</v>
      </c>
      <c r="J42" s="6" t="s">
        <v>701</v>
      </c>
    </row>
    <row r="43" spans="1:10" x14ac:dyDescent="0.25">
      <c r="A43" s="6" t="s">
        <v>304</v>
      </c>
      <c r="B43" s="5">
        <v>17</v>
      </c>
      <c r="C43" s="5"/>
      <c r="D43" s="6" t="s">
        <v>153</v>
      </c>
      <c r="E43" s="7">
        <v>1860</v>
      </c>
      <c r="F43" s="5" t="s">
        <v>383</v>
      </c>
      <c r="G43" s="5" t="s">
        <v>303</v>
      </c>
      <c r="H43" s="7">
        <v>200</v>
      </c>
      <c r="I43" s="9">
        <v>0.107</v>
      </c>
      <c r="J43" s="6" t="s">
        <v>702</v>
      </c>
    </row>
    <row r="44" spans="1:10" ht="30" customHeight="1" x14ac:dyDescent="0.25">
      <c r="A44" s="6" t="s">
        <v>304</v>
      </c>
      <c r="B44" s="5">
        <v>17</v>
      </c>
      <c r="C44" s="5"/>
      <c r="D44" s="6" t="s">
        <v>153</v>
      </c>
      <c r="E44" s="7">
        <v>1860</v>
      </c>
      <c r="F44" s="5" t="s">
        <v>623</v>
      </c>
      <c r="G44" s="5" t="s">
        <v>303</v>
      </c>
      <c r="H44" s="7">
        <v>300</v>
      </c>
      <c r="I44" s="9">
        <v>0.161</v>
      </c>
      <c r="J44" s="6" t="s">
        <v>703</v>
      </c>
    </row>
    <row r="45" spans="1:10" ht="30" customHeight="1" x14ac:dyDescent="0.25">
      <c r="A45" s="6" t="s">
        <v>304</v>
      </c>
      <c r="B45" s="5">
        <v>17</v>
      </c>
      <c r="C45" s="5"/>
      <c r="D45" s="6" t="s">
        <v>153</v>
      </c>
      <c r="E45" s="7">
        <v>1860</v>
      </c>
      <c r="F45" s="5" t="s">
        <v>493</v>
      </c>
      <c r="G45" s="5" t="s">
        <v>384</v>
      </c>
      <c r="H45" s="7">
        <v>530</v>
      </c>
      <c r="I45" s="9">
        <v>0.28499999999999998</v>
      </c>
      <c r="J45" s="6" t="s">
        <v>704</v>
      </c>
    </row>
    <row r="46" spans="1:10" ht="30" customHeight="1" x14ac:dyDescent="0.25">
      <c r="A46" s="6" t="s">
        <v>304</v>
      </c>
      <c r="B46" s="5">
        <v>17</v>
      </c>
      <c r="C46" s="5"/>
      <c r="D46" s="6" t="s">
        <v>153</v>
      </c>
      <c r="E46" s="7">
        <v>1860</v>
      </c>
      <c r="F46" s="5" t="s">
        <v>493</v>
      </c>
      <c r="G46" s="5" t="s">
        <v>389</v>
      </c>
      <c r="H46" s="7">
        <v>530</v>
      </c>
      <c r="I46" s="9">
        <v>0.28499999999999998</v>
      </c>
      <c r="J46" s="6" t="s">
        <v>705</v>
      </c>
    </row>
    <row r="47" spans="1:10" x14ac:dyDescent="0.25">
      <c r="A47" s="6" t="s">
        <v>304</v>
      </c>
      <c r="B47" s="5">
        <v>18</v>
      </c>
      <c r="C47" s="5"/>
      <c r="D47" s="6" t="s">
        <v>153</v>
      </c>
      <c r="E47" s="7">
        <v>475</v>
      </c>
      <c r="F47" s="5" t="s">
        <v>302</v>
      </c>
      <c r="G47" s="5" t="s">
        <v>303</v>
      </c>
      <c r="H47" s="7">
        <v>100</v>
      </c>
      <c r="I47" s="9">
        <v>0.21099999999999999</v>
      </c>
      <c r="J47" s="6" t="s">
        <v>706</v>
      </c>
    </row>
    <row r="48" spans="1:10" x14ac:dyDescent="0.25">
      <c r="A48" s="6" t="s">
        <v>304</v>
      </c>
      <c r="B48" s="5">
        <v>18</v>
      </c>
      <c r="C48" s="5"/>
      <c r="D48" s="6" t="s">
        <v>153</v>
      </c>
      <c r="E48" s="7">
        <v>475</v>
      </c>
      <c r="F48" s="5" t="s">
        <v>61</v>
      </c>
      <c r="G48" s="5" t="s">
        <v>303</v>
      </c>
      <c r="H48" s="7">
        <v>50</v>
      </c>
      <c r="I48" s="9">
        <v>0.105</v>
      </c>
      <c r="J48" s="6" t="s">
        <v>693</v>
      </c>
    </row>
    <row r="49" spans="1:10" ht="30" customHeight="1" x14ac:dyDescent="0.25">
      <c r="A49" s="6" t="s">
        <v>304</v>
      </c>
      <c r="B49" s="5">
        <v>18</v>
      </c>
      <c r="C49" s="5"/>
      <c r="D49" s="6" t="s">
        <v>153</v>
      </c>
      <c r="E49" s="7">
        <v>475</v>
      </c>
      <c r="F49" s="5" t="s">
        <v>623</v>
      </c>
      <c r="G49" s="5" t="s">
        <v>303</v>
      </c>
      <c r="H49" s="7">
        <v>75</v>
      </c>
      <c r="I49" s="9">
        <v>0.158</v>
      </c>
      <c r="J49" s="6" t="s">
        <v>703</v>
      </c>
    </row>
    <row r="50" spans="1:10" ht="30" customHeight="1" x14ac:dyDescent="0.25">
      <c r="A50" s="6" t="s">
        <v>304</v>
      </c>
      <c r="B50" s="5">
        <v>18</v>
      </c>
      <c r="C50" s="5"/>
      <c r="D50" s="6" t="s">
        <v>153</v>
      </c>
      <c r="E50" s="7">
        <v>475</v>
      </c>
      <c r="F50" s="5" t="s">
        <v>493</v>
      </c>
      <c r="G50" s="5" t="s">
        <v>384</v>
      </c>
      <c r="H50" s="7">
        <v>125</v>
      </c>
      <c r="I50" s="9">
        <v>0.26300000000000001</v>
      </c>
      <c r="J50" s="6" t="s">
        <v>704</v>
      </c>
    </row>
    <row r="51" spans="1:10" ht="30" customHeight="1" x14ac:dyDescent="0.25">
      <c r="A51" s="6" t="s">
        <v>304</v>
      </c>
      <c r="B51" s="5">
        <v>18</v>
      </c>
      <c r="C51" s="5"/>
      <c r="D51" s="6" t="s">
        <v>153</v>
      </c>
      <c r="E51" s="7">
        <v>475</v>
      </c>
      <c r="F51" s="5" t="s">
        <v>493</v>
      </c>
      <c r="G51" s="5" t="s">
        <v>389</v>
      </c>
      <c r="H51" s="7">
        <v>125</v>
      </c>
      <c r="I51" s="9">
        <v>0.26300000000000001</v>
      </c>
      <c r="J51" s="6" t="s">
        <v>705</v>
      </c>
    </row>
    <row r="52" spans="1:10" x14ac:dyDescent="0.25">
      <c r="A52" s="6" t="s">
        <v>304</v>
      </c>
      <c r="B52" s="5">
        <v>19</v>
      </c>
      <c r="C52" s="5"/>
      <c r="D52" s="6" t="s">
        <v>153</v>
      </c>
      <c r="E52" s="7">
        <v>5</v>
      </c>
      <c r="F52" s="5" t="s">
        <v>302</v>
      </c>
      <c r="G52" s="5" t="s">
        <v>303</v>
      </c>
      <c r="H52" s="7">
        <v>2</v>
      </c>
      <c r="I52" s="9">
        <v>0.4</v>
      </c>
      <c r="J52" s="6" t="s">
        <v>707</v>
      </c>
    </row>
    <row r="53" spans="1:10" x14ac:dyDescent="0.25">
      <c r="A53" s="6" t="s">
        <v>304</v>
      </c>
      <c r="B53" s="5">
        <v>19</v>
      </c>
      <c r="C53" s="5"/>
      <c r="D53" s="6" t="s">
        <v>153</v>
      </c>
      <c r="E53" s="7">
        <v>5</v>
      </c>
      <c r="F53" s="5" t="s">
        <v>493</v>
      </c>
      <c r="G53" s="5" t="s">
        <v>384</v>
      </c>
      <c r="H53" s="7">
        <v>2</v>
      </c>
      <c r="I53" s="9">
        <v>0.4</v>
      </c>
      <c r="J53" s="6" t="s">
        <v>708</v>
      </c>
    </row>
    <row r="54" spans="1:10" x14ac:dyDescent="0.25">
      <c r="A54" s="6" t="s">
        <v>304</v>
      </c>
      <c r="B54" s="5">
        <v>19</v>
      </c>
      <c r="C54" s="5"/>
      <c r="D54" s="6" t="s">
        <v>153</v>
      </c>
      <c r="E54" s="7">
        <v>5</v>
      </c>
      <c r="F54" s="5" t="s">
        <v>493</v>
      </c>
      <c r="G54" s="5" t="s">
        <v>389</v>
      </c>
      <c r="H54" s="7">
        <v>1</v>
      </c>
      <c r="I54" s="9">
        <v>0.2</v>
      </c>
      <c r="J54" s="6" t="s">
        <v>695</v>
      </c>
    </row>
    <row r="55" spans="1:10" x14ac:dyDescent="0.25">
      <c r="A55" s="6" t="s">
        <v>304</v>
      </c>
      <c r="B55" s="5">
        <v>20</v>
      </c>
      <c r="C55" s="5"/>
      <c r="D55" s="6" t="s">
        <v>153</v>
      </c>
      <c r="E55" s="7">
        <v>70</v>
      </c>
      <c r="F55" s="5" t="s">
        <v>422</v>
      </c>
      <c r="G55" s="5" t="s">
        <v>303</v>
      </c>
      <c r="H55" s="7">
        <v>20</v>
      </c>
      <c r="I55" s="9">
        <v>0.28599999999999998</v>
      </c>
      <c r="J55" s="6" t="s">
        <v>709</v>
      </c>
    </row>
    <row r="56" spans="1:10" x14ac:dyDescent="0.25">
      <c r="A56" s="6" t="s">
        <v>304</v>
      </c>
      <c r="B56" s="5">
        <v>20</v>
      </c>
      <c r="C56" s="5"/>
      <c r="D56" s="6" t="s">
        <v>153</v>
      </c>
      <c r="E56" s="7">
        <v>70</v>
      </c>
      <c r="F56" s="5" t="s">
        <v>439</v>
      </c>
      <c r="G56" s="5" t="s">
        <v>303</v>
      </c>
      <c r="H56" s="7">
        <v>20</v>
      </c>
      <c r="I56" s="9">
        <v>0.28599999999999998</v>
      </c>
      <c r="J56" s="6" t="s">
        <v>710</v>
      </c>
    </row>
    <row r="57" spans="1:10" x14ac:dyDescent="0.25">
      <c r="A57" s="6" t="s">
        <v>304</v>
      </c>
      <c r="B57" s="5">
        <v>20</v>
      </c>
      <c r="C57" s="5"/>
      <c r="D57" s="6" t="s">
        <v>153</v>
      </c>
      <c r="E57" s="7">
        <v>70</v>
      </c>
      <c r="F57" s="5" t="s">
        <v>455</v>
      </c>
      <c r="G57" s="5" t="s">
        <v>303</v>
      </c>
      <c r="H57" s="7">
        <v>15</v>
      </c>
      <c r="I57" s="9">
        <v>0.214</v>
      </c>
      <c r="J57" s="6" t="s">
        <v>711</v>
      </c>
    </row>
    <row r="58" spans="1:10" ht="30" customHeight="1" x14ac:dyDescent="0.25">
      <c r="A58" s="6" t="s">
        <v>304</v>
      </c>
      <c r="B58" s="5">
        <v>20</v>
      </c>
      <c r="C58" s="5"/>
      <c r="D58" s="6" t="s">
        <v>153</v>
      </c>
      <c r="E58" s="7">
        <v>70</v>
      </c>
      <c r="F58" s="5" t="s">
        <v>493</v>
      </c>
      <c r="G58" s="5" t="s">
        <v>384</v>
      </c>
      <c r="H58" s="7">
        <v>10</v>
      </c>
      <c r="I58" s="9">
        <v>0.14299999999999999</v>
      </c>
      <c r="J58" s="6" t="s">
        <v>704</v>
      </c>
    </row>
    <row r="59" spans="1:10" ht="30" customHeight="1" x14ac:dyDescent="0.25">
      <c r="A59" s="6" t="s">
        <v>304</v>
      </c>
      <c r="B59" s="5">
        <v>20</v>
      </c>
      <c r="C59" s="5"/>
      <c r="D59" s="6" t="s">
        <v>153</v>
      </c>
      <c r="E59" s="7">
        <v>70</v>
      </c>
      <c r="F59" s="5" t="s">
        <v>493</v>
      </c>
      <c r="G59" s="5" t="s">
        <v>389</v>
      </c>
      <c r="H59" s="7">
        <v>5</v>
      </c>
      <c r="I59" s="9">
        <v>7.0999999999999994E-2</v>
      </c>
      <c r="J59" s="6" t="s">
        <v>705</v>
      </c>
    </row>
    <row r="60" spans="1:10" x14ac:dyDescent="0.25">
      <c r="A60" s="6" t="s">
        <v>304</v>
      </c>
      <c r="B60" s="5">
        <v>21</v>
      </c>
      <c r="C60" s="5"/>
      <c r="D60" s="6" t="s">
        <v>153</v>
      </c>
      <c r="E60" s="7">
        <v>10</v>
      </c>
      <c r="F60" s="5" t="s">
        <v>61</v>
      </c>
      <c r="G60" s="5" t="s">
        <v>303</v>
      </c>
      <c r="H60" s="7">
        <v>4</v>
      </c>
      <c r="I60" s="9">
        <v>0.4</v>
      </c>
      <c r="J60" s="6" t="s">
        <v>693</v>
      </c>
    </row>
    <row r="61" spans="1:10" x14ac:dyDescent="0.25">
      <c r="A61" s="6" t="s">
        <v>304</v>
      </c>
      <c r="B61" s="5">
        <v>21</v>
      </c>
      <c r="C61" s="5"/>
      <c r="D61" s="6" t="s">
        <v>153</v>
      </c>
      <c r="E61" s="7">
        <v>10</v>
      </c>
      <c r="F61" s="5" t="s">
        <v>493</v>
      </c>
      <c r="G61" s="5" t="s">
        <v>384</v>
      </c>
      <c r="H61" s="7">
        <v>3</v>
      </c>
      <c r="I61" s="9">
        <v>0.3</v>
      </c>
      <c r="J61" s="6" t="s">
        <v>708</v>
      </c>
    </row>
    <row r="62" spans="1:10" x14ac:dyDescent="0.25">
      <c r="A62" s="6" t="s">
        <v>304</v>
      </c>
      <c r="B62" s="5">
        <v>21</v>
      </c>
      <c r="C62" s="5"/>
      <c r="D62" s="6" t="s">
        <v>153</v>
      </c>
      <c r="E62" s="7">
        <v>10</v>
      </c>
      <c r="F62" s="5" t="s">
        <v>493</v>
      </c>
      <c r="G62" s="5" t="s">
        <v>389</v>
      </c>
      <c r="H62" s="7">
        <v>3</v>
      </c>
      <c r="I62" s="9">
        <v>0.3</v>
      </c>
      <c r="J62" s="6" t="s">
        <v>695</v>
      </c>
    </row>
    <row r="63" spans="1:10" ht="30" customHeight="1" x14ac:dyDescent="0.25">
      <c r="A63" s="6" t="s">
        <v>304</v>
      </c>
      <c r="B63" s="5">
        <v>22</v>
      </c>
      <c r="C63" s="5"/>
      <c r="D63" s="6" t="s">
        <v>153</v>
      </c>
      <c r="E63" s="7">
        <v>5</v>
      </c>
      <c r="F63" s="5" t="s">
        <v>623</v>
      </c>
      <c r="G63" s="5" t="s">
        <v>303</v>
      </c>
      <c r="H63" s="7">
        <v>3</v>
      </c>
      <c r="I63" s="9">
        <v>0.6</v>
      </c>
      <c r="J63" s="6" t="s">
        <v>703</v>
      </c>
    </row>
    <row r="64" spans="1:10" x14ac:dyDescent="0.25">
      <c r="A64" s="6" t="s">
        <v>304</v>
      </c>
      <c r="B64" s="5">
        <v>22</v>
      </c>
      <c r="C64" s="5"/>
      <c r="D64" s="6" t="s">
        <v>153</v>
      </c>
      <c r="E64" s="7">
        <v>5</v>
      </c>
      <c r="F64" s="5" t="s">
        <v>493</v>
      </c>
      <c r="G64" s="5" t="s">
        <v>384</v>
      </c>
      <c r="H64" s="7">
        <v>1</v>
      </c>
      <c r="I64" s="9">
        <v>0.2</v>
      </c>
      <c r="J64" s="6" t="s">
        <v>708</v>
      </c>
    </row>
    <row r="65" spans="1:10" x14ac:dyDescent="0.25">
      <c r="A65" s="6" t="s">
        <v>304</v>
      </c>
      <c r="B65" s="5">
        <v>22</v>
      </c>
      <c r="C65" s="5"/>
      <c r="D65" s="6" t="s">
        <v>153</v>
      </c>
      <c r="E65" s="7">
        <v>5</v>
      </c>
      <c r="F65" s="5" t="s">
        <v>493</v>
      </c>
      <c r="G65" s="5" t="s">
        <v>389</v>
      </c>
      <c r="H65" s="7">
        <v>1</v>
      </c>
      <c r="I65" s="9">
        <v>0.2</v>
      </c>
      <c r="J65" s="6" t="s">
        <v>695</v>
      </c>
    </row>
    <row r="66" spans="1:10" ht="30" customHeight="1" x14ac:dyDescent="0.25">
      <c r="A66" s="6" t="s">
        <v>304</v>
      </c>
      <c r="B66" s="5">
        <v>23</v>
      </c>
      <c r="C66" s="5"/>
      <c r="D66" s="6" t="s">
        <v>161</v>
      </c>
      <c r="E66" s="7">
        <v>935</v>
      </c>
      <c r="F66" s="5" t="s">
        <v>302</v>
      </c>
      <c r="G66" s="5" t="s">
        <v>303</v>
      </c>
      <c r="H66" s="7">
        <v>150</v>
      </c>
      <c r="I66" s="9">
        <v>0.16</v>
      </c>
      <c r="J66" s="6" t="s">
        <v>712</v>
      </c>
    </row>
    <row r="67" spans="1:10" x14ac:dyDescent="0.25">
      <c r="A67" s="6" t="s">
        <v>304</v>
      </c>
      <c r="B67" s="5">
        <v>23</v>
      </c>
      <c r="C67" s="5"/>
      <c r="D67" s="6" t="s">
        <v>161</v>
      </c>
      <c r="E67" s="7">
        <v>935</v>
      </c>
      <c r="F67" s="5" t="s">
        <v>61</v>
      </c>
      <c r="G67" s="5" t="s">
        <v>303</v>
      </c>
      <c r="H67" s="7">
        <v>100</v>
      </c>
      <c r="I67" s="9">
        <v>0.107</v>
      </c>
      <c r="J67" s="6" t="s">
        <v>713</v>
      </c>
    </row>
    <row r="68" spans="1:10" ht="30" customHeight="1" x14ac:dyDescent="0.25">
      <c r="A68" s="6" t="s">
        <v>304</v>
      </c>
      <c r="B68" s="5">
        <v>23</v>
      </c>
      <c r="C68" s="5"/>
      <c r="D68" s="6" t="s">
        <v>161</v>
      </c>
      <c r="E68" s="7">
        <v>935</v>
      </c>
      <c r="F68" s="5" t="s">
        <v>623</v>
      </c>
      <c r="G68" s="5" t="s">
        <v>303</v>
      </c>
      <c r="H68" s="7">
        <v>150</v>
      </c>
      <c r="I68" s="9">
        <v>0.16</v>
      </c>
      <c r="J68" s="6" t="s">
        <v>714</v>
      </c>
    </row>
    <row r="69" spans="1:10" ht="30" customHeight="1" x14ac:dyDescent="0.25">
      <c r="A69" s="6" t="s">
        <v>304</v>
      </c>
      <c r="B69" s="5">
        <v>23</v>
      </c>
      <c r="C69" s="5"/>
      <c r="D69" s="6" t="s">
        <v>161</v>
      </c>
      <c r="E69" s="7">
        <v>935</v>
      </c>
      <c r="F69" s="5" t="s">
        <v>493</v>
      </c>
      <c r="G69" s="5" t="s">
        <v>384</v>
      </c>
      <c r="H69" s="7">
        <v>268</v>
      </c>
      <c r="I69" s="9">
        <v>0.28699999999999998</v>
      </c>
      <c r="J69" s="6" t="s">
        <v>715</v>
      </c>
    </row>
    <row r="70" spans="1:10" ht="30" customHeight="1" x14ac:dyDescent="0.25">
      <c r="A70" s="6" t="s">
        <v>304</v>
      </c>
      <c r="B70" s="5">
        <v>23</v>
      </c>
      <c r="C70" s="5"/>
      <c r="D70" s="6" t="s">
        <v>161</v>
      </c>
      <c r="E70" s="7">
        <v>935</v>
      </c>
      <c r="F70" s="5" t="s">
        <v>493</v>
      </c>
      <c r="G70" s="5" t="s">
        <v>389</v>
      </c>
      <c r="H70" s="7">
        <v>267</v>
      </c>
      <c r="I70" s="9">
        <v>0.28599999999999998</v>
      </c>
      <c r="J70" s="6" t="s">
        <v>716</v>
      </c>
    </row>
    <row r="71" spans="1:10" x14ac:dyDescent="0.25">
      <c r="A71" s="6" t="s">
        <v>304</v>
      </c>
      <c r="B71" s="5">
        <v>24</v>
      </c>
      <c r="C71" s="5"/>
      <c r="D71" s="6" t="s">
        <v>161</v>
      </c>
      <c r="E71" s="7">
        <v>5</v>
      </c>
      <c r="F71" s="5" t="s">
        <v>302</v>
      </c>
      <c r="G71" s="5" t="s">
        <v>303</v>
      </c>
      <c r="H71" s="7">
        <v>2</v>
      </c>
      <c r="I71" s="9">
        <v>0.4</v>
      </c>
      <c r="J71" s="6" t="s">
        <v>717</v>
      </c>
    </row>
    <row r="72" spans="1:10" x14ac:dyDescent="0.25">
      <c r="A72" s="6" t="s">
        <v>304</v>
      </c>
      <c r="B72" s="5">
        <v>24</v>
      </c>
      <c r="C72" s="5"/>
      <c r="D72" s="6" t="s">
        <v>161</v>
      </c>
      <c r="E72" s="7">
        <v>5</v>
      </c>
      <c r="F72" s="5" t="s">
        <v>61</v>
      </c>
      <c r="G72" s="5" t="s">
        <v>303</v>
      </c>
      <c r="H72" s="7">
        <v>2</v>
      </c>
      <c r="I72" s="9">
        <v>0.4</v>
      </c>
      <c r="J72" s="6" t="s">
        <v>718</v>
      </c>
    </row>
    <row r="73" spans="1:10" ht="30" customHeight="1" x14ac:dyDescent="0.25">
      <c r="A73" s="6" t="s">
        <v>304</v>
      </c>
      <c r="B73" s="5">
        <v>24</v>
      </c>
      <c r="C73" s="5"/>
      <c r="D73" s="6" t="s">
        <v>161</v>
      </c>
      <c r="E73" s="7">
        <v>5</v>
      </c>
      <c r="F73" s="5" t="s">
        <v>623</v>
      </c>
      <c r="G73" s="5" t="s">
        <v>303</v>
      </c>
      <c r="H73" s="7">
        <v>1</v>
      </c>
      <c r="I73" s="9">
        <v>0.2</v>
      </c>
      <c r="J73" s="6" t="s">
        <v>719</v>
      </c>
    </row>
    <row r="74" spans="1:10" ht="30" customHeight="1" x14ac:dyDescent="0.25">
      <c r="A74" s="6" t="s">
        <v>304</v>
      </c>
      <c r="B74" s="5">
        <v>25</v>
      </c>
      <c r="C74" s="5"/>
      <c r="D74" s="6" t="s">
        <v>161</v>
      </c>
      <c r="E74" s="7">
        <v>35</v>
      </c>
      <c r="F74" s="5" t="s">
        <v>493</v>
      </c>
      <c r="G74" s="5" t="s">
        <v>384</v>
      </c>
      <c r="H74" s="7">
        <v>18</v>
      </c>
      <c r="I74" s="9">
        <v>0.51400000000000001</v>
      </c>
      <c r="J74" s="6" t="s">
        <v>720</v>
      </c>
    </row>
    <row r="75" spans="1:10" ht="30" customHeight="1" x14ac:dyDescent="0.25">
      <c r="A75" s="6" t="s">
        <v>304</v>
      </c>
      <c r="B75" s="5">
        <v>25</v>
      </c>
      <c r="C75" s="5"/>
      <c r="D75" s="6" t="s">
        <v>161</v>
      </c>
      <c r="E75" s="7">
        <v>35</v>
      </c>
      <c r="F75" s="5" t="s">
        <v>493</v>
      </c>
      <c r="G75" s="5" t="s">
        <v>389</v>
      </c>
      <c r="H75" s="7">
        <v>17</v>
      </c>
      <c r="I75" s="9">
        <v>0.48599999999999999</v>
      </c>
      <c r="J75" s="6" t="s">
        <v>721</v>
      </c>
    </row>
    <row r="76" spans="1:10" ht="30" customHeight="1" x14ac:dyDescent="0.25">
      <c r="A76" s="6" t="s">
        <v>304</v>
      </c>
      <c r="B76" s="5">
        <v>26</v>
      </c>
      <c r="C76" s="5"/>
      <c r="D76" s="6" t="s">
        <v>161</v>
      </c>
      <c r="E76" s="7">
        <v>150</v>
      </c>
      <c r="F76" s="5" t="s">
        <v>493</v>
      </c>
      <c r="G76" s="5" t="s">
        <v>384</v>
      </c>
      <c r="H76" s="7">
        <v>75</v>
      </c>
      <c r="I76" s="9">
        <v>0.5</v>
      </c>
      <c r="J76" s="6" t="s">
        <v>722</v>
      </c>
    </row>
    <row r="77" spans="1:10" ht="30" customHeight="1" x14ac:dyDescent="0.25">
      <c r="A77" s="6" t="s">
        <v>304</v>
      </c>
      <c r="B77" s="5">
        <v>26</v>
      </c>
      <c r="C77" s="5"/>
      <c r="D77" s="6" t="s">
        <v>161</v>
      </c>
      <c r="E77" s="7">
        <v>150</v>
      </c>
      <c r="F77" s="5" t="s">
        <v>493</v>
      </c>
      <c r="G77" s="5" t="s">
        <v>389</v>
      </c>
      <c r="H77" s="7">
        <v>75</v>
      </c>
      <c r="I77" s="9">
        <v>0.5</v>
      </c>
      <c r="J77" s="6" t="s">
        <v>723</v>
      </c>
    </row>
    <row r="78" spans="1:10" ht="30" customHeight="1" x14ac:dyDescent="0.25">
      <c r="A78" s="6" t="s">
        <v>304</v>
      </c>
      <c r="B78" s="5">
        <v>27</v>
      </c>
      <c r="C78" s="5"/>
      <c r="D78" s="6" t="s">
        <v>152</v>
      </c>
      <c r="E78" s="7">
        <v>130</v>
      </c>
      <c r="F78" s="5" t="s">
        <v>493</v>
      </c>
      <c r="G78" s="5" t="s">
        <v>384</v>
      </c>
      <c r="H78" s="7">
        <v>65</v>
      </c>
      <c r="I78" s="9">
        <v>0.5</v>
      </c>
      <c r="J78" s="6" t="s">
        <v>720</v>
      </c>
    </row>
    <row r="79" spans="1:10" ht="30" customHeight="1" x14ac:dyDescent="0.25">
      <c r="A79" s="6" t="s">
        <v>304</v>
      </c>
      <c r="B79" s="5">
        <v>27</v>
      </c>
      <c r="C79" s="5"/>
      <c r="D79" s="6" t="s">
        <v>152</v>
      </c>
      <c r="E79" s="7">
        <v>130</v>
      </c>
      <c r="F79" s="5" t="s">
        <v>493</v>
      </c>
      <c r="G79" s="5" t="s">
        <v>389</v>
      </c>
      <c r="H79" s="7">
        <v>65</v>
      </c>
      <c r="I79" s="9">
        <v>0.5</v>
      </c>
      <c r="J79" s="6" t="s">
        <v>721</v>
      </c>
    </row>
    <row r="80" spans="1:10" ht="30" customHeight="1" x14ac:dyDescent="0.25">
      <c r="A80" s="6" t="s">
        <v>304</v>
      </c>
      <c r="B80" s="5">
        <v>28</v>
      </c>
      <c r="C80" s="5"/>
      <c r="D80" s="6" t="s">
        <v>160</v>
      </c>
      <c r="E80" s="7">
        <v>175</v>
      </c>
      <c r="F80" s="5" t="s">
        <v>493</v>
      </c>
      <c r="G80" s="5" t="s">
        <v>384</v>
      </c>
      <c r="H80" s="7">
        <v>87.5</v>
      </c>
      <c r="I80" s="9">
        <v>0.5</v>
      </c>
      <c r="J80" s="6" t="s">
        <v>724</v>
      </c>
    </row>
    <row r="81" spans="1:10" ht="30" customHeight="1" x14ac:dyDescent="0.25">
      <c r="A81" s="6" t="s">
        <v>304</v>
      </c>
      <c r="B81" s="5">
        <v>28</v>
      </c>
      <c r="C81" s="5"/>
      <c r="D81" s="6" t="s">
        <v>160</v>
      </c>
      <c r="E81" s="7">
        <v>175</v>
      </c>
      <c r="F81" s="5" t="s">
        <v>493</v>
      </c>
      <c r="G81" s="5" t="s">
        <v>389</v>
      </c>
      <c r="H81" s="7">
        <v>87.5</v>
      </c>
      <c r="I81" s="9">
        <v>0.5</v>
      </c>
      <c r="J81" s="6" t="s">
        <v>725</v>
      </c>
    </row>
    <row r="82" spans="1:10" ht="30" customHeight="1" x14ac:dyDescent="0.25">
      <c r="A82" s="6" t="s">
        <v>304</v>
      </c>
      <c r="B82" s="5">
        <v>29</v>
      </c>
      <c r="C82" s="5"/>
      <c r="D82" s="6" t="s">
        <v>163</v>
      </c>
      <c r="E82" s="7">
        <v>10</v>
      </c>
      <c r="F82" s="5" t="s">
        <v>493</v>
      </c>
      <c r="G82" s="5" t="s">
        <v>303</v>
      </c>
      <c r="H82" s="7">
        <v>5</v>
      </c>
      <c r="I82" s="9">
        <v>0.5</v>
      </c>
      <c r="J82" s="6" t="s">
        <v>726</v>
      </c>
    </row>
    <row r="83" spans="1:10" x14ac:dyDescent="0.25">
      <c r="A83" s="6" t="s">
        <v>304</v>
      </c>
      <c r="B83" s="5">
        <v>29</v>
      </c>
      <c r="C83" s="5"/>
      <c r="D83" s="6" t="s">
        <v>163</v>
      </c>
      <c r="E83" s="7">
        <v>10</v>
      </c>
      <c r="F83" s="5" t="s">
        <v>623</v>
      </c>
      <c r="G83" s="5" t="s">
        <v>303</v>
      </c>
      <c r="H83" s="7">
        <v>5</v>
      </c>
      <c r="I83" s="9">
        <v>0.5</v>
      </c>
      <c r="J83" s="6" t="s">
        <v>727</v>
      </c>
    </row>
    <row r="84" spans="1:10" ht="30" customHeight="1" x14ac:dyDescent="0.25">
      <c r="A84" s="6" t="s">
        <v>304</v>
      </c>
      <c r="B84" s="5">
        <v>30</v>
      </c>
      <c r="C84" s="5"/>
      <c r="D84" s="6" t="s">
        <v>163</v>
      </c>
      <c r="E84" s="7">
        <v>400</v>
      </c>
      <c r="F84" s="5" t="s">
        <v>493</v>
      </c>
      <c r="G84" s="5" t="s">
        <v>384</v>
      </c>
      <c r="H84" s="7">
        <v>150</v>
      </c>
      <c r="I84" s="9">
        <v>0.375</v>
      </c>
      <c r="J84" s="6" t="s">
        <v>728</v>
      </c>
    </row>
    <row r="85" spans="1:10" ht="30" customHeight="1" x14ac:dyDescent="0.25">
      <c r="A85" s="6" t="s">
        <v>304</v>
      </c>
      <c r="B85" s="5">
        <v>30</v>
      </c>
      <c r="C85" s="5"/>
      <c r="D85" s="6" t="s">
        <v>163</v>
      </c>
      <c r="E85" s="7">
        <v>400</v>
      </c>
      <c r="F85" s="5" t="s">
        <v>493</v>
      </c>
      <c r="G85" s="5" t="s">
        <v>389</v>
      </c>
      <c r="H85" s="7">
        <v>150</v>
      </c>
      <c r="I85" s="9">
        <v>0.375</v>
      </c>
      <c r="J85" s="6" t="s">
        <v>729</v>
      </c>
    </row>
    <row r="86" spans="1:10" ht="30" customHeight="1" x14ac:dyDescent="0.25">
      <c r="A86" s="6" t="s">
        <v>304</v>
      </c>
      <c r="B86" s="5">
        <v>30</v>
      </c>
      <c r="C86" s="5"/>
      <c r="D86" s="6" t="s">
        <v>163</v>
      </c>
      <c r="E86" s="7">
        <v>400</v>
      </c>
      <c r="F86" s="5" t="s">
        <v>623</v>
      </c>
      <c r="G86" s="5" t="s">
        <v>303</v>
      </c>
      <c r="H86" s="7">
        <v>100</v>
      </c>
      <c r="I86" s="9">
        <v>0.25</v>
      </c>
      <c r="J86" s="6" t="s">
        <v>730</v>
      </c>
    </row>
    <row r="87" spans="1:10" ht="30" customHeight="1" x14ac:dyDescent="0.25">
      <c r="A87" s="6" t="s">
        <v>304</v>
      </c>
      <c r="B87" s="5">
        <v>31</v>
      </c>
      <c r="C87" s="5"/>
      <c r="D87" s="6" t="s">
        <v>163</v>
      </c>
      <c r="E87" s="7">
        <v>10</v>
      </c>
      <c r="F87" s="5" t="s">
        <v>493</v>
      </c>
      <c r="G87" s="5" t="s">
        <v>303</v>
      </c>
      <c r="H87" s="7">
        <v>10</v>
      </c>
      <c r="I87" s="9">
        <v>1</v>
      </c>
      <c r="J87" s="6" t="s">
        <v>731</v>
      </c>
    </row>
    <row r="88" spans="1:10" ht="30" customHeight="1" x14ac:dyDescent="0.25">
      <c r="A88" s="6" t="s">
        <v>304</v>
      </c>
      <c r="B88" s="5">
        <v>32</v>
      </c>
      <c r="C88" s="5"/>
      <c r="D88" s="6" t="s">
        <v>124</v>
      </c>
      <c r="E88" s="7">
        <v>485</v>
      </c>
      <c r="F88" s="5" t="s">
        <v>493</v>
      </c>
      <c r="G88" s="5" t="s">
        <v>384</v>
      </c>
      <c r="H88" s="7">
        <v>242.5</v>
      </c>
      <c r="I88" s="9">
        <v>0.5</v>
      </c>
      <c r="J88" s="6" t="s">
        <v>732</v>
      </c>
    </row>
    <row r="89" spans="1:10" ht="30" customHeight="1" x14ac:dyDescent="0.25">
      <c r="A89" s="6" t="s">
        <v>304</v>
      </c>
      <c r="B89" s="5">
        <v>32</v>
      </c>
      <c r="C89" s="5"/>
      <c r="D89" s="6" t="s">
        <v>124</v>
      </c>
      <c r="E89" s="7">
        <v>485</v>
      </c>
      <c r="F89" s="5" t="s">
        <v>493</v>
      </c>
      <c r="G89" s="5" t="s">
        <v>389</v>
      </c>
      <c r="H89" s="7">
        <v>242.5</v>
      </c>
      <c r="I89" s="9">
        <v>0.5</v>
      </c>
      <c r="J89" s="6" t="s">
        <v>733</v>
      </c>
    </row>
    <row r="90" spans="1:10" ht="30" customHeight="1" x14ac:dyDescent="0.25">
      <c r="A90" s="6" t="s">
        <v>304</v>
      </c>
      <c r="B90" s="5">
        <v>33</v>
      </c>
      <c r="C90" s="5"/>
      <c r="D90" s="6" t="s">
        <v>124</v>
      </c>
      <c r="E90" s="7">
        <v>5</v>
      </c>
      <c r="F90" s="5" t="s">
        <v>623</v>
      </c>
      <c r="G90" s="5" t="s">
        <v>303</v>
      </c>
      <c r="H90" s="7">
        <v>5</v>
      </c>
      <c r="I90" s="9">
        <v>1</v>
      </c>
      <c r="J90" s="6" t="s">
        <v>734</v>
      </c>
    </row>
    <row r="91" spans="1:10" ht="30" customHeight="1" x14ac:dyDescent="0.25">
      <c r="A91" s="6" t="s">
        <v>304</v>
      </c>
      <c r="B91" s="5">
        <v>34</v>
      </c>
      <c r="C91" s="5"/>
      <c r="D91" s="6" t="s">
        <v>127</v>
      </c>
      <c r="E91" s="7">
        <v>30</v>
      </c>
      <c r="F91" s="5" t="s">
        <v>493</v>
      </c>
      <c r="G91" s="5" t="s">
        <v>303</v>
      </c>
      <c r="H91" s="7">
        <v>15</v>
      </c>
      <c r="I91" s="9">
        <v>0.5</v>
      </c>
      <c r="J91" s="6" t="s">
        <v>735</v>
      </c>
    </row>
    <row r="92" spans="1:10" ht="30" customHeight="1" x14ac:dyDescent="0.25">
      <c r="A92" s="6" t="s">
        <v>304</v>
      </c>
      <c r="B92" s="5">
        <v>34</v>
      </c>
      <c r="C92" s="5"/>
      <c r="D92" s="6" t="s">
        <v>127</v>
      </c>
      <c r="E92" s="7">
        <v>30</v>
      </c>
      <c r="F92" s="5" t="s">
        <v>623</v>
      </c>
      <c r="G92" s="5" t="s">
        <v>303</v>
      </c>
      <c r="H92" s="7">
        <v>15</v>
      </c>
      <c r="I92" s="9">
        <v>0.5</v>
      </c>
      <c r="J92" s="6" t="s">
        <v>736</v>
      </c>
    </row>
    <row r="93" spans="1:10" ht="30" customHeight="1" x14ac:dyDescent="0.25">
      <c r="A93" s="6" t="s">
        <v>304</v>
      </c>
      <c r="B93" s="5">
        <v>35</v>
      </c>
      <c r="C93" s="5"/>
      <c r="D93" s="6" t="s">
        <v>127</v>
      </c>
      <c r="E93" s="7">
        <v>50</v>
      </c>
      <c r="F93" s="5" t="s">
        <v>493</v>
      </c>
      <c r="G93" s="5" t="s">
        <v>384</v>
      </c>
      <c r="H93" s="7">
        <v>25</v>
      </c>
      <c r="I93" s="9">
        <v>0.5</v>
      </c>
      <c r="J93" s="6" t="s">
        <v>732</v>
      </c>
    </row>
    <row r="94" spans="1:10" ht="30" customHeight="1" x14ac:dyDescent="0.25">
      <c r="A94" s="6" t="s">
        <v>304</v>
      </c>
      <c r="B94" s="5">
        <v>35</v>
      </c>
      <c r="C94" s="5"/>
      <c r="D94" s="6" t="s">
        <v>127</v>
      </c>
      <c r="E94" s="7">
        <v>50</v>
      </c>
      <c r="F94" s="5" t="s">
        <v>493</v>
      </c>
      <c r="G94" s="5" t="s">
        <v>389</v>
      </c>
      <c r="H94" s="7">
        <v>25</v>
      </c>
      <c r="I94" s="9">
        <v>0.5</v>
      </c>
      <c r="J94" s="6" t="s">
        <v>733</v>
      </c>
    </row>
    <row r="95" spans="1:10" ht="30" customHeight="1" x14ac:dyDescent="0.25">
      <c r="A95" s="6" t="s">
        <v>304</v>
      </c>
      <c r="B95" s="5">
        <v>36</v>
      </c>
      <c r="C95" s="5"/>
      <c r="D95" s="6" t="s">
        <v>147</v>
      </c>
      <c r="E95" s="7">
        <v>5</v>
      </c>
      <c r="F95" s="5" t="s">
        <v>493</v>
      </c>
      <c r="G95" s="5" t="s">
        <v>303</v>
      </c>
      <c r="H95" s="7">
        <v>3</v>
      </c>
      <c r="I95" s="9">
        <v>0.6</v>
      </c>
      <c r="J95" s="6" t="s">
        <v>737</v>
      </c>
    </row>
    <row r="96" spans="1:10" ht="30" customHeight="1" x14ac:dyDescent="0.25">
      <c r="A96" s="6" t="s">
        <v>304</v>
      </c>
      <c r="B96" s="5">
        <v>36</v>
      </c>
      <c r="C96" s="5"/>
      <c r="D96" s="6" t="s">
        <v>147</v>
      </c>
      <c r="E96" s="7">
        <v>5</v>
      </c>
      <c r="F96" s="5" t="s">
        <v>623</v>
      </c>
      <c r="G96" s="5" t="s">
        <v>303</v>
      </c>
      <c r="H96" s="7">
        <v>2</v>
      </c>
      <c r="I96" s="9">
        <v>0.4</v>
      </c>
      <c r="J96" s="6" t="s">
        <v>738</v>
      </c>
    </row>
    <row r="97" spans="1:10" x14ac:dyDescent="0.25">
      <c r="A97" s="6" t="s">
        <v>304</v>
      </c>
      <c r="B97" s="5">
        <v>37</v>
      </c>
      <c r="C97" s="5"/>
      <c r="D97" s="6" t="s">
        <v>147</v>
      </c>
      <c r="E97" s="7">
        <v>205</v>
      </c>
      <c r="F97" s="5" t="s">
        <v>493</v>
      </c>
      <c r="G97" s="5" t="s">
        <v>384</v>
      </c>
      <c r="H97" s="7">
        <v>102</v>
      </c>
      <c r="I97" s="9">
        <v>0.5</v>
      </c>
      <c r="J97" s="6" t="s">
        <v>739</v>
      </c>
    </row>
    <row r="98" spans="1:10" x14ac:dyDescent="0.25">
      <c r="A98" s="6" t="s">
        <v>304</v>
      </c>
      <c r="B98" s="5">
        <v>37</v>
      </c>
      <c r="C98" s="5"/>
      <c r="D98" s="6" t="s">
        <v>147</v>
      </c>
      <c r="E98" s="7">
        <v>205</v>
      </c>
      <c r="F98" s="5" t="s">
        <v>493</v>
      </c>
      <c r="G98" s="5" t="s">
        <v>389</v>
      </c>
      <c r="H98" s="7">
        <v>103</v>
      </c>
      <c r="I98" s="9">
        <v>0.5</v>
      </c>
      <c r="J98" s="6" t="s">
        <v>740</v>
      </c>
    </row>
    <row r="99" spans="1:10" x14ac:dyDescent="0.25">
      <c r="A99" s="6" t="s">
        <v>304</v>
      </c>
      <c r="B99" s="5">
        <v>38</v>
      </c>
      <c r="C99" s="5"/>
      <c r="D99" s="6" t="s">
        <v>147</v>
      </c>
      <c r="E99" s="7">
        <v>5</v>
      </c>
      <c r="F99" s="5" t="s">
        <v>623</v>
      </c>
      <c r="G99" s="5" t="s">
        <v>303</v>
      </c>
      <c r="H99" s="7">
        <v>3</v>
      </c>
      <c r="I99" s="9">
        <v>0.6</v>
      </c>
      <c r="J99" s="6" t="s">
        <v>741</v>
      </c>
    </row>
    <row r="100" spans="1:10" x14ac:dyDescent="0.25">
      <c r="A100" s="6" t="s">
        <v>304</v>
      </c>
      <c r="B100" s="5">
        <v>38</v>
      </c>
      <c r="C100" s="5"/>
      <c r="D100" s="6" t="s">
        <v>147</v>
      </c>
      <c r="E100" s="7">
        <v>5</v>
      </c>
      <c r="F100" s="5" t="s">
        <v>302</v>
      </c>
      <c r="G100" s="5" t="s">
        <v>303</v>
      </c>
      <c r="H100" s="7">
        <v>2</v>
      </c>
      <c r="I100" s="9">
        <v>0.4</v>
      </c>
      <c r="J100" s="6" t="s">
        <v>742</v>
      </c>
    </row>
    <row r="101" spans="1:10" x14ac:dyDescent="0.25">
      <c r="A101" s="6" t="s">
        <v>304</v>
      </c>
      <c r="B101" s="5">
        <v>39</v>
      </c>
      <c r="C101" s="5"/>
      <c r="D101" s="6" t="s">
        <v>120</v>
      </c>
      <c r="E101" s="7">
        <v>2280</v>
      </c>
      <c r="F101" s="5" t="s">
        <v>493</v>
      </c>
      <c r="G101" s="5" t="s">
        <v>384</v>
      </c>
      <c r="H101" s="7">
        <v>1140</v>
      </c>
      <c r="I101" s="9">
        <v>0.5</v>
      </c>
      <c r="J101" s="6" t="s">
        <v>743</v>
      </c>
    </row>
    <row r="102" spans="1:10" x14ac:dyDescent="0.25">
      <c r="A102" s="6" t="s">
        <v>304</v>
      </c>
      <c r="B102" s="5">
        <v>39</v>
      </c>
      <c r="C102" s="5"/>
      <c r="D102" s="6" t="s">
        <v>120</v>
      </c>
      <c r="E102" s="7">
        <v>2280</v>
      </c>
      <c r="F102" s="5" t="s">
        <v>493</v>
      </c>
      <c r="G102" s="5" t="s">
        <v>389</v>
      </c>
      <c r="H102" s="7">
        <v>1140</v>
      </c>
      <c r="I102" s="9">
        <v>0.5</v>
      </c>
      <c r="J102" s="6" t="s">
        <v>744</v>
      </c>
    </row>
    <row r="103" spans="1:10" x14ac:dyDescent="0.25">
      <c r="A103" s="6" t="s">
        <v>304</v>
      </c>
      <c r="B103" s="5">
        <v>40</v>
      </c>
      <c r="C103" s="5"/>
      <c r="D103" s="6" t="s">
        <v>120</v>
      </c>
      <c r="E103" s="7">
        <v>195</v>
      </c>
      <c r="F103" s="5" t="s">
        <v>493</v>
      </c>
      <c r="G103" s="5" t="s">
        <v>303</v>
      </c>
      <c r="H103" s="7">
        <v>100</v>
      </c>
      <c r="I103" s="9">
        <v>0.51</v>
      </c>
      <c r="J103" s="6" t="s">
        <v>745</v>
      </c>
    </row>
    <row r="104" spans="1:10" x14ac:dyDescent="0.25">
      <c r="A104" s="6" t="s">
        <v>304</v>
      </c>
      <c r="B104" s="5">
        <v>40</v>
      </c>
      <c r="C104" s="5"/>
      <c r="D104" s="6" t="s">
        <v>120</v>
      </c>
      <c r="E104" s="7">
        <v>195</v>
      </c>
      <c r="F104" s="5" t="s">
        <v>61</v>
      </c>
      <c r="G104" s="5" t="s">
        <v>303</v>
      </c>
      <c r="H104" s="7">
        <v>50</v>
      </c>
      <c r="I104" s="9">
        <v>0.26</v>
      </c>
      <c r="J104" s="6" t="s">
        <v>746</v>
      </c>
    </row>
    <row r="105" spans="1:10" x14ac:dyDescent="0.25">
      <c r="A105" s="6" t="s">
        <v>304</v>
      </c>
      <c r="B105" s="5">
        <v>40</v>
      </c>
      <c r="C105" s="5"/>
      <c r="D105" s="6" t="s">
        <v>120</v>
      </c>
      <c r="E105" s="7">
        <v>195</v>
      </c>
      <c r="F105" s="5" t="s">
        <v>302</v>
      </c>
      <c r="G105" s="5" t="s">
        <v>303</v>
      </c>
      <c r="H105" s="7">
        <v>45</v>
      </c>
      <c r="I105" s="9">
        <v>0.23</v>
      </c>
      <c r="J105" s="6" t="s">
        <v>747</v>
      </c>
    </row>
    <row r="106" spans="1:10" x14ac:dyDescent="0.25">
      <c r="A106" s="6" t="s">
        <v>304</v>
      </c>
      <c r="B106" s="5">
        <v>41</v>
      </c>
      <c r="C106" s="5"/>
      <c r="D106" s="6" t="s">
        <v>120</v>
      </c>
      <c r="E106" s="7">
        <v>35</v>
      </c>
      <c r="F106" s="5" t="s">
        <v>623</v>
      </c>
      <c r="G106" s="5" t="s">
        <v>303</v>
      </c>
      <c r="H106" s="7">
        <v>15</v>
      </c>
      <c r="I106" s="9">
        <v>0.43</v>
      </c>
      <c r="J106" s="6" t="s">
        <v>748</v>
      </c>
    </row>
    <row r="107" spans="1:10" x14ac:dyDescent="0.25">
      <c r="A107" s="6" t="s">
        <v>304</v>
      </c>
      <c r="B107" s="5">
        <v>41</v>
      </c>
      <c r="C107" s="5"/>
      <c r="D107" s="6" t="s">
        <v>120</v>
      </c>
      <c r="E107" s="7">
        <v>35</v>
      </c>
      <c r="F107" s="5" t="s">
        <v>302</v>
      </c>
      <c r="G107" s="5" t="s">
        <v>303</v>
      </c>
      <c r="H107" s="7">
        <v>20</v>
      </c>
      <c r="I107" s="9">
        <v>0.56999999999999995</v>
      </c>
      <c r="J107" s="6" t="s">
        <v>747</v>
      </c>
    </row>
    <row r="108" spans="1:10" ht="30" customHeight="1" x14ac:dyDescent="0.25">
      <c r="A108" s="6" t="s">
        <v>304</v>
      </c>
      <c r="B108" s="5">
        <v>42</v>
      </c>
      <c r="C108" s="5"/>
      <c r="D108" s="6" t="s">
        <v>130</v>
      </c>
      <c r="E108" s="7">
        <v>1075</v>
      </c>
      <c r="F108" s="5" t="s">
        <v>493</v>
      </c>
      <c r="G108" s="5" t="s">
        <v>384</v>
      </c>
      <c r="H108" s="7">
        <v>300</v>
      </c>
      <c r="I108" s="9">
        <v>0.28000000000000003</v>
      </c>
      <c r="J108" s="6" t="s">
        <v>749</v>
      </c>
    </row>
    <row r="109" spans="1:10" ht="30" customHeight="1" x14ac:dyDescent="0.25">
      <c r="A109" s="6" t="s">
        <v>304</v>
      </c>
      <c r="B109" s="5">
        <v>42</v>
      </c>
      <c r="C109" s="5"/>
      <c r="D109" s="6" t="s">
        <v>130</v>
      </c>
      <c r="E109" s="7">
        <v>1075</v>
      </c>
      <c r="F109" s="5" t="s">
        <v>493</v>
      </c>
      <c r="G109" s="5" t="s">
        <v>389</v>
      </c>
      <c r="H109" s="7">
        <v>300</v>
      </c>
      <c r="I109" s="9">
        <v>0.28000000000000003</v>
      </c>
      <c r="J109" s="6" t="s">
        <v>750</v>
      </c>
    </row>
    <row r="110" spans="1:10" ht="30" customHeight="1" x14ac:dyDescent="0.25">
      <c r="A110" s="6" t="s">
        <v>304</v>
      </c>
      <c r="B110" s="5">
        <v>42</v>
      </c>
      <c r="C110" s="5"/>
      <c r="D110" s="6" t="s">
        <v>130</v>
      </c>
      <c r="E110" s="7">
        <v>1075</v>
      </c>
      <c r="F110" s="5" t="s">
        <v>61</v>
      </c>
      <c r="G110" s="5" t="s">
        <v>303</v>
      </c>
      <c r="H110" s="7">
        <v>200</v>
      </c>
      <c r="I110" s="9">
        <v>0.18</v>
      </c>
      <c r="J110" s="6" t="s">
        <v>751</v>
      </c>
    </row>
    <row r="111" spans="1:10" ht="30" customHeight="1" x14ac:dyDescent="0.25">
      <c r="A111" s="6" t="s">
        <v>304</v>
      </c>
      <c r="B111" s="5">
        <v>42</v>
      </c>
      <c r="C111" s="5"/>
      <c r="D111" s="6" t="s">
        <v>130</v>
      </c>
      <c r="E111" s="7">
        <v>1075</v>
      </c>
      <c r="F111" s="5" t="s">
        <v>302</v>
      </c>
      <c r="G111" s="5" t="s">
        <v>303</v>
      </c>
      <c r="H111" s="7">
        <v>275</v>
      </c>
      <c r="I111" s="9">
        <v>0.26</v>
      </c>
      <c r="J111" s="6" t="s">
        <v>752</v>
      </c>
    </row>
    <row r="112" spans="1:10" ht="30" customHeight="1" x14ac:dyDescent="0.25">
      <c r="A112" s="6" t="s">
        <v>304</v>
      </c>
      <c r="B112" s="5">
        <v>43</v>
      </c>
      <c r="C112" s="5"/>
      <c r="D112" s="6" t="s">
        <v>130</v>
      </c>
      <c r="E112" s="7">
        <v>255</v>
      </c>
      <c r="F112" s="5" t="s">
        <v>493</v>
      </c>
      <c r="G112" s="5" t="s">
        <v>384</v>
      </c>
      <c r="H112" s="7">
        <v>80</v>
      </c>
      <c r="I112" s="9">
        <v>0.31</v>
      </c>
      <c r="J112" s="6" t="s">
        <v>753</v>
      </c>
    </row>
    <row r="113" spans="1:10" ht="30" customHeight="1" x14ac:dyDescent="0.25">
      <c r="A113" s="6" t="s">
        <v>304</v>
      </c>
      <c r="B113" s="5">
        <v>43</v>
      </c>
      <c r="C113" s="5"/>
      <c r="D113" s="6" t="s">
        <v>130</v>
      </c>
      <c r="E113" s="7">
        <v>255</v>
      </c>
      <c r="F113" s="5" t="s">
        <v>493</v>
      </c>
      <c r="G113" s="5" t="s">
        <v>389</v>
      </c>
      <c r="H113" s="7">
        <v>80</v>
      </c>
      <c r="I113" s="9">
        <v>0.31</v>
      </c>
      <c r="J113" s="6" t="s">
        <v>754</v>
      </c>
    </row>
    <row r="114" spans="1:10" ht="30" customHeight="1" x14ac:dyDescent="0.25">
      <c r="A114" s="6" t="s">
        <v>304</v>
      </c>
      <c r="B114" s="5">
        <v>43</v>
      </c>
      <c r="C114" s="5"/>
      <c r="D114" s="6" t="s">
        <v>130</v>
      </c>
      <c r="E114" s="7">
        <v>255</v>
      </c>
      <c r="F114" s="5" t="s">
        <v>61</v>
      </c>
      <c r="G114" s="5" t="s">
        <v>303</v>
      </c>
      <c r="H114" s="7">
        <v>60</v>
      </c>
      <c r="I114" s="9">
        <v>0.24</v>
      </c>
      <c r="J114" s="6" t="s">
        <v>751</v>
      </c>
    </row>
    <row r="115" spans="1:10" ht="30" customHeight="1" x14ac:dyDescent="0.25">
      <c r="A115" s="6" t="s">
        <v>304</v>
      </c>
      <c r="B115" s="5">
        <v>43</v>
      </c>
      <c r="C115" s="5"/>
      <c r="D115" s="6" t="s">
        <v>130</v>
      </c>
      <c r="E115" s="7">
        <v>255</v>
      </c>
      <c r="F115" s="5" t="s">
        <v>302</v>
      </c>
      <c r="G115" s="5" t="s">
        <v>303</v>
      </c>
      <c r="H115" s="7">
        <v>35</v>
      </c>
      <c r="I115" s="9">
        <v>0.14000000000000001</v>
      </c>
      <c r="J115" s="6" t="s">
        <v>752</v>
      </c>
    </row>
    <row r="116" spans="1:10" ht="30" customHeight="1" x14ac:dyDescent="0.25">
      <c r="A116" s="6" t="s">
        <v>304</v>
      </c>
      <c r="B116" s="5">
        <v>44</v>
      </c>
      <c r="C116" s="5"/>
      <c r="D116" s="6" t="s">
        <v>144</v>
      </c>
      <c r="E116" s="7">
        <v>5</v>
      </c>
      <c r="F116" s="5" t="s">
        <v>623</v>
      </c>
      <c r="G116" s="5" t="s">
        <v>303</v>
      </c>
      <c r="H116" s="7">
        <v>3</v>
      </c>
      <c r="I116" s="9">
        <v>0.6</v>
      </c>
      <c r="J116" s="6" t="s">
        <v>755</v>
      </c>
    </row>
    <row r="117" spans="1:10" x14ac:dyDescent="0.25">
      <c r="A117" s="6" t="s">
        <v>304</v>
      </c>
      <c r="B117" s="5">
        <v>44</v>
      </c>
      <c r="C117" s="5"/>
      <c r="D117" s="6" t="s">
        <v>144</v>
      </c>
      <c r="E117" s="7">
        <v>5</v>
      </c>
      <c r="F117" s="5" t="s">
        <v>302</v>
      </c>
      <c r="G117" s="5" t="s">
        <v>303</v>
      </c>
      <c r="H117" s="7">
        <v>2</v>
      </c>
      <c r="I117" s="9">
        <v>0.4</v>
      </c>
      <c r="J117" s="6" t="s">
        <v>756</v>
      </c>
    </row>
    <row r="118" spans="1:10" x14ac:dyDescent="0.25">
      <c r="A118" s="6" t="s">
        <v>304</v>
      </c>
      <c r="B118" s="5">
        <v>45</v>
      </c>
      <c r="C118" s="5"/>
      <c r="D118" s="6" t="s">
        <v>145</v>
      </c>
      <c r="E118" s="7">
        <v>660</v>
      </c>
      <c r="F118" s="5" t="s">
        <v>493</v>
      </c>
      <c r="G118" s="5" t="s">
        <v>384</v>
      </c>
      <c r="H118" s="7">
        <v>330</v>
      </c>
      <c r="I118" s="9">
        <v>0.5</v>
      </c>
      <c r="J118" s="6" t="s">
        <v>757</v>
      </c>
    </row>
    <row r="119" spans="1:10" x14ac:dyDescent="0.25">
      <c r="A119" s="6" t="s">
        <v>304</v>
      </c>
      <c r="B119" s="5">
        <v>45</v>
      </c>
      <c r="C119" s="5"/>
      <c r="D119" s="6" t="s">
        <v>145</v>
      </c>
      <c r="E119" s="7">
        <v>660</v>
      </c>
      <c r="F119" s="5" t="s">
        <v>493</v>
      </c>
      <c r="G119" s="5" t="s">
        <v>389</v>
      </c>
      <c r="H119" s="7">
        <v>330</v>
      </c>
      <c r="I119" s="9">
        <v>0.5</v>
      </c>
      <c r="J119" s="6" t="s">
        <v>758</v>
      </c>
    </row>
    <row r="120" spans="1:10" x14ac:dyDescent="0.25">
      <c r="A120" s="6" t="s">
        <v>304</v>
      </c>
      <c r="B120" s="5">
        <v>46</v>
      </c>
      <c r="C120" s="5"/>
      <c r="D120" s="6" t="s">
        <v>145</v>
      </c>
      <c r="E120" s="7">
        <v>395</v>
      </c>
      <c r="F120" s="5" t="s">
        <v>493</v>
      </c>
      <c r="G120" s="5" t="s">
        <v>384</v>
      </c>
      <c r="H120" s="7">
        <v>150</v>
      </c>
      <c r="I120" s="9">
        <v>0.38</v>
      </c>
      <c r="J120" s="6" t="s">
        <v>757</v>
      </c>
    </row>
    <row r="121" spans="1:10" x14ac:dyDescent="0.25">
      <c r="A121" s="6" t="s">
        <v>304</v>
      </c>
      <c r="B121" s="5">
        <v>46</v>
      </c>
      <c r="C121" s="5"/>
      <c r="D121" s="6" t="s">
        <v>145</v>
      </c>
      <c r="E121" s="7">
        <v>395</v>
      </c>
      <c r="F121" s="5" t="s">
        <v>493</v>
      </c>
      <c r="G121" s="5" t="s">
        <v>389</v>
      </c>
      <c r="H121" s="7">
        <v>150</v>
      </c>
      <c r="I121" s="9">
        <v>0.38</v>
      </c>
      <c r="J121" s="6" t="s">
        <v>758</v>
      </c>
    </row>
    <row r="122" spans="1:10" x14ac:dyDescent="0.25">
      <c r="A122" s="6" t="s">
        <v>304</v>
      </c>
      <c r="B122" s="5">
        <v>46</v>
      </c>
      <c r="C122" s="5"/>
      <c r="D122" s="6" t="s">
        <v>145</v>
      </c>
      <c r="E122" s="7">
        <v>395</v>
      </c>
      <c r="F122" s="5" t="s">
        <v>61</v>
      </c>
      <c r="G122" s="5" t="s">
        <v>303</v>
      </c>
      <c r="H122" s="7">
        <v>95</v>
      </c>
      <c r="I122" s="9">
        <v>0.24</v>
      </c>
      <c r="J122" s="6" t="s">
        <v>759</v>
      </c>
    </row>
    <row r="123" spans="1:10" ht="30" customHeight="1" x14ac:dyDescent="0.25">
      <c r="A123" s="6" t="s">
        <v>304</v>
      </c>
      <c r="B123" s="5">
        <v>47</v>
      </c>
      <c r="C123" s="5"/>
      <c r="D123" s="6" t="s">
        <v>145</v>
      </c>
      <c r="E123" s="7">
        <v>5</v>
      </c>
      <c r="F123" s="5" t="s">
        <v>623</v>
      </c>
      <c r="G123" s="5" t="s">
        <v>303</v>
      </c>
      <c r="H123" s="7">
        <v>3</v>
      </c>
      <c r="I123" s="9">
        <v>0.6</v>
      </c>
      <c r="J123" s="6" t="s">
        <v>755</v>
      </c>
    </row>
    <row r="124" spans="1:10" x14ac:dyDescent="0.25">
      <c r="A124" s="6" t="s">
        <v>304</v>
      </c>
      <c r="B124" s="5">
        <v>47</v>
      </c>
      <c r="C124" s="5"/>
      <c r="D124" s="6" t="s">
        <v>145</v>
      </c>
      <c r="E124" s="7">
        <v>5</v>
      </c>
      <c r="F124" s="5" t="s">
        <v>302</v>
      </c>
      <c r="G124" s="5" t="s">
        <v>303</v>
      </c>
      <c r="H124" s="7">
        <v>2</v>
      </c>
      <c r="I124" s="9">
        <v>0.4</v>
      </c>
      <c r="J124" s="6" t="s">
        <v>756</v>
      </c>
    </row>
    <row r="125" spans="1:10" ht="30" customHeight="1" x14ac:dyDescent="0.25">
      <c r="A125" s="6" t="s">
        <v>304</v>
      </c>
      <c r="B125" s="5">
        <v>48</v>
      </c>
      <c r="C125" s="5"/>
      <c r="D125" s="6" t="s">
        <v>145</v>
      </c>
      <c r="E125" s="7">
        <v>5</v>
      </c>
      <c r="F125" s="5" t="s">
        <v>623</v>
      </c>
      <c r="G125" s="5" t="s">
        <v>303</v>
      </c>
      <c r="H125" s="7">
        <v>3</v>
      </c>
      <c r="I125" s="9">
        <v>0.6</v>
      </c>
      <c r="J125" s="6" t="s">
        <v>755</v>
      </c>
    </row>
    <row r="126" spans="1:10" x14ac:dyDescent="0.25">
      <c r="A126" s="6" t="s">
        <v>304</v>
      </c>
      <c r="B126" s="5">
        <v>48</v>
      </c>
      <c r="C126" s="5"/>
      <c r="D126" s="6" t="s">
        <v>145</v>
      </c>
      <c r="E126" s="7">
        <v>5</v>
      </c>
      <c r="F126" s="5" t="s">
        <v>302</v>
      </c>
      <c r="G126" s="5" t="s">
        <v>303</v>
      </c>
      <c r="H126" s="7">
        <v>2</v>
      </c>
      <c r="I126" s="9">
        <v>0.4</v>
      </c>
      <c r="J126" s="6" t="s">
        <v>756</v>
      </c>
    </row>
    <row r="127" spans="1:10" ht="30" customHeight="1" x14ac:dyDescent="0.25">
      <c r="A127" s="6" t="s">
        <v>304</v>
      </c>
      <c r="B127" s="5">
        <v>49</v>
      </c>
      <c r="C127" s="5"/>
      <c r="D127" s="6" t="s">
        <v>166</v>
      </c>
      <c r="E127" s="7">
        <v>345</v>
      </c>
      <c r="F127" s="5" t="s">
        <v>493</v>
      </c>
      <c r="G127" s="5" t="s">
        <v>384</v>
      </c>
      <c r="H127" s="7">
        <v>173</v>
      </c>
      <c r="I127" s="9">
        <v>0.501</v>
      </c>
      <c r="J127" s="6" t="s">
        <v>760</v>
      </c>
    </row>
    <row r="128" spans="1:10" ht="30" customHeight="1" x14ac:dyDescent="0.25">
      <c r="A128" s="6" t="s">
        <v>304</v>
      </c>
      <c r="B128" s="5">
        <v>49</v>
      </c>
      <c r="C128" s="5"/>
      <c r="D128" s="6" t="s">
        <v>166</v>
      </c>
      <c r="E128" s="7">
        <v>345</v>
      </c>
      <c r="F128" s="5" t="s">
        <v>493</v>
      </c>
      <c r="G128" s="5" t="s">
        <v>389</v>
      </c>
      <c r="H128" s="7">
        <v>172</v>
      </c>
      <c r="I128" s="9">
        <v>0.499</v>
      </c>
      <c r="J128" s="6" t="s">
        <v>761</v>
      </c>
    </row>
    <row r="129" spans="1:10" ht="30" customHeight="1" x14ac:dyDescent="0.25">
      <c r="A129" s="6" t="s">
        <v>304</v>
      </c>
      <c r="B129" s="5">
        <v>50</v>
      </c>
      <c r="C129" s="5"/>
      <c r="D129" s="6" t="s">
        <v>168</v>
      </c>
      <c r="E129" s="7">
        <v>3895</v>
      </c>
      <c r="F129" s="5" t="s">
        <v>493</v>
      </c>
      <c r="G129" s="5" t="s">
        <v>384</v>
      </c>
      <c r="H129" s="7">
        <v>1948</v>
      </c>
      <c r="I129" s="9">
        <v>0.5</v>
      </c>
      <c r="J129" s="6" t="s">
        <v>762</v>
      </c>
    </row>
    <row r="130" spans="1:10" ht="30" customHeight="1" x14ac:dyDescent="0.25">
      <c r="A130" s="6" t="s">
        <v>304</v>
      </c>
      <c r="B130" s="5">
        <v>50</v>
      </c>
      <c r="C130" s="5"/>
      <c r="D130" s="6" t="s">
        <v>168</v>
      </c>
      <c r="E130" s="7">
        <v>3895</v>
      </c>
      <c r="F130" s="5" t="s">
        <v>493</v>
      </c>
      <c r="G130" s="5" t="s">
        <v>389</v>
      </c>
      <c r="H130" s="7">
        <v>1947</v>
      </c>
      <c r="I130" s="9">
        <v>0.5</v>
      </c>
      <c r="J130" s="6" t="s">
        <v>763</v>
      </c>
    </row>
    <row r="131" spans="1:10" ht="30" customHeight="1" x14ac:dyDescent="0.25">
      <c r="A131" s="6" t="s">
        <v>304</v>
      </c>
      <c r="B131" s="5">
        <v>51</v>
      </c>
      <c r="C131" s="5"/>
      <c r="D131" s="6" t="s">
        <v>170</v>
      </c>
      <c r="E131" s="7">
        <v>320</v>
      </c>
      <c r="F131" s="5" t="s">
        <v>493</v>
      </c>
      <c r="G131" s="5" t="s">
        <v>384</v>
      </c>
      <c r="H131" s="7">
        <v>160</v>
      </c>
      <c r="I131" s="9">
        <v>0.5</v>
      </c>
      <c r="J131" s="6" t="s">
        <v>764</v>
      </c>
    </row>
    <row r="132" spans="1:10" ht="30" customHeight="1" x14ac:dyDescent="0.25">
      <c r="A132" s="6" t="s">
        <v>304</v>
      </c>
      <c r="B132" s="5">
        <v>51</v>
      </c>
      <c r="C132" s="5"/>
      <c r="D132" s="6" t="s">
        <v>170</v>
      </c>
      <c r="E132" s="7">
        <v>320</v>
      </c>
      <c r="F132" s="5" t="s">
        <v>493</v>
      </c>
      <c r="G132" s="5" t="s">
        <v>389</v>
      </c>
      <c r="H132" s="7">
        <v>160</v>
      </c>
      <c r="I132" s="9">
        <v>0.5</v>
      </c>
      <c r="J132" s="6" t="s">
        <v>765</v>
      </c>
    </row>
    <row r="133" spans="1:10" ht="30" customHeight="1" x14ac:dyDescent="0.25">
      <c r="A133" s="6" t="s">
        <v>304</v>
      </c>
      <c r="B133" s="5">
        <v>52</v>
      </c>
      <c r="C133" s="5"/>
      <c r="D133" s="6" t="s">
        <v>174</v>
      </c>
      <c r="E133" s="7">
        <v>3860</v>
      </c>
      <c r="F133" s="5" t="s">
        <v>493</v>
      </c>
      <c r="G133" s="5" t="s">
        <v>384</v>
      </c>
      <c r="H133" s="7">
        <v>1930</v>
      </c>
      <c r="I133" s="9">
        <v>0.5</v>
      </c>
      <c r="J133" s="6" t="s">
        <v>766</v>
      </c>
    </row>
    <row r="134" spans="1:10" ht="30" customHeight="1" x14ac:dyDescent="0.25">
      <c r="A134" s="6" t="s">
        <v>304</v>
      </c>
      <c r="B134" s="5">
        <v>52</v>
      </c>
      <c r="C134" s="5"/>
      <c r="D134" s="6" t="s">
        <v>174</v>
      </c>
      <c r="E134" s="7">
        <v>3860</v>
      </c>
      <c r="F134" s="5" t="s">
        <v>493</v>
      </c>
      <c r="G134" s="5" t="s">
        <v>389</v>
      </c>
      <c r="H134" s="7">
        <v>1930</v>
      </c>
      <c r="I134" s="9">
        <v>0.5</v>
      </c>
      <c r="J134" s="6" t="s">
        <v>767</v>
      </c>
    </row>
    <row r="135" spans="1:10" ht="30" customHeight="1" x14ac:dyDescent="0.25">
      <c r="A135" s="6" t="s">
        <v>304</v>
      </c>
      <c r="B135" s="5">
        <v>53</v>
      </c>
      <c r="C135" s="5"/>
      <c r="D135" s="6" t="s">
        <v>174</v>
      </c>
      <c r="E135" s="7">
        <v>905</v>
      </c>
      <c r="F135" s="5" t="s">
        <v>493</v>
      </c>
      <c r="G135" s="5" t="s">
        <v>384</v>
      </c>
      <c r="H135" s="7">
        <v>453</v>
      </c>
      <c r="I135" s="9">
        <v>0.5</v>
      </c>
      <c r="J135" s="6" t="s">
        <v>768</v>
      </c>
    </row>
    <row r="136" spans="1:10" ht="30" customHeight="1" x14ac:dyDescent="0.25">
      <c r="A136" s="6" t="s">
        <v>304</v>
      </c>
      <c r="B136" s="5">
        <v>53</v>
      </c>
      <c r="C136" s="5"/>
      <c r="D136" s="6" t="s">
        <v>174</v>
      </c>
      <c r="E136" s="7">
        <v>905</v>
      </c>
      <c r="F136" s="5" t="s">
        <v>493</v>
      </c>
      <c r="G136" s="5" t="s">
        <v>389</v>
      </c>
      <c r="H136" s="7">
        <v>452</v>
      </c>
      <c r="I136" s="9">
        <v>0.5</v>
      </c>
      <c r="J136" s="6" t="s">
        <v>769</v>
      </c>
    </row>
    <row r="137" spans="1:10" ht="30" customHeight="1" x14ac:dyDescent="0.25">
      <c r="A137" s="6" t="s">
        <v>304</v>
      </c>
      <c r="B137" s="5">
        <v>54</v>
      </c>
      <c r="C137" s="5"/>
      <c r="D137" s="6" t="s">
        <v>172</v>
      </c>
      <c r="E137" s="7">
        <v>485</v>
      </c>
      <c r="F137" s="5" t="s">
        <v>493</v>
      </c>
      <c r="G137" s="5" t="s">
        <v>384</v>
      </c>
      <c r="H137" s="7">
        <v>243</v>
      </c>
      <c r="I137" s="9">
        <v>0.5</v>
      </c>
      <c r="J137" s="6" t="s">
        <v>770</v>
      </c>
    </row>
    <row r="138" spans="1:10" ht="30" customHeight="1" x14ac:dyDescent="0.25">
      <c r="A138" s="6" t="s">
        <v>304</v>
      </c>
      <c r="B138" s="5">
        <v>54</v>
      </c>
      <c r="C138" s="5"/>
      <c r="D138" s="6" t="s">
        <v>172</v>
      </c>
      <c r="E138" s="7">
        <v>485</v>
      </c>
      <c r="F138" s="5" t="s">
        <v>493</v>
      </c>
      <c r="G138" s="5" t="s">
        <v>389</v>
      </c>
      <c r="H138" s="7">
        <v>242</v>
      </c>
      <c r="I138" s="9">
        <v>0.5</v>
      </c>
      <c r="J138" s="6" t="s">
        <v>771</v>
      </c>
    </row>
    <row r="139" spans="1:10" ht="30" customHeight="1" x14ac:dyDescent="0.25">
      <c r="A139" s="6" t="s">
        <v>304</v>
      </c>
      <c r="B139" s="5">
        <v>55</v>
      </c>
      <c r="C139" s="5"/>
      <c r="D139" s="6" t="s">
        <v>172</v>
      </c>
      <c r="E139" s="7">
        <v>265</v>
      </c>
      <c r="F139" s="5" t="s">
        <v>493</v>
      </c>
      <c r="G139" s="5" t="s">
        <v>384</v>
      </c>
      <c r="H139" s="7">
        <v>133</v>
      </c>
      <c r="I139" s="9">
        <v>0.5</v>
      </c>
      <c r="J139" s="6" t="s">
        <v>770</v>
      </c>
    </row>
    <row r="140" spans="1:10" ht="30" customHeight="1" x14ac:dyDescent="0.25">
      <c r="A140" s="6" t="s">
        <v>304</v>
      </c>
      <c r="B140" s="5">
        <v>55</v>
      </c>
      <c r="C140" s="5"/>
      <c r="D140" s="6" t="s">
        <v>172</v>
      </c>
      <c r="E140" s="7">
        <v>265</v>
      </c>
      <c r="F140" s="5" t="s">
        <v>493</v>
      </c>
      <c r="G140" s="5" t="s">
        <v>389</v>
      </c>
      <c r="H140" s="7">
        <v>132</v>
      </c>
      <c r="I140" s="9">
        <v>0.5</v>
      </c>
      <c r="J140" s="6" t="s">
        <v>771</v>
      </c>
    </row>
    <row r="141" spans="1:10" ht="30" customHeight="1" x14ac:dyDescent="0.25">
      <c r="A141" s="6" t="s">
        <v>304</v>
      </c>
      <c r="B141" s="5">
        <v>56</v>
      </c>
      <c r="C141" s="5"/>
      <c r="D141" s="6" t="s">
        <v>175</v>
      </c>
      <c r="E141" s="7">
        <v>580</v>
      </c>
      <c r="F141" s="5" t="s">
        <v>493</v>
      </c>
      <c r="G141" s="5" t="s">
        <v>384</v>
      </c>
      <c r="H141" s="7">
        <v>290</v>
      </c>
      <c r="I141" s="9">
        <v>0.5</v>
      </c>
      <c r="J141" s="6" t="s">
        <v>772</v>
      </c>
    </row>
    <row r="142" spans="1:10" ht="30" customHeight="1" x14ac:dyDescent="0.25">
      <c r="A142" s="6" t="s">
        <v>304</v>
      </c>
      <c r="B142" s="5">
        <v>56</v>
      </c>
      <c r="C142" s="5"/>
      <c r="D142" s="6" t="s">
        <v>175</v>
      </c>
      <c r="E142" s="7">
        <v>580</v>
      </c>
      <c r="F142" s="5" t="s">
        <v>493</v>
      </c>
      <c r="G142" s="5" t="s">
        <v>389</v>
      </c>
      <c r="H142" s="7">
        <v>290</v>
      </c>
      <c r="I142" s="9">
        <v>0.5</v>
      </c>
      <c r="J142" s="6" t="s">
        <v>773</v>
      </c>
    </row>
    <row r="143" spans="1:10" ht="30" customHeight="1" x14ac:dyDescent="0.25">
      <c r="A143" s="6" t="s">
        <v>304</v>
      </c>
      <c r="B143" s="5">
        <v>57</v>
      </c>
      <c r="C143" s="5"/>
      <c r="D143" s="6" t="s">
        <v>175</v>
      </c>
      <c r="E143" s="7">
        <v>805</v>
      </c>
      <c r="F143" s="5" t="s">
        <v>493</v>
      </c>
      <c r="G143" s="5" t="s">
        <v>384</v>
      </c>
      <c r="H143" s="7">
        <v>403</v>
      </c>
      <c r="I143" s="9">
        <v>0.5</v>
      </c>
      <c r="J143" s="6" t="s">
        <v>774</v>
      </c>
    </row>
    <row r="144" spans="1:10" ht="30" customHeight="1" x14ac:dyDescent="0.25">
      <c r="A144" s="6" t="s">
        <v>304</v>
      </c>
      <c r="B144" s="5">
        <v>57</v>
      </c>
      <c r="C144" s="5"/>
      <c r="D144" s="6" t="s">
        <v>175</v>
      </c>
      <c r="E144" s="7">
        <v>805</v>
      </c>
      <c r="F144" s="5" t="s">
        <v>493</v>
      </c>
      <c r="G144" s="5" t="s">
        <v>389</v>
      </c>
      <c r="H144" s="7">
        <v>402</v>
      </c>
      <c r="I144" s="9">
        <v>0.5</v>
      </c>
      <c r="J144" s="6" t="s">
        <v>775</v>
      </c>
    </row>
    <row r="145" spans="1:10" ht="30" customHeight="1" x14ac:dyDescent="0.25">
      <c r="A145" s="6" t="s">
        <v>304</v>
      </c>
      <c r="B145" s="5">
        <v>58</v>
      </c>
      <c r="C145" s="5"/>
      <c r="D145" s="6" t="s">
        <v>175</v>
      </c>
      <c r="E145" s="7">
        <v>195</v>
      </c>
      <c r="F145" s="5" t="s">
        <v>493</v>
      </c>
      <c r="G145" s="5" t="s">
        <v>384</v>
      </c>
      <c r="H145" s="7">
        <v>98</v>
      </c>
      <c r="I145" s="9">
        <v>0.5</v>
      </c>
      <c r="J145" s="6" t="s">
        <v>776</v>
      </c>
    </row>
    <row r="146" spans="1:10" ht="30" customHeight="1" x14ac:dyDescent="0.25">
      <c r="A146" s="6" t="s">
        <v>304</v>
      </c>
      <c r="B146" s="5">
        <v>58</v>
      </c>
      <c r="C146" s="5"/>
      <c r="D146" s="6" t="s">
        <v>175</v>
      </c>
      <c r="E146" s="7">
        <v>195</v>
      </c>
      <c r="F146" s="5" t="s">
        <v>493</v>
      </c>
      <c r="G146" s="5" t="s">
        <v>389</v>
      </c>
      <c r="H146" s="7">
        <v>97</v>
      </c>
      <c r="I146" s="9">
        <v>0.5</v>
      </c>
      <c r="J146" s="6" t="s">
        <v>777</v>
      </c>
    </row>
    <row r="147" spans="1:10" ht="30" customHeight="1" x14ac:dyDescent="0.25">
      <c r="A147" s="6" t="s">
        <v>304</v>
      </c>
      <c r="B147" s="5">
        <v>59</v>
      </c>
      <c r="C147" s="5"/>
      <c r="D147" s="6" t="s">
        <v>181</v>
      </c>
      <c r="E147" s="7">
        <v>1155</v>
      </c>
      <c r="F147" s="5" t="s">
        <v>493</v>
      </c>
      <c r="G147" s="5" t="s">
        <v>384</v>
      </c>
      <c r="H147" s="7">
        <v>578</v>
      </c>
      <c r="I147" s="9">
        <v>0.5</v>
      </c>
      <c r="J147" s="6" t="s">
        <v>778</v>
      </c>
    </row>
    <row r="148" spans="1:10" ht="30" customHeight="1" x14ac:dyDescent="0.25">
      <c r="A148" s="6" t="s">
        <v>304</v>
      </c>
      <c r="B148" s="5">
        <v>59</v>
      </c>
      <c r="C148" s="5"/>
      <c r="D148" s="6" t="s">
        <v>181</v>
      </c>
      <c r="E148" s="7">
        <v>1155</v>
      </c>
      <c r="F148" s="5" t="s">
        <v>493</v>
      </c>
      <c r="G148" s="5" t="s">
        <v>389</v>
      </c>
      <c r="H148" s="7">
        <v>577</v>
      </c>
      <c r="I148" s="9">
        <v>0.5</v>
      </c>
      <c r="J148" s="6" t="s">
        <v>779</v>
      </c>
    </row>
    <row r="149" spans="1:10" ht="30" customHeight="1" x14ac:dyDescent="0.25">
      <c r="A149" s="6" t="s">
        <v>304</v>
      </c>
      <c r="B149" s="5">
        <v>60</v>
      </c>
      <c r="C149" s="5"/>
      <c r="D149" s="6" t="s">
        <v>181</v>
      </c>
      <c r="E149" s="7">
        <v>150</v>
      </c>
      <c r="F149" s="5" t="s">
        <v>493</v>
      </c>
      <c r="G149" s="5" t="s">
        <v>384</v>
      </c>
      <c r="H149" s="7">
        <v>75</v>
      </c>
      <c r="I149" s="9">
        <v>0.5</v>
      </c>
      <c r="J149" s="6" t="s">
        <v>778</v>
      </c>
    </row>
    <row r="150" spans="1:10" ht="30" customHeight="1" x14ac:dyDescent="0.25">
      <c r="A150" s="6" t="s">
        <v>304</v>
      </c>
      <c r="B150" s="5">
        <v>60</v>
      </c>
      <c r="C150" s="5"/>
      <c r="D150" s="6" t="s">
        <v>181</v>
      </c>
      <c r="E150" s="7">
        <v>150</v>
      </c>
      <c r="F150" s="5" t="s">
        <v>493</v>
      </c>
      <c r="G150" s="5" t="s">
        <v>389</v>
      </c>
      <c r="H150" s="7">
        <v>75</v>
      </c>
      <c r="I150" s="9">
        <v>0.5</v>
      </c>
      <c r="J150" s="6" t="s">
        <v>779</v>
      </c>
    </row>
    <row r="151" spans="1:10" ht="30" customHeight="1" x14ac:dyDescent="0.25">
      <c r="A151" s="6" t="s">
        <v>304</v>
      </c>
      <c r="B151" s="5">
        <v>61</v>
      </c>
      <c r="C151" s="5"/>
      <c r="D151" s="6" t="s">
        <v>182</v>
      </c>
      <c r="E151" s="7">
        <v>580</v>
      </c>
      <c r="F151" s="5" t="s">
        <v>493</v>
      </c>
      <c r="G151" s="5" t="s">
        <v>384</v>
      </c>
      <c r="H151" s="7">
        <v>290</v>
      </c>
      <c r="I151" s="9">
        <v>0.5</v>
      </c>
      <c r="J151" s="6" t="s">
        <v>780</v>
      </c>
    </row>
    <row r="152" spans="1:10" ht="30" customHeight="1" x14ac:dyDescent="0.25">
      <c r="A152" s="6" t="s">
        <v>304</v>
      </c>
      <c r="B152" s="5">
        <v>61</v>
      </c>
      <c r="C152" s="5"/>
      <c r="D152" s="6" t="s">
        <v>182</v>
      </c>
      <c r="E152" s="7">
        <v>580</v>
      </c>
      <c r="F152" s="5" t="s">
        <v>493</v>
      </c>
      <c r="G152" s="5" t="s">
        <v>389</v>
      </c>
      <c r="H152" s="7">
        <v>290</v>
      </c>
      <c r="I152" s="9">
        <v>0.5</v>
      </c>
      <c r="J152" s="6" t="s">
        <v>781</v>
      </c>
    </row>
    <row r="153" spans="1:10" ht="30" customHeight="1" x14ac:dyDescent="0.25">
      <c r="A153" s="6" t="s">
        <v>304</v>
      </c>
      <c r="B153" s="5">
        <v>62</v>
      </c>
      <c r="C153" s="5"/>
      <c r="D153" s="6" t="s">
        <v>183</v>
      </c>
      <c r="E153" s="7">
        <v>465</v>
      </c>
      <c r="F153" s="5" t="s">
        <v>493</v>
      </c>
      <c r="G153" s="5" t="s">
        <v>384</v>
      </c>
      <c r="H153" s="7">
        <v>232</v>
      </c>
      <c r="I153" s="9">
        <v>0.497</v>
      </c>
      <c r="J153" s="6" t="s">
        <v>782</v>
      </c>
    </row>
    <row r="154" spans="1:10" ht="30" customHeight="1" x14ac:dyDescent="0.25">
      <c r="A154" s="6" t="s">
        <v>304</v>
      </c>
      <c r="B154" s="5">
        <v>62</v>
      </c>
      <c r="C154" s="5"/>
      <c r="D154" s="6" t="s">
        <v>183</v>
      </c>
      <c r="E154" s="7">
        <v>465</v>
      </c>
      <c r="F154" s="5" t="s">
        <v>493</v>
      </c>
      <c r="G154" s="5" t="s">
        <v>389</v>
      </c>
      <c r="H154" s="7">
        <v>233</v>
      </c>
      <c r="I154" s="9">
        <v>0.503</v>
      </c>
      <c r="J154" s="6" t="s">
        <v>783</v>
      </c>
    </row>
    <row r="155" spans="1:10" ht="30" customHeight="1" x14ac:dyDescent="0.25">
      <c r="A155" s="6" t="s">
        <v>304</v>
      </c>
      <c r="B155" s="5">
        <v>63</v>
      </c>
      <c r="C155" s="5"/>
      <c r="D155" s="6" t="s">
        <v>179</v>
      </c>
      <c r="E155" s="7">
        <v>490</v>
      </c>
      <c r="F155" s="5" t="s">
        <v>493</v>
      </c>
      <c r="G155" s="5" t="s">
        <v>384</v>
      </c>
      <c r="H155" s="7">
        <v>245</v>
      </c>
      <c r="I155" s="9">
        <v>0.5</v>
      </c>
      <c r="J155" s="6" t="s">
        <v>784</v>
      </c>
    </row>
    <row r="156" spans="1:10" ht="30" customHeight="1" x14ac:dyDescent="0.25">
      <c r="A156" s="6" t="s">
        <v>304</v>
      </c>
      <c r="B156" s="5">
        <v>63</v>
      </c>
      <c r="C156" s="5"/>
      <c r="D156" s="6" t="s">
        <v>179</v>
      </c>
      <c r="E156" s="7">
        <v>490</v>
      </c>
      <c r="F156" s="5" t="s">
        <v>493</v>
      </c>
      <c r="G156" s="5" t="s">
        <v>389</v>
      </c>
      <c r="H156" s="7">
        <v>245</v>
      </c>
      <c r="I156" s="9">
        <v>0.5</v>
      </c>
      <c r="J156" s="6" t="s">
        <v>785</v>
      </c>
    </row>
    <row r="157" spans="1:10" x14ac:dyDescent="0.25">
      <c r="A157" s="6" t="s">
        <v>304</v>
      </c>
      <c r="B157" s="5">
        <v>64</v>
      </c>
      <c r="C157" s="5"/>
      <c r="D157" s="6" t="s">
        <v>201</v>
      </c>
      <c r="E157" s="7">
        <v>2370</v>
      </c>
      <c r="F157" s="5" t="s">
        <v>493</v>
      </c>
      <c r="G157" s="5" t="s">
        <v>384</v>
      </c>
      <c r="H157" s="7">
        <v>1000</v>
      </c>
      <c r="I157" s="9">
        <v>0.42099999999999999</v>
      </c>
      <c r="J157" s="6" t="s">
        <v>786</v>
      </c>
    </row>
    <row r="158" spans="1:10" x14ac:dyDescent="0.25">
      <c r="A158" s="6" t="s">
        <v>304</v>
      </c>
      <c r="B158" s="5">
        <v>64</v>
      </c>
      <c r="C158" s="5"/>
      <c r="D158" s="6" t="s">
        <v>201</v>
      </c>
      <c r="E158" s="7">
        <v>2370</v>
      </c>
      <c r="F158" s="5" t="s">
        <v>493</v>
      </c>
      <c r="G158" s="5" t="s">
        <v>389</v>
      </c>
      <c r="H158" s="7">
        <v>1000</v>
      </c>
      <c r="I158" s="9">
        <v>0.42099999999999999</v>
      </c>
      <c r="J158" s="6" t="s">
        <v>787</v>
      </c>
    </row>
    <row r="159" spans="1:10" x14ac:dyDescent="0.25">
      <c r="A159" s="6" t="s">
        <v>304</v>
      </c>
      <c r="B159" s="5">
        <v>64</v>
      </c>
      <c r="C159" s="5"/>
      <c r="D159" s="6" t="s">
        <v>201</v>
      </c>
      <c r="E159" s="7">
        <v>2370</v>
      </c>
      <c r="F159" s="5" t="s">
        <v>383</v>
      </c>
      <c r="G159" s="5" t="s">
        <v>303</v>
      </c>
      <c r="H159" s="7">
        <v>74</v>
      </c>
      <c r="I159" s="9">
        <v>3.1E-2</v>
      </c>
      <c r="J159" s="6" t="s">
        <v>788</v>
      </c>
    </row>
    <row r="160" spans="1:10" x14ac:dyDescent="0.25">
      <c r="A160" s="6" t="s">
        <v>304</v>
      </c>
      <c r="B160" s="5">
        <v>64</v>
      </c>
      <c r="C160" s="5"/>
      <c r="D160" s="6" t="s">
        <v>201</v>
      </c>
      <c r="E160" s="7">
        <v>2370</v>
      </c>
      <c r="F160" s="5" t="s">
        <v>405</v>
      </c>
      <c r="G160" s="5" t="s">
        <v>303</v>
      </c>
      <c r="H160" s="7">
        <v>74</v>
      </c>
      <c r="I160" s="9">
        <v>3.1E-2</v>
      </c>
      <c r="J160" s="6" t="s">
        <v>789</v>
      </c>
    </row>
    <row r="161" spans="1:10" x14ac:dyDescent="0.25">
      <c r="A161" s="6" t="s">
        <v>304</v>
      </c>
      <c r="B161" s="5">
        <v>64</v>
      </c>
      <c r="C161" s="5"/>
      <c r="D161" s="6" t="s">
        <v>201</v>
      </c>
      <c r="E161" s="7">
        <v>2370</v>
      </c>
      <c r="F161" s="5" t="s">
        <v>422</v>
      </c>
      <c r="G161" s="5" t="s">
        <v>303</v>
      </c>
      <c r="H161" s="7">
        <v>74</v>
      </c>
      <c r="I161" s="9">
        <v>3.1E-2</v>
      </c>
      <c r="J161" s="6" t="s">
        <v>790</v>
      </c>
    </row>
    <row r="162" spans="1:10" x14ac:dyDescent="0.25">
      <c r="A162" s="6" t="s">
        <v>304</v>
      </c>
      <c r="B162" s="5">
        <v>64</v>
      </c>
      <c r="C162" s="5"/>
      <c r="D162" s="6" t="s">
        <v>201</v>
      </c>
      <c r="E162" s="7">
        <v>2370</v>
      </c>
      <c r="F162" s="5" t="s">
        <v>439</v>
      </c>
      <c r="G162" s="5" t="s">
        <v>303</v>
      </c>
      <c r="H162" s="7">
        <v>74</v>
      </c>
      <c r="I162" s="9">
        <v>3.1E-2</v>
      </c>
      <c r="J162" s="6" t="s">
        <v>791</v>
      </c>
    </row>
    <row r="163" spans="1:10" x14ac:dyDescent="0.25">
      <c r="A163" s="6" t="s">
        <v>304</v>
      </c>
      <c r="B163" s="5">
        <v>64</v>
      </c>
      <c r="C163" s="5"/>
      <c r="D163" s="6" t="s">
        <v>201</v>
      </c>
      <c r="E163" s="7">
        <v>2370</v>
      </c>
      <c r="F163" s="5" t="s">
        <v>455</v>
      </c>
      <c r="G163" s="5" t="s">
        <v>303</v>
      </c>
      <c r="H163" s="7">
        <v>74</v>
      </c>
      <c r="I163" s="9">
        <v>3.1E-2</v>
      </c>
      <c r="J163" s="6" t="s">
        <v>792</v>
      </c>
    </row>
    <row r="164" spans="1:10" x14ac:dyDescent="0.25">
      <c r="A164" s="6" t="s">
        <v>304</v>
      </c>
      <c r="B164" s="5">
        <v>65</v>
      </c>
      <c r="C164" s="5"/>
      <c r="D164" s="6" t="s">
        <v>201</v>
      </c>
      <c r="E164" s="7">
        <v>3865</v>
      </c>
      <c r="F164" s="5" t="s">
        <v>493</v>
      </c>
      <c r="G164" s="5" t="s">
        <v>384</v>
      </c>
      <c r="H164" s="7">
        <v>1500</v>
      </c>
      <c r="I164" s="9">
        <v>0.38800000000000001</v>
      </c>
      <c r="J164" s="6" t="s">
        <v>786</v>
      </c>
    </row>
    <row r="165" spans="1:10" x14ac:dyDescent="0.25">
      <c r="A165" s="6" t="s">
        <v>304</v>
      </c>
      <c r="B165" s="5">
        <v>65</v>
      </c>
      <c r="C165" s="5"/>
      <c r="D165" s="6" t="s">
        <v>201</v>
      </c>
      <c r="E165" s="7">
        <v>3865</v>
      </c>
      <c r="F165" s="5" t="s">
        <v>493</v>
      </c>
      <c r="G165" s="5" t="s">
        <v>389</v>
      </c>
      <c r="H165" s="7">
        <v>1500</v>
      </c>
      <c r="I165" s="9">
        <v>0.38800000000000001</v>
      </c>
      <c r="J165" s="6" t="s">
        <v>787</v>
      </c>
    </row>
    <row r="166" spans="1:10" x14ac:dyDescent="0.25">
      <c r="A166" s="6" t="s">
        <v>304</v>
      </c>
      <c r="B166" s="5">
        <v>65</v>
      </c>
      <c r="C166" s="5"/>
      <c r="D166" s="6" t="s">
        <v>201</v>
      </c>
      <c r="E166" s="7">
        <v>3865</v>
      </c>
      <c r="F166" s="5" t="s">
        <v>383</v>
      </c>
      <c r="G166" s="5" t="s">
        <v>303</v>
      </c>
      <c r="H166" s="7">
        <v>200</v>
      </c>
      <c r="I166" s="9">
        <v>5.0000000000000001E-3</v>
      </c>
      <c r="J166" s="6" t="s">
        <v>788</v>
      </c>
    </row>
    <row r="167" spans="1:10" x14ac:dyDescent="0.25">
      <c r="A167" s="6" t="s">
        <v>304</v>
      </c>
      <c r="B167" s="5">
        <v>65</v>
      </c>
      <c r="C167" s="5"/>
      <c r="D167" s="6" t="s">
        <v>201</v>
      </c>
      <c r="E167" s="7">
        <v>3865</v>
      </c>
      <c r="F167" s="5" t="s">
        <v>405</v>
      </c>
      <c r="G167" s="5" t="s">
        <v>303</v>
      </c>
      <c r="H167" s="7">
        <v>200</v>
      </c>
      <c r="I167" s="9">
        <v>5.0000000000000001E-3</v>
      </c>
      <c r="J167" s="6" t="s">
        <v>789</v>
      </c>
    </row>
    <row r="168" spans="1:10" x14ac:dyDescent="0.25">
      <c r="A168" s="6" t="s">
        <v>304</v>
      </c>
      <c r="B168" s="5">
        <v>65</v>
      </c>
      <c r="C168" s="5"/>
      <c r="D168" s="6" t="s">
        <v>201</v>
      </c>
      <c r="E168" s="7">
        <v>3865</v>
      </c>
      <c r="F168" s="5" t="s">
        <v>61</v>
      </c>
      <c r="G168" s="5" t="s">
        <v>303</v>
      </c>
      <c r="H168" s="7">
        <v>865</v>
      </c>
      <c r="I168" s="9">
        <v>0.224</v>
      </c>
      <c r="J168" s="6" t="s">
        <v>793</v>
      </c>
    </row>
    <row r="169" spans="1:10" x14ac:dyDescent="0.25">
      <c r="A169" s="6" t="s">
        <v>304</v>
      </c>
      <c r="B169" s="5">
        <v>66</v>
      </c>
      <c r="C169" s="5"/>
      <c r="D169" s="6" t="s">
        <v>201</v>
      </c>
      <c r="E169" s="7">
        <v>835</v>
      </c>
      <c r="F169" s="5" t="s">
        <v>493</v>
      </c>
      <c r="G169" s="5" t="s">
        <v>384</v>
      </c>
      <c r="H169" s="7">
        <v>420</v>
      </c>
      <c r="I169" s="9">
        <v>0.503</v>
      </c>
      <c r="J169" s="6" t="s">
        <v>794</v>
      </c>
    </row>
    <row r="170" spans="1:10" x14ac:dyDescent="0.25">
      <c r="A170" s="6" t="s">
        <v>304</v>
      </c>
      <c r="B170" s="5">
        <v>66</v>
      </c>
      <c r="C170" s="5"/>
      <c r="D170" s="6" t="s">
        <v>201</v>
      </c>
      <c r="E170" s="7">
        <v>835</v>
      </c>
      <c r="F170" s="5" t="s">
        <v>493</v>
      </c>
      <c r="G170" s="5" t="s">
        <v>389</v>
      </c>
      <c r="H170" s="7">
        <v>415</v>
      </c>
      <c r="I170" s="9">
        <v>0.497</v>
      </c>
      <c r="J170" s="6" t="s">
        <v>795</v>
      </c>
    </row>
    <row r="171" spans="1:10" ht="30" customHeight="1" x14ac:dyDescent="0.25">
      <c r="A171" s="6" t="s">
        <v>304</v>
      </c>
      <c r="B171" s="5">
        <v>67</v>
      </c>
      <c r="C171" s="5"/>
      <c r="D171" s="6" t="s">
        <v>216</v>
      </c>
      <c r="E171" s="7">
        <v>50</v>
      </c>
      <c r="F171" s="5" t="s">
        <v>302</v>
      </c>
      <c r="G171" s="5" t="s">
        <v>303</v>
      </c>
      <c r="H171" s="7">
        <v>50</v>
      </c>
      <c r="I171" s="9">
        <v>1</v>
      </c>
      <c r="J171" s="6" t="s">
        <v>796</v>
      </c>
    </row>
    <row r="172" spans="1:10" ht="30" customHeight="1" x14ac:dyDescent="0.25">
      <c r="A172" s="6" t="s">
        <v>304</v>
      </c>
      <c r="B172" s="5">
        <v>68</v>
      </c>
      <c r="C172" s="5"/>
      <c r="D172" s="6" t="s">
        <v>216</v>
      </c>
      <c r="E172" s="7">
        <v>5</v>
      </c>
      <c r="F172" s="5" t="s">
        <v>623</v>
      </c>
      <c r="G172" s="5" t="s">
        <v>303</v>
      </c>
      <c r="H172" s="7">
        <v>5</v>
      </c>
      <c r="I172" s="9">
        <v>1</v>
      </c>
      <c r="J172" s="6" t="s">
        <v>797</v>
      </c>
    </row>
    <row r="173" spans="1:10" ht="30" customHeight="1" x14ac:dyDescent="0.25">
      <c r="A173" s="6" t="s">
        <v>304</v>
      </c>
      <c r="B173" s="5">
        <v>69</v>
      </c>
      <c r="C173" s="5"/>
      <c r="D173" s="6" t="s">
        <v>216</v>
      </c>
      <c r="E173" s="7">
        <v>120</v>
      </c>
      <c r="F173" s="5" t="s">
        <v>61</v>
      </c>
      <c r="G173" s="5" t="s">
        <v>303</v>
      </c>
      <c r="H173" s="7">
        <v>120</v>
      </c>
      <c r="I173" s="9">
        <v>1</v>
      </c>
      <c r="J173" s="6" t="s">
        <v>798</v>
      </c>
    </row>
    <row r="174" spans="1:10" ht="30" customHeight="1" x14ac:dyDescent="0.25">
      <c r="A174" s="6" t="s">
        <v>304</v>
      </c>
      <c r="B174" s="5">
        <v>70</v>
      </c>
      <c r="C174" s="5"/>
      <c r="D174" s="6" t="s">
        <v>216</v>
      </c>
      <c r="E174" s="7">
        <v>80</v>
      </c>
      <c r="F174" s="5" t="s">
        <v>302</v>
      </c>
      <c r="G174" s="5" t="s">
        <v>303</v>
      </c>
      <c r="H174" s="7">
        <v>80</v>
      </c>
      <c r="I174" s="9">
        <v>1</v>
      </c>
      <c r="J174" s="6" t="s">
        <v>796</v>
      </c>
    </row>
    <row r="175" spans="1:10" ht="30" customHeight="1" x14ac:dyDescent="0.25">
      <c r="A175" s="6" t="s">
        <v>304</v>
      </c>
      <c r="B175" s="5">
        <v>71</v>
      </c>
      <c r="C175" s="5"/>
      <c r="D175" s="6" t="s">
        <v>199</v>
      </c>
      <c r="E175" s="7">
        <v>4510</v>
      </c>
      <c r="F175" s="5" t="s">
        <v>493</v>
      </c>
      <c r="G175" s="5" t="s">
        <v>384</v>
      </c>
      <c r="H175" s="7">
        <v>2255</v>
      </c>
      <c r="I175" s="9">
        <v>0.5</v>
      </c>
      <c r="J175" s="6" t="s">
        <v>799</v>
      </c>
    </row>
    <row r="176" spans="1:10" ht="30" customHeight="1" x14ac:dyDescent="0.25">
      <c r="A176" s="6" t="s">
        <v>304</v>
      </c>
      <c r="B176" s="5">
        <v>71</v>
      </c>
      <c r="C176" s="5"/>
      <c r="D176" s="6" t="s">
        <v>199</v>
      </c>
      <c r="E176" s="7">
        <v>4510</v>
      </c>
      <c r="F176" s="5" t="s">
        <v>493</v>
      </c>
      <c r="G176" s="5" t="s">
        <v>389</v>
      </c>
      <c r="H176" s="7">
        <v>2255</v>
      </c>
      <c r="I176" s="9">
        <v>0.5</v>
      </c>
      <c r="J176" s="6" t="s">
        <v>800</v>
      </c>
    </row>
    <row r="177" spans="1:10" ht="30" customHeight="1" x14ac:dyDescent="0.25">
      <c r="A177" s="6" t="s">
        <v>304</v>
      </c>
      <c r="B177" s="5">
        <v>72</v>
      </c>
      <c r="C177" s="5"/>
      <c r="D177" s="6" t="s">
        <v>199</v>
      </c>
      <c r="E177" s="7">
        <v>7820</v>
      </c>
      <c r="F177" s="5" t="s">
        <v>493</v>
      </c>
      <c r="G177" s="5" t="s">
        <v>384</v>
      </c>
      <c r="H177" s="7">
        <v>3910</v>
      </c>
      <c r="I177" s="9">
        <v>0.5</v>
      </c>
      <c r="J177" s="6" t="s">
        <v>799</v>
      </c>
    </row>
    <row r="178" spans="1:10" ht="30" customHeight="1" x14ac:dyDescent="0.25">
      <c r="A178" s="6" t="s">
        <v>304</v>
      </c>
      <c r="B178" s="5">
        <v>72</v>
      </c>
      <c r="C178" s="5"/>
      <c r="D178" s="6" t="s">
        <v>199</v>
      </c>
      <c r="E178" s="7">
        <v>7820</v>
      </c>
      <c r="F178" s="5" t="s">
        <v>493</v>
      </c>
      <c r="G178" s="5" t="s">
        <v>389</v>
      </c>
      <c r="H178" s="7">
        <v>3910</v>
      </c>
      <c r="I178" s="9">
        <v>0.5</v>
      </c>
      <c r="J178" s="6" t="s">
        <v>800</v>
      </c>
    </row>
    <row r="179" spans="1:10" x14ac:dyDescent="0.25">
      <c r="A179" s="6" t="s">
        <v>304</v>
      </c>
      <c r="B179" s="5">
        <v>73</v>
      </c>
      <c r="C179" s="5"/>
      <c r="D179" s="6" t="s">
        <v>199</v>
      </c>
      <c r="E179" s="7">
        <v>10</v>
      </c>
      <c r="F179" s="5" t="s">
        <v>302</v>
      </c>
      <c r="G179" s="5" t="s">
        <v>303</v>
      </c>
      <c r="H179" s="7">
        <v>4</v>
      </c>
      <c r="I179" s="9">
        <v>0.4</v>
      </c>
      <c r="J179" s="6" t="s">
        <v>801</v>
      </c>
    </row>
    <row r="180" spans="1:10" x14ac:dyDescent="0.25">
      <c r="A180" s="6" t="s">
        <v>304</v>
      </c>
      <c r="B180" s="5">
        <v>73</v>
      </c>
      <c r="C180" s="5"/>
      <c r="D180" s="6" t="s">
        <v>199</v>
      </c>
      <c r="E180" s="7">
        <v>10</v>
      </c>
      <c r="F180" s="5" t="s">
        <v>623</v>
      </c>
      <c r="G180" s="5" t="s">
        <v>303</v>
      </c>
      <c r="H180" s="7">
        <v>6</v>
      </c>
      <c r="I180" s="9">
        <v>0.6</v>
      </c>
      <c r="J180" s="6" t="s">
        <v>802</v>
      </c>
    </row>
    <row r="181" spans="1:10" ht="30" customHeight="1" x14ac:dyDescent="0.25">
      <c r="A181" s="6" t="s">
        <v>304</v>
      </c>
      <c r="B181" s="5">
        <v>74</v>
      </c>
      <c r="C181" s="5"/>
      <c r="D181" s="6" t="s">
        <v>199</v>
      </c>
      <c r="E181" s="7">
        <v>1580</v>
      </c>
      <c r="F181" s="5" t="s">
        <v>493</v>
      </c>
      <c r="G181" s="5" t="s">
        <v>303</v>
      </c>
      <c r="H181" s="7">
        <v>1200</v>
      </c>
      <c r="I181" s="9">
        <v>0.75900000000000001</v>
      </c>
      <c r="J181" s="6" t="s">
        <v>803</v>
      </c>
    </row>
    <row r="182" spans="1:10" x14ac:dyDescent="0.25">
      <c r="A182" s="6" t="s">
        <v>304</v>
      </c>
      <c r="B182" s="5">
        <v>74</v>
      </c>
      <c r="C182" s="5"/>
      <c r="D182" s="6" t="s">
        <v>199</v>
      </c>
      <c r="E182" s="7">
        <v>1580</v>
      </c>
      <c r="F182" s="5" t="s">
        <v>302</v>
      </c>
      <c r="G182" s="5" t="s">
        <v>303</v>
      </c>
      <c r="H182" s="7">
        <v>200</v>
      </c>
      <c r="I182" s="9">
        <v>0.126</v>
      </c>
      <c r="J182" s="6" t="s">
        <v>804</v>
      </c>
    </row>
    <row r="183" spans="1:10" x14ac:dyDescent="0.25">
      <c r="A183" s="6" t="s">
        <v>304</v>
      </c>
      <c r="B183" s="5">
        <v>74</v>
      </c>
      <c r="C183" s="5"/>
      <c r="D183" s="6" t="s">
        <v>199</v>
      </c>
      <c r="E183" s="7">
        <v>1580</v>
      </c>
      <c r="F183" s="5" t="s">
        <v>623</v>
      </c>
      <c r="G183" s="5" t="s">
        <v>303</v>
      </c>
      <c r="H183" s="7">
        <v>180</v>
      </c>
      <c r="I183" s="9">
        <v>0.113</v>
      </c>
      <c r="J183" s="6" t="s">
        <v>805</v>
      </c>
    </row>
    <row r="184" spans="1:10" x14ac:dyDescent="0.25">
      <c r="A184" s="6" t="s">
        <v>304</v>
      </c>
      <c r="B184" s="5">
        <v>74</v>
      </c>
      <c r="C184" s="5"/>
      <c r="D184" s="6" t="s">
        <v>199</v>
      </c>
      <c r="E184" s="7">
        <v>1580</v>
      </c>
      <c r="F184" s="5" t="s">
        <v>383</v>
      </c>
      <c r="G184" s="5" t="s">
        <v>303</v>
      </c>
      <c r="H184" s="7">
        <v>100</v>
      </c>
      <c r="I184" s="9">
        <v>6.3E-2</v>
      </c>
      <c r="J184" s="6" t="s">
        <v>806</v>
      </c>
    </row>
    <row r="185" spans="1:10" x14ac:dyDescent="0.25">
      <c r="A185" s="6" t="s">
        <v>304</v>
      </c>
      <c r="B185" s="5">
        <v>74</v>
      </c>
      <c r="C185" s="5"/>
      <c r="D185" s="6" t="s">
        <v>199</v>
      </c>
      <c r="E185" s="7">
        <v>1580</v>
      </c>
      <c r="F185" s="5" t="s">
        <v>405</v>
      </c>
      <c r="G185" s="5" t="s">
        <v>303</v>
      </c>
      <c r="H185" s="7">
        <v>80</v>
      </c>
      <c r="I185" s="9">
        <v>5.0999999999999997E-2</v>
      </c>
      <c r="J185" s="6" t="s">
        <v>807</v>
      </c>
    </row>
    <row r="186" spans="1:10" x14ac:dyDescent="0.25">
      <c r="A186" s="6" t="s">
        <v>304</v>
      </c>
      <c r="B186" s="5">
        <v>74</v>
      </c>
      <c r="C186" s="5"/>
      <c r="D186" s="6" t="s">
        <v>199</v>
      </c>
      <c r="E186" s="7">
        <v>1580</v>
      </c>
      <c r="F186" s="5" t="s">
        <v>422</v>
      </c>
      <c r="G186" s="5" t="s">
        <v>303</v>
      </c>
      <c r="H186" s="7">
        <v>50</v>
      </c>
      <c r="I186" s="9">
        <v>3.2000000000000001E-2</v>
      </c>
      <c r="J186" s="6" t="s">
        <v>808</v>
      </c>
    </row>
    <row r="187" spans="1:10" x14ac:dyDescent="0.25">
      <c r="A187" s="6" t="s">
        <v>304</v>
      </c>
      <c r="B187" s="5">
        <v>75</v>
      </c>
      <c r="C187" s="5"/>
      <c r="D187" s="6" t="s">
        <v>215</v>
      </c>
      <c r="E187" s="7">
        <v>525</v>
      </c>
      <c r="F187" s="5" t="s">
        <v>493</v>
      </c>
      <c r="G187" s="5" t="s">
        <v>303</v>
      </c>
      <c r="H187" s="7">
        <v>250</v>
      </c>
      <c r="I187" s="9">
        <v>0.47599999999999998</v>
      </c>
      <c r="J187" s="6" t="s">
        <v>809</v>
      </c>
    </row>
    <row r="188" spans="1:10" x14ac:dyDescent="0.25">
      <c r="A188" s="6" t="s">
        <v>304</v>
      </c>
      <c r="B188" s="5">
        <v>75</v>
      </c>
      <c r="C188" s="5"/>
      <c r="D188" s="6" t="s">
        <v>215</v>
      </c>
      <c r="E188" s="7">
        <v>525</v>
      </c>
      <c r="F188" s="5" t="s">
        <v>302</v>
      </c>
      <c r="G188" s="5" t="s">
        <v>303</v>
      </c>
      <c r="H188" s="7">
        <v>150</v>
      </c>
      <c r="I188" s="9">
        <v>0.28599999999999998</v>
      </c>
      <c r="J188" s="6" t="s">
        <v>810</v>
      </c>
    </row>
    <row r="189" spans="1:10" x14ac:dyDescent="0.25">
      <c r="A189" s="6" t="s">
        <v>304</v>
      </c>
      <c r="B189" s="5">
        <v>75</v>
      </c>
      <c r="C189" s="5"/>
      <c r="D189" s="6" t="s">
        <v>215</v>
      </c>
      <c r="E189" s="7">
        <v>525</v>
      </c>
      <c r="F189" s="5" t="s">
        <v>623</v>
      </c>
      <c r="G189" s="5" t="s">
        <v>303</v>
      </c>
      <c r="H189" s="7">
        <v>125</v>
      </c>
      <c r="I189" s="9">
        <v>0.23799999999999999</v>
      </c>
      <c r="J189" s="6" t="s">
        <v>811</v>
      </c>
    </row>
    <row r="190" spans="1:10" x14ac:dyDescent="0.25">
      <c r="A190" s="6" t="s">
        <v>304</v>
      </c>
      <c r="B190" s="5">
        <v>75</v>
      </c>
      <c r="C190" s="5"/>
      <c r="D190" s="6" t="s">
        <v>215</v>
      </c>
      <c r="E190" s="7">
        <v>525</v>
      </c>
      <c r="F190" s="5" t="s">
        <v>383</v>
      </c>
      <c r="G190" s="5" t="s">
        <v>303</v>
      </c>
      <c r="H190" s="7">
        <v>50</v>
      </c>
      <c r="I190" s="9">
        <v>9.5000000000000001E-2</v>
      </c>
      <c r="J190" s="6" t="s">
        <v>812</v>
      </c>
    </row>
    <row r="191" spans="1:10" x14ac:dyDescent="0.25">
      <c r="A191" s="6" t="s">
        <v>304</v>
      </c>
      <c r="B191" s="5">
        <v>76</v>
      </c>
      <c r="C191" s="5"/>
      <c r="D191" s="6" t="s">
        <v>215</v>
      </c>
      <c r="E191" s="7">
        <v>20</v>
      </c>
      <c r="F191" s="5" t="s">
        <v>302</v>
      </c>
      <c r="G191" s="5" t="s">
        <v>303</v>
      </c>
      <c r="H191" s="7">
        <v>10</v>
      </c>
      <c r="I191" s="9">
        <v>0.5</v>
      </c>
      <c r="J191" s="6" t="s">
        <v>813</v>
      </c>
    </row>
    <row r="192" spans="1:10" x14ac:dyDescent="0.25">
      <c r="A192" s="6" t="s">
        <v>304</v>
      </c>
      <c r="B192" s="5">
        <v>76</v>
      </c>
      <c r="C192" s="5"/>
      <c r="D192" s="6" t="s">
        <v>215</v>
      </c>
      <c r="E192" s="7">
        <v>20</v>
      </c>
      <c r="F192" s="5" t="s">
        <v>623</v>
      </c>
      <c r="G192" s="5" t="s">
        <v>303</v>
      </c>
      <c r="H192" s="7">
        <v>10</v>
      </c>
      <c r="I192" s="9">
        <v>0.5</v>
      </c>
      <c r="J192" s="6" t="s">
        <v>814</v>
      </c>
    </row>
    <row r="193" spans="1:10" ht="30" customHeight="1" x14ac:dyDescent="0.25">
      <c r="A193" s="6" t="s">
        <v>304</v>
      </c>
      <c r="B193" s="5">
        <v>77</v>
      </c>
      <c r="C193" s="5"/>
      <c r="D193" s="6" t="s">
        <v>215</v>
      </c>
      <c r="E193" s="7">
        <v>1080</v>
      </c>
      <c r="F193" s="5" t="s">
        <v>493</v>
      </c>
      <c r="G193" s="5" t="s">
        <v>303</v>
      </c>
      <c r="H193" s="7">
        <v>700</v>
      </c>
      <c r="I193" s="9">
        <v>0.65</v>
      </c>
      <c r="J193" s="6" t="s">
        <v>803</v>
      </c>
    </row>
    <row r="194" spans="1:10" x14ac:dyDescent="0.25">
      <c r="A194" s="6" t="s">
        <v>304</v>
      </c>
      <c r="B194" s="5">
        <v>77</v>
      </c>
      <c r="C194" s="5"/>
      <c r="D194" s="6" t="s">
        <v>215</v>
      </c>
      <c r="E194" s="7">
        <v>1080</v>
      </c>
      <c r="F194" s="5" t="s">
        <v>302</v>
      </c>
      <c r="G194" s="5" t="s">
        <v>303</v>
      </c>
      <c r="H194" s="7">
        <v>250</v>
      </c>
      <c r="I194" s="9">
        <v>0.23100000000000001</v>
      </c>
      <c r="J194" s="6" t="s">
        <v>810</v>
      </c>
    </row>
    <row r="195" spans="1:10" x14ac:dyDescent="0.25">
      <c r="A195" s="6" t="s">
        <v>304</v>
      </c>
      <c r="B195" s="5">
        <v>77</v>
      </c>
      <c r="C195" s="5"/>
      <c r="D195" s="6" t="s">
        <v>215</v>
      </c>
      <c r="E195" s="7">
        <v>1080</v>
      </c>
      <c r="F195" s="5" t="s">
        <v>623</v>
      </c>
      <c r="G195" s="5" t="s">
        <v>303</v>
      </c>
      <c r="H195" s="7">
        <v>130</v>
      </c>
      <c r="I195" s="9">
        <v>0.12</v>
      </c>
      <c r="J195" s="6" t="s">
        <v>811</v>
      </c>
    </row>
    <row r="196" spans="1:10" x14ac:dyDescent="0.25">
      <c r="A196" s="6" t="s">
        <v>304</v>
      </c>
      <c r="B196" s="5">
        <v>77</v>
      </c>
      <c r="C196" s="5"/>
      <c r="D196" s="6" t="s">
        <v>215</v>
      </c>
      <c r="E196" s="7">
        <v>1080</v>
      </c>
      <c r="F196" s="5" t="s">
        <v>383</v>
      </c>
      <c r="G196" s="5" t="s">
        <v>303</v>
      </c>
      <c r="H196" s="7">
        <v>100</v>
      </c>
      <c r="I196" s="9">
        <v>9.2999999999999999E-2</v>
      </c>
      <c r="J196" s="6" t="s">
        <v>812</v>
      </c>
    </row>
    <row r="197" spans="1:10" x14ac:dyDescent="0.25">
      <c r="A197" s="6" t="s">
        <v>304</v>
      </c>
      <c r="B197" s="5">
        <v>78</v>
      </c>
      <c r="C197" s="5"/>
      <c r="D197" s="6" t="s">
        <v>215</v>
      </c>
      <c r="E197" s="7">
        <v>460</v>
      </c>
      <c r="F197" s="5" t="s">
        <v>493</v>
      </c>
      <c r="G197" s="5" t="s">
        <v>303</v>
      </c>
      <c r="H197" s="7">
        <v>200</v>
      </c>
      <c r="I197" s="9">
        <v>0.435</v>
      </c>
      <c r="J197" s="6" t="s">
        <v>809</v>
      </c>
    </row>
    <row r="198" spans="1:10" x14ac:dyDescent="0.25">
      <c r="A198" s="6" t="s">
        <v>304</v>
      </c>
      <c r="B198" s="5">
        <v>78</v>
      </c>
      <c r="C198" s="5"/>
      <c r="D198" s="6" t="s">
        <v>215</v>
      </c>
      <c r="E198" s="7">
        <v>460</v>
      </c>
      <c r="F198" s="5" t="s">
        <v>302</v>
      </c>
      <c r="G198" s="5" t="s">
        <v>303</v>
      </c>
      <c r="H198" s="7">
        <v>100</v>
      </c>
      <c r="I198" s="9">
        <v>0.217</v>
      </c>
      <c r="J198" s="6" t="s">
        <v>810</v>
      </c>
    </row>
    <row r="199" spans="1:10" x14ac:dyDescent="0.25">
      <c r="A199" s="6" t="s">
        <v>304</v>
      </c>
      <c r="B199" s="5">
        <v>78</v>
      </c>
      <c r="C199" s="5"/>
      <c r="D199" s="6" t="s">
        <v>215</v>
      </c>
      <c r="E199" s="7">
        <v>460</v>
      </c>
      <c r="F199" s="5" t="s">
        <v>623</v>
      </c>
      <c r="G199" s="5" t="s">
        <v>303</v>
      </c>
      <c r="H199" s="7">
        <v>100</v>
      </c>
      <c r="I199" s="9">
        <v>0.217</v>
      </c>
      <c r="J199" s="6" t="s">
        <v>811</v>
      </c>
    </row>
    <row r="200" spans="1:10" x14ac:dyDescent="0.25">
      <c r="A200" s="6" t="s">
        <v>304</v>
      </c>
      <c r="B200" s="5">
        <v>78</v>
      </c>
      <c r="C200" s="5"/>
      <c r="D200" s="6" t="s">
        <v>215</v>
      </c>
      <c r="E200" s="7">
        <v>460</v>
      </c>
      <c r="F200" s="5" t="s">
        <v>383</v>
      </c>
      <c r="G200" s="5" t="s">
        <v>303</v>
      </c>
      <c r="H200" s="7">
        <v>60</v>
      </c>
      <c r="I200" s="9">
        <v>0.13</v>
      </c>
      <c r="J200" s="6" t="s">
        <v>812</v>
      </c>
    </row>
    <row r="201" spans="1:10" x14ac:dyDescent="0.25">
      <c r="A201" s="6" t="s">
        <v>304</v>
      </c>
      <c r="B201" s="5">
        <v>79</v>
      </c>
      <c r="C201" s="5"/>
      <c r="D201" s="6" t="s">
        <v>206</v>
      </c>
      <c r="E201" s="7">
        <v>5</v>
      </c>
      <c r="F201" s="5" t="s">
        <v>302</v>
      </c>
      <c r="G201" s="5" t="s">
        <v>303</v>
      </c>
      <c r="H201" s="7">
        <v>5</v>
      </c>
      <c r="I201" s="9">
        <v>1</v>
      </c>
      <c r="J201" s="6" t="s">
        <v>815</v>
      </c>
    </row>
    <row r="202" spans="1:10" x14ac:dyDescent="0.25">
      <c r="A202" s="6" t="s">
        <v>304</v>
      </c>
      <c r="B202" s="5">
        <v>80</v>
      </c>
      <c r="C202" s="5"/>
      <c r="D202" s="6" t="s">
        <v>206</v>
      </c>
      <c r="E202" s="7">
        <v>1080</v>
      </c>
      <c r="F202" s="5" t="s">
        <v>493</v>
      </c>
      <c r="G202" s="5" t="s">
        <v>303</v>
      </c>
      <c r="H202" s="7">
        <v>800</v>
      </c>
      <c r="I202" s="9">
        <v>0.74099999999999999</v>
      </c>
      <c r="J202" s="6" t="s">
        <v>816</v>
      </c>
    </row>
    <row r="203" spans="1:10" x14ac:dyDescent="0.25">
      <c r="A203" s="6" t="s">
        <v>304</v>
      </c>
      <c r="B203" s="5">
        <v>80</v>
      </c>
      <c r="C203" s="5"/>
      <c r="D203" s="6" t="s">
        <v>206</v>
      </c>
      <c r="E203" s="7">
        <v>1080</v>
      </c>
      <c r="F203" s="5" t="s">
        <v>302</v>
      </c>
      <c r="G203" s="5" t="s">
        <v>303</v>
      </c>
      <c r="H203" s="7">
        <v>200</v>
      </c>
      <c r="I203" s="9">
        <v>0.185</v>
      </c>
      <c r="J203" s="6" t="s">
        <v>817</v>
      </c>
    </row>
    <row r="204" spans="1:10" x14ac:dyDescent="0.25">
      <c r="A204" s="6" t="s">
        <v>304</v>
      </c>
      <c r="B204" s="5">
        <v>80</v>
      </c>
      <c r="C204" s="5"/>
      <c r="D204" s="6" t="s">
        <v>206</v>
      </c>
      <c r="E204" s="7">
        <v>1080</v>
      </c>
      <c r="F204" s="5" t="s">
        <v>623</v>
      </c>
      <c r="G204" s="5" t="s">
        <v>303</v>
      </c>
      <c r="H204" s="7">
        <v>80</v>
      </c>
      <c r="I204" s="9">
        <v>7.3999999999999996E-2</v>
      </c>
      <c r="J204" s="6" t="s">
        <v>818</v>
      </c>
    </row>
    <row r="205" spans="1:10" x14ac:dyDescent="0.25">
      <c r="A205" s="6" t="s">
        <v>304</v>
      </c>
      <c r="B205" s="5">
        <v>81</v>
      </c>
      <c r="C205" s="5"/>
      <c r="D205" s="6" t="s">
        <v>206</v>
      </c>
      <c r="E205" s="7">
        <v>700</v>
      </c>
      <c r="F205" s="5" t="s">
        <v>493</v>
      </c>
      <c r="G205" s="5" t="s">
        <v>303</v>
      </c>
      <c r="H205" s="7">
        <v>400</v>
      </c>
      <c r="I205" s="9">
        <v>0.57099999999999995</v>
      </c>
      <c r="J205" s="6" t="s">
        <v>816</v>
      </c>
    </row>
    <row r="206" spans="1:10" x14ac:dyDescent="0.25">
      <c r="A206" s="6" t="s">
        <v>304</v>
      </c>
      <c r="B206" s="5">
        <v>81</v>
      </c>
      <c r="C206" s="5"/>
      <c r="D206" s="6" t="s">
        <v>206</v>
      </c>
      <c r="E206" s="7">
        <v>700</v>
      </c>
      <c r="F206" s="5" t="s">
        <v>302</v>
      </c>
      <c r="G206" s="5" t="s">
        <v>303</v>
      </c>
      <c r="H206" s="7">
        <v>200</v>
      </c>
      <c r="I206" s="9">
        <v>0.28599999999999998</v>
      </c>
      <c r="J206" s="6" t="s">
        <v>817</v>
      </c>
    </row>
    <row r="207" spans="1:10" x14ac:dyDescent="0.25">
      <c r="A207" s="6" t="s">
        <v>304</v>
      </c>
      <c r="B207" s="5">
        <v>81</v>
      </c>
      <c r="C207" s="5"/>
      <c r="D207" s="6" t="s">
        <v>206</v>
      </c>
      <c r="E207" s="7">
        <v>700</v>
      </c>
      <c r="F207" s="5" t="s">
        <v>623</v>
      </c>
      <c r="G207" s="5" t="s">
        <v>303</v>
      </c>
      <c r="H207" s="7">
        <v>100</v>
      </c>
      <c r="I207" s="9">
        <v>0.14299999999999999</v>
      </c>
      <c r="J207" s="6" t="s">
        <v>818</v>
      </c>
    </row>
    <row r="208" spans="1:10" x14ac:dyDescent="0.25">
      <c r="A208" s="6" t="s">
        <v>304</v>
      </c>
      <c r="B208" s="5">
        <v>81</v>
      </c>
      <c r="C208" s="5"/>
      <c r="D208" s="6" t="s">
        <v>206</v>
      </c>
      <c r="E208" s="7">
        <v>700</v>
      </c>
      <c r="F208" s="5" t="s">
        <v>383</v>
      </c>
      <c r="G208" s="5" t="s">
        <v>303</v>
      </c>
      <c r="H208" s="7">
        <v>100</v>
      </c>
      <c r="I208" s="9">
        <v>0.14299999999999999</v>
      </c>
      <c r="J208" s="6" t="s">
        <v>819</v>
      </c>
    </row>
    <row r="209" spans="1:10" x14ac:dyDescent="0.25">
      <c r="A209" s="6" t="s">
        <v>304</v>
      </c>
      <c r="B209" s="5">
        <v>82</v>
      </c>
      <c r="C209" s="5"/>
      <c r="D209" s="6" t="s">
        <v>206</v>
      </c>
      <c r="E209" s="7">
        <v>10</v>
      </c>
      <c r="F209" s="5" t="s">
        <v>302</v>
      </c>
      <c r="G209" s="5" t="s">
        <v>303</v>
      </c>
      <c r="H209" s="7">
        <v>10</v>
      </c>
      <c r="I209" s="9">
        <v>1</v>
      </c>
      <c r="J209" s="6" t="s">
        <v>815</v>
      </c>
    </row>
    <row r="210" spans="1:10" ht="30" customHeight="1" x14ac:dyDescent="0.25">
      <c r="A210" s="6" t="s">
        <v>304</v>
      </c>
      <c r="B210" s="5">
        <v>83</v>
      </c>
      <c r="C210" s="5"/>
      <c r="D210" s="6" t="s">
        <v>218</v>
      </c>
      <c r="E210" s="7">
        <v>210</v>
      </c>
      <c r="F210" s="5" t="s">
        <v>493</v>
      </c>
      <c r="G210" s="5" t="s">
        <v>303</v>
      </c>
      <c r="H210" s="7">
        <v>100</v>
      </c>
      <c r="I210" s="9">
        <v>0.47599999999999998</v>
      </c>
      <c r="J210" s="6" t="s">
        <v>820</v>
      </c>
    </row>
    <row r="211" spans="1:10" x14ac:dyDescent="0.25">
      <c r="A211" s="6" t="s">
        <v>304</v>
      </c>
      <c r="B211" s="5">
        <v>83</v>
      </c>
      <c r="C211" s="5"/>
      <c r="D211" s="6" t="s">
        <v>218</v>
      </c>
      <c r="E211" s="7">
        <v>210</v>
      </c>
      <c r="F211" s="5" t="s">
        <v>302</v>
      </c>
      <c r="G211" s="5" t="s">
        <v>303</v>
      </c>
      <c r="H211" s="7">
        <v>70</v>
      </c>
      <c r="I211" s="9">
        <v>0.33300000000000002</v>
      </c>
      <c r="J211" s="6" t="s">
        <v>821</v>
      </c>
    </row>
    <row r="212" spans="1:10" x14ac:dyDescent="0.25">
      <c r="A212" s="6" t="s">
        <v>304</v>
      </c>
      <c r="B212" s="5">
        <v>83</v>
      </c>
      <c r="C212" s="5"/>
      <c r="D212" s="6" t="s">
        <v>218</v>
      </c>
      <c r="E212" s="7">
        <v>210</v>
      </c>
      <c r="F212" s="5" t="s">
        <v>623</v>
      </c>
      <c r="G212" s="5" t="s">
        <v>303</v>
      </c>
      <c r="H212" s="7">
        <v>40</v>
      </c>
      <c r="I212" s="9">
        <v>0.19</v>
      </c>
      <c r="J212" s="6" t="s">
        <v>822</v>
      </c>
    </row>
    <row r="213" spans="1:10" ht="30" customHeight="1" x14ac:dyDescent="0.25">
      <c r="A213" s="6" t="s">
        <v>304</v>
      </c>
      <c r="B213" s="5">
        <v>84</v>
      </c>
      <c r="C213" s="5"/>
      <c r="D213" s="6" t="s">
        <v>218</v>
      </c>
      <c r="E213" s="7">
        <v>280</v>
      </c>
      <c r="F213" s="5" t="s">
        <v>493</v>
      </c>
      <c r="G213" s="5" t="s">
        <v>303</v>
      </c>
      <c r="H213" s="7">
        <v>150</v>
      </c>
      <c r="I213" s="9">
        <v>0.53600000000000003</v>
      </c>
      <c r="J213" s="6" t="s">
        <v>820</v>
      </c>
    </row>
    <row r="214" spans="1:10" x14ac:dyDescent="0.25">
      <c r="A214" s="6" t="s">
        <v>304</v>
      </c>
      <c r="B214" s="5">
        <v>84</v>
      </c>
      <c r="C214" s="5"/>
      <c r="D214" s="6" t="s">
        <v>218</v>
      </c>
      <c r="E214" s="7">
        <v>280</v>
      </c>
      <c r="F214" s="5" t="s">
        <v>302</v>
      </c>
      <c r="G214" s="5" t="s">
        <v>303</v>
      </c>
      <c r="H214" s="7">
        <v>80</v>
      </c>
      <c r="I214" s="9">
        <v>0.28599999999999998</v>
      </c>
      <c r="J214" s="6" t="s">
        <v>821</v>
      </c>
    </row>
    <row r="215" spans="1:10" x14ac:dyDescent="0.25">
      <c r="A215" s="6" t="s">
        <v>304</v>
      </c>
      <c r="B215" s="5">
        <v>84</v>
      </c>
      <c r="C215" s="5"/>
      <c r="D215" s="6" t="s">
        <v>218</v>
      </c>
      <c r="E215" s="7">
        <v>280</v>
      </c>
      <c r="F215" s="5" t="s">
        <v>623</v>
      </c>
      <c r="G215" s="5" t="s">
        <v>303</v>
      </c>
      <c r="H215" s="7">
        <v>50</v>
      </c>
      <c r="I215" s="9">
        <v>0.17899999999999999</v>
      </c>
      <c r="J215" s="6" t="s">
        <v>822</v>
      </c>
    </row>
    <row r="216" spans="1:10" ht="30" customHeight="1" x14ac:dyDescent="0.25">
      <c r="A216" s="6" t="s">
        <v>304</v>
      </c>
      <c r="B216" s="5">
        <v>85</v>
      </c>
      <c r="C216" s="5"/>
      <c r="D216" s="6" t="s">
        <v>218</v>
      </c>
      <c r="E216" s="7">
        <v>10</v>
      </c>
      <c r="F216" s="5" t="s">
        <v>302</v>
      </c>
      <c r="G216" s="5" t="s">
        <v>303</v>
      </c>
      <c r="H216" s="7">
        <v>5</v>
      </c>
      <c r="I216" s="9">
        <v>0.5</v>
      </c>
      <c r="J216" s="6" t="s">
        <v>823</v>
      </c>
    </row>
    <row r="217" spans="1:10" ht="30" customHeight="1" x14ac:dyDescent="0.25">
      <c r="A217" s="6" t="s">
        <v>304</v>
      </c>
      <c r="B217" s="5">
        <v>85</v>
      </c>
      <c r="C217" s="5"/>
      <c r="D217" s="6" t="s">
        <v>218</v>
      </c>
      <c r="E217" s="7">
        <v>10</v>
      </c>
      <c r="F217" s="5" t="s">
        <v>623</v>
      </c>
      <c r="G217" s="5" t="s">
        <v>303</v>
      </c>
      <c r="H217" s="7">
        <v>5</v>
      </c>
      <c r="I217" s="9">
        <v>0.5</v>
      </c>
      <c r="J217" s="6" t="s">
        <v>824</v>
      </c>
    </row>
    <row r="218" spans="1:10" x14ac:dyDescent="0.25">
      <c r="A218" s="6" t="s">
        <v>304</v>
      </c>
      <c r="B218" s="5">
        <v>86</v>
      </c>
      <c r="C218" s="5"/>
      <c r="D218" s="6" t="s">
        <v>202</v>
      </c>
      <c r="E218" s="7">
        <v>30</v>
      </c>
      <c r="F218" s="5" t="s">
        <v>493</v>
      </c>
      <c r="G218" s="5" t="s">
        <v>384</v>
      </c>
      <c r="H218" s="7">
        <v>10</v>
      </c>
      <c r="I218" s="9">
        <v>0.33300000000000002</v>
      </c>
      <c r="J218" s="6" t="s">
        <v>825</v>
      </c>
    </row>
    <row r="219" spans="1:10" x14ac:dyDescent="0.25">
      <c r="A219" s="6" t="s">
        <v>304</v>
      </c>
      <c r="B219" s="5">
        <v>86</v>
      </c>
      <c r="C219" s="5"/>
      <c r="D219" s="6" t="s">
        <v>202</v>
      </c>
      <c r="E219" s="7">
        <v>30</v>
      </c>
      <c r="F219" s="5" t="s">
        <v>493</v>
      </c>
      <c r="G219" s="5" t="s">
        <v>389</v>
      </c>
      <c r="H219" s="7">
        <v>10</v>
      </c>
      <c r="I219" s="9">
        <v>0.33300000000000002</v>
      </c>
      <c r="J219" s="6" t="s">
        <v>826</v>
      </c>
    </row>
    <row r="220" spans="1:10" x14ac:dyDescent="0.25">
      <c r="A220" s="6" t="s">
        <v>304</v>
      </c>
      <c r="B220" s="5">
        <v>86</v>
      </c>
      <c r="C220" s="5"/>
      <c r="D220" s="6" t="s">
        <v>202</v>
      </c>
      <c r="E220" s="7">
        <v>30</v>
      </c>
      <c r="F220" s="5" t="s">
        <v>302</v>
      </c>
      <c r="G220" s="5" t="s">
        <v>303</v>
      </c>
      <c r="H220" s="7">
        <v>10</v>
      </c>
      <c r="I220" s="9">
        <v>0.33400000000000002</v>
      </c>
      <c r="J220" s="6" t="s">
        <v>827</v>
      </c>
    </row>
    <row r="221" spans="1:10" ht="30" customHeight="1" x14ac:dyDescent="0.25">
      <c r="A221" s="6" t="s">
        <v>304</v>
      </c>
      <c r="B221" s="5">
        <v>87</v>
      </c>
      <c r="C221" s="5"/>
      <c r="D221" s="6" t="s">
        <v>202</v>
      </c>
      <c r="E221" s="7">
        <v>2075</v>
      </c>
      <c r="F221" s="5" t="s">
        <v>493</v>
      </c>
      <c r="G221" s="5" t="s">
        <v>384</v>
      </c>
      <c r="H221" s="7">
        <v>1038</v>
      </c>
      <c r="I221" s="9">
        <v>0.5</v>
      </c>
      <c r="J221" s="6" t="s">
        <v>828</v>
      </c>
    </row>
    <row r="222" spans="1:10" ht="30" customHeight="1" x14ac:dyDescent="0.25">
      <c r="A222" s="6" t="s">
        <v>304</v>
      </c>
      <c r="B222" s="5">
        <v>87</v>
      </c>
      <c r="C222" s="5"/>
      <c r="D222" s="6" t="s">
        <v>202</v>
      </c>
      <c r="E222" s="7">
        <v>2075</v>
      </c>
      <c r="F222" s="5" t="s">
        <v>493</v>
      </c>
      <c r="G222" s="5" t="s">
        <v>389</v>
      </c>
      <c r="H222" s="7">
        <v>1037</v>
      </c>
      <c r="I222" s="9">
        <v>0.5</v>
      </c>
      <c r="J222" s="6" t="s">
        <v>829</v>
      </c>
    </row>
    <row r="223" spans="1:10" x14ac:dyDescent="0.25">
      <c r="A223" s="6" t="s">
        <v>304</v>
      </c>
      <c r="B223" s="5">
        <v>88</v>
      </c>
      <c r="C223" s="5"/>
      <c r="D223" s="6" t="s">
        <v>217</v>
      </c>
      <c r="E223" s="7">
        <v>5</v>
      </c>
      <c r="F223" s="5" t="s">
        <v>302</v>
      </c>
      <c r="G223" s="5" t="s">
        <v>303</v>
      </c>
      <c r="H223" s="7">
        <v>3</v>
      </c>
      <c r="I223" s="9">
        <v>0.6</v>
      </c>
      <c r="J223" s="6" t="s">
        <v>830</v>
      </c>
    </row>
    <row r="224" spans="1:10" x14ac:dyDescent="0.25">
      <c r="A224" s="6" t="s">
        <v>304</v>
      </c>
      <c r="B224" s="5">
        <v>88</v>
      </c>
      <c r="C224" s="5"/>
      <c r="D224" s="6" t="s">
        <v>217</v>
      </c>
      <c r="E224" s="7">
        <v>5</v>
      </c>
      <c r="F224" s="5" t="s">
        <v>623</v>
      </c>
      <c r="G224" s="5" t="s">
        <v>303</v>
      </c>
      <c r="H224" s="7">
        <v>2</v>
      </c>
      <c r="I224" s="9">
        <v>0.4</v>
      </c>
      <c r="J224" s="6" t="s">
        <v>831</v>
      </c>
    </row>
    <row r="225" spans="1:10" x14ac:dyDescent="0.25">
      <c r="A225" s="6" t="s">
        <v>304</v>
      </c>
      <c r="B225" s="5">
        <v>89</v>
      </c>
      <c r="C225" s="5"/>
      <c r="D225" s="6" t="s">
        <v>217</v>
      </c>
      <c r="E225" s="7">
        <v>340</v>
      </c>
      <c r="F225" s="5" t="s">
        <v>493</v>
      </c>
      <c r="G225" s="5" t="s">
        <v>384</v>
      </c>
      <c r="H225" s="7">
        <v>170</v>
      </c>
      <c r="I225" s="9">
        <v>0.5</v>
      </c>
      <c r="J225" s="6" t="s">
        <v>832</v>
      </c>
    </row>
    <row r="226" spans="1:10" x14ac:dyDescent="0.25">
      <c r="A226" s="6" t="s">
        <v>304</v>
      </c>
      <c r="B226" s="5">
        <v>89</v>
      </c>
      <c r="C226" s="5"/>
      <c r="D226" s="6" t="s">
        <v>217</v>
      </c>
      <c r="E226" s="7">
        <v>340</v>
      </c>
      <c r="F226" s="5" t="s">
        <v>493</v>
      </c>
      <c r="G226" s="5" t="s">
        <v>389</v>
      </c>
      <c r="H226" s="7">
        <v>170</v>
      </c>
      <c r="I226" s="9">
        <v>0.5</v>
      </c>
      <c r="J226" s="6" t="s">
        <v>833</v>
      </c>
    </row>
    <row r="227" spans="1:10" x14ac:dyDescent="0.25">
      <c r="A227" s="6" t="s">
        <v>304</v>
      </c>
      <c r="B227" s="5">
        <v>90</v>
      </c>
      <c r="C227" s="5"/>
      <c r="D227" s="6" t="s">
        <v>217</v>
      </c>
      <c r="E227" s="7">
        <v>10</v>
      </c>
      <c r="F227" s="5" t="s">
        <v>302</v>
      </c>
      <c r="G227" s="5" t="s">
        <v>303</v>
      </c>
      <c r="H227" s="7">
        <v>10</v>
      </c>
      <c r="I227" s="9">
        <v>1</v>
      </c>
      <c r="J227" s="6" t="s">
        <v>834</v>
      </c>
    </row>
    <row r="228" spans="1:10" x14ac:dyDescent="0.25">
      <c r="A228" s="6" t="s">
        <v>304</v>
      </c>
      <c r="B228" s="5">
        <v>91</v>
      </c>
      <c r="C228" s="5"/>
      <c r="D228" s="6" t="s">
        <v>217</v>
      </c>
      <c r="E228" s="7">
        <v>20</v>
      </c>
      <c r="F228" s="5" t="s">
        <v>302</v>
      </c>
      <c r="G228" s="5" t="s">
        <v>303</v>
      </c>
      <c r="H228" s="7">
        <v>10</v>
      </c>
      <c r="I228" s="9">
        <v>0.5</v>
      </c>
      <c r="J228" s="6" t="s">
        <v>835</v>
      </c>
    </row>
    <row r="229" spans="1:10" x14ac:dyDescent="0.25">
      <c r="A229" s="6" t="s">
        <v>304</v>
      </c>
      <c r="B229" s="5">
        <v>91</v>
      </c>
      <c r="C229" s="5"/>
      <c r="D229" s="6" t="s">
        <v>217</v>
      </c>
      <c r="E229" s="7">
        <v>20</v>
      </c>
      <c r="F229" s="5" t="s">
        <v>623</v>
      </c>
      <c r="G229" s="5" t="s">
        <v>303</v>
      </c>
      <c r="H229" s="7">
        <v>10</v>
      </c>
      <c r="I229" s="9">
        <v>0.5</v>
      </c>
      <c r="J229" s="6" t="s">
        <v>831</v>
      </c>
    </row>
    <row r="230" spans="1:10" x14ac:dyDescent="0.25">
      <c r="A230" s="6" t="s">
        <v>304</v>
      </c>
      <c r="B230" s="5">
        <v>92</v>
      </c>
      <c r="C230" s="5"/>
      <c r="D230" s="6" t="s">
        <v>211</v>
      </c>
      <c r="E230" s="7">
        <v>5</v>
      </c>
      <c r="F230" s="5" t="s">
        <v>302</v>
      </c>
      <c r="G230" s="5" t="s">
        <v>303</v>
      </c>
      <c r="H230" s="7">
        <v>5</v>
      </c>
      <c r="I230" s="9">
        <v>1</v>
      </c>
      <c r="J230" s="6" t="s">
        <v>836</v>
      </c>
    </row>
    <row r="231" spans="1:10" x14ac:dyDescent="0.25">
      <c r="A231" s="6" t="s">
        <v>304</v>
      </c>
      <c r="B231" s="5">
        <v>93</v>
      </c>
      <c r="C231" s="5"/>
      <c r="D231" s="6" t="s">
        <v>211</v>
      </c>
      <c r="E231" s="7">
        <v>120</v>
      </c>
      <c r="F231" s="5" t="s">
        <v>493</v>
      </c>
      <c r="G231" s="5" t="s">
        <v>384</v>
      </c>
      <c r="H231" s="7">
        <v>60</v>
      </c>
      <c r="I231" s="9">
        <v>0.5</v>
      </c>
      <c r="J231" s="6" t="s">
        <v>837</v>
      </c>
    </row>
    <row r="232" spans="1:10" x14ac:dyDescent="0.25">
      <c r="A232" s="6" t="s">
        <v>304</v>
      </c>
      <c r="B232" s="5">
        <v>93</v>
      </c>
      <c r="C232" s="5"/>
      <c r="D232" s="6" t="s">
        <v>211</v>
      </c>
      <c r="E232" s="7">
        <v>120</v>
      </c>
      <c r="F232" s="5" t="s">
        <v>493</v>
      </c>
      <c r="G232" s="5" t="s">
        <v>389</v>
      </c>
      <c r="H232" s="7">
        <v>60</v>
      </c>
      <c r="I232" s="9">
        <v>0.5</v>
      </c>
      <c r="J232" s="6" t="s">
        <v>838</v>
      </c>
    </row>
    <row r="233" spans="1:10" x14ac:dyDescent="0.25">
      <c r="A233" s="6" t="s">
        <v>304</v>
      </c>
      <c r="B233" s="5">
        <v>94</v>
      </c>
      <c r="C233" s="5"/>
      <c r="D233" s="6" t="s">
        <v>211</v>
      </c>
      <c r="E233" s="7">
        <v>75</v>
      </c>
      <c r="F233" s="5" t="s">
        <v>493</v>
      </c>
      <c r="G233" s="5" t="s">
        <v>384</v>
      </c>
      <c r="H233" s="7">
        <v>38</v>
      </c>
      <c r="I233" s="9">
        <v>0.50600000000000001</v>
      </c>
      <c r="J233" s="6" t="s">
        <v>837</v>
      </c>
    </row>
    <row r="234" spans="1:10" x14ac:dyDescent="0.25">
      <c r="A234" s="6" t="s">
        <v>304</v>
      </c>
      <c r="B234" s="5">
        <v>94</v>
      </c>
      <c r="C234" s="5"/>
      <c r="D234" s="6" t="s">
        <v>211</v>
      </c>
      <c r="E234" s="7">
        <v>75</v>
      </c>
      <c r="F234" s="5" t="s">
        <v>493</v>
      </c>
      <c r="G234" s="5" t="s">
        <v>389</v>
      </c>
      <c r="H234" s="7">
        <v>37</v>
      </c>
      <c r="I234" s="9">
        <v>0.49299999999999999</v>
      </c>
      <c r="J234" s="6" t="s">
        <v>838</v>
      </c>
    </row>
    <row r="235" spans="1:10" x14ac:dyDescent="0.25">
      <c r="A235" s="6" t="s">
        <v>304</v>
      </c>
      <c r="B235" s="5">
        <v>95</v>
      </c>
      <c r="C235" s="5"/>
      <c r="D235" s="6" t="s">
        <v>208</v>
      </c>
      <c r="E235" s="7">
        <v>10</v>
      </c>
      <c r="F235" s="5" t="s">
        <v>302</v>
      </c>
      <c r="G235" s="5" t="s">
        <v>303</v>
      </c>
      <c r="H235" s="7">
        <v>10</v>
      </c>
      <c r="I235" s="9">
        <v>1</v>
      </c>
      <c r="J235" s="6" t="s">
        <v>839</v>
      </c>
    </row>
    <row r="236" spans="1:10" ht="30" customHeight="1" x14ac:dyDescent="0.25">
      <c r="A236" s="6" t="s">
        <v>304</v>
      </c>
      <c r="B236" s="5">
        <v>96</v>
      </c>
      <c r="C236" s="5"/>
      <c r="D236" s="6" t="s">
        <v>208</v>
      </c>
      <c r="E236" s="7">
        <v>9670</v>
      </c>
      <c r="F236" s="5" t="s">
        <v>493</v>
      </c>
      <c r="G236" s="5" t="s">
        <v>384</v>
      </c>
      <c r="H236" s="7">
        <v>4835</v>
      </c>
      <c r="I236" s="9">
        <v>0.5</v>
      </c>
      <c r="J236" s="6" t="s">
        <v>840</v>
      </c>
    </row>
    <row r="237" spans="1:10" ht="30" customHeight="1" x14ac:dyDescent="0.25">
      <c r="A237" s="6" t="s">
        <v>304</v>
      </c>
      <c r="B237" s="5">
        <v>96</v>
      </c>
      <c r="C237" s="5"/>
      <c r="D237" s="6" t="s">
        <v>208</v>
      </c>
      <c r="E237" s="7">
        <v>9670</v>
      </c>
      <c r="F237" s="5" t="s">
        <v>493</v>
      </c>
      <c r="G237" s="5" t="s">
        <v>389</v>
      </c>
      <c r="H237" s="7">
        <v>4835</v>
      </c>
      <c r="I237" s="9">
        <v>0.5</v>
      </c>
      <c r="J237" s="6" t="s">
        <v>841</v>
      </c>
    </row>
    <row r="238" spans="1:10" x14ac:dyDescent="0.25">
      <c r="A238" s="6" t="s">
        <v>304</v>
      </c>
      <c r="B238" s="5">
        <v>97</v>
      </c>
      <c r="C238" s="5"/>
      <c r="D238" s="6" t="s">
        <v>208</v>
      </c>
      <c r="E238" s="7">
        <v>40</v>
      </c>
      <c r="F238" s="5" t="s">
        <v>302</v>
      </c>
      <c r="G238" s="5" t="s">
        <v>303</v>
      </c>
      <c r="H238" s="7">
        <v>10</v>
      </c>
      <c r="I238" s="9">
        <v>0.25</v>
      </c>
      <c r="J238" s="6" t="s">
        <v>842</v>
      </c>
    </row>
    <row r="239" spans="1:10" x14ac:dyDescent="0.25">
      <c r="A239" s="6" t="s">
        <v>304</v>
      </c>
      <c r="B239" s="5">
        <v>97</v>
      </c>
      <c r="C239" s="5"/>
      <c r="D239" s="6" t="s">
        <v>208</v>
      </c>
      <c r="E239" s="7">
        <v>40</v>
      </c>
      <c r="F239" s="5" t="s">
        <v>61</v>
      </c>
      <c r="G239" s="5" t="s">
        <v>303</v>
      </c>
      <c r="H239" s="7">
        <v>10</v>
      </c>
      <c r="I239" s="9">
        <v>0.25</v>
      </c>
      <c r="J239" s="6" t="s">
        <v>843</v>
      </c>
    </row>
    <row r="240" spans="1:10" ht="30" customHeight="1" x14ac:dyDescent="0.25">
      <c r="A240" s="6" t="s">
        <v>304</v>
      </c>
      <c r="B240" s="5">
        <v>97</v>
      </c>
      <c r="C240" s="5"/>
      <c r="D240" s="6" t="s">
        <v>208</v>
      </c>
      <c r="E240" s="7">
        <v>40</v>
      </c>
      <c r="F240" s="5" t="s">
        <v>493</v>
      </c>
      <c r="G240" s="5" t="s">
        <v>303</v>
      </c>
      <c r="H240" s="7">
        <v>20</v>
      </c>
      <c r="I240" s="9">
        <v>0.5</v>
      </c>
      <c r="J240" s="6" t="s">
        <v>844</v>
      </c>
    </row>
    <row r="241" spans="1:10" x14ac:dyDescent="0.25">
      <c r="A241" s="6" t="s">
        <v>304</v>
      </c>
      <c r="B241" s="5">
        <v>98</v>
      </c>
      <c r="C241" s="5"/>
      <c r="D241" s="6" t="s">
        <v>208</v>
      </c>
      <c r="E241" s="7">
        <v>3550</v>
      </c>
      <c r="F241" s="5" t="s">
        <v>383</v>
      </c>
      <c r="G241" s="5" t="s">
        <v>303</v>
      </c>
      <c r="H241" s="7">
        <v>500</v>
      </c>
      <c r="I241" s="9">
        <v>0.14099999999999999</v>
      </c>
      <c r="J241" s="6" t="s">
        <v>845</v>
      </c>
    </row>
    <row r="242" spans="1:10" x14ac:dyDescent="0.25">
      <c r="A242" s="6" t="s">
        <v>304</v>
      </c>
      <c r="B242" s="5">
        <v>98</v>
      </c>
      <c r="C242" s="5"/>
      <c r="D242" s="6" t="s">
        <v>208</v>
      </c>
      <c r="E242" s="7">
        <v>3550</v>
      </c>
      <c r="F242" s="5" t="s">
        <v>405</v>
      </c>
      <c r="G242" s="5" t="s">
        <v>303</v>
      </c>
      <c r="H242" s="7">
        <v>500</v>
      </c>
      <c r="I242" s="9">
        <v>0.14099999999999999</v>
      </c>
      <c r="J242" s="6" t="s">
        <v>846</v>
      </c>
    </row>
    <row r="243" spans="1:10" x14ac:dyDescent="0.25">
      <c r="A243" s="6" t="s">
        <v>304</v>
      </c>
      <c r="B243" s="5">
        <v>98</v>
      </c>
      <c r="C243" s="5"/>
      <c r="D243" s="6" t="s">
        <v>208</v>
      </c>
      <c r="E243" s="7">
        <v>3550</v>
      </c>
      <c r="F243" s="5" t="s">
        <v>422</v>
      </c>
      <c r="G243" s="5" t="s">
        <v>303</v>
      </c>
      <c r="H243" s="7">
        <v>500</v>
      </c>
      <c r="I243" s="9">
        <v>0.14099999999999999</v>
      </c>
      <c r="J243" s="6" t="s">
        <v>847</v>
      </c>
    </row>
    <row r="244" spans="1:10" x14ac:dyDescent="0.25">
      <c r="A244" s="6" t="s">
        <v>304</v>
      </c>
      <c r="B244" s="5">
        <v>98</v>
      </c>
      <c r="C244" s="5"/>
      <c r="D244" s="6" t="s">
        <v>208</v>
      </c>
      <c r="E244" s="7">
        <v>3550</v>
      </c>
      <c r="F244" s="5" t="s">
        <v>439</v>
      </c>
      <c r="G244" s="5" t="s">
        <v>303</v>
      </c>
      <c r="H244" s="7">
        <v>500</v>
      </c>
      <c r="I244" s="9">
        <v>0.14099999999999999</v>
      </c>
      <c r="J244" s="6" t="s">
        <v>848</v>
      </c>
    </row>
    <row r="245" spans="1:10" x14ac:dyDescent="0.25">
      <c r="A245" s="6" t="s">
        <v>304</v>
      </c>
      <c r="B245" s="5">
        <v>98</v>
      </c>
      <c r="C245" s="5"/>
      <c r="D245" s="6" t="s">
        <v>208</v>
      </c>
      <c r="E245" s="7">
        <v>3550</v>
      </c>
      <c r="F245" s="5" t="s">
        <v>455</v>
      </c>
      <c r="G245" s="5" t="s">
        <v>303</v>
      </c>
      <c r="H245" s="7">
        <v>500</v>
      </c>
      <c r="I245" s="9">
        <v>0.14099999999999999</v>
      </c>
      <c r="J245" s="6" t="s">
        <v>849</v>
      </c>
    </row>
    <row r="246" spans="1:10" x14ac:dyDescent="0.25">
      <c r="A246" s="6" t="s">
        <v>304</v>
      </c>
      <c r="B246" s="5">
        <v>98</v>
      </c>
      <c r="C246" s="5"/>
      <c r="D246" s="6" t="s">
        <v>208</v>
      </c>
      <c r="E246" s="7">
        <v>3550</v>
      </c>
      <c r="F246" s="5" t="s">
        <v>61</v>
      </c>
      <c r="G246" s="5" t="s">
        <v>303</v>
      </c>
      <c r="H246" s="7">
        <v>500</v>
      </c>
      <c r="I246" s="9">
        <v>0.14099999999999999</v>
      </c>
      <c r="J246" s="6" t="s">
        <v>843</v>
      </c>
    </row>
    <row r="247" spans="1:10" ht="30" customHeight="1" x14ac:dyDescent="0.25">
      <c r="A247" s="6" t="s">
        <v>304</v>
      </c>
      <c r="B247" s="5">
        <v>98</v>
      </c>
      <c r="C247" s="5"/>
      <c r="D247" s="6" t="s">
        <v>208</v>
      </c>
      <c r="E247" s="7">
        <v>3550</v>
      </c>
      <c r="F247" s="5" t="s">
        <v>493</v>
      </c>
      <c r="G247" s="5" t="s">
        <v>303</v>
      </c>
      <c r="H247" s="7">
        <v>1050</v>
      </c>
      <c r="I247" s="9">
        <v>0.29899999999999999</v>
      </c>
      <c r="J247" s="6" t="s">
        <v>844</v>
      </c>
    </row>
    <row r="248" spans="1:10" ht="30" customHeight="1" x14ac:dyDescent="0.25">
      <c r="A248" s="6" t="s">
        <v>304</v>
      </c>
      <c r="B248" s="5">
        <v>99</v>
      </c>
      <c r="C248" s="5"/>
      <c r="D248" s="6" t="s">
        <v>208</v>
      </c>
      <c r="E248" s="7">
        <v>85</v>
      </c>
      <c r="F248" s="5" t="s">
        <v>302</v>
      </c>
      <c r="G248" s="5" t="s">
        <v>303</v>
      </c>
      <c r="H248" s="7">
        <v>20</v>
      </c>
      <c r="I248" s="9">
        <v>0.23499999999999999</v>
      </c>
      <c r="J248" s="6" t="s">
        <v>850</v>
      </c>
    </row>
    <row r="249" spans="1:10" x14ac:dyDescent="0.25">
      <c r="A249" s="6" t="s">
        <v>304</v>
      </c>
      <c r="B249" s="5">
        <v>99</v>
      </c>
      <c r="C249" s="5"/>
      <c r="D249" s="6" t="s">
        <v>208</v>
      </c>
      <c r="E249" s="7">
        <v>85</v>
      </c>
      <c r="F249" s="5" t="s">
        <v>61</v>
      </c>
      <c r="G249" s="5" t="s">
        <v>303</v>
      </c>
      <c r="H249" s="7">
        <v>30</v>
      </c>
      <c r="I249" s="9">
        <v>0.35299999999999998</v>
      </c>
      <c r="J249" s="6" t="s">
        <v>843</v>
      </c>
    </row>
    <row r="250" spans="1:10" ht="30" customHeight="1" x14ac:dyDescent="0.25">
      <c r="A250" s="6" t="s">
        <v>304</v>
      </c>
      <c r="B250" s="5">
        <v>99</v>
      </c>
      <c r="C250" s="5"/>
      <c r="D250" s="6" t="s">
        <v>208</v>
      </c>
      <c r="E250" s="7">
        <v>85</v>
      </c>
      <c r="F250" s="5" t="s">
        <v>493</v>
      </c>
      <c r="G250" s="5" t="s">
        <v>303</v>
      </c>
      <c r="H250" s="7">
        <v>35</v>
      </c>
      <c r="I250" s="9">
        <v>0.41199999999999998</v>
      </c>
      <c r="J250" s="6" t="s">
        <v>844</v>
      </c>
    </row>
    <row r="251" spans="1:10" ht="30" customHeight="1" x14ac:dyDescent="0.25">
      <c r="A251" s="6" t="s">
        <v>304</v>
      </c>
      <c r="B251" s="5">
        <v>100</v>
      </c>
      <c r="C251" s="5"/>
      <c r="D251" s="6" t="s">
        <v>219</v>
      </c>
      <c r="E251" s="7">
        <v>450</v>
      </c>
      <c r="F251" s="5" t="s">
        <v>383</v>
      </c>
      <c r="G251" s="5" t="s">
        <v>303</v>
      </c>
      <c r="H251" s="7">
        <v>50</v>
      </c>
      <c r="I251" s="9">
        <v>0.111</v>
      </c>
      <c r="J251" s="6" t="s">
        <v>851</v>
      </c>
    </row>
    <row r="252" spans="1:10" ht="30" customHeight="1" x14ac:dyDescent="0.25">
      <c r="A252" s="6" t="s">
        <v>304</v>
      </c>
      <c r="B252" s="5">
        <v>100</v>
      </c>
      <c r="C252" s="5"/>
      <c r="D252" s="6" t="s">
        <v>219</v>
      </c>
      <c r="E252" s="7">
        <v>450</v>
      </c>
      <c r="F252" s="5" t="s">
        <v>405</v>
      </c>
      <c r="G252" s="5" t="s">
        <v>303</v>
      </c>
      <c r="H252" s="7">
        <v>50</v>
      </c>
      <c r="I252" s="9">
        <v>0.111</v>
      </c>
      <c r="J252" s="6" t="s">
        <v>852</v>
      </c>
    </row>
    <row r="253" spans="1:10" ht="30" customHeight="1" x14ac:dyDescent="0.25">
      <c r="A253" s="6" t="s">
        <v>304</v>
      </c>
      <c r="B253" s="5">
        <v>100</v>
      </c>
      <c r="C253" s="5"/>
      <c r="D253" s="6" t="s">
        <v>219</v>
      </c>
      <c r="E253" s="7">
        <v>450</v>
      </c>
      <c r="F253" s="5" t="s">
        <v>422</v>
      </c>
      <c r="G253" s="5" t="s">
        <v>303</v>
      </c>
      <c r="H253" s="7">
        <v>50</v>
      </c>
      <c r="I253" s="9">
        <v>0.111</v>
      </c>
      <c r="J253" s="6" t="s">
        <v>853</v>
      </c>
    </row>
    <row r="254" spans="1:10" ht="30" customHeight="1" x14ac:dyDescent="0.25">
      <c r="A254" s="6" t="s">
        <v>304</v>
      </c>
      <c r="B254" s="5">
        <v>100</v>
      </c>
      <c r="C254" s="5"/>
      <c r="D254" s="6" t="s">
        <v>219</v>
      </c>
      <c r="E254" s="7">
        <v>450</v>
      </c>
      <c r="F254" s="5" t="s">
        <v>439</v>
      </c>
      <c r="G254" s="5" t="s">
        <v>303</v>
      </c>
      <c r="H254" s="7">
        <v>50</v>
      </c>
      <c r="I254" s="9">
        <v>0.111</v>
      </c>
      <c r="J254" s="6" t="s">
        <v>854</v>
      </c>
    </row>
    <row r="255" spans="1:10" ht="30" customHeight="1" x14ac:dyDescent="0.25">
      <c r="A255" s="6" t="s">
        <v>304</v>
      </c>
      <c r="B255" s="5">
        <v>100</v>
      </c>
      <c r="C255" s="5"/>
      <c r="D255" s="6" t="s">
        <v>219</v>
      </c>
      <c r="E255" s="7">
        <v>450</v>
      </c>
      <c r="F255" s="5" t="s">
        <v>455</v>
      </c>
      <c r="G255" s="5" t="s">
        <v>303</v>
      </c>
      <c r="H255" s="7">
        <v>50</v>
      </c>
      <c r="I255" s="9">
        <v>0.111</v>
      </c>
      <c r="J255" s="6" t="s">
        <v>855</v>
      </c>
    </row>
    <row r="256" spans="1:10" x14ac:dyDescent="0.25">
      <c r="A256" s="6" t="s">
        <v>304</v>
      </c>
      <c r="B256" s="5">
        <v>100</v>
      </c>
      <c r="C256" s="5"/>
      <c r="D256" s="6" t="s">
        <v>219</v>
      </c>
      <c r="E256" s="7">
        <v>450</v>
      </c>
      <c r="F256" s="5" t="s">
        <v>61</v>
      </c>
      <c r="G256" s="5" t="s">
        <v>303</v>
      </c>
      <c r="H256" s="7">
        <v>100</v>
      </c>
      <c r="I256" s="9">
        <v>0.222</v>
      </c>
      <c r="J256" s="6" t="s">
        <v>843</v>
      </c>
    </row>
    <row r="257" spans="1:10" ht="30" customHeight="1" x14ac:dyDescent="0.25">
      <c r="A257" s="6" t="s">
        <v>304</v>
      </c>
      <c r="B257" s="5">
        <v>100</v>
      </c>
      <c r="C257" s="5"/>
      <c r="D257" s="6" t="s">
        <v>219</v>
      </c>
      <c r="E257" s="7">
        <v>450</v>
      </c>
      <c r="F257" s="5" t="s">
        <v>493</v>
      </c>
      <c r="G257" s="5" t="s">
        <v>303</v>
      </c>
      <c r="H257" s="7">
        <v>100</v>
      </c>
      <c r="I257" s="9">
        <v>0.222</v>
      </c>
      <c r="J257" s="6" t="s">
        <v>844</v>
      </c>
    </row>
    <row r="258" spans="1:10" x14ac:dyDescent="0.25">
      <c r="A258" s="6" t="s">
        <v>304</v>
      </c>
      <c r="B258" s="5">
        <v>101</v>
      </c>
      <c r="C258" s="5"/>
      <c r="D258" s="6" t="s">
        <v>219</v>
      </c>
      <c r="E258" s="7">
        <v>20</v>
      </c>
      <c r="F258" s="5" t="s">
        <v>302</v>
      </c>
      <c r="G258" s="5" t="s">
        <v>303</v>
      </c>
      <c r="H258" s="7">
        <v>10</v>
      </c>
      <c r="I258" s="9">
        <v>0.5</v>
      </c>
      <c r="J258" s="6" t="s">
        <v>856</v>
      </c>
    </row>
    <row r="259" spans="1:10" ht="30" customHeight="1" x14ac:dyDescent="0.25">
      <c r="A259" s="6" t="s">
        <v>304</v>
      </c>
      <c r="B259" s="5">
        <v>101</v>
      </c>
      <c r="C259" s="5"/>
      <c r="D259" s="6" t="s">
        <v>219</v>
      </c>
      <c r="E259" s="7">
        <v>20</v>
      </c>
      <c r="F259" s="5" t="s">
        <v>623</v>
      </c>
      <c r="G259" s="5" t="s">
        <v>303</v>
      </c>
      <c r="H259" s="7">
        <v>10</v>
      </c>
      <c r="I259" s="9">
        <v>0.5</v>
      </c>
      <c r="J259" s="6" t="s">
        <v>857</v>
      </c>
    </row>
    <row r="260" spans="1:10" ht="30" customHeight="1" x14ac:dyDescent="0.25">
      <c r="A260" s="6" t="s">
        <v>304</v>
      </c>
      <c r="B260" s="5">
        <v>102</v>
      </c>
      <c r="C260" s="5"/>
      <c r="D260" s="6" t="s">
        <v>219</v>
      </c>
      <c r="E260" s="7">
        <v>1390</v>
      </c>
      <c r="F260" s="5" t="s">
        <v>383</v>
      </c>
      <c r="G260" s="5" t="s">
        <v>303</v>
      </c>
      <c r="H260" s="7">
        <v>200</v>
      </c>
      <c r="I260" s="9">
        <v>0.14399999999999999</v>
      </c>
      <c r="J260" s="6" t="s">
        <v>851</v>
      </c>
    </row>
    <row r="261" spans="1:10" ht="30" customHeight="1" x14ac:dyDescent="0.25">
      <c r="A261" s="6" t="s">
        <v>304</v>
      </c>
      <c r="B261" s="5">
        <v>102</v>
      </c>
      <c r="C261" s="5"/>
      <c r="D261" s="6" t="s">
        <v>219</v>
      </c>
      <c r="E261" s="7">
        <v>1390</v>
      </c>
      <c r="F261" s="5" t="s">
        <v>405</v>
      </c>
      <c r="G261" s="5" t="s">
        <v>303</v>
      </c>
      <c r="H261" s="7">
        <v>200</v>
      </c>
      <c r="I261" s="9">
        <v>0.14399999999999999</v>
      </c>
      <c r="J261" s="6" t="s">
        <v>852</v>
      </c>
    </row>
    <row r="262" spans="1:10" ht="30" customHeight="1" x14ac:dyDescent="0.25">
      <c r="A262" s="6" t="s">
        <v>304</v>
      </c>
      <c r="B262" s="5">
        <v>102</v>
      </c>
      <c r="C262" s="5"/>
      <c r="D262" s="6" t="s">
        <v>219</v>
      </c>
      <c r="E262" s="7">
        <v>1390</v>
      </c>
      <c r="F262" s="5" t="s">
        <v>422</v>
      </c>
      <c r="G262" s="5" t="s">
        <v>303</v>
      </c>
      <c r="H262" s="7">
        <v>200</v>
      </c>
      <c r="I262" s="9">
        <v>0.14399999999999999</v>
      </c>
      <c r="J262" s="6" t="s">
        <v>853</v>
      </c>
    </row>
    <row r="263" spans="1:10" ht="30" customHeight="1" x14ac:dyDescent="0.25">
      <c r="A263" s="6" t="s">
        <v>304</v>
      </c>
      <c r="B263" s="5">
        <v>102</v>
      </c>
      <c r="C263" s="5"/>
      <c r="D263" s="6" t="s">
        <v>219</v>
      </c>
      <c r="E263" s="7">
        <v>1390</v>
      </c>
      <c r="F263" s="5" t="s">
        <v>439</v>
      </c>
      <c r="G263" s="5" t="s">
        <v>303</v>
      </c>
      <c r="H263" s="7">
        <v>200</v>
      </c>
      <c r="I263" s="9">
        <v>0.14399999999999999</v>
      </c>
      <c r="J263" s="6" t="s">
        <v>854</v>
      </c>
    </row>
    <row r="264" spans="1:10" ht="30" customHeight="1" x14ac:dyDescent="0.25">
      <c r="A264" s="6" t="s">
        <v>304</v>
      </c>
      <c r="B264" s="5">
        <v>102</v>
      </c>
      <c r="C264" s="5"/>
      <c r="D264" s="6" t="s">
        <v>219</v>
      </c>
      <c r="E264" s="7">
        <v>1390</v>
      </c>
      <c r="F264" s="5" t="s">
        <v>455</v>
      </c>
      <c r="G264" s="5" t="s">
        <v>303</v>
      </c>
      <c r="H264" s="7">
        <v>200</v>
      </c>
      <c r="I264" s="9">
        <v>0.14399999999999999</v>
      </c>
      <c r="J264" s="6" t="s">
        <v>855</v>
      </c>
    </row>
    <row r="265" spans="1:10" x14ac:dyDescent="0.25">
      <c r="A265" s="6" t="s">
        <v>304</v>
      </c>
      <c r="B265" s="5">
        <v>102</v>
      </c>
      <c r="C265" s="5"/>
      <c r="D265" s="6" t="s">
        <v>219</v>
      </c>
      <c r="E265" s="7">
        <v>1390</v>
      </c>
      <c r="F265" s="5" t="s">
        <v>61</v>
      </c>
      <c r="G265" s="5" t="s">
        <v>303</v>
      </c>
      <c r="H265" s="7">
        <v>200</v>
      </c>
      <c r="I265" s="9">
        <v>0.14399999999999999</v>
      </c>
      <c r="J265" s="6" t="s">
        <v>843</v>
      </c>
    </row>
    <row r="266" spans="1:10" ht="30" customHeight="1" x14ac:dyDescent="0.25">
      <c r="A266" s="6" t="s">
        <v>304</v>
      </c>
      <c r="B266" s="5">
        <v>102</v>
      </c>
      <c r="C266" s="5"/>
      <c r="D266" s="6" t="s">
        <v>219</v>
      </c>
      <c r="E266" s="7">
        <v>1390</v>
      </c>
      <c r="F266" s="5" t="s">
        <v>493</v>
      </c>
      <c r="G266" s="5" t="s">
        <v>303</v>
      </c>
      <c r="H266" s="7">
        <v>190</v>
      </c>
      <c r="I266" s="9">
        <v>0.13400000000000001</v>
      </c>
      <c r="J266" s="6" t="s">
        <v>844</v>
      </c>
    </row>
    <row r="267" spans="1:10" ht="30" customHeight="1" x14ac:dyDescent="0.25">
      <c r="A267" s="6" t="s">
        <v>304</v>
      </c>
      <c r="B267" s="5">
        <v>103</v>
      </c>
      <c r="C267" s="5"/>
      <c r="D267" s="6" t="s">
        <v>219</v>
      </c>
      <c r="E267" s="7">
        <v>475</v>
      </c>
      <c r="F267" s="5" t="s">
        <v>383</v>
      </c>
      <c r="G267" s="5" t="s">
        <v>303</v>
      </c>
      <c r="H267" s="7">
        <v>50</v>
      </c>
      <c r="I267" s="9">
        <v>0.105</v>
      </c>
      <c r="J267" s="6" t="s">
        <v>851</v>
      </c>
    </row>
    <row r="268" spans="1:10" ht="30" customHeight="1" x14ac:dyDescent="0.25">
      <c r="A268" s="6" t="s">
        <v>304</v>
      </c>
      <c r="B268" s="5">
        <v>103</v>
      </c>
      <c r="C268" s="5"/>
      <c r="D268" s="6" t="s">
        <v>219</v>
      </c>
      <c r="E268" s="7">
        <v>475</v>
      </c>
      <c r="F268" s="5" t="s">
        <v>405</v>
      </c>
      <c r="G268" s="5" t="s">
        <v>303</v>
      </c>
      <c r="H268" s="7">
        <v>50</v>
      </c>
      <c r="I268" s="9">
        <v>0.105</v>
      </c>
      <c r="J268" s="6" t="s">
        <v>852</v>
      </c>
    </row>
    <row r="269" spans="1:10" ht="30" customHeight="1" x14ac:dyDescent="0.25">
      <c r="A269" s="6" t="s">
        <v>304</v>
      </c>
      <c r="B269" s="5">
        <v>103</v>
      </c>
      <c r="C269" s="5"/>
      <c r="D269" s="6" t="s">
        <v>219</v>
      </c>
      <c r="E269" s="7">
        <v>475</v>
      </c>
      <c r="F269" s="5" t="s">
        <v>422</v>
      </c>
      <c r="G269" s="5" t="s">
        <v>303</v>
      </c>
      <c r="H269" s="7">
        <v>50</v>
      </c>
      <c r="I269" s="9">
        <v>0.105</v>
      </c>
      <c r="J269" s="6" t="s">
        <v>853</v>
      </c>
    </row>
    <row r="270" spans="1:10" ht="30" customHeight="1" x14ac:dyDescent="0.25">
      <c r="A270" s="6" t="s">
        <v>304</v>
      </c>
      <c r="B270" s="5">
        <v>103</v>
      </c>
      <c r="C270" s="5"/>
      <c r="D270" s="6" t="s">
        <v>219</v>
      </c>
      <c r="E270" s="7">
        <v>475</v>
      </c>
      <c r="F270" s="5" t="s">
        <v>439</v>
      </c>
      <c r="G270" s="5" t="s">
        <v>303</v>
      </c>
      <c r="H270" s="7">
        <v>50</v>
      </c>
      <c r="I270" s="9">
        <v>0.105</v>
      </c>
      <c r="J270" s="6" t="s">
        <v>854</v>
      </c>
    </row>
    <row r="271" spans="1:10" ht="30" customHeight="1" x14ac:dyDescent="0.25">
      <c r="A271" s="6" t="s">
        <v>304</v>
      </c>
      <c r="B271" s="5">
        <v>103</v>
      </c>
      <c r="C271" s="5"/>
      <c r="D271" s="6" t="s">
        <v>219</v>
      </c>
      <c r="E271" s="7">
        <v>475</v>
      </c>
      <c r="F271" s="5" t="s">
        <v>455</v>
      </c>
      <c r="G271" s="5" t="s">
        <v>303</v>
      </c>
      <c r="H271" s="7">
        <v>50</v>
      </c>
      <c r="I271" s="9">
        <v>0.105</v>
      </c>
      <c r="J271" s="6" t="s">
        <v>855</v>
      </c>
    </row>
    <row r="272" spans="1:10" x14ac:dyDescent="0.25">
      <c r="A272" s="6" t="s">
        <v>304</v>
      </c>
      <c r="B272" s="5">
        <v>103</v>
      </c>
      <c r="C272" s="5"/>
      <c r="D272" s="6" t="s">
        <v>219</v>
      </c>
      <c r="E272" s="7">
        <v>475</v>
      </c>
      <c r="F272" s="5" t="s">
        <v>61</v>
      </c>
      <c r="G272" s="5" t="s">
        <v>303</v>
      </c>
      <c r="H272" s="7">
        <v>100</v>
      </c>
      <c r="I272" s="9">
        <v>0.21099999999999999</v>
      </c>
      <c r="J272" s="6" t="s">
        <v>843</v>
      </c>
    </row>
    <row r="273" spans="1:10" ht="30" customHeight="1" x14ac:dyDescent="0.25">
      <c r="A273" s="6" t="s">
        <v>304</v>
      </c>
      <c r="B273" s="5">
        <v>103</v>
      </c>
      <c r="C273" s="5"/>
      <c r="D273" s="6" t="s">
        <v>219</v>
      </c>
      <c r="E273" s="7">
        <v>475</v>
      </c>
      <c r="F273" s="5" t="s">
        <v>493</v>
      </c>
      <c r="G273" s="5" t="s">
        <v>303</v>
      </c>
      <c r="H273" s="7">
        <v>225</v>
      </c>
      <c r="I273" s="9">
        <v>0.47499999999999998</v>
      </c>
      <c r="J273" s="6" t="s">
        <v>844</v>
      </c>
    </row>
    <row r="274" spans="1:10" x14ac:dyDescent="0.25">
      <c r="A274" s="6" t="s">
        <v>304</v>
      </c>
      <c r="B274" s="5">
        <v>104</v>
      </c>
      <c r="C274" s="5"/>
      <c r="D274" s="6" t="s">
        <v>198</v>
      </c>
      <c r="E274" s="7">
        <v>770</v>
      </c>
      <c r="F274" s="5" t="s">
        <v>383</v>
      </c>
      <c r="G274" s="5" t="s">
        <v>303</v>
      </c>
      <c r="H274" s="7">
        <v>100</v>
      </c>
      <c r="I274" s="9">
        <v>0.13</v>
      </c>
      <c r="J274" s="6" t="s">
        <v>858</v>
      </c>
    </row>
    <row r="275" spans="1:10" x14ac:dyDescent="0.25">
      <c r="A275" s="6" t="s">
        <v>304</v>
      </c>
      <c r="B275" s="5">
        <v>104</v>
      </c>
      <c r="C275" s="5"/>
      <c r="D275" s="6" t="s">
        <v>198</v>
      </c>
      <c r="E275" s="7">
        <v>770</v>
      </c>
      <c r="F275" s="5" t="s">
        <v>405</v>
      </c>
      <c r="G275" s="5" t="s">
        <v>303</v>
      </c>
      <c r="H275" s="7">
        <v>100</v>
      </c>
      <c r="I275" s="9">
        <v>0.13</v>
      </c>
      <c r="J275" s="6" t="s">
        <v>859</v>
      </c>
    </row>
    <row r="276" spans="1:10" x14ac:dyDescent="0.25">
      <c r="A276" s="6" t="s">
        <v>304</v>
      </c>
      <c r="B276" s="5">
        <v>104</v>
      </c>
      <c r="C276" s="5"/>
      <c r="D276" s="6" t="s">
        <v>198</v>
      </c>
      <c r="E276" s="7">
        <v>770</v>
      </c>
      <c r="F276" s="5" t="s">
        <v>422</v>
      </c>
      <c r="G276" s="5" t="s">
        <v>303</v>
      </c>
      <c r="H276" s="7">
        <v>100</v>
      </c>
      <c r="I276" s="9">
        <v>0.13</v>
      </c>
      <c r="J276" s="6" t="s">
        <v>860</v>
      </c>
    </row>
    <row r="277" spans="1:10" x14ac:dyDescent="0.25">
      <c r="A277" s="6" t="s">
        <v>304</v>
      </c>
      <c r="B277" s="5">
        <v>104</v>
      </c>
      <c r="C277" s="5"/>
      <c r="D277" s="6" t="s">
        <v>198</v>
      </c>
      <c r="E277" s="7">
        <v>770</v>
      </c>
      <c r="F277" s="5" t="s">
        <v>439</v>
      </c>
      <c r="G277" s="5" t="s">
        <v>303</v>
      </c>
      <c r="H277" s="7">
        <v>100</v>
      </c>
      <c r="I277" s="9">
        <v>0.13</v>
      </c>
      <c r="J277" s="6" t="s">
        <v>861</v>
      </c>
    </row>
    <row r="278" spans="1:10" x14ac:dyDescent="0.25">
      <c r="A278" s="6" t="s">
        <v>304</v>
      </c>
      <c r="B278" s="5">
        <v>104</v>
      </c>
      <c r="C278" s="5"/>
      <c r="D278" s="6" t="s">
        <v>198</v>
      </c>
      <c r="E278" s="7">
        <v>770</v>
      </c>
      <c r="F278" s="5" t="s">
        <v>455</v>
      </c>
      <c r="G278" s="5" t="s">
        <v>303</v>
      </c>
      <c r="H278" s="7">
        <v>100</v>
      </c>
      <c r="I278" s="9">
        <v>0.13</v>
      </c>
      <c r="J278" s="6" t="s">
        <v>862</v>
      </c>
    </row>
    <row r="279" spans="1:10" x14ac:dyDescent="0.25">
      <c r="A279" s="6" t="s">
        <v>304</v>
      </c>
      <c r="B279" s="5">
        <v>104</v>
      </c>
      <c r="C279" s="5"/>
      <c r="D279" s="6" t="s">
        <v>198</v>
      </c>
      <c r="E279" s="7">
        <v>770</v>
      </c>
      <c r="F279" s="5" t="s">
        <v>61</v>
      </c>
      <c r="G279" s="5" t="s">
        <v>303</v>
      </c>
      <c r="H279" s="7">
        <v>100</v>
      </c>
      <c r="I279" s="9">
        <v>0.13</v>
      </c>
      <c r="J279" s="6" t="s">
        <v>863</v>
      </c>
    </row>
    <row r="280" spans="1:10" ht="30" customHeight="1" x14ac:dyDescent="0.25">
      <c r="A280" s="6" t="s">
        <v>304</v>
      </c>
      <c r="B280" s="5">
        <v>104</v>
      </c>
      <c r="C280" s="5"/>
      <c r="D280" s="6" t="s">
        <v>198</v>
      </c>
      <c r="E280" s="7">
        <v>770</v>
      </c>
      <c r="F280" s="5" t="s">
        <v>493</v>
      </c>
      <c r="G280" s="5" t="s">
        <v>303</v>
      </c>
      <c r="H280" s="7">
        <v>170</v>
      </c>
      <c r="I280" s="9">
        <v>0.222</v>
      </c>
      <c r="J280" s="6" t="s">
        <v>864</v>
      </c>
    </row>
    <row r="281" spans="1:10" x14ac:dyDescent="0.25">
      <c r="A281" s="6" t="s">
        <v>304</v>
      </c>
      <c r="B281" s="5">
        <v>105</v>
      </c>
      <c r="C281" s="5"/>
      <c r="D281" s="6" t="s">
        <v>196</v>
      </c>
      <c r="E281" s="7">
        <v>5</v>
      </c>
      <c r="F281" s="5" t="s">
        <v>302</v>
      </c>
      <c r="G281" s="5" t="s">
        <v>303</v>
      </c>
      <c r="H281" s="7">
        <v>5</v>
      </c>
      <c r="I281" s="9">
        <v>1</v>
      </c>
      <c r="J281" s="6" t="s">
        <v>865</v>
      </c>
    </row>
    <row r="282" spans="1:10" x14ac:dyDescent="0.25">
      <c r="A282" s="6" t="s">
        <v>304</v>
      </c>
      <c r="B282" s="5">
        <v>106</v>
      </c>
      <c r="C282" s="5"/>
      <c r="D282" s="6" t="s">
        <v>229</v>
      </c>
      <c r="E282" s="7">
        <v>780</v>
      </c>
      <c r="F282" s="5" t="s">
        <v>493</v>
      </c>
      <c r="G282" s="5" t="s">
        <v>384</v>
      </c>
      <c r="H282" s="7">
        <v>390</v>
      </c>
      <c r="I282" s="9">
        <v>0.5</v>
      </c>
      <c r="J282" s="6" t="s">
        <v>866</v>
      </c>
    </row>
    <row r="283" spans="1:10" x14ac:dyDescent="0.25">
      <c r="A283" s="6" t="s">
        <v>304</v>
      </c>
      <c r="B283" s="5">
        <v>106</v>
      </c>
      <c r="C283" s="5"/>
      <c r="D283" s="6" t="s">
        <v>229</v>
      </c>
      <c r="E283" s="7">
        <v>780</v>
      </c>
      <c r="F283" s="5" t="s">
        <v>493</v>
      </c>
      <c r="G283" s="5" t="s">
        <v>389</v>
      </c>
      <c r="H283" s="7">
        <v>390</v>
      </c>
      <c r="I283" s="9">
        <v>0.5</v>
      </c>
      <c r="J283" s="6" t="s">
        <v>867</v>
      </c>
    </row>
    <row r="284" spans="1:10" ht="30" customHeight="1" x14ac:dyDescent="0.25">
      <c r="A284" s="6" t="s">
        <v>304</v>
      </c>
      <c r="B284" s="5">
        <v>107</v>
      </c>
      <c r="C284" s="5"/>
      <c r="D284" s="6" t="s">
        <v>227</v>
      </c>
      <c r="E284" s="7">
        <v>31440</v>
      </c>
      <c r="F284" s="5" t="s">
        <v>493</v>
      </c>
      <c r="G284" s="5" t="s">
        <v>303</v>
      </c>
      <c r="H284" s="7">
        <v>31440</v>
      </c>
      <c r="I284" s="9">
        <v>1</v>
      </c>
      <c r="J284" s="6" t="s">
        <v>868</v>
      </c>
    </row>
    <row r="285" spans="1:10" x14ac:dyDescent="0.25">
      <c r="A285" s="6" t="s">
        <v>304</v>
      </c>
      <c r="B285" s="5">
        <v>108</v>
      </c>
      <c r="C285" s="5"/>
      <c r="D285" s="6" t="s">
        <v>227</v>
      </c>
      <c r="E285" s="7">
        <v>120</v>
      </c>
      <c r="F285" s="5" t="s">
        <v>302</v>
      </c>
      <c r="G285" s="5" t="s">
        <v>303</v>
      </c>
      <c r="H285" s="7">
        <v>20</v>
      </c>
      <c r="I285" s="9">
        <v>0.16700000000000001</v>
      </c>
      <c r="J285" s="6" t="s">
        <v>869</v>
      </c>
    </row>
    <row r="286" spans="1:10" x14ac:dyDescent="0.25">
      <c r="A286" s="6" t="s">
        <v>304</v>
      </c>
      <c r="B286" s="5">
        <v>108</v>
      </c>
      <c r="C286" s="5"/>
      <c r="D286" s="6" t="s">
        <v>227</v>
      </c>
      <c r="E286" s="7">
        <v>120</v>
      </c>
      <c r="F286" s="5" t="s">
        <v>623</v>
      </c>
      <c r="G286" s="5" t="s">
        <v>303</v>
      </c>
      <c r="H286" s="7">
        <v>10</v>
      </c>
      <c r="I286" s="9">
        <v>8.3000000000000004E-2</v>
      </c>
      <c r="J286" s="6" t="s">
        <v>870</v>
      </c>
    </row>
    <row r="287" spans="1:10" ht="30" customHeight="1" x14ac:dyDescent="0.25">
      <c r="A287" s="6" t="s">
        <v>304</v>
      </c>
      <c r="B287" s="5">
        <v>108</v>
      </c>
      <c r="C287" s="5"/>
      <c r="D287" s="6" t="s">
        <v>227</v>
      </c>
      <c r="E287" s="7">
        <v>120</v>
      </c>
      <c r="F287" s="5" t="s">
        <v>493</v>
      </c>
      <c r="G287" s="5" t="s">
        <v>303</v>
      </c>
      <c r="H287" s="7">
        <v>90</v>
      </c>
      <c r="I287" s="9">
        <v>0.75</v>
      </c>
      <c r="J287" s="6" t="s">
        <v>871</v>
      </c>
    </row>
    <row r="288" spans="1:10" ht="30" customHeight="1" x14ac:dyDescent="0.25">
      <c r="A288" s="6" t="s">
        <v>304</v>
      </c>
      <c r="B288" s="5">
        <v>109</v>
      </c>
      <c r="C288" s="5"/>
      <c r="D288" s="6" t="s">
        <v>227</v>
      </c>
      <c r="E288" s="7">
        <v>13035</v>
      </c>
      <c r="F288" s="5" t="s">
        <v>493</v>
      </c>
      <c r="G288" s="5" t="s">
        <v>384</v>
      </c>
      <c r="H288" s="7">
        <v>3000</v>
      </c>
      <c r="I288" s="9">
        <v>0.23</v>
      </c>
      <c r="J288" s="6" t="s">
        <v>872</v>
      </c>
    </row>
    <row r="289" spans="1:10" ht="30" customHeight="1" x14ac:dyDescent="0.25">
      <c r="A289" s="6" t="s">
        <v>304</v>
      </c>
      <c r="B289" s="5">
        <v>109</v>
      </c>
      <c r="C289" s="5"/>
      <c r="D289" s="6" t="s">
        <v>227</v>
      </c>
      <c r="E289" s="7">
        <v>13035</v>
      </c>
      <c r="F289" s="5" t="s">
        <v>493</v>
      </c>
      <c r="G289" s="5" t="s">
        <v>389</v>
      </c>
      <c r="H289" s="7">
        <v>3000</v>
      </c>
      <c r="I289" s="9">
        <v>0.23</v>
      </c>
      <c r="J289" s="6" t="s">
        <v>873</v>
      </c>
    </row>
    <row r="290" spans="1:10" ht="30" customHeight="1" x14ac:dyDescent="0.25">
      <c r="A290" s="6" t="s">
        <v>304</v>
      </c>
      <c r="B290" s="5">
        <v>109</v>
      </c>
      <c r="C290" s="5"/>
      <c r="D290" s="6" t="s">
        <v>227</v>
      </c>
      <c r="E290" s="7">
        <v>13035</v>
      </c>
      <c r="F290" s="5" t="s">
        <v>302</v>
      </c>
      <c r="G290" s="5" t="s">
        <v>303</v>
      </c>
      <c r="H290" s="7">
        <v>3000</v>
      </c>
      <c r="I290" s="9">
        <v>0.23</v>
      </c>
      <c r="J290" s="6" t="s">
        <v>874</v>
      </c>
    </row>
    <row r="291" spans="1:10" ht="30" customHeight="1" x14ac:dyDescent="0.25">
      <c r="A291" s="6" t="s">
        <v>304</v>
      </c>
      <c r="B291" s="5">
        <v>109</v>
      </c>
      <c r="C291" s="5"/>
      <c r="D291" s="6" t="s">
        <v>227</v>
      </c>
      <c r="E291" s="7">
        <v>13035</v>
      </c>
      <c r="F291" s="5" t="s">
        <v>623</v>
      </c>
      <c r="G291" s="5" t="s">
        <v>303</v>
      </c>
      <c r="H291" s="7">
        <v>2000</v>
      </c>
      <c r="I291" s="9">
        <v>0.153</v>
      </c>
      <c r="J291" s="6" t="s">
        <v>875</v>
      </c>
    </row>
    <row r="292" spans="1:10" x14ac:dyDescent="0.25">
      <c r="A292" s="6" t="s">
        <v>304</v>
      </c>
      <c r="B292" s="5">
        <v>109</v>
      </c>
      <c r="C292" s="5"/>
      <c r="D292" s="6" t="s">
        <v>227</v>
      </c>
      <c r="E292" s="7">
        <v>13035</v>
      </c>
      <c r="F292" s="5" t="s">
        <v>668</v>
      </c>
      <c r="G292" s="5" t="s">
        <v>303</v>
      </c>
      <c r="H292" s="7">
        <v>2035</v>
      </c>
      <c r="I292" s="9">
        <v>0.156</v>
      </c>
      <c r="J292" s="6" t="s">
        <v>876</v>
      </c>
    </row>
    <row r="293" spans="1:10" ht="30" customHeight="1" x14ac:dyDescent="0.25">
      <c r="A293" s="6" t="s">
        <v>304</v>
      </c>
      <c r="B293" s="5">
        <v>110</v>
      </c>
      <c r="C293" s="5"/>
      <c r="D293" s="6" t="s">
        <v>227</v>
      </c>
      <c r="E293" s="7">
        <v>1210</v>
      </c>
      <c r="F293" s="5" t="s">
        <v>493</v>
      </c>
      <c r="G293" s="5" t="s">
        <v>384</v>
      </c>
      <c r="H293" s="7">
        <v>280</v>
      </c>
      <c r="I293" s="9">
        <v>0.11600000000000001</v>
      </c>
      <c r="J293" s="6" t="s">
        <v>872</v>
      </c>
    </row>
    <row r="294" spans="1:10" ht="30" customHeight="1" x14ac:dyDescent="0.25">
      <c r="A294" s="6" t="s">
        <v>304</v>
      </c>
      <c r="B294" s="5">
        <v>110</v>
      </c>
      <c r="C294" s="5"/>
      <c r="D294" s="6" t="s">
        <v>227</v>
      </c>
      <c r="E294" s="7">
        <v>1210</v>
      </c>
      <c r="F294" s="5" t="s">
        <v>493</v>
      </c>
      <c r="G294" s="5" t="s">
        <v>389</v>
      </c>
      <c r="H294" s="7">
        <v>280</v>
      </c>
      <c r="I294" s="9">
        <v>0.11600000000000001</v>
      </c>
      <c r="J294" s="6" t="s">
        <v>873</v>
      </c>
    </row>
    <row r="295" spans="1:10" ht="30" customHeight="1" x14ac:dyDescent="0.25">
      <c r="A295" s="6" t="s">
        <v>304</v>
      </c>
      <c r="B295" s="5">
        <v>110</v>
      </c>
      <c r="C295" s="5"/>
      <c r="D295" s="6" t="s">
        <v>227</v>
      </c>
      <c r="E295" s="7">
        <v>1210</v>
      </c>
      <c r="F295" s="5" t="s">
        <v>302</v>
      </c>
      <c r="G295" s="5" t="s">
        <v>303</v>
      </c>
      <c r="H295" s="7">
        <v>280</v>
      </c>
      <c r="I295" s="9">
        <v>0.11600000000000001</v>
      </c>
      <c r="J295" s="6" t="s">
        <v>874</v>
      </c>
    </row>
    <row r="296" spans="1:10" ht="30" customHeight="1" x14ac:dyDescent="0.25">
      <c r="A296" s="6" t="s">
        <v>304</v>
      </c>
      <c r="B296" s="5">
        <v>110</v>
      </c>
      <c r="C296" s="5"/>
      <c r="D296" s="6" t="s">
        <v>227</v>
      </c>
      <c r="E296" s="7">
        <v>1210</v>
      </c>
      <c r="F296" s="5" t="s">
        <v>623</v>
      </c>
      <c r="G296" s="5" t="s">
        <v>303</v>
      </c>
      <c r="H296" s="7">
        <v>200</v>
      </c>
      <c r="I296" s="9">
        <v>8.3000000000000004E-2</v>
      </c>
      <c r="J296" s="6" t="s">
        <v>875</v>
      </c>
    </row>
    <row r="297" spans="1:10" x14ac:dyDescent="0.25">
      <c r="A297" s="6" t="s">
        <v>304</v>
      </c>
      <c r="B297" s="5">
        <v>110</v>
      </c>
      <c r="C297" s="5"/>
      <c r="D297" s="6" t="s">
        <v>227</v>
      </c>
      <c r="E297" s="7">
        <v>1210</v>
      </c>
      <c r="F297" s="5" t="s">
        <v>668</v>
      </c>
      <c r="G297" s="5" t="s">
        <v>303</v>
      </c>
      <c r="H297" s="7">
        <v>170</v>
      </c>
      <c r="I297" s="9">
        <v>7.0999999999999994E-2</v>
      </c>
      <c r="J297" s="6" t="s">
        <v>876</v>
      </c>
    </row>
    <row r="298" spans="1:10" ht="30" customHeight="1" x14ac:dyDescent="0.25">
      <c r="A298" s="6" t="s">
        <v>304</v>
      </c>
      <c r="B298" s="5">
        <v>111</v>
      </c>
      <c r="C298" s="5"/>
      <c r="D298" s="6" t="s">
        <v>209</v>
      </c>
      <c r="E298" s="7">
        <v>5</v>
      </c>
      <c r="F298" s="5" t="s">
        <v>302</v>
      </c>
      <c r="G298" s="5" t="s">
        <v>303</v>
      </c>
      <c r="H298" s="7">
        <v>5</v>
      </c>
      <c r="I298" s="9">
        <v>1</v>
      </c>
      <c r="J298" s="6" t="s">
        <v>877</v>
      </c>
    </row>
    <row r="299" spans="1:10" x14ac:dyDescent="0.25">
      <c r="A299" s="6" t="s">
        <v>304</v>
      </c>
      <c r="B299" s="5">
        <v>112</v>
      </c>
      <c r="C299" s="5"/>
      <c r="D299" s="6" t="s">
        <v>209</v>
      </c>
      <c r="E299" s="7">
        <v>15</v>
      </c>
      <c r="F299" s="5" t="s">
        <v>493</v>
      </c>
      <c r="G299" s="5" t="s">
        <v>384</v>
      </c>
      <c r="H299" s="7">
        <v>8</v>
      </c>
      <c r="I299" s="9">
        <v>0.53300000000000003</v>
      </c>
      <c r="J299" s="6" t="s">
        <v>878</v>
      </c>
    </row>
    <row r="300" spans="1:10" x14ac:dyDescent="0.25">
      <c r="A300" s="6" t="s">
        <v>304</v>
      </c>
      <c r="B300" s="5">
        <v>112</v>
      </c>
      <c r="C300" s="5"/>
      <c r="D300" s="6" t="s">
        <v>209</v>
      </c>
      <c r="E300" s="7">
        <v>15</v>
      </c>
      <c r="F300" s="5" t="s">
        <v>493</v>
      </c>
      <c r="G300" s="5" t="s">
        <v>389</v>
      </c>
      <c r="H300" s="7">
        <v>7</v>
      </c>
      <c r="I300" s="9">
        <v>0.46700000000000003</v>
      </c>
      <c r="J300" s="6" t="s">
        <v>879</v>
      </c>
    </row>
    <row r="301" spans="1:10" ht="30" customHeight="1" x14ac:dyDescent="0.25">
      <c r="A301" s="6" t="s">
        <v>304</v>
      </c>
      <c r="B301" s="5">
        <v>113</v>
      </c>
      <c r="C301" s="5"/>
      <c r="D301" s="6" t="s">
        <v>209</v>
      </c>
      <c r="E301" s="7">
        <v>5</v>
      </c>
      <c r="F301" s="5" t="s">
        <v>623</v>
      </c>
      <c r="G301" s="5" t="s">
        <v>303</v>
      </c>
      <c r="H301" s="7">
        <v>5</v>
      </c>
      <c r="I301" s="9">
        <v>1</v>
      </c>
      <c r="J301" s="6" t="s">
        <v>880</v>
      </c>
    </row>
    <row r="302" spans="1:10" ht="30" customHeight="1" x14ac:dyDescent="0.25">
      <c r="A302" s="6" t="s">
        <v>304</v>
      </c>
      <c r="B302" s="5">
        <v>114</v>
      </c>
      <c r="C302" s="5"/>
      <c r="D302" s="6" t="s">
        <v>220</v>
      </c>
      <c r="E302" s="7">
        <v>5</v>
      </c>
      <c r="F302" s="5" t="s">
        <v>302</v>
      </c>
      <c r="G302" s="5" t="s">
        <v>303</v>
      </c>
      <c r="H302" s="7">
        <v>5</v>
      </c>
      <c r="I302" s="9">
        <v>1</v>
      </c>
      <c r="J302" s="6" t="s">
        <v>881</v>
      </c>
    </row>
    <row r="303" spans="1:10" ht="30" customHeight="1" x14ac:dyDescent="0.25">
      <c r="A303" s="6" t="s">
        <v>304</v>
      </c>
      <c r="B303" s="5">
        <v>115</v>
      </c>
      <c r="C303" s="5"/>
      <c r="D303" s="6" t="s">
        <v>220</v>
      </c>
      <c r="E303" s="7">
        <v>25</v>
      </c>
      <c r="F303" s="5" t="s">
        <v>493</v>
      </c>
      <c r="G303" s="5" t="s">
        <v>384</v>
      </c>
      <c r="H303" s="7">
        <v>15</v>
      </c>
      <c r="I303" s="9">
        <v>0.6</v>
      </c>
      <c r="J303" s="6" t="s">
        <v>882</v>
      </c>
    </row>
    <row r="304" spans="1:10" ht="30" customHeight="1" x14ac:dyDescent="0.25">
      <c r="A304" s="6" t="s">
        <v>304</v>
      </c>
      <c r="B304" s="5">
        <v>115</v>
      </c>
      <c r="C304" s="5"/>
      <c r="D304" s="6" t="s">
        <v>220</v>
      </c>
      <c r="E304" s="7">
        <v>25</v>
      </c>
      <c r="F304" s="5" t="s">
        <v>493</v>
      </c>
      <c r="G304" s="5" t="s">
        <v>389</v>
      </c>
      <c r="H304" s="7">
        <v>10</v>
      </c>
      <c r="I304" s="9">
        <v>0.4</v>
      </c>
      <c r="J304" s="6" t="s">
        <v>883</v>
      </c>
    </row>
    <row r="305" spans="1:10" x14ac:dyDescent="0.25">
      <c r="A305" s="6" t="s">
        <v>304</v>
      </c>
      <c r="B305" s="5">
        <v>116</v>
      </c>
      <c r="C305" s="5"/>
      <c r="D305" s="6" t="s">
        <v>195</v>
      </c>
      <c r="E305" s="7">
        <v>625</v>
      </c>
      <c r="F305" s="5" t="s">
        <v>493</v>
      </c>
      <c r="G305" s="5" t="s">
        <v>384</v>
      </c>
      <c r="H305" s="7">
        <v>250</v>
      </c>
      <c r="I305" s="9">
        <v>0.4</v>
      </c>
      <c r="J305" s="6" t="s">
        <v>884</v>
      </c>
    </row>
    <row r="306" spans="1:10" x14ac:dyDescent="0.25">
      <c r="A306" s="6" t="s">
        <v>304</v>
      </c>
      <c r="B306" s="5">
        <v>116</v>
      </c>
      <c r="C306" s="5"/>
      <c r="D306" s="6" t="s">
        <v>195</v>
      </c>
      <c r="E306" s="7">
        <v>625</v>
      </c>
      <c r="F306" s="5" t="s">
        <v>493</v>
      </c>
      <c r="G306" s="5" t="s">
        <v>389</v>
      </c>
      <c r="H306" s="7">
        <v>250</v>
      </c>
      <c r="I306" s="9">
        <v>0.4</v>
      </c>
      <c r="J306" s="6" t="s">
        <v>885</v>
      </c>
    </row>
    <row r="307" spans="1:10" ht="30" customHeight="1" x14ac:dyDescent="0.25">
      <c r="A307" s="6" t="s">
        <v>304</v>
      </c>
      <c r="B307" s="5">
        <v>116</v>
      </c>
      <c r="C307" s="5"/>
      <c r="D307" s="6" t="s">
        <v>195</v>
      </c>
      <c r="E307" s="7">
        <v>625</v>
      </c>
      <c r="F307" s="5" t="s">
        <v>302</v>
      </c>
      <c r="G307" s="5" t="s">
        <v>303</v>
      </c>
      <c r="H307" s="7">
        <v>125</v>
      </c>
      <c r="I307" s="9">
        <v>0.2</v>
      </c>
      <c r="J307" s="6" t="s">
        <v>886</v>
      </c>
    </row>
    <row r="308" spans="1:10" ht="30" customHeight="1" x14ac:dyDescent="0.25">
      <c r="A308" s="6" t="s">
        <v>304</v>
      </c>
      <c r="B308" s="5">
        <v>117</v>
      </c>
      <c r="C308" s="5"/>
      <c r="D308" s="6" t="s">
        <v>214</v>
      </c>
      <c r="E308" s="7">
        <v>150</v>
      </c>
      <c r="F308" s="5" t="s">
        <v>302</v>
      </c>
      <c r="G308" s="5" t="s">
        <v>303</v>
      </c>
      <c r="H308" s="7">
        <v>75</v>
      </c>
      <c r="I308" s="9">
        <v>0.5</v>
      </c>
      <c r="J308" s="6" t="s">
        <v>887</v>
      </c>
    </row>
    <row r="309" spans="1:10" ht="30" customHeight="1" x14ac:dyDescent="0.25">
      <c r="A309" s="6" t="s">
        <v>304</v>
      </c>
      <c r="B309" s="5">
        <v>117</v>
      </c>
      <c r="C309" s="5"/>
      <c r="D309" s="6" t="s">
        <v>214</v>
      </c>
      <c r="E309" s="7">
        <v>150</v>
      </c>
      <c r="F309" s="5" t="s">
        <v>623</v>
      </c>
      <c r="G309" s="5" t="s">
        <v>303</v>
      </c>
      <c r="H309" s="7">
        <v>75</v>
      </c>
      <c r="I309" s="9">
        <v>0.5</v>
      </c>
      <c r="J309" s="6" t="s">
        <v>888</v>
      </c>
    </row>
    <row r="310" spans="1:10" ht="30" customHeight="1" x14ac:dyDescent="0.25">
      <c r="A310" s="6" t="s">
        <v>304</v>
      </c>
      <c r="B310" s="5">
        <v>118</v>
      </c>
      <c r="C310" s="5"/>
      <c r="D310" s="6" t="s">
        <v>230</v>
      </c>
      <c r="E310" s="7">
        <v>260</v>
      </c>
      <c r="F310" s="5" t="s">
        <v>493</v>
      </c>
      <c r="G310" s="5" t="s">
        <v>384</v>
      </c>
      <c r="H310" s="7">
        <v>130</v>
      </c>
      <c r="I310" s="9">
        <v>0.5</v>
      </c>
      <c r="J310" s="6" t="s">
        <v>889</v>
      </c>
    </row>
    <row r="311" spans="1:10" ht="30" customHeight="1" x14ac:dyDescent="0.25">
      <c r="A311" s="6" t="s">
        <v>304</v>
      </c>
      <c r="B311" s="5">
        <v>118</v>
      </c>
      <c r="C311" s="5"/>
      <c r="D311" s="6" t="s">
        <v>230</v>
      </c>
      <c r="E311" s="7">
        <v>260</v>
      </c>
      <c r="F311" s="5" t="s">
        <v>493</v>
      </c>
      <c r="G311" s="5" t="s">
        <v>389</v>
      </c>
      <c r="H311" s="7">
        <v>130</v>
      </c>
      <c r="I311" s="9">
        <v>0.5</v>
      </c>
      <c r="J311" s="6" t="s">
        <v>890</v>
      </c>
    </row>
    <row r="312" spans="1:10" ht="30" customHeight="1" x14ac:dyDescent="0.25">
      <c r="A312" s="6" t="s">
        <v>304</v>
      </c>
      <c r="B312" s="5">
        <v>119</v>
      </c>
      <c r="C312" s="5"/>
      <c r="D312" s="6" t="s">
        <v>230</v>
      </c>
      <c r="E312" s="7">
        <v>1055</v>
      </c>
      <c r="F312" s="5" t="s">
        <v>493</v>
      </c>
      <c r="G312" s="5" t="s">
        <v>384</v>
      </c>
      <c r="H312" s="7">
        <v>527.5</v>
      </c>
      <c r="I312" s="9">
        <v>0.5</v>
      </c>
      <c r="J312" s="6" t="s">
        <v>889</v>
      </c>
    </row>
    <row r="313" spans="1:10" ht="30" customHeight="1" x14ac:dyDescent="0.25">
      <c r="A313" s="6" t="s">
        <v>304</v>
      </c>
      <c r="B313" s="5">
        <v>119</v>
      </c>
      <c r="C313" s="5"/>
      <c r="D313" s="6" t="s">
        <v>230</v>
      </c>
      <c r="E313" s="7">
        <v>1055</v>
      </c>
      <c r="F313" s="5" t="s">
        <v>493</v>
      </c>
      <c r="G313" s="5" t="s">
        <v>389</v>
      </c>
      <c r="H313" s="7">
        <v>527.5</v>
      </c>
      <c r="I313" s="9">
        <v>0.5</v>
      </c>
      <c r="J313" s="6" t="s">
        <v>890</v>
      </c>
    </row>
    <row r="314" spans="1:10" ht="30" customHeight="1" x14ac:dyDescent="0.25">
      <c r="A314" s="6" t="s">
        <v>304</v>
      </c>
      <c r="B314" s="5">
        <v>120</v>
      </c>
      <c r="C314" s="5"/>
      <c r="D314" s="6" t="s">
        <v>233</v>
      </c>
      <c r="E314" s="7">
        <v>130</v>
      </c>
      <c r="F314" s="5" t="s">
        <v>493</v>
      </c>
      <c r="G314" s="5" t="s">
        <v>384</v>
      </c>
      <c r="H314" s="7">
        <v>65</v>
      </c>
      <c r="I314" s="9">
        <v>0.5</v>
      </c>
      <c r="J314" s="6" t="s">
        <v>891</v>
      </c>
    </row>
    <row r="315" spans="1:10" ht="30" customHeight="1" x14ac:dyDescent="0.25">
      <c r="A315" s="6" t="s">
        <v>304</v>
      </c>
      <c r="B315" s="5">
        <v>120</v>
      </c>
      <c r="C315" s="5"/>
      <c r="D315" s="6" t="s">
        <v>233</v>
      </c>
      <c r="E315" s="7">
        <v>130</v>
      </c>
      <c r="F315" s="5" t="s">
        <v>493</v>
      </c>
      <c r="G315" s="5" t="s">
        <v>389</v>
      </c>
      <c r="H315" s="7">
        <v>65</v>
      </c>
      <c r="I315" s="9">
        <v>0.5</v>
      </c>
      <c r="J315" s="6" t="s">
        <v>892</v>
      </c>
    </row>
    <row r="316" spans="1:10" x14ac:dyDescent="0.25">
      <c r="A316" s="6" t="s">
        <v>304</v>
      </c>
      <c r="B316" s="5">
        <v>121</v>
      </c>
      <c r="C316" s="5"/>
      <c r="D316" s="6" t="s">
        <v>148</v>
      </c>
      <c r="E316" s="7">
        <v>15</v>
      </c>
      <c r="F316" s="5" t="s">
        <v>493</v>
      </c>
      <c r="G316" s="5" t="s">
        <v>303</v>
      </c>
      <c r="H316" s="7">
        <v>10</v>
      </c>
      <c r="I316" s="9">
        <v>0.66700000000000004</v>
      </c>
      <c r="J316" s="6" t="s">
        <v>893</v>
      </c>
    </row>
    <row r="317" spans="1:10" x14ac:dyDescent="0.25">
      <c r="A317" s="6" t="s">
        <v>304</v>
      </c>
      <c r="B317" s="5">
        <v>121</v>
      </c>
      <c r="C317" s="5"/>
      <c r="D317" s="6" t="s">
        <v>148</v>
      </c>
      <c r="E317" s="7">
        <v>15</v>
      </c>
      <c r="F317" s="5" t="s">
        <v>61</v>
      </c>
      <c r="G317" s="5" t="s">
        <v>303</v>
      </c>
      <c r="H317" s="7">
        <v>5</v>
      </c>
      <c r="I317" s="9">
        <v>0.33300000000000002</v>
      </c>
      <c r="J317" s="6" t="s">
        <v>894</v>
      </c>
    </row>
    <row r="318" spans="1:10" x14ac:dyDescent="0.25">
      <c r="A318" s="6" t="s">
        <v>304</v>
      </c>
      <c r="B318" s="5">
        <v>122</v>
      </c>
      <c r="C318" s="5"/>
      <c r="D318" s="6" t="s">
        <v>148</v>
      </c>
      <c r="E318" s="7">
        <v>100</v>
      </c>
      <c r="F318" s="5" t="s">
        <v>493</v>
      </c>
      <c r="G318" s="5" t="s">
        <v>384</v>
      </c>
      <c r="H318" s="7">
        <v>35</v>
      </c>
      <c r="I318" s="9">
        <v>0.35</v>
      </c>
      <c r="J318" s="6" t="s">
        <v>895</v>
      </c>
    </row>
    <row r="319" spans="1:10" x14ac:dyDescent="0.25">
      <c r="A319" s="6" t="s">
        <v>304</v>
      </c>
      <c r="B319" s="5">
        <v>122</v>
      </c>
      <c r="C319" s="5"/>
      <c r="D319" s="6" t="s">
        <v>148</v>
      </c>
      <c r="E319" s="7">
        <v>100</v>
      </c>
      <c r="F319" s="5" t="s">
        <v>493</v>
      </c>
      <c r="G319" s="5" t="s">
        <v>389</v>
      </c>
      <c r="H319" s="7">
        <v>35</v>
      </c>
      <c r="I319" s="9">
        <v>0.35</v>
      </c>
      <c r="J319" s="6" t="s">
        <v>896</v>
      </c>
    </row>
    <row r="320" spans="1:10" x14ac:dyDescent="0.25">
      <c r="A320" s="6" t="s">
        <v>304</v>
      </c>
      <c r="B320" s="5">
        <v>122</v>
      </c>
      <c r="C320" s="5"/>
      <c r="D320" s="6" t="s">
        <v>148</v>
      </c>
      <c r="E320" s="7">
        <v>100</v>
      </c>
      <c r="F320" s="5" t="s">
        <v>61</v>
      </c>
      <c r="G320" s="5" t="s">
        <v>303</v>
      </c>
      <c r="H320" s="7">
        <v>20</v>
      </c>
      <c r="I320" s="9">
        <v>0.2</v>
      </c>
      <c r="J320" s="6" t="s">
        <v>897</v>
      </c>
    </row>
    <row r="321" spans="1:10" x14ac:dyDescent="0.25">
      <c r="A321" s="6" t="s">
        <v>304</v>
      </c>
      <c r="B321" s="5">
        <v>122</v>
      </c>
      <c r="C321" s="5"/>
      <c r="D321" s="6" t="s">
        <v>148</v>
      </c>
      <c r="E321" s="7">
        <v>100</v>
      </c>
      <c r="F321" s="5" t="s">
        <v>302</v>
      </c>
      <c r="G321" s="5" t="s">
        <v>303</v>
      </c>
      <c r="H321" s="7">
        <v>10</v>
      </c>
      <c r="I321" s="9">
        <v>0.1</v>
      </c>
      <c r="J321" s="6" t="s">
        <v>898</v>
      </c>
    </row>
    <row r="322" spans="1:10" x14ac:dyDescent="0.25">
      <c r="A322" s="6" t="s">
        <v>304</v>
      </c>
      <c r="B322" s="5">
        <v>123</v>
      </c>
      <c r="C322" s="5"/>
      <c r="D322" s="6" t="s">
        <v>236</v>
      </c>
      <c r="E322" s="7">
        <v>2</v>
      </c>
      <c r="F322" s="5" t="s">
        <v>623</v>
      </c>
      <c r="G322" s="5" t="s">
        <v>303</v>
      </c>
      <c r="H322" s="7">
        <v>2</v>
      </c>
      <c r="I322" s="9">
        <v>1</v>
      </c>
      <c r="J322" s="6" t="s">
        <v>899</v>
      </c>
    </row>
    <row r="323" spans="1:10" x14ac:dyDescent="0.25">
      <c r="A323" s="6" t="s">
        <v>304</v>
      </c>
      <c r="B323" s="5">
        <v>124</v>
      </c>
      <c r="C323" s="5"/>
      <c r="D323" s="6" t="s">
        <v>223</v>
      </c>
      <c r="E323" s="7">
        <v>8</v>
      </c>
      <c r="F323" s="5" t="s">
        <v>302</v>
      </c>
      <c r="G323" s="5" t="s">
        <v>303</v>
      </c>
      <c r="H323" s="7">
        <v>4</v>
      </c>
      <c r="I323" s="9">
        <v>0.5</v>
      </c>
      <c r="J323" s="6" t="s">
        <v>900</v>
      </c>
    </row>
    <row r="324" spans="1:10" x14ac:dyDescent="0.25">
      <c r="A324" s="6" t="s">
        <v>304</v>
      </c>
      <c r="B324" s="5">
        <v>124</v>
      </c>
      <c r="C324" s="5"/>
      <c r="D324" s="6" t="s">
        <v>223</v>
      </c>
      <c r="E324" s="7">
        <v>8</v>
      </c>
      <c r="F324" s="5" t="s">
        <v>61</v>
      </c>
      <c r="G324" s="5" t="s">
        <v>303</v>
      </c>
      <c r="H324" s="7">
        <v>4</v>
      </c>
      <c r="I324" s="9">
        <v>0.5</v>
      </c>
      <c r="J324" s="6" t="s">
        <v>901</v>
      </c>
    </row>
    <row r="325" spans="1:10" x14ac:dyDescent="0.25">
      <c r="A325" s="6" t="s">
        <v>304</v>
      </c>
      <c r="B325" s="5">
        <v>125</v>
      </c>
      <c r="C325" s="5"/>
      <c r="D325" s="6" t="s">
        <v>223</v>
      </c>
      <c r="E325" s="7">
        <v>8</v>
      </c>
      <c r="F325" s="5" t="s">
        <v>493</v>
      </c>
      <c r="G325" s="5" t="s">
        <v>303</v>
      </c>
      <c r="H325" s="7">
        <v>4</v>
      </c>
      <c r="I325" s="9">
        <v>0.5</v>
      </c>
      <c r="J325" s="6" t="s">
        <v>902</v>
      </c>
    </row>
    <row r="326" spans="1:10" x14ac:dyDescent="0.25">
      <c r="A326" s="6" t="s">
        <v>304</v>
      </c>
      <c r="B326" s="5">
        <v>125</v>
      </c>
      <c r="C326" s="5"/>
      <c r="D326" s="6" t="s">
        <v>223</v>
      </c>
      <c r="E326" s="7">
        <v>8</v>
      </c>
      <c r="F326" s="5" t="s">
        <v>61</v>
      </c>
      <c r="G326" s="5" t="s">
        <v>303</v>
      </c>
      <c r="H326" s="7">
        <v>4</v>
      </c>
      <c r="I326" s="9">
        <v>0.5</v>
      </c>
      <c r="J326" s="6" t="s">
        <v>901</v>
      </c>
    </row>
    <row r="327" spans="1:10" x14ac:dyDescent="0.25">
      <c r="A327" s="6" t="s">
        <v>304</v>
      </c>
      <c r="B327" s="5">
        <v>126</v>
      </c>
      <c r="C327" s="5"/>
      <c r="D327" s="6" t="s">
        <v>223</v>
      </c>
      <c r="E327" s="7">
        <v>4</v>
      </c>
      <c r="F327" s="5" t="s">
        <v>302</v>
      </c>
      <c r="G327" s="5" t="s">
        <v>303</v>
      </c>
      <c r="H327" s="7">
        <v>4</v>
      </c>
      <c r="I327" s="9">
        <v>1</v>
      </c>
      <c r="J327" s="6" t="s">
        <v>903</v>
      </c>
    </row>
    <row r="328" spans="1:10" x14ac:dyDescent="0.25">
      <c r="A328" s="6" t="s">
        <v>304</v>
      </c>
      <c r="B328" s="5">
        <v>127</v>
      </c>
      <c r="C328" s="5"/>
      <c r="D328" s="6" t="s">
        <v>223</v>
      </c>
      <c r="E328" s="7">
        <v>4</v>
      </c>
      <c r="F328" s="5" t="s">
        <v>623</v>
      </c>
      <c r="G328" s="5" t="s">
        <v>303</v>
      </c>
      <c r="H328" s="7">
        <v>4</v>
      </c>
      <c r="I328" s="9">
        <v>1</v>
      </c>
      <c r="J328" s="6" t="s">
        <v>904</v>
      </c>
    </row>
    <row r="329" spans="1:10" x14ac:dyDescent="0.25">
      <c r="A329" s="6" t="s">
        <v>304</v>
      </c>
      <c r="B329" s="5">
        <v>128</v>
      </c>
      <c r="C329" s="5"/>
      <c r="D329" s="6" t="s">
        <v>191</v>
      </c>
      <c r="E329" s="7">
        <v>60</v>
      </c>
      <c r="F329" s="5" t="s">
        <v>493</v>
      </c>
      <c r="G329" s="5" t="s">
        <v>384</v>
      </c>
      <c r="H329" s="7">
        <v>18</v>
      </c>
      <c r="I329" s="9">
        <v>0.3</v>
      </c>
      <c r="J329" s="6" t="s">
        <v>905</v>
      </c>
    </row>
    <row r="330" spans="1:10" x14ac:dyDescent="0.25">
      <c r="A330" s="6" t="s">
        <v>304</v>
      </c>
      <c r="B330" s="5">
        <v>128</v>
      </c>
      <c r="C330" s="5"/>
      <c r="D330" s="6" t="s">
        <v>191</v>
      </c>
      <c r="E330" s="7">
        <v>60</v>
      </c>
      <c r="F330" s="5" t="s">
        <v>493</v>
      </c>
      <c r="G330" s="5" t="s">
        <v>389</v>
      </c>
      <c r="H330" s="7">
        <v>18</v>
      </c>
      <c r="I330" s="9">
        <v>0.3</v>
      </c>
      <c r="J330" s="6" t="s">
        <v>906</v>
      </c>
    </row>
    <row r="331" spans="1:10" x14ac:dyDescent="0.25">
      <c r="A331" s="6" t="s">
        <v>304</v>
      </c>
      <c r="B331" s="5">
        <v>128</v>
      </c>
      <c r="C331" s="5"/>
      <c r="D331" s="6" t="s">
        <v>191</v>
      </c>
      <c r="E331" s="7">
        <v>60</v>
      </c>
      <c r="F331" s="5" t="s">
        <v>61</v>
      </c>
      <c r="G331" s="5" t="s">
        <v>303</v>
      </c>
      <c r="H331" s="7">
        <v>8</v>
      </c>
      <c r="I331" s="9">
        <v>0.13300000000000001</v>
      </c>
      <c r="J331" s="6" t="s">
        <v>907</v>
      </c>
    </row>
    <row r="332" spans="1:10" x14ac:dyDescent="0.25">
      <c r="A332" s="6" t="s">
        <v>304</v>
      </c>
      <c r="B332" s="5">
        <v>128</v>
      </c>
      <c r="C332" s="5"/>
      <c r="D332" s="6" t="s">
        <v>191</v>
      </c>
      <c r="E332" s="7">
        <v>60</v>
      </c>
      <c r="F332" s="5" t="s">
        <v>302</v>
      </c>
      <c r="G332" s="5" t="s">
        <v>303</v>
      </c>
      <c r="H332" s="7">
        <v>8</v>
      </c>
      <c r="I332" s="9">
        <v>0.13300000000000001</v>
      </c>
      <c r="J332" s="6" t="s">
        <v>908</v>
      </c>
    </row>
    <row r="333" spans="1:10" x14ac:dyDescent="0.25">
      <c r="A333" s="6" t="s">
        <v>304</v>
      </c>
      <c r="B333" s="5">
        <v>128</v>
      </c>
      <c r="C333" s="5"/>
      <c r="D333" s="6" t="s">
        <v>191</v>
      </c>
      <c r="E333" s="7">
        <v>60</v>
      </c>
      <c r="F333" s="5" t="s">
        <v>623</v>
      </c>
      <c r="G333" s="5" t="s">
        <v>303</v>
      </c>
      <c r="H333" s="7">
        <v>6</v>
      </c>
      <c r="I333" s="9">
        <v>0.1</v>
      </c>
      <c r="J333" s="6" t="s">
        <v>909</v>
      </c>
    </row>
    <row r="334" spans="1:10" x14ac:dyDescent="0.25">
      <c r="A334" s="6" t="s">
        <v>304</v>
      </c>
      <c r="B334" s="5">
        <v>129</v>
      </c>
      <c r="C334" s="5"/>
      <c r="D334" s="6" t="s">
        <v>189</v>
      </c>
      <c r="E334" s="7">
        <v>35</v>
      </c>
      <c r="F334" s="5" t="s">
        <v>493</v>
      </c>
      <c r="G334" s="5" t="s">
        <v>384</v>
      </c>
      <c r="H334" s="7">
        <v>12</v>
      </c>
      <c r="I334" s="9">
        <v>0.34300000000000003</v>
      </c>
      <c r="J334" s="6" t="s">
        <v>910</v>
      </c>
    </row>
    <row r="335" spans="1:10" x14ac:dyDescent="0.25">
      <c r="A335" s="6" t="s">
        <v>304</v>
      </c>
      <c r="B335" s="5">
        <v>129</v>
      </c>
      <c r="C335" s="5"/>
      <c r="D335" s="6" t="s">
        <v>189</v>
      </c>
      <c r="E335" s="7">
        <v>35</v>
      </c>
      <c r="F335" s="5" t="s">
        <v>493</v>
      </c>
      <c r="G335" s="5" t="s">
        <v>389</v>
      </c>
      <c r="H335" s="7">
        <v>12</v>
      </c>
      <c r="I335" s="9">
        <v>0.34300000000000003</v>
      </c>
      <c r="J335" s="6" t="s">
        <v>911</v>
      </c>
    </row>
    <row r="336" spans="1:10" x14ac:dyDescent="0.25">
      <c r="A336" s="6" t="s">
        <v>304</v>
      </c>
      <c r="B336" s="5">
        <v>129</v>
      </c>
      <c r="C336" s="5"/>
      <c r="D336" s="6" t="s">
        <v>189</v>
      </c>
      <c r="E336" s="7">
        <v>35</v>
      </c>
      <c r="F336" s="5" t="s">
        <v>61</v>
      </c>
      <c r="G336" s="5" t="s">
        <v>303</v>
      </c>
      <c r="H336" s="7">
        <v>8</v>
      </c>
      <c r="I336" s="9">
        <v>0.22900000000000001</v>
      </c>
      <c r="J336" s="6" t="s">
        <v>907</v>
      </c>
    </row>
    <row r="337" spans="1:10" x14ac:dyDescent="0.25">
      <c r="A337" s="6" t="s">
        <v>304</v>
      </c>
      <c r="B337" s="5">
        <v>129</v>
      </c>
      <c r="C337" s="5"/>
      <c r="D337" s="6" t="s">
        <v>189</v>
      </c>
      <c r="E337" s="7">
        <v>35</v>
      </c>
      <c r="F337" s="5" t="s">
        <v>302</v>
      </c>
      <c r="G337" s="5" t="s">
        <v>303</v>
      </c>
      <c r="H337" s="7">
        <v>3</v>
      </c>
      <c r="I337" s="9">
        <v>8.5999999999999993E-2</v>
      </c>
      <c r="J337" s="6" t="s">
        <v>912</v>
      </c>
    </row>
    <row r="338" spans="1:10" x14ac:dyDescent="0.25">
      <c r="A338" s="6" t="s">
        <v>304</v>
      </c>
      <c r="B338" s="5">
        <v>130</v>
      </c>
      <c r="C338" s="5"/>
      <c r="D338" s="6" t="s">
        <v>192</v>
      </c>
      <c r="E338" s="7">
        <v>15</v>
      </c>
      <c r="F338" s="5" t="s">
        <v>493</v>
      </c>
      <c r="G338" s="5" t="s">
        <v>384</v>
      </c>
      <c r="H338" s="7">
        <v>5</v>
      </c>
      <c r="I338" s="9">
        <v>0.33300000000000002</v>
      </c>
      <c r="J338" s="6" t="s">
        <v>913</v>
      </c>
    </row>
    <row r="339" spans="1:10" x14ac:dyDescent="0.25">
      <c r="A339" s="6" t="s">
        <v>304</v>
      </c>
      <c r="B339" s="5">
        <v>130</v>
      </c>
      <c r="C339" s="5"/>
      <c r="D339" s="6" t="s">
        <v>192</v>
      </c>
      <c r="E339" s="7">
        <v>15</v>
      </c>
      <c r="F339" s="5" t="s">
        <v>493</v>
      </c>
      <c r="G339" s="5" t="s">
        <v>389</v>
      </c>
      <c r="H339" s="7">
        <v>5</v>
      </c>
      <c r="I339" s="9">
        <v>0.33300000000000002</v>
      </c>
      <c r="J339" s="6" t="s">
        <v>914</v>
      </c>
    </row>
    <row r="340" spans="1:10" x14ac:dyDescent="0.25">
      <c r="A340" s="6" t="s">
        <v>304</v>
      </c>
      <c r="B340" s="5">
        <v>130</v>
      </c>
      <c r="C340" s="5"/>
      <c r="D340" s="6" t="s">
        <v>192</v>
      </c>
      <c r="E340" s="7">
        <v>15</v>
      </c>
      <c r="F340" s="5" t="s">
        <v>61</v>
      </c>
      <c r="G340" s="5" t="s">
        <v>303</v>
      </c>
      <c r="H340" s="7">
        <v>5</v>
      </c>
      <c r="I340" s="9">
        <v>0.33300000000000002</v>
      </c>
      <c r="J340" s="6" t="s">
        <v>915</v>
      </c>
    </row>
    <row r="341" spans="1:10" x14ac:dyDescent="0.25">
      <c r="A341" s="6" t="s">
        <v>304</v>
      </c>
      <c r="B341" s="5">
        <v>131</v>
      </c>
      <c r="C341" s="5"/>
      <c r="D341" s="6" t="s">
        <v>188</v>
      </c>
      <c r="E341" s="7">
        <v>60</v>
      </c>
      <c r="F341" s="5" t="s">
        <v>493</v>
      </c>
      <c r="G341" s="5" t="s">
        <v>384</v>
      </c>
      <c r="H341" s="7">
        <v>20</v>
      </c>
      <c r="I341" s="9">
        <v>0.33300000000000002</v>
      </c>
      <c r="J341" s="6" t="s">
        <v>916</v>
      </c>
    </row>
    <row r="342" spans="1:10" x14ac:dyDescent="0.25">
      <c r="A342" s="6" t="s">
        <v>304</v>
      </c>
      <c r="B342" s="5">
        <v>131</v>
      </c>
      <c r="C342" s="5"/>
      <c r="D342" s="6" t="s">
        <v>188</v>
      </c>
      <c r="E342" s="7">
        <v>60</v>
      </c>
      <c r="F342" s="5" t="s">
        <v>493</v>
      </c>
      <c r="G342" s="5" t="s">
        <v>389</v>
      </c>
      <c r="H342" s="7">
        <v>20</v>
      </c>
      <c r="I342" s="9">
        <v>0.33300000000000002</v>
      </c>
      <c r="J342" s="6" t="s">
        <v>917</v>
      </c>
    </row>
    <row r="343" spans="1:10" x14ac:dyDescent="0.25">
      <c r="A343" s="6" t="s">
        <v>304</v>
      </c>
      <c r="B343" s="5">
        <v>131</v>
      </c>
      <c r="C343" s="5"/>
      <c r="D343" s="6" t="s">
        <v>188</v>
      </c>
      <c r="E343" s="7">
        <v>60</v>
      </c>
      <c r="F343" s="5" t="s">
        <v>61</v>
      </c>
      <c r="G343" s="5" t="s">
        <v>303</v>
      </c>
      <c r="H343" s="7">
        <v>10</v>
      </c>
      <c r="I343" s="9">
        <v>0.16700000000000001</v>
      </c>
      <c r="J343" s="6" t="s">
        <v>918</v>
      </c>
    </row>
    <row r="344" spans="1:10" x14ac:dyDescent="0.25">
      <c r="A344" s="6" t="s">
        <v>304</v>
      </c>
      <c r="B344" s="5">
        <v>131</v>
      </c>
      <c r="C344" s="5"/>
      <c r="D344" s="6" t="s">
        <v>188</v>
      </c>
      <c r="E344" s="7">
        <v>60</v>
      </c>
      <c r="F344" s="5" t="s">
        <v>302</v>
      </c>
      <c r="G344" s="5" t="s">
        <v>303</v>
      </c>
      <c r="H344" s="7">
        <v>10</v>
      </c>
      <c r="I344" s="9">
        <v>0.16700000000000001</v>
      </c>
      <c r="J344" s="6" t="s">
        <v>919</v>
      </c>
    </row>
    <row r="345" spans="1:10" x14ac:dyDescent="0.25">
      <c r="A345" s="6" t="s">
        <v>304</v>
      </c>
      <c r="B345" s="5">
        <v>132</v>
      </c>
      <c r="C345" s="5"/>
      <c r="D345" s="6" t="s">
        <v>186</v>
      </c>
      <c r="E345" s="7">
        <v>5</v>
      </c>
      <c r="F345" s="5" t="s">
        <v>302</v>
      </c>
      <c r="G345" s="5" t="s">
        <v>303</v>
      </c>
      <c r="H345" s="7">
        <v>2</v>
      </c>
      <c r="I345" s="9">
        <v>0.4</v>
      </c>
      <c r="J345" s="6" t="s">
        <v>920</v>
      </c>
    </row>
    <row r="346" spans="1:10" x14ac:dyDescent="0.25">
      <c r="A346" s="6" t="s">
        <v>304</v>
      </c>
      <c r="B346" s="5">
        <v>132</v>
      </c>
      <c r="C346" s="5"/>
      <c r="D346" s="6" t="s">
        <v>186</v>
      </c>
      <c r="E346" s="7">
        <v>5</v>
      </c>
      <c r="F346" s="5" t="s">
        <v>61</v>
      </c>
      <c r="G346" s="5" t="s">
        <v>303</v>
      </c>
      <c r="H346" s="7">
        <v>3</v>
      </c>
      <c r="I346" s="9">
        <v>0.6</v>
      </c>
      <c r="J346" s="6" t="s">
        <v>921</v>
      </c>
    </row>
    <row r="347" spans="1:10" ht="30" customHeight="1" x14ac:dyDescent="0.25">
      <c r="A347" s="6" t="s">
        <v>348</v>
      </c>
      <c r="B347" s="5">
        <v>1</v>
      </c>
      <c r="C347" s="5"/>
      <c r="D347" s="6" t="s">
        <v>267</v>
      </c>
      <c r="E347" s="7">
        <v>2</v>
      </c>
      <c r="F347" s="5" t="s">
        <v>302</v>
      </c>
      <c r="G347" s="5" t="s">
        <v>303</v>
      </c>
      <c r="H347" s="7">
        <v>2</v>
      </c>
      <c r="I347" s="9">
        <v>1</v>
      </c>
      <c r="J347" s="6" t="s">
        <v>922</v>
      </c>
    </row>
    <row r="348" spans="1:10" ht="30" customHeight="1" x14ac:dyDescent="0.25">
      <c r="A348" s="6" t="s">
        <v>348</v>
      </c>
      <c r="B348" s="5">
        <v>2</v>
      </c>
      <c r="C348" s="5"/>
      <c r="D348" s="6" t="s">
        <v>266</v>
      </c>
      <c r="E348" s="7">
        <v>1</v>
      </c>
      <c r="F348" s="5" t="s">
        <v>302</v>
      </c>
      <c r="G348" s="5" t="s">
        <v>303</v>
      </c>
      <c r="H348" s="7">
        <v>1</v>
      </c>
      <c r="I348" s="9">
        <v>1</v>
      </c>
      <c r="J348" s="6" t="s">
        <v>923</v>
      </c>
    </row>
    <row r="349" spans="1:10" ht="30" customHeight="1" x14ac:dyDescent="0.25">
      <c r="A349" s="6" t="s">
        <v>348</v>
      </c>
      <c r="B349" s="5">
        <v>3</v>
      </c>
      <c r="C349" s="5"/>
      <c r="D349" s="6" t="s">
        <v>265</v>
      </c>
      <c r="E349" s="7">
        <v>2</v>
      </c>
      <c r="F349" s="5" t="s">
        <v>302</v>
      </c>
      <c r="G349" s="5" t="s">
        <v>303</v>
      </c>
      <c r="H349" s="7">
        <v>2</v>
      </c>
      <c r="I349" s="9">
        <v>1</v>
      </c>
      <c r="J349" s="6" t="s">
        <v>924</v>
      </c>
    </row>
    <row r="350" spans="1:10" ht="30" customHeight="1" x14ac:dyDescent="0.25">
      <c r="A350" s="6" t="s">
        <v>348</v>
      </c>
      <c r="B350" s="5">
        <v>4</v>
      </c>
      <c r="C350" s="5"/>
      <c r="D350" s="6" t="s">
        <v>274</v>
      </c>
      <c r="E350" s="7">
        <v>1</v>
      </c>
      <c r="F350" s="5" t="s">
        <v>302</v>
      </c>
      <c r="G350" s="5" t="s">
        <v>303</v>
      </c>
      <c r="H350" s="7">
        <v>1</v>
      </c>
      <c r="I350" s="9">
        <v>1</v>
      </c>
      <c r="J350" s="6" t="s">
        <v>925</v>
      </c>
    </row>
    <row r="351" spans="1:10" ht="30" customHeight="1" x14ac:dyDescent="0.25">
      <c r="A351" s="6" t="s">
        <v>348</v>
      </c>
      <c r="B351" s="5">
        <v>5</v>
      </c>
      <c r="C351" s="5"/>
      <c r="D351" s="6" t="s">
        <v>275</v>
      </c>
      <c r="E351" s="7">
        <v>4</v>
      </c>
      <c r="F351" s="5" t="s">
        <v>302</v>
      </c>
      <c r="G351" s="5" t="s">
        <v>303</v>
      </c>
      <c r="H351" s="7">
        <v>4</v>
      </c>
      <c r="I351" s="9">
        <v>1</v>
      </c>
      <c r="J351" s="6" t="s">
        <v>926</v>
      </c>
    </row>
    <row r="352" spans="1:10" ht="30" customHeight="1" x14ac:dyDescent="0.25">
      <c r="A352" s="6" t="s">
        <v>348</v>
      </c>
      <c r="B352" s="5">
        <v>6</v>
      </c>
      <c r="C352" s="5"/>
      <c r="D352" s="6" t="s">
        <v>273</v>
      </c>
      <c r="E352" s="7">
        <v>2</v>
      </c>
      <c r="F352" s="5" t="s">
        <v>302</v>
      </c>
      <c r="G352" s="5" t="s">
        <v>303</v>
      </c>
      <c r="H352" s="7">
        <v>2</v>
      </c>
      <c r="I352" s="9">
        <v>1</v>
      </c>
      <c r="J352" s="6" t="s">
        <v>927</v>
      </c>
    </row>
    <row r="353" spans="1:10" ht="30" customHeight="1" x14ac:dyDescent="0.25">
      <c r="A353" s="6" t="s">
        <v>348</v>
      </c>
      <c r="B353" s="5">
        <v>7</v>
      </c>
      <c r="C353" s="5"/>
      <c r="D353" s="6" t="s">
        <v>276</v>
      </c>
      <c r="E353" s="7">
        <v>9</v>
      </c>
      <c r="F353" s="5" t="s">
        <v>302</v>
      </c>
      <c r="G353" s="5" t="s">
        <v>303</v>
      </c>
      <c r="H353" s="7">
        <v>9</v>
      </c>
      <c r="I353" s="9">
        <v>1</v>
      </c>
      <c r="J353" s="6" t="s">
        <v>928</v>
      </c>
    </row>
    <row r="354" spans="1:10" ht="30" customHeight="1" x14ac:dyDescent="0.25">
      <c r="A354" s="6" t="s">
        <v>348</v>
      </c>
      <c r="B354" s="5">
        <v>8</v>
      </c>
      <c r="C354" s="5"/>
      <c r="D354" s="6" t="s">
        <v>278</v>
      </c>
      <c r="E354" s="7">
        <v>1</v>
      </c>
      <c r="F354" s="5" t="s">
        <v>302</v>
      </c>
      <c r="G354" s="5" t="s">
        <v>303</v>
      </c>
      <c r="H354" s="7">
        <v>1</v>
      </c>
      <c r="I354" s="9">
        <v>1</v>
      </c>
      <c r="J354" s="6" t="s">
        <v>929</v>
      </c>
    </row>
    <row r="355" spans="1:10" ht="30" customHeight="1" x14ac:dyDescent="0.25">
      <c r="A355" s="6" t="s">
        <v>348</v>
      </c>
      <c r="B355" s="5">
        <v>9</v>
      </c>
      <c r="C355" s="5"/>
      <c r="D355" s="6" t="s">
        <v>279</v>
      </c>
      <c r="E355" s="7">
        <v>1</v>
      </c>
      <c r="F355" s="5" t="s">
        <v>302</v>
      </c>
      <c r="G355" s="5" t="s">
        <v>303</v>
      </c>
      <c r="H355" s="7">
        <v>1</v>
      </c>
      <c r="I355" s="9">
        <v>1</v>
      </c>
      <c r="J355" s="6" t="s">
        <v>929</v>
      </c>
    </row>
    <row r="356" spans="1:10" ht="30" customHeight="1" x14ac:dyDescent="0.25">
      <c r="A356" s="6" t="s">
        <v>348</v>
      </c>
      <c r="B356" s="5">
        <v>10</v>
      </c>
      <c r="C356" s="5"/>
      <c r="D356" s="6" t="s">
        <v>277</v>
      </c>
      <c r="E356" s="7">
        <v>3</v>
      </c>
      <c r="F356" s="5" t="s">
        <v>302</v>
      </c>
      <c r="G356" s="5" t="s">
        <v>303</v>
      </c>
      <c r="H356" s="7">
        <v>3</v>
      </c>
      <c r="I356" s="9">
        <v>1</v>
      </c>
      <c r="J356" s="6" t="s">
        <v>930</v>
      </c>
    </row>
    <row r="357" spans="1:10" ht="30" customHeight="1" x14ac:dyDescent="0.25">
      <c r="A357" s="6" t="s">
        <v>348</v>
      </c>
      <c r="B357" s="5">
        <v>11</v>
      </c>
      <c r="C357" s="5"/>
      <c r="D357" s="6" t="s">
        <v>280</v>
      </c>
      <c r="E357" s="7">
        <v>2</v>
      </c>
      <c r="F357" s="5" t="s">
        <v>302</v>
      </c>
      <c r="G357" s="5" t="s">
        <v>303</v>
      </c>
      <c r="H357" s="7">
        <v>2</v>
      </c>
      <c r="I357" s="9">
        <v>1</v>
      </c>
      <c r="J357" s="6" t="s">
        <v>931</v>
      </c>
    </row>
    <row r="358" spans="1:10" ht="30" customHeight="1" x14ac:dyDescent="0.25">
      <c r="A358" s="6" t="s">
        <v>348</v>
      </c>
      <c r="B358" s="5">
        <v>12</v>
      </c>
      <c r="C358" s="5"/>
      <c r="D358" s="6" t="s">
        <v>282</v>
      </c>
      <c r="E358" s="7">
        <v>1</v>
      </c>
      <c r="F358" s="5" t="s">
        <v>302</v>
      </c>
      <c r="G358" s="5" t="s">
        <v>303</v>
      </c>
      <c r="H358" s="7">
        <v>1</v>
      </c>
      <c r="I358" s="9">
        <v>1</v>
      </c>
      <c r="J358" s="6" t="s">
        <v>932</v>
      </c>
    </row>
    <row r="359" spans="1:10" ht="30" customHeight="1" x14ac:dyDescent="0.25">
      <c r="A359" s="6" t="s">
        <v>348</v>
      </c>
      <c r="B359" s="5">
        <v>13</v>
      </c>
      <c r="C359" s="5"/>
      <c r="D359" s="6" t="s">
        <v>281</v>
      </c>
      <c r="E359" s="7">
        <v>1</v>
      </c>
      <c r="F359" s="5" t="s">
        <v>302</v>
      </c>
      <c r="G359" s="5" t="s">
        <v>303</v>
      </c>
      <c r="H359" s="7">
        <v>1</v>
      </c>
      <c r="I359" s="9">
        <v>1</v>
      </c>
      <c r="J359" s="6" t="s">
        <v>933</v>
      </c>
    </row>
    <row r="360" spans="1:10" ht="30" customHeight="1" x14ac:dyDescent="0.25">
      <c r="A360" s="6" t="s">
        <v>348</v>
      </c>
      <c r="B360" s="5">
        <v>14</v>
      </c>
      <c r="C360" s="5"/>
      <c r="D360" s="6" t="s">
        <v>270</v>
      </c>
      <c r="E360" s="7">
        <v>9</v>
      </c>
      <c r="F360" s="5" t="s">
        <v>302</v>
      </c>
      <c r="G360" s="5" t="s">
        <v>303</v>
      </c>
      <c r="H360" s="7">
        <v>9</v>
      </c>
      <c r="I360" s="9">
        <v>1</v>
      </c>
      <c r="J360" s="6" t="s">
        <v>934</v>
      </c>
    </row>
    <row r="361" spans="1:10" ht="30" customHeight="1" x14ac:dyDescent="0.25">
      <c r="A361" s="6" t="s">
        <v>348</v>
      </c>
      <c r="B361" s="5">
        <v>15</v>
      </c>
      <c r="C361" s="5"/>
      <c r="D361" s="6" t="s">
        <v>268</v>
      </c>
      <c r="E361" s="7">
        <v>1</v>
      </c>
      <c r="F361" s="5" t="s">
        <v>302</v>
      </c>
      <c r="G361" s="5" t="s">
        <v>303</v>
      </c>
      <c r="H361" s="7">
        <v>1</v>
      </c>
      <c r="I361" s="9">
        <v>1</v>
      </c>
      <c r="J361" s="6" t="s">
        <v>935</v>
      </c>
    </row>
    <row r="362" spans="1:10" ht="30" customHeight="1" x14ac:dyDescent="0.25">
      <c r="A362" s="6" t="s">
        <v>348</v>
      </c>
      <c r="B362" s="5">
        <v>16</v>
      </c>
      <c r="C362" s="5"/>
      <c r="D362" s="6" t="s">
        <v>271</v>
      </c>
      <c r="E362" s="7">
        <v>2</v>
      </c>
      <c r="F362" s="5" t="s">
        <v>302</v>
      </c>
      <c r="G362" s="5" t="s">
        <v>303</v>
      </c>
      <c r="H362" s="7">
        <v>2</v>
      </c>
      <c r="I362" s="9">
        <v>1</v>
      </c>
      <c r="J362" s="6" t="s">
        <v>936</v>
      </c>
    </row>
    <row r="363" spans="1:10" ht="30" customHeight="1" x14ac:dyDescent="0.25">
      <c r="A363" s="6" t="s">
        <v>348</v>
      </c>
      <c r="B363" s="5">
        <v>17</v>
      </c>
      <c r="C363" s="5"/>
      <c r="D363" s="6" t="s">
        <v>272</v>
      </c>
      <c r="E363" s="7">
        <v>1</v>
      </c>
      <c r="F363" s="5" t="s">
        <v>302</v>
      </c>
      <c r="G363" s="5" t="s">
        <v>303</v>
      </c>
      <c r="H363" s="7">
        <v>1</v>
      </c>
      <c r="I363" s="9">
        <v>1</v>
      </c>
      <c r="J363" s="6" t="s">
        <v>937</v>
      </c>
    </row>
    <row r="364" spans="1:10" ht="30" customHeight="1" x14ac:dyDescent="0.25">
      <c r="A364" s="6" t="s">
        <v>348</v>
      </c>
      <c r="B364" s="5">
        <v>18</v>
      </c>
      <c r="C364" s="5"/>
      <c r="D364" s="6" t="s">
        <v>269</v>
      </c>
      <c r="E364" s="7">
        <v>1</v>
      </c>
      <c r="F364" s="5" t="s">
        <v>302</v>
      </c>
      <c r="G364" s="5" t="s">
        <v>303</v>
      </c>
      <c r="H364" s="7">
        <v>1</v>
      </c>
      <c r="I364" s="9">
        <v>1</v>
      </c>
      <c r="J364" s="6" t="s">
        <v>938</v>
      </c>
    </row>
    <row r="365" spans="1:10" ht="30" customHeight="1" x14ac:dyDescent="0.25">
      <c r="A365" s="6" t="s">
        <v>348</v>
      </c>
      <c r="B365" s="5">
        <v>19</v>
      </c>
      <c r="C365" s="5"/>
      <c r="D365" s="6" t="s">
        <v>283</v>
      </c>
      <c r="E365" s="7">
        <v>1</v>
      </c>
      <c r="F365" s="5" t="s">
        <v>302</v>
      </c>
      <c r="G365" s="5" t="s">
        <v>303</v>
      </c>
      <c r="H365" s="7">
        <v>1</v>
      </c>
      <c r="I365" s="9">
        <v>1</v>
      </c>
      <c r="J365" s="6" t="s">
        <v>939</v>
      </c>
    </row>
    <row r="366" spans="1:10" ht="30" customHeight="1" x14ac:dyDescent="0.25">
      <c r="A366" s="6" t="s">
        <v>348</v>
      </c>
      <c r="B366" s="5">
        <v>20</v>
      </c>
      <c r="C366" s="5"/>
      <c r="D366" s="6" t="s">
        <v>264</v>
      </c>
      <c r="E366" s="7">
        <v>3</v>
      </c>
      <c r="F366" s="5" t="s">
        <v>302</v>
      </c>
      <c r="G366" s="5" t="s">
        <v>303</v>
      </c>
      <c r="H366" s="7">
        <v>3</v>
      </c>
      <c r="I366" s="9">
        <v>1</v>
      </c>
      <c r="J366" s="6" t="s">
        <v>940</v>
      </c>
    </row>
    <row r="367" spans="1:10" ht="30" customHeight="1" x14ac:dyDescent="0.25">
      <c r="A367" s="6" t="s">
        <v>368</v>
      </c>
      <c r="B367" s="5">
        <v>1</v>
      </c>
      <c r="C367" s="5"/>
      <c r="D367" s="6" t="s">
        <v>111</v>
      </c>
      <c r="E367" s="7">
        <v>535</v>
      </c>
      <c r="F367" s="5" t="s">
        <v>493</v>
      </c>
      <c r="G367" s="5" t="s">
        <v>384</v>
      </c>
      <c r="H367" s="7">
        <v>214</v>
      </c>
      <c r="I367" s="9">
        <v>0.4</v>
      </c>
      <c r="J367" s="6" t="s">
        <v>941</v>
      </c>
    </row>
    <row r="368" spans="1:10" ht="30" customHeight="1" x14ac:dyDescent="0.25">
      <c r="A368" s="6" t="s">
        <v>368</v>
      </c>
      <c r="B368" s="5">
        <v>1</v>
      </c>
      <c r="C368" s="5"/>
      <c r="D368" s="6" t="s">
        <v>111</v>
      </c>
      <c r="E368" s="7">
        <v>535</v>
      </c>
      <c r="F368" s="5" t="s">
        <v>493</v>
      </c>
      <c r="G368" s="5" t="s">
        <v>389</v>
      </c>
      <c r="H368" s="7">
        <v>214</v>
      </c>
      <c r="I368" s="9">
        <v>0.4</v>
      </c>
      <c r="J368" s="6" t="s">
        <v>942</v>
      </c>
    </row>
    <row r="369" spans="1:10" ht="30" customHeight="1" x14ac:dyDescent="0.25">
      <c r="A369" s="6" t="s">
        <v>368</v>
      </c>
      <c r="B369" s="5">
        <v>1</v>
      </c>
      <c r="C369" s="5"/>
      <c r="D369" s="6" t="s">
        <v>111</v>
      </c>
      <c r="E369" s="7">
        <v>535</v>
      </c>
      <c r="F369" s="5" t="s">
        <v>302</v>
      </c>
      <c r="G369" s="5" t="s">
        <v>303</v>
      </c>
      <c r="H369" s="7">
        <v>53.5</v>
      </c>
      <c r="I369" s="9">
        <v>0.1</v>
      </c>
      <c r="J369" s="6" t="s">
        <v>943</v>
      </c>
    </row>
    <row r="370" spans="1:10" ht="30" customHeight="1" x14ac:dyDescent="0.25">
      <c r="A370" s="6" t="s">
        <v>368</v>
      </c>
      <c r="B370" s="5">
        <v>1</v>
      </c>
      <c r="C370" s="5"/>
      <c r="D370" s="6" t="s">
        <v>111</v>
      </c>
      <c r="E370" s="7">
        <v>535</v>
      </c>
      <c r="F370" s="5" t="s">
        <v>623</v>
      </c>
      <c r="G370" s="5" t="s">
        <v>303</v>
      </c>
      <c r="H370" s="7">
        <v>53.5</v>
      </c>
      <c r="I370" s="9">
        <v>0.1</v>
      </c>
      <c r="J370" s="6" t="s">
        <v>944</v>
      </c>
    </row>
    <row r="371" spans="1:10" ht="30" customHeight="1" x14ac:dyDescent="0.25">
      <c r="A371" s="6" t="s">
        <v>368</v>
      </c>
      <c r="B371" s="5">
        <v>2</v>
      </c>
      <c r="C371" s="5"/>
      <c r="D371" s="6" t="s">
        <v>111</v>
      </c>
      <c r="E371" s="7">
        <v>995</v>
      </c>
      <c r="F371" s="5" t="s">
        <v>493</v>
      </c>
      <c r="G371" s="5" t="s">
        <v>384</v>
      </c>
      <c r="H371" s="7">
        <v>398</v>
      </c>
      <c r="I371" s="9">
        <v>0.4</v>
      </c>
      <c r="J371" s="6" t="s">
        <v>941</v>
      </c>
    </row>
    <row r="372" spans="1:10" ht="30" customHeight="1" x14ac:dyDescent="0.25">
      <c r="A372" s="6" t="s">
        <v>368</v>
      </c>
      <c r="B372" s="5">
        <v>2</v>
      </c>
      <c r="C372" s="5"/>
      <c r="D372" s="6" t="s">
        <v>111</v>
      </c>
      <c r="E372" s="7">
        <v>995</v>
      </c>
      <c r="F372" s="5" t="s">
        <v>493</v>
      </c>
      <c r="G372" s="5" t="s">
        <v>389</v>
      </c>
      <c r="H372" s="7">
        <v>398</v>
      </c>
      <c r="I372" s="9">
        <v>0.4</v>
      </c>
      <c r="J372" s="6" t="s">
        <v>942</v>
      </c>
    </row>
    <row r="373" spans="1:10" ht="30" customHeight="1" x14ac:dyDescent="0.25">
      <c r="A373" s="6" t="s">
        <v>368</v>
      </c>
      <c r="B373" s="5">
        <v>2</v>
      </c>
      <c r="C373" s="5"/>
      <c r="D373" s="6" t="s">
        <v>111</v>
      </c>
      <c r="E373" s="7">
        <v>995</v>
      </c>
      <c r="F373" s="5" t="s">
        <v>302</v>
      </c>
      <c r="G373" s="5" t="s">
        <v>303</v>
      </c>
      <c r="H373" s="7">
        <v>99.5</v>
      </c>
      <c r="I373" s="9">
        <v>0.1</v>
      </c>
      <c r="J373" s="6" t="s">
        <v>943</v>
      </c>
    </row>
    <row r="374" spans="1:10" ht="30" customHeight="1" x14ac:dyDescent="0.25">
      <c r="A374" s="6" t="s">
        <v>368</v>
      </c>
      <c r="B374" s="5">
        <v>2</v>
      </c>
      <c r="C374" s="5"/>
      <c r="D374" s="6" t="s">
        <v>111</v>
      </c>
      <c r="E374" s="7">
        <v>995</v>
      </c>
      <c r="F374" s="5" t="s">
        <v>623</v>
      </c>
      <c r="G374" s="5" t="s">
        <v>303</v>
      </c>
      <c r="H374" s="7">
        <v>99.5</v>
      </c>
      <c r="I374" s="9">
        <v>0.1</v>
      </c>
      <c r="J374" s="6" t="s">
        <v>944</v>
      </c>
    </row>
    <row r="375" spans="1:10" ht="30" customHeight="1" x14ac:dyDescent="0.25">
      <c r="A375" s="6" t="s">
        <v>368</v>
      </c>
      <c r="B375" s="5">
        <v>3</v>
      </c>
      <c r="C375" s="5"/>
      <c r="D375" s="6" t="s">
        <v>111</v>
      </c>
      <c r="E375" s="7">
        <v>10</v>
      </c>
      <c r="F375" s="5" t="s">
        <v>493</v>
      </c>
      <c r="G375" s="5" t="s">
        <v>303</v>
      </c>
      <c r="H375" s="7">
        <v>8</v>
      </c>
      <c r="I375" s="9">
        <v>0.8</v>
      </c>
      <c r="J375" s="6" t="s">
        <v>945</v>
      </c>
    </row>
    <row r="376" spans="1:10" ht="30" customHeight="1" x14ac:dyDescent="0.25">
      <c r="A376" s="6" t="s">
        <v>368</v>
      </c>
      <c r="B376" s="5">
        <v>3</v>
      </c>
      <c r="C376" s="5"/>
      <c r="D376" s="6" t="s">
        <v>111</v>
      </c>
      <c r="E376" s="7">
        <v>10</v>
      </c>
      <c r="F376" s="5" t="s">
        <v>302</v>
      </c>
      <c r="G376" s="5" t="s">
        <v>303</v>
      </c>
      <c r="H376" s="7">
        <v>1</v>
      </c>
      <c r="I376" s="9">
        <v>0.1</v>
      </c>
      <c r="J376" s="6" t="s">
        <v>946</v>
      </c>
    </row>
    <row r="377" spans="1:10" ht="30" customHeight="1" x14ac:dyDescent="0.25">
      <c r="A377" s="6" t="s">
        <v>368</v>
      </c>
      <c r="B377" s="5">
        <v>3</v>
      </c>
      <c r="C377" s="5"/>
      <c r="D377" s="6" t="s">
        <v>111</v>
      </c>
      <c r="E377" s="7">
        <v>10</v>
      </c>
      <c r="F377" s="5" t="s">
        <v>623</v>
      </c>
      <c r="G377" s="5" t="s">
        <v>303</v>
      </c>
      <c r="H377" s="7">
        <v>1</v>
      </c>
      <c r="I377" s="9">
        <v>0.1</v>
      </c>
      <c r="J377" s="6" t="s">
        <v>947</v>
      </c>
    </row>
    <row r="378" spans="1:10" ht="30" customHeight="1" x14ac:dyDescent="0.25">
      <c r="A378" s="6" t="s">
        <v>368</v>
      </c>
      <c r="B378" s="5">
        <v>4</v>
      </c>
      <c r="C378" s="5"/>
      <c r="D378" s="6" t="s">
        <v>111</v>
      </c>
      <c r="E378" s="7">
        <v>465</v>
      </c>
      <c r="F378" s="5" t="s">
        <v>493</v>
      </c>
      <c r="G378" s="5" t="s">
        <v>384</v>
      </c>
      <c r="H378" s="7">
        <v>186</v>
      </c>
      <c r="I378" s="9">
        <v>0.39900000000000002</v>
      </c>
      <c r="J378" s="6" t="s">
        <v>941</v>
      </c>
    </row>
    <row r="379" spans="1:10" ht="30" customHeight="1" x14ac:dyDescent="0.25">
      <c r="A379" s="6" t="s">
        <v>368</v>
      </c>
      <c r="B379" s="5">
        <v>4</v>
      </c>
      <c r="C379" s="5"/>
      <c r="D379" s="6" t="s">
        <v>111</v>
      </c>
      <c r="E379" s="7">
        <v>465</v>
      </c>
      <c r="F379" s="5" t="s">
        <v>493</v>
      </c>
      <c r="G379" s="5" t="s">
        <v>389</v>
      </c>
      <c r="H379" s="7">
        <v>186</v>
      </c>
      <c r="I379" s="9">
        <v>0.39900000000000002</v>
      </c>
      <c r="J379" s="6" t="s">
        <v>942</v>
      </c>
    </row>
    <row r="380" spans="1:10" ht="30" customHeight="1" x14ac:dyDescent="0.25">
      <c r="A380" s="6" t="s">
        <v>368</v>
      </c>
      <c r="B380" s="5">
        <v>4</v>
      </c>
      <c r="C380" s="5"/>
      <c r="D380" s="6" t="s">
        <v>111</v>
      </c>
      <c r="E380" s="7">
        <v>465</v>
      </c>
      <c r="F380" s="5" t="s">
        <v>302</v>
      </c>
      <c r="G380" s="5" t="s">
        <v>303</v>
      </c>
      <c r="H380" s="7">
        <v>46.5</v>
      </c>
      <c r="I380" s="9">
        <v>0.1</v>
      </c>
      <c r="J380" s="6" t="s">
        <v>943</v>
      </c>
    </row>
    <row r="381" spans="1:10" ht="30" customHeight="1" x14ac:dyDescent="0.25">
      <c r="A381" s="6" t="s">
        <v>368</v>
      </c>
      <c r="B381" s="5">
        <v>4</v>
      </c>
      <c r="C381" s="5"/>
      <c r="D381" s="6" t="s">
        <v>111</v>
      </c>
      <c r="E381" s="7">
        <v>465</v>
      </c>
      <c r="F381" s="5" t="s">
        <v>623</v>
      </c>
      <c r="G381" s="5" t="s">
        <v>303</v>
      </c>
      <c r="H381" s="7">
        <v>46.5</v>
      </c>
      <c r="I381" s="9">
        <v>0.1</v>
      </c>
      <c r="J381" s="6" t="s">
        <v>944</v>
      </c>
    </row>
    <row r="382" spans="1:10" ht="30" customHeight="1" x14ac:dyDescent="0.25">
      <c r="A382" s="6" t="s">
        <v>368</v>
      </c>
      <c r="B382" s="5">
        <v>5</v>
      </c>
      <c r="C382" s="5"/>
      <c r="D382" s="6" t="s">
        <v>116</v>
      </c>
      <c r="E382" s="7">
        <v>250</v>
      </c>
      <c r="F382" s="5" t="s">
        <v>493</v>
      </c>
      <c r="G382" s="5" t="s">
        <v>384</v>
      </c>
      <c r="H382" s="7">
        <v>100</v>
      </c>
      <c r="I382" s="9">
        <v>0.2</v>
      </c>
      <c r="J382" s="6" t="s">
        <v>941</v>
      </c>
    </row>
    <row r="383" spans="1:10" ht="30" customHeight="1" x14ac:dyDescent="0.25">
      <c r="A383" s="6" t="s">
        <v>368</v>
      </c>
      <c r="B383" s="5">
        <v>5</v>
      </c>
      <c r="C383" s="5"/>
      <c r="D383" s="6" t="s">
        <v>116</v>
      </c>
      <c r="E383" s="7">
        <v>250</v>
      </c>
      <c r="F383" s="5" t="s">
        <v>493</v>
      </c>
      <c r="G383" s="5" t="s">
        <v>389</v>
      </c>
      <c r="H383" s="7">
        <v>100</v>
      </c>
      <c r="I383" s="9">
        <v>0.2</v>
      </c>
      <c r="J383" s="6" t="s">
        <v>942</v>
      </c>
    </row>
    <row r="384" spans="1:10" ht="30" customHeight="1" x14ac:dyDescent="0.25">
      <c r="A384" s="6" t="s">
        <v>368</v>
      </c>
      <c r="B384" s="5">
        <v>5</v>
      </c>
      <c r="C384" s="5"/>
      <c r="D384" s="6" t="s">
        <v>116</v>
      </c>
      <c r="E384" s="7">
        <v>250</v>
      </c>
      <c r="F384" s="5" t="s">
        <v>302</v>
      </c>
      <c r="G384" s="5" t="s">
        <v>303</v>
      </c>
      <c r="H384" s="7">
        <v>25</v>
      </c>
      <c r="I384" s="9">
        <v>0.1</v>
      </c>
      <c r="J384" s="6" t="s">
        <v>943</v>
      </c>
    </row>
    <row r="385" spans="1:10" ht="30" customHeight="1" x14ac:dyDescent="0.25">
      <c r="A385" s="6" t="s">
        <v>368</v>
      </c>
      <c r="B385" s="5">
        <v>5</v>
      </c>
      <c r="C385" s="5"/>
      <c r="D385" s="6" t="s">
        <v>116</v>
      </c>
      <c r="E385" s="7">
        <v>250</v>
      </c>
      <c r="F385" s="5" t="s">
        <v>623</v>
      </c>
      <c r="G385" s="5" t="s">
        <v>303</v>
      </c>
      <c r="H385" s="7">
        <v>25</v>
      </c>
      <c r="I385" s="9">
        <v>0.1</v>
      </c>
      <c r="J385" s="6" t="s">
        <v>944</v>
      </c>
    </row>
    <row r="386" spans="1:10" ht="30" customHeight="1" x14ac:dyDescent="0.25">
      <c r="A386" s="6" t="s">
        <v>368</v>
      </c>
      <c r="B386" s="5">
        <v>6</v>
      </c>
      <c r="C386" s="5"/>
      <c r="D386" s="6" t="s">
        <v>116</v>
      </c>
      <c r="E386" s="7">
        <v>35</v>
      </c>
      <c r="F386" s="5" t="s">
        <v>493</v>
      </c>
      <c r="G386" s="5" t="s">
        <v>384</v>
      </c>
      <c r="H386" s="7">
        <v>14</v>
      </c>
      <c r="I386" s="9">
        <v>0.2</v>
      </c>
      <c r="J386" s="6" t="s">
        <v>941</v>
      </c>
    </row>
    <row r="387" spans="1:10" ht="30" customHeight="1" x14ac:dyDescent="0.25">
      <c r="A387" s="6" t="s">
        <v>368</v>
      </c>
      <c r="B387" s="5">
        <v>6</v>
      </c>
      <c r="C387" s="5"/>
      <c r="D387" s="6" t="s">
        <v>116</v>
      </c>
      <c r="E387" s="7">
        <v>35</v>
      </c>
      <c r="F387" s="5" t="s">
        <v>493</v>
      </c>
      <c r="G387" s="5" t="s">
        <v>389</v>
      </c>
      <c r="H387" s="7">
        <v>14</v>
      </c>
      <c r="I387" s="9">
        <v>0.2</v>
      </c>
      <c r="J387" s="6" t="s">
        <v>942</v>
      </c>
    </row>
    <row r="388" spans="1:10" ht="30" customHeight="1" x14ac:dyDescent="0.25">
      <c r="A388" s="6" t="s">
        <v>368</v>
      </c>
      <c r="B388" s="5">
        <v>6</v>
      </c>
      <c r="C388" s="5"/>
      <c r="D388" s="6" t="s">
        <v>116</v>
      </c>
      <c r="E388" s="7">
        <v>35</v>
      </c>
      <c r="F388" s="5" t="s">
        <v>302</v>
      </c>
      <c r="G388" s="5" t="s">
        <v>303</v>
      </c>
      <c r="H388" s="7">
        <v>3.5</v>
      </c>
      <c r="I388" s="9">
        <v>0.1</v>
      </c>
      <c r="J388" s="6" t="s">
        <v>943</v>
      </c>
    </row>
    <row r="389" spans="1:10" ht="30" customHeight="1" x14ac:dyDescent="0.25">
      <c r="A389" s="6" t="s">
        <v>368</v>
      </c>
      <c r="B389" s="5">
        <v>6</v>
      </c>
      <c r="C389" s="5"/>
      <c r="D389" s="6" t="s">
        <v>116</v>
      </c>
      <c r="E389" s="7">
        <v>35</v>
      </c>
      <c r="F389" s="5" t="s">
        <v>623</v>
      </c>
      <c r="G389" s="5" t="s">
        <v>303</v>
      </c>
      <c r="H389" s="7">
        <v>3.5</v>
      </c>
      <c r="I389" s="9">
        <v>0.1</v>
      </c>
      <c r="J389" s="6" t="s">
        <v>944</v>
      </c>
    </row>
    <row r="390" spans="1:10" ht="30" customHeight="1" x14ac:dyDescent="0.25">
      <c r="A390" s="6" t="s">
        <v>368</v>
      </c>
      <c r="B390" s="5">
        <v>7</v>
      </c>
      <c r="C390" s="5"/>
      <c r="D390" s="6" t="s">
        <v>116</v>
      </c>
      <c r="E390" s="7">
        <v>1280</v>
      </c>
      <c r="F390" s="5" t="s">
        <v>493</v>
      </c>
      <c r="G390" s="5" t="s">
        <v>384</v>
      </c>
      <c r="H390" s="7">
        <v>512</v>
      </c>
      <c r="I390" s="9">
        <v>0.4</v>
      </c>
      <c r="J390" s="6" t="s">
        <v>941</v>
      </c>
    </row>
    <row r="391" spans="1:10" ht="30" customHeight="1" x14ac:dyDescent="0.25">
      <c r="A391" s="6" t="s">
        <v>368</v>
      </c>
      <c r="B391" s="5">
        <v>7</v>
      </c>
      <c r="C391" s="5"/>
      <c r="D391" s="6" t="s">
        <v>116</v>
      </c>
      <c r="E391" s="7">
        <v>1280</v>
      </c>
      <c r="F391" s="5" t="s">
        <v>493</v>
      </c>
      <c r="G391" s="5" t="s">
        <v>389</v>
      </c>
      <c r="H391" s="7">
        <v>512</v>
      </c>
      <c r="I391" s="9">
        <v>0.4</v>
      </c>
      <c r="J391" s="6" t="s">
        <v>942</v>
      </c>
    </row>
    <row r="392" spans="1:10" ht="30" customHeight="1" x14ac:dyDescent="0.25">
      <c r="A392" s="6" t="s">
        <v>368</v>
      </c>
      <c r="B392" s="5">
        <v>7</v>
      </c>
      <c r="C392" s="5"/>
      <c r="D392" s="6" t="s">
        <v>116</v>
      </c>
      <c r="E392" s="7">
        <v>1280</v>
      </c>
      <c r="F392" s="5" t="s">
        <v>302</v>
      </c>
      <c r="G392" s="5" t="s">
        <v>303</v>
      </c>
      <c r="H392" s="7">
        <v>128</v>
      </c>
      <c r="I392" s="9">
        <v>0.1</v>
      </c>
      <c r="J392" s="6" t="s">
        <v>943</v>
      </c>
    </row>
    <row r="393" spans="1:10" ht="30" customHeight="1" x14ac:dyDescent="0.25">
      <c r="A393" s="6" t="s">
        <v>368</v>
      </c>
      <c r="B393" s="5">
        <v>7</v>
      </c>
      <c r="C393" s="5"/>
      <c r="D393" s="6" t="s">
        <v>116</v>
      </c>
      <c r="E393" s="7">
        <v>1280</v>
      </c>
      <c r="F393" s="5" t="s">
        <v>623</v>
      </c>
      <c r="G393" s="5" t="s">
        <v>303</v>
      </c>
      <c r="H393" s="7">
        <v>128</v>
      </c>
      <c r="I393" s="9">
        <v>0.1</v>
      </c>
      <c r="J393" s="6" t="s">
        <v>944</v>
      </c>
    </row>
    <row r="394" spans="1:10" ht="30" customHeight="1" x14ac:dyDescent="0.25">
      <c r="A394" s="6" t="s">
        <v>368</v>
      </c>
      <c r="B394" s="5">
        <v>8</v>
      </c>
      <c r="C394" s="5"/>
      <c r="D394" s="6" t="s">
        <v>116</v>
      </c>
      <c r="E394" s="7">
        <v>335</v>
      </c>
      <c r="F394" s="5" t="s">
        <v>493</v>
      </c>
      <c r="G394" s="5" t="s">
        <v>384</v>
      </c>
      <c r="H394" s="7">
        <v>134</v>
      </c>
      <c r="I394" s="9">
        <v>0.4</v>
      </c>
      <c r="J394" s="6" t="s">
        <v>941</v>
      </c>
    </row>
    <row r="395" spans="1:10" ht="30" customHeight="1" x14ac:dyDescent="0.25">
      <c r="A395" s="6" t="s">
        <v>368</v>
      </c>
      <c r="B395" s="5">
        <v>8</v>
      </c>
      <c r="C395" s="5"/>
      <c r="D395" s="6" t="s">
        <v>116</v>
      </c>
      <c r="E395" s="7">
        <v>335</v>
      </c>
      <c r="F395" s="5" t="s">
        <v>493</v>
      </c>
      <c r="G395" s="5" t="s">
        <v>389</v>
      </c>
      <c r="H395" s="7">
        <v>134</v>
      </c>
      <c r="I395" s="9">
        <v>0.4</v>
      </c>
      <c r="J395" s="6" t="s">
        <v>942</v>
      </c>
    </row>
    <row r="396" spans="1:10" ht="30" customHeight="1" x14ac:dyDescent="0.25">
      <c r="A396" s="6" t="s">
        <v>368</v>
      </c>
      <c r="B396" s="5">
        <v>8</v>
      </c>
      <c r="C396" s="5"/>
      <c r="D396" s="6" t="s">
        <v>116</v>
      </c>
      <c r="E396" s="7">
        <v>335</v>
      </c>
      <c r="F396" s="5" t="s">
        <v>302</v>
      </c>
      <c r="G396" s="5" t="s">
        <v>303</v>
      </c>
      <c r="H396" s="7">
        <v>33.5</v>
      </c>
      <c r="I396" s="9">
        <v>0.1</v>
      </c>
      <c r="J396" s="6" t="s">
        <v>943</v>
      </c>
    </row>
    <row r="397" spans="1:10" ht="30" customHeight="1" x14ac:dyDescent="0.25">
      <c r="A397" s="6" t="s">
        <v>368</v>
      </c>
      <c r="B397" s="5">
        <v>8</v>
      </c>
      <c r="C397" s="5"/>
      <c r="D397" s="6" t="s">
        <v>116</v>
      </c>
      <c r="E397" s="7">
        <v>335</v>
      </c>
      <c r="F397" s="5" t="s">
        <v>623</v>
      </c>
      <c r="G397" s="5" t="s">
        <v>303</v>
      </c>
      <c r="H397" s="7">
        <v>33.5</v>
      </c>
      <c r="I397" s="9">
        <v>0.1</v>
      </c>
      <c r="J397" s="6" t="s">
        <v>944</v>
      </c>
    </row>
    <row r="398" spans="1:10" ht="30" customHeight="1" x14ac:dyDescent="0.25">
      <c r="A398" s="6" t="s">
        <v>368</v>
      </c>
      <c r="B398" s="5">
        <v>9</v>
      </c>
      <c r="C398" s="5"/>
      <c r="D398" s="6" t="s">
        <v>92</v>
      </c>
      <c r="E398" s="7">
        <v>3085</v>
      </c>
      <c r="F398" s="5" t="s">
        <v>493</v>
      </c>
      <c r="G398" s="5" t="s">
        <v>384</v>
      </c>
      <c r="H398" s="7">
        <v>1234</v>
      </c>
      <c r="I398" s="9">
        <v>0.4</v>
      </c>
      <c r="J398" s="6" t="s">
        <v>941</v>
      </c>
    </row>
    <row r="399" spans="1:10" ht="30" customHeight="1" x14ac:dyDescent="0.25">
      <c r="A399" s="6" t="s">
        <v>368</v>
      </c>
      <c r="B399" s="5">
        <v>9</v>
      </c>
      <c r="C399" s="5"/>
      <c r="D399" s="6" t="s">
        <v>92</v>
      </c>
      <c r="E399" s="7">
        <v>3085</v>
      </c>
      <c r="F399" s="5" t="s">
        <v>493</v>
      </c>
      <c r="G399" s="5" t="s">
        <v>389</v>
      </c>
      <c r="H399" s="7">
        <v>1234</v>
      </c>
      <c r="I399" s="9">
        <v>0.4</v>
      </c>
      <c r="J399" s="6" t="s">
        <v>942</v>
      </c>
    </row>
    <row r="400" spans="1:10" ht="30" customHeight="1" x14ac:dyDescent="0.25">
      <c r="A400" s="6" t="s">
        <v>368</v>
      </c>
      <c r="B400" s="5">
        <v>9</v>
      </c>
      <c r="C400" s="5"/>
      <c r="D400" s="6" t="s">
        <v>92</v>
      </c>
      <c r="E400" s="7">
        <v>3085</v>
      </c>
      <c r="F400" s="5" t="s">
        <v>302</v>
      </c>
      <c r="G400" s="5" t="s">
        <v>303</v>
      </c>
      <c r="H400" s="7">
        <v>308.5</v>
      </c>
      <c r="I400" s="9">
        <v>0.1</v>
      </c>
      <c r="J400" s="6" t="s">
        <v>943</v>
      </c>
    </row>
    <row r="401" spans="1:10" ht="30" customHeight="1" x14ac:dyDescent="0.25">
      <c r="A401" s="6" t="s">
        <v>368</v>
      </c>
      <c r="B401" s="5">
        <v>9</v>
      </c>
      <c r="C401" s="5"/>
      <c r="D401" s="6" t="s">
        <v>92</v>
      </c>
      <c r="E401" s="7">
        <v>3085</v>
      </c>
      <c r="F401" s="5" t="s">
        <v>623</v>
      </c>
      <c r="G401" s="5" t="s">
        <v>303</v>
      </c>
      <c r="H401" s="7">
        <v>308.5</v>
      </c>
      <c r="I401" s="9">
        <v>0.1</v>
      </c>
      <c r="J401" s="6" t="s">
        <v>944</v>
      </c>
    </row>
    <row r="402" spans="1:10" ht="30" customHeight="1" x14ac:dyDescent="0.25">
      <c r="A402" s="6" t="s">
        <v>368</v>
      </c>
      <c r="B402" s="5">
        <v>10</v>
      </c>
      <c r="C402" s="5"/>
      <c r="D402" s="6" t="s">
        <v>92</v>
      </c>
      <c r="E402" s="7">
        <v>1060</v>
      </c>
      <c r="F402" s="5" t="s">
        <v>493</v>
      </c>
      <c r="G402" s="5" t="s">
        <v>384</v>
      </c>
      <c r="H402" s="7">
        <v>424</v>
      </c>
      <c r="I402" s="9">
        <v>0.4</v>
      </c>
      <c r="J402" s="6" t="s">
        <v>941</v>
      </c>
    </row>
    <row r="403" spans="1:10" ht="30" customHeight="1" x14ac:dyDescent="0.25">
      <c r="A403" s="6" t="s">
        <v>368</v>
      </c>
      <c r="B403" s="5">
        <v>10</v>
      </c>
      <c r="C403" s="5"/>
      <c r="D403" s="6" t="s">
        <v>92</v>
      </c>
      <c r="E403" s="7">
        <v>1060</v>
      </c>
      <c r="F403" s="5" t="s">
        <v>493</v>
      </c>
      <c r="G403" s="5" t="s">
        <v>389</v>
      </c>
      <c r="H403" s="7">
        <v>424</v>
      </c>
      <c r="I403" s="9">
        <v>0.4</v>
      </c>
      <c r="J403" s="6" t="s">
        <v>942</v>
      </c>
    </row>
    <row r="404" spans="1:10" ht="30" customHeight="1" x14ac:dyDescent="0.25">
      <c r="A404" s="6" t="s">
        <v>368</v>
      </c>
      <c r="B404" s="5">
        <v>10</v>
      </c>
      <c r="C404" s="5"/>
      <c r="D404" s="6" t="s">
        <v>92</v>
      </c>
      <c r="E404" s="7">
        <v>1060</v>
      </c>
      <c r="F404" s="5" t="s">
        <v>302</v>
      </c>
      <c r="G404" s="5" t="s">
        <v>303</v>
      </c>
      <c r="H404" s="7">
        <v>106</v>
      </c>
      <c r="I404" s="9">
        <v>0.1</v>
      </c>
      <c r="J404" s="6" t="s">
        <v>943</v>
      </c>
    </row>
    <row r="405" spans="1:10" ht="30" customHeight="1" x14ac:dyDescent="0.25">
      <c r="A405" s="6" t="s">
        <v>368</v>
      </c>
      <c r="B405" s="5">
        <v>10</v>
      </c>
      <c r="C405" s="5"/>
      <c r="D405" s="6" t="s">
        <v>92</v>
      </c>
      <c r="E405" s="7">
        <v>1060</v>
      </c>
      <c r="F405" s="5" t="s">
        <v>623</v>
      </c>
      <c r="G405" s="5" t="s">
        <v>303</v>
      </c>
      <c r="H405" s="7">
        <v>106</v>
      </c>
      <c r="I405" s="9">
        <v>0.1</v>
      </c>
      <c r="J405" s="6" t="s">
        <v>944</v>
      </c>
    </row>
    <row r="406" spans="1:10" ht="30" customHeight="1" x14ac:dyDescent="0.25">
      <c r="A406" s="6" t="s">
        <v>368</v>
      </c>
      <c r="B406" s="5">
        <v>11</v>
      </c>
      <c r="C406" s="5"/>
      <c r="D406" s="6" t="s">
        <v>92</v>
      </c>
      <c r="E406" s="7">
        <v>40</v>
      </c>
      <c r="F406" s="5" t="s">
        <v>493</v>
      </c>
      <c r="G406" s="5" t="s">
        <v>384</v>
      </c>
      <c r="H406" s="7">
        <v>16</v>
      </c>
      <c r="I406" s="9">
        <v>0.2</v>
      </c>
      <c r="J406" s="6" t="s">
        <v>941</v>
      </c>
    </row>
    <row r="407" spans="1:10" ht="30" customHeight="1" x14ac:dyDescent="0.25">
      <c r="A407" s="6" t="s">
        <v>368</v>
      </c>
      <c r="B407" s="5">
        <v>11</v>
      </c>
      <c r="C407" s="5"/>
      <c r="D407" s="6" t="s">
        <v>92</v>
      </c>
      <c r="E407" s="7">
        <v>40</v>
      </c>
      <c r="F407" s="5" t="s">
        <v>493</v>
      </c>
      <c r="G407" s="5" t="s">
        <v>389</v>
      </c>
      <c r="H407" s="7">
        <v>16</v>
      </c>
      <c r="I407" s="9">
        <v>0.2</v>
      </c>
      <c r="J407" s="6" t="s">
        <v>942</v>
      </c>
    </row>
    <row r="408" spans="1:10" ht="30" customHeight="1" x14ac:dyDescent="0.25">
      <c r="A408" s="6" t="s">
        <v>368</v>
      </c>
      <c r="B408" s="5">
        <v>11</v>
      </c>
      <c r="C408" s="5"/>
      <c r="D408" s="6" t="s">
        <v>92</v>
      </c>
      <c r="E408" s="7">
        <v>40</v>
      </c>
      <c r="F408" s="5" t="s">
        <v>302</v>
      </c>
      <c r="G408" s="5" t="s">
        <v>303</v>
      </c>
      <c r="H408" s="7">
        <v>4</v>
      </c>
      <c r="I408" s="9">
        <v>0.1</v>
      </c>
      <c r="J408" s="6" t="s">
        <v>943</v>
      </c>
    </row>
    <row r="409" spans="1:10" ht="30" customHeight="1" x14ac:dyDescent="0.25">
      <c r="A409" s="6" t="s">
        <v>368</v>
      </c>
      <c r="B409" s="5">
        <v>11</v>
      </c>
      <c r="C409" s="5"/>
      <c r="D409" s="6" t="s">
        <v>92</v>
      </c>
      <c r="E409" s="7">
        <v>40</v>
      </c>
      <c r="F409" s="5" t="s">
        <v>623</v>
      </c>
      <c r="G409" s="5" t="s">
        <v>303</v>
      </c>
      <c r="H409" s="7">
        <v>4</v>
      </c>
      <c r="I409" s="9">
        <v>0.1</v>
      </c>
      <c r="J409" s="6" t="s">
        <v>944</v>
      </c>
    </row>
    <row r="410" spans="1:10" ht="30" customHeight="1" x14ac:dyDescent="0.25">
      <c r="A410" s="6" t="s">
        <v>368</v>
      </c>
      <c r="B410" s="5">
        <v>12</v>
      </c>
      <c r="C410" s="5"/>
      <c r="D410" s="6" t="s">
        <v>92</v>
      </c>
      <c r="E410" s="7">
        <v>65</v>
      </c>
      <c r="F410" s="5" t="s">
        <v>493</v>
      </c>
      <c r="G410" s="5" t="s">
        <v>384</v>
      </c>
      <c r="H410" s="7">
        <v>26</v>
      </c>
      <c r="I410" s="9">
        <v>0.2</v>
      </c>
      <c r="J410" s="6" t="s">
        <v>941</v>
      </c>
    </row>
    <row r="411" spans="1:10" ht="30" customHeight="1" x14ac:dyDescent="0.25">
      <c r="A411" s="6" t="s">
        <v>368</v>
      </c>
      <c r="B411" s="5">
        <v>12</v>
      </c>
      <c r="C411" s="5"/>
      <c r="D411" s="6" t="s">
        <v>92</v>
      </c>
      <c r="E411" s="7">
        <v>65</v>
      </c>
      <c r="F411" s="5" t="s">
        <v>493</v>
      </c>
      <c r="G411" s="5" t="s">
        <v>389</v>
      </c>
      <c r="H411" s="7">
        <v>26</v>
      </c>
      <c r="I411" s="9">
        <v>0.2</v>
      </c>
      <c r="J411" s="6" t="s">
        <v>942</v>
      </c>
    </row>
    <row r="412" spans="1:10" ht="30" customHeight="1" x14ac:dyDescent="0.25">
      <c r="A412" s="6" t="s">
        <v>368</v>
      </c>
      <c r="B412" s="5">
        <v>12</v>
      </c>
      <c r="C412" s="5"/>
      <c r="D412" s="6" t="s">
        <v>92</v>
      </c>
      <c r="E412" s="7">
        <v>65</v>
      </c>
      <c r="F412" s="5" t="s">
        <v>302</v>
      </c>
      <c r="G412" s="5" t="s">
        <v>303</v>
      </c>
      <c r="H412" s="7">
        <v>6.5</v>
      </c>
      <c r="I412" s="9">
        <v>0.1</v>
      </c>
      <c r="J412" s="6" t="s">
        <v>943</v>
      </c>
    </row>
    <row r="413" spans="1:10" ht="30" customHeight="1" x14ac:dyDescent="0.25">
      <c r="A413" s="6" t="s">
        <v>368</v>
      </c>
      <c r="B413" s="5">
        <v>12</v>
      </c>
      <c r="C413" s="5"/>
      <c r="D413" s="6" t="s">
        <v>92</v>
      </c>
      <c r="E413" s="7">
        <v>65</v>
      </c>
      <c r="F413" s="5" t="s">
        <v>623</v>
      </c>
      <c r="G413" s="5" t="s">
        <v>303</v>
      </c>
      <c r="H413" s="7">
        <v>6.5</v>
      </c>
      <c r="I413" s="9">
        <v>0.1</v>
      </c>
      <c r="J413" s="6" t="s">
        <v>944</v>
      </c>
    </row>
    <row r="414" spans="1:10" ht="30" customHeight="1" x14ac:dyDescent="0.25">
      <c r="A414" s="6" t="s">
        <v>368</v>
      </c>
      <c r="B414" s="5">
        <v>13</v>
      </c>
      <c r="C414" s="5"/>
      <c r="D414" s="6" t="s">
        <v>92</v>
      </c>
      <c r="E414" s="7">
        <v>10</v>
      </c>
      <c r="F414" s="5" t="s">
        <v>493</v>
      </c>
      <c r="G414" s="5" t="s">
        <v>303</v>
      </c>
      <c r="H414" s="7">
        <v>8</v>
      </c>
      <c r="I414" s="9">
        <v>0.8</v>
      </c>
      <c r="J414" s="6" t="s">
        <v>948</v>
      </c>
    </row>
    <row r="415" spans="1:10" ht="30" customHeight="1" x14ac:dyDescent="0.25">
      <c r="A415" s="6" t="s">
        <v>368</v>
      </c>
      <c r="B415" s="5">
        <v>13</v>
      </c>
      <c r="C415" s="5"/>
      <c r="D415" s="6" t="s">
        <v>92</v>
      </c>
      <c r="E415" s="7">
        <v>10</v>
      </c>
      <c r="F415" s="5" t="s">
        <v>302</v>
      </c>
      <c r="G415" s="5" t="s">
        <v>303</v>
      </c>
      <c r="H415" s="7">
        <v>1</v>
      </c>
      <c r="I415" s="9">
        <v>0.1</v>
      </c>
      <c r="J415" s="6" t="s">
        <v>949</v>
      </c>
    </row>
    <row r="416" spans="1:10" ht="30" customHeight="1" x14ac:dyDescent="0.25">
      <c r="A416" s="6" t="s">
        <v>368</v>
      </c>
      <c r="B416" s="5">
        <v>13</v>
      </c>
      <c r="C416" s="5"/>
      <c r="D416" s="6" t="s">
        <v>92</v>
      </c>
      <c r="E416" s="7">
        <v>10</v>
      </c>
      <c r="F416" s="5" t="s">
        <v>623</v>
      </c>
      <c r="G416" s="5" t="s">
        <v>303</v>
      </c>
      <c r="H416" s="7">
        <v>1</v>
      </c>
      <c r="I416" s="9">
        <v>0.1</v>
      </c>
      <c r="J416" s="6" t="s">
        <v>950</v>
      </c>
    </row>
    <row r="417" spans="1:10" ht="30" customHeight="1" x14ac:dyDescent="0.25">
      <c r="A417" s="6" t="s">
        <v>368</v>
      </c>
      <c r="B417" s="5">
        <v>14</v>
      </c>
      <c r="C417" s="5"/>
      <c r="D417" s="6" t="s">
        <v>92</v>
      </c>
      <c r="E417" s="7">
        <v>10</v>
      </c>
      <c r="F417" s="5" t="s">
        <v>493</v>
      </c>
      <c r="G417" s="5" t="s">
        <v>303</v>
      </c>
      <c r="H417" s="7">
        <v>8</v>
      </c>
      <c r="I417" s="9">
        <v>0.8</v>
      </c>
      <c r="J417" s="6" t="s">
        <v>948</v>
      </c>
    </row>
    <row r="418" spans="1:10" ht="30" customHeight="1" x14ac:dyDescent="0.25">
      <c r="A418" s="6" t="s">
        <v>368</v>
      </c>
      <c r="B418" s="5">
        <v>14</v>
      </c>
      <c r="C418" s="5"/>
      <c r="D418" s="6" t="s">
        <v>92</v>
      </c>
      <c r="E418" s="7">
        <v>10</v>
      </c>
      <c r="F418" s="5" t="s">
        <v>302</v>
      </c>
      <c r="G418" s="5" t="s">
        <v>303</v>
      </c>
      <c r="H418" s="7">
        <v>1</v>
      </c>
      <c r="I418" s="9">
        <v>0.1</v>
      </c>
      <c r="J418" s="6" t="s">
        <v>949</v>
      </c>
    </row>
    <row r="419" spans="1:10" ht="30" customHeight="1" x14ac:dyDescent="0.25">
      <c r="A419" s="6" t="s">
        <v>368</v>
      </c>
      <c r="B419" s="5">
        <v>14</v>
      </c>
      <c r="C419" s="5"/>
      <c r="D419" s="6" t="s">
        <v>92</v>
      </c>
      <c r="E419" s="7">
        <v>10</v>
      </c>
      <c r="F419" s="5" t="s">
        <v>623</v>
      </c>
      <c r="G419" s="5" t="s">
        <v>303</v>
      </c>
      <c r="H419" s="7">
        <v>1</v>
      </c>
      <c r="I419" s="9">
        <v>0.1</v>
      </c>
      <c r="J419" s="6" t="s">
        <v>950</v>
      </c>
    </row>
    <row r="420" spans="1:10" ht="30" customHeight="1" x14ac:dyDescent="0.25">
      <c r="A420" s="6" t="s">
        <v>368</v>
      </c>
      <c r="B420" s="5">
        <v>15</v>
      </c>
      <c r="C420" s="5"/>
      <c r="D420" s="6" t="s">
        <v>103</v>
      </c>
      <c r="E420" s="7">
        <v>205</v>
      </c>
      <c r="F420" s="5" t="s">
        <v>493</v>
      </c>
      <c r="G420" s="5" t="s">
        <v>384</v>
      </c>
      <c r="H420" s="7">
        <v>71.75</v>
      </c>
      <c r="I420" s="9">
        <v>0.35</v>
      </c>
      <c r="J420" s="6" t="s">
        <v>951</v>
      </c>
    </row>
    <row r="421" spans="1:10" ht="30" customHeight="1" x14ac:dyDescent="0.25">
      <c r="A421" s="6" t="s">
        <v>368</v>
      </c>
      <c r="B421" s="5">
        <v>15</v>
      </c>
      <c r="C421" s="5"/>
      <c r="D421" s="6" t="s">
        <v>103</v>
      </c>
      <c r="E421" s="7">
        <v>205</v>
      </c>
      <c r="F421" s="5" t="s">
        <v>493</v>
      </c>
      <c r="G421" s="5" t="s">
        <v>389</v>
      </c>
      <c r="H421" s="7">
        <v>71.75</v>
      </c>
      <c r="I421" s="9">
        <v>0.35</v>
      </c>
      <c r="J421" s="6" t="s">
        <v>952</v>
      </c>
    </row>
    <row r="422" spans="1:10" ht="30" customHeight="1" x14ac:dyDescent="0.25">
      <c r="A422" s="6" t="s">
        <v>368</v>
      </c>
      <c r="B422" s="5">
        <v>15</v>
      </c>
      <c r="C422" s="5"/>
      <c r="D422" s="6" t="s">
        <v>103</v>
      </c>
      <c r="E422" s="7">
        <v>205</v>
      </c>
      <c r="F422" s="5" t="s">
        <v>383</v>
      </c>
      <c r="G422" s="5" t="s">
        <v>384</v>
      </c>
      <c r="H422" s="7">
        <v>20.5</v>
      </c>
      <c r="I422" s="9">
        <v>0.1</v>
      </c>
      <c r="J422" s="6" t="s">
        <v>953</v>
      </c>
    </row>
    <row r="423" spans="1:10" ht="30" customHeight="1" x14ac:dyDescent="0.25">
      <c r="A423" s="6" t="s">
        <v>368</v>
      </c>
      <c r="B423" s="5">
        <v>15</v>
      </c>
      <c r="C423" s="5"/>
      <c r="D423" s="6" t="s">
        <v>103</v>
      </c>
      <c r="E423" s="7">
        <v>205</v>
      </c>
      <c r="F423" s="5" t="s">
        <v>405</v>
      </c>
      <c r="G423" s="5" t="s">
        <v>384</v>
      </c>
      <c r="H423" s="7">
        <v>20.5</v>
      </c>
      <c r="I423" s="9">
        <v>0.1</v>
      </c>
      <c r="J423" s="6" t="s">
        <v>954</v>
      </c>
    </row>
    <row r="424" spans="1:10" ht="30" customHeight="1" x14ac:dyDescent="0.25">
      <c r="A424" s="6" t="s">
        <v>368</v>
      </c>
      <c r="B424" s="5">
        <v>15</v>
      </c>
      <c r="C424" s="5"/>
      <c r="D424" s="6" t="s">
        <v>103</v>
      </c>
      <c r="E424" s="7">
        <v>205</v>
      </c>
      <c r="F424" s="5" t="s">
        <v>422</v>
      </c>
      <c r="G424" s="5" t="s">
        <v>384</v>
      </c>
      <c r="H424" s="7">
        <v>20.5</v>
      </c>
      <c r="I424" s="9">
        <v>0.1</v>
      </c>
      <c r="J424" s="6" t="s">
        <v>955</v>
      </c>
    </row>
    <row r="425" spans="1:10" ht="30" customHeight="1" x14ac:dyDescent="0.25">
      <c r="A425" s="6" t="s">
        <v>368</v>
      </c>
      <c r="B425" s="5">
        <v>15</v>
      </c>
      <c r="C425" s="5"/>
      <c r="D425" s="6" t="s">
        <v>103</v>
      </c>
      <c r="E425" s="7">
        <v>205</v>
      </c>
      <c r="F425" s="5" t="s">
        <v>439</v>
      </c>
      <c r="G425" s="5" t="s">
        <v>384</v>
      </c>
      <c r="H425" s="7">
        <v>20.5</v>
      </c>
      <c r="I425" s="9">
        <v>0.1</v>
      </c>
      <c r="J425" s="6" t="s">
        <v>956</v>
      </c>
    </row>
    <row r="426" spans="1:10" ht="30" customHeight="1" x14ac:dyDescent="0.25">
      <c r="A426" s="6" t="s">
        <v>368</v>
      </c>
      <c r="B426" s="5">
        <v>15</v>
      </c>
      <c r="C426" s="5"/>
      <c r="D426" s="6" t="s">
        <v>103</v>
      </c>
      <c r="E426" s="7">
        <v>205</v>
      </c>
      <c r="F426" s="5" t="s">
        <v>455</v>
      </c>
      <c r="G426" s="5" t="s">
        <v>384</v>
      </c>
      <c r="H426" s="7">
        <v>20.5</v>
      </c>
      <c r="I426" s="9">
        <v>0.1</v>
      </c>
      <c r="J426" s="6" t="s">
        <v>957</v>
      </c>
    </row>
    <row r="427" spans="1:10" ht="30" customHeight="1" x14ac:dyDescent="0.25">
      <c r="A427" s="6" t="s">
        <v>368</v>
      </c>
      <c r="B427" s="5">
        <v>15</v>
      </c>
      <c r="C427" s="5"/>
      <c r="D427" s="6" t="s">
        <v>103</v>
      </c>
      <c r="E427" s="7">
        <v>205</v>
      </c>
      <c r="F427" s="5" t="s">
        <v>383</v>
      </c>
      <c r="G427" s="5" t="s">
        <v>389</v>
      </c>
      <c r="H427" s="7">
        <v>20.5</v>
      </c>
      <c r="I427" s="9">
        <v>0.1</v>
      </c>
      <c r="J427" s="6" t="s">
        <v>958</v>
      </c>
    </row>
    <row r="428" spans="1:10" ht="30" customHeight="1" x14ac:dyDescent="0.25">
      <c r="A428" s="6" t="s">
        <v>368</v>
      </c>
      <c r="B428" s="5">
        <v>15</v>
      </c>
      <c r="C428" s="5"/>
      <c r="D428" s="6" t="s">
        <v>103</v>
      </c>
      <c r="E428" s="7">
        <v>205</v>
      </c>
      <c r="F428" s="5" t="s">
        <v>405</v>
      </c>
      <c r="G428" s="5" t="s">
        <v>389</v>
      </c>
      <c r="H428" s="7">
        <v>20.5</v>
      </c>
      <c r="I428" s="9">
        <v>0.1</v>
      </c>
      <c r="J428" s="6" t="s">
        <v>959</v>
      </c>
    </row>
    <row r="429" spans="1:10" ht="30" customHeight="1" x14ac:dyDescent="0.25">
      <c r="A429" s="6" t="s">
        <v>368</v>
      </c>
      <c r="B429" s="5">
        <v>15</v>
      </c>
      <c r="C429" s="5"/>
      <c r="D429" s="6" t="s">
        <v>103</v>
      </c>
      <c r="E429" s="7">
        <v>205</v>
      </c>
      <c r="F429" s="5" t="s">
        <v>422</v>
      </c>
      <c r="G429" s="5" t="s">
        <v>389</v>
      </c>
      <c r="H429" s="7">
        <v>20.5</v>
      </c>
      <c r="I429" s="9">
        <v>0.1</v>
      </c>
      <c r="J429" s="6" t="s">
        <v>960</v>
      </c>
    </row>
    <row r="430" spans="1:10" ht="30" customHeight="1" x14ac:dyDescent="0.25">
      <c r="A430" s="6" t="s">
        <v>368</v>
      </c>
      <c r="B430" s="5">
        <v>15</v>
      </c>
      <c r="C430" s="5"/>
      <c r="D430" s="6" t="s">
        <v>103</v>
      </c>
      <c r="E430" s="7">
        <v>205</v>
      </c>
      <c r="F430" s="5" t="s">
        <v>439</v>
      </c>
      <c r="G430" s="5" t="s">
        <v>389</v>
      </c>
      <c r="H430" s="7">
        <v>20.5</v>
      </c>
      <c r="I430" s="9">
        <v>0.1</v>
      </c>
      <c r="J430" s="6" t="s">
        <v>961</v>
      </c>
    </row>
    <row r="431" spans="1:10" ht="30" customHeight="1" x14ac:dyDescent="0.25">
      <c r="A431" s="6" t="s">
        <v>368</v>
      </c>
      <c r="B431" s="5">
        <v>15</v>
      </c>
      <c r="C431" s="5"/>
      <c r="D431" s="6" t="s">
        <v>103</v>
      </c>
      <c r="E431" s="7">
        <v>205</v>
      </c>
      <c r="F431" s="5" t="s">
        <v>455</v>
      </c>
      <c r="G431" s="5" t="s">
        <v>389</v>
      </c>
      <c r="H431" s="7">
        <v>20.5</v>
      </c>
      <c r="I431" s="9">
        <v>0.1</v>
      </c>
      <c r="J431" s="6" t="s">
        <v>962</v>
      </c>
    </row>
    <row r="432" spans="1:10" ht="30" customHeight="1" x14ac:dyDescent="0.25">
      <c r="A432" s="6" t="s">
        <v>368</v>
      </c>
      <c r="B432" s="5">
        <v>15</v>
      </c>
      <c r="C432" s="5"/>
      <c r="D432" s="6" t="s">
        <v>103</v>
      </c>
      <c r="E432" s="7">
        <v>205</v>
      </c>
      <c r="F432" s="5" t="s">
        <v>302</v>
      </c>
      <c r="G432" s="5" t="s">
        <v>303</v>
      </c>
      <c r="H432" s="7">
        <v>20.5</v>
      </c>
      <c r="I432" s="9">
        <v>0.1</v>
      </c>
      <c r="J432" s="6" t="s">
        <v>963</v>
      </c>
    </row>
    <row r="433" spans="1:10" ht="30" customHeight="1" x14ac:dyDescent="0.25">
      <c r="A433" s="6" t="s">
        <v>368</v>
      </c>
      <c r="B433" s="5">
        <v>16</v>
      </c>
      <c r="C433" s="5"/>
      <c r="D433" s="6" t="s">
        <v>103</v>
      </c>
      <c r="E433" s="7">
        <v>2555</v>
      </c>
      <c r="F433" s="5" t="s">
        <v>493</v>
      </c>
      <c r="G433" s="5" t="s">
        <v>384</v>
      </c>
      <c r="H433" s="7">
        <v>894.25</v>
      </c>
      <c r="I433" s="9">
        <v>0.35</v>
      </c>
      <c r="J433" s="6" t="s">
        <v>951</v>
      </c>
    </row>
    <row r="434" spans="1:10" ht="30" customHeight="1" x14ac:dyDescent="0.25">
      <c r="A434" s="6" t="s">
        <v>368</v>
      </c>
      <c r="B434" s="5">
        <v>16</v>
      </c>
      <c r="C434" s="5"/>
      <c r="D434" s="6" t="s">
        <v>103</v>
      </c>
      <c r="E434" s="7">
        <v>2555</v>
      </c>
      <c r="F434" s="5" t="s">
        <v>493</v>
      </c>
      <c r="G434" s="5" t="s">
        <v>389</v>
      </c>
      <c r="H434" s="7">
        <v>894.25</v>
      </c>
      <c r="I434" s="9">
        <v>0.35</v>
      </c>
      <c r="J434" s="6" t="s">
        <v>952</v>
      </c>
    </row>
    <row r="435" spans="1:10" ht="30" customHeight="1" x14ac:dyDescent="0.25">
      <c r="A435" s="6" t="s">
        <v>368</v>
      </c>
      <c r="B435" s="5">
        <v>16</v>
      </c>
      <c r="C435" s="5"/>
      <c r="D435" s="6" t="s">
        <v>103</v>
      </c>
      <c r="E435" s="7">
        <v>2555</v>
      </c>
      <c r="F435" s="5" t="s">
        <v>383</v>
      </c>
      <c r="G435" s="5" t="s">
        <v>384</v>
      </c>
      <c r="H435" s="7">
        <v>255.5</v>
      </c>
      <c r="I435" s="9">
        <v>0.1</v>
      </c>
      <c r="J435" s="6" t="s">
        <v>953</v>
      </c>
    </row>
    <row r="436" spans="1:10" ht="30" customHeight="1" x14ac:dyDescent="0.25">
      <c r="A436" s="6" t="s">
        <v>368</v>
      </c>
      <c r="B436" s="5">
        <v>16</v>
      </c>
      <c r="C436" s="5"/>
      <c r="D436" s="6" t="s">
        <v>103</v>
      </c>
      <c r="E436" s="7">
        <v>2555</v>
      </c>
      <c r="F436" s="5" t="s">
        <v>405</v>
      </c>
      <c r="G436" s="5" t="s">
        <v>384</v>
      </c>
      <c r="H436" s="7">
        <v>255.5</v>
      </c>
      <c r="I436" s="9">
        <v>0.1</v>
      </c>
      <c r="J436" s="6" t="s">
        <v>954</v>
      </c>
    </row>
    <row r="437" spans="1:10" ht="30" customHeight="1" x14ac:dyDescent="0.25">
      <c r="A437" s="6" t="s">
        <v>368</v>
      </c>
      <c r="B437" s="5">
        <v>16</v>
      </c>
      <c r="C437" s="5"/>
      <c r="D437" s="6" t="s">
        <v>103</v>
      </c>
      <c r="E437" s="7">
        <v>2555</v>
      </c>
      <c r="F437" s="5" t="s">
        <v>422</v>
      </c>
      <c r="G437" s="5" t="s">
        <v>384</v>
      </c>
      <c r="H437" s="7">
        <v>255.5</v>
      </c>
      <c r="I437" s="9">
        <v>0.1</v>
      </c>
      <c r="J437" s="6" t="s">
        <v>955</v>
      </c>
    </row>
    <row r="438" spans="1:10" ht="30" customHeight="1" x14ac:dyDescent="0.25">
      <c r="A438" s="6" t="s">
        <v>368</v>
      </c>
      <c r="B438" s="5">
        <v>16</v>
      </c>
      <c r="C438" s="5"/>
      <c r="D438" s="6" t="s">
        <v>103</v>
      </c>
      <c r="E438" s="7">
        <v>2555</v>
      </c>
      <c r="F438" s="5" t="s">
        <v>439</v>
      </c>
      <c r="G438" s="5" t="s">
        <v>384</v>
      </c>
      <c r="H438" s="7">
        <v>255.5</v>
      </c>
      <c r="I438" s="9">
        <v>0.1</v>
      </c>
      <c r="J438" s="6" t="s">
        <v>956</v>
      </c>
    </row>
    <row r="439" spans="1:10" ht="30" customHeight="1" x14ac:dyDescent="0.25">
      <c r="A439" s="6" t="s">
        <v>368</v>
      </c>
      <c r="B439" s="5">
        <v>16</v>
      </c>
      <c r="C439" s="5"/>
      <c r="D439" s="6" t="s">
        <v>103</v>
      </c>
      <c r="E439" s="7">
        <v>2555</v>
      </c>
      <c r="F439" s="5" t="s">
        <v>455</v>
      </c>
      <c r="G439" s="5" t="s">
        <v>384</v>
      </c>
      <c r="H439" s="7">
        <v>255.5</v>
      </c>
      <c r="I439" s="9">
        <v>0.1</v>
      </c>
      <c r="J439" s="6" t="s">
        <v>957</v>
      </c>
    </row>
    <row r="440" spans="1:10" ht="30" customHeight="1" x14ac:dyDescent="0.25">
      <c r="A440" s="6" t="s">
        <v>368</v>
      </c>
      <c r="B440" s="5">
        <v>16</v>
      </c>
      <c r="C440" s="5"/>
      <c r="D440" s="6" t="s">
        <v>103</v>
      </c>
      <c r="E440" s="7">
        <v>2555</v>
      </c>
      <c r="F440" s="5" t="s">
        <v>383</v>
      </c>
      <c r="G440" s="5" t="s">
        <v>389</v>
      </c>
      <c r="H440" s="7">
        <v>255.5</v>
      </c>
      <c r="I440" s="9">
        <v>0.1</v>
      </c>
      <c r="J440" s="6" t="s">
        <v>958</v>
      </c>
    </row>
    <row r="441" spans="1:10" ht="30" customHeight="1" x14ac:dyDescent="0.25">
      <c r="A441" s="6" t="s">
        <v>368</v>
      </c>
      <c r="B441" s="5">
        <v>16</v>
      </c>
      <c r="C441" s="5"/>
      <c r="D441" s="6" t="s">
        <v>103</v>
      </c>
      <c r="E441" s="7">
        <v>2555</v>
      </c>
      <c r="F441" s="5" t="s">
        <v>405</v>
      </c>
      <c r="G441" s="5" t="s">
        <v>389</v>
      </c>
      <c r="H441" s="7">
        <v>255.5</v>
      </c>
      <c r="I441" s="9">
        <v>0.1</v>
      </c>
      <c r="J441" s="6" t="s">
        <v>959</v>
      </c>
    </row>
    <row r="442" spans="1:10" ht="30" customHeight="1" x14ac:dyDescent="0.25">
      <c r="A442" s="6" t="s">
        <v>368</v>
      </c>
      <c r="B442" s="5">
        <v>16</v>
      </c>
      <c r="C442" s="5"/>
      <c r="D442" s="6" t="s">
        <v>103</v>
      </c>
      <c r="E442" s="7">
        <v>2555</v>
      </c>
      <c r="F442" s="5" t="s">
        <v>422</v>
      </c>
      <c r="G442" s="5" t="s">
        <v>389</v>
      </c>
      <c r="H442" s="7">
        <v>255.5</v>
      </c>
      <c r="I442" s="9">
        <v>0.1</v>
      </c>
      <c r="J442" s="6" t="s">
        <v>960</v>
      </c>
    </row>
    <row r="443" spans="1:10" ht="30" customHeight="1" x14ac:dyDescent="0.25">
      <c r="A443" s="6" t="s">
        <v>368</v>
      </c>
      <c r="B443" s="5">
        <v>16</v>
      </c>
      <c r="C443" s="5"/>
      <c r="D443" s="6" t="s">
        <v>103</v>
      </c>
      <c r="E443" s="7">
        <v>2555</v>
      </c>
      <c r="F443" s="5" t="s">
        <v>439</v>
      </c>
      <c r="G443" s="5" t="s">
        <v>389</v>
      </c>
      <c r="H443" s="7">
        <v>255.5</v>
      </c>
      <c r="I443" s="9">
        <v>0.1</v>
      </c>
      <c r="J443" s="6" t="s">
        <v>961</v>
      </c>
    </row>
    <row r="444" spans="1:10" ht="30" customHeight="1" x14ac:dyDescent="0.25">
      <c r="A444" s="6" t="s">
        <v>368</v>
      </c>
      <c r="B444" s="5">
        <v>16</v>
      </c>
      <c r="C444" s="5"/>
      <c r="D444" s="6" t="s">
        <v>103</v>
      </c>
      <c r="E444" s="7">
        <v>2555</v>
      </c>
      <c r="F444" s="5" t="s">
        <v>455</v>
      </c>
      <c r="G444" s="5" t="s">
        <v>389</v>
      </c>
      <c r="H444" s="7">
        <v>255.5</v>
      </c>
      <c r="I444" s="9">
        <v>0.1</v>
      </c>
      <c r="J444" s="6" t="s">
        <v>962</v>
      </c>
    </row>
    <row r="445" spans="1:10" ht="30" customHeight="1" x14ac:dyDescent="0.25">
      <c r="A445" s="6" t="s">
        <v>368</v>
      </c>
      <c r="B445" s="5">
        <v>16</v>
      </c>
      <c r="C445" s="5"/>
      <c r="D445" s="6" t="s">
        <v>103</v>
      </c>
      <c r="E445" s="7">
        <v>2555</v>
      </c>
      <c r="F445" s="5" t="s">
        <v>302</v>
      </c>
      <c r="G445" s="5" t="s">
        <v>303</v>
      </c>
      <c r="H445" s="7">
        <v>255.5</v>
      </c>
      <c r="I445" s="9">
        <v>0.1</v>
      </c>
      <c r="J445" s="6" t="s">
        <v>963</v>
      </c>
    </row>
    <row r="446" spans="1:10" ht="30" customHeight="1" x14ac:dyDescent="0.25">
      <c r="A446" s="6" t="s">
        <v>368</v>
      </c>
      <c r="B446" s="5">
        <v>17</v>
      </c>
      <c r="C446" s="5"/>
      <c r="D446" s="6" t="s">
        <v>103</v>
      </c>
      <c r="E446" s="7">
        <v>1120</v>
      </c>
      <c r="F446" s="5" t="s">
        <v>493</v>
      </c>
      <c r="G446" s="5" t="s">
        <v>384</v>
      </c>
      <c r="H446" s="7">
        <v>392</v>
      </c>
      <c r="I446" s="9">
        <v>0.35</v>
      </c>
      <c r="J446" s="6" t="s">
        <v>951</v>
      </c>
    </row>
    <row r="447" spans="1:10" ht="30" customHeight="1" x14ac:dyDescent="0.25">
      <c r="A447" s="6" t="s">
        <v>368</v>
      </c>
      <c r="B447" s="5">
        <v>17</v>
      </c>
      <c r="C447" s="5"/>
      <c r="D447" s="6" t="s">
        <v>103</v>
      </c>
      <c r="E447" s="7">
        <v>1120</v>
      </c>
      <c r="F447" s="5" t="s">
        <v>493</v>
      </c>
      <c r="G447" s="5" t="s">
        <v>389</v>
      </c>
      <c r="H447" s="7">
        <v>392</v>
      </c>
      <c r="I447" s="9">
        <v>0.35</v>
      </c>
      <c r="J447" s="6" t="s">
        <v>952</v>
      </c>
    </row>
    <row r="448" spans="1:10" ht="30" customHeight="1" x14ac:dyDescent="0.25">
      <c r="A448" s="6" t="s">
        <v>368</v>
      </c>
      <c r="B448" s="5">
        <v>17</v>
      </c>
      <c r="C448" s="5"/>
      <c r="D448" s="6" t="s">
        <v>103</v>
      </c>
      <c r="E448" s="7">
        <v>1120</v>
      </c>
      <c r="F448" s="5" t="s">
        <v>383</v>
      </c>
      <c r="G448" s="5" t="s">
        <v>384</v>
      </c>
      <c r="H448" s="7">
        <v>112</v>
      </c>
      <c r="I448" s="9">
        <v>0.1</v>
      </c>
      <c r="J448" s="6" t="s">
        <v>953</v>
      </c>
    </row>
    <row r="449" spans="1:10" ht="30" customHeight="1" x14ac:dyDescent="0.25">
      <c r="A449" s="6" t="s">
        <v>368</v>
      </c>
      <c r="B449" s="5">
        <v>17</v>
      </c>
      <c r="C449" s="5"/>
      <c r="D449" s="6" t="s">
        <v>103</v>
      </c>
      <c r="E449" s="7">
        <v>1120</v>
      </c>
      <c r="F449" s="5" t="s">
        <v>405</v>
      </c>
      <c r="G449" s="5" t="s">
        <v>384</v>
      </c>
      <c r="H449" s="7">
        <v>112</v>
      </c>
      <c r="I449" s="9">
        <v>0.1</v>
      </c>
      <c r="J449" s="6" t="s">
        <v>954</v>
      </c>
    </row>
    <row r="450" spans="1:10" ht="30" customHeight="1" x14ac:dyDescent="0.25">
      <c r="A450" s="6" t="s">
        <v>368</v>
      </c>
      <c r="B450" s="5">
        <v>17</v>
      </c>
      <c r="C450" s="5"/>
      <c r="D450" s="6" t="s">
        <v>103</v>
      </c>
      <c r="E450" s="7">
        <v>1120</v>
      </c>
      <c r="F450" s="5" t="s">
        <v>422</v>
      </c>
      <c r="G450" s="5" t="s">
        <v>384</v>
      </c>
      <c r="H450" s="7">
        <v>112</v>
      </c>
      <c r="I450" s="9">
        <v>0.1</v>
      </c>
      <c r="J450" s="6" t="s">
        <v>955</v>
      </c>
    </row>
    <row r="451" spans="1:10" ht="30" customHeight="1" x14ac:dyDescent="0.25">
      <c r="A451" s="6" t="s">
        <v>368</v>
      </c>
      <c r="B451" s="5">
        <v>17</v>
      </c>
      <c r="C451" s="5"/>
      <c r="D451" s="6" t="s">
        <v>103</v>
      </c>
      <c r="E451" s="7">
        <v>1120</v>
      </c>
      <c r="F451" s="5" t="s">
        <v>439</v>
      </c>
      <c r="G451" s="5" t="s">
        <v>384</v>
      </c>
      <c r="H451" s="7">
        <v>112</v>
      </c>
      <c r="I451" s="9">
        <v>0.1</v>
      </c>
      <c r="J451" s="6" t="s">
        <v>956</v>
      </c>
    </row>
    <row r="452" spans="1:10" ht="30" customHeight="1" x14ac:dyDescent="0.25">
      <c r="A452" s="6" t="s">
        <v>368</v>
      </c>
      <c r="B452" s="5">
        <v>17</v>
      </c>
      <c r="C452" s="5"/>
      <c r="D452" s="6" t="s">
        <v>103</v>
      </c>
      <c r="E452" s="7">
        <v>1120</v>
      </c>
      <c r="F452" s="5" t="s">
        <v>455</v>
      </c>
      <c r="G452" s="5" t="s">
        <v>384</v>
      </c>
      <c r="H452" s="7">
        <v>112</v>
      </c>
      <c r="I452" s="9">
        <v>0.1</v>
      </c>
      <c r="J452" s="6" t="s">
        <v>957</v>
      </c>
    </row>
    <row r="453" spans="1:10" ht="30" customHeight="1" x14ac:dyDescent="0.25">
      <c r="A453" s="6" t="s">
        <v>368</v>
      </c>
      <c r="B453" s="5">
        <v>17</v>
      </c>
      <c r="C453" s="5"/>
      <c r="D453" s="6" t="s">
        <v>103</v>
      </c>
      <c r="E453" s="7">
        <v>1120</v>
      </c>
      <c r="F453" s="5" t="s">
        <v>383</v>
      </c>
      <c r="G453" s="5" t="s">
        <v>389</v>
      </c>
      <c r="H453" s="7">
        <v>112</v>
      </c>
      <c r="I453" s="9">
        <v>0.1</v>
      </c>
      <c r="J453" s="6" t="s">
        <v>958</v>
      </c>
    </row>
    <row r="454" spans="1:10" ht="30" customHeight="1" x14ac:dyDescent="0.25">
      <c r="A454" s="6" t="s">
        <v>368</v>
      </c>
      <c r="B454" s="5">
        <v>17</v>
      </c>
      <c r="C454" s="5"/>
      <c r="D454" s="6" t="s">
        <v>103</v>
      </c>
      <c r="E454" s="7">
        <v>1120</v>
      </c>
      <c r="F454" s="5" t="s">
        <v>405</v>
      </c>
      <c r="G454" s="5" t="s">
        <v>389</v>
      </c>
      <c r="H454" s="7">
        <v>112</v>
      </c>
      <c r="I454" s="9">
        <v>0.1</v>
      </c>
      <c r="J454" s="6" t="s">
        <v>959</v>
      </c>
    </row>
    <row r="455" spans="1:10" ht="30" customHeight="1" x14ac:dyDescent="0.25">
      <c r="A455" s="6" t="s">
        <v>368</v>
      </c>
      <c r="B455" s="5">
        <v>17</v>
      </c>
      <c r="C455" s="5"/>
      <c r="D455" s="6" t="s">
        <v>103</v>
      </c>
      <c r="E455" s="7">
        <v>1120</v>
      </c>
      <c r="F455" s="5" t="s">
        <v>422</v>
      </c>
      <c r="G455" s="5" t="s">
        <v>389</v>
      </c>
      <c r="H455" s="7">
        <v>112</v>
      </c>
      <c r="I455" s="9">
        <v>0.1</v>
      </c>
      <c r="J455" s="6" t="s">
        <v>960</v>
      </c>
    </row>
    <row r="456" spans="1:10" ht="30" customHeight="1" x14ac:dyDescent="0.25">
      <c r="A456" s="6" t="s">
        <v>368</v>
      </c>
      <c r="B456" s="5">
        <v>17</v>
      </c>
      <c r="C456" s="5"/>
      <c r="D456" s="6" t="s">
        <v>103</v>
      </c>
      <c r="E456" s="7">
        <v>1120</v>
      </c>
      <c r="F456" s="5" t="s">
        <v>439</v>
      </c>
      <c r="G456" s="5" t="s">
        <v>389</v>
      </c>
      <c r="H456" s="7">
        <v>112</v>
      </c>
      <c r="I456" s="9">
        <v>0.1</v>
      </c>
      <c r="J456" s="6" t="s">
        <v>961</v>
      </c>
    </row>
    <row r="457" spans="1:10" ht="30" customHeight="1" x14ac:dyDescent="0.25">
      <c r="A457" s="6" t="s">
        <v>368</v>
      </c>
      <c r="B457" s="5">
        <v>17</v>
      </c>
      <c r="C457" s="5"/>
      <c r="D457" s="6" t="s">
        <v>103</v>
      </c>
      <c r="E457" s="7">
        <v>1120</v>
      </c>
      <c r="F457" s="5" t="s">
        <v>455</v>
      </c>
      <c r="G457" s="5" t="s">
        <v>389</v>
      </c>
      <c r="H457" s="7">
        <v>112</v>
      </c>
      <c r="I457" s="9">
        <v>0.1</v>
      </c>
      <c r="J457" s="6" t="s">
        <v>962</v>
      </c>
    </row>
    <row r="458" spans="1:10" ht="30" customHeight="1" x14ac:dyDescent="0.25">
      <c r="A458" s="6" t="s">
        <v>368</v>
      </c>
      <c r="B458" s="5">
        <v>17</v>
      </c>
      <c r="C458" s="5"/>
      <c r="D458" s="6" t="s">
        <v>103</v>
      </c>
      <c r="E458" s="7">
        <v>1120</v>
      </c>
      <c r="F458" s="5" t="s">
        <v>302</v>
      </c>
      <c r="G458" s="5" t="s">
        <v>303</v>
      </c>
      <c r="H458" s="7">
        <v>112</v>
      </c>
      <c r="I458" s="9">
        <v>0.1</v>
      </c>
      <c r="J458" s="6" t="s">
        <v>963</v>
      </c>
    </row>
    <row r="459" spans="1:10" x14ac:dyDescent="0.25">
      <c r="A459" s="6" t="s">
        <v>368</v>
      </c>
      <c r="B459" s="5">
        <v>18</v>
      </c>
      <c r="C459" s="5"/>
      <c r="D459" s="6" t="s">
        <v>107</v>
      </c>
      <c r="E459" s="7">
        <v>130</v>
      </c>
      <c r="F459" s="5" t="s">
        <v>493</v>
      </c>
      <c r="G459" s="5" t="s">
        <v>384</v>
      </c>
      <c r="H459" s="7">
        <v>39</v>
      </c>
      <c r="I459" s="9">
        <v>0.3</v>
      </c>
      <c r="J459" s="6" t="s">
        <v>964</v>
      </c>
    </row>
    <row r="460" spans="1:10" x14ac:dyDescent="0.25">
      <c r="A460" s="6" t="s">
        <v>368</v>
      </c>
      <c r="B460" s="5">
        <v>18</v>
      </c>
      <c r="C460" s="5"/>
      <c r="D460" s="6" t="s">
        <v>107</v>
      </c>
      <c r="E460" s="7">
        <v>130</v>
      </c>
      <c r="F460" s="5" t="s">
        <v>493</v>
      </c>
      <c r="G460" s="5" t="s">
        <v>389</v>
      </c>
      <c r="H460" s="7">
        <v>39</v>
      </c>
      <c r="I460" s="9">
        <v>0.3</v>
      </c>
      <c r="J460" s="6" t="s">
        <v>965</v>
      </c>
    </row>
    <row r="461" spans="1:10" x14ac:dyDescent="0.25">
      <c r="A461" s="6" t="s">
        <v>368</v>
      </c>
      <c r="B461" s="5">
        <v>18</v>
      </c>
      <c r="C461" s="5"/>
      <c r="D461" s="6" t="s">
        <v>107</v>
      </c>
      <c r="E461" s="7">
        <v>130</v>
      </c>
      <c r="F461" s="5" t="s">
        <v>383</v>
      </c>
      <c r="G461" s="5" t="s">
        <v>384</v>
      </c>
      <c r="H461" s="7">
        <v>13</v>
      </c>
      <c r="I461" s="9">
        <v>0.1</v>
      </c>
      <c r="J461" s="6" t="s">
        <v>966</v>
      </c>
    </row>
    <row r="462" spans="1:10" x14ac:dyDescent="0.25">
      <c r="A462" s="6" t="s">
        <v>368</v>
      </c>
      <c r="B462" s="5">
        <v>18</v>
      </c>
      <c r="C462" s="5"/>
      <c r="D462" s="6" t="s">
        <v>107</v>
      </c>
      <c r="E462" s="7">
        <v>130</v>
      </c>
      <c r="F462" s="5" t="s">
        <v>405</v>
      </c>
      <c r="G462" s="5" t="s">
        <v>384</v>
      </c>
      <c r="H462" s="7">
        <v>13</v>
      </c>
      <c r="I462" s="9">
        <v>0.1</v>
      </c>
      <c r="J462" s="6" t="s">
        <v>967</v>
      </c>
    </row>
    <row r="463" spans="1:10" x14ac:dyDescent="0.25">
      <c r="A463" s="6" t="s">
        <v>368</v>
      </c>
      <c r="B463" s="5">
        <v>18</v>
      </c>
      <c r="C463" s="5"/>
      <c r="D463" s="6" t="s">
        <v>107</v>
      </c>
      <c r="E463" s="7">
        <v>130</v>
      </c>
      <c r="F463" s="5" t="s">
        <v>422</v>
      </c>
      <c r="G463" s="5" t="s">
        <v>384</v>
      </c>
      <c r="H463" s="7">
        <v>13</v>
      </c>
      <c r="I463" s="9">
        <v>0.1</v>
      </c>
      <c r="J463" s="6" t="s">
        <v>968</v>
      </c>
    </row>
    <row r="464" spans="1:10" x14ac:dyDescent="0.25">
      <c r="A464" s="6" t="s">
        <v>368</v>
      </c>
      <c r="B464" s="5">
        <v>18</v>
      </c>
      <c r="C464" s="5"/>
      <c r="D464" s="6" t="s">
        <v>107</v>
      </c>
      <c r="E464" s="7">
        <v>130</v>
      </c>
      <c r="F464" s="5" t="s">
        <v>439</v>
      </c>
      <c r="G464" s="5" t="s">
        <v>384</v>
      </c>
      <c r="H464" s="7">
        <v>13</v>
      </c>
      <c r="I464" s="9">
        <v>0.1</v>
      </c>
      <c r="J464" s="6" t="s">
        <v>969</v>
      </c>
    </row>
    <row r="465" spans="1:10" x14ac:dyDescent="0.25">
      <c r="A465" s="6" t="s">
        <v>368</v>
      </c>
      <c r="B465" s="5">
        <v>18</v>
      </c>
      <c r="C465" s="5"/>
      <c r="D465" s="6" t="s">
        <v>107</v>
      </c>
      <c r="E465" s="7">
        <v>130</v>
      </c>
      <c r="F465" s="5" t="s">
        <v>455</v>
      </c>
      <c r="G465" s="5" t="s">
        <v>384</v>
      </c>
      <c r="H465" s="7">
        <v>13</v>
      </c>
      <c r="I465" s="9">
        <v>0.1</v>
      </c>
      <c r="J465" s="6" t="s">
        <v>970</v>
      </c>
    </row>
    <row r="466" spans="1:10" x14ac:dyDescent="0.25">
      <c r="A466" s="6" t="s">
        <v>368</v>
      </c>
      <c r="B466" s="5">
        <v>18</v>
      </c>
      <c r="C466" s="5"/>
      <c r="D466" s="6" t="s">
        <v>107</v>
      </c>
      <c r="E466" s="7">
        <v>130</v>
      </c>
      <c r="F466" s="5" t="s">
        <v>383</v>
      </c>
      <c r="G466" s="5" t="s">
        <v>389</v>
      </c>
      <c r="H466" s="7">
        <v>13</v>
      </c>
      <c r="I466" s="9">
        <v>0.1</v>
      </c>
      <c r="J466" s="6" t="s">
        <v>971</v>
      </c>
    </row>
    <row r="467" spans="1:10" x14ac:dyDescent="0.25">
      <c r="A467" s="6" t="s">
        <v>368</v>
      </c>
      <c r="B467" s="5">
        <v>18</v>
      </c>
      <c r="C467" s="5"/>
      <c r="D467" s="6" t="s">
        <v>107</v>
      </c>
      <c r="E467" s="7">
        <v>130</v>
      </c>
      <c r="F467" s="5" t="s">
        <v>405</v>
      </c>
      <c r="G467" s="5" t="s">
        <v>389</v>
      </c>
      <c r="H467" s="7">
        <v>13</v>
      </c>
      <c r="I467" s="9">
        <v>0.1</v>
      </c>
      <c r="J467" s="6" t="s">
        <v>972</v>
      </c>
    </row>
    <row r="468" spans="1:10" x14ac:dyDescent="0.25">
      <c r="A468" s="6" t="s">
        <v>368</v>
      </c>
      <c r="B468" s="5">
        <v>18</v>
      </c>
      <c r="C468" s="5"/>
      <c r="D468" s="6" t="s">
        <v>107</v>
      </c>
      <c r="E468" s="7">
        <v>130</v>
      </c>
      <c r="F468" s="5" t="s">
        <v>422</v>
      </c>
      <c r="G468" s="5" t="s">
        <v>389</v>
      </c>
      <c r="H468" s="7">
        <v>13</v>
      </c>
      <c r="I468" s="9">
        <v>0.1</v>
      </c>
      <c r="J468" s="6" t="s">
        <v>973</v>
      </c>
    </row>
    <row r="469" spans="1:10" x14ac:dyDescent="0.25">
      <c r="A469" s="6" t="s">
        <v>368</v>
      </c>
      <c r="B469" s="5">
        <v>18</v>
      </c>
      <c r="C469" s="5"/>
      <c r="D469" s="6" t="s">
        <v>107</v>
      </c>
      <c r="E469" s="7">
        <v>130</v>
      </c>
      <c r="F469" s="5" t="s">
        <v>439</v>
      </c>
      <c r="G469" s="5" t="s">
        <v>389</v>
      </c>
      <c r="H469" s="7">
        <v>13</v>
      </c>
      <c r="I469" s="9">
        <v>0.1</v>
      </c>
      <c r="J469" s="6" t="s">
        <v>974</v>
      </c>
    </row>
    <row r="470" spans="1:10" x14ac:dyDescent="0.25">
      <c r="A470" s="6" t="s">
        <v>368</v>
      </c>
      <c r="B470" s="5">
        <v>18</v>
      </c>
      <c r="C470" s="5"/>
      <c r="D470" s="6" t="s">
        <v>107</v>
      </c>
      <c r="E470" s="7">
        <v>130</v>
      </c>
      <c r="F470" s="5" t="s">
        <v>455</v>
      </c>
      <c r="G470" s="5" t="s">
        <v>389</v>
      </c>
      <c r="H470" s="7">
        <v>13</v>
      </c>
      <c r="I470" s="9">
        <v>0.1</v>
      </c>
      <c r="J470" s="6" t="s">
        <v>975</v>
      </c>
    </row>
    <row r="471" spans="1:10" x14ac:dyDescent="0.25">
      <c r="A471" s="6" t="s">
        <v>368</v>
      </c>
      <c r="B471" s="5">
        <v>18</v>
      </c>
      <c r="C471" s="5"/>
      <c r="D471" s="6" t="s">
        <v>107</v>
      </c>
      <c r="E471" s="7">
        <v>130</v>
      </c>
      <c r="F471" s="5" t="s">
        <v>302</v>
      </c>
      <c r="G471" s="5" t="s">
        <v>303</v>
      </c>
      <c r="H471" s="7">
        <v>13</v>
      </c>
      <c r="I471" s="9">
        <v>0.1</v>
      </c>
      <c r="J471" s="6" t="s">
        <v>976</v>
      </c>
    </row>
    <row r="472" spans="1:10" x14ac:dyDescent="0.25">
      <c r="A472" s="6" t="s">
        <v>368</v>
      </c>
      <c r="B472" s="5">
        <v>18</v>
      </c>
      <c r="C472" s="5"/>
      <c r="D472" s="6" t="s">
        <v>107</v>
      </c>
      <c r="E472" s="7">
        <v>130</v>
      </c>
      <c r="F472" s="5" t="s">
        <v>61</v>
      </c>
      <c r="G472" s="5" t="s">
        <v>303</v>
      </c>
      <c r="H472" s="7">
        <v>13</v>
      </c>
      <c r="I472" s="9">
        <v>0.1</v>
      </c>
      <c r="J472" s="6" t="s">
        <v>977</v>
      </c>
    </row>
    <row r="473" spans="1:10" ht="30" customHeight="1" x14ac:dyDescent="0.25">
      <c r="A473" s="6" t="s">
        <v>374</v>
      </c>
      <c r="B473" s="5">
        <v>1</v>
      </c>
      <c r="C473" s="5"/>
      <c r="D473" s="6" t="s">
        <v>246</v>
      </c>
      <c r="E473" s="7">
        <v>144</v>
      </c>
      <c r="F473" s="5" t="s">
        <v>493</v>
      </c>
      <c r="G473" s="5" t="s">
        <v>384</v>
      </c>
      <c r="H473" s="7">
        <v>72</v>
      </c>
      <c r="I473" s="9">
        <v>0.5</v>
      </c>
      <c r="J473" s="6" t="s">
        <v>978</v>
      </c>
    </row>
    <row r="474" spans="1:10" ht="30" customHeight="1" x14ac:dyDescent="0.25">
      <c r="A474" s="6" t="s">
        <v>374</v>
      </c>
      <c r="B474" s="5">
        <v>1</v>
      </c>
      <c r="C474" s="5"/>
      <c r="D474" s="6" t="s">
        <v>246</v>
      </c>
      <c r="E474" s="7">
        <v>144</v>
      </c>
      <c r="F474" s="5" t="s">
        <v>493</v>
      </c>
      <c r="G474" s="5" t="s">
        <v>389</v>
      </c>
      <c r="H474" s="7">
        <v>72</v>
      </c>
      <c r="I474" s="9">
        <v>0.5</v>
      </c>
      <c r="J474" s="6" t="s">
        <v>978</v>
      </c>
    </row>
    <row r="475" spans="1:10" x14ac:dyDescent="0.25">
      <c r="A475" s="6" t="s">
        <v>374</v>
      </c>
      <c r="B475" s="5">
        <v>2</v>
      </c>
      <c r="C475" s="5"/>
      <c r="D475" s="6" t="s">
        <v>244</v>
      </c>
      <c r="E475" s="7">
        <v>48</v>
      </c>
      <c r="F475" s="5" t="s">
        <v>302</v>
      </c>
      <c r="G475" s="5" t="s">
        <v>303</v>
      </c>
      <c r="H475" s="7">
        <v>24</v>
      </c>
      <c r="I475" s="9">
        <v>0.5</v>
      </c>
      <c r="J475" s="6" t="s">
        <v>979</v>
      </c>
    </row>
    <row r="476" spans="1:10" x14ac:dyDescent="0.25">
      <c r="A476" s="6" t="s">
        <v>374</v>
      </c>
      <c r="B476" s="5">
        <v>2</v>
      </c>
      <c r="C476" s="5"/>
      <c r="D476" s="6" t="s">
        <v>244</v>
      </c>
      <c r="E476" s="7">
        <v>48</v>
      </c>
      <c r="F476" s="5" t="s">
        <v>61</v>
      </c>
      <c r="G476" s="5" t="s">
        <v>303</v>
      </c>
      <c r="H476" s="7">
        <v>24</v>
      </c>
      <c r="I476" s="9">
        <v>0.5</v>
      </c>
      <c r="J476" s="6" t="s">
        <v>980</v>
      </c>
    </row>
    <row r="477" spans="1:10" x14ac:dyDescent="0.25">
      <c r="A477" s="6" t="s">
        <v>374</v>
      </c>
      <c r="B477" s="5">
        <v>3</v>
      </c>
      <c r="C477" s="5"/>
      <c r="D477" s="6" t="s">
        <v>240</v>
      </c>
      <c r="E477" s="7">
        <v>2</v>
      </c>
      <c r="F477" s="5" t="s">
        <v>302</v>
      </c>
      <c r="G477" s="5" t="s">
        <v>303</v>
      </c>
      <c r="H477" s="7">
        <v>2</v>
      </c>
      <c r="I477" s="9">
        <v>1</v>
      </c>
      <c r="J477" s="6" t="s">
        <v>981</v>
      </c>
    </row>
    <row r="478" spans="1:10" ht="30" customHeight="1" x14ac:dyDescent="0.25">
      <c r="A478" s="6" t="s">
        <v>374</v>
      </c>
      <c r="B478" s="5">
        <v>4</v>
      </c>
      <c r="C478" s="5"/>
      <c r="D478" s="6" t="s">
        <v>238</v>
      </c>
      <c r="E478" s="7">
        <v>2</v>
      </c>
      <c r="F478" s="5" t="s">
        <v>302</v>
      </c>
      <c r="G478" s="5" t="s">
        <v>303</v>
      </c>
      <c r="H478" s="7">
        <v>2</v>
      </c>
      <c r="I478" s="9">
        <v>1</v>
      </c>
      <c r="J478" s="6" t="s">
        <v>982</v>
      </c>
    </row>
    <row r="479" spans="1:10" ht="30" customHeight="1" x14ac:dyDescent="0.25">
      <c r="A479" s="6" t="s">
        <v>374</v>
      </c>
      <c r="B479" s="5">
        <v>5</v>
      </c>
      <c r="C479" s="5"/>
      <c r="D479" s="6" t="s">
        <v>250</v>
      </c>
      <c r="E479" s="7">
        <v>2</v>
      </c>
      <c r="F479" s="5" t="s">
        <v>623</v>
      </c>
      <c r="G479" s="5" t="s">
        <v>303</v>
      </c>
      <c r="H479" s="7">
        <v>2</v>
      </c>
      <c r="I479" s="9">
        <v>1</v>
      </c>
      <c r="J479" s="6" t="s">
        <v>983</v>
      </c>
    </row>
    <row r="480" spans="1:10" ht="30" customHeight="1" x14ac:dyDescent="0.25">
      <c r="A480" s="6" t="s">
        <v>374</v>
      </c>
      <c r="B480" s="5">
        <v>6</v>
      </c>
      <c r="C480" s="5"/>
      <c r="D480" s="6" t="s">
        <v>247</v>
      </c>
      <c r="E480" s="7">
        <v>1</v>
      </c>
      <c r="F480" s="5" t="s">
        <v>623</v>
      </c>
      <c r="G480" s="5" t="s">
        <v>303</v>
      </c>
      <c r="H480" s="7">
        <v>1</v>
      </c>
      <c r="I480" s="9">
        <v>1</v>
      </c>
      <c r="J480" s="6" t="s">
        <v>984</v>
      </c>
    </row>
    <row r="481" spans="1:10" ht="30" customHeight="1" x14ac:dyDescent="0.25">
      <c r="A481" s="6" t="s">
        <v>374</v>
      </c>
      <c r="B481" s="5">
        <v>7</v>
      </c>
      <c r="C481" s="5"/>
      <c r="D481" s="6" t="s">
        <v>249</v>
      </c>
      <c r="E481" s="7">
        <v>2</v>
      </c>
      <c r="F481" s="5" t="s">
        <v>623</v>
      </c>
      <c r="G481" s="5" t="s">
        <v>303</v>
      </c>
      <c r="H481" s="7">
        <v>2</v>
      </c>
      <c r="I481" s="9">
        <v>1</v>
      </c>
      <c r="J481" s="6" t="s">
        <v>985</v>
      </c>
    </row>
    <row r="482" spans="1:10" ht="30" customHeight="1" x14ac:dyDescent="0.25">
      <c r="A482" s="6" t="s">
        <v>374</v>
      </c>
      <c r="B482" s="5">
        <v>8</v>
      </c>
      <c r="C482" s="5"/>
      <c r="D482" s="6" t="s">
        <v>258</v>
      </c>
      <c r="E482" s="7">
        <v>4</v>
      </c>
      <c r="F482" s="5" t="s">
        <v>302</v>
      </c>
      <c r="G482" s="5" t="s">
        <v>303</v>
      </c>
      <c r="H482" s="7">
        <v>2</v>
      </c>
      <c r="I482" s="9">
        <v>0.5</v>
      </c>
      <c r="J482" s="6" t="s">
        <v>986</v>
      </c>
    </row>
    <row r="483" spans="1:10" ht="30" customHeight="1" x14ac:dyDescent="0.25">
      <c r="A483" s="6" t="s">
        <v>374</v>
      </c>
      <c r="B483" s="5">
        <v>8</v>
      </c>
      <c r="C483" s="5"/>
      <c r="D483" s="6" t="s">
        <v>258</v>
      </c>
      <c r="E483" s="7">
        <v>4</v>
      </c>
      <c r="F483" s="5" t="s">
        <v>623</v>
      </c>
      <c r="G483" s="5" t="s">
        <v>303</v>
      </c>
      <c r="H483" s="7">
        <v>2</v>
      </c>
      <c r="I483" s="9">
        <v>0.5</v>
      </c>
      <c r="J483" s="6" t="s">
        <v>987</v>
      </c>
    </row>
    <row r="484" spans="1:10" ht="30" customHeight="1" x14ac:dyDescent="0.25">
      <c r="A484" s="6" t="s">
        <v>374</v>
      </c>
      <c r="B484" s="5">
        <v>9</v>
      </c>
      <c r="C484" s="5"/>
      <c r="D484" s="6" t="s">
        <v>257</v>
      </c>
      <c r="E484" s="7">
        <v>12</v>
      </c>
      <c r="F484" s="5" t="s">
        <v>302</v>
      </c>
      <c r="G484" s="5" t="s">
        <v>303</v>
      </c>
      <c r="H484" s="7">
        <v>4</v>
      </c>
      <c r="I484" s="9">
        <v>0.33300000000000002</v>
      </c>
      <c r="J484" s="6" t="s">
        <v>988</v>
      </c>
    </row>
    <row r="485" spans="1:10" ht="30" customHeight="1" x14ac:dyDescent="0.25">
      <c r="A485" s="6" t="s">
        <v>374</v>
      </c>
      <c r="B485" s="5">
        <v>9</v>
      </c>
      <c r="C485" s="5"/>
      <c r="D485" s="6" t="s">
        <v>257</v>
      </c>
      <c r="E485" s="7">
        <v>12</v>
      </c>
      <c r="F485" s="5" t="s">
        <v>493</v>
      </c>
      <c r="G485" s="5" t="s">
        <v>303</v>
      </c>
      <c r="H485" s="7">
        <v>8</v>
      </c>
      <c r="I485" s="9">
        <v>0.66700000000000004</v>
      </c>
      <c r="J485" s="6" t="s">
        <v>989</v>
      </c>
    </row>
    <row r="486" spans="1:10" x14ac:dyDescent="0.25">
      <c r="A486" s="6" t="s">
        <v>374</v>
      </c>
      <c r="B486" s="5">
        <v>10</v>
      </c>
      <c r="C486" s="5"/>
      <c r="D486" s="6" t="s">
        <v>253</v>
      </c>
      <c r="E486" s="7">
        <v>2</v>
      </c>
      <c r="F486" s="5" t="s">
        <v>623</v>
      </c>
      <c r="G486" s="5" t="s">
        <v>303</v>
      </c>
      <c r="H486" s="7">
        <v>2</v>
      </c>
      <c r="I486" s="9">
        <v>1</v>
      </c>
      <c r="J486" s="6" t="s">
        <v>990</v>
      </c>
    </row>
    <row r="487" spans="1:10" ht="30" customHeight="1" x14ac:dyDescent="0.25">
      <c r="A487" s="6" t="s">
        <v>374</v>
      </c>
      <c r="B487" s="5">
        <v>11</v>
      </c>
      <c r="C487" s="5"/>
      <c r="D487" s="6" t="s">
        <v>254</v>
      </c>
      <c r="E487" s="7">
        <v>2</v>
      </c>
      <c r="F487" s="5" t="s">
        <v>623</v>
      </c>
      <c r="G487" s="5" t="s">
        <v>303</v>
      </c>
      <c r="H487" s="7">
        <v>2</v>
      </c>
      <c r="I487" s="9">
        <v>1</v>
      </c>
      <c r="J487" s="6" t="s">
        <v>991</v>
      </c>
    </row>
    <row r="488" spans="1:10" x14ac:dyDescent="0.25">
      <c r="A488" s="6" t="s">
        <v>374</v>
      </c>
      <c r="B488" s="5">
        <v>12</v>
      </c>
      <c r="C488" s="5"/>
      <c r="D488" s="6" t="s">
        <v>259</v>
      </c>
      <c r="E488" s="7">
        <v>8</v>
      </c>
      <c r="F488" s="5" t="s">
        <v>302</v>
      </c>
      <c r="G488" s="5" t="s">
        <v>303</v>
      </c>
      <c r="H488" s="7">
        <v>4</v>
      </c>
      <c r="I488" s="9">
        <v>0.5</v>
      </c>
      <c r="J488" s="6" t="s">
        <v>992</v>
      </c>
    </row>
    <row r="489" spans="1:10" x14ac:dyDescent="0.25">
      <c r="A489" s="6" t="s">
        <v>374</v>
      </c>
      <c r="B489" s="5">
        <v>12</v>
      </c>
      <c r="C489" s="5"/>
      <c r="D489" s="6" t="s">
        <v>259</v>
      </c>
      <c r="E489" s="7">
        <v>8</v>
      </c>
      <c r="F489" s="5" t="s">
        <v>623</v>
      </c>
      <c r="G489" s="5" t="s">
        <v>303</v>
      </c>
      <c r="H489" s="7">
        <v>4</v>
      </c>
      <c r="I489" s="9">
        <v>0.5</v>
      </c>
      <c r="J489" s="6" t="s">
        <v>993</v>
      </c>
    </row>
    <row r="490" spans="1:10" ht="30" customHeight="1" x14ac:dyDescent="0.25">
      <c r="A490" s="6" t="s">
        <v>374</v>
      </c>
      <c r="B490" s="5">
        <v>13</v>
      </c>
      <c r="C490" s="5"/>
      <c r="D490" s="6" t="s">
        <v>242</v>
      </c>
      <c r="E490" s="7">
        <v>4</v>
      </c>
      <c r="F490" s="5" t="s">
        <v>623</v>
      </c>
      <c r="G490" s="5" t="s">
        <v>303</v>
      </c>
      <c r="H490" s="7">
        <v>4</v>
      </c>
      <c r="I490" s="9">
        <v>1</v>
      </c>
      <c r="J490" s="6" t="s">
        <v>994</v>
      </c>
    </row>
    <row r="491" spans="1:10" ht="30" customHeight="1" x14ac:dyDescent="0.25">
      <c r="A491" s="6" t="s">
        <v>374</v>
      </c>
      <c r="B491" s="5">
        <v>14</v>
      </c>
      <c r="C491" s="5"/>
      <c r="D491" s="6" t="s">
        <v>251</v>
      </c>
      <c r="E491" s="7">
        <v>6</v>
      </c>
      <c r="F491" s="5" t="s">
        <v>623</v>
      </c>
      <c r="G491" s="5" t="s">
        <v>303</v>
      </c>
      <c r="H491" s="7">
        <v>6</v>
      </c>
      <c r="I491" s="9">
        <v>1</v>
      </c>
      <c r="J491" s="6" t="s">
        <v>995</v>
      </c>
    </row>
    <row r="492" spans="1:10" ht="30" customHeight="1" x14ac:dyDescent="0.25">
      <c r="A492" s="6" t="s">
        <v>374</v>
      </c>
      <c r="B492" s="5">
        <v>15</v>
      </c>
      <c r="C492" s="5"/>
      <c r="D492" s="6" t="s">
        <v>252</v>
      </c>
      <c r="E492" s="7">
        <v>4</v>
      </c>
      <c r="F492" s="5" t="s">
        <v>623</v>
      </c>
      <c r="G492" s="5" t="s">
        <v>303</v>
      </c>
      <c r="H492" s="7">
        <v>4</v>
      </c>
      <c r="I492" s="9">
        <v>1</v>
      </c>
      <c r="J492" s="6" t="s">
        <v>995</v>
      </c>
    </row>
    <row r="493" spans="1:10" ht="30" customHeight="1" x14ac:dyDescent="0.25">
      <c r="A493" s="6" t="s">
        <v>374</v>
      </c>
      <c r="B493" s="5">
        <v>16</v>
      </c>
      <c r="C493" s="5"/>
      <c r="D493" s="6" t="s">
        <v>260</v>
      </c>
      <c r="E493" s="7">
        <v>4</v>
      </c>
      <c r="F493" s="5" t="s">
        <v>623</v>
      </c>
      <c r="G493" s="5" t="s">
        <v>303</v>
      </c>
      <c r="H493" s="7">
        <v>4</v>
      </c>
      <c r="I493" s="9">
        <v>1</v>
      </c>
      <c r="J493" s="6" t="s">
        <v>996</v>
      </c>
    </row>
    <row r="494" spans="1:10" ht="30" customHeight="1" x14ac:dyDescent="0.25">
      <c r="A494" s="6" t="s">
        <v>374</v>
      </c>
      <c r="B494" s="5">
        <v>17</v>
      </c>
      <c r="C494" s="5"/>
      <c r="D494" s="6" t="s">
        <v>255</v>
      </c>
      <c r="E494" s="7">
        <v>4</v>
      </c>
      <c r="F494" s="5" t="s">
        <v>623</v>
      </c>
      <c r="G494" s="5" t="s">
        <v>303</v>
      </c>
      <c r="H494" s="7">
        <v>4</v>
      </c>
      <c r="I494" s="9">
        <v>1</v>
      </c>
      <c r="J494" s="6" t="s">
        <v>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workbookViewId="0"/>
  </sheetViews>
  <sheetFormatPr defaultRowHeight="15" x14ac:dyDescent="0.25"/>
  <cols>
    <col min="1" max="1" width="28" customWidth="1"/>
    <col min="2" max="2" width="48" customWidth="1"/>
    <col min="3" max="3" width="10" customWidth="1"/>
    <col min="4" max="4" width="8" customWidth="1"/>
    <col min="5" max="5" width="10" customWidth="1"/>
  </cols>
  <sheetData>
    <row r="1" spans="1:3" ht="18.75" customHeight="1" x14ac:dyDescent="0.3">
      <c r="A1" s="1" t="s">
        <v>998</v>
      </c>
    </row>
    <row r="2" spans="1:3" x14ac:dyDescent="0.25">
      <c r="A2" s="10" t="s">
        <v>999</v>
      </c>
    </row>
    <row r="4" spans="1:3" x14ac:dyDescent="0.25">
      <c r="A4" s="11" t="s">
        <v>1000</v>
      </c>
      <c r="B4" s="11" t="s">
        <v>1001</v>
      </c>
    </row>
    <row r="5" spans="1:3" x14ac:dyDescent="0.25">
      <c r="A5" s="12" t="s">
        <v>1002</v>
      </c>
      <c r="B5" s="13">
        <v>4</v>
      </c>
    </row>
    <row r="6" spans="1:3" x14ac:dyDescent="0.25">
      <c r="A6" s="12" t="s">
        <v>1003</v>
      </c>
      <c r="B6" s="13">
        <v>187</v>
      </c>
    </row>
    <row r="7" spans="1:3" ht="30" customHeight="1" x14ac:dyDescent="0.25">
      <c r="A7" s="12" t="s">
        <v>1004</v>
      </c>
      <c r="B7" s="13">
        <v>490</v>
      </c>
    </row>
    <row r="8" spans="1:3" x14ac:dyDescent="0.25">
      <c r="A8" s="12" t="s">
        <v>1005</v>
      </c>
      <c r="B8" s="13">
        <v>490</v>
      </c>
    </row>
    <row r="9" spans="1:3" x14ac:dyDescent="0.25">
      <c r="A9" s="12" t="s">
        <v>1006</v>
      </c>
      <c r="B9" s="13">
        <v>36092</v>
      </c>
    </row>
    <row r="10" spans="1:3" ht="30" customHeight="1" x14ac:dyDescent="0.25">
      <c r="A10" s="12" t="s">
        <v>1007</v>
      </c>
      <c r="B10" s="14">
        <v>48.32</v>
      </c>
    </row>
    <row r="11" spans="1:3" x14ac:dyDescent="0.25">
      <c r="A11" s="12" t="s">
        <v>1008</v>
      </c>
      <c r="B11" s="14">
        <v>1743965.44</v>
      </c>
    </row>
    <row r="13" spans="1:3" x14ac:dyDescent="0.25">
      <c r="A13" s="2" t="s">
        <v>1009</v>
      </c>
    </row>
    <row r="14" spans="1:3" x14ac:dyDescent="0.25">
      <c r="A14" s="15" t="s">
        <v>293</v>
      </c>
      <c r="B14" s="15" t="s">
        <v>294</v>
      </c>
      <c r="C14" s="15" t="s">
        <v>1010</v>
      </c>
    </row>
    <row r="15" spans="1:3" x14ac:dyDescent="0.25">
      <c r="A15" s="16" t="s">
        <v>302</v>
      </c>
      <c r="B15" s="16" t="s">
        <v>303</v>
      </c>
      <c r="C15" s="13">
        <v>98</v>
      </c>
    </row>
    <row r="16" spans="1:3" x14ac:dyDescent="0.25">
      <c r="A16" s="16" t="s">
        <v>383</v>
      </c>
      <c r="B16" s="16" t="s">
        <v>384</v>
      </c>
      <c r="C16" s="13">
        <v>4</v>
      </c>
    </row>
    <row r="17" spans="1:3" x14ac:dyDescent="0.25">
      <c r="A17" s="16" t="s">
        <v>383</v>
      </c>
      <c r="B17" s="16" t="s">
        <v>389</v>
      </c>
      <c r="C17" s="13">
        <v>4</v>
      </c>
    </row>
    <row r="18" spans="1:3" x14ac:dyDescent="0.25">
      <c r="A18" s="16" t="s">
        <v>383</v>
      </c>
      <c r="B18" s="16" t="s">
        <v>303</v>
      </c>
      <c r="C18" s="13">
        <v>14</v>
      </c>
    </row>
    <row r="19" spans="1:3" x14ac:dyDescent="0.25">
      <c r="A19" s="16" t="s">
        <v>405</v>
      </c>
      <c r="B19" s="16" t="s">
        <v>384</v>
      </c>
      <c r="C19" s="13">
        <v>4</v>
      </c>
    </row>
    <row r="20" spans="1:3" x14ac:dyDescent="0.25">
      <c r="A20" s="16" t="s">
        <v>405</v>
      </c>
      <c r="B20" s="16" t="s">
        <v>389</v>
      </c>
      <c r="C20" s="13">
        <v>4</v>
      </c>
    </row>
    <row r="21" spans="1:3" x14ac:dyDescent="0.25">
      <c r="A21" s="16" t="s">
        <v>405</v>
      </c>
      <c r="B21" s="16" t="s">
        <v>303</v>
      </c>
      <c r="C21" s="13">
        <v>9</v>
      </c>
    </row>
    <row r="22" spans="1:3" x14ac:dyDescent="0.25">
      <c r="A22" s="16" t="s">
        <v>422</v>
      </c>
      <c r="B22" s="16" t="s">
        <v>384</v>
      </c>
      <c r="C22" s="13">
        <v>4</v>
      </c>
    </row>
    <row r="23" spans="1:3" x14ac:dyDescent="0.25">
      <c r="A23" s="16" t="s">
        <v>422</v>
      </c>
      <c r="B23" s="16" t="s">
        <v>389</v>
      </c>
      <c r="C23" s="13">
        <v>4</v>
      </c>
    </row>
    <row r="24" spans="1:3" x14ac:dyDescent="0.25">
      <c r="A24" s="16" t="s">
        <v>422</v>
      </c>
      <c r="B24" s="16" t="s">
        <v>303</v>
      </c>
      <c r="C24" s="13">
        <v>8</v>
      </c>
    </row>
    <row r="25" spans="1:3" x14ac:dyDescent="0.25">
      <c r="A25" s="16" t="s">
        <v>439</v>
      </c>
      <c r="B25" s="16" t="s">
        <v>384</v>
      </c>
      <c r="C25" s="13">
        <v>4</v>
      </c>
    </row>
    <row r="26" spans="1:3" x14ac:dyDescent="0.25">
      <c r="A26" s="16" t="s">
        <v>439</v>
      </c>
      <c r="B26" s="16" t="s">
        <v>389</v>
      </c>
      <c r="C26" s="13">
        <v>4</v>
      </c>
    </row>
    <row r="27" spans="1:3" x14ac:dyDescent="0.25">
      <c r="A27" s="16" t="s">
        <v>439</v>
      </c>
      <c r="B27" s="16" t="s">
        <v>303</v>
      </c>
      <c r="C27" s="13">
        <v>7</v>
      </c>
    </row>
    <row r="28" spans="1:3" x14ac:dyDescent="0.25">
      <c r="A28" s="16" t="s">
        <v>455</v>
      </c>
      <c r="B28" s="16" t="s">
        <v>384</v>
      </c>
      <c r="C28" s="13">
        <v>4</v>
      </c>
    </row>
    <row r="29" spans="1:3" x14ac:dyDescent="0.25">
      <c r="A29" s="16" t="s">
        <v>455</v>
      </c>
      <c r="B29" s="16" t="s">
        <v>389</v>
      </c>
      <c r="C29" s="13">
        <v>4</v>
      </c>
    </row>
    <row r="30" spans="1:3" x14ac:dyDescent="0.25">
      <c r="A30" s="16" t="s">
        <v>455</v>
      </c>
      <c r="B30" s="16" t="s">
        <v>303</v>
      </c>
      <c r="C30" s="13">
        <v>7</v>
      </c>
    </row>
    <row r="31" spans="1:3" x14ac:dyDescent="0.25">
      <c r="A31" s="16" t="s">
        <v>61</v>
      </c>
      <c r="B31" s="16" t="s">
        <v>303</v>
      </c>
      <c r="C31" s="13">
        <v>30</v>
      </c>
    </row>
    <row r="32" spans="1:3" x14ac:dyDescent="0.25">
      <c r="A32" s="16" t="s">
        <v>493</v>
      </c>
      <c r="B32" s="16" t="s">
        <v>384</v>
      </c>
      <c r="C32" s="13">
        <v>92</v>
      </c>
    </row>
    <row r="33" spans="1:5" x14ac:dyDescent="0.25">
      <c r="A33" s="16" t="s">
        <v>493</v>
      </c>
      <c r="B33" s="16" t="s">
        <v>389</v>
      </c>
      <c r="C33" s="13">
        <v>91</v>
      </c>
    </row>
    <row r="34" spans="1:5" x14ac:dyDescent="0.25">
      <c r="A34" s="16" t="s">
        <v>493</v>
      </c>
      <c r="B34" s="16" t="s">
        <v>303</v>
      </c>
      <c r="C34" s="13">
        <v>28</v>
      </c>
    </row>
    <row r="35" spans="1:5" x14ac:dyDescent="0.25">
      <c r="A35" s="16" t="s">
        <v>623</v>
      </c>
      <c r="B35" s="16" t="s">
        <v>303</v>
      </c>
      <c r="C35" s="13">
        <v>64</v>
      </c>
    </row>
    <row r="36" spans="1:5" x14ac:dyDescent="0.25">
      <c r="A36" s="16" t="s">
        <v>668</v>
      </c>
      <c r="B36" s="16" t="s">
        <v>303</v>
      </c>
      <c r="C36" s="13">
        <v>2</v>
      </c>
    </row>
    <row r="39" spans="1:5" x14ac:dyDescent="0.25">
      <c r="A39" s="2" t="s">
        <v>1002</v>
      </c>
    </row>
    <row r="40" spans="1:5" x14ac:dyDescent="0.25">
      <c r="A40" s="15" t="s">
        <v>1011</v>
      </c>
      <c r="B40" s="15" t="s">
        <v>295</v>
      </c>
      <c r="C40" s="15" t="s">
        <v>676</v>
      </c>
      <c r="D40" s="15" t="s">
        <v>1012</v>
      </c>
      <c r="E40" s="15" t="s">
        <v>1010</v>
      </c>
    </row>
    <row r="41" spans="1:5" ht="30" customHeight="1" x14ac:dyDescent="0.25">
      <c r="A41" s="12" t="s">
        <v>304</v>
      </c>
      <c r="B41" s="12" t="s">
        <v>677</v>
      </c>
      <c r="C41" s="16" t="s">
        <v>384</v>
      </c>
      <c r="D41" s="13">
        <v>1</v>
      </c>
      <c r="E41" s="13">
        <v>132</v>
      </c>
    </row>
    <row r="42" spans="1:5" ht="30" customHeight="1" x14ac:dyDescent="0.25">
      <c r="A42" s="12" t="s">
        <v>348</v>
      </c>
      <c r="B42" s="12" t="s">
        <v>678</v>
      </c>
      <c r="C42" s="16" t="s">
        <v>384</v>
      </c>
      <c r="D42" s="13">
        <v>1</v>
      </c>
      <c r="E42" s="13">
        <v>20</v>
      </c>
    </row>
    <row r="43" spans="1:5" x14ac:dyDescent="0.25">
      <c r="A43" s="12" t="s">
        <v>368</v>
      </c>
      <c r="B43" s="12" t="s">
        <v>679</v>
      </c>
      <c r="C43" s="16" t="s">
        <v>384</v>
      </c>
      <c r="D43" s="13">
        <v>1</v>
      </c>
      <c r="E43" s="13">
        <v>18</v>
      </c>
    </row>
    <row r="44" spans="1:5" ht="30" customHeight="1" x14ac:dyDescent="0.25">
      <c r="A44" s="12" t="s">
        <v>374</v>
      </c>
      <c r="B44" s="12" t="s">
        <v>680</v>
      </c>
      <c r="C44" s="16" t="s">
        <v>384</v>
      </c>
      <c r="D44" s="13">
        <v>1</v>
      </c>
      <c r="E44" s="1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HIDROSSANITÁRIO</vt:lpstr>
      <vt:lpstr>HIDROSSANITÁRIO v2</vt:lpstr>
      <vt:lpstr>Por Pavimento</vt:lpstr>
      <vt:lpstr>Flat por PDF</vt:lpstr>
      <vt:lpstr>Rateio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2026-04-15T06:33:44Z</dcterms:created>
  <dcterms:modified xsi:type="dcterms:W3CDTF">2026-04-17T13:50:50Z</dcterms:modified>
</cp:coreProperties>
</file>