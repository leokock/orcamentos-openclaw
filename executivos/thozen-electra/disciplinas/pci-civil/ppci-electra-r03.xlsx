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Poppins"/>
      <b val="1"/>
      <color rgb="00FFFFFF"/>
      <sz val="10"/>
    </font>
    <font>
      <name val="Arial"/>
      <b val="1"/>
      <color rgb="00000000"/>
      <sz val="11"/>
    </font>
    <font>
      <name val="Arial"/>
      <color rgb="00333333"/>
      <sz val="11"/>
    </font>
    <font>
      <name val="Arial"/>
      <b val="1"/>
      <color rgb="00333333"/>
      <sz val="11"/>
    </font>
    <font>
      <name val="Arial"/>
      <b val="1"/>
      <color rgb="00666666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FF1851D6"/>
        <bgColor rgb="FF1851D6"/>
      </patternFill>
    </fill>
    <fill>
      <patternFill patternType="solid">
        <fgColor rgb="FF333333"/>
        <bgColor rgb="FF333333"/>
      </patternFill>
    </fill>
    <fill>
      <patternFill patternType="solid">
        <fgColor rgb="FF8DB4E2"/>
        <bgColor rgb="FF8DB4E2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6" fillId="0" borderId="0" pivotButton="0" quotePrefix="0" xfId="0"/>
    <xf numFmtId="4" fontId="6" fillId="0" borderId="0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right"/>
    </xf>
    <xf numFmtId="4" fontId="7" fillId="5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right"/>
    </xf>
    <xf numFmtId="4" fontId="5" fillId="6" borderId="1" pivotButton="0" quotePrefix="0" xfId="0"/>
    <xf numFmtId="0" fontId="3" fillId="2" borderId="1" pivotButton="0" quotePrefix="0" xfId="0"/>
    <xf numFmtId="4" fontId="3" fillId="2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40" customWidth="1" min="4" max="4"/>
    <col width="50" customWidth="1" min="5" max="5"/>
    <col width="13" customWidth="1" min="6" max="6"/>
    <col width="12" customWidth="1" min="7" max="7"/>
    <col width="8" customWidth="1" min="8" max="8"/>
    <col width="14" customWidth="1" min="9" max="9"/>
    <col width="10" customWidth="1" min="10" max="10"/>
    <col width="14" customWidth="1" min="11" max="11"/>
    <col width="19" customWidth="1" min="12" max="12"/>
  </cols>
  <sheetData>
    <row r="1">
      <c r="C1" s="1" t="inlineStr">
        <is>
          <t>Projeto</t>
        </is>
      </c>
      <c r="D1" s="2" t="inlineStr">
        <is>
          <t>Electra Towers</t>
        </is>
      </c>
    </row>
    <row r="2">
      <c r="C2" s="1" t="inlineStr">
        <is>
          <t>Empresa</t>
        </is>
      </c>
      <c r="D2" s="2" t="inlineStr">
        <is>
          <t>Thozen</t>
        </is>
      </c>
    </row>
    <row r="3">
      <c r="C3" s="1" t="inlineStr">
        <is>
          <t>Origem</t>
        </is>
      </c>
      <c r="D3" s="2" t="inlineStr">
        <is>
          <t>CTN-TZN_PCI_EX_000_QTD_R03</t>
        </is>
      </c>
    </row>
    <row r="4">
      <c r="C4" s="1" t="inlineStr">
        <is>
          <t>Revisão</t>
        </is>
      </c>
      <c r="D4" s="2" t="inlineStr">
        <is>
          <t>R03 - Jarvis 25/03/2026</t>
        </is>
      </c>
    </row>
    <row r="5">
      <c r="A5" s="3" t="inlineStr">
        <is>
          <t>PREVENÇÃO COMBATE INCÊNDIO</t>
        </is>
      </c>
    </row>
    <row r="6">
      <c r="A6" s="4" t="inlineStr">
        <is>
          <t>UC</t>
        </is>
      </c>
      <c r="B6" s="4" t="inlineStr">
        <is>
          <t>PAVIMENTO</t>
        </is>
      </c>
      <c r="C6" s="4" t="inlineStr">
        <is>
          <t>GRUPO/EAP</t>
        </is>
      </c>
      <c r="D6" s="4" t="inlineStr">
        <is>
          <t>SUBGRUPO</t>
        </is>
      </c>
      <c r="E6" s="4" t="inlineStr">
        <is>
          <t>Descrição</t>
        </is>
      </c>
      <c r="F6" s="4" t="inlineStr">
        <is>
          <t>Quantidade</t>
        </is>
      </c>
      <c r="G6" s="4" t="inlineStr">
        <is>
          <t>Repetição</t>
        </is>
      </c>
      <c r="H6" s="4" t="inlineStr">
        <is>
          <t>Perda</t>
        </is>
      </c>
      <c r="I6" s="4" t="inlineStr">
        <is>
          <t>Qte com perda</t>
        </is>
      </c>
      <c r="J6" s="4" t="inlineStr">
        <is>
          <t>Unidade</t>
        </is>
      </c>
      <c r="K6" s="4" t="inlineStr">
        <is>
          <t>Custo unitário</t>
        </is>
      </c>
      <c r="L6" s="4" t="inlineStr">
        <is>
          <t>Custo Total</t>
        </is>
      </c>
    </row>
    <row r="7">
      <c r="A7" s="5" t="inlineStr">
        <is>
          <t>EMBASAMENTO</t>
        </is>
      </c>
      <c r="B7" s="5" t="inlineStr">
        <is>
          <t>TÉRREO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6" t="inlineStr">
        <is>
          <t>EMBASAMENTO</t>
        </is>
      </c>
      <c r="B8" s="6" t="inlineStr">
        <is>
          <t>TÉRREO</t>
        </is>
      </c>
      <c r="C8" s="6" t="inlineStr">
        <is>
          <t>SHP</t>
        </is>
      </c>
      <c r="D8" s="6" t="inlineStr">
        <is>
          <t>Sistema Hidráulico Preventivo (SHP)</t>
        </is>
      </c>
      <c r="E8" s="6" t="inlineStr">
        <is>
          <t>Tubo de cobre Ø2"</t>
        </is>
      </c>
      <c r="F8" s="7" t="n">
        <v>60</v>
      </c>
      <c r="G8" s="6" t="n">
        <v>1</v>
      </c>
      <c r="H8" s="6" t="n">
        <v>0</v>
      </c>
      <c r="I8" s="7">
        <f>(F8+H8*F8)*G8</f>
        <v/>
      </c>
      <c r="J8" s="6" t="inlineStr">
        <is>
          <t>m</t>
        </is>
      </c>
      <c r="K8" s="7" t="n">
        <v>315</v>
      </c>
      <c r="L8" s="7">
        <f>I8*K8</f>
        <v/>
      </c>
    </row>
    <row r="9">
      <c r="A9" s="6" t="inlineStr">
        <is>
          <t>EMBASAMENTO</t>
        </is>
      </c>
      <c r="B9" s="6" t="inlineStr">
        <is>
          <t>TÉRREO</t>
        </is>
      </c>
      <c r="C9" s="6" t="inlineStr">
        <is>
          <t>SHP</t>
        </is>
      </c>
      <c r="D9" s="6" t="inlineStr">
        <is>
          <t>Sistema Hidráulico Preventivo (SHP)</t>
        </is>
      </c>
      <c r="E9" s="6" t="inlineStr">
        <is>
          <t>Joelho 90° Cobre Ø2"</t>
        </is>
      </c>
      <c r="F9" s="7" t="n">
        <v>6</v>
      </c>
      <c r="G9" s="6" t="n">
        <v>1</v>
      </c>
      <c r="H9" s="6" t="n">
        <v>0</v>
      </c>
      <c r="I9" s="7">
        <f>(F9+H9*F9)*G9</f>
        <v/>
      </c>
      <c r="J9" s="6" t="inlineStr">
        <is>
          <t>pç</t>
        </is>
      </c>
      <c r="K9" s="7" t="n">
        <v>38</v>
      </c>
      <c r="L9" s="7">
        <f>I9*K9</f>
        <v/>
      </c>
    </row>
    <row r="10">
      <c r="A10" s="6" t="inlineStr">
        <is>
          <t>EMBASAMENTO</t>
        </is>
      </c>
      <c r="B10" s="6" t="inlineStr">
        <is>
          <t>TÉRREO</t>
        </is>
      </c>
      <c r="C10" s="6" t="inlineStr">
        <is>
          <t>SHP</t>
        </is>
      </c>
      <c r="D10" s="6" t="inlineStr">
        <is>
          <t>Sistema Hidráulico Preventivo (SHP)</t>
        </is>
      </c>
      <c r="E10" s="6" t="inlineStr">
        <is>
          <t>Tê Cobre Ø2"</t>
        </is>
      </c>
      <c r="F10" s="7" t="n">
        <v>4</v>
      </c>
      <c r="G10" s="6" t="n">
        <v>1</v>
      </c>
      <c r="H10" s="6" t="n">
        <v>0</v>
      </c>
      <c r="I10" s="7">
        <f>(F10+H10*F10)*G10</f>
        <v/>
      </c>
      <c r="J10" s="6" t="inlineStr">
        <is>
          <t>pç</t>
        </is>
      </c>
      <c r="K10" s="7" t="n">
        <v>98</v>
      </c>
      <c r="L10" s="7">
        <f>I10*K10</f>
        <v/>
      </c>
    </row>
    <row r="11">
      <c r="A11" s="6" t="inlineStr">
        <is>
          <t>EMBASAMENTO</t>
        </is>
      </c>
      <c r="B11" s="6" t="inlineStr">
        <is>
          <t>TÉRREO</t>
        </is>
      </c>
      <c r="C11" s="6" t="inlineStr">
        <is>
          <t>HIDRANTE</t>
        </is>
      </c>
      <c r="D11" s="6" t="inlineStr">
        <is>
          <t>Sistema Hidráulico Preventivo (SHP)</t>
        </is>
      </c>
      <c r="E11" s="6" t="inlineStr">
        <is>
          <t>Hidrante com Mangotinho 30m 60x100cm</t>
        </is>
      </c>
      <c r="F11" s="7" t="n">
        <v>5</v>
      </c>
      <c r="G11" s="6" t="n">
        <v>1</v>
      </c>
      <c r="H11" s="6" t="n">
        <v>0</v>
      </c>
      <c r="I11" s="7">
        <f>(F11+H11*F11)*G11</f>
        <v/>
      </c>
      <c r="J11" s="6" t="inlineStr">
        <is>
          <t>pç</t>
        </is>
      </c>
      <c r="K11" s="7" t="n">
        <v>1128</v>
      </c>
      <c r="L11" s="7">
        <f>I11*K11</f>
        <v/>
      </c>
    </row>
    <row r="12">
      <c r="A12" s="6" t="inlineStr">
        <is>
          <t>EMBASAMENTO</t>
        </is>
      </c>
      <c r="B12" s="6" t="inlineStr">
        <is>
          <t>TÉRREO</t>
        </is>
      </c>
      <c r="C12" s="6" t="inlineStr">
        <is>
          <t>EXTINTORES</t>
        </is>
      </c>
      <c r="D12" s="6" t="inlineStr">
        <is>
          <t>Sistema Preventivo por Extintores</t>
        </is>
      </c>
      <c r="E12" s="6" t="inlineStr">
        <is>
          <t>Extintor PQS 4Kg (2-A:20-B:C)</t>
        </is>
      </c>
      <c r="F12" s="7" t="n">
        <v>11</v>
      </c>
      <c r="G12" s="6" t="n">
        <v>1</v>
      </c>
      <c r="H12" s="6" t="n">
        <v>0</v>
      </c>
      <c r="I12" s="7">
        <f>(F12+H12*F12)*G12</f>
        <v/>
      </c>
      <c r="J12" s="6" t="inlineStr">
        <is>
          <t>pç</t>
        </is>
      </c>
      <c r="K12" s="7" t="n">
        <v>120</v>
      </c>
      <c r="L12" s="7">
        <f>I12*K12</f>
        <v/>
      </c>
    </row>
    <row r="13">
      <c r="A13" s="6" t="inlineStr">
        <is>
          <t>EMBASAMENTO</t>
        </is>
      </c>
      <c r="B13" s="6" t="inlineStr">
        <is>
          <t>TÉRREO</t>
        </is>
      </c>
      <c r="C13" s="6" t="inlineStr">
        <is>
          <t>EXTINTORES</t>
        </is>
      </c>
      <c r="D13" s="6" t="inlineStr">
        <is>
          <t>Sistema Preventivo por Extintores</t>
        </is>
      </c>
      <c r="E13" s="6" t="inlineStr">
        <is>
          <t>Extintor CO2 6kg (5-B:C)</t>
        </is>
      </c>
      <c r="F13" s="7" t="n">
        <v>2</v>
      </c>
      <c r="G13" s="6" t="n">
        <v>1</v>
      </c>
      <c r="H13" s="6" t="n">
        <v>0</v>
      </c>
      <c r="I13" s="7">
        <f>(F13+H13*F13)*G13</f>
        <v/>
      </c>
      <c r="J13" s="6" t="inlineStr">
        <is>
          <t>pç</t>
        </is>
      </c>
      <c r="K13" s="7" t="n">
        <v>550</v>
      </c>
      <c r="L13" s="7">
        <f>I13*K13</f>
        <v/>
      </c>
    </row>
    <row r="14">
      <c r="A14" s="6" t="inlineStr">
        <is>
          <t>EMBASAMENTO</t>
        </is>
      </c>
      <c r="B14" s="6" t="inlineStr">
        <is>
          <t>TÉRREO</t>
        </is>
      </c>
      <c r="C14" s="6" t="inlineStr">
        <is>
          <t>SINALIZAÇÃO</t>
        </is>
      </c>
      <c r="D14" s="6" t="inlineStr">
        <is>
          <t>Sinalização de Abandono de Local (SAL)</t>
        </is>
      </c>
      <c r="E14" s="6" t="inlineStr">
        <is>
          <t>Placa Indicativa - Número do Pavimento 200x100 mm</t>
        </is>
      </c>
      <c r="F14" s="7" t="n">
        <v>2</v>
      </c>
      <c r="G14" s="6" t="n">
        <v>1</v>
      </c>
      <c r="H14" s="6" t="n">
        <v>0</v>
      </c>
      <c r="I14" s="7">
        <f>(F14+H14*F14)*G14</f>
        <v/>
      </c>
      <c r="J14" s="6" t="inlineStr">
        <is>
          <t>pç</t>
        </is>
      </c>
      <c r="K14" s="7" t="n">
        <v>15</v>
      </c>
      <c r="L14" s="7">
        <f>I14*K14</f>
        <v/>
      </c>
    </row>
    <row r="15">
      <c r="A15" s="6" t="inlineStr">
        <is>
          <t>EMBASAMENTO</t>
        </is>
      </c>
      <c r="B15" s="6" t="inlineStr">
        <is>
          <t>TÉRREO</t>
        </is>
      </c>
      <c r="C15" s="6" t="inlineStr">
        <is>
          <t>SINALIZAÇÃO</t>
        </is>
      </c>
      <c r="D15" s="6" t="inlineStr">
        <is>
          <t>Sinalização de Abandono de Local (SAL)</t>
        </is>
      </c>
      <c r="E15" s="6" t="inlineStr">
        <is>
          <t>Placa Indicativa - Elevador de Emergência 250x125 mm</t>
        </is>
      </c>
      <c r="F15" s="7" t="n">
        <v>2</v>
      </c>
      <c r="G15" s="6" t="n">
        <v>1</v>
      </c>
      <c r="H15" s="6" t="n">
        <v>0</v>
      </c>
      <c r="I15" s="7">
        <f>(F15+H15*F15)*G15</f>
        <v/>
      </c>
      <c r="J15" s="6" t="inlineStr">
        <is>
          <t>pç</t>
        </is>
      </c>
      <c r="K15" s="7" t="n">
        <v>15</v>
      </c>
      <c r="L15" s="7">
        <f>I15*K15</f>
        <v/>
      </c>
    </row>
    <row r="16">
      <c r="A16" s="6" t="inlineStr">
        <is>
          <t>EMBASAMENTO</t>
        </is>
      </c>
      <c r="B16" s="6" t="inlineStr">
        <is>
          <t>TÉRREO</t>
        </is>
      </c>
      <c r="C16" s="6" t="inlineStr">
        <is>
          <t>SINALIZAÇÃO</t>
        </is>
      </c>
      <c r="D16" s="6" t="inlineStr">
        <is>
          <t>Sinalização de Abandono de Local (SAL)</t>
        </is>
      </c>
      <c r="E16" s="6" t="inlineStr">
        <is>
          <t>Placa Fotoluminescente E5 - Extintor de Incêndio</t>
        </is>
      </c>
      <c r="F16" s="7" t="n">
        <v>9</v>
      </c>
      <c r="G16" s="6" t="n">
        <v>1</v>
      </c>
      <c r="H16" s="6" t="n">
        <v>0</v>
      </c>
      <c r="I16" s="7">
        <f>(F16+H16*F16)*G16</f>
        <v/>
      </c>
      <c r="J16" s="6" t="inlineStr">
        <is>
          <t>pç</t>
        </is>
      </c>
      <c r="K16" s="7" t="n">
        <v>15</v>
      </c>
      <c r="L16" s="7">
        <f>I16*K16</f>
        <v/>
      </c>
    </row>
    <row r="17">
      <c r="A17" s="8" t="inlineStr">
        <is>
          <t>EMBASAMENTO</t>
        </is>
      </c>
      <c r="B17" s="8" t="inlineStr">
        <is>
          <t>TÉRREO</t>
        </is>
      </c>
      <c r="C17" s="8" t="inlineStr">
        <is>
          <t>SINALIZAÇÃO</t>
        </is>
      </c>
      <c r="D17" s="8" t="inlineStr">
        <is>
          <t>Sinalização de Abandono de Local (SAL)</t>
        </is>
      </c>
      <c r="E17" s="8" t="inlineStr">
        <is>
          <t>Placa de sinalização de emergência fotoluminescente (rota de fuga)</t>
        </is>
      </c>
      <c r="F17" s="9" t="n">
        <v>11</v>
      </c>
      <c r="G17" s="8" t="n">
        <v>1</v>
      </c>
      <c r="H17" s="8" t="n">
        <v>0</v>
      </c>
      <c r="I17" s="9">
        <f>(F17+H17*F17)*G17</f>
        <v/>
      </c>
      <c r="J17" s="8" t="inlineStr">
        <is>
          <t>pç</t>
        </is>
      </c>
      <c r="K17" s="9" t="n">
        <v>15</v>
      </c>
      <c r="L17" s="9">
        <f>I17*K17</f>
        <v/>
      </c>
    </row>
    <row r="18">
      <c r="A18" s="8" t="inlineStr">
        <is>
          <t>EMBASAMENTO</t>
        </is>
      </c>
      <c r="B18" s="8" t="inlineStr">
        <is>
          <t>TÉRREO</t>
        </is>
      </c>
      <c r="C18" s="8" t="inlineStr">
        <is>
          <t>ALARME DE INCÊNDIO</t>
        </is>
      </c>
      <c r="D18" s="8" t="inlineStr">
        <is>
          <t>Sistema de Alarme e Detecção de Incêndio</t>
        </is>
      </c>
      <c r="E18" s="8" t="inlineStr">
        <is>
          <t>Luminária de emergência autônoma LED</t>
        </is>
      </c>
      <c r="F18" s="9" t="n">
        <v>41</v>
      </c>
      <c r="G18" s="8" t="n">
        <v>1</v>
      </c>
      <c r="H18" s="8" t="n">
        <v>0</v>
      </c>
      <c r="I18" s="9">
        <f>(F18+H18*F18)*G18</f>
        <v/>
      </c>
      <c r="J18" s="8" t="inlineStr">
        <is>
          <t>pç</t>
        </is>
      </c>
      <c r="K18" s="9" t="n">
        <v>45</v>
      </c>
      <c r="L18" s="9">
        <f>I18*K18</f>
        <v/>
      </c>
    </row>
    <row r="19">
      <c r="A19" s="8" t="inlineStr">
        <is>
          <t>EMBASAMENTO</t>
        </is>
      </c>
      <c r="B19" s="8" t="inlineStr">
        <is>
          <t>TÉRREO</t>
        </is>
      </c>
      <c r="C19" s="8" t="inlineStr">
        <is>
          <t>ALARME DE INCÊNDIO</t>
        </is>
      </c>
      <c r="D19" s="8" t="inlineStr">
        <is>
          <t>Sistema de Alarme e Detecção de Incêndio</t>
        </is>
      </c>
      <c r="E19" s="8" t="inlineStr">
        <is>
          <t>Sirene/Campainha de alarme de incêndio</t>
        </is>
      </c>
      <c r="F19" s="9" t="n">
        <v>13</v>
      </c>
      <c r="G19" s="8" t="n">
        <v>1</v>
      </c>
      <c r="H19" s="8" t="n">
        <v>0</v>
      </c>
      <c r="I19" s="9">
        <f>(F19+H19*F19)*G19</f>
        <v/>
      </c>
      <c r="J19" s="8" t="inlineStr">
        <is>
          <t>pç</t>
        </is>
      </c>
      <c r="K19" s="9" t="n">
        <v>85</v>
      </c>
      <c r="L19" s="9">
        <f>I19*K19</f>
        <v/>
      </c>
    </row>
    <row r="20">
      <c r="A20" s="10" t="n"/>
      <c r="B20" s="10" t="n"/>
      <c r="C20" s="10" t="n"/>
      <c r="D20" s="10" t="n"/>
      <c r="E20" s="11" t="inlineStr">
        <is>
          <t>Subtotal TÉRREO</t>
        </is>
      </c>
      <c r="F20" s="10" t="n"/>
      <c r="G20" s="10" t="n"/>
      <c r="H20" s="10" t="n"/>
      <c r="I20" s="10" t="n"/>
      <c r="J20" s="10" t="n"/>
      <c r="K20" s="10" t="n"/>
      <c r="L20" s="12">
        <f>SUM(L8:L19)</f>
        <v/>
      </c>
    </row>
    <row r="21">
      <c r="A21" s="5" t="inlineStr">
        <is>
          <t>EMBASAMENTO</t>
        </is>
      </c>
      <c r="B21" s="5" t="inlineStr">
        <is>
          <t>GARAGEM 01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6" t="inlineStr">
        <is>
          <t>EMBASAMENTO</t>
        </is>
      </c>
      <c r="B22" s="6" t="inlineStr">
        <is>
          <t>GARAGEM 01</t>
        </is>
      </c>
      <c r="C22" s="6" t="inlineStr">
        <is>
          <t>SHP</t>
        </is>
      </c>
      <c r="D22" s="6" t="inlineStr">
        <is>
          <t>Sistema Hidráulico Preventivo (SHP)</t>
        </is>
      </c>
      <c r="E22" s="6" t="inlineStr">
        <is>
          <t>Tubo de cobre Ø2"</t>
        </is>
      </c>
      <c r="F22" s="7" t="n">
        <v>20</v>
      </c>
      <c r="G22" s="6" t="n">
        <v>1</v>
      </c>
      <c r="H22" s="6" t="n">
        <v>0</v>
      </c>
      <c r="I22" s="7">
        <f>(F22+H22*F22)*G22</f>
        <v/>
      </c>
      <c r="J22" s="6" t="inlineStr">
        <is>
          <t>m</t>
        </is>
      </c>
      <c r="K22" s="7" t="n">
        <v>315</v>
      </c>
      <c r="L22" s="7">
        <f>I22*K22</f>
        <v/>
      </c>
    </row>
    <row r="23">
      <c r="A23" s="6" t="inlineStr">
        <is>
          <t>EMBASAMENTO</t>
        </is>
      </c>
      <c r="B23" s="6" t="inlineStr">
        <is>
          <t>GARAGEM 01</t>
        </is>
      </c>
      <c r="C23" s="6" t="inlineStr">
        <is>
          <t>SHP</t>
        </is>
      </c>
      <c r="D23" s="6" t="inlineStr">
        <is>
          <t>Sistema Hidráulico Preventivo (SHP)</t>
        </is>
      </c>
      <c r="E23" s="6" t="inlineStr">
        <is>
          <t>Joelho 90° Cobre Ø2"</t>
        </is>
      </c>
      <c r="F23" s="7" t="n">
        <v>2</v>
      </c>
      <c r="G23" s="6" t="n">
        <v>1</v>
      </c>
      <c r="H23" s="6" t="n">
        <v>0</v>
      </c>
      <c r="I23" s="7">
        <f>(F23+H23*F23)*G23</f>
        <v/>
      </c>
      <c r="J23" s="6" t="inlineStr">
        <is>
          <t>pç</t>
        </is>
      </c>
      <c r="K23" s="7" t="n">
        <v>38</v>
      </c>
      <c r="L23" s="7">
        <f>I23*K23</f>
        <v/>
      </c>
    </row>
    <row r="24">
      <c r="A24" s="6" t="inlineStr">
        <is>
          <t>EMBASAMENTO</t>
        </is>
      </c>
      <c r="B24" s="6" t="inlineStr">
        <is>
          <t>GARAGEM 01</t>
        </is>
      </c>
      <c r="C24" s="6" t="inlineStr">
        <is>
          <t>SHP</t>
        </is>
      </c>
      <c r="D24" s="6" t="inlineStr">
        <is>
          <t>Sistema Hidráulico Preventivo (SHP)</t>
        </is>
      </c>
      <c r="E24" s="6" t="inlineStr">
        <is>
          <t>Tê Cobre Ø2"</t>
        </is>
      </c>
      <c r="F24" s="7" t="n">
        <v>2</v>
      </c>
      <c r="G24" s="6" t="n">
        <v>1</v>
      </c>
      <c r="H24" s="6" t="n">
        <v>0</v>
      </c>
      <c r="I24" s="7">
        <f>(F24+H24*F24)*G24</f>
        <v/>
      </c>
      <c r="J24" s="6" t="inlineStr">
        <is>
          <t>pç</t>
        </is>
      </c>
      <c r="K24" s="7" t="n">
        <v>98</v>
      </c>
      <c r="L24" s="7">
        <f>I24*K24</f>
        <v/>
      </c>
    </row>
    <row r="25">
      <c r="A25" s="6" t="inlineStr">
        <is>
          <t>EMBASAMENTO</t>
        </is>
      </c>
      <c r="B25" s="6" t="inlineStr">
        <is>
          <t>GARAGEM 01</t>
        </is>
      </c>
      <c r="C25" s="6" t="inlineStr">
        <is>
          <t>HIDRANTE</t>
        </is>
      </c>
      <c r="D25" s="6" t="inlineStr">
        <is>
          <t>Sistema Hidráulico Preventivo (SHP)</t>
        </is>
      </c>
      <c r="E25" s="6" t="inlineStr">
        <is>
          <t>Hidrante com Mangotinho 30m 60x100cm</t>
        </is>
      </c>
      <c r="F25" s="7" t="n">
        <v>2</v>
      </c>
      <c r="G25" s="6" t="n">
        <v>1</v>
      </c>
      <c r="H25" s="6" t="n">
        <v>0</v>
      </c>
      <c r="I25" s="7">
        <f>(F25+H25*F25)*G25</f>
        <v/>
      </c>
      <c r="J25" s="6" t="inlineStr">
        <is>
          <t>pç</t>
        </is>
      </c>
      <c r="K25" s="7" t="n">
        <v>1128</v>
      </c>
      <c r="L25" s="7">
        <f>I25*K25</f>
        <v/>
      </c>
    </row>
    <row r="26">
      <c r="A26" s="6" t="inlineStr">
        <is>
          <t>EMBASAMENTO</t>
        </is>
      </c>
      <c r="B26" s="6" t="inlineStr">
        <is>
          <t>GARAGEM 01</t>
        </is>
      </c>
      <c r="C26" s="6" t="inlineStr">
        <is>
          <t>EXTINTORES</t>
        </is>
      </c>
      <c r="D26" s="6" t="inlineStr">
        <is>
          <t>Sistema Preventivo por Extintores</t>
        </is>
      </c>
      <c r="E26" s="6" t="inlineStr">
        <is>
          <t>Extintor PQS 4Kg (2-A:20-B:C)</t>
        </is>
      </c>
      <c r="F26" s="7" t="n">
        <v>4</v>
      </c>
      <c r="G26" s="6" t="n">
        <v>1</v>
      </c>
      <c r="H26" s="6" t="n">
        <v>0</v>
      </c>
      <c r="I26" s="7">
        <f>(F26+H26*F26)*G26</f>
        <v/>
      </c>
      <c r="J26" s="6" t="inlineStr">
        <is>
          <t>pç</t>
        </is>
      </c>
      <c r="K26" s="7" t="n">
        <v>120</v>
      </c>
      <c r="L26" s="7">
        <f>I26*K26</f>
        <v/>
      </c>
    </row>
    <row r="27">
      <c r="A27" s="6" t="inlineStr">
        <is>
          <t>EMBASAMENTO</t>
        </is>
      </c>
      <c r="B27" s="6" t="inlineStr">
        <is>
          <t>GARAGEM 01</t>
        </is>
      </c>
      <c r="C27" s="6" t="inlineStr">
        <is>
          <t>SINALIZAÇÃO</t>
        </is>
      </c>
      <c r="D27" s="6" t="inlineStr">
        <is>
          <t>Sinalização de Abandono de Local (SAL)</t>
        </is>
      </c>
      <c r="E27" s="6" t="inlineStr">
        <is>
          <t>Placa Indicativa - Número do Pavimento 200x100 mm</t>
        </is>
      </c>
      <c r="F27" s="7" t="n">
        <v>2</v>
      </c>
      <c r="G27" s="6" t="n">
        <v>1</v>
      </c>
      <c r="H27" s="6" t="n">
        <v>0</v>
      </c>
      <c r="I27" s="7">
        <f>(F27+H27*F27)*G27</f>
        <v/>
      </c>
      <c r="J27" s="6" t="inlineStr">
        <is>
          <t>pç</t>
        </is>
      </c>
      <c r="K27" s="7" t="n">
        <v>15</v>
      </c>
      <c r="L27" s="7">
        <f>I27*K27</f>
        <v/>
      </c>
    </row>
    <row r="28">
      <c r="A28" s="6" t="inlineStr">
        <is>
          <t>EMBASAMENTO</t>
        </is>
      </c>
      <c r="B28" s="6" t="inlineStr">
        <is>
          <t>GARAGEM 01</t>
        </is>
      </c>
      <c r="C28" s="6" t="inlineStr">
        <is>
          <t>SINALIZAÇÃO</t>
        </is>
      </c>
      <c r="D28" s="6" t="inlineStr">
        <is>
          <t>Sinalização de Abandono de Local (SAL)</t>
        </is>
      </c>
      <c r="E28" s="6" t="inlineStr">
        <is>
          <t>Placa Indicativa - Elevador de Emergência 250x125 mm</t>
        </is>
      </c>
      <c r="F28" s="7" t="n">
        <v>2</v>
      </c>
      <c r="G28" s="6" t="n">
        <v>1</v>
      </c>
      <c r="H28" s="6" t="n">
        <v>0</v>
      </c>
      <c r="I28" s="7">
        <f>(F28+H28*F28)*G28</f>
        <v/>
      </c>
      <c r="J28" s="6" t="inlineStr">
        <is>
          <t>pç</t>
        </is>
      </c>
      <c r="K28" s="7" t="n">
        <v>15</v>
      </c>
      <c r="L28" s="7">
        <f>I28*K28</f>
        <v/>
      </c>
    </row>
    <row r="29">
      <c r="A29" s="6" t="inlineStr">
        <is>
          <t>EMBASAMENTO</t>
        </is>
      </c>
      <c r="B29" s="6" t="inlineStr">
        <is>
          <t>GARAGEM 01</t>
        </is>
      </c>
      <c r="C29" s="6" t="inlineStr">
        <is>
          <t>SINALIZAÇÃO</t>
        </is>
      </c>
      <c r="D29" s="6" t="inlineStr">
        <is>
          <t>Sinalização de Abandono de Local (SAL)</t>
        </is>
      </c>
      <c r="E29" s="6" t="inlineStr">
        <is>
          <t>Placa Fotoluminescente E5 - Extintor de Incêndio</t>
        </is>
      </c>
      <c r="F29" s="7" t="n">
        <v>4</v>
      </c>
      <c r="G29" s="6" t="n">
        <v>1</v>
      </c>
      <c r="H29" s="6" t="n">
        <v>0</v>
      </c>
      <c r="I29" s="7">
        <f>(F29+H29*F29)*G29</f>
        <v/>
      </c>
      <c r="J29" s="6" t="inlineStr">
        <is>
          <t>pç</t>
        </is>
      </c>
      <c r="K29" s="7" t="n">
        <v>15</v>
      </c>
      <c r="L29" s="7">
        <f>I29*K29</f>
        <v/>
      </c>
    </row>
    <row r="30">
      <c r="A30" s="8" t="inlineStr">
        <is>
          <t>EMBASAMENTO</t>
        </is>
      </c>
      <c r="B30" s="8" t="inlineStr">
        <is>
          <t>GARAGEM 01</t>
        </is>
      </c>
      <c r="C30" s="8" t="inlineStr">
        <is>
          <t>SINALIZAÇÃO</t>
        </is>
      </c>
      <c r="D30" s="8" t="inlineStr">
        <is>
          <t>Sinalização de Abandono de Local (SAL)</t>
        </is>
      </c>
      <c r="E30" s="8" t="inlineStr">
        <is>
          <t>Placa de sinalização de emergência fotoluminescente (rota de fuga)</t>
        </is>
      </c>
      <c r="F30" s="9" t="n">
        <v>2</v>
      </c>
      <c r="G30" s="8" t="n">
        <v>1</v>
      </c>
      <c r="H30" s="8" t="n">
        <v>0</v>
      </c>
      <c r="I30" s="9">
        <f>(F30+H30*F30)*G30</f>
        <v/>
      </c>
      <c r="J30" s="8" t="inlineStr">
        <is>
          <t>pç</t>
        </is>
      </c>
      <c r="K30" s="9" t="n">
        <v>15</v>
      </c>
      <c r="L30" s="9">
        <f>I30*K30</f>
        <v/>
      </c>
    </row>
    <row r="31">
      <c r="A31" s="8" t="inlineStr">
        <is>
          <t>EMBASAMENTO</t>
        </is>
      </c>
      <c r="B31" s="8" t="inlineStr">
        <is>
          <t>GARAGEM 01</t>
        </is>
      </c>
      <c r="C31" s="8" t="inlineStr">
        <is>
          <t>ALARME DE INCÊNDIO</t>
        </is>
      </c>
      <c r="D31" s="8" t="inlineStr">
        <is>
          <t>Sistema de Alarme e Detecção de Incêndio</t>
        </is>
      </c>
      <c r="E31" s="8" t="inlineStr">
        <is>
          <t>Luminária de emergência autônoma LED</t>
        </is>
      </c>
      <c r="F31" s="9" t="n">
        <v>37</v>
      </c>
      <c r="G31" s="8" t="n">
        <v>1</v>
      </c>
      <c r="H31" s="8" t="n">
        <v>0</v>
      </c>
      <c r="I31" s="9">
        <f>(F31+H31*F31)*G31</f>
        <v/>
      </c>
      <c r="J31" s="8" t="inlineStr">
        <is>
          <t>pç</t>
        </is>
      </c>
      <c r="K31" s="9" t="n">
        <v>45</v>
      </c>
      <c r="L31" s="9">
        <f>I31*K31</f>
        <v/>
      </c>
    </row>
    <row r="32">
      <c r="A32" s="8" t="inlineStr">
        <is>
          <t>EMBASAMENTO</t>
        </is>
      </c>
      <c r="B32" s="8" t="inlineStr">
        <is>
          <t>GARAGEM 01</t>
        </is>
      </c>
      <c r="C32" s="8" t="inlineStr">
        <is>
          <t>ALARME DE INCÊNDIO</t>
        </is>
      </c>
      <c r="D32" s="8" t="inlineStr">
        <is>
          <t>Sistema de Alarme e Detecção de Incêndio</t>
        </is>
      </c>
      <c r="E32" s="8" t="inlineStr">
        <is>
          <t>Sirene/Campainha de alarme de incêndio</t>
        </is>
      </c>
      <c r="F32" s="9" t="n">
        <v>5</v>
      </c>
      <c r="G32" s="8" t="n">
        <v>1</v>
      </c>
      <c r="H32" s="8" t="n">
        <v>0</v>
      </c>
      <c r="I32" s="9">
        <f>(F32+H32*F32)*G32</f>
        <v/>
      </c>
      <c r="J32" s="8" t="inlineStr">
        <is>
          <t>pç</t>
        </is>
      </c>
      <c r="K32" s="9" t="n">
        <v>85</v>
      </c>
      <c r="L32" s="9">
        <f>I32*K32</f>
        <v/>
      </c>
    </row>
    <row r="33">
      <c r="A33" s="10" t="n"/>
      <c r="B33" s="10" t="n"/>
      <c r="C33" s="10" t="n"/>
      <c r="D33" s="10" t="n"/>
      <c r="E33" s="11" t="inlineStr">
        <is>
          <t>Subtotal GARAGEM 01</t>
        </is>
      </c>
      <c r="F33" s="10" t="n"/>
      <c r="G33" s="10" t="n"/>
      <c r="H33" s="10" t="n"/>
      <c r="I33" s="10" t="n"/>
      <c r="J33" s="10" t="n"/>
      <c r="K33" s="10" t="n"/>
      <c r="L33" s="12">
        <f>SUM(L22:L32)</f>
        <v/>
      </c>
    </row>
    <row r="34">
      <c r="A34" s="5" t="inlineStr">
        <is>
          <t>EMBASAMENTO</t>
        </is>
      </c>
      <c r="B34" s="5" t="inlineStr">
        <is>
          <t>GARAGEM 02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6" t="inlineStr">
        <is>
          <t>EMBASAMENTO</t>
        </is>
      </c>
      <c r="B35" s="6" t="inlineStr">
        <is>
          <t>GARAGEM 02</t>
        </is>
      </c>
      <c r="C35" s="6" t="inlineStr">
        <is>
          <t>SHP</t>
        </is>
      </c>
      <c r="D35" s="6" t="inlineStr">
        <is>
          <t>Sistema Hidráulico Preventivo (SHP)</t>
        </is>
      </c>
      <c r="E35" s="6" t="inlineStr">
        <is>
          <t>Tubo de cobre Ø2"</t>
        </is>
      </c>
      <c r="F35" s="7" t="n">
        <v>16</v>
      </c>
      <c r="G35" s="6" t="n">
        <v>1</v>
      </c>
      <c r="H35" s="6" t="n">
        <v>0</v>
      </c>
      <c r="I35" s="7">
        <f>(F35+H35*F35)*G35</f>
        <v/>
      </c>
      <c r="J35" s="6" t="inlineStr">
        <is>
          <t>m</t>
        </is>
      </c>
      <c r="K35" s="7" t="n">
        <v>315</v>
      </c>
      <c r="L35" s="7">
        <f>I35*K35</f>
        <v/>
      </c>
    </row>
    <row r="36">
      <c r="A36" s="6" t="inlineStr">
        <is>
          <t>EMBASAMENTO</t>
        </is>
      </c>
      <c r="B36" s="6" t="inlineStr">
        <is>
          <t>GARAGEM 02</t>
        </is>
      </c>
      <c r="C36" s="6" t="inlineStr">
        <is>
          <t>SHP</t>
        </is>
      </c>
      <c r="D36" s="6" t="inlineStr">
        <is>
          <t>Sistema Hidráulico Preventivo (SHP)</t>
        </is>
      </c>
      <c r="E36" s="6" t="inlineStr">
        <is>
          <t>Tê Cobre Ø2"</t>
        </is>
      </c>
      <c r="F36" s="7" t="n">
        <v>1</v>
      </c>
      <c r="G36" s="6" t="n">
        <v>1</v>
      </c>
      <c r="H36" s="6" t="n">
        <v>0</v>
      </c>
      <c r="I36" s="7">
        <f>(F36+H36*F36)*G36</f>
        <v/>
      </c>
      <c r="J36" s="6" t="inlineStr">
        <is>
          <t>pç</t>
        </is>
      </c>
      <c r="K36" s="7" t="n">
        <v>98</v>
      </c>
      <c r="L36" s="7">
        <f>I36*K36</f>
        <v/>
      </c>
    </row>
    <row r="37">
      <c r="A37" s="6" t="inlineStr">
        <is>
          <t>EMBASAMENTO</t>
        </is>
      </c>
      <c r="B37" s="6" t="inlineStr">
        <is>
          <t>GARAGEM 02</t>
        </is>
      </c>
      <c r="C37" s="6" t="inlineStr">
        <is>
          <t>HIDRANTE</t>
        </is>
      </c>
      <c r="D37" s="6" t="inlineStr">
        <is>
          <t>Sistema Hidráulico Preventivo (SHP)</t>
        </is>
      </c>
      <c r="E37" s="6" t="inlineStr">
        <is>
          <t>Hidrante com Mangotinho 30m 60x100cm</t>
        </is>
      </c>
      <c r="F37" s="7" t="n">
        <v>2</v>
      </c>
      <c r="G37" s="6" t="n">
        <v>1</v>
      </c>
      <c r="H37" s="6" t="n">
        <v>0</v>
      </c>
      <c r="I37" s="7">
        <f>(F37+H37*F37)*G37</f>
        <v/>
      </c>
      <c r="J37" s="6" t="inlineStr">
        <is>
          <t>pç</t>
        </is>
      </c>
      <c r="K37" s="7" t="n">
        <v>1128</v>
      </c>
      <c r="L37" s="7">
        <f>I37*K37</f>
        <v/>
      </c>
    </row>
    <row r="38">
      <c r="A38" s="6" t="inlineStr">
        <is>
          <t>EMBASAMENTO</t>
        </is>
      </c>
      <c r="B38" s="6" t="inlineStr">
        <is>
          <t>GARAGEM 02</t>
        </is>
      </c>
      <c r="C38" s="6" t="inlineStr">
        <is>
          <t>EXTINTORES</t>
        </is>
      </c>
      <c r="D38" s="6" t="inlineStr">
        <is>
          <t>Sistema Preventivo por Extintores</t>
        </is>
      </c>
      <c r="E38" s="6" t="inlineStr">
        <is>
          <t>Extintor PQS 4Kg (2-A:20-B:C)</t>
        </is>
      </c>
      <c r="F38" s="7" t="n">
        <v>4</v>
      </c>
      <c r="G38" s="6" t="n">
        <v>1</v>
      </c>
      <c r="H38" s="6" t="n">
        <v>0</v>
      </c>
      <c r="I38" s="7">
        <f>(F38+H38*F38)*G38</f>
        <v/>
      </c>
      <c r="J38" s="6" t="inlineStr">
        <is>
          <t>pç</t>
        </is>
      </c>
      <c r="K38" s="7" t="n">
        <v>120</v>
      </c>
      <c r="L38" s="7">
        <f>I38*K38</f>
        <v/>
      </c>
    </row>
    <row r="39">
      <c r="A39" s="6" t="inlineStr">
        <is>
          <t>EMBASAMENTO</t>
        </is>
      </c>
      <c r="B39" s="6" t="inlineStr">
        <is>
          <t>GARAGEM 02</t>
        </is>
      </c>
      <c r="C39" s="6" t="inlineStr">
        <is>
          <t>SINALIZAÇÃO</t>
        </is>
      </c>
      <c r="D39" s="6" t="inlineStr">
        <is>
          <t>Sinalização de Abandono de Local (SAL)</t>
        </is>
      </c>
      <c r="E39" s="6" t="inlineStr">
        <is>
          <t>Placa Indicativa - Número do Pavimento 200x100 mm</t>
        </is>
      </c>
      <c r="F39" s="7" t="n">
        <v>2</v>
      </c>
      <c r="G39" s="6" t="n">
        <v>1</v>
      </c>
      <c r="H39" s="6" t="n">
        <v>0</v>
      </c>
      <c r="I39" s="7">
        <f>(F39+H39*F39)*G39</f>
        <v/>
      </c>
      <c r="J39" s="6" t="inlineStr">
        <is>
          <t>pç</t>
        </is>
      </c>
      <c r="K39" s="7" t="n">
        <v>15</v>
      </c>
      <c r="L39" s="7">
        <f>I39*K39</f>
        <v/>
      </c>
    </row>
    <row r="40">
      <c r="A40" s="6" t="inlineStr">
        <is>
          <t>EMBASAMENTO</t>
        </is>
      </c>
      <c r="B40" s="6" t="inlineStr">
        <is>
          <t>GARAGEM 02</t>
        </is>
      </c>
      <c r="C40" s="6" t="inlineStr">
        <is>
          <t>SINALIZAÇÃO</t>
        </is>
      </c>
      <c r="D40" s="6" t="inlineStr">
        <is>
          <t>Sinalização de Abandono de Local (SAL)</t>
        </is>
      </c>
      <c r="E40" s="6" t="inlineStr">
        <is>
          <t>Placa Indicativa - Elevador de Emergência 250x125 mm</t>
        </is>
      </c>
      <c r="F40" s="7" t="n">
        <v>2</v>
      </c>
      <c r="G40" s="6" t="n">
        <v>1</v>
      </c>
      <c r="H40" s="6" t="n">
        <v>0</v>
      </c>
      <c r="I40" s="7">
        <f>(F40+H40*F40)*G40</f>
        <v/>
      </c>
      <c r="J40" s="6" t="inlineStr">
        <is>
          <t>pç</t>
        </is>
      </c>
      <c r="K40" s="7" t="n">
        <v>15</v>
      </c>
      <c r="L40" s="7">
        <f>I40*K40</f>
        <v/>
      </c>
    </row>
    <row r="41">
      <c r="A41" s="6" t="inlineStr">
        <is>
          <t>EMBASAMENTO</t>
        </is>
      </c>
      <c r="B41" s="6" t="inlineStr">
        <is>
          <t>GARAGEM 02</t>
        </is>
      </c>
      <c r="C41" s="6" t="inlineStr">
        <is>
          <t>SINALIZAÇÃO</t>
        </is>
      </c>
      <c r="D41" s="6" t="inlineStr">
        <is>
          <t>Sinalização de Abandono de Local (SAL)</t>
        </is>
      </c>
      <c r="E41" s="6" t="inlineStr">
        <is>
          <t>Placa Fotoluminescente E5 - Extintor de Incêndio</t>
        </is>
      </c>
      <c r="F41" s="7" t="n">
        <v>4</v>
      </c>
      <c r="G41" s="6" t="n">
        <v>1</v>
      </c>
      <c r="H41" s="6" t="n">
        <v>0</v>
      </c>
      <c r="I41" s="7">
        <f>(F41+H41*F41)*G41</f>
        <v/>
      </c>
      <c r="J41" s="6" t="inlineStr">
        <is>
          <t>pç</t>
        </is>
      </c>
      <c r="K41" s="7" t="n">
        <v>15</v>
      </c>
      <c r="L41" s="7">
        <f>I41*K41</f>
        <v/>
      </c>
    </row>
    <row r="42">
      <c r="A42" s="8" t="inlineStr">
        <is>
          <t>EMBASAMENTO</t>
        </is>
      </c>
      <c r="B42" s="8" t="inlineStr">
        <is>
          <t>GARAGEM 02</t>
        </is>
      </c>
      <c r="C42" s="8" t="inlineStr">
        <is>
          <t>SINALIZAÇÃO</t>
        </is>
      </c>
      <c r="D42" s="8" t="inlineStr">
        <is>
          <t>Sinalização de Abandono de Local (SAL)</t>
        </is>
      </c>
      <c r="E42" s="8" t="inlineStr">
        <is>
          <t>Placa de sinalização de emergência fotoluminescente (rota de fuga)</t>
        </is>
      </c>
      <c r="F42" s="9" t="n">
        <v>2</v>
      </c>
      <c r="G42" s="8" t="n">
        <v>1</v>
      </c>
      <c r="H42" s="8" t="n">
        <v>0</v>
      </c>
      <c r="I42" s="9">
        <f>(F42+H42*F42)*G42</f>
        <v/>
      </c>
      <c r="J42" s="8" t="inlineStr">
        <is>
          <t>pç</t>
        </is>
      </c>
      <c r="K42" s="9" t="n">
        <v>15</v>
      </c>
      <c r="L42" s="9">
        <f>I42*K42</f>
        <v/>
      </c>
    </row>
    <row r="43">
      <c r="A43" s="8" t="inlineStr">
        <is>
          <t>EMBASAMENTO</t>
        </is>
      </c>
      <c r="B43" s="8" t="inlineStr">
        <is>
          <t>GARAGEM 02</t>
        </is>
      </c>
      <c r="C43" s="8" t="inlineStr">
        <is>
          <t>ALARME DE INCÊNDIO</t>
        </is>
      </c>
      <c r="D43" s="8" t="inlineStr">
        <is>
          <t>Sistema de Alarme e Detecção de Incêndio</t>
        </is>
      </c>
      <c r="E43" s="8" t="inlineStr">
        <is>
          <t>Luminária de emergência autônoma LED</t>
        </is>
      </c>
      <c r="F43" s="9" t="n">
        <v>36</v>
      </c>
      <c r="G43" s="8" t="n">
        <v>1</v>
      </c>
      <c r="H43" s="8" t="n">
        <v>0</v>
      </c>
      <c r="I43" s="9">
        <f>(F43+H43*F43)*G43</f>
        <v/>
      </c>
      <c r="J43" s="8" t="inlineStr">
        <is>
          <t>pç</t>
        </is>
      </c>
      <c r="K43" s="9" t="n">
        <v>45</v>
      </c>
      <c r="L43" s="9">
        <f>I43*K43</f>
        <v/>
      </c>
    </row>
    <row r="44">
      <c r="A44" s="8" t="inlineStr">
        <is>
          <t>EMBASAMENTO</t>
        </is>
      </c>
      <c r="B44" s="8" t="inlineStr">
        <is>
          <t>GARAGEM 02</t>
        </is>
      </c>
      <c r="C44" s="8" t="inlineStr">
        <is>
          <t>ALARME DE INCÊNDIO</t>
        </is>
      </c>
      <c r="D44" s="8" t="inlineStr">
        <is>
          <t>Sistema de Alarme e Detecção de Incêndio</t>
        </is>
      </c>
      <c r="E44" s="8" t="inlineStr">
        <is>
          <t>Sirene/Campainha de alarme de incêndio</t>
        </is>
      </c>
      <c r="F44" s="9" t="n">
        <v>5</v>
      </c>
      <c r="G44" s="8" t="n">
        <v>1</v>
      </c>
      <c r="H44" s="8" t="n">
        <v>0</v>
      </c>
      <c r="I44" s="9">
        <f>(F44+H44*F44)*G44</f>
        <v/>
      </c>
      <c r="J44" s="8" t="inlineStr">
        <is>
          <t>pç</t>
        </is>
      </c>
      <c r="K44" s="9" t="n">
        <v>85</v>
      </c>
      <c r="L44" s="9">
        <f>I44*K44</f>
        <v/>
      </c>
    </row>
    <row r="45">
      <c r="A45" s="10" t="n"/>
      <c r="B45" s="10" t="n"/>
      <c r="C45" s="10" t="n"/>
      <c r="D45" s="10" t="n"/>
      <c r="E45" s="11" t="inlineStr">
        <is>
          <t>Subtotal GARAGEM 02</t>
        </is>
      </c>
      <c r="F45" s="10" t="n"/>
      <c r="G45" s="10" t="n"/>
      <c r="H45" s="10" t="n"/>
      <c r="I45" s="10" t="n"/>
      <c r="J45" s="10" t="n"/>
      <c r="K45" s="10" t="n"/>
      <c r="L45" s="12">
        <f>SUM(L35:L44)</f>
        <v/>
      </c>
    </row>
    <row r="46">
      <c r="A46" s="5" t="inlineStr">
        <is>
          <t>EMBASAMENTO</t>
        </is>
      </c>
      <c r="B46" s="5" t="inlineStr">
        <is>
          <t>GARAGEM 03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6" t="inlineStr">
        <is>
          <t>EMBASAMENTO</t>
        </is>
      </c>
      <c r="B47" s="6" t="inlineStr">
        <is>
          <t>GARAGEM 03</t>
        </is>
      </c>
      <c r="C47" s="6" t="inlineStr">
        <is>
          <t>SHP</t>
        </is>
      </c>
      <c r="D47" s="6" t="inlineStr">
        <is>
          <t>Sistema Hidráulico Preventivo (SHP)</t>
        </is>
      </c>
      <c r="E47" s="6" t="inlineStr">
        <is>
          <t>Tubo de cobre Ø2"</t>
        </is>
      </c>
      <c r="F47" s="7" t="n">
        <v>16</v>
      </c>
      <c r="G47" s="6" t="n">
        <v>1</v>
      </c>
      <c r="H47" s="6" t="n">
        <v>0</v>
      </c>
      <c r="I47" s="7">
        <f>(F47+H47*F47)*G47</f>
        <v/>
      </c>
      <c r="J47" s="6" t="inlineStr">
        <is>
          <t>m</t>
        </is>
      </c>
      <c r="K47" s="7" t="n">
        <v>315</v>
      </c>
      <c r="L47" s="7">
        <f>I47*K47</f>
        <v/>
      </c>
    </row>
    <row r="48">
      <c r="A48" s="6" t="inlineStr">
        <is>
          <t>EMBASAMENTO</t>
        </is>
      </c>
      <c r="B48" s="6" t="inlineStr">
        <is>
          <t>GARAGEM 03</t>
        </is>
      </c>
      <c r="C48" s="6" t="inlineStr">
        <is>
          <t>SHP</t>
        </is>
      </c>
      <c r="D48" s="6" t="inlineStr">
        <is>
          <t>Sistema Hidráulico Preventivo (SHP)</t>
        </is>
      </c>
      <c r="E48" s="6" t="inlineStr">
        <is>
          <t>Tê Cobre Ø2"</t>
        </is>
      </c>
      <c r="F48" s="7" t="n">
        <v>1</v>
      </c>
      <c r="G48" s="6" t="n">
        <v>1</v>
      </c>
      <c r="H48" s="6" t="n">
        <v>0</v>
      </c>
      <c r="I48" s="7">
        <f>(F48+H48*F48)*G48</f>
        <v/>
      </c>
      <c r="J48" s="6" t="inlineStr">
        <is>
          <t>pç</t>
        </is>
      </c>
      <c r="K48" s="7" t="n">
        <v>98</v>
      </c>
      <c r="L48" s="7">
        <f>I48*K48</f>
        <v/>
      </c>
    </row>
    <row r="49">
      <c r="A49" s="6" t="inlineStr">
        <is>
          <t>EMBASAMENTO</t>
        </is>
      </c>
      <c r="B49" s="6" t="inlineStr">
        <is>
          <t>GARAGEM 03</t>
        </is>
      </c>
      <c r="C49" s="6" t="inlineStr">
        <is>
          <t>HIDRANTE</t>
        </is>
      </c>
      <c r="D49" s="6" t="inlineStr">
        <is>
          <t>Sistema Hidráulico Preventivo (SHP)</t>
        </is>
      </c>
      <c r="E49" s="6" t="inlineStr">
        <is>
          <t>Hidrante com Mangotinho 30m 60x100cm</t>
        </is>
      </c>
      <c r="F49" s="7" t="n">
        <v>2</v>
      </c>
      <c r="G49" s="6" t="n">
        <v>1</v>
      </c>
      <c r="H49" s="6" t="n">
        <v>0</v>
      </c>
      <c r="I49" s="7">
        <f>(F49+H49*F49)*G49</f>
        <v/>
      </c>
      <c r="J49" s="6" t="inlineStr">
        <is>
          <t>pç</t>
        </is>
      </c>
      <c r="K49" s="7" t="n">
        <v>1128</v>
      </c>
      <c r="L49" s="7">
        <f>I49*K49</f>
        <v/>
      </c>
    </row>
    <row r="50">
      <c r="A50" s="6" t="inlineStr">
        <is>
          <t>EMBASAMENTO</t>
        </is>
      </c>
      <c r="B50" s="6" t="inlineStr">
        <is>
          <t>GARAGEM 03</t>
        </is>
      </c>
      <c r="C50" s="6" t="inlineStr">
        <is>
          <t>EXTINTORES</t>
        </is>
      </c>
      <c r="D50" s="6" t="inlineStr">
        <is>
          <t>Sistema Preventivo por Extintores</t>
        </is>
      </c>
      <c r="E50" s="6" t="inlineStr">
        <is>
          <t>Extintor PQS 4Kg (2-A:20-B:C)</t>
        </is>
      </c>
      <c r="F50" s="7" t="n">
        <v>4</v>
      </c>
      <c r="G50" s="6" t="n">
        <v>1</v>
      </c>
      <c r="H50" s="6" t="n">
        <v>0</v>
      </c>
      <c r="I50" s="7">
        <f>(F50+H50*F50)*G50</f>
        <v/>
      </c>
      <c r="J50" s="6" t="inlineStr">
        <is>
          <t>pç</t>
        </is>
      </c>
      <c r="K50" s="7" t="n">
        <v>120</v>
      </c>
      <c r="L50" s="7">
        <f>I50*K50</f>
        <v/>
      </c>
    </row>
    <row r="51">
      <c r="A51" s="6" t="inlineStr">
        <is>
          <t>EMBASAMENTO</t>
        </is>
      </c>
      <c r="B51" s="6" t="inlineStr">
        <is>
          <t>GARAGEM 03</t>
        </is>
      </c>
      <c r="C51" s="6" t="inlineStr">
        <is>
          <t>SINALIZAÇÃO</t>
        </is>
      </c>
      <c r="D51" s="6" t="inlineStr">
        <is>
          <t>Sinalização de Abandono de Local (SAL)</t>
        </is>
      </c>
      <c r="E51" s="6" t="inlineStr">
        <is>
          <t>Placa Indicativa - Número do Pavimento 200x100 mm</t>
        </is>
      </c>
      <c r="F51" s="7" t="n">
        <v>2</v>
      </c>
      <c r="G51" s="6" t="n">
        <v>1</v>
      </c>
      <c r="H51" s="6" t="n">
        <v>0</v>
      </c>
      <c r="I51" s="7">
        <f>(F51+H51*F51)*G51</f>
        <v/>
      </c>
      <c r="J51" s="6" t="inlineStr">
        <is>
          <t>pç</t>
        </is>
      </c>
      <c r="K51" s="7" t="n">
        <v>15</v>
      </c>
      <c r="L51" s="7">
        <f>I51*K51</f>
        <v/>
      </c>
    </row>
    <row r="52">
      <c r="A52" s="6" t="inlineStr">
        <is>
          <t>EMBASAMENTO</t>
        </is>
      </c>
      <c r="B52" s="6" t="inlineStr">
        <is>
          <t>GARAGEM 03</t>
        </is>
      </c>
      <c r="C52" s="6" t="inlineStr">
        <is>
          <t>SINALIZAÇÃO</t>
        </is>
      </c>
      <c r="D52" s="6" t="inlineStr">
        <is>
          <t>Sinalização de Abandono de Local (SAL)</t>
        </is>
      </c>
      <c r="E52" s="6" t="inlineStr">
        <is>
          <t>Placa Indicativa - Elevador de Emergência 250x125 mm</t>
        </is>
      </c>
      <c r="F52" s="7" t="n">
        <v>2</v>
      </c>
      <c r="G52" s="6" t="n">
        <v>1</v>
      </c>
      <c r="H52" s="6" t="n">
        <v>0</v>
      </c>
      <c r="I52" s="7">
        <f>(F52+H52*F52)*G52</f>
        <v/>
      </c>
      <c r="J52" s="6" t="inlineStr">
        <is>
          <t>pç</t>
        </is>
      </c>
      <c r="K52" s="7" t="n">
        <v>15</v>
      </c>
      <c r="L52" s="7">
        <f>I52*K52</f>
        <v/>
      </c>
    </row>
    <row r="53">
      <c r="A53" s="6" t="inlineStr">
        <is>
          <t>EMBASAMENTO</t>
        </is>
      </c>
      <c r="B53" s="6" t="inlineStr">
        <is>
          <t>GARAGEM 03</t>
        </is>
      </c>
      <c r="C53" s="6" t="inlineStr">
        <is>
          <t>SINALIZAÇÃO</t>
        </is>
      </c>
      <c r="D53" s="6" t="inlineStr">
        <is>
          <t>Sinalização de Abandono de Local (SAL)</t>
        </is>
      </c>
      <c r="E53" s="6" t="inlineStr">
        <is>
          <t>Placa Fotoluminescente E5 - Extintor de Incêndio</t>
        </is>
      </c>
      <c r="F53" s="7" t="n">
        <v>4</v>
      </c>
      <c r="G53" s="6" t="n">
        <v>1</v>
      </c>
      <c r="H53" s="6" t="n">
        <v>0</v>
      </c>
      <c r="I53" s="7">
        <f>(F53+H53*F53)*G53</f>
        <v/>
      </c>
      <c r="J53" s="6" t="inlineStr">
        <is>
          <t>pç</t>
        </is>
      </c>
      <c r="K53" s="7" t="n">
        <v>15</v>
      </c>
      <c r="L53" s="7">
        <f>I53*K53</f>
        <v/>
      </c>
    </row>
    <row r="54">
      <c r="A54" s="8" t="inlineStr">
        <is>
          <t>EMBASAMENTO</t>
        </is>
      </c>
      <c r="B54" s="8" t="inlineStr">
        <is>
          <t>GARAGEM 03</t>
        </is>
      </c>
      <c r="C54" s="8" t="inlineStr">
        <is>
          <t>SINALIZAÇÃO</t>
        </is>
      </c>
      <c r="D54" s="8" t="inlineStr">
        <is>
          <t>Sinalização de Abandono de Local (SAL)</t>
        </is>
      </c>
      <c r="E54" s="8" t="inlineStr">
        <is>
          <t>Placa de sinalização de emergência fotoluminescente (rota de fuga)</t>
        </is>
      </c>
      <c r="F54" s="9" t="n">
        <v>2</v>
      </c>
      <c r="G54" s="8" t="n">
        <v>1</v>
      </c>
      <c r="H54" s="8" t="n">
        <v>0</v>
      </c>
      <c r="I54" s="9">
        <f>(F54+H54*F54)*G54</f>
        <v/>
      </c>
      <c r="J54" s="8" t="inlineStr">
        <is>
          <t>pç</t>
        </is>
      </c>
      <c r="K54" s="9" t="n">
        <v>15</v>
      </c>
      <c r="L54" s="9">
        <f>I54*K54</f>
        <v/>
      </c>
    </row>
    <row r="55">
      <c r="A55" s="8" t="inlineStr">
        <is>
          <t>EMBASAMENTO</t>
        </is>
      </c>
      <c r="B55" s="8" t="inlineStr">
        <is>
          <t>GARAGEM 03</t>
        </is>
      </c>
      <c r="C55" s="8" t="inlineStr">
        <is>
          <t>ALARME DE INCÊNDIO</t>
        </is>
      </c>
      <c r="D55" s="8" t="inlineStr">
        <is>
          <t>Sistema de Alarme e Detecção de Incêndio</t>
        </is>
      </c>
      <c r="E55" s="8" t="inlineStr">
        <is>
          <t>Luminária de emergência autônoma LED</t>
        </is>
      </c>
      <c r="F55" s="9" t="n">
        <v>36</v>
      </c>
      <c r="G55" s="8" t="n">
        <v>1</v>
      </c>
      <c r="H55" s="8" t="n">
        <v>0</v>
      </c>
      <c r="I55" s="9">
        <f>(F55+H55*F55)*G55</f>
        <v/>
      </c>
      <c r="J55" s="8" t="inlineStr">
        <is>
          <t>pç</t>
        </is>
      </c>
      <c r="K55" s="9" t="n">
        <v>45</v>
      </c>
      <c r="L55" s="9">
        <f>I55*K55</f>
        <v/>
      </c>
    </row>
    <row r="56">
      <c r="A56" s="8" t="inlineStr">
        <is>
          <t>EMBASAMENTO</t>
        </is>
      </c>
      <c r="B56" s="8" t="inlineStr">
        <is>
          <t>GARAGEM 03</t>
        </is>
      </c>
      <c r="C56" s="8" t="inlineStr">
        <is>
          <t>ALARME DE INCÊNDIO</t>
        </is>
      </c>
      <c r="D56" s="8" t="inlineStr">
        <is>
          <t>Sistema de Alarme e Detecção de Incêndio</t>
        </is>
      </c>
      <c r="E56" s="8" t="inlineStr">
        <is>
          <t>Sirene/Campainha de alarme de incêndio</t>
        </is>
      </c>
      <c r="F56" s="9" t="n">
        <v>5</v>
      </c>
      <c r="G56" s="8" t="n">
        <v>1</v>
      </c>
      <c r="H56" s="8" t="n">
        <v>0</v>
      </c>
      <c r="I56" s="9">
        <f>(F56+H56*F56)*G56</f>
        <v/>
      </c>
      <c r="J56" s="8" t="inlineStr">
        <is>
          <t>pç</t>
        </is>
      </c>
      <c r="K56" s="9" t="n">
        <v>85</v>
      </c>
      <c r="L56" s="9">
        <f>I56*K56</f>
        <v/>
      </c>
    </row>
    <row r="57">
      <c r="A57" s="10" t="n"/>
      <c r="B57" s="10" t="n"/>
      <c r="C57" s="10" t="n"/>
      <c r="D57" s="10" t="n"/>
      <c r="E57" s="11" t="inlineStr">
        <is>
          <t>Subtotal GARAGEM 03</t>
        </is>
      </c>
      <c r="F57" s="10" t="n"/>
      <c r="G57" s="10" t="n"/>
      <c r="H57" s="10" t="n"/>
      <c r="I57" s="10" t="n"/>
      <c r="J57" s="10" t="n"/>
      <c r="K57" s="10" t="n"/>
      <c r="L57" s="12">
        <f>SUM(L47:L56)</f>
        <v/>
      </c>
    </row>
    <row r="58">
      <c r="A58" s="5" t="inlineStr">
        <is>
          <t>EMBASAMENTO</t>
        </is>
      </c>
      <c r="B58" s="5" t="inlineStr">
        <is>
          <t>GARAGEM 04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6" t="inlineStr">
        <is>
          <t>EMBASAMENTO</t>
        </is>
      </c>
      <c r="B59" s="6" t="inlineStr">
        <is>
          <t>GARAGEM 04</t>
        </is>
      </c>
      <c r="C59" s="6" t="inlineStr">
        <is>
          <t>SHP</t>
        </is>
      </c>
      <c r="D59" s="6" t="inlineStr">
        <is>
          <t>Sistema Hidráulico Preventivo (SHP)</t>
        </is>
      </c>
      <c r="E59" s="6" t="inlineStr">
        <is>
          <t>Tubo de cobre Ø2"</t>
        </is>
      </c>
      <c r="F59" s="7" t="n">
        <v>16</v>
      </c>
      <c r="G59" s="6" t="n">
        <v>1</v>
      </c>
      <c r="H59" s="6" t="n">
        <v>0</v>
      </c>
      <c r="I59" s="7">
        <f>(F59+H59*F59)*G59</f>
        <v/>
      </c>
      <c r="J59" s="6" t="inlineStr">
        <is>
          <t>m</t>
        </is>
      </c>
      <c r="K59" s="7" t="n">
        <v>315</v>
      </c>
      <c r="L59" s="7">
        <f>I59*K59</f>
        <v/>
      </c>
    </row>
    <row r="60">
      <c r="A60" s="6" t="inlineStr">
        <is>
          <t>EMBASAMENTO</t>
        </is>
      </c>
      <c r="B60" s="6" t="inlineStr">
        <is>
          <t>GARAGEM 04</t>
        </is>
      </c>
      <c r="C60" s="6" t="inlineStr">
        <is>
          <t>SHP</t>
        </is>
      </c>
      <c r="D60" s="6" t="inlineStr">
        <is>
          <t>Sistema Hidráulico Preventivo (SHP)</t>
        </is>
      </c>
      <c r="E60" s="6" t="inlineStr">
        <is>
          <t>Tê Cobre Ø2"</t>
        </is>
      </c>
      <c r="F60" s="7" t="n">
        <v>1</v>
      </c>
      <c r="G60" s="6" t="n">
        <v>1</v>
      </c>
      <c r="H60" s="6" t="n">
        <v>0</v>
      </c>
      <c r="I60" s="7">
        <f>(F60+H60*F60)*G60</f>
        <v/>
      </c>
      <c r="J60" s="6" t="inlineStr">
        <is>
          <t>pç</t>
        </is>
      </c>
      <c r="K60" s="7" t="n">
        <v>98</v>
      </c>
      <c r="L60" s="7">
        <f>I60*K60</f>
        <v/>
      </c>
    </row>
    <row r="61">
      <c r="A61" s="6" t="inlineStr">
        <is>
          <t>EMBASAMENTO</t>
        </is>
      </c>
      <c r="B61" s="6" t="inlineStr">
        <is>
          <t>GARAGEM 04</t>
        </is>
      </c>
      <c r="C61" s="6" t="inlineStr">
        <is>
          <t>HIDRANTE</t>
        </is>
      </c>
      <c r="D61" s="6" t="inlineStr">
        <is>
          <t>Sistema Hidráulico Preventivo (SHP)</t>
        </is>
      </c>
      <c r="E61" s="6" t="inlineStr">
        <is>
          <t>Hidrante com Mangotinho 30m 60x100cm</t>
        </is>
      </c>
      <c r="F61" s="7" t="n">
        <v>2</v>
      </c>
      <c r="G61" s="6" t="n">
        <v>1</v>
      </c>
      <c r="H61" s="6" t="n">
        <v>0</v>
      </c>
      <c r="I61" s="7">
        <f>(F61+H61*F61)*G61</f>
        <v/>
      </c>
      <c r="J61" s="6" t="inlineStr">
        <is>
          <t>pç</t>
        </is>
      </c>
      <c r="K61" s="7" t="n">
        <v>1128</v>
      </c>
      <c r="L61" s="7">
        <f>I61*K61</f>
        <v/>
      </c>
    </row>
    <row r="62">
      <c r="A62" s="6" t="inlineStr">
        <is>
          <t>EMBASAMENTO</t>
        </is>
      </c>
      <c r="B62" s="6" t="inlineStr">
        <is>
          <t>GARAGEM 04</t>
        </is>
      </c>
      <c r="C62" s="6" t="inlineStr">
        <is>
          <t>EXTINTORES</t>
        </is>
      </c>
      <c r="D62" s="6" t="inlineStr">
        <is>
          <t>Sistema Preventivo por Extintores</t>
        </is>
      </c>
      <c r="E62" s="6" t="inlineStr">
        <is>
          <t>Extintor PQS 4Kg (2-A:20-B:C)</t>
        </is>
      </c>
      <c r="F62" s="7" t="n">
        <v>4</v>
      </c>
      <c r="G62" s="6" t="n">
        <v>1</v>
      </c>
      <c r="H62" s="6" t="n">
        <v>0</v>
      </c>
      <c r="I62" s="7">
        <f>(F62+H62*F62)*G62</f>
        <v/>
      </c>
      <c r="J62" s="6" t="inlineStr">
        <is>
          <t>pç</t>
        </is>
      </c>
      <c r="K62" s="7" t="n">
        <v>120</v>
      </c>
      <c r="L62" s="7">
        <f>I62*K62</f>
        <v/>
      </c>
    </row>
    <row r="63">
      <c r="A63" s="6" t="inlineStr">
        <is>
          <t>EMBASAMENTO</t>
        </is>
      </c>
      <c r="B63" s="6" t="inlineStr">
        <is>
          <t>GARAGEM 04</t>
        </is>
      </c>
      <c r="C63" s="6" t="inlineStr">
        <is>
          <t>SINALIZAÇÃO</t>
        </is>
      </c>
      <c r="D63" s="6" t="inlineStr">
        <is>
          <t>Sinalização de Abandono de Local (SAL)</t>
        </is>
      </c>
      <c r="E63" s="6" t="inlineStr">
        <is>
          <t>Placa Indicativa - Número do Pavimento 200x100 mm</t>
        </is>
      </c>
      <c r="F63" s="7" t="n">
        <v>2</v>
      </c>
      <c r="G63" s="6" t="n">
        <v>1</v>
      </c>
      <c r="H63" s="6" t="n">
        <v>0</v>
      </c>
      <c r="I63" s="7">
        <f>(F63+H63*F63)*G63</f>
        <v/>
      </c>
      <c r="J63" s="6" t="inlineStr">
        <is>
          <t>pç</t>
        </is>
      </c>
      <c r="K63" s="7" t="n">
        <v>15</v>
      </c>
      <c r="L63" s="7">
        <f>I63*K63</f>
        <v/>
      </c>
    </row>
    <row r="64">
      <c r="A64" s="6" t="inlineStr">
        <is>
          <t>EMBASAMENTO</t>
        </is>
      </c>
      <c r="B64" s="6" t="inlineStr">
        <is>
          <t>GARAGEM 04</t>
        </is>
      </c>
      <c r="C64" s="6" t="inlineStr">
        <is>
          <t>SINALIZAÇÃO</t>
        </is>
      </c>
      <c r="D64" s="6" t="inlineStr">
        <is>
          <t>Sinalização de Abandono de Local (SAL)</t>
        </is>
      </c>
      <c r="E64" s="6" t="inlineStr">
        <is>
          <t>Placa Indicativa - Elevador de Emergência 250x125 mm</t>
        </is>
      </c>
      <c r="F64" s="7" t="n">
        <v>2</v>
      </c>
      <c r="G64" s="6" t="n">
        <v>1</v>
      </c>
      <c r="H64" s="6" t="n">
        <v>0</v>
      </c>
      <c r="I64" s="7">
        <f>(F64+H64*F64)*G64</f>
        <v/>
      </c>
      <c r="J64" s="6" t="inlineStr">
        <is>
          <t>pç</t>
        </is>
      </c>
      <c r="K64" s="7" t="n">
        <v>15</v>
      </c>
      <c r="L64" s="7">
        <f>I64*K64</f>
        <v/>
      </c>
    </row>
    <row r="65">
      <c r="A65" s="6" t="inlineStr">
        <is>
          <t>EMBASAMENTO</t>
        </is>
      </c>
      <c r="B65" s="6" t="inlineStr">
        <is>
          <t>GARAGEM 04</t>
        </is>
      </c>
      <c r="C65" s="6" t="inlineStr">
        <is>
          <t>SINALIZAÇÃO</t>
        </is>
      </c>
      <c r="D65" s="6" t="inlineStr">
        <is>
          <t>Sinalização de Abandono de Local (SAL)</t>
        </is>
      </c>
      <c r="E65" s="6" t="inlineStr">
        <is>
          <t>Placa Fotoluminescente E5 - Extintor de Incêndio</t>
        </is>
      </c>
      <c r="F65" s="7" t="n">
        <v>4</v>
      </c>
      <c r="G65" s="6" t="n">
        <v>1</v>
      </c>
      <c r="H65" s="6" t="n">
        <v>0</v>
      </c>
      <c r="I65" s="7">
        <f>(F65+H65*F65)*G65</f>
        <v/>
      </c>
      <c r="J65" s="6" t="inlineStr">
        <is>
          <t>pç</t>
        </is>
      </c>
      <c r="K65" s="7" t="n">
        <v>15</v>
      </c>
      <c r="L65" s="7">
        <f>I65*K65</f>
        <v/>
      </c>
    </row>
    <row r="66">
      <c r="A66" s="8" t="inlineStr">
        <is>
          <t>EMBASAMENTO</t>
        </is>
      </c>
      <c r="B66" s="8" t="inlineStr">
        <is>
          <t>GARAGEM 04</t>
        </is>
      </c>
      <c r="C66" s="8" t="inlineStr">
        <is>
          <t>SINALIZAÇÃO</t>
        </is>
      </c>
      <c r="D66" s="8" t="inlineStr">
        <is>
          <t>Sinalização de Abandono de Local (SAL)</t>
        </is>
      </c>
      <c r="E66" s="8" t="inlineStr">
        <is>
          <t>Placa de sinalização de emergência fotoluminescente (rota de fuga)</t>
        </is>
      </c>
      <c r="F66" s="9" t="n">
        <v>2</v>
      </c>
      <c r="G66" s="8" t="n">
        <v>1</v>
      </c>
      <c r="H66" s="8" t="n">
        <v>0</v>
      </c>
      <c r="I66" s="9">
        <f>(F66+H66*F66)*G66</f>
        <v/>
      </c>
      <c r="J66" s="8" t="inlineStr">
        <is>
          <t>pç</t>
        </is>
      </c>
      <c r="K66" s="9" t="n">
        <v>15</v>
      </c>
      <c r="L66" s="9">
        <f>I66*K66</f>
        <v/>
      </c>
    </row>
    <row r="67">
      <c r="A67" s="8" t="inlineStr">
        <is>
          <t>EMBASAMENTO</t>
        </is>
      </c>
      <c r="B67" s="8" t="inlineStr">
        <is>
          <t>GARAGEM 04</t>
        </is>
      </c>
      <c r="C67" s="8" t="inlineStr">
        <is>
          <t>ALARME DE INCÊNDIO</t>
        </is>
      </c>
      <c r="D67" s="8" t="inlineStr">
        <is>
          <t>Sistema de Alarme e Detecção de Incêndio</t>
        </is>
      </c>
      <c r="E67" s="8" t="inlineStr">
        <is>
          <t>Luminária de emergência autônoma LED</t>
        </is>
      </c>
      <c r="F67" s="9" t="n">
        <v>33</v>
      </c>
      <c r="G67" s="8" t="n">
        <v>1</v>
      </c>
      <c r="H67" s="8" t="n">
        <v>0</v>
      </c>
      <c r="I67" s="9">
        <f>(F67+H67*F67)*G67</f>
        <v/>
      </c>
      <c r="J67" s="8" t="inlineStr">
        <is>
          <t>pç</t>
        </is>
      </c>
      <c r="K67" s="9" t="n">
        <v>45</v>
      </c>
      <c r="L67" s="9">
        <f>I67*K67</f>
        <v/>
      </c>
    </row>
    <row r="68">
      <c r="A68" s="8" t="inlineStr">
        <is>
          <t>EMBASAMENTO</t>
        </is>
      </c>
      <c r="B68" s="8" t="inlineStr">
        <is>
          <t>GARAGEM 04</t>
        </is>
      </c>
      <c r="C68" s="8" t="inlineStr">
        <is>
          <t>ALARME DE INCÊNDIO</t>
        </is>
      </c>
      <c r="D68" s="8" t="inlineStr">
        <is>
          <t>Sistema de Alarme e Detecção de Incêndio</t>
        </is>
      </c>
      <c r="E68" s="8" t="inlineStr">
        <is>
          <t>Sirene/Campainha de alarme de incêndio</t>
        </is>
      </c>
      <c r="F68" s="9" t="n">
        <v>5</v>
      </c>
      <c r="G68" s="8" t="n">
        <v>1</v>
      </c>
      <c r="H68" s="8" t="n">
        <v>0</v>
      </c>
      <c r="I68" s="9">
        <f>(F68+H68*F68)*G68</f>
        <v/>
      </c>
      <c r="J68" s="8" t="inlineStr">
        <is>
          <t>pç</t>
        </is>
      </c>
      <c r="K68" s="9" t="n">
        <v>85</v>
      </c>
      <c r="L68" s="9">
        <f>I68*K68</f>
        <v/>
      </c>
    </row>
    <row r="69">
      <c r="A69" s="10" t="n"/>
      <c r="B69" s="10" t="n"/>
      <c r="C69" s="10" t="n"/>
      <c r="D69" s="10" t="n"/>
      <c r="E69" s="11" t="inlineStr">
        <is>
          <t>Subtotal GARAGEM 04</t>
        </is>
      </c>
      <c r="F69" s="10" t="n"/>
      <c r="G69" s="10" t="n"/>
      <c r="H69" s="10" t="n"/>
      <c r="I69" s="10" t="n"/>
      <c r="J69" s="10" t="n"/>
      <c r="K69" s="10" t="n"/>
      <c r="L69" s="12">
        <f>SUM(L59:L68)</f>
        <v/>
      </c>
    </row>
    <row r="70">
      <c r="A70" s="5" t="inlineStr">
        <is>
          <t>EMBASAMENTO</t>
        </is>
      </c>
      <c r="B70" s="5" t="inlineStr">
        <is>
          <t>GARAGEM 05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6" t="inlineStr">
        <is>
          <t>EMBASAMENTO</t>
        </is>
      </c>
      <c r="B71" s="6" t="inlineStr">
        <is>
          <t>GARAGEM 05</t>
        </is>
      </c>
      <c r="C71" s="6" t="inlineStr">
        <is>
          <t>SHP</t>
        </is>
      </c>
      <c r="D71" s="6" t="inlineStr">
        <is>
          <t>Sistema Hidráulico Preventivo (SHP)</t>
        </is>
      </c>
      <c r="E71" s="6" t="inlineStr">
        <is>
          <t>Tubo de cobre Ø2"</t>
        </is>
      </c>
      <c r="F71" s="7" t="n">
        <v>23</v>
      </c>
      <c r="G71" s="6" t="n">
        <v>1</v>
      </c>
      <c r="H71" s="6" t="n">
        <v>0</v>
      </c>
      <c r="I71" s="7">
        <f>(F71+H71*F71)*G71</f>
        <v/>
      </c>
      <c r="J71" s="6" t="inlineStr">
        <is>
          <t>m</t>
        </is>
      </c>
      <c r="K71" s="7" t="n">
        <v>315</v>
      </c>
      <c r="L71" s="7">
        <f>I71*K71</f>
        <v/>
      </c>
    </row>
    <row r="72">
      <c r="A72" s="6" t="inlineStr">
        <is>
          <t>EMBASAMENTO</t>
        </is>
      </c>
      <c r="B72" s="6" t="inlineStr">
        <is>
          <t>GARAGEM 05</t>
        </is>
      </c>
      <c r="C72" s="6" t="inlineStr">
        <is>
          <t>SHP</t>
        </is>
      </c>
      <c r="D72" s="6" t="inlineStr">
        <is>
          <t>Sistema Hidráulico Preventivo (SHP)</t>
        </is>
      </c>
      <c r="E72" s="6" t="inlineStr">
        <is>
          <t>Joelho 90° Cobre Ø2"</t>
        </is>
      </c>
      <c r="F72" s="7" t="n">
        <v>1</v>
      </c>
      <c r="G72" s="6" t="n">
        <v>1</v>
      </c>
      <c r="H72" s="6" t="n">
        <v>0</v>
      </c>
      <c r="I72" s="7">
        <f>(F72+H72*F72)*G72</f>
        <v/>
      </c>
      <c r="J72" s="6" t="inlineStr">
        <is>
          <t>pç</t>
        </is>
      </c>
      <c r="K72" s="7" t="n">
        <v>38</v>
      </c>
      <c r="L72" s="7">
        <f>I72*K72</f>
        <v/>
      </c>
    </row>
    <row r="73">
      <c r="A73" s="6" t="inlineStr">
        <is>
          <t>EMBASAMENTO</t>
        </is>
      </c>
      <c r="B73" s="6" t="inlineStr">
        <is>
          <t>GARAGEM 05</t>
        </is>
      </c>
      <c r="C73" s="6" t="inlineStr">
        <is>
          <t>SHP</t>
        </is>
      </c>
      <c r="D73" s="6" t="inlineStr">
        <is>
          <t>Sistema Hidráulico Preventivo (SHP)</t>
        </is>
      </c>
      <c r="E73" s="6" t="inlineStr">
        <is>
          <t>Tê Cobre Ø2"</t>
        </is>
      </c>
      <c r="F73" s="7" t="n">
        <v>2</v>
      </c>
      <c r="G73" s="6" t="n">
        <v>1</v>
      </c>
      <c r="H73" s="6" t="n">
        <v>0</v>
      </c>
      <c r="I73" s="7">
        <f>(F73+H73*F73)*G73</f>
        <v/>
      </c>
      <c r="J73" s="6" t="inlineStr">
        <is>
          <t>pç</t>
        </is>
      </c>
      <c r="K73" s="7" t="n">
        <v>98</v>
      </c>
      <c r="L73" s="7">
        <f>I73*K73</f>
        <v/>
      </c>
    </row>
    <row r="74">
      <c r="A74" s="6" t="inlineStr">
        <is>
          <t>EMBASAMENTO</t>
        </is>
      </c>
      <c r="B74" s="6" t="inlineStr">
        <is>
          <t>GARAGEM 05</t>
        </is>
      </c>
      <c r="C74" s="6" t="inlineStr">
        <is>
          <t>HIDRANTE</t>
        </is>
      </c>
      <c r="D74" s="6" t="inlineStr">
        <is>
          <t>Sistema Hidráulico Preventivo (SHP)</t>
        </is>
      </c>
      <c r="E74" s="6" t="inlineStr">
        <is>
          <t>Hidrante com Mangotinho 30m 60x100cm</t>
        </is>
      </c>
      <c r="F74" s="7" t="n">
        <v>2</v>
      </c>
      <c r="G74" s="6" t="n">
        <v>1</v>
      </c>
      <c r="H74" s="6" t="n">
        <v>0</v>
      </c>
      <c r="I74" s="7">
        <f>(F74+H74*F74)*G74</f>
        <v/>
      </c>
      <c r="J74" s="6" t="inlineStr">
        <is>
          <t>pç</t>
        </is>
      </c>
      <c r="K74" s="7" t="n">
        <v>1128</v>
      </c>
      <c r="L74" s="7">
        <f>I74*K74</f>
        <v/>
      </c>
    </row>
    <row r="75">
      <c r="A75" s="6" t="inlineStr">
        <is>
          <t>EMBASAMENTO</t>
        </is>
      </c>
      <c r="B75" s="6" t="inlineStr">
        <is>
          <t>GARAGEM 05</t>
        </is>
      </c>
      <c r="C75" s="6" t="inlineStr">
        <is>
          <t>EXTINTORES</t>
        </is>
      </c>
      <c r="D75" s="6" t="inlineStr">
        <is>
          <t>Sistema Preventivo por Extintores</t>
        </is>
      </c>
      <c r="E75" s="6" t="inlineStr">
        <is>
          <t>Extintor PQS 4Kg (2-A:20-B:C)</t>
        </is>
      </c>
      <c r="F75" s="7" t="n">
        <v>4</v>
      </c>
      <c r="G75" s="6" t="n">
        <v>1</v>
      </c>
      <c r="H75" s="6" t="n">
        <v>0</v>
      </c>
      <c r="I75" s="7">
        <f>(F75+H75*F75)*G75</f>
        <v/>
      </c>
      <c r="J75" s="6" t="inlineStr">
        <is>
          <t>pç</t>
        </is>
      </c>
      <c r="K75" s="7" t="n">
        <v>120</v>
      </c>
      <c r="L75" s="7">
        <f>I75*K75</f>
        <v/>
      </c>
    </row>
    <row r="76">
      <c r="A76" s="6" t="inlineStr">
        <is>
          <t>EMBASAMENTO</t>
        </is>
      </c>
      <c r="B76" s="6" t="inlineStr">
        <is>
          <t>GARAGEM 05</t>
        </is>
      </c>
      <c r="C76" s="6" t="inlineStr">
        <is>
          <t>SINALIZAÇÃO</t>
        </is>
      </c>
      <c r="D76" s="6" t="inlineStr">
        <is>
          <t>Sinalização de Abandono de Local (SAL)</t>
        </is>
      </c>
      <c r="E76" s="6" t="inlineStr">
        <is>
          <t>Placa Indicativa - Número do Pavimento 200x100 mm</t>
        </is>
      </c>
      <c r="F76" s="7" t="n">
        <v>2</v>
      </c>
      <c r="G76" s="6" t="n">
        <v>1</v>
      </c>
      <c r="H76" s="6" t="n">
        <v>0</v>
      </c>
      <c r="I76" s="7">
        <f>(F76+H76*F76)*G76</f>
        <v/>
      </c>
      <c r="J76" s="6" t="inlineStr">
        <is>
          <t>pç</t>
        </is>
      </c>
      <c r="K76" s="7" t="n">
        <v>15</v>
      </c>
      <c r="L76" s="7">
        <f>I76*K76</f>
        <v/>
      </c>
    </row>
    <row r="77">
      <c r="A77" s="6" t="inlineStr">
        <is>
          <t>EMBASAMENTO</t>
        </is>
      </c>
      <c r="B77" s="6" t="inlineStr">
        <is>
          <t>GARAGEM 05</t>
        </is>
      </c>
      <c r="C77" s="6" t="inlineStr">
        <is>
          <t>SINALIZAÇÃO</t>
        </is>
      </c>
      <c r="D77" s="6" t="inlineStr">
        <is>
          <t>Sinalização de Abandono de Local (SAL)</t>
        </is>
      </c>
      <c r="E77" s="6" t="inlineStr">
        <is>
          <t>Placa Indicativa - Elevador de Emergência 250x125 mm</t>
        </is>
      </c>
      <c r="F77" s="7" t="n">
        <v>2</v>
      </c>
      <c r="G77" s="6" t="n">
        <v>1</v>
      </c>
      <c r="H77" s="6" t="n">
        <v>0</v>
      </c>
      <c r="I77" s="7">
        <f>(F77+H77*F77)*G77</f>
        <v/>
      </c>
      <c r="J77" s="6" t="inlineStr">
        <is>
          <t>pç</t>
        </is>
      </c>
      <c r="K77" s="7" t="n">
        <v>15</v>
      </c>
      <c r="L77" s="7">
        <f>I77*K77</f>
        <v/>
      </c>
    </row>
    <row r="78">
      <c r="A78" s="6" t="inlineStr">
        <is>
          <t>EMBASAMENTO</t>
        </is>
      </c>
      <c r="B78" s="6" t="inlineStr">
        <is>
          <t>GARAGEM 05</t>
        </is>
      </c>
      <c r="C78" s="6" t="inlineStr">
        <is>
          <t>SINALIZAÇÃO</t>
        </is>
      </c>
      <c r="D78" s="6" t="inlineStr">
        <is>
          <t>Sinalização de Abandono de Local (SAL)</t>
        </is>
      </c>
      <c r="E78" s="6" t="inlineStr">
        <is>
          <t>Placa Fotoluminescente E5 - Extintor de Incêndio</t>
        </is>
      </c>
      <c r="F78" s="7" t="n">
        <v>4</v>
      </c>
      <c r="G78" s="6" t="n">
        <v>1</v>
      </c>
      <c r="H78" s="6" t="n">
        <v>0</v>
      </c>
      <c r="I78" s="7">
        <f>(F78+H78*F78)*G78</f>
        <v/>
      </c>
      <c r="J78" s="6" t="inlineStr">
        <is>
          <t>pç</t>
        </is>
      </c>
      <c r="K78" s="7" t="n">
        <v>15</v>
      </c>
      <c r="L78" s="7">
        <f>I78*K78</f>
        <v/>
      </c>
    </row>
    <row r="79">
      <c r="A79" s="8" t="inlineStr">
        <is>
          <t>EMBASAMENTO</t>
        </is>
      </c>
      <c r="B79" s="8" t="inlineStr">
        <is>
          <t>GARAGEM 05</t>
        </is>
      </c>
      <c r="C79" s="8" t="inlineStr">
        <is>
          <t>SINALIZAÇÃO</t>
        </is>
      </c>
      <c r="D79" s="8" t="inlineStr">
        <is>
          <t>Sinalização de Abandono de Local (SAL)</t>
        </is>
      </c>
      <c r="E79" s="8" t="inlineStr">
        <is>
          <t>Placa de sinalização de emergência fotoluminescente (rota de fuga)</t>
        </is>
      </c>
      <c r="F79" s="9" t="n">
        <v>2</v>
      </c>
      <c r="G79" s="8" t="n">
        <v>1</v>
      </c>
      <c r="H79" s="8" t="n">
        <v>0</v>
      </c>
      <c r="I79" s="9">
        <f>(F79+H79*F79)*G79</f>
        <v/>
      </c>
      <c r="J79" s="8" t="inlineStr">
        <is>
          <t>pç</t>
        </is>
      </c>
      <c r="K79" s="9" t="n">
        <v>15</v>
      </c>
      <c r="L79" s="9">
        <f>I79*K79</f>
        <v/>
      </c>
    </row>
    <row r="80">
      <c r="A80" s="8" t="inlineStr">
        <is>
          <t>EMBASAMENTO</t>
        </is>
      </c>
      <c r="B80" s="8" t="inlineStr">
        <is>
          <t>GARAGEM 05</t>
        </is>
      </c>
      <c r="C80" s="8" t="inlineStr">
        <is>
          <t>ALARME DE INCÊNDIO</t>
        </is>
      </c>
      <c r="D80" s="8" t="inlineStr">
        <is>
          <t>Sistema de Alarme e Detecção de Incêndio</t>
        </is>
      </c>
      <c r="E80" s="8" t="inlineStr">
        <is>
          <t>Luminária de emergência autônoma LED</t>
        </is>
      </c>
      <c r="F80" s="9" t="n">
        <v>33</v>
      </c>
      <c r="G80" s="8" t="n">
        <v>1</v>
      </c>
      <c r="H80" s="8" t="n">
        <v>0</v>
      </c>
      <c r="I80" s="9">
        <f>(F80+H80*F80)*G80</f>
        <v/>
      </c>
      <c r="J80" s="8" t="inlineStr">
        <is>
          <t>pç</t>
        </is>
      </c>
      <c r="K80" s="9" t="n">
        <v>45</v>
      </c>
      <c r="L80" s="9">
        <f>I80*K80</f>
        <v/>
      </c>
    </row>
    <row r="81">
      <c r="A81" s="8" t="inlineStr">
        <is>
          <t>EMBASAMENTO</t>
        </is>
      </c>
      <c r="B81" s="8" t="inlineStr">
        <is>
          <t>GARAGEM 05</t>
        </is>
      </c>
      <c r="C81" s="8" t="inlineStr">
        <is>
          <t>ALARME DE INCÊNDIO</t>
        </is>
      </c>
      <c r="D81" s="8" t="inlineStr">
        <is>
          <t>Sistema de Alarme e Detecção de Incêndio</t>
        </is>
      </c>
      <c r="E81" s="8" t="inlineStr">
        <is>
          <t>Sirene/Campainha de alarme de incêndio</t>
        </is>
      </c>
      <c r="F81" s="9" t="n">
        <v>5</v>
      </c>
      <c r="G81" s="8" t="n">
        <v>1</v>
      </c>
      <c r="H81" s="8" t="n">
        <v>0</v>
      </c>
      <c r="I81" s="9">
        <f>(F81+H81*F81)*G81</f>
        <v/>
      </c>
      <c r="J81" s="8" t="inlineStr">
        <is>
          <t>pç</t>
        </is>
      </c>
      <c r="K81" s="9" t="n">
        <v>85</v>
      </c>
      <c r="L81" s="9">
        <f>I81*K81</f>
        <v/>
      </c>
    </row>
    <row r="82">
      <c r="A82" s="8" t="inlineStr">
        <is>
          <t>EMBASAMENTO</t>
        </is>
      </c>
      <c r="B82" s="8" t="inlineStr">
        <is>
          <t>GARAGEM 05</t>
        </is>
      </c>
      <c r="C82" s="8" t="inlineStr">
        <is>
          <t>ALARME DE INCÊNDIO</t>
        </is>
      </c>
      <c r="D82" s="8" t="inlineStr">
        <is>
          <t>Sistema de Alarme e Detecção de Incêndio</t>
        </is>
      </c>
      <c r="E82" s="8" t="inlineStr">
        <is>
          <t>Detector de fumaça fotoelétrico</t>
        </is>
      </c>
      <c r="F82" s="9" t="n">
        <v>23</v>
      </c>
      <c r="G82" s="8" t="n">
        <v>1</v>
      </c>
      <c r="H82" s="8" t="n">
        <v>0</v>
      </c>
      <c r="I82" s="9">
        <f>(F82+H82*F82)*G82</f>
        <v/>
      </c>
      <c r="J82" s="8" t="inlineStr">
        <is>
          <t>pç</t>
        </is>
      </c>
      <c r="K82" s="9" t="n">
        <v>95</v>
      </c>
      <c r="L82" s="9">
        <f>I82*K82</f>
        <v/>
      </c>
    </row>
    <row r="83">
      <c r="A83" s="10" t="n"/>
      <c r="B83" s="10" t="n"/>
      <c r="C83" s="10" t="n"/>
      <c r="D83" s="10" t="n"/>
      <c r="E83" s="11" t="inlineStr">
        <is>
          <t>Subtotal GARAGEM 05</t>
        </is>
      </c>
      <c r="F83" s="10" t="n"/>
      <c r="G83" s="10" t="n"/>
      <c r="H83" s="10" t="n"/>
      <c r="I83" s="10" t="n"/>
      <c r="J83" s="10" t="n"/>
      <c r="K83" s="10" t="n"/>
      <c r="L83" s="12">
        <f>SUM(L71:L82)</f>
        <v/>
      </c>
    </row>
    <row r="84">
      <c r="A84" s="5" t="inlineStr">
        <is>
          <t>EMBASAMENTO</t>
        </is>
      </c>
      <c r="B84" s="5" t="inlineStr">
        <is>
          <t>LAZER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6" t="inlineStr">
        <is>
          <t>EMBASAMENTO</t>
        </is>
      </c>
      <c r="B85" s="6" t="inlineStr">
        <is>
          <t>LAZER</t>
        </is>
      </c>
      <c r="C85" s="6" t="inlineStr">
        <is>
          <t>SHP</t>
        </is>
      </c>
      <c r="D85" s="6" t="inlineStr">
        <is>
          <t>Sistema Hidráulico Preventivo (SHP)</t>
        </is>
      </c>
      <c r="E85" s="6" t="inlineStr">
        <is>
          <t>Tubo de cobre Ø2"</t>
        </is>
      </c>
      <c r="F85" s="7" t="n">
        <v>20</v>
      </c>
      <c r="G85" s="6" t="n">
        <v>1</v>
      </c>
      <c r="H85" s="6" t="n">
        <v>0</v>
      </c>
      <c r="I85" s="7">
        <f>(F85+H85*F85)*G85</f>
        <v/>
      </c>
      <c r="J85" s="6" t="inlineStr">
        <is>
          <t>m</t>
        </is>
      </c>
      <c r="K85" s="7" t="n">
        <v>315</v>
      </c>
      <c r="L85" s="7">
        <f>I85*K85</f>
        <v/>
      </c>
    </row>
    <row r="86">
      <c r="A86" s="6" t="inlineStr">
        <is>
          <t>EMBASAMENTO</t>
        </is>
      </c>
      <c r="B86" s="6" t="inlineStr">
        <is>
          <t>LAZER</t>
        </is>
      </c>
      <c r="C86" s="6" t="inlineStr">
        <is>
          <t>SHP</t>
        </is>
      </c>
      <c r="D86" s="6" t="inlineStr">
        <is>
          <t>Sistema Hidráulico Preventivo (SHP)</t>
        </is>
      </c>
      <c r="E86" s="6" t="inlineStr">
        <is>
          <t>Joelho 90° Cobre Ø2"</t>
        </is>
      </c>
      <c r="F86" s="7" t="n">
        <v>2</v>
      </c>
      <c r="G86" s="6" t="n">
        <v>1</v>
      </c>
      <c r="H86" s="6" t="n">
        <v>0</v>
      </c>
      <c r="I86" s="7">
        <f>(F86+H86*F86)*G86</f>
        <v/>
      </c>
      <c r="J86" s="6" t="inlineStr">
        <is>
          <t>pç</t>
        </is>
      </c>
      <c r="K86" s="7" t="n">
        <v>38</v>
      </c>
      <c r="L86" s="7">
        <f>I86*K86</f>
        <v/>
      </c>
    </row>
    <row r="87">
      <c r="A87" s="6" t="inlineStr">
        <is>
          <t>EMBASAMENTO</t>
        </is>
      </c>
      <c r="B87" s="6" t="inlineStr">
        <is>
          <t>LAZER</t>
        </is>
      </c>
      <c r="C87" s="6" t="inlineStr">
        <is>
          <t>SHP</t>
        </is>
      </c>
      <c r="D87" s="6" t="inlineStr">
        <is>
          <t>Sistema Hidráulico Preventivo (SHP)</t>
        </is>
      </c>
      <c r="E87" s="6" t="inlineStr">
        <is>
          <t>Tê Cobre Ø2"</t>
        </is>
      </c>
      <c r="F87" s="7" t="n">
        <v>2</v>
      </c>
      <c r="G87" s="6" t="n">
        <v>1</v>
      </c>
      <c r="H87" s="6" t="n">
        <v>0</v>
      </c>
      <c r="I87" s="7">
        <f>(F87+H87*F87)*G87</f>
        <v/>
      </c>
      <c r="J87" s="6" t="inlineStr">
        <is>
          <t>pç</t>
        </is>
      </c>
      <c r="K87" s="7" t="n">
        <v>98</v>
      </c>
      <c r="L87" s="7">
        <f>I87*K87</f>
        <v/>
      </c>
    </row>
    <row r="88">
      <c r="A88" s="6" t="inlineStr">
        <is>
          <t>EMBASAMENTO</t>
        </is>
      </c>
      <c r="B88" s="6" t="inlineStr">
        <is>
          <t>LAZER</t>
        </is>
      </c>
      <c r="C88" s="6" t="inlineStr">
        <is>
          <t>HIDRANTE</t>
        </is>
      </c>
      <c r="D88" s="6" t="inlineStr">
        <is>
          <t>Sistema Hidráulico Preventivo (SHP)</t>
        </is>
      </c>
      <c r="E88" s="6" t="inlineStr">
        <is>
          <t>Hidrante com Mangotinho 30m 60x100cm</t>
        </is>
      </c>
      <c r="F88" s="7" t="n">
        <v>4</v>
      </c>
      <c r="G88" s="6" t="n">
        <v>1</v>
      </c>
      <c r="H88" s="6" t="n">
        <v>0</v>
      </c>
      <c r="I88" s="7">
        <f>(F88+H88*F88)*G88</f>
        <v/>
      </c>
      <c r="J88" s="6" t="inlineStr">
        <is>
          <t>pç</t>
        </is>
      </c>
      <c r="K88" s="7" t="n">
        <v>1128</v>
      </c>
      <c r="L88" s="7">
        <f>I88*K88</f>
        <v/>
      </c>
    </row>
    <row r="89">
      <c r="A89" s="6" t="inlineStr">
        <is>
          <t>EMBASAMENTO</t>
        </is>
      </c>
      <c r="B89" s="6" t="inlineStr">
        <is>
          <t>LAZER</t>
        </is>
      </c>
      <c r="C89" s="6" t="inlineStr">
        <is>
          <t>EXTINTORES</t>
        </is>
      </c>
      <c r="D89" s="6" t="inlineStr">
        <is>
          <t>Sistema Preventivo por Extintores</t>
        </is>
      </c>
      <c r="E89" s="6" t="inlineStr">
        <is>
          <t>Extintor PQS 4Kg (2-A:20-B:C)</t>
        </is>
      </c>
      <c r="F89" s="7" t="n">
        <v>4</v>
      </c>
      <c r="G89" s="6" t="n">
        <v>1</v>
      </c>
      <c r="H89" s="6" t="n">
        <v>0</v>
      </c>
      <c r="I89" s="7">
        <f>(F89+H89*F89)*G89</f>
        <v/>
      </c>
      <c r="J89" s="6" t="inlineStr">
        <is>
          <t>pç</t>
        </is>
      </c>
      <c r="K89" s="7" t="n">
        <v>120</v>
      </c>
      <c r="L89" s="7">
        <f>I89*K89</f>
        <v/>
      </c>
    </row>
    <row r="90">
      <c r="A90" s="6" t="inlineStr">
        <is>
          <t>EMBASAMENTO</t>
        </is>
      </c>
      <c r="B90" s="6" t="inlineStr">
        <is>
          <t>LAZER</t>
        </is>
      </c>
      <c r="C90" s="6" t="inlineStr">
        <is>
          <t>SINALIZAÇÃO</t>
        </is>
      </c>
      <c r="D90" s="6" t="inlineStr">
        <is>
          <t>Sinalização de Abandono de Local (SAL)</t>
        </is>
      </c>
      <c r="E90" s="6" t="inlineStr">
        <is>
          <t>Placa Indicativa - Número do Pavimento 200x100 mm</t>
        </is>
      </c>
      <c r="F90" s="7" t="n">
        <v>2</v>
      </c>
      <c r="G90" s="6" t="n">
        <v>1</v>
      </c>
      <c r="H90" s="6" t="n">
        <v>0</v>
      </c>
      <c r="I90" s="7">
        <f>(F90+H90*F90)*G90</f>
        <v/>
      </c>
      <c r="J90" s="6" t="inlineStr">
        <is>
          <t>pç</t>
        </is>
      </c>
      <c r="K90" s="7" t="n">
        <v>15</v>
      </c>
      <c r="L90" s="7">
        <f>I90*K90</f>
        <v/>
      </c>
    </row>
    <row r="91">
      <c r="A91" s="6" t="inlineStr">
        <is>
          <t>EMBASAMENTO</t>
        </is>
      </c>
      <c r="B91" s="6" t="inlineStr">
        <is>
          <t>LAZER</t>
        </is>
      </c>
      <c r="C91" s="6" t="inlineStr">
        <is>
          <t>SINALIZAÇÃO</t>
        </is>
      </c>
      <c r="D91" s="6" t="inlineStr">
        <is>
          <t>Sinalização de Abandono de Local (SAL)</t>
        </is>
      </c>
      <c r="E91" s="6" t="inlineStr">
        <is>
          <t>Placa Indicativa - Elevador de Emergência 250x125 mm</t>
        </is>
      </c>
      <c r="F91" s="7" t="n">
        <v>2</v>
      </c>
      <c r="G91" s="6" t="n">
        <v>1</v>
      </c>
      <c r="H91" s="6" t="n">
        <v>0</v>
      </c>
      <c r="I91" s="7">
        <f>(F91+H91*F91)*G91</f>
        <v/>
      </c>
      <c r="J91" s="6" t="inlineStr">
        <is>
          <t>pç</t>
        </is>
      </c>
      <c r="K91" s="7" t="n">
        <v>15</v>
      </c>
      <c r="L91" s="7">
        <f>I91*K91</f>
        <v/>
      </c>
    </row>
    <row r="92">
      <c r="A92" s="6" t="inlineStr">
        <is>
          <t>EMBASAMENTO</t>
        </is>
      </c>
      <c r="B92" s="6" t="inlineStr">
        <is>
          <t>LAZER</t>
        </is>
      </c>
      <c r="C92" s="6" t="inlineStr">
        <is>
          <t>SINALIZAÇÃO</t>
        </is>
      </c>
      <c r="D92" s="6" t="inlineStr">
        <is>
          <t>Sinalização de Abandono de Local (SAL)</t>
        </is>
      </c>
      <c r="E92" s="6" t="inlineStr">
        <is>
          <t>Placa Fotoluminescente E5 - Extintor de Incêndio</t>
        </is>
      </c>
      <c r="F92" s="7" t="n">
        <v>4</v>
      </c>
      <c r="G92" s="6" t="n">
        <v>1</v>
      </c>
      <c r="H92" s="6" t="n">
        <v>0</v>
      </c>
      <c r="I92" s="7">
        <f>(F92+H92*F92)*G92</f>
        <v/>
      </c>
      <c r="J92" s="6" t="inlineStr">
        <is>
          <t>pç</t>
        </is>
      </c>
      <c r="K92" s="7" t="n">
        <v>15</v>
      </c>
      <c r="L92" s="7">
        <f>I92*K92</f>
        <v/>
      </c>
    </row>
    <row r="93">
      <c r="A93" s="8" t="inlineStr">
        <is>
          <t>EMBASAMENTO</t>
        </is>
      </c>
      <c r="B93" s="8" t="inlineStr">
        <is>
          <t>LAZER</t>
        </is>
      </c>
      <c r="C93" s="8" t="inlineStr">
        <is>
          <t>SINALIZAÇÃO</t>
        </is>
      </c>
      <c r="D93" s="8" t="inlineStr">
        <is>
          <t>Sinalização de Abandono de Local (SAL)</t>
        </is>
      </c>
      <c r="E93" s="8" t="inlineStr">
        <is>
          <t>Placa de sinalização de emergência fotoluminescente (rota de fuga)</t>
        </is>
      </c>
      <c r="F93" s="9" t="n">
        <v>21</v>
      </c>
      <c r="G93" s="8" t="n">
        <v>1</v>
      </c>
      <c r="H93" s="8" t="n">
        <v>0</v>
      </c>
      <c r="I93" s="9">
        <f>(F93+H93*F93)*G93</f>
        <v/>
      </c>
      <c r="J93" s="8" t="inlineStr">
        <is>
          <t>pç</t>
        </is>
      </c>
      <c r="K93" s="9" t="n">
        <v>15</v>
      </c>
      <c r="L93" s="9">
        <f>I93*K93</f>
        <v/>
      </c>
    </row>
    <row r="94">
      <c r="A94" s="8" t="inlineStr">
        <is>
          <t>EMBASAMENTO</t>
        </is>
      </c>
      <c r="B94" s="8" t="inlineStr">
        <is>
          <t>LAZER</t>
        </is>
      </c>
      <c r="C94" s="8" t="inlineStr">
        <is>
          <t>ALARME DE INCÊNDIO</t>
        </is>
      </c>
      <c r="D94" s="8" t="inlineStr">
        <is>
          <t>Sistema de Alarme e Detecção de Incêndio</t>
        </is>
      </c>
      <c r="E94" s="8" t="inlineStr">
        <is>
          <t>Luminária de emergência autônoma LED</t>
        </is>
      </c>
      <c r="F94" s="9" t="n">
        <v>41</v>
      </c>
      <c r="G94" s="8" t="n">
        <v>1</v>
      </c>
      <c r="H94" s="8" t="n">
        <v>0</v>
      </c>
      <c r="I94" s="9">
        <f>(F94+H94*F94)*G94</f>
        <v/>
      </c>
      <c r="J94" s="8" t="inlineStr">
        <is>
          <t>pç</t>
        </is>
      </c>
      <c r="K94" s="9" t="n">
        <v>45</v>
      </c>
      <c r="L94" s="9">
        <f>I94*K94</f>
        <v/>
      </c>
    </row>
    <row r="95">
      <c r="A95" s="8" t="inlineStr">
        <is>
          <t>EMBASAMENTO</t>
        </is>
      </c>
      <c r="B95" s="8" t="inlineStr">
        <is>
          <t>LAZER</t>
        </is>
      </c>
      <c r="C95" s="8" t="inlineStr">
        <is>
          <t>ALARME DE INCÊNDIO</t>
        </is>
      </c>
      <c r="D95" s="8" t="inlineStr">
        <is>
          <t>Sistema de Alarme e Detecção de Incêndio</t>
        </is>
      </c>
      <c r="E95" s="8" t="inlineStr">
        <is>
          <t>Sirene/Campainha de alarme de incêndio</t>
        </is>
      </c>
      <c r="F95" s="9" t="n">
        <v>16</v>
      </c>
      <c r="G95" s="8" t="n">
        <v>1</v>
      </c>
      <c r="H95" s="8" t="n">
        <v>0</v>
      </c>
      <c r="I95" s="9">
        <f>(F95+H95*F95)*G95</f>
        <v/>
      </c>
      <c r="J95" s="8" t="inlineStr">
        <is>
          <t>pç</t>
        </is>
      </c>
      <c r="K95" s="9" t="n">
        <v>85</v>
      </c>
      <c r="L95" s="9">
        <f>I95*K95</f>
        <v/>
      </c>
    </row>
    <row r="96">
      <c r="A96" s="10" t="n"/>
      <c r="B96" s="10" t="n"/>
      <c r="C96" s="10" t="n"/>
      <c r="D96" s="10" t="n"/>
      <c r="E96" s="11" t="inlineStr">
        <is>
          <t>Subtotal LAZER</t>
        </is>
      </c>
      <c r="F96" s="10" t="n"/>
      <c r="G96" s="10" t="n"/>
      <c r="H96" s="10" t="n"/>
      <c r="I96" s="10" t="n"/>
      <c r="J96" s="10" t="n"/>
      <c r="K96" s="10" t="n"/>
      <c r="L96" s="12">
        <f>SUM(L85:L95)</f>
        <v/>
      </c>
    </row>
    <row r="97">
      <c r="A97" s="13" t="n"/>
      <c r="B97" s="13" t="n"/>
      <c r="C97" s="13" t="n"/>
      <c r="D97" s="13" t="n"/>
      <c r="E97" s="14" t="inlineStr">
        <is>
          <t>SUBTOTAL EMBASAMENTO</t>
        </is>
      </c>
      <c r="F97" s="13" t="n"/>
      <c r="G97" s="13" t="n"/>
      <c r="H97" s="13" t="n"/>
      <c r="I97" s="13" t="n"/>
      <c r="J97" s="13" t="n"/>
      <c r="K97" s="13" t="n"/>
      <c r="L97" s="15">
        <f>L20+L33+L45+L57+L69+L83+L96</f>
        <v/>
      </c>
    </row>
    <row r="98">
      <c r="A98" s="5" t="inlineStr">
        <is>
          <t>TORRE A</t>
        </is>
      </c>
      <c r="B98" s="5" t="inlineStr">
        <is>
          <t>PAVIMENTO TIPO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6" t="inlineStr">
        <is>
          <t>TORRE A</t>
        </is>
      </c>
      <c r="B99" s="6" t="inlineStr">
        <is>
          <t>PAVIMENTO TIPO</t>
        </is>
      </c>
      <c r="C99" s="6" t="inlineStr">
        <is>
          <t>SHP</t>
        </is>
      </c>
      <c r="D99" s="6" t="inlineStr">
        <is>
          <t>Sistema Hidráulico Preventivo (SHP)</t>
        </is>
      </c>
      <c r="E99" s="6" t="inlineStr">
        <is>
          <t>Tubo de cobre Ø2"</t>
        </is>
      </c>
      <c r="F99" s="7" t="n">
        <v>3.15</v>
      </c>
      <c r="G99" s="6" t="n">
        <v>24</v>
      </c>
      <c r="H99" s="6" t="n">
        <v>0</v>
      </c>
      <c r="I99" s="7">
        <f>(F99+H99*F99)*G99</f>
        <v/>
      </c>
      <c r="J99" s="6" t="inlineStr">
        <is>
          <t>m</t>
        </is>
      </c>
      <c r="K99" s="7" t="n">
        <v>315</v>
      </c>
      <c r="L99" s="7">
        <f>I99*K99</f>
        <v/>
      </c>
    </row>
    <row r="100">
      <c r="A100" s="6" t="inlineStr">
        <is>
          <t>TORRE A</t>
        </is>
      </c>
      <c r="B100" s="6" t="inlineStr">
        <is>
          <t>PAVIMENTO TIPO</t>
        </is>
      </c>
      <c r="C100" s="6" t="inlineStr">
        <is>
          <t>SHP</t>
        </is>
      </c>
      <c r="D100" s="6" t="inlineStr">
        <is>
          <t>Sistema Hidráulico Preventivo (SHP)</t>
        </is>
      </c>
      <c r="E100" s="6" t="inlineStr">
        <is>
          <t>Tê Cobre Ø2"</t>
        </is>
      </c>
      <c r="F100" s="7" t="n">
        <v>1</v>
      </c>
      <c r="G100" s="6" t="n">
        <v>24</v>
      </c>
      <c r="H100" s="6" t="n">
        <v>0</v>
      </c>
      <c r="I100" s="7">
        <f>(F100+H100*F100)*G100</f>
        <v/>
      </c>
      <c r="J100" s="6" t="inlineStr">
        <is>
          <t>pç</t>
        </is>
      </c>
      <c r="K100" s="7" t="n">
        <v>98</v>
      </c>
      <c r="L100" s="7">
        <f>I100*K100</f>
        <v/>
      </c>
    </row>
    <row r="101">
      <c r="A101" s="6" t="inlineStr">
        <is>
          <t>TORRE A</t>
        </is>
      </c>
      <c r="B101" s="6" t="inlineStr">
        <is>
          <t>PAVIMENTO TIPO</t>
        </is>
      </c>
      <c r="C101" s="6" t="inlineStr">
        <is>
          <t>HIDRANTE</t>
        </is>
      </c>
      <c r="D101" s="6" t="inlineStr">
        <is>
          <t>Sistema Hidráulico Preventivo (SHP)</t>
        </is>
      </c>
      <c r="E101" s="6" t="inlineStr">
        <is>
          <t>Hidrante com Mangotinho 30m 60x100cm</t>
        </is>
      </c>
      <c r="F101" s="7" t="n">
        <v>1</v>
      </c>
      <c r="G101" s="6" t="n">
        <v>24</v>
      </c>
      <c r="H101" s="6" t="n">
        <v>0</v>
      </c>
      <c r="I101" s="7">
        <f>(F101+H101*F101)*G101</f>
        <v/>
      </c>
      <c r="J101" s="6" t="inlineStr">
        <is>
          <t>pç</t>
        </is>
      </c>
      <c r="K101" s="7" t="n">
        <v>1128</v>
      </c>
      <c r="L101" s="7">
        <f>I101*K101</f>
        <v/>
      </c>
    </row>
    <row r="102">
      <c r="A102" s="6" t="inlineStr">
        <is>
          <t>TORRE A</t>
        </is>
      </c>
      <c r="B102" s="6" t="inlineStr">
        <is>
          <t>PAVIMENTO TIPO</t>
        </is>
      </c>
      <c r="C102" s="6" t="inlineStr">
        <is>
          <t>EXTINTORES</t>
        </is>
      </c>
      <c r="D102" s="6" t="inlineStr">
        <is>
          <t>Sistema Preventivo por Extintores</t>
        </is>
      </c>
      <c r="E102" s="6" t="inlineStr">
        <is>
          <t>Extintor PQS 4Kg (2-A:20-B:C)</t>
        </is>
      </c>
      <c r="F102" s="7" t="n">
        <v>2</v>
      </c>
      <c r="G102" s="6" t="n">
        <v>24</v>
      </c>
      <c r="H102" s="6" t="n">
        <v>0</v>
      </c>
      <c r="I102" s="7">
        <f>(F102+H102*F102)*G102</f>
        <v/>
      </c>
      <c r="J102" s="6" t="inlineStr">
        <is>
          <t>pç</t>
        </is>
      </c>
      <c r="K102" s="7" t="n">
        <v>120</v>
      </c>
      <c r="L102" s="7">
        <f>I102*K102</f>
        <v/>
      </c>
    </row>
    <row r="103">
      <c r="A103" s="6" t="inlineStr">
        <is>
          <t>TORRE A</t>
        </is>
      </c>
      <c r="B103" s="6" t="inlineStr">
        <is>
          <t>PAVIMENTO TIPO</t>
        </is>
      </c>
      <c r="C103" s="6" t="inlineStr">
        <is>
          <t>SINALIZAÇÃO</t>
        </is>
      </c>
      <c r="D103" s="6" t="inlineStr">
        <is>
          <t>Sinalização de Abandono de Local (SAL)</t>
        </is>
      </c>
      <c r="E103" s="6" t="inlineStr">
        <is>
          <t>Placa Indicativa - Número do Pavimento 200x100 mm</t>
        </is>
      </c>
      <c r="F103" s="7" t="n">
        <v>1</v>
      </c>
      <c r="G103" s="6" t="n">
        <v>24</v>
      </c>
      <c r="H103" s="6" t="n">
        <v>0</v>
      </c>
      <c r="I103" s="7">
        <f>(F103+H103*F103)*G103</f>
        <v/>
      </c>
      <c r="J103" s="6" t="inlineStr">
        <is>
          <t>pç</t>
        </is>
      </c>
      <c r="K103" s="7" t="n">
        <v>15</v>
      </c>
      <c r="L103" s="7">
        <f>I103*K103</f>
        <v/>
      </c>
    </row>
    <row r="104">
      <c r="A104" s="6" t="inlineStr">
        <is>
          <t>TORRE A</t>
        </is>
      </c>
      <c r="B104" s="6" t="inlineStr">
        <is>
          <t>PAVIMENTO TIPO</t>
        </is>
      </c>
      <c r="C104" s="6" t="inlineStr">
        <is>
          <t>SINALIZAÇÃO</t>
        </is>
      </c>
      <c r="D104" s="6" t="inlineStr">
        <is>
          <t>Sinalização de Abandono de Local (SAL)</t>
        </is>
      </c>
      <c r="E104" s="6" t="inlineStr">
        <is>
          <t>Placa Indicativa - Elevador de Emergência 250x125 mm</t>
        </is>
      </c>
      <c r="F104" s="7" t="n">
        <v>1</v>
      </c>
      <c r="G104" s="6" t="n">
        <v>24</v>
      </c>
      <c r="H104" s="6" t="n">
        <v>0</v>
      </c>
      <c r="I104" s="7">
        <f>(F104+H104*F104)*G104</f>
        <v/>
      </c>
      <c r="J104" s="6" t="inlineStr">
        <is>
          <t>pç</t>
        </is>
      </c>
      <c r="K104" s="7" t="n">
        <v>15</v>
      </c>
      <c r="L104" s="7">
        <f>I104*K104</f>
        <v/>
      </c>
    </row>
    <row r="105">
      <c r="A105" s="8" t="inlineStr">
        <is>
          <t>TORRE A</t>
        </is>
      </c>
      <c r="B105" s="8" t="inlineStr">
        <is>
          <t>PAVIMENTO TIPO</t>
        </is>
      </c>
      <c r="C105" s="8" t="inlineStr">
        <is>
          <t>SINALIZAÇÃO</t>
        </is>
      </c>
      <c r="D105" s="8" t="inlineStr">
        <is>
          <t>Sinalização de Abandono de Local (SAL)</t>
        </is>
      </c>
      <c r="E105" s="8" t="inlineStr">
        <is>
          <t>Placa de sinalização de emergência fotoluminescente (rota de fuga)</t>
        </is>
      </c>
      <c r="F105" s="9" t="n">
        <v>1</v>
      </c>
      <c r="G105" s="8" t="n">
        <v>24</v>
      </c>
      <c r="H105" s="8" t="n">
        <v>0</v>
      </c>
      <c r="I105" s="9">
        <f>(F105+H105*F105)*G105</f>
        <v/>
      </c>
      <c r="J105" s="8" t="inlineStr">
        <is>
          <t>pç</t>
        </is>
      </c>
      <c r="K105" s="9" t="n">
        <v>15</v>
      </c>
      <c r="L105" s="9">
        <f>I105*K105</f>
        <v/>
      </c>
    </row>
    <row r="106">
      <c r="A106" s="8" t="inlineStr">
        <is>
          <t>TORRE A</t>
        </is>
      </c>
      <c r="B106" s="8" t="inlineStr">
        <is>
          <t>PAVIMENTO TIPO</t>
        </is>
      </c>
      <c r="C106" s="8" t="inlineStr">
        <is>
          <t>ALARME DE INCÊNDIO</t>
        </is>
      </c>
      <c r="D106" s="8" t="inlineStr">
        <is>
          <t>Sistema de Alarme e Detecção de Incêndio</t>
        </is>
      </c>
      <c r="E106" s="8" t="inlineStr">
        <is>
          <t>Luminária de emergência autônoma LED</t>
        </is>
      </c>
      <c r="F106" s="9" t="n">
        <v>5</v>
      </c>
      <c r="G106" s="8" t="n">
        <v>24</v>
      </c>
      <c r="H106" s="8" t="n">
        <v>0</v>
      </c>
      <c r="I106" s="9">
        <f>(F106+H106*F106)*G106</f>
        <v/>
      </c>
      <c r="J106" s="8" t="inlineStr">
        <is>
          <t>pç</t>
        </is>
      </c>
      <c r="K106" s="9" t="n">
        <v>45</v>
      </c>
      <c r="L106" s="9">
        <f>I106*K106</f>
        <v/>
      </c>
    </row>
    <row r="107">
      <c r="A107" s="8" t="inlineStr">
        <is>
          <t>TORRE A</t>
        </is>
      </c>
      <c r="B107" s="8" t="inlineStr">
        <is>
          <t>PAVIMENTO TIPO</t>
        </is>
      </c>
      <c r="C107" s="8" t="inlineStr">
        <is>
          <t>ALARME DE INCÊNDIO</t>
        </is>
      </c>
      <c r="D107" s="8" t="inlineStr">
        <is>
          <t>Sistema de Alarme e Detecção de Incêndio</t>
        </is>
      </c>
      <c r="E107" s="8" t="inlineStr">
        <is>
          <t>Sirene/Campainha de alarme de incêndio</t>
        </is>
      </c>
      <c r="F107" s="9" t="n">
        <v>1</v>
      </c>
      <c r="G107" s="8" t="n">
        <v>24</v>
      </c>
      <c r="H107" s="8" t="n">
        <v>0</v>
      </c>
      <c r="I107" s="9">
        <f>(F107+H107*F107)*G107</f>
        <v/>
      </c>
      <c r="J107" s="8" t="inlineStr">
        <is>
          <t>pç</t>
        </is>
      </c>
      <c r="K107" s="9" t="n">
        <v>85</v>
      </c>
      <c r="L107" s="9">
        <f>I107*K107</f>
        <v/>
      </c>
    </row>
    <row r="108">
      <c r="A108" s="8" t="inlineStr">
        <is>
          <t>TORRE A</t>
        </is>
      </c>
      <c r="B108" s="8" t="inlineStr">
        <is>
          <t>PAVIMENTO TIPO</t>
        </is>
      </c>
      <c r="C108" s="8" t="inlineStr">
        <is>
          <t>ALARME DE INCÊNDIO</t>
        </is>
      </c>
      <c r="D108" s="8" t="inlineStr">
        <is>
          <t>Sistema de Alarme e Detecção de Incêndio</t>
        </is>
      </c>
      <c r="E108" s="8" t="inlineStr">
        <is>
          <t>Acionador manual de alarme</t>
        </is>
      </c>
      <c r="F108" s="9" t="n">
        <v>1</v>
      </c>
      <c r="G108" s="8" t="n">
        <v>24</v>
      </c>
      <c r="H108" s="8" t="n">
        <v>0</v>
      </c>
      <c r="I108" s="9">
        <f>(F108+H108*F108)*G108</f>
        <v/>
      </c>
      <c r="J108" s="8" t="inlineStr">
        <is>
          <t>pç</t>
        </is>
      </c>
      <c r="K108" s="9" t="n">
        <v>120</v>
      </c>
      <c r="L108" s="9">
        <f>I108*K108</f>
        <v/>
      </c>
    </row>
    <row r="109">
      <c r="A109" s="10" t="n"/>
      <c r="B109" s="10" t="n"/>
      <c r="C109" s="10" t="n"/>
      <c r="D109" s="10" t="n"/>
      <c r="E109" s="11" t="inlineStr">
        <is>
          <t>Subtotal PAVIMENTO TIPO</t>
        </is>
      </c>
      <c r="F109" s="10" t="n"/>
      <c r="G109" s="10" t="n"/>
      <c r="H109" s="10" t="n"/>
      <c r="I109" s="10" t="n"/>
      <c r="J109" s="10" t="n"/>
      <c r="K109" s="10" t="n"/>
      <c r="L109" s="12">
        <f>SUM(L99:L108)</f>
        <v/>
      </c>
    </row>
    <row r="110">
      <c r="A110" s="5" t="inlineStr">
        <is>
          <t>TORRE A</t>
        </is>
      </c>
      <c r="B110" s="5" t="inlineStr">
        <is>
          <t>CASA DE MÁQUINAS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6" t="inlineStr">
        <is>
          <t>TORRE A</t>
        </is>
      </c>
      <c r="B111" s="6" t="inlineStr">
        <is>
          <t>CASA DE MÁQUINAS</t>
        </is>
      </c>
      <c r="C111" s="6" t="inlineStr">
        <is>
          <t>SHP</t>
        </is>
      </c>
      <c r="D111" s="6" t="inlineStr">
        <is>
          <t>Sistema Hidráulico Preventivo (SHP)</t>
        </is>
      </c>
      <c r="E111" s="6" t="inlineStr">
        <is>
          <t>Tubo de cobre Ø2"</t>
        </is>
      </c>
      <c r="F111" s="7" t="n">
        <v>45</v>
      </c>
      <c r="G111" s="6" t="n">
        <v>1</v>
      </c>
      <c r="H111" s="6" t="n">
        <v>0</v>
      </c>
      <c r="I111" s="7">
        <f>(F111+H111*F111)*G111</f>
        <v/>
      </c>
      <c r="J111" s="6" t="inlineStr">
        <is>
          <t>m</t>
        </is>
      </c>
      <c r="K111" s="7" t="n">
        <v>315</v>
      </c>
      <c r="L111" s="7">
        <f>I111*K111</f>
        <v/>
      </c>
    </row>
    <row r="112">
      <c r="A112" s="6" t="inlineStr">
        <is>
          <t>TORRE A</t>
        </is>
      </c>
      <c r="B112" s="6" t="inlineStr">
        <is>
          <t>CASA DE MÁQUINAS</t>
        </is>
      </c>
      <c r="C112" s="6" t="inlineStr">
        <is>
          <t>SHP</t>
        </is>
      </c>
      <c r="D112" s="6" t="inlineStr">
        <is>
          <t>Sistema Hidráulico Preventivo (SHP)</t>
        </is>
      </c>
      <c r="E112" s="6" t="inlineStr">
        <is>
          <t>Joelho 90° Cobre Ø2"</t>
        </is>
      </c>
      <c r="F112" s="7" t="n">
        <v>3</v>
      </c>
      <c r="G112" s="6" t="n">
        <v>1</v>
      </c>
      <c r="H112" s="6" t="n">
        <v>0</v>
      </c>
      <c r="I112" s="7">
        <f>(F112+H112*F112)*G112</f>
        <v/>
      </c>
      <c r="J112" s="6" t="inlineStr">
        <is>
          <t>pç</t>
        </is>
      </c>
      <c r="K112" s="7" t="n">
        <v>38</v>
      </c>
      <c r="L112" s="7">
        <f>I112*K112</f>
        <v/>
      </c>
    </row>
    <row r="113">
      <c r="A113" s="6" t="inlineStr">
        <is>
          <t>TORRE A</t>
        </is>
      </c>
      <c r="B113" s="6" t="inlineStr">
        <is>
          <t>CASA DE MÁQUINAS</t>
        </is>
      </c>
      <c r="C113" s="6" t="inlineStr">
        <is>
          <t>SHP</t>
        </is>
      </c>
      <c r="D113" s="6" t="inlineStr">
        <is>
          <t>Sistema Hidráulico Preventivo (SHP)</t>
        </is>
      </c>
      <c r="E113" s="6" t="inlineStr">
        <is>
          <t>Tê Cobre Ø2"</t>
        </is>
      </c>
      <c r="F113" s="7" t="n">
        <v>2</v>
      </c>
      <c r="G113" s="6" t="n">
        <v>1</v>
      </c>
      <c r="H113" s="6" t="n">
        <v>0</v>
      </c>
      <c r="I113" s="7">
        <f>(F113+H113*F113)*G113</f>
        <v/>
      </c>
      <c r="J113" s="6" t="inlineStr">
        <is>
          <t>pç</t>
        </is>
      </c>
      <c r="K113" s="7" t="n">
        <v>98</v>
      </c>
      <c r="L113" s="7">
        <f>I113*K113</f>
        <v/>
      </c>
    </row>
    <row r="114">
      <c r="A114" s="6" t="inlineStr">
        <is>
          <t>TORRE A</t>
        </is>
      </c>
      <c r="B114" s="6" t="inlineStr">
        <is>
          <t>CASA DE MÁQUINAS</t>
        </is>
      </c>
      <c r="C114" s="6" t="inlineStr">
        <is>
          <t>EXTINTORES</t>
        </is>
      </c>
      <c r="D114" s="6" t="inlineStr">
        <is>
          <t>Sistema Preventivo por Extintores</t>
        </is>
      </c>
      <c r="E114" s="6" t="inlineStr">
        <is>
          <t>Extintor PQS 4Kg (2-A:20-B:C)</t>
        </is>
      </c>
      <c r="F114" s="7" t="n">
        <v>1</v>
      </c>
      <c r="G114" s="6" t="n">
        <v>1</v>
      </c>
      <c r="H114" s="6" t="n">
        <v>0</v>
      </c>
      <c r="I114" s="7">
        <f>(F114+H114*F114)*G114</f>
        <v/>
      </c>
      <c r="J114" s="6" t="inlineStr">
        <is>
          <t>pç</t>
        </is>
      </c>
      <c r="K114" s="7" t="n">
        <v>120</v>
      </c>
      <c r="L114" s="7">
        <f>I114*K114</f>
        <v/>
      </c>
    </row>
    <row r="115">
      <c r="A115" s="6" t="inlineStr">
        <is>
          <t>TORRE A</t>
        </is>
      </c>
      <c r="B115" s="6" t="inlineStr">
        <is>
          <t>CASA DE MÁQUINAS</t>
        </is>
      </c>
      <c r="C115" s="6" t="inlineStr">
        <is>
          <t>EXTINTORES</t>
        </is>
      </c>
      <c r="D115" s="6" t="inlineStr">
        <is>
          <t>Sistema Preventivo por Extintores</t>
        </is>
      </c>
      <c r="E115" s="6" t="inlineStr">
        <is>
          <t>Extintor CO2 6kg (5-B:C)</t>
        </is>
      </c>
      <c r="F115" s="7" t="n">
        <v>3</v>
      </c>
      <c r="G115" s="6" t="n">
        <v>1</v>
      </c>
      <c r="H115" s="6" t="n">
        <v>0</v>
      </c>
      <c r="I115" s="7">
        <f>(F115+H115*F115)*G115</f>
        <v/>
      </c>
      <c r="J115" s="6" t="inlineStr">
        <is>
          <t>pç</t>
        </is>
      </c>
      <c r="K115" s="7" t="n">
        <v>550</v>
      </c>
      <c r="L115" s="7">
        <f>I115*K115</f>
        <v/>
      </c>
    </row>
    <row r="116">
      <c r="A116" s="6" t="inlineStr">
        <is>
          <t>TORRE A</t>
        </is>
      </c>
      <c r="B116" s="6" t="inlineStr">
        <is>
          <t>CASA DE MÁQUINAS</t>
        </is>
      </c>
      <c r="C116" s="6" t="inlineStr">
        <is>
          <t>SINALIZAÇÃO</t>
        </is>
      </c>
      <c r="D116" s="6" t="inlineStr">
        <is>
          <t>Sinalização de Abandono de Local (SAL)</t>
        </is>
      </c>
      <c r="E116" s="6" t="inlineStr">
        <is>
          <t>Placa Indicativa - Número do Pavimento 200x100 mm</t>
        </is>
      </c>
      <c r="F116" s="7" t="n">
        <v>1</v>
      </c>
      <c r="G116" s="6" t="n">
        <v>1</v>
      </c>
      <c r="H116" s="6" t="n">
        <v>0</v>
      </c>
      <c r="I116" s="7">
        <f>(F116+H116*F116)*G116</f>
        <v/>
      </c>
      <c r="J116" s="6" t="inlineStr">
        <is>
          <t>pç</t>
        </is>
      </c>
      <c r="K116" s="7" t="n">
        <v>15</v>
      </c>
      <c r="L116" s="7">
        <f>I116*K116</f>
        <v/>
      </c>
    </row>
    <row r="117">
      <c r="A117" s="6" t="inlineStr">
        <is>
          <t>TORRE A</t>
        </is>
      </c>
      <c r="B117" s="6" t="inlineStr">
        <is>
          <t>CASA DE MÁQUINAS</t>
        </is>
      </c>
      <c r="C117" s="6" t="inlineStr">
        <is>
          <t>SINALIZAÇÃO</t>
        </is>
      </c>
      <c r="D117" s="6" t="inlineStr">
        <is>
          <t>Sinalização de Abandono de Local (SAL)</t>
        </is>
      </c>
      <c r="E117" s="6" t="inlineStr">
        <is>
          <t>Placa Indicativa - Elevador de Emergência 250x125 mm</t>
        </is>
      </c>
      <c r="F117" s="7" t="n">
        <v>1</v>
      </c>
      <c r="G117" s="6" t="n">
        <v>1</v>
      </c>
      <c r="H117" s="6" t="n">
        <v>0</v>
      </c>
      <c r="I117" s="7">
        <f>(F117+H117*F117)*G117</f>
        <v/>
      </c>
      <c r="J117" s="6" t="inlineStr">
        <is>
          <t>pç</t>
        </is>
      </c>
      <c r="K117" s="7" t="n">
        <v>15</v>
      </c>
      <c r="L117" s="7">
        <f>I117*K117</f>
        <v/>
      </c>
    </row>
    <row r="118">
      <c r="A118" s="6" t="inlineStr">
        <is>
          <t>TORRE A</t>
        </is>
      </c>
      <c r="B118" s="6" t="inlineStr">
        <is>
          <t>CASA DE MÁQUINAS</t>
        </is>
      </c>
      <c r="C118" s="6" t="inlineStr">
        <is>
          <t>SINALIZAÇÃO</t>
        </is>
      </c>
      <c r="D118" s="6" t="inlineStr">
        <is>
          <t>Sinalização de Abandono de Local (SAL)</t>
        </is>
      </c>
      <c r="E118" s="6" t="inlineStr">
        <is>
          <t>Placa Fotoluminescente E5 - Extintor de Incêndio</t>
        </is>
      </c>
      <c r="F118" s="7" t="n">
        <v>2</v>
      </c>
      <c r="G118" s="6" t="n">
        <v>1</v>
      </c>
      <c r="H118" s="6" t="n">
        <v>0</v>
      </c>
      <c r="I118" s="7">
        <f>(F118+H118*F118)*G118</f>
        <v/>
      </c>
      <c r="J118" s="6" t="inlineStr">
        <is>
          <t>pç</t>
        </is>
      </c>
      <c r="K118" s="7" t="n">
        <v>15</v>
      </c>
      <c r="L118" s="7">
        <f>I118*K118</f>
        <v/>
      </c>
    </row>
    <row r="119">
      <c r="A119" s="8" t="inlineStr">
        <is>
          <t>TORRE A</t>
        </is>
      </c>
      <c r="B119" s="8" t="inlineStr">
        <is>
          <t>CASA DE MÁQUINAS</t>
        </is>
      </c>
      <c r="C119" s="8" t="inlineStr">
        <is>
          <t>SINALIZAÇÃO</t>
        </is>
      </c>
      <c r="D119" s="8" t="inlineStr">
        <is>
          <t>Sinalização de Abandono de Local (SAL)</t>
        </is>
      </c>
      <c r="E119" s="8" t="inlineStr">
        <is>
          <t>Placa de sinalização de emergência fotoluminescente (rota de fuga)</t>
        </is>
      </c>
      <c r="F119" s="9" t="n">
        <v>2</v>
      </c>
      <c r="G119" s="8" t="n">
        <v>1</v>
      </c>
      <c r="H119" s="8" t="n">
        <v>0</v>
      </c>
      <c r="I119" s="9">
        <f>(F119+H119*F119)*G119</f>
        <v/>
      </c>
      <c r="J119" s="8" t="inlineStr">
        <is>
          <t>pç</t>
        </is>
      </c>
      <c r="K119" s="9" t="n">
        <v>15</v>
      </c>
      <c r="L119" s="9">
        <f>I119*K119</f>
        <v/>
      </c>
    </row>
    <row r="120">
      <c r="A120" s="8" t="inlineStr">
        <is>
          <t>TORRE A</t>
        </is>
      </c>
      <c r="B120" s="8" t="inlineStr">
        <is>
          <t>CASA DE MÁQUINAS</t>
        </is>
      </c>
      <c r="C120" s="8" t="inlineStr">
        <is>
          <t>ALARME DE INCÊNDIO</t>
        </is>
      </c>
      <c r="D120" s="8" t="inlineStr">
        <is>
          <t>Sistema de Alarme e Detecção de Incêndio</t>
        </is>
      </c>
      <c r="E120" s="8" t="inlineStr">
        <is>
          <t>Luminária de emergência autônoma LED</t>
        </is>
      </c>
      <c r="F120" s="9" t="n">
        <v>7</v>
      </c>
      <c r="G120" s="8" t="n">
        <v>1</v>
      </c>
      <c r="H120" s="8" t="n">
        <v>0</v>
      </c>
      <c r="I120" s="9">
        <f>(F120+H120*F120)*G120</f>
        <v/>
      </c>
      <c r="J120" s="8" t="inlineStr">
        <is>
          <t>pç</t>
        </is>
      </c>
      <c r="K120" s="9" t="n">
        <v>45</v>
      </c>
      <c r="L120" s="9">
        <f>I120*K120</f>
        <v/>
      </c>
    </row>
    <row r="121">
      <c r="A121" s="10" t="n"/>
      <c r="B121" s="10" t="n"/>
      <c r="C121" s="10" t="n"/>
      <c r="D121" s="10" t="n"/>
      <c r="E121" s="11" t="inlineStr">
        <is>
          <t>Subtotal CASA DE MÁQUINAS</t>
        </is>
      </c>
      <c r="F121" s="10" t="n"/>
      <c r="G121" s="10" t="n"/>
      <c r="H121" s="10" t="n"/>
      <c r="I121" s="10" t="n"/>
      <c r="J121" s="10" t="n"/>
      <c r="K121" s="10" t="n"/>
      <c r="L121" s="12">
        <f>SUM(L111:L120)</f>
        <v/>
      </c>
    </row>
    <row r="122">
      <c r="A122" s="5" t="inlineStr">
        <is>
          <t>TORRE A</t>
        </is>
      </c>
      <c r="B122" s="5" t="inlineStr">
        <is>
          <t>PAVIMENTOS TÉCNICOS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6" t="inlineStr">
        <is>
          <t>TORRE A</t>
        </is>
      </c>
      <c r="B123" s="6" t="inlineStr">
        <is>
          <t>PAVIMENTOS TÉCNICOS</t>
        </is>
      </c>
      <c r="C123" s="6" t="inlineStr">
        <is>
          <t>SHP</t>
        </is>
      </c>
      <c r="D123" s="6" t="inlineStr">
        <is>
          <t>Sistema Hidráulico Preventivo (SHP)</t>
        </is>
      </c>
      <c r="E123" s="6" t="inlineStr">
        <is>
          <t>Tubo de cobre Ø2"</t>
        </is>
      </c>
      <c r="F123" s="7" t="n">
        <v>15</v>
      </c>
      <c r="G123" s="6" t="n">
        <v>1</v>
      </c>
      <c r="H123" s="6" t="n">
        <v>0</v>
      </c>
      <c r="I123" s="7">
        <f>(F123+H123*F123)*G123</f>
        <v/>
      </c>
      <c r="J123" s="6" t="inlineStr">
        <is>
          <t>m</t>
        </is>
      </c>
      <c r="K123" s="7" t="n">
        <v>315</v>
      </c>
      <c r="L123" s="7">
        <f>I123*K123</f>
        <v/>
      </c>
    </row>
    <row r="124">
      <c r="A124" s="6" t="inlineStr">
        <is>
          <t>TORRE A</t>
        </is>
      </c>
      <c r="B124" s="6" t="inlineStr">
        <is>
          <t>PAVIMENTOS TÉCNICOS</t>
        </is>
      </c>
      <c r="C124" s="6" t="inlineStr">
        <is>
          <t>SHP</t>
        </is>
      </c>
      <c r="D124" s="6" t="inlineStr">
        <is>
          <t>Sistema Hidráulico Preventivo (SHP)</t>
        </is>
      </c>
      <c r="E124" s="6" t="inlineStr">
        <is>
          <t>Joelho 90° Cobre Ø2"</t>
        </is>
      </c>
      <c r="F124" s="7" t="n">
        <v>1</v>
      </c>
      <c r="G124" s="6" t="n">
        <v>1</v>
      </c>
      <c r="H124" s="6" t="n">
        <v>0</v>
      </c>
      <c r="I124" s="7">
        <f>(F124+H124*F124)*G124</f>
        <v/>
      </c>
      <c r="J124" s="6" t="inlineStr">
        <is>
          <t>pç</t>
        </is>
      </c>
      <c r="K124" s="7" t="n">
        <v>38</v>
      </c>
      <c r="L124" s="7">
        <f>I124*K124</f>
        <v/>
      </c>
    </row>
    <row r="125">
      <c r="A125" s="10" t="n"/>
      <c r="B125" s="10" t="n"/>
      <c r="C125" s="10" t="n"/>
      <c r="D125" s="10" t="n"/>
      <c r="E125" s="11" t="inlineStr">
        <is>
          <t>Subtotal PAVIMENTOS TÉCNICOS</t>
        </is>
      </c>
      <c r="F125" s="10" t="n"/>
      <c r="G125" s="10" t="n"/>
      <c r="H125" s="10" t="n"/>
      <c r="I125" s="10" t="n"/>
      <c r="J125" s="10" t="n"/>
      <c r="K125" s="10" t="n"/>
      <c r="L125" s="12">
        <f>SUM(L123:L124)</f>
        <v/>
      </c>
    </row>
    <row r="126">
      <c r="A126" s="13" t="n"/>
      <c r="B126" s="13" t="n"/>
      <c r="C126" s="13" t="n"/>
      <c r="D126" s="13" t="n"/>
      <c r="E126" s="14" t="inlineStr">
        <is>
          <t>SUBTOTAL TORRE A</t>
        </is>
      </c>
      <c r="F126" s="13" t="n"/>
      <c r="G126" s="13" t="n"/>
      <c r="H126" s="13" t="n"/>
      <c r="I126" s="13" t="n"/>
      <c r="J126" s="13" t="n"/>
      <c r="K126" s="13" t="n"/>
      <c r="L126" s="15">
        <f>L109+L121+L125</f>
        <v/>
      </c>
    </row>
    <row r="127">
      <c r="A127" s="5" t="inlineStr">
        <is>
          <t>TORRE B</t>
        </is>
      </c>
      <c r="B127" s="5" t="inlineStr">
        <is>
          <t>PAVIMENTO TIPO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6" t="inlineStr">
        <is>
          <t>TORRE B</t>
        </is>
      </c>
      <c r="B128" s="6" t="inlineStr">
        <is>
          <t>PAVIMENTO TIPO</t>
        </is>
      </c>
      <c r="C128" s="6" t="inlineStr">
        <is>
          <t>SHP</t>
        </is>
      </c>
      <c r="D128" s="6" t="inlineStr">
        <is>
          <t>Sistema Hidráulico Preventivo (SHP)</t>
        </is>
      </c>
      <c r="E128" s="6" t="inlineStr">
        <is>
          <t>Tubo de cobre Ø2"</t>
        </is>
      </c>
      <c r="F128" s="7" t="n">
        <v>3.15</v>
      </c>
      <c r="G128" s="6" t="n">
        <v>24</v>
      </c>
      <c r="H128" s="6" t="n">
        <v>0</v>
      </c>
      <c r="I128" s="7">
        <f>(F128+H128*F128)*G128</f>
        <v/>
      </c>
      <c r="J128" s="6" t="inlineStr">
        <is>
          <t>m</t>
        </is>
      </c>
      <c r="K128" s="7" t="n">
        <v>315</v>
      </c>
      <c r="L128" s="7">
        <f>I128*K128</f>
        <v/>
      </c>
    </row>
    <row r="129">
      <c r="A129" s="6" t="inlineStr">
        <is>
          <t>TORRE B</t>
        </is>
      </c>
      <c r="B129" s="6" t="inlineStr">
        <is>
          <t>PAVIMENTO TIPO</t>
        </is>
      </c>
      <c r="C129" s="6" t="inlineStr">
        <is>
          <t>SHP</t>
        </is>
      </c>
      <c r="D129" s="6" t="inlineStr">
        <is>
          <t>Sistema Hidráulico Preventivo (SHP)</t>
        </is>
      </c>
      <c r="E129" s="6" t="inlineStr">
        <is>
          <t>Tê Cobre Ø2"</t>
        </is>
      </c>
      <c r="F129" s="7" t="n">
        <v>1</v>
      </c>
      <c r="G129" s="6" t="n">
        <v>24</v>
      </c>
      <c r="H129" s="6" t="n">
        <v>0</v>
      </c>
      <c r="I129" s="7">
        <f>(F129+H129*F129)*G129</f>
        <v/>
      </c>
      <c r="J129" s="6" t="inlineStr">
        <is>
          <t>pç</t>
        </is>
      </c>
      <c r="K129" s="7" t="n">
        <v>98</v>
      </c>
      <c r="L129" s="7">
        <f>I129*K129</f>
        <v/>
      </c>
    </row>
    <row r="130">
      <c r="A130" s="6" t="inlineStr">
        <is>
          <t>TORRE B</t>
        </is>
      </c>
      <c r="B130" s="6" t="inlineStr">
        <is>
          <t>PAVIMENTO TIPO</t>
        </is>
      </c>
      <c r="C130" s="6" t="inlineStr">
        <is>
          <t>HIDRANTE</t>
        </is>
      </c>
      <c r="D130" s="6" t="inlineStr">
        <is>
          <t>Sistema Hidráulico Preventivo (SHP)</t>
        </is>
      </c>
      <c r="E130" s="6" t="inlineStr">
        <is>
          <t>Hidrante com Mangotinho 30m 60x100cm</t>
        </is>
      </c>
      <c r="F130" s="7" t="n">
        <v>1</v>
      </c>
      <c r="G130" s="6" t="n">
        <v>24</v>
      </c>
      <c r="H130" s="6" t="n">
        <v>0</v>
      </c>
      <c r="I130" s="7">
        <f>(F130+H130*F130)*G130</f>
        <v/>
      </c>
      <c r="J130" s="6" t="inlineStr">
        <is>
          <t>pç</t>
        </is>
      </c>
      <c r="K130" s="7" t="n">
        <v>1128</v>
      </c>
      <c r="L130" s="7">
        <f>I130*K130</f>
        <v/>
      </c>
    </row>
    <row r="131">
      <c r="A131" s="6" t="inlineStr">
        <is>
          <t>TORRE B</t>
        </is>
      </c>
      <c r="B131" s="6" t="inlineStr">
        <is>
          <t>PAVIMENTO TIPO</t>
        </is>
      </c>
      <c r="C131" s="6" t="inlineStr">
        <is>
          <t>EXTINTORES</t>
        </is>
      </c>
      <c r="D131" s="6" t="inlineStr">
        <is>
          <t>Sistema Preventivo por Extintores</t>
        </is>
      </c>
      <c r="E131" s="6" t="inlineStr">
        <is>
          <t>Extintor PQS 4Kg (2-A:20-B:C)</t>
        </is>
      </c>
      <c r="F131" s="7" t="n">
        <v>2</v>
      </c>
      <c r="G131" s="6" t="n">
        <v>24</v>
      </c>
      <c r="H131" s="6" t="n">
        <v>0</v>
      </c>
      <c r="I131" s="7">
        <f>(F131+H131*F131)*G131</f>
        <v/>
      </c>
      <c r="J131" s="6" t="inlineStr">
        <is>
          <t>pç</t>
        </is>
      </c>
      <c r="K131" s="7" t="n">
        <v>120</v>
      </c>
      <c r="L131" s="7">
        <f>I131*K131</f>
        <v/>
      </c>
    </row>
    <row r="132">
      <c r="A132" s="6" t="inlineStr">
        <is>
          <t>TORRE B</t>
        </is>
      </c>
      <c r="B132" s="6" t="inlineStr">
        <is>
          <t>PAVIMENTO TIPO</t>
        </is>
      </c>
      <c r="C132" s="6" t="inlineStr">
        <is>
          <t>SINALIZAÇÃO</t>
        </is>
      </c>
      <c r="D132" s="6" t="inlineStr">
        <is>
          <t>Sinalização de Abandono de Local (SAL)</t>
        </is>
      </c>
      <c r="E132" s="6" t="inlineStr">
        <is>
          <t>Placa Indicativa - Número do Pavimento 200x100 mm</t>
        </is>
      </c>
      <c r="F132" s="7" t="n">
        <v>1</v>
      </c>
      <c r="G132" s="6" t="n">
        <v>24</v>
      </c>
      <c r="H132" s="6" t="n">
        <v>0</v>
      </c>
      <c r="I132" s="7">
        <f>(F132+H132*F132)*G132</f>
        <v/>
      </c>
      <c r="J132" s="6" t="inlineStr">
        <is>
          <t>pç</t>
        </is>
      </c>
      <c r="K132" s="7" t="n">
        <v>15</v>
      </c>
      <c r="L132" s="7">
        <f>I132*K132</f>
        <v/>
      </c>
    </row>
    <row r="133">
      <c r="A133" s="6" t="inlineStr">
        <is>
          <t>TORRE B</t>
        </is>
      </c>
      <c r="B133" s="6" t="inlineStr">
        <is>
          <t>PAVIMENTO TIPO</t>
        </is>
      </c>
      <c r="C133" s="6" t="inlineStr">
        <is>
          <t>SINALIZAÇÃO</t>
        </is>
      </c>
      <c r="D133" s="6" t="inlineStr">
        <is>
          <t>Sinalização de Abandono de Local (SAL)</t>
        </is>
      </c>
      <c r="E133" s="6" t="inlineStr">
        <is>
          <t>Placa Indicativa - Elevador de Emergência 250x125 mm</t>
        </is>
      </c>
      <c r="F133" s="7" t="n">
        <v>1</v>
      </c>
      <c r="G133" s="6" t="n">
        <v>24</v>
      </c>
      <c r="H133" s="6" t="n">
        <v>0</v>
      </c>
      <c r="I133" s="7">
        <f>(F133+H133*F133)*G133</f>
        <v/>
      </c>
      <c r="J133" s="6" t="inlineStr">
        <is>
          <t>pç</t>
        </is>
      </c>
      <c r="K133" s="7" t="n">
        <v>15</v>
      </c>
      <c r="L133" s="7">
        <f>I133*K133</f>
        <v/>
      </c>
    </row>
    <row r="134">
      <c r="A134" s="8" t="inlineStr">
        <is>
          <t>TORRE B</t>
        </is>
      </c>
      <c r="B134" s="8" t="inlineStr">
        <is>
          <t>PAVIMENTO TIPO</t>
        </is>
      </c>
      <c r="C134" s="8" t="inlineStr">
        <is>
          <t>SINALIZAÇÃO</t>
        </is>
      </c>
      <c r="D134" s="8" t="inlineStr">
        <is>
          <t>Sinalização de Abandono de Local (SAL)</t>
        </is>
      </c>
      <c r="E134" s="8" t="inlineStr">
        <is>
          <t>Placa de sinalização de emergência fotoluminescente (rota de fuga)</t>
        </is>
      </c>
      <c r="F134" s="9" t="n">
        <v>1</v>
      </c>
      <c r="G134" s="8" t="n">
        <v>24</v>
      </c>
      <c r="H134" s="8" t="n">
        <v>0</v>
      </c>
      <c r="I134" s="9">
        <f>(F134+H134*F134)*G134</f>
        <v/>
      </c>
      <c r="J134" s="8" t="inlineStr">
        <is>
          <t>pç</t>
        </is>
      </c>
      <c r="K134" s="9" t="n">
        <v>15</v>
      </c>
      <c r="L134" s="9">
        <f>I134*K134</f>
        <v/>
      </c>
    </row>
    <row r="135">
      <c r="A135" s="8" t="inlineStr">
        <is>
          <t>TORRE B</t>
        </is>
      </c>
      <c r="B135" s="8" t="inlineStr">
        <is>
          <t>PAVIMENTO TIPO</t>
        </is>
      </c>
      <c r="C135" s="8" t="inlineStr">
        <is>
          <t>ALARME DE INCÊNDIO</t>
        </is>
      </c>
      <c r="D135" s="8" t="inlineStr">
        <is>
          <t>Sistema de Alarme e Detecção de Incêndio</t>
        </is>
      </c>
      <c r="E135" s="8" t="inlineStr">
        <is>
          <t>Luminária de emergência autônoma LED</t>
        </is>
      </c>
      <c r="F135" s="9" t="n">
        <v>6</v>
      </c>
      <c r="G135" s="8" t="n">
        <v>24</v>
      </c>
      <c r="H135" s="8" t="n">
        <v>0</v>
      </c>
      <c r="I135" s="9">
        <f>(F135+H135*F135)*G135</f>
        <v/>
      </c>
      <c r="J135" s="8" t="inlineStr">
        <is>
          <t>pç</t>
        </is>
      </c>
      <c r="K135" s="9" t="n">
        <v>45</v>
      </c>
      <c r="L135" s="9">
        <f>I135*K135</f>
        <v/>
      </c>
    </row>
    <row r="136">
      <c r="A136" s="8" t="inlineStr">
        <is>
          <t>TORRE B</t>
        </is>
      </c>
      <c r="B136" s="8" t="inlineStr">
        <is>
          <t>PAVIMENTO TIPO</t>
        </is>
      </c>
      <c r="C136" s="8" t="inlineStr">
        <is>
          <t>ALARME DE INCÊNDIO</t>
        </is>
      </c>
      <c r="D136" s="8" t="inlineStr">
        <is>
          <t>Sistema de Alarme e Detecção de Incêndio</t>
        </is>
      </c>
      <c r="E136" s="8" t="inlineStr">
        <is>
          <t>Sirene/Campainha de alarme de incêndio</t>
        </is>
      </c>
      <c r="F136" s="9" t="n">
        <v>1</v>
      </c>
      <c r="G136" s="8" t="n">
        <v>24</v>
      </c>
      <c r="H136" s="8" t="n">
        <v>0</v>
      </c>
      <c r="I136" s="9">
        <f>(F136+H136*F136)*G136</f>
        <v/>
      </c>
      <c r="J136" s="8" t="inlineStr">
        <is>
          <t>pç</t>
        </is>
      </c>
      <c r="K136" s="9" t="n">
        <v>85</v>
      </c>
      <c r="L136" s="9">
        <f>I136*K136</f>
        <v/>
      </c>
    </row>
    <row r="137">
      <c r="A137" s="10" t="n"/>
      <c r="B137" s="10" t="n"/>
      <c r="C137" s="10" t="n"/>
      <c r="D137" s="10" t="n"/>
      <c r="E137" s="11" t="inlineStr">
        <is>
          <t>Subtotal PAVIMENTO TIPO</t>
        </is>
      </c>
      <c r="F137" s="10" t="n"/>
      <c r="G137" s="10" t="n"/>
      <c r="H137" s="10" t="n"/>
      <c r="I137" s="10" t="n"/>
      <c r="J137" s="10" t="n"/>
      <c r="K137" s="10" t="n"/>
      <c r="L137" s="12">
        <f>SUM(L128:L136)</f>
        <v/>
      </c>
    </row>
    <row r="138">
      <c r="A138" s="5" t="inlineStr">
        <is>
          <t>TORRE B</t>
        </is>
      </c>
      <c r="B138" s="5" t="inlineStr">
        <is>
          <t>CASA DE MÁQUINAS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6" t="inlineStr">
        <is>
          <t>TORRE B</t>
        </is>
      </c>
      <c r="B139" s="6" t="inlineStr">
        <is>
          <t>CASA DE MÁQUINAS</t>
        </is>
      </c>
      <c r="C139" s="6" t="inlineStr">
        <is>
          <t>SHP</t>
        </is>
      </c>
      <c r="D139" s="6" t="inlineStr">
        <is>
          <t>Sistema Hidráulico Preventivo (SHP)</t>
        </is>
      </c>
      <c r="E139" s="6" t="inlineStr">
        <is>
          <t>Tubo de cobre Ø2"</t>
        </is>
      </c>
      <c r="F139" s="7" t="n">
        <v>25</v>
      </c>
      <c r="G139" s="6" t="n">
        <v>1</v>
      </c>
      <c r="H139" s="6" t="n">
        <v>0</v>
      </c>
      <c r="I139" s="7">
        <f>(F139+H139*F139)*G139</f>
        <v/>
      </c>
      <c r="J139" s="6" t="inlineStr">
        <is>
          <t>m</t>
        </is>
      </c>
      <c r="K139" s="7" t="n">
        <v>315</v>
      </c>
      <c r="L139" s="7">
        <f>I139*K139</f>
        <v/>
      </c>
    </row>
    <row r="140">
      <c r="A140" s="6" t="inlineStr">
        <is>
          <t>TORRE B</t>
        </is>
      </c>
      <c r="B140" s="6" t="inlineStr">
        <is>
          <t>CASA DE MÁQUINAS</t>
        </is>
      </c>
      <c r="C140" s="6" t="inlineStr">
        <is>
          <t>SHP</t>
        </is>
      </c>
      <c r="D140" s="6" t="inlineStr">
        <is>
          <t>Sistema Hidráulico Preventivo (SHP)</t>
        </is>
      </c>
      <c r="E140" s="6" t="inlineStr">
        <is>
          <t>Joelho 90° Cobre Ø2"</t>
        </is>
      </c>
      <c r="F140" s="7" t="n">
        <v>2</v>
      </c>
      <c r="G140" s="6" t="n">
        <v>1</v>
      </c>
      <c r="H140" s="6" t="n">
        <v>0</v>
      </c>
      <c r="I140" s="7">
        <f>(F140+H140*F140)*G140</f>
        <v/>
      </c>
      <c r="J140" s="6" t="inlineStr">
        <is>
          <t>pç</t>
        </is>
      </c>
      <c r="K140" s="7" t="n">
        <v>38</v>
      </c>
      <c r="L140" s="7">
        <f>I140*K140</f>
        <v/>
      </c>
    </row>
    <row r="141">
      <c r="A141" s="6" t="inlineStr">
        <is>
          <t>TORRE B</t>
        </is>
      </c>
      <c r="B141" s="6" t="inlineStr">
        <is>
          <t>CASA DE MÁQUINAS</t>
        </is>
      </c>
      <c r="C141" s="6" t="inlineStr">
        <is>
          <t>SHP</t>
        </is>
      </c>
      <c r="D141" s="6" t="inlineStr">
        <is>
          <t>Sistema Hidráulico Preventivo (SHP)</t>
        </is>
      </c>
      <c r="E141" s="6" t="inlineStr">
        <is>
          <t>Tê Cobre Ø2"</t>
        </is>
      </c>
      <c r="F141" s="7" t="n">
        <v>1</v>
      </c>
      <c r="G141" s="6" t="n">
        <v>1</v>
      </c>
      <c r="H141" s="6" t="n">
        <v>0</v>
      </c>
      <c r="I141" s="7">
        <f>(F141+H141*F141)*G141</f>
        <v/>
      </c>
      <c r="J141" s="6" t="inlineStr">
        <is>
          <t>pç</t>
        </is>
      </c>
      <c r="K141" s="7" t="n">
        <v>98</v>
      </c>
      <c r="L141" s="7">
        <f>I141*K141</f>
        <v/>
      </c>
    </row>
    <row r="142">
      <c r="A142" s="6" t="inlineStr">
        <is>
          <t>TORRE B</t>
        </is>
      </c>
      <c r="B142" s="6" t="inlineStr">
        <is>
          <t>CASA DE MÁQUINAS</t>
        </is>
      </c>
      <c r="C142" s="6" t="inlineStr">
        <is>
          <t>EXTINTORES</t>
        </is>
      </c>
      <c r="D142" s="6" t="inlineStr">
        <is>
          <t>Sistema Preventivo por Extintores</t>
        </is>
      </c>
      <c r="E142" s="6" t="inlineStr">
        <is>
          <t>Extintor PQS 4Kg (2-A:20-B:C)</t>
        </is>
      </c>
      <c r="F142" s="7" t="n">
        <v>1</v>
      </c>
      <c r="G142" s="6" t="n">
        <v>1</v>
      </c>
      <c r="H142" s="6" t="n">
        <v>0</v>
      </c>
      <c r="I142" s="7">
        <f>(F142+H142*F142)*G142</f>
        <v/>
      </c>
      <c r="J142" s="6" t="inlineStr">
        <is>
          <t>pç</t>
        </is>
      </c>
      <c r="K142" s="7" t="n">
        <v>120</v>
      </c>
      <c r="L142" s="7">
        <f>I142*K142</f>
        <v/>
      </c>
    </row>
    <row r="143">
      <c r="A143" s="6" t="inlineStr">
        <is>
          <t>TORRE B</t>
        </is>
      </c>
      <c r="B143" s="6" t="inlineStr">
        <is>
          <t>CASA DE MÁQUINAS</t>
        </is>
      </c>
      <c r="C143" s="6" t="inlineStr">
        <is>
          <t>EXTINTORES</t>
        </is>
      </c>
      <c r="D143" s="6" t="inlineStr">
        <is>
          <t>Sistema Preventivo por Extintores</t>
        </is>
      </c>
      <c r="E143" s="6" t="inlineStr">
        <is>
          <t>Extintor CO2 6kg (5-B:C)</t>
        </is>
      </c>
      <c r="F143" s="7" t="n">
        <v>2</v>
      </c>
      <c r="G143" s="6" t="n">
        <v>1</v>
      </c>
      <c r="H143" s="6" t="n">
        <v>0</v>
      </c>
      <c r="I143" s="7">
        <f>(F143+H143*F143)*G143</f>
        <v/>
      </c>
      <c r="J143" s="6" t="inlineStr">
        <is>
          <t>pç</t>
        </is>
      </c>
      <c r="K143" s="7" t="n">
        <v>550</v>
      </c>
      <c r="L143" s="7">
        <f>I143*K143</f>
        <v/>
      </c>
    </row>
    <row r="144">
      <c r="A144" s="6" t="inlineStr">
        <is>
          <t>TORRE B</t>
        </is>
      </c>
      <c r="B144" s="6" t="inlineStr">
        <is>
          <t>CASA DE MÁQUINAS</t>
        </is>
      </c>
      <c r="C144" s="6" t="inlineStr">
        <is>
          <t>SINALIZAÇÃO</t>
        </is>
      </c>
      <c r="D144" s="6" t="inlineStr">
        <is>
          <t>Sinalização de Abandono de Local (SAL)</t>
        </is>
      </c>
      <c r="E144" s="6" t="inlineStr">
        <is>
          <t>Placa Indicativa - Número do Pavimento 200x100 mm</t>
        </is>
      </c>
      <c r="F144" s="7" t="n">
        <v>1</v>
      </c>
      <c r="G144" s="6" t="n">
        <v>1</v>
      </c>
      <c r="H144" s="6" t="n">
        <v>0</v>
      </c>
      <c r="I144" s="7">
        <f>(F144+H144*F144)*G144</f>
        <v/>
      </c>
      <c r="J144" s="6" t="inlineStr">
        <is>
          <t>pç</t>
        </is>
      </c>
      <c r="K144" s="7" t="n">
        <v>15</v>
      </c>
      <c r="L144" s="7">
        <f>I144*K144</f>
        <v/>
      </c>
    </row>
    <row r="145">
      <c r="A145" s="6" t="inlineStr">
        <is>
          <t>TORRE B</t>
        </is>
      </c>
      <c r="B145" s="6" t="inlineStr">
        <is>
          <t>CASA DE MÁQUINAS</t>
        </is>
      </c>
      <c r="C145" s="6" t="inlineStr">
        <is>
          <t>SINALIZAÇÃO</t>
        </is>
      </c>
      <c r="D145" s="6" t="inlineStr">
        <is>
          <t>Sinalização de Abandono de Local (SAL)</t>
        </is>
      </c>
      <c r="E145" s="6" t="inlineStr">
        <is>
          <t>Placa Indicativa - Elevador de Emergência 250x125 mm</t>
        </is>
      </c>
      <c r="F145" s="7" t="n">
        <v>1</v>
      </c>
      <c r="G145" s="6" t="n">
        <v>1</v>
      </c>
      <c r="H145" s="6" t="n">
        <v>0</v>
      </c>
      <c r="I145" s="7">
        <f>(F145+H145*F145)*G145</f>
        <v/>
      </c>
      <c r="J145" s="6" t="inlineStr">
        <is>
          <t>pç</t>
        </is>
      </c>
      <c r="K145" s="7" t="n">
        <v>15</v>
      </c>
      <c r="L145" s="7">
        <f>I145*K145</f>
        <v/>
      </c>
    </row>
    <row r="146">
      <c r="A146" s="6" t="inlineStr">
        <is>
          <t>TORRE B</t>
        </is>
      </c>
      <c r="B146" s="6" t="inlineStr">
        <is>
          <t>CASA DE MÁQUINAS</t>
        </is>
      </c>
      <c r="C146" s="6" t="inlineStr">
        <is>
          <t>SINALIZAÇÃO</t>
        </is>
      </c>
      <c r="D146" s="6" t="inlineStr">
        <is>
          <t>Sinalização de Abandono de Local (SAL)</t>
        </is>
      </c>
      <c r="E146" s="6" t="inlineStr">
        <is>
          <t>Placa Fotoluminescente E5 - Extintor de Incêndio</t>
        </is>
      </c>
      <c r="F146" s="7" t="n">
        <v>1</v>
      </c>
      <c r="G146" s="6" t="n">
        <v>1</v>
      </c>
      <c r="H146" s="6" t="n">
        <v>0</v>
      </c>
      <c r="I146" s="7">
        <f>(F146+H146*F146)*G146</f>
        <v/>
      </c>
      <c r="J146" s="6" t="inlineStr">
        <is>
          <t>pç</t>
        </is>
      </c>
      <c r="K146" s="7" t="n">
        <v>15</v>
      </c>
      <c r="L146" s="7">
        <f>I146*K146</f>
        <v/>
      </c>
    </row>
    <row r="147">
      <c r="A147" s="8" t="inlineStr">
        <is>
          <t>TORRE B</t>
        </is>
      </c>
      <c r="B147" s="8" t="inlineStr">
        <is>
          <t>CASA DE MÁQUINAS</t>
        </is>
      </c>
      <c r="C147" s="8" t="inlineStr">
        <is>
          <t>SINALIZAÇÃO</t>
        </is>
      </c>
      <c r="D147" s="8" t="inlineStr">
        <is>
          <t>Sinalização de Abandono de Local (SAL)</t>
        </is>
      </c>
      <c r="E147" s="8" t="inlineStr">
        <is>
          <t>Placa de sinalização de emergência fotoluminescente (rota de fuga)</t>
        </is>
      </c>
      <c r="F147" s="9" t="n">
        <v>2</v>
      </c>
      <c r="G147" s="8" t="n">
        <v>1</v>
      </c>
      <c r="H147" s="8" t="n">
        <v>0</v>
      </c>
      <c r="I147" s="9">
        <f>(F147+H147*F147)*G147</f>
        <v/>
      </c>
      <c r="J147" s="8" t="inlineStr">
        <is>
          <t>pç</t>
        </is>
      </c>
      <c r="K147" s="9" t="n">
        <v>15</v>
      </c>
      <c r="L147" s="9">
        <f>I147*K147</f>
        <v/>
      </c>
    </row>
    <row r="148">
      <c r="A148" s="8" t="inlineStr">
        <is>
          <t>TORRE B</t>
        </is>
      </c>
      <c r="B148" s="8" t="inlineStr">
        <is>
          <t>CASA DE MÁQUINAS</t>
        </is>
      </c>
      <c r="C148" s="8" t="inlineStr">
        <is>
          <t>ALARME DE INCÊNDIO</t>
        </is>
      </c>
      <c r="D148" s="8" t="inlineStr">
        <is>
          <t>Sistema de Alarme e Detecção de Incêndio</t>
        </is>
      </c>
      <c r="E148" s="8" t="inlineStr">
        <is>
          <t>Luminária de emergência autônoma LED</t>
        </is>
      </c>
      <c r="F148" s="9" t="n">
        <v>7</v>
      </c>
      <c r="G148" s="8" t="n">
        <v>1</v>
      </c>
      <c r="H148" s="8" t="n">
        <v>0</v>
      </c>
      <c r="I148" s="9">
        <f>(F148+H148*F148)*G148</f>
        <v/>
      </c>
      <c r="J148" s="8" t="inlineStr">
        <is>
          <t>pç</t>
        </is>
      </c>
      <c r="K148" s="9" t="n">
        <v>45</v>
      </c>
      <c r="L148" s="9">
        <f>I148*K148</f>
        <v/>
      </c>
    </row>
    <row r="149">
      <c r="A149" s="10" t="n"/>
      <c r="B149" s="10" t="n"/>
      <c r="C149" s="10" t="n"/>
      <c r="D149" s="10" t="n"/>
      <c r="E149" s="11" t="inlineStr">
        <is>
          <t>Subtotal CASA DE MÁQUINAS</t>
        </is>
      </c>
      <c r="F149" s="10" t="n"/>
      <c r="G149" s="10" t="n"/>
      <c r="H149" s="10" t="n"/>
      <c r="I149" s="10" t="n"/>
      <c r="J149" s="10" t="n"/>
      <c r="K149" s="10" t="n"/>
      <c r="L149" s="12">
        <f>SUM(L139:L148)</f>
        <v/>
      </c>
    </row>
    <row r="150">
      <c r="A150" s="5" t="inlineStr">
        <is>
          <t>TORRE B</t>
        </is>
      </c>
      <c r="B150" s="5" t="inlineStr">
        <is>
          <t>PAVIMENTOS TÉCNICOS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6" t="inlineStr">
        <is>
          <t>TORRE B</t>
        </is>
      </c>
      <c r="B151" s="6" t="inlineStr">
        <is>
          <t>PAVIMENTOS TÉCNICOS</t>
        </is>
      </c>
      <c r="C151" s="6" t="inlineStr">
        <is>
          <t>SHP</t>
        </is>
      </c>
      <c r="D151" s="6" t="inlineStr">
        <is>
          <t>Sistema Hidráulico Preventivo (SHP)</t>
        </is>
      </c>
      <c r="E151" s="6" t="inlineStr">
        <is>
          <t>Tubo de cobre Ø2"</t>
        </is>
      </c>
      <c r="F151" s="7" t="n">
        <v>15</v>
      </c>
      <c r="G151" s="6" t="n">
        <v>1</v>
      </c>
      <c r="H151" s="6" t="n">
        <v>0</v>
      </c>
      <c r="I151" s="7">
        <f>(F151+H151*F151)*G151</f>
        <v/>
      </c>
      <c r="J151" s="6" t="inlineStr">
        <is>
          <t>m</t>
        </is>
      </c>
      <c r="K151" s="7" t="n">
        <v>315</v>
      </c>
      <c r="L151" s="7">
        <f>I151*K151</f>
        <v/>
      </c>
    </row>
    <row r="152">
      <c r="A152" s="6" t="inlineStr">
        <is>
          <t>TORRE B</t>
        </is>
      </c>
      <c r="B152" s="6" t="inlineStr">
        <is>
          <t>PAVIMENTOS TÉCNICOS</t>
        </is>
      </c>
      <c r="C152" s="6" t="inlineStr">
        <is>
          <t>SHP</t>
        </is>
      </c>
      <c r="D152" s="6" t="inlineStr">
        <is>
          <t>Sistema Hidráulico Preventivo (SHP)</t>
        </is>
      </c>
      <c r="E152" s="6" t="inlineStr">
        <is>
          <t>Joelho 90° Cobre Ø2"</t>
        </is>
      </c>
      <c r="F152" s="7" t="n">
        <v>1</v>
      </c>
      <c r="G152" s="6" t="n">
        <v>1</v>
      </c>
      <c r="H152" s="6" t="n">
        <v>0</v>
      </c>
      <c r="I152" s="7">
        <f>(F152+H152*F152)*G152</f>
        <v/>
      </c>
      <c r="J152" s="6" t="inlineStr">
        <is>
          <t>pç</t>
        </is>
      </c>
      <c r="K152" s="7" t="n">
        <v>38</v>
      </c>
      <c r="L152" s="7">
        <f>I152*K152</f>
        <v/>
      </c>
    </row>
    <row r="153">
      <c r="A153" s="10" t="n"/>
      <c r="B153" s="10" t="n"/>
      <c r="C153" s="10" t="n"/>
      <c r="D153" s="10" t="n"/>
      <c r="E153" s="11" t="inlineStr">
        <is>
          <t>Subtotal PAVIMENTOS TÉCNICOS</t>
        </is>
      </c>
      <c r="F153" s="10" t="n"/>
      <c r="G153" s="10" t="n"/>
      <c r="H153" s="10" t="n"/>
      <c r="I153" s="10" t="n"/>
      <c r="J153" s="10" t="n"/>
      <c r="K153" s="10" t="n"/>
      <c r="L153" s="12">
        <f>SUM(L151:L152)</f>
        <v/>
      </c>
    </row>
    <row r="154">
      <c r="A154" s="13" t="n"/>
      <c r="B154" s="13" t="n"/>
      <c r="C154" s="13" t="n"/>
      <c r="D154" s="13" t="n"/>
      <c r="E154" s="14" t="inlineStr">
        <is>
          <t>SUBTOTAL TORRE B</t>
        </is>
      </c>
      <c r="F154" s="13" t="n"/>
      <c r="G154" s="13" t="n"/>
      <c r="H154" s="13" t="n"/>
      <c r="I154" s="13" t="n"/>
      <c r="J154" s="13" t="n"/>
      <c r="K154" s="13" t="n"/>
      <c r="L154" s="15">
        <f>L137+L149+L153</f>
        <v/>
      </c>
    </row>
    <row r="155">
      <c r="A155" s="5" t="inlineStr">
        <is>
          <t>GERAL</t>
        </is>
      </c>
      <c r="B155" s="5" t="inlineStr">
        <is>
          <t>CASA DE BOMBAS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6" t="inlineStr">
        <is>
          <t>GERAL</t>
        </is>
      </c>
      <c r="B156" s="6" t="inlineStr">
        <is>
          <t>CASA DE BOMBAS</t>
        </is>
      </c>
      <c r="C156" s="6" t="inlineStr">
        <is>
          <t>BOMBAS</t>
        </is>
      </c>
      <c r="D156" s="6" t="inlineStr">
        <is>
          <t>Bombas - levantado conforme projeto</t>
        </is>
      </c>
      <c r="E156" s="6" t="inlineStr">
        <is>
          <t>Bomba de Incêndio Schneider Bpi-22 R 2 1/2 7,5 CV Trifásica 4 Voltagens</t>
        </is>
      </c>
      <c r="F156" s="7" t="n">
        <v>2</v>
      </c>
      <c r="G156" s="6" t="n">
        <v>1</v>
      </c>
      <c r="H156" s="6" t="n">
        <v>0</v>
      </c>
      <c r="I156" s="7">
        <f>(F156+H156*F156)*G156</f>
        <v/>
      </c>
      <c r="J156" s="6" t="inlineStr">
        <is>
          <t>pç</t>
        </is>
      </c>
      <c r="K156" s="7" t="n">
        <v>4380</v>
      </c>
      <c r="L156" s="7">
        <f>I156*K156</f>
        <v/>
      </c>
    </row>
    <row r="157">
      <c r="A157" s="6" t="inlineStr">
        <is>
          <t>GERAL</t>
        </is>
      </c>
      <c r="B157" s="6" t="inlineStr">
        <is>
          <t>CASA DE BOMBAS</t>
        </is>
      </c>
      <c r="C157" s="6" t="inlineStr">
        <is>
          <t>HIDRANTE</t>
        </is>
      </c>
      <c r="D157" s="6" t="inlineStr">
        <is>
          <t>Sistema Hidráulico Preventivo (SHP)</t>
        </is>
      </c>
      <c r="E157" s="6" t="inlineStr">
        <is>
          <t>Hidrante de Recalque de Parede 30x40cm</t>
        </is>
      </c>
      <c r="F157" s="7" t="n">
        <v>2</v>
      </c>
      <c r="G157" s="6" t="n">
        <v>1</v>
      </c>
      <c r="H157" s="6" t="n">
        <v>0</v>
      </c>
      <c r="I157" s="7">
        <f>(F157+H157*F157)*G157</f>
        <v/>
      </c>
      <c r="J157" s="6" t="inlineStr">
        <is>
          <t>pç</t>
        </is>
      </c>
      <c r="K157" s="7" t="n">
        <v>650</v>
      </c>
      <c r="L157" s="7">
        <f>I157*K157</f>
        <v/>
      </c>
    </row>
    <row r="158">
      <c r="A158" s="10" t="n"/>
      <c r="B158" s="10" t="n"/>
      <c r="C158" s="10" t="n"/>
      <c r="D158" s="10" t="n"/>
      <c r="E158" s="11" t="inlineStr">
        <is>
          <t>Subtotal CASA DE BOMBAS</t>
        </is>
      </c>
      <c r="F158" s="10" t="n"/>
      <c r="G158" s="10" t="n"/>
      <c r="H158" s="10" t="n"/>
      <c r="I158" s="10" t="n"/>
      <c r="J158" s="10" t="n"/>
      <c r="K158" s="10" t="n"/>
      <c r="L158" s="12">
        <f>SUM(L156:L157)</f>
        <v/>
      </c>
    </row>
    <row r="159">
      <c r="A159" s="13" t="n"/>
      <c r="B159" s="13" t="n"/>
      <c r="C159" s="13" t="n"/>
      <c r="D159" s="13" t="n"/>
      <c r="E159" s="14" t="inlineStr">
        <is>
          <t>SUBTOTAL GERAL</t>
        </is>
      </c>
      <c r="F159" s="13" t="n"/>
      <c r="G159" s="13" t="n"/>
      <c r="H159" s="13" t="n"/>
      <c r="I159" s="13" t="n"/>
      <c r="J159" s="13" t="n"/>
      <c r="K159" s="13" t="n"/>
      <c r="L159" s="15">
        <f>L158</f>
        <v/>
      </c>
    </row>
    <row r="160"/>
    <row r="161">
      <c r="A161" s="16" t="inlineStr">
        <is>
          <t>TOTAL GERAL</t>
        </is>
      </c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7">
        <f>L97+L126+L154+L159</f>
        <v/>
      </c>
    </row>
    <row r="163">
      <c r="A163" s="18" t="inlineStr">
        <is>
          <t>⚠️ OBSERVAÇÕES:</t>
        </is>
      </c>
    </row>
    <row r="164">
      <c r="A164" s="19" t="inlineStr">
        <is>
          <t>1. Metragem de tubulação ESTIMADA com base na Elizabeth II (proporcionalmente) — a extração do IFC resultou em apenas 67,26m (subestimada)</t>
        </is>
      </c>
    </row>
    <row r="165">
      <c r="A165" s="19" t="inlineStr">
        <is>
          <t>2. Material real do Electra é ferro galvanizado vermelho — PUs do template (cobre) usados como referência</t>
        </is>
      </c>
    </row>
    <row r="166">
      <c r="A166" s="19" t="inlineStr">
        <is>
          <t>3. Bombas e reservatórios NÃO identificados nos IFCs — dados estimados conforme template Elizabeth II</t>
        </is>
      </c>
    </row>
    <row r="167">
      <c r="A167" s="19" t="inlineStr">
        <is>
          <t>4. Quantitativos de hidrantes, extintores e placas extraídos dos IFCs PCI rev.01</t>
        </is>
      </c>
    </row>
    <row r="168">
      <c r="A168" s="19" t="inlineStr">
        <is>
          <t>5. Embasamento (Térreo a Lazer) = soma dos quantitativos T.A + T.B — UC compartilhada</t>
        </is>
      </c>
    </row>
    <row r="169">
      <c r="A169" s="8" t="inlineStr">
        <is>
          <t>6. Itens de PCI Elétrico (iluminação de emergência, alarme, sinalização PEE) extraídos dos DXFs PEE rev.01</t>
        </is>
      </c>
    </row>
  </sheetData>
  <mergeCells count="1"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2026-03-25T21:17:28Z</dcterms:created>
  <dcterms:modified xmlns:dcterms="http://purl.org/dc/terms/" xmlns:xsi="http://www.w3.org/2001/XMLSchema-instance" xsi:type="dcterms:W3CDTF">2026-03-25T21:18:07Z</dcterms:modified>
</cp:coreProperties>
</file>