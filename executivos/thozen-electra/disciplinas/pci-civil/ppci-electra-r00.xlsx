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* #,##0.00_-;\-* #,##0.00_-;_-* &quot;-&quot;??_-;_-@_-"/>
    <numFmt numFmtId="166" formatCode="_-&quot;R$&quot;\ * #,##0.00_-;\-&quot;R$&quot;\ * #,##0.00_-;_-&quot;R$&quot;\ * &quot;-&quot;??_-;_-@_-"/>
  </numFmts>
  <fonts count="9">
    <font>
      <name val="Calibri"/>
      <family val="2"/>
      <color theme="1"/>
      <sz val="11"/>
      <scheme val="minor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9.5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0"/>
      <sz val="12"/>
      <scheme val="minor"/>
    </font>
    <font>
      <name val="Poppins"/>
      <b val="1"/>
      <color theme="0"/>
      <sz val="10"/>
    </font>
    <font>
      <name val="Arial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6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7" applyAlignment="1" pivotButton="0" quotePrefix="0" xfId="0">
      <alignment horizontal="left" vertical="center"/>
    </xf>
    <xf numFmtId="0" fontId="3" fillId="0" borderId="5" applyAlignment="1" pivotButton="0" quotePrefix="0" xfId="0">
      <alignment vertical="center"/>
    </xf>
    <xf numFmtId="164" fontId="4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17" fontId="3" fillId="0" borderId="9" applyAlignment="1" pivotButton="0" quotePrefix="0" xfId="0">
      <alignment horizontal="left" vertical="center"/>
    </xf>
    <xf numFmtId="17" fontId="3" fillId="0" borderId="8" applyAlignment="1" pivotButton="0" quotePrefix="0" xfId="0">
      <alignment horizontal="left" vertical="center"/>
    </xf>
    <xf numFmtId="17" fontId="3" fillId="0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7" fillId="3" borderId="14" applyAlignment="1" pivotButton="0" quotePrefix="0" xfId="0">
      <alignment horizontal="center" vertical="center"/>
    </xf>
    <xf numFmtId="0" fontId="5" fillId="0" borderId="0" pivotButton="0" quotePrefix="0" xfId="0"/>
    <xf numFmtId="0" fontId="7" fillId="3" borderId="15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 wrapText="1"/>
    </xf>
    <xf numFmtId="0" fontId="7" fillId="3" borderId="16" applyAlignment="1" pivotButton="0" quotePrefix="0" xfId="0">
      <alignment horizontal="center" vertical="center"/>
    </xf>
    <xf numFmtId="0" fontId="5" fillId="4" borderId="17" applyAlignment="1" pivotButton="0" quotePrefix="0" xfId="0">
      <alignment vertical="center"/>
    </xf>
    <xf numFmtId="0" fontId="5" fillId="4" borderId="18" applyAlignment="1" pivotButton="0" quotePrefix="0" xfId="0">
      <alignment vertical="center"/>
    </xf>
    <xf numFmtId="0" fontId="5" fillId="4" borderId="19" applyAlignment="1" pivotButton="0" quotePrefix="0" xfId="0">
      <alignment vertical="center"/>
    </xf>
    <xf numFmtId="165" fontId="5" fillId="4" borderId="19" applyAlignment="1" pivotButton="0" quotePrefix="0" xfId="0">
      <alignment vertical="center"/>
    </xf>
    <xf numFmtId="165" fontId="8" fillId="4" borderId="19" applyAlignment="1" pivotButton="0" quotePrefix="0" xfId="0">
      <alignment vertical="center"/>
    </xf>
    <xf numFmtId="166" fontId="5" fillId="4" borderId="20" applyAlignment="1" pivotButton="0" quotePrefix="0" xfId="0">
      <alignment vertical="center"/>
    </xf>
    <xf numFmtId="165" fontId="5" fillId="4" borderId="21" applyAlignment="1" pivotButton="0" quotePrefix="0" xfId="0">
      <alignment vertical="center"/>
    </xf>
    <xf numFmtId="165" fontId="8" fillId="0" borderId="22" applyAlignment="1" pivotButton="0" quotePrefix="0" xfId="0">
      <alignment vertical="center"/>
    </xf>
    <xf numFmtId="165" fontId="8" fillId="0" borderId="23" applyAlignment="1" pivotButton="0" quotePrefix="0" xfId="0">
      <alignment vertical="center"/>
    </xf>
    <xf numFmtId="165" fontId="8" fillId="5" borderId="23" applyAlignment="1" pivotButton="0" quotePrefix="0" xfId="0">
      <alignment vertical="center"/>
    </xf>
    <xf numFmtId="165" fontId="8" fillId="5" borderId="24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165" fontId="5" fillId="0" borderId="17" applyAlignment="1" pivotButton="0" quotePrefix="0" xfId="0">
      <alignment vertical="center"/>
    </xf>
    <xf numFmtId="165" fontId="8" fillId="0" borderId="17" applyAlignment="1" pivotButton="0" quotePrefix="0" xfId="0">
      <alignment vertical="center"/>
    </xf>
    <xf numFmtId="166" fontId="5" fillId="0" borderId="17" applyAlignment="1" pivotButton="0" quotePrefix="0" xfId="0">
      <alignment vertical="center"/>
    </xf>
    <xf numFmtId="165" fontId="5" fillId="6" borderId="21" applyAlignment="1" pivotButton="0" quotePrefix="0" xfId="0">
      <alignment vertical="center"/>
    </xf>
    <xf numFmtId="165" fontId="8" fillId="0" borderId="25" applyAlignment="1" pivotButton="0" quotePrefix="0" xfId="0">
      <alignment vertical="center"/>
    </xf>
    <xf numFmtId="165" fontId="8" fillId="5" borderId="17" applyAlignment="1" pivotButton="0" quotePrefix="0" xfId="0">
      <alignment vertical="center"/>
    </xf>
    <xf numFmtId="165" fontId="8" fillId="5" borderId="2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6"/>
  <sheetViews>
    <sheetView workbookViewId="0">
      <selection activeCell="A1" sqref="A1"/>
    </sheetView>
  </sheetViews>
  <sheetFormatPr baseColWidth="8" defaultRowHeight="15"/>
  <cols>
    <col width="14" customWidth="1" min="1" max="1"/>
    <col width="25.25" customWidth="1" min="2" max="2"/>
    <col width="26.5" customWidth="1" min="3" max="3"/>
    <col width="37.625" customWidth="1" min="4" max="4"/>
    <col width="48.125" customWidth="1" min="5" max="5"/>
    <col width="13.5" customWidth="1" min="6" max="6"/>
    <col width="16.375" customWidth="1" min="7" max="7"/>
    <col width="8.375" customWidth="1" min="8" max="8"/>
    <col width="13.25" customWidth="1" min="9" max="9"/>
    <col width="11.625" customWidth="1" min="10" max="10"/>
    <col width="13.25" customWidth="1" min="11" max="11"/>
    <col width="19" customWidth="1" min="12" max="12"/>
    <col width="5.5" customWidth="1" min="13" max="13"/>
    <col width="13" customWidth="1" min="14" max="14"/>
    <col width="14.75" customWidth="1" min="15" max="15"/>
    <col width="13" customWidth="1" min="16" max="16"/>
    <col width="15.5" customWidth="1" min="17" max="17"/>
    <col width="16.25" customWidth="1" min="18" max="18"/>
    <col width="15" customWidth="1" min="19" max="19"/>
    <col width="15.625" customWidth="1" min="21" max="21"/>
    <col width="13" customWidth="1" min="22" max="22"/>
    <col width="16.375" customWidth="1" min="23" max="23"/>
    <col width="13" customWidth="1" min="24" max="24"/>
    <col width="15.625" customWidth="1" min="25" max="25"/>
    <col width="13" customWidth="1" min="26" max="26"/>
    <col width="15.625" customWidth="1" min="31" max="31"/>
    <col width="13" customWidth="1" min="32" max="32"/>
    <col width="16.25" customWidth="1" min="33" max="33"/>
    <col width="13" customWidth="1" min="34" max="34"/>
    <col width="14.375" customWidth="1" min="35" max="35"/>
    <col width="8" customWidth="1" min="36" max="36"/>
  </cols>
  <sheetData>
    <row r="1">
      <c r="A1" s="1" t="n"/>
      <c r="B1" s="2" t="n"/>
      <c r="C1" s="3" t="inlineStr">
        <is>
          <t>Projeto</t>
        </is>
      </c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6" t="n"/>
    </row>
    <row r="2">
      <c r="A2" s="7" t="n"/>
      <c r="B2" s="8" t="n"/>
      <c r="C2" s="3" t="inlineStr">
        <is>
          <t>Empresa</t>
        </is>
      </c>
      <c r="D2" s="9" t="inlineStr">
        <is>
          <t>Thozen</t>
        </is>
      </c>
      <c r="E2" s="9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10" t="n"/>
    </row>
    <row r="3">
      <c r="A3" s="7" t="n"/>
      <c r="B3" s="8" t="n"/>
      <c r="C3" s="3" t="inlineStr">
        <is>
          <t>Origem</t>
        </is>
      </c>
      <c r="D3" s="11" t="inlineStr">
        <is>
          <t>CTN-TZN_PCI_EX_000_QTD_R00</t>
        </is>
      </c>
      <c r="E3" s="12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10" t="n"/>
    </row>
    <row r="4">
      <c r="A4" s="13" t="n"/>
      <c r="B4" s="14" t="n"/>
      <c r="C4" s="3" t="inlineStr">
        <is>
          <t>Revisão</t>
        </is>
      </c>
      <c r="D4" s="4" t="inlineStr">
        <is>
          <t>R00 - Jarvis 25/03/2026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15" t="n"/>
    </row>
    <row r="5">
      <c r="A5" s="16" t="inlineStr">
        <is>
          <t>PREVENÇÃO COMBATE INCÊNDIO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8" t="n"/>
    </row>
    <row r="6">
      <c r="A6" s="19" t="inlineStr">
        <is>
          <t>TORRE</t>
        </is>
      </c>
      <c r="B6" s="19" t="inlineStr">
        <is>
          <t>PAVIMENTO</t>
        </is>
      </c>
      <c r="C6" s="19" t="inlineStr">
        <is>
          <t>GRUPO/EAP</t>
        </is>
      </c>
      <c r="D6" s="19" t="inlineStr">
        <is>
          <t>SUBGRUPO</t>
        </is>
      </c>
      <c r="E6" s="19" t="inlineStr">
        <is>
          <t>Descrição</t>
        </is>
      </c>
      <c r="F6" s="19" t="inlineStr">
        <is>
          <t>Quantidade</t>
        </is>
      </c>
      <c r="G6" s="19" t="inlineStr">
        <is>
          <t>Repetição</t>
        </is>
      </c>
      <c r="H6" s="19" t="inlineStr">
        <is>
          <t>Perda</t>
        </is>
      </c>
      <c r="I6" s="19" t="inlineStr">
        <is>
          <t>Qte com perda</t>
        </is>
      </c>
      <c r="J6" s="19" t="inlineStr">
        <is>
          <t>Unidade</t>
        </is>
      </c>
      <c r="K6" s="19" t="inlineStr">
        <is>
          <t>Custo unitário</t>
        </is>
      </c>
      <c r="L6" s="19" t="inlineStr">
        <is>
          <t>Custo Total</t>
        </is>
      </c>
      <c r="M6" s="20" t="n"/>
      <c r="N6" s="21" t="inlineStr">
        <is>
          <t>Torre</t>
        </is>
      </c>
      <c r="O6" s="19" t="inlineStr">
        <is>
          <t>EAP</t>
        </is>
      </c>
      <c r="P6" s="19" t="inlineStr">
        <is>
          <t>TÉRREO</t>
        </is>
      </c>
      <c r="Q6" s="22" t="inlineStr">
        <is>
          <t>GARAGEM 01</t>
        </is>
      </c>
      <c r="R6" s="22" t="inlineStr">
        <is>
          <t>GARAGEM 02</t>
        </is>
      </c>
      <c r="S6" s="22" t="inlineStr">
        <is>
          <t>GARAGEM 03</t>
        </is>
      </c>
      <c r="T6" s="22" t="inlineStr">
        <is>
          <t>GARAGEM 04</t>
        </is>
      </c>
      <c r="U6" s="22" t="inlineStr">
        <is>
          <t>GARAGEM 05</t>
        </is>
      </c>
      <c r="V6" s="22" t="inlineStr">
        <is>
          <t>LAZER</t>
        </is>
      </c>
      <c r="W6" s="22" t="inlineStr">
        <is>
          <t>PAVIMENTO TIPO</t>
        </is>
      </c>
      <c r="X6" s="22" t="inlineStr">
        <is>
          <t>CASA DE MÁQUINAS</t>
        </is>
      </c>
      <c r="Y6" s="22" t="inlineStr">
        <is>
          <t>PAVIMENTOS TÉCNICOS</t>
        </is>
      </c>
      <c r="Z6" s="22" t="inlineStr">
        <is>
          <t>CASA DE BOMBAS</t>
        </is>
      </c>
      <c r="AA6" s="22" t="inlineStr"/>
      <c r="AB6" s="22" t="inlineStr"/>
      <c r="AC6" s="22" t="inlineStr"/>
      <c r="AD6" s="22" t="inlineStr"/>
      <c r="AE6" s="22" t="inlineStr"/>
      <c r="AF6" s="22" t="inlineStr"/>
      <c r="AG6" s="22" t="inlineStr"/>
      <c r="AH6" s="22" t="inlineStr"/>
      <c r="AI6" s="23" t="inlineStr">
        <is>
          <t>TOTAL</t>
        </is>
      </c>
      <c r="AJ6" s="20" t="n"/>
    </row>
    <row r="7">
      <c r="A7" s="24" t="inlineStr">
        <is>
          <t>TORRE A</t>
        </is>
      </c>
      <c r="B7" s="24" t="inlineStr">
        <is>
          <t>TÉRREO</t>
        </is>
      </c>
      <c r="C7" s="25" t="n"/>
      <c r="D7" s="26" t="n"/>
      <c r="E7" s="26" t="n"/>
      <c r="F7" s="27" t="n"/>
      <c r="G7" s="27" t="n"/>
      <c r="H7" s="27" t="n"/>
      <c r="I7" s="28" t="n"/>
      <c r="J7" s="27" t="n"/>
      <c r="K7" s="29" t="n"/>
      <c r="L7" s="30">
        <f>IF(SUM(F7:K7)=0,SUMIFS($L8:$L$999,$B8:$B$999,$B7,$A8:$A$999,$A7),I7*K7)</f>
        <v/>
      </c>
      <c r="M7" s="20" t="n"/>
      <c r="N7" s="31" t="inlineStr">
        <is>
          <t>TORRE A</t>
        </is>
      </c>
      <c r="O7" s="32" t="inlineStr">
        <is>
          <t>SHP</t>
        </is>
      </c>
      <c r="P7" s="33">
        <f>SUMIFS($L$7:$L$149,$C$7:$C$149,$O7,$B$7:$B$149,P$6,$A$7:$A$149,$N7)</f>
        <v/>
      </c>
      <c r="Q7" s="33">
        <f>SUMIFS($L$7:$L$149,$C$7:$C$149,$O7,$B$7:$B$149,Q$6,$A$7:$A$149,$N7)</f>
        <v/>
      </c>
      <c r="R7" s="33">
        <f>SUMIFS($L$7:$L$149,$C$7:$C$149,$O7,$B$7:$B$149,R$6,$A$7:$A$149,$N7)</f>
        <v/>
      </c>
      <c r="S7" s="33">
        <f>SUMIFS($L$7:$L$149,$C$7:$C$149,$O7,$B$7:$B$149,S$6,$A$7:$A$149,$N7)</f>
        <v/>
      </c>
      <c r="T7" s="33">
        <f>SUMIFS($L$7:$L$149,$C$7:$C$149,$O7,$B$7:$B$149,T$6,$A$7:$A$149,$N7)</f>
        <v/>
      </c>
      <c r="U7" s="33">
        <f>SUMIFS($L$7:$L$149,$C$7:$C$149,$O7,$B$7:$B$149,U$6,$A$7:$A$149,$N7)</f>
        <v/>
      </c>
      <c r="V7" s="33">
        <f>SUMIFS($L$7:$L$149,$C$7:$C$149,$O7,$B$7:$B$149,V$6,$A$7:$A$149,$N7)</f>
        <v/>
      </c>
      <c r="W7" s="33">
        <f>SUMIFS($L$7:$L$149,$C$7:$C$149,$O7,$B$7:$B$149,W$6,$A$7:$A$149,$N7)</f>
        <v/>
      </c>
      <c r="X7" s="33">
        <f>SUMIFS($L$7:$L$149,$C$7:$C$149,$O7,$B$7:$B$149,X$6,$A$7:$A$149,$N7)</f>
        <v/>
      </c>
      <c r="Y7" s="33">
        <f>SUMIFS($L$7:$L$149,$C$7:$C$149,$O7,$B$7:$B$149,Y$6,$A$7:$A$149,$N7)</f>
        <v/>
      </c>
      <c r="Z7" s="33">
        <f>SUMIFS($L$7:$L$149,$C$7:$C$149,$O7,$B$7:$B$149,Z$6,$A$7:$A$149,$N7)</f>
        <v/>
      </c>
      <c r="AA7" s="33" t="n"/>
      <c r="AB7" s="33" t="n"/>
      <c r="AC7" s="33" t="n"/>
      <c r="AD7" s="33" t="n"/>
      <c r="AE7" s="33" t="n"/>
      <c r="AF7" s="33" t="n"/>
      <c r="AG7" s="33" t="n"/>
      <c r="AH7" s="33" t="n"/>
      <c r="AI7" s="34">
        <f>SUM(P7:Z7)</f>
        <v/>
      </c>
      <c r="AJ7" s="20" t="n"/>
    </row>
    <row r="8">
      <c r="A8" s="35">
        <f>$A$7</f>
        <v/>
      </c>
      <c r="B8" s="35">
        <f>$B$7</f>
        <v/>
      </c>
      <c r="C8" s="35" t="inlineStr">
        <is>
          <t>SHP</t>
        </is>
      </c>
      <c r="D8" s="35" t="inlineStr">
        <is>
          <t>Sistema Hidráulico Preventivo (SHP)</t>
        </is>
      </c>
      <c r="E8" s="35" t="inlineStr">
        <is>
          <t>Tubo de cobre Ø2"</t>
        </is>
      </c>
      <c r="F8" s="36" t="n">
        <v>25</v>
      </c>
      <c r="G8" s="36" t="n">
        <v>1</v>
      </c>
      <c r="H8" s="36" t="n">
        <v>0</v>
      </c>
      <c r="I8" s="37">
        <f>(F8+H8*F8)*G8</f>
        <v/>
      </c>
      <c r="J8" s="36" t="inlineStr">
        <is>
          <t>m</t>
        </is>
      </c>
      <c r="K8" s="38" t="n">
        <v>315</v>
      </c>
      <c r="L8" s="39">
        <f>IF(SUM(F8:K8)=0,SUMIFS($L9:$L$999,$B9:$B$999,$B8,$A9:$A$999,$A8),I8*K8)</f>
        <v/>
      </c>
      <c r="M8" s="20" t="n"/>
      <c r="N8" s="40" t="inlineStr">
        <is>
          <t>TORRE A</t>
        </is>
      </c>
      <c r="O8" s="37" t="inlineStr">
        <is>
          <t>HIDRANTE</t>
        </is>
      </c>
      <c r="P8" s="41">
        <f>SUMIFS($L$7:$L$149,$C$7:$C$149,$O8,$B$7:$B$149,P$6,$A$7:$A$149,$N8)</f>
        <v/>
      </c>
      <c r="Q8" s="41">
        <f>SUMIFS($L$7:$L$149,$C$7:$C$149,$O8,$B$7:$B$149,Q$6,$A$7:$A$149,$N8)</f>
        <v/>
      </c>
      <c r="R8" s="41">
        <f>SUMIFS($L$7:$L$149,$C$7:$C$149,$O8,$B$7:$B$149,R$6,$A$7:$A$149,$N8)</f>
        <v/>
      </c>
      <c r="S8" s="41">
        <f>SUMIFS($L$7:$L$149,$C$7:$C$149,$O8,$B$7:$B$149,S$6,$A$7:$A$149,$N8)</f>
        <v/>
      </c>
      <c r="T8" s="41">
        <f>SUMIFS($L$7:$L$149,$C$7:$C$149,$O8,$B$7:$B$149,T$6,$A$7:$A$149,$N8)</f>
        <v/>
      </c>
      <c r="U8" s="41">
        <f>SUMIFS($L$7:$L$149,$C$7:$C$149,$O8,$B$7:$B$149,U$6,$A$7:$A$149,$N8)</f>
        <v/>
      </c>
      <c r="V8" s="41">
        <f>SUMIFS($L$7:$L$149,$C$7:$C$149,$O8,$B$7:$B$149,V$6,$A$7:$A$149,$N8)</f>
        <v/>
      </c>
      <c r="W8" s="41">
        <f>SUMIFS($L$7:$L$149,$C$7:$C$149,$O8,$B$7:$B$149,W$6,$A$7:$A$149,$N8)</f>
        <v/>
      </c>
      <c r="X8" s="41">
        <f>SUMIFS($L$7:$L$149,$C$7:$C$149,$O8,$B$7:$B$149,X$6,$A$7:$A$149,$N8)</f>
        <v/>
      </c>
      <c r="Y8" s="41">
        <f>SUMIFS($L$7:$L$149,$C$7:$C$149,$O8,$B$7:$B$149,Y$6,$A$7:$A$149,$N8)</f>
        <v/>
      </c>
      <c r="Z8" s="41">
        <f>SUMIFS($L$7:$L$149,$C$7:$C$149,$O8,$B$7:$B$149,Z$6,$A$7:$A$149,$N8)</f>
        <v/>
      </c>
      <c r="AA8" s="41" t="n"/>
      <c r="AB8" s="41" t="n"/>
      <c r="AC8" s="41" t="n"/>
      <c r="AD8" s="41" t="n"/>
      <c r="AE8" s="41" t="n"/>
      <c r="AF8" s="41" t="n"/>
      <c r="AG8" s="41" t="n"/>
      <c r="AH8" s="41" t="n"/>
      <c r="AI8" s="42">
        <f>SUM(P8:Z8)</f>
        <v/>
      </c>
      <c r="AJ8" s="20" t="n"/>
    </row>
    <row r="9">
      <c r="A9" s="35">
        <f>$A$7</f>
        <v/>
      </c>
      <c r="B9" s="35">
        <f>$B$7</f>
        <v/>
      </c>
      <c r="C9" s="35" t="inlineStr">
        <is>
          <t>SHP</t>
        </is>
      </c>
      <c r="D9" s="35" t="inlineStr">
        <is>
          <t>Sistema Hidráulico Preventivo (SHP)</t>
        </is>
      </c>
      <c r="E9" s="35" t="inlineStr">
        <is>
          <t>Joelho 90° Cobre Ø2"</t>
        </is>
      </c>
      <c r="F9" s="36" t="n">
        <v>2</v>
      </c>
      <c r="G9" s="36" t="n">
        <v>1</v>
      </c>
      <c r="H9" s="36" t="n">
        <v>0</v>
      </c>
      <c r="I9" s="37">
        <f>(F9+H9*F9)*G9</f>
        <v/>
      </c>
      <c r="J9" s="36" t="inlineStr">
        <is>
          <t>pç</t>
        </is>
      </c>
      <c r="K9" s="38" t="n">
        <v>38</v>
      </c>
      <c r="L9" s="39">
        <f>IF(SUM(F9:K9)=0,SUMIFS($L10:$L$999,$B10:$B$999,$B9,$A10:$A$999,$A9),I9*K9)</f>
        <v/>
      </c>
      <c r="M9" s="20" t="n"/>
      <c r="N9" s="40" t="inlineStr">
        <is>
          <t>TORRE A</t>
        </is>
      </c>
      <c r="O9" s="37" t="inlineStr">
        <is>
          <t>EXTINTORES</t>
        </is>
      </c>
      <c r="P9" s="41">
        <f>SUMIFS($L$7:$L$149,$C$7:$C$149,$O9,$B$7:$B$149,P$6,$A$7:$A$149,$N9)</f>
        <v/>
      </c>
      <c r="Q9" s="41">
        <f>SUMIFS($L$7:$L$149,$C$7:$C$149,$O9,$B$7:$B$149,Q$6,$A$7:$A$149,$N9)</f>
        <v/>
      </c>
      <c r="R9" s="41">
        <f>SUMIFS($L$7:$L$149,$C$7:$C$149,$O9,$B$7:$B$149,R$6,$A$7:$A$149,$N9)</f>
        <v/>
      </c>
      <c r="S9" s="41">
        <f>SUMIFS($L$7:$L$149,$C$7:$C$149,$O9,$B$7:$B$149,S$6,$A$7:$A$149,$N9)</f>
        <v/>
      </c>
      <c r="T9" s="41">
        <f>SUMIFS($L$7:$L$149,$C$7:$C$149,$O9,$B$7:$B$149,T$6,$A$7:$A$149,$N9)</f>
        <v/>
      </c>
      <c r="U9" s="41">
        <f>SUMIFS($L$7:$L$149,$C$7:$C$149,$O9,$B$7:$B$149,U$6,$A$7:$A$149,$N9)</f>
        <v/>
      </c>
      <c r="V9" s="41">
        <f>SUMIFS($L$7:$L$149,$C$7:$C$149,$O9,$B$7:$B$149,V$6,$A$7:$A$149,$N9)</f>
        <v/>
      </c>
      <c r="W9" s="41">
        <f>SUMIFS($L$7:$L$149,$C$7:$C$149,$O9,$B$7:$B$149,W$6,$A$7:$A$149,$N9)</f>
        <v/>
      </c>
      <c r="X9" s="41">
        <f>SUMIFS($L$7:$L$149,$C$7:$C$149,$O9,$B$7:$B$149,X$6,$A$7:$A$149,$N9)</f>
        <v/>
      </c>
      <c r="Y9" s="41">
        <f>SUMIFS($L$7:$L$149,$C$7:$C$149,$O9,$B$7:$B$149,Y$6,$A$7:$A$149,$N9)</f>
        <v/>
      </c>
      <c r="Z9" s="41">
        <f>SUMIFS($L$7:$L$149,$C$7:$C$149,$O9,$B$7:$B$149,Z$6,$A$7:$A$149,$N9)</f>
        <v/>
      </c>
      <c r="AA9" s="41" t="n"/>
      <c r="AB9" s="41" t="n"/>
      <c r="AC9" s="41" t="n"/>
      <c r="AD9" s="41" t="n"/>
      <c r="AE9" s="41" t="n"/>
      <c r="AF9" s="41" t="n"/>
      <c r="AG9" s="41" t="n"/>
      <c r="AH9" s="41" t="n"/>
      <c r="AI9" s="42">
        <f>SUM(P9:Z9)</f>
        <v/>
      </c>
      <c r="AJ9" s="20" t="n"/>
    </row>
    <row r="10">
      <c r="A10" s="35">
        <f>$A$7</f>
        <v/>
      </c>
      <c r="B10" s="35">
        <f>$B$7</f>
        <v/>
      </c>
      <c r="C10" s="35" t="inlineStr">
        <is>
          <t>SHP</t>
        </is>
      </c>
      <c r="D10" s="35" t="inlineStr">
        <is>
          <t>Sistema Hidráulico Preventivo (SHP)</t>
        </is>
      </c>
      <c r="E10" s="35" t="inlineStr">
        <is>
          <t>Tê Cobre Ø2"</t>
        </is>
      </c>
      <c r="F10" s="36" t="n">
        <v>1</v>
      </c>
      <c r="G10" s="36" t="n">
        <v>1</v>
      </c>
      <c r="H10" s="36" t="n">
        <v>0</v>
      </c>
      <c r="I10" s="37">
        <f>(F10+H10*F10)*G10</f>
        <v/>
      </c>
      <c r="J10" s="36" t="inlineStr">
        <is>
          <t>pç</t>
        </is>
      </c>
      <c r="K10" s="38" t="n">
        <v>98</v>
      </c>
      <c r="L10" s="39">
        <f>IF(SUM(F10:K10)=0,SUMIFS($L11:$L$999,$B11:$B$999,$B10,$A11:$A$999,$A10),I10*K10)</f>
        <v/>
      </c>
      <c r="M10" s="20" t="n"/>
      <c r="N10" s="40" t="inlineStr">
        <is>
          <t>TORRE A</t>
        </is>
      </c>
      <c r="O10" s="37" t="inlineStr">
        <is>
          <t>SINALIZAÇÃO</t>
        </is>
      </c>
      <c r="P10" s="41">
        <f>SUMIFS($L$7:$L$149,$C$7:$C$149,$O10,$B$7:$B$149,P$6,$A$7:$A$149,$N10)</f>
        <v/>
      </c>
      <c r="Q10" s="41">
        <f>SUMIFS($L$7:$L$149,$C$7:$C$149,$O10,$B$7:$B$149,Q$6,$A$7:$A$149,$N10)</f>
        <v/>
      </c>
      <c r="R10" s="41">
        <f>SUMIFS($L$7:$L$149,$C$7:$C$149,$O10,$B$7:$B$149,R$6,$A$7:$A$149,$N10)</f>
        <v/>
      </c>
      <c r="S10" s="41">
        <f>SUMIFS($L$7:$L$149,$C$7:$C$149,$O10,$B$7:$B$149,S$6,$A$7:$A$149,$N10)</f>
        <v/>
      </c>
      <c r="T10" s="41">
        <f>SUMIFS($L$7:$L$149,$C$7:$C$149,$O10,$B$7:$B$149,T$6,$A$7:$A$149,$N10)</f>
        <v/>
      </c>
      <c r="U10" s="41">
        <f>SUMIFS($L$7:$L$149,$C$7:$C$149,$O10,$B$7:$B$149,U$6,$A$7:$A$149,$N10)</f>
        <v/>
      </c>
      <c r="V10" s="41">
        <f>SUMIFS($L$7:$L$149,$C$7:$C$149,$O10,$B$7:$B$149,V$6,$A$7:$A$149,$N10)</f>
        <v/>
      </c>
      <c r="W10" s="41">
        <f>SUMIFS($L$7:$L$149,$C$7:$C$149,$O10,$B$7:$B$149,W$6,$A$7:$A$149,$N10)</f>
        <v/>
      </c>
      <c r="X10" s="41">
        <f>SUMIFS($L$7:$L$149,$C$7:$C$149,$O10,$B$7:$B$149,X$6,$A$7:$A$149,$N10)</f>
        <v/>
      </c>
      <c r="Y10" s="41">
        <f>SUMIFS($L$7:$L$149,$C$7:$C$149,$O10,$B$7:$B$149,Y$6,$A$7:$A$149,$N10)</f>
        <v/>
      </c>
      <c r="Z10" s="41">
        <f>SUMIFS($L$7:$L$149,$C$7:$C$149,$O10,$B$7:$B$149,Z$6,$A$7:$A$149,$N10)</f>
        <v/>
      </c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2">
        <f>SUM(P10:Z10)</f>
        <v/>
      </c>
      <c r="AJ10" s="20" t="n"/>
    </row>
    <row r="11">
      <c r="A11" s="35">
        <f>$A$7</f>
        <v/>
      </c>
      <c r="B11" s="35">
        <f>$B$7</f>
        <v/>
      </c>
      <c r="C11" s="35" t="inlineStr">
        <is>
          <t>HIDRANTE</t>
        </is>
      </c>
      <c r="D11" s="35" t="inlineStr">
        <is>
          <t>Sistema Hidráulico Preventivo (SHP)</t>
        </is>
      </c>
      <c r="E11" s="35" t="inlineStr">
        <is>
          <t>Hidrante com Mangotinho 30m 60x100cm</t>
        </is>
      </c>
      <c r="F11" s="36" t="n">
        <v>2</v>
      </c>
      <c r="G11" s="36" t="n">
        <v>1</v>
      </c>
      <c r="H11" s="36" t="n"/>
      <c r="I11" s="37">
        <f>(F11+H11*F11)*G11</f>
        <v/>
      </c>
      <c r="J11" s="36" t="inlineStr">
        <is>
          <t>pç</t>
        </is>
      </c>
      <c r="K11" s="38" t="n">
        <v>1128</v>
      </c>
      <c r="L11" s="39">
        <f>IF(SUM(F11:K11)=0,SUMIFS($L12:$L$999,$B12:$B$999,$B11,$A12:$A$999,$A11),I11*K11)</f>
        <v/>
      </c>
      <c r="M11" s="20" t="n"/>
      <c r="N11" s="40" t="inlineStr">
        <is>
          <t>TORRE A</t>
        </is>
      </c>
      <c r="O11" s="37" t="inlineStr">
        <is>
          <t>BOMBAS</t>
        </is>
      </c>
      <c r="P11" s="41">
        <f>SUMIFS($L$7:$L$149,$C$7:$C$149,$O11,$B$7:$B$149,P$6,$A$7:$A$149,$N11)</f>
        <v/>
      </c>
      <c r="Q11" s="41">
        <f>SUMIFS($L$7:$L$149,$C$7:$C$149,$O11,$B$7:$B$149,Q$6,$A$7:$A$149,$N11)</f>
        <v/>
      </c>
      <c r="R11" s="41">
        <f>SUMIFS($L$7:$L$149,$C$7:$C$149,$O11,$B$7:$B$149,R$6,$A$7:$A$149,$N11)</f>
        <v/>
      </c>
      <c r="S11" s="41">
        <f>SUMIFS($L$7:$L$149,$C$7:$C$149,$O11,$B$7:$B$149,S$6,$A$7:$A$149,$N11)</f>
        <v/>
      </c>
      <c r="T11" s="41">
        <f>SUMIFS($L$7:$L$149,$C$7:$C$149,$O11,$B$7:$B$149,T$6,$A$7:$A$149,$N11)</f>
        <v/>
      </c>
      <c r="U11" s="41">
        <f>SUMIFS($L$7:$L$149,$C$7:$C$149,$O11,$B$7:$B$149,U$6,$A$7:$A$149,$N11)</f>
        <v/>
      </c>
      <c r="V11" s="41">
        <f>SUMIFS($L$7:$L$149,$C$7:$C$149,$O11,$B$7:$B$149,V$6,$A$7:$A$149,$N11)</f>
        <v/>
      </c>
      <c r="W11" s="41">
        <f>SUMIFS($L$7:$L$149,$C$7:$C$149,$O11,$B$7:$B$149,W$6,$A$7:$A$149,$N11)</f>
        <v/>
      </c>
      <c r="X11" s="41">
        <f>SUMIFS($L$7:$L$149,$C$7:$C$149,$O11,$B$7:$B$149,X$6,$A$7:$A$149,$N11)</f>
        <v/>
      </c>
      <c r="Y11" s="41">
        <f>SUMIFS($L$7:$L$149,$C$7:$C$149,$O11,$B$7:$B$149,Y$6,$A$7:$A$149,$N11)</f>
        <v/>
      </c>
      <c r="Z11" s="41">
        <f>SUMIFS($L$7:$L$149,$C$7:$C$149,$O11,$B$7:$B$149,Z$6,$A$7:$A$149,$N11)</f>
        <v/>
      </c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2">
        <f>SUM(P11:Z11)</f>
        <v/>
      </c>
      <c r="AJ11" s="20" t="n"/>
    </row>
    <row r="12">
      <c r="A12" s="35">
        <f>$A$7</f>
        <v/>
      </c>
      <c r="B12" s="35">
        <f>$B$7</f>
        <v/>
      </c>
      <c r="C12" s="35" t="inlineStr">
        <is>
          <t>EXTINTORES</t>
        </is>
      </c>
      <c r="D12" s="35" t="inlineStr">
        <is>
          <t>Sistema Preventivo por Extintores</t>
        </is>
      </c>
      <c r="E12" s="35" t="inlineStr">
        <is>
          <t>Extintor PQS 4Kg (2-A:20-B:C)</t>
        </is>
      </c>
      <c r="F12" s="36" t="n">
        <v>5</v>
      </c>
      <c r="G12" s="36" t="n">
        <v>1</v>
      </c>
      <c r="H12" s="36" t="n"/>
      <c r="I12" s="37">
        <f>(F12+H12*F12)*G12</f>
        <v/>
      </c>
      <c r="J12" s="36" t="inlineStr">
        <is>
          <t>pç</t>
        </is>
      </c>
      <c r="K12" s="38" t="n">
        <v>120</v>
      </c>
      <c r="L12" s="39">
        <f>IF(SUM(F12:K12)=0,SUMIFS($L13:$L$999,$B13:$B$999,$B12,$A13:$A$999,$A12),I12*K12)</f>
        <v/>
      </c>
      <c r="M12" s="20" t="n"/>
      <c r="N12" s="40" t="inlineStr">
        <is>
          <t>TORRE B</t>
        </is>
      </c>
      <c r="O12" s="37" t="inlineStr">
        <is>
          <t>SHP</t>
        </is>
      </c>
      <c r="P12" s="41">
        <f>SUMIFS($L$7:$L$149,$C$7:$C$149,$O12,$B$7:$B$149,P$6,$A$7:$A$149,$N12)</f>
        <v/>
      </c>
      <c r="Q12" s="41">
        <f>SUMIFS($L$7:$L$149,$C$7:$C$149,$O12,$B$7:$B$149,Q$6,$A$7:$A$149,$N12)</f>
        <v/>
      </c>
      <c r="R12" s="41">
        <f>SUMIFS($L$7:$L$149,$C$7:$C$149,$O12,$B$7:$B$149,R$6,$A$7:$A$149,$N12)</f>
        <v/>
      </c>
      <c r="S12" s="41">
        <f>SUMIFS($L$7:$L$149,$C$7:$C$149,$O12,$B$7:$B$149,S$6,$A$7:$A$149,$N12)</f>
        <v/>
      </c>
      <c r="T12" s="41">
        <f>SUMIFS($L$7:$L$149,$C$7:$C$149,$O12,$B$7:$B$149,T$6,$A$7:$A$149,$N12)</f>
        <v/>
      </c>
      <c r="U12" s="41">
        <f>SUMIFS($L$7:$L$149,$C$7:$C$149,$O12,$B$7:$B$149,U$6,$A$7:$A$149,$N12)</f>
        <v/>
      </c>
      <c r="V12" s="41">
        <f>SUMIFS($L$7:$L$149,$C$7:$C$149,$O12,$B$7:$B$149,V$6,$A$7:$A$149,$N12)</f>
        <v/>
      </c>
      <c r="W12" s="41">
        <f>SUMIFS($L$7:$L$149,$C$7:$C$149,$O12,$B$7:$B$149,W$6,$A$7:$A$149,$N12)</f>
        <v/>
      </c>
      <c r="X12" s="41">
        <f>SUMIFS($L$7:$L$149,$C$7:$C$149,$O12,$B$7:$B$149,X$6,$A$7:$A$149,$N12)</f>
        <v/>
      </c>
      <c r="Y12" s="41">
        <f>SUMIFS($L$7:$L$149,$C$7:$C$149,$O12,$B$7:$B$149,Y$6,$A$7:$A$149,$N12)</f>
        <v/>
      </c>
      <c r="Z12" s="41">
        <f>SUMIFS($L$7:$L$149,$C$7:$C$149,$O12,$B$7:$B$149,Z$6,$A$7:$A$149,$N12)</f>
        <v/>
      </c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2">
        <f>SUM(P12:Z12)</f>
        <v/>
      </c>
      <c r="AJ12" s="20" t="n"/>
    </row>
    <row r="13">
      <c r="A13" s="35">
        <f>$A$7</f>
        <v/>
      </c>
      <c r="B13" s="35">
        <f>$B$7</f>
        <v/>
      </c>
      <c r="C13" s="35" t="inlineStr">
        <is>
          <t>SINALIZAÇÃO</t>
        </is>
      </c>
      <c r="D13" s="35" t="inlineStr">
        <is>
          <t>Sinalização de Abandono de Local (SAL)</t>
        </is>
      </c>
      <c r="E13" s="35" t="inlineStr">
        <is>
          <t>Placa Indicativa - Número do Pavimento 200x100 mm</t>
        </is>
      </c>
      <c r="F13" s="36" t="n">
        <v>1</v>
      </c>
      <c r="G13" s="36" t="n">
        <v>1</v>
      </c>
      <c r="H13" s="36" t="n"/>
      <c r="I13" s="37">
        <f>(F13+H13*F13)*G13</f>
        <v/>
      </c>
      <c r="J13" s="36" t="inlineStr">
        <is>
          <t>pç</t>
        </is>
      </c>
      <c r="K13" s="38" t="n">
        <v>15</v>
      </c>
      <c r="L13" s="39">
        <f>IF(SUM(F13:K13)=0,SUMIFS($L14:$L$999,$B14:$B$999,$B13,$A14:$A$999,$A13),I13*K13)</f>
        <v/>
      </c>
      <c r="M13" s="20" t="n"/>
      <c r="N13" s="40" t="inlineStr">
        <is>
          <t>TORRE B</t>
        </is>
      </c>
      <c r="O13" s="37" t="inlineStr">
        <is>
          <t>HIDRANTE</t>
        </is>
      </c>
      <c r="P13" s="41">
        <f>SUMIFS($L$7:$L$149,$C$7:$C$149,$O13,$B$7:$B$149,P$6,$A$7:$A$149,$N13)</f>
        <v/>
      </c>
      <c r="Q13" s="41">
        <f>SUMIFS($L$7:$L$149,$C$7:$C$149,$O13,$B$7:$B$149,Q$6,$A$7:$A$149,$N13)</f>
        <v/>
      </c>
      <c r="R13" s="41">
        <f>SUMIFS($L$7:$L$149,$C$7:$C$149,$O13,$B$7:$B$149,R$6,$A$7:$A$149,$N13)</f>
        <v/>
      </c>
      <c r="S13" s="41">
        <f>SUMIFS($L$7:$L$149,$C$7:$C$149,$O13,$B$7:$B$149,S$6,$A$7:$A$149,$N13)</f>
        <v/>
      </c>
      <c r="T13" s="41">
        <f>SUMIFS($L$7:$L$149,$C$7:$C$149,$O13,$B$7:$B$149,T$6,$A$7:$A$149,$N13)</f>
        <v/>
      </c>
      <c r="U13" s="41">
        <f>SUMIFS($L$7:$L$149,$C$7:$C$149,$O13,$B$7:$B$149,U$6,$A$7:$A$149,$N13)</f>
        <v/>
      </c>
      <c r="V13" s="41">
        <f>SUMIFS($L$7:$L$149,$C$7:$C$149,$O13,$B$7:$B$149,V$6,$A$7:$A$149,$N13)</f>
        <v/>
      </c>
      <c r="W13" s="41">
        <f>SUMIFS($L$7:$L$149,$C$7:$C$149,$O13,$B$7:$B$149,W$6,$A$7:$A$149,$N13)</f>
        <v/>
      </c>
      <c r="X13" s="41">
        <f>SUMIFS($L$7:$L$149,$C$7:$C$149,$O13,$B$7:$B$149,X$6,$A$7:$A$149,$N13)</f>
        <v/>
      </c>
      <c r="Y13" s="41">
        <f>SUMIFS($L$7:$L$149,$C$7:$C$149,$O13,$B$7:$B$149,Y$6,$A$7:$A$149,$N13)</f>
        <v/>
      </c>
      <c r="Z13" s="41">
        <f>SUMIFS($L$7:$L$149,$C$7:$C$149,$O13,$B$7:$B$149,Z$6,$A$7:$A$149,$N13)</f>
        <v/>
      </c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2">
        <f>SUM(P13:Z13)</f>
        <v/>
      </c>
      <c r="AJ13" s="20" t="n"/>
    </row>
    <row r="14">
      <c r="A14" s="35">
        <f>$A$7</f>
        <v/>
      </c>
      <c r="B14" s="35">
        <f>$B$7</f>
        <v/>
      </c>
      <c r="C14" s="35" t="inlineStr">
        <is>
          <t>SINALIZAÇÃO</t>
        </is>
      </c>
      <c r="D14" s="35" t="inlineStr">
        <is>
          <t>Sinalização de Abandono de Local (SAL)</t>
        </is>
      </c>
      <c r="E14" s="35" t="inlineStr">
        <is>
          <t>Placa Indicativa - Elevador de Emergência 250x125 mm</t>
        </is>
      </c>
      <c r="F14" s="36" t="n">
        <v>1</v>
      </c>
      <c r="G14" s="36" t="n">
        <v>1</v>
      </c>
      <c r="H14" s="36" t="n"/>
      <c r="I14" s="37">
        <f>(F14+H14*F14)*G14</f>
        <v/>
      </c>
      <c r="J14" s="36" t="inlineStr">
        <is>
          <t>pç</t>
        </is>
      </c>
      <c r="K14" s="38" t="n">
        <v>15</v>
      </c>
      <c r="L14" s="39">
        <f>IF(SUM(F14:K14)=0,SUMIFS($L15:$L$999,$B15:$B$999,$B14,$A15:$A$999,$A14),I14*K14)</f>
        <v/>
      </c>
      <c r="M14" s="20" t="n"/>
      <c r="N14" s="40" t="inlineStr">
        <is>
          <t>TORRE B</t>
        </is>
      </c>
      <c r="O14" s="37" t="inlineStr">
        <is>
          <t>EXTINTORES</t>
        </is>
      </c>
      <c r="P14" s="41">
        <f>SUMIFS($L$7:$L$149,$C$7:$C$149,$O14,$B$7:$B$149,P$6,$A$7:$A$149,$N14)</f>
        <v/>
      </c>
      <c r="Q14" s="41">
        <f>SUMIFS($L$7:$L$149,$C$7:$C$149,$O14,$B$7:$B$149,Q$6,$A$7:$A$149,$N14)</f>
        <v/>
      </c>
      <c r="R14" s="41">
        <f>SUMIFS($L$7:$L$149,$C$7:$C$149,$O14,$B$7:$B$149,R$6,$A$7:$A$149,$N14)</f>
        <v/>
      </c>
      <c r="S14" s="41">
        <f>SUMIFS($L$7:$L$149,$C$7:$C$149,$O14,$B$7:$B$149,S$6,$A$7:$A$149,$N14)</f>
        <v/>
      </c>
      <c r="T14" s="41">
        <f>SUMIFS($L$7:$L$149,$C$7:$C$149,$O14,$B$7:$B$149,T$6,$A$7:$A$149,$N14)</f>
        <v/>
      </c>
      <c r="U14" s="41">
        <f>SUMIFS($L$7:$L$149,$C$7:$C$149,$O14,$B$7:$B$149,U$6,$A$7:$A$149,$N14)</f>
        <v/>
      </c>
      <c r="V14" s="41">
        <f>SUMIFS($L$7:$L$149,$C$7:$C$149,$O14,$B$7:$B$149,V$6,$A$7:$A$149,$N14)</f>
        <v/>
      </c>
      <c r="W14" s="41">
        <f>SUMIFS($L$7:$L$149,$C$7:$C$149,$O14,$B$7:$B$149,W$6,$A$7:$A$149,$N14)</f>
        <v/>
      </c>
      <c r="X14" s="41">
        <f>SUMIFS($L$7:$L$149,$C$7:$C$149,$O14,$B$7:$B$149,X$6,$A$7:$A$149,$N14)</f>
        <v/>
      </c>
      <c r="Y14" s="41">
        <f>SUMIFS($L$7:$L$149,$C$7:$C$149,$O14,$B$7:$B$149,Y$6,$A$7:$A$149,$N14)</f>
        <v/>
      </c>
      <c r="Z14" s="41">
        <f>SUMIFS($L$7:$L$149,$C$7:$C$149,$O14,$B$7:$B$149,Z$6,$A$7:$A$149,$N14)</f>
        <v/>
      </c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2">
        <f>SUM(P14:Z14)</f>
        <v/>
      </c>
      <c r="AJ14" s="20" t="n"/>
    </row>
    <row r="15">
      <c r="A15" s="35">
        <f>$A$7</f>
        <v/>
      </c>
      <c r="B15" s="35">
        <f>$B$7</f>
        <v/>
      </c>
      <c r="C15" s="35" t="inlineStr">
        <is>
          <t>SINALIZAÇÃO</t>
        </is>
      </c>
      <c r="D15" s="35" t="inlineStr">
        <is>
          <t>Sinalização de Abandono de Local (SAL)</t>
        </is>
      </c>
      <c r="E15" s="35" t="inlineStr">
        <is>
          <t>Placa Fotoluminescente E5 - Extintor de Incêndio</t>
        </is>
      </c>
      <c r="F15" s="36" t="n">
        <v>3</v>
      </c>
      <c r="G15" s="36" t="n">
        <v>1</v>
      </c>
      <c r="H15" s="36" t="n"/>
      <c r="I15" s="37">
        <f>(F15+H15*F15)*G15</f>
        <v/>
      </c>
      <c r="J15" s="36" t="inlineStr">
        <is>
          <t>pç</t>
        </is>
      </c>
      <c r="K15" s="38" t="n">
        <v>15</v>
      </c>
      <c r="L15" s="39">
        <f>IF(SUM(F15:K15)=0,SUMIFS($L16:$L$999,$B16:$B$999,$B15,$A16:$A$999,$A15),I15*K15)</f>
        <v/>
      </c>
      <c r="M15" s="20" t="n"/>
      <c r="N15" s="40" t="inlineStr">
        <is>
          <t>TORRE B</t>
        </is>
      </c>
      <c r="O15" s="37" t="inlineStr">
        <is>
          <t>SINALIZAÇÃO</t>
        </is>
      </c>
      <c r="P15" s="41">
        <f>SUMIFS($L$7:$L$149,$C$7:$C$149,$O15,$B$7:$B$149,P$6,$A$7:$A$149,$N15)</f>
        <v/>
      </c>
      <c r="Q15" s="41">
        <f>SUMIFS($L$7:$L$149,$C$7:$C$149,$O15,$B$7:$B$149,Q$6,$A$7:$A$149,$N15)</f>
        <v/>
      </c>
      <c r="R15" s="41">
        <f>SUMIFS($L$7:$L$149,$C$7:$C$149,$O15,$B$7:$B$149,R$6,$A$7:$A$149,$N15)</f>
        <v/>
      </c>
      <c r="S15" s="41">
        <f>SUMIFS($L$7:$L$149,$C$7:$C$149,$O15,$B$7:$B$149,S$6,$A$7:$A$149,$N15)</f>
        <v/>
      </c>
      <c r="T15" s="41">
        <f>SUMIFS($L$7:$L$149,$C$7:$C$149,$O15,$B$7:$B$149,T$6,$A$7:$A$149,$N15)</f>
        <v/>
      </c>
      <c r="U15" s="41">
        <f>SUMIFS($L$7:$L$149,$C$7:$C$149,$O15,$B$7:$B$149,U$6,$A$7:$A$149,$N15)</f>
        <v/>
      </c>
      <c r="V15" s="41">
        <f>SUMIFS($L$7:$L$149,$C$7:$C$149,$O15,$B$7:$B$149,V$6,$A$7:$A$149,$N15)</f>
        <v/>
      </c>
      <c r="W15" s="41">
        <f>SUMIFS($L$7:$L$149,$C$7:$C$149,$O15,$B$7:$B$149,W$6,$A$7:$A$149,$N15)</f>
        <v/>
      </c>
      <c r="X15" s="41">
        <f>SUMIFS($L$7:$L$149,$C$7:$C$149,$O15,$B$7:$B$149,X$6,$A$7:$A$149,$N15)</f>
        <v/>
      </c>
      <c r="Y15" s="41">
        <f>SUMIFS($L$7:$L$149,$C$7:$C$149,$O15,$B$7:$B$149,Y$6,$A$7:$A$149,$N15)</f>
        <v/>
      </c>
      <c r="Z15" s="41">
        <f>SUMIFS($L$7:$L$149,$C$7:$C$149,$O15,$B$7:$B$149,Z$6,$A$7:$A$149,$N15)</f>
        <v/>
      </c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2">
        <f>SUM(P15:Z15)</f>
        <v/>
      </c>
      <c r="AJ15" s="20" t="n"/>
    </row>
    <row r="16">
      <c r="A16" s="24" t="inlineStr">
        <is>
          <t>TORRE A</t>
        </is>
      </c>
      <c r="B16" s="24" t="inlineStr">
        <is>
          <t>GARAGEM 01</t>
        </is>
      </c>
      <c r="C16" s="25" t="n"/>
      <c r="D16" s="26" t="n"/>
      <c r="E16" s="26" t="n"/>
      <c r="F16" s="27" t="n"/>
      <c r="G16" s="27" t="n"/>
      <c r="H16" s="27" t="n"/>
      <c r="I16" s="28" t="n"/>
      <c r="J16" s="27" t="n"/>
      <c r="K16" s="29" t="n"/>
      <c r="L16" s="30">
        <f>IF(SUM(F16:K16)=0,SUMIFS($L17:$L$999,$B17:$B$999,$B16,$A17:$A$999,$A16),I16*K16)</f>
        <v/>
      </c>
      <c r="M16" s="20" t="n"/>
      <c r="N16" s="31" t="inlineStr">
        <is>
          <t>TORRE B</t>
        </is>
      </c>
      <c r="O16" s="32" t="inlineStr">
        <is>
          <t>BOMBAS</t>
        </is>
      </c>
      <c r="P16" s="33">
        <f>SUMIFS($L$7:$L$149,$C$7:$C$149,$O16,$B$7:$B$149,P$6,$A$7:$A$149,$N16)</f>
        <v/>
      </c>
      <c r="Q16" s="33">
        <f>SUMIFS($L$7:$L$149,$C$7:$C$149,$O16,$B$7:$B$149,Q$6,$A$7:$A$149,$N16)</f>
        <v/>
      </c>
      <c r="R16" s="33">
        <f>SUMIFS($L$7:$L$149,$C$7:$C$149,$O16,$B$7:$B$149,R$6,$A$7:$A$149,$N16)</f>
        <v/>
      </c>
      <c r="S16" s="33">
        <f>SUMIFS($L$7:$L$149,$C$7:$C$149,$O16,$B$7:$B$149,S$6,$A$7:$A$149,$N16)</f>
        <v/>
      </c>
      <c r="T16" s="33">
        <f>SUMIFS($L$7:$L$149,$C$7:$C$149,$O16,$B$7:$B$149,T$6,$A$7:$A$149,$N16)</f>
        <v/>
      </c>
      <c r="U16" s="33">
        <f>SUMIFS($L$7:$L$149,$C$7:$C$149,$O16,$B$7:$B$149,U$6,$A$7:$A$149,$N16)</f>
        <v/>
      </c>
      <c r="V16" s="33">
        <f>SUMIFS($L$7:$L$149,$C$7:$C$149,$O16,$B$7:$B$149,V$6,$A$7:$A$149,$N16)</f>
        <v/>
      </c>
      <c r="W16" s="33">
        <f>SUMIFS($L$7:$L$149,$C$7:$C$149,$O16,$B$7:$B$149,W$6,$A$7:$A$149,$N16)</f>
        <v/>
      </c>
      <c r="X16" s="33">
        <f>SUMIFS($L$7:$L$149,$C$7:$C$149,$O16,$B$7:$B$149,X$6,$A$7:$A$149,$N16)</f>
        <v/>
      </c>
      <c r="Y16" s="33">
        <f>SUMIFS($L$7:$L$149,$C$7:$C$149,$O16,$B$7:$B$149,Y$6,$A$7:$A$149,$N16)</f>
        <v/>
      </c>
      <c r="Z16" s="33">
        <f>SUMIFS($L$7:$L$149,$C$7:$C$149,$O16,$B$7:$B$149,Z$6,$A$7:$A$149,$N16)</f>
        <v/>
      </c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4">
        <f>SUM(P16:Z16)</f>
        <v/>
      </c>
      <c r="AJ16" s="20" t="n"/>
    </row>
    <row r="17">
      <c r="A17" s="35">
        <f>$A$16</f>
        <v/>
      </c>
      <c r="B17" s="35">
        <f>$B$16</f>
        <v/>
      </c>
      <c r="C17" s="35" t="inlineStr">
        <is>
          <t>SHP</t>
        </is>
      </c>
      <c r="D17" s="35" t="inlineStr">
        <is>
          <t>Sistema Hidráulico Preventivo (SHP)</t>
        </is>
      </c>
      <c r="E17" s="35" t="inlineStr">
        <is>
          <t>Tubo de cobre Ø2"</t>
        </is>
      </c>
      <c r="F17" s="36" t="n">
        <v>12</v>
      </c>
      <c r="G17" s="36" t="n">
        <v>1</v>
      </c>
      <c r="H17" s="36" t="n">
        <v>0</v>
      </c>
      <c r="I17" s="37">
        <f>(F17+H17*F17)*G17</f>
        <v/>
      </c>
      <c r="J17" s="36" t="inlineStr">
        <is>
          <t>m</t>
        </is>
      </c>
      <c r="K17" s="38" t="n">
        <v>315</v>
      </c>
      <c r="L17" s="39">
        <f>IF(SUM(F17:K17)=0,SUMIFS($L18:$L$999,$B18:$B$999,$B17,$A18:$A$999,$A17),I17*K17)</f>
        <v/>
      </c>
      <c r="M17" s="20" t="n"/>
      <c r="N17" s="40" t="inlineStr">
        <is>
          <t>GERAL</t>
        </is>
      </c>
      <c r="O17" s="37" t="inlineStr">
        <is>
          <t>SHP</t>
        </is>
      </c>
      <c r="P17" s="41">
        <f>SUMIFS($L$7:$L$149,$C$7:$C$149,$O17,$B$7:$B$149,P$6,$A$7:$A$149,$N17)</f>
        <v/>
      </c>
      <c r="Q17" s="41">
        <f>SUMIFS($L$7:$L$149,$C$7:$C$149,$O17,$B$7:$B$149,Q$6,$A$7:$A$149,$N17)</f>
        <v/>
      </c>
      <c r="R17" s="41">
        <f>SUMIFS($L$7:$L$149,$C$7:$C$149,$O17,$B$7:$B$149,R$6,$A$7:$A$149,$N17)</f>
        <v/>
      </c>
      <c r="S17" s="41">
        <f>SUMIFS($L$7:$L$149,$C$7:$C$149,$O17,$B$7:$B$149,S$6,$A$7:$A$149,$N17)</f>
        <v/>
      </c>
      <c r="T17" s="41">
        <f>SUMIFS($L$7:$L$149,$C$7:$C$149,$O17,$B$7:$B$149,T$6,$A$7:$A$149,$N17)</f>
        <v/>
      </c>
      <c r="U17" s="41">
        <f>SUMIFS($L$7:$L$149,$C$7:$C$149,$O17,$B$7:$B$149,U$6,$A$7:$A$149,$N17)</f>
        <v/>
      </c>
      <c r="V17" s="41">
        <f>SUMIFS($L$7:$L$149,$C$7:$C$149,$O17,$B$7:$B$149,V$6,$A$7:$A$149,$N17)</f>
        <v/>
      </c>
      <c r="W17" s="41">
        <f>SUMIFS($L$7:$L$149,$C$7:$C$149,$O17,$B$7:$B$149,W$6,$A$7:$A$149,$N17)</f>
        <v/>
      </c>
      <c r="X17" s="41">
        <f>SUMIFS($L$7:$L$149,$C$7:$C$149,$O17,$B$7:$B$149,X$6,$A$7:$A$149,$N17)</f>
        <v/>
      </c>
      <c r="Y17" s="41">
        <f>SUMIFS($L$7:$L$149,$C$7:$C$149,$O17,$B$7:$B$149,Y$6,$A$7:$A$149,$N17)</f>
        <v/>
      </c>
      <c r="Z17" s="41">
        <f>SUMIFS($L$7:$L$149,$C$7:$C$149,$O17,$B$7:$B$149,Z$6,$A$7:$A$149,$N17)</f>
        <v/>
      </c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2">
        <f>SUM(P17:Z17)</f>
        <v/>
      </c>
      <c r="AJ17" s="20" t="n"/>
    </row>
    <row r="18">
      <c r="A18" s="35">
        <f>$A$16</f>
        <v/>
      </c>
      <c r="B18" s="35">
        <f>$B$16</f>
        <v/>
      </c>
      <c r="C18" s="35" t="inlineStr">
        <is>
          <t>SHP</t>
        </is>
      </c>
      <c r="D18" s="35" t="inlineStr">
        <is>
          <t>Sistema Hidráulico Preventivo (SHP)</t>
        </is>
      </c>
      <c r="E18" s="35" t="inlineStr">
        <is>
          <t>Joelho 90° Cobre Ø2"</t>
        </is>
      </c>
      <c r="F18" s="36" t="n">
        <v>1</v>
      </c>
      <c r="G18" s="36" t="n">
        <v>1</v>
      </c>
      <c r="H18" s="36" t="n">
        <v>0</v>
      </c>
      <c r="I18" s="37">
        <f>(F18+H18*F18)*G18</f>
        <v/>
      </c>
      <c r="J18" s="36" t="inlineStr">
        <is>
          <t>pç</t>
        </is>
      </c>
      <c r="K18" s="38" t="n">
        <v>38</v>
      </c>
      <c r="L18" s="39">
        <f>IF(SUM(F18:K18)=0,SUMIFS($L19:$L$999,$B19:$B$999,$B18,$A19:$A$999,$A18),I18*K18)</f>
        <v/>
      </c>
      <c r="M18" s="20" t="n"/>
      <c r="N18" s="40" t="inlineStr">
        <is>
          <t>GERAL</t>
        </is>
      </c>
      <c r="O18" s="37" t="inlineStr">
        <is>
          <t>HIDRANTE</t>
        </is>
      </c>
      <c r="P18" s="41">
        <f>SUMIFS($L$7:$L$149,$C$7:$C$149,$O18,$B$7:$B$149,P$6,$A$7:$A$149,$N18)</f>
        <v/>
      </c>
      <c r="Q18" s="41">
        <f>SUMIFS($L$7:$L$149,$C$7:$C$149,$O18,$B$7:$B$149,Q$6,$A$7:$A$149,$N18)</f>
        <v/>
      </c>
      <c r="R18" s="41">
        <f>SUMIFS($L$7:$L$149,$C$7:$C$149,$O18,$B$7:$B$149,R$6,$A$7:$A$149,$N18)</f>
        <v/>
      </c>
      <c r="S18" s="41">
        <f>SUMIFS($L$7:$L$149,$C$7:$C$149,$O18,$B$7:$B$149,S$6,$A$7:$A$149,$N18)</f>
        <v/>
      </c>
      <c r="T18" s="41">
        <f>SUMIFS($L$7:$L$149,$C$7:$C$149,$O18,$B$7:$B$149,T$6,$A$7:$A$149,$N18)</f>
        <v/>
      </c>
      <c r="U18" s="41">
        <f>SUMIFS($L$7:$L$149,$C$7:$C$149,$O18,$B$7:$B$149,U$6,$A$7:$A$149,$N18)</f>
        <v/>
      </c>
      <c r="V18" s="41">
        <f>SUMIFS($L$7:$L$149,$C$7:$C$149,$O18,$B$7:$B$149,V$6,$A$7:$A$149,$N18)</f>
        <v/>
      </c>
      <c r="W18" s="41">
        <f>SUMIFS($L$7:$L$149,$C$7:$C$149,$O18,$B$7:$B$149,W$6,$A$7:$A$149,$N18)</f>
        <v/>
      </c>
      <c r="X18" s="41">
        <f>SUMIFS($L$7:$L$149,$C$7:$C$149,$O18,$B$7:$B$149,X$6,$A$7:$A$149,$N18)</f>
        <v/>
      </c>
      <c r="Y18" s="41">
        <f>SUMIFS($L$7:$L$149,$C$7:$C$149,$O18,$B$7:$B$149,Y$6,$A$7:$A$149,$N18)</f>
        <v/>
      </c>
      <c r="Z18" s="41">
        <f>SUMIFS($L$7:$L$149,$C$7:$C$149,$O18,$B$7:$B$149,Z$6,$A$7:$A$149,$N18)</f>
        <v/>
      </c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2">
        <f>SUM(P18:Z18)</f>
        <v/>
      </c>
      <c r="AJ18" s="20" t="n"/>
    </row>
    <row r="19">
      <c r="A19" s="35">
        <f>$A$16</f>
        <v/>
      </c>
      <c r="B19" s="35">
        <f>$B$16</f>
        <v/>
      </c>
      <c r="C19" s="35" t="inlineStr">
        <is>
          <t>SHP</t>
        </is>
      </c>
      <c r="D19" s="35" t="inlineStr">
        <is>
          <t>Sistema Hidráulico Preventivo (SHP)</t>
        </is>
      </c>
      <c r="E19" s="35" t="inlineStr">
        <is>
          <t>Tê Cobre Ø2"</t>
        </is>
      </c>
      <c r="F19" s="36" t="n">
        <v>1</v>
      </c>
      <c r="G19" s="36" t="n">
        <v>1</v>
      </c>
      <c r="H19" s="36" t="n">
        <v>0</v>
      </c>
      <c r="I19" s="37">
        <f>(F19+H19*F19)*G19</f>
        <v/>
      </c>
      <c r="J19" s="36" t="inlineStr">
        <is>
          <t>pç</t>
        </is>
      </c>
      <c r="K19" s="38" t="n">
        <v>98</v>
      </c>
      <c r="L19" s="39">
        <f>IF(SUM(F19:K19)=0,SUMIFS($L20:$L$999,$B20:$B$999,$B19,$A20:$A$999,$A19),I19*K19)</f>
        <v/>
      </c>
      <c r="M19" s="20" t="n"/>
      <c r="N19" s="40" t="inlineStr">
        <is>
          <t>GERAL</t>
        </is>
      </c>
      <c r="O19" s="37" t="inlineStr">
        <is>
          <t>EXTINTORES</t>
        </is>
      </c>
      <c r="P19" s="41">
        <f>SUMIFS($L$7:$L$149,$C$7:$C$149,$O19,$B$7:$B$149,P$6,$A$7:$A$149,$N19)</f>
        <v/>
      </c>
      <c r="Q19" s="41">
        <f>SUMIFS($L$7:$L$149,$C$7:$C$149,$O19,$B$7:$B$149,Q$6,$A$7:$A$149,$N19)</f>
        <v/>
      </c>
      <c r="R19" s="41">
        <f>SUMIFS($L$7:$L$149,$C$7:$C$149,$O19,$B$7:$B$149,R$6,$A$7:$A$149,$N19)</f>
        <v/>
      </c>
      <c r="S19" s="41">
        <f>SUMIFS($L$7:$L$149,$C$7:$C$149,$O19,$B$7:$B$149,S$6,$A$7:$A$149,$N19)</f>
        <v/>
      </c>
      <c r="T19" s="41">
        <f>SUMIFS($L$7:$L$149,$C$7:$C$149,$O19,$B$7:$B$149,T$6,$A$7:$A$149,$N19)</f>
        <v/>
      </c>
      <c r="U19" s="41">
        <f>SUMIFS($L$7:$L$149,$C$7:$C$149,$O19,$B$7:$B$149,U$6,$A$7:$A$149,$N19)</f>
        <v/>
      </c>
      <c r="V19" s="41">
        <f>SUMIFS($L$7:$L$149,$C$7:$C$149,$O19,$B$7:$B$149,V$6,$A$7:$A$149,$N19)</f>
        <v/>
      </c>
      <c r="W19" s="41">
        <f>SUMIFS($L$7:$L$149,$C$7:$C$149,$O19,$B$7:$B$149,W$6,$A$7:$A$149,$N19)</f>
        <v/>
      </c>
      <c r="X19" s="41">
        <f>SUMIFS($L$7:$L$149,$C$7:$C$149,$O19,$B$7:$B$149,X$6,$A$7:$A$149,$N19)</f>
        <v/>
      </c>
      <c r="Y19" s="41">
        <f>SUMIFS($L$7:$L$149,$C$7:$C$149,$O19,$B$7:$B$149,Y$6,$A$7:$A$149,$N19)</f>
        <v/>
      </c>
      <c r="Z19" s="41">
        <f>SUMIFS($L$7:$L$149,$C$7:$C$149,$O19,$B$7:$B$149,Z$6,$A$7:$A$149,$N19)</f>
        <v/>
      </c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2">
        <f>SUM(P19:Z19)</f>
        <v/>
      </c>
      <c r="AJ19" s="20" t="n"/>
    </row>
    <row r="20">
      <c r="A20" s="35">
        <f>$A$16</f>
        <v/>
      </c>
      <c r="B20" s="35">
        <f>$B$16</f>
        <v/>
      </c>
      <c r="C20" s="35" t="inlineStr">
        <is>
          <t>HIDRANTE</t>
        </is>
      </c>
      <c r="D20" s="35" t="inlineStr">
        <is>
          <t>Sistema Hidráulico Preventivo (SHP)</t>
        </is>
      </c>
      <c r="E20" s="35" t="inlineStr">
        <is>
          <t>Hidrante com Mangotinho 30m 60x100cm</t>
        </is>
      </c>
      <c r="F20" s="36" t="n">
        <v>1</v>
      </c>
      <c r="G20" s="36" t="n">
        <v>1</v>
      </c>
      <c r="H20" s="36" t="n"/>
      <c r="I20" s="37">
        <f>(F20+H20*F20)*G20</f>
        <v/>
      </c>
      <c r="J20" s="36" t="inlineStr">
        <is>
          <t>pç</t>
        </is>
      </c>
      <c r="K20" s="38" t="n">
        <v>1128</v>
      </c>
      <c r="L20" s="39">
        <f>IF(SUM(F20:K20)=0,SUMIFS($L21:$L$999,$B21:$B$999,$B20,$A21:$A$999,$A20),I20*K20)</f>
        <v/>
      </c>
      <c r="M20" s="20" t="n"/>
      <c r="N20" s="40" t="inlineStr">
        <is>
          <t>GERAL</t>
        </is>
      </c>
      <c r="O20" s="37" t="inlineStr">
        <is>
          <t>SINALIZAÇÃO</t>
        </is>
      </c>
      <c r="P20" s="41">
        <f>SUMIFS($L$7:$L$149,$C$7:$C$149,$O20,$B$7:$B$149,P$6,$A$7:$A$149,$N20)</f>
        <v/>
      </c>
      <c r="Q20" s="41">
        <f>SUMIFS($L$7:$L$149,$C$7:$C$149,$O20,$B$7:$B$149,Q$6,$A$7:$A$149,$N20)</f>
        <v/>
      </c>
      <c r="R20" s="41">
        <f>SUMIFS($L$7:$L$149,$C$7:$C$149,$O20,$B$7:$B$149,R$6,$A$7:$A$149,$N20)</f>
        <v/>
      </c>
      <c r="S20" s="41">
        <f>SUMIFS($L$7:$L$149,$C$7:$C$149,$O20,$B$7:$B$149,S$6,$A$7:$A$149,$N20)</f>
        <v/>
      </c>
      <c r="T20" s="41">
        <f>SUMIFS($L$7:$L$149,$C$7:$C$149,$O20,$B$7:$B$149,T$6,$A$7:$A$149,$N20)</f>
        <v/>
      </c>
      <c r="U20" s="41">
        <f>SUMIFS($L$7:$L$149,$C$7:$C$149,$O20,$B$7:$B$149,U$6,$A$7:$A$149,$N20)</f>
        <v/>
      </c>
      <c r="V20" s="41">
        <f>SUMIFS($L$7:$L$149,$C$7:$C$149,$O20,$B$7:$B$149,V$6,$A$7:$A$149,$N20)</f>
        <v/>
      </c>
      <c r="W20" s="41">
        <f>SUMIFS($L$7:$L$149,$C$7:$C$149,$O20,$B$7:$B$149,W$6,$A$7:$A$149,$N20)</f>
        <v/>
      </c>
      <c r="X20" s="41">
        <f>SUMIFS($L$7:$L$149,$C$7:$C$149,$O20,$B$7:$B$149,X$6,$A$7:$A$149,$N20)</f>
        <v/>
      </c>
      <c r="Y20" s="41">
        <f>SUMIFS($L$7:$L$149,$C$7:$C$149,$O20,$B$7:$B$149,Y$6,$A$7:$A$149,$N20)</f>
        <v/>
      </c>
      <c r="Z20" s="41">
        <f>SUMIFS($L$7:$L$149,$C$7:$C$149,$O20,$B$7:$B$149,Z$6,$A$7:$A$149,$N20)</f>
        <v/>
      </c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2">
        <f>SUM(P20:Z20)</f>
        <v/>
      </c>
      <c r="AJ20" s="20" t="n"/>
    </row>
    <row r="21">
      <c r="A21" s="35">
        <f>$A$16</f>
        <v/>
      </c>
      <c r="B21" s="35">
        <f>$B$16</f>
        <v/>
      </c>
      <c r="C21" s="35" t="inlineStr">
        <is>
          <t>EXTINTORES</t>
        </is>
      </c>
      <c r="D21" s="35" t="inlineStr">
        <is>
          <t>Sistema Preventivo por Extintores</t>
        </is>
      </c>
      <c r="E21" s="35" t="inlineStr">
        <is>
          <t>Extintor PQS 4Kg (2-A:20-B:C)</t>
        </is>
      </c>
      <c r="F21" s="36" t="n">
        <v>2</v>
      </c>
      <c r="G21" s="36" t="n">
        <v>1</v>
      </c>
      <c r="H21" s="36" t="n"/>
      <c r="I21" s="37">
        <f>(F21+H21*F21)*G21</f>
        <v/>
      </c>
      <c r="J21" s="36" t="inlineStr">
        <is>
          <t>pç</t>
        </is>
      </c>
      <c r="K21" s="38" t="n">
        <v>120</v>
      </c>
      <c r="L21" s="39">
        <f>IF(SUM(F21:K21)=0,SUMIFS($L22:$L$999,$B22:$B$999,$B21,$A22:$A$999,$A21),I21*K21)</f>
        <v/>
      </c>
      <c r="M21" s="20" t="n"/>
      <c r="N21" s="40" t="inlineStr">
        <is>
          <t>GERAL</t>
        </is>
      </c>
      <c r="O21" s="37" t="inlineStr">
        <is>
          <t>BOMBAS</t>
        </is>
      </c>
      <c r="P21" s="41">
        <f>SUMIFS($L$7:$L$149,$C$7:$C$149,$O21,$B$7:$B$149,P$6,$A$7:$A$149,$N21)</f>
        <v/>
      </c>
      <c r="Q21" s="41">
        <f>SUMIFS($L$7:$L$149,$C$7:$C$149,$O21,$B$7:$B$149,Q$6,$A$7:$A$149,$N21)</f>
        <v/>
      </c>
      <c r="R21" s="41">
        <f>SUMIFS($L$7:$L$149,$C$7:$C$149,$O21,$B$7:$B$149,R$6,$A$7:$A$149,$N21)</f>
        <v/>
      </c>
      <c r="S21" s="41">
        <f>SUMIFS($L$7:$L$149,$C$7:$C$149,$O21,$B$7:$B$149,S$6,$A$7:$A$149,$N21)</f>
        <v/>
      </c>
      <c r="T21" s="41">
        <f>SUMIFS($L$7:$L$149,$C$7:$C$149,$O21,$B$7:$B$149,T$6,$A$7:$A$149,$N21)</f>
        <v/>
      </c>
      <c r="U21" s="41">
        <f>SUMIFS($L$7:$L$149,$C$7:$C$149,$O21,$B$7:$B$149,U$6,$A$7:$A$149,$N21)</f>
        <v/>
      </c>
      <c r="V21" s="41">
        <f>SUMIFS($L$7:$L$149,$C$7:$C$149,$O21,$B$7:$B$149,V$6,$A$7:$A$149,$N21)</f>
        <v/>
      </c>
      <c r="W21" s="41">
        <f>SUMIFS($L$7:$L$149,$C$7:$C$149,$O21,$B$7:$B$149,W$6,$A$7:$A$149,$N21)</f>
        <v/>
      </c>
      <c r="X21" s="41">
        <f>SUMIFS($L$7:$L$149,$C$7:$C$149,$O21,$B$7:$B$149,X$6,$A$7:$A$149,$N21)</f>
        <v/>
      </c>
      <c r="Y21" s="41">
        <f>SUMIFS($L$7:$L$149,$C$7:$C$149,$O21,$B$7:$B$149,Y$6,$A$7:$A$149,$N21)</f>
        <v/>
      </c>
      <c r="Z21" s="41">
        <f>SUMIFS($L$7:$L$149,$C$7:$C$149,$O21,$B$7:$B$149,Z$6,$A$7:$A$149,$N21)</f>
        <v/>
      </c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2">
        <f>SUM(P21:Z21)</f>
        <v/>
      </c>
      <c r="AJ21" s="20" t="n"/>
    </row>
    <row r="22">
      <c r="A22" s="35">
        <f>$A$16</f>
        <v/>
      </c>
      <c r="B22" s="35">
        <f>$B$16</f>
        <v/>
      </c>
      <c r="C22" s="35" t="inlineStr">
        <is>
          <t>SINALIZAÇÃO</t>
        </is>
      </c>
      <c r="D22" s="35" t="inlineStr">
        <is>
          <t>Sinalização de Abandono de Local (SAL)</t>
        </is>
      </c>
      <c r="E22" s="35" t="inlineStr">
        <is>
          <t>Placa Indicativa - Número do Pavimento 200x100 mm</t>
        </is>
      </c>
      <c r="F22" s="36" t="n">
        <v>1</v>
      </c>
      <c r="G22" s="36" t="n">
        <v>1</v>
      </c>
      <c r="H22" s="36" t="n"/>
      <c r="I22" s="37">
        <f>(F22+H22*F22)*G22</f>
        <v/>
      </c>
      <c r="J22" s="36" t="inlineStr">
        <is>
          <t>pç</t>
        </is>
      </c>
      <c r="K22" s="38" t="n">
        <v>15</v>
      </c>
      <c r="L22" s="39">
        <f>IF(SUM(F22:K22)=0,SUMIFS($L23:$L$999,$B23:$B$999,$B22,$A23:$A$999,$A22),I22*K22)</f>
        <v/>
      </c>
      <c r="M22" s="20" t="n"/>
      <c r="N22" s="40" t="n"/>
      <c r="O22" s="37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2" t="n"/>
      <c r="AJ22" s="20" t="n"/>
    </row>
    <row r="23">
      <c r="A23" s="35">
        <f>$A$16</f>
        <v/>
      </c>
      <c r="B23" s="35">
        <f>$B$16</f>
        <v/>
      </c>
      <c r="C23" s="35" t="inlineStr">
        <is>
          <t>SINALIZAÇÃO</t>
        </is>
      </c>
      <c r="D23" s="35" t="inlineStr">
        <is>
          <t>Sinalização de Abandono de Local (SAL)</t>
        </is>
      </c>
      <c r="E23" s="35" t="inlineStr">
        <is>
          <t>Placa Indicativa - Elevador de Emergência 250x125 mm</t>
        </is>
      </c>
      <c r="F23" s="36" t="n">
        <v>1</v>
      </c>
      <c r="G23" s="36" t="n">
        <v>1</v>
      </c>
      <c r="H23" s="36" t="n"/>
      <c r="I23" s="37">
        <f>(F23+H23*F23)*G23</f>
        <v/>
      </c>
      <c r="J23" s="36" t="inlineStr">
        <is>
          <t>pç</t>
        </is>
      </c>
      <c r="K23" s="38" t="n">
        <v>15</v>
      </c>
      <c r="L23" s="39">
        <f>IF(SUM(F23:K23)=0,SUMIFS($L24:$L$999,$B24:$B$999,$B23,$A24:$A$999,$A23),I23*K23)</f>
        <v/>
      </c>
      <c r="M23" s="20" t="n"/>
      <c r="N23" s="40" t="n"/>
      <c r="O23" s="37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2" t="n"/>
      <c r="AJ23" s="20" t="n"/>
    </row>
    <row r="24">
      <c r="A24" s="24" t="inlineStr">
        <is>
          <t>TORRE A</t>
        </is>
      </c>
      <c r="B24" s="24" t="inlineStr">
        <is>
          <t>GARAGEM 02</t>
        </is>
      </c>
      <c r="C24" s="25" t="n"/>
      <c r="D24" s="26" t="n"/>
      <c r="E24" s="26" t="n"/>
      <c r="F24" s="27" t="n"/>
      <c r="G24" s="27" t="n"/>
      <c r="H24" s="27" t="n"/>
      <c r="I24" s="28" t="n"/>
      <c r="J24" s="27" t="n"/>
      <c r="K24" s="29" t="n"/>
      <c r="L24" s="30">
        <f>IF(SUM(F24:K24)=0,SUMIFS($L25:$L$999,$B25:$B$999,$B24,$A25:$A$999,$A24),I24*K24)</f>
        <v/>
      </c>
      <c r="M24" s="20" t="n"/>
      <c r="N24" s="31" t="n"/>
      <c r="O24" s="32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4" t="n"/>
      <c r="AJ24" s="20" t="n"/>
    </row>
    <row r="25">
      <c r="A25" s="35">
        <f>$A$24</f>
        <v/>
      </c>
      <c r="B25" s="35">
        <f>$B$24</f>
        <v/>
      </c>
      <c r="C25" s="35" t="inlineStr">
        <is>
          <t>SHP</t>
        </is>
      </c>
      <c r="D25" s="35" t="inlineStr">
        <is>
          <t>Sistema Hidráulico Preventivo (SHP)</t>
        </is>
      </c>
      <c r="E25" s="35" t="inlineStr">
        <is>
          <t>Tubo de cobre Ø2"</t>
        </is>
      </c>
      <c r="F25" s="36" t="n">
        <v>8</v>
      </c>
      <c r="G25" s="36" t="n">
        <v>1</v>
      </c>
      <c r="H25" s="36" t="n">
        <v>0</v>
      </c>
      <c r="I25" s="37">
        <f>(F25+H25*F25)*G25</f>
        <v/>
      </c>
      <c r="J25" s="36" t="inlineStr">
        <is>
          <t>m</t>
        </is>
      </c>
      <c r="K25" s="38" t="n">
        <v>315</v>
      </c>
      <c r="L25" s="39">
        <f>IF(SUM(F25:K25)=0,SUMIFS($L26:$L$999,$B26:$B$999,$B25,$A26:$A$999,$A25),I25*K25)</f>
        <v/>
      </c>
      <c r="M25" s="20" t="n"/>
      <c r="N25" s="40" t="n"/>
      <c r="O25" s="37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2" t="n"/>
      <c r="AJ25" s="20" t="n"/>
    </row>
    <row r="26">
      <c r="A26" s="35">
        <f>$A$24</f>
        <v/>
      </c>
      <c r="B26" s="35">
        <f>$B$24</f>
        <v/>
      </c>
      <c r="C26" s="35" t="inlineStr">
        <is>
          <t>HIDRANTE</t>
        </is>
      </c>
      <c r="D26" s="35" t="inlineStr">
        <is>
          <t>Sistema Hidráulico Preventivo (SHP)</t>
        </is>
      </c>
      <c r="E26" s="35" t="inlineStr">
        <is>
          <t>Hidrante com Mangotinho 30m 60x100cm</t>
        </is>
      </c>
      <c r="F26" s="36" t="n">
        <v>1</v>
      </c>
      <c r="G26" s="36" t="n">
        <v>1</v>
      </c>
      <c r="H26" s="36" t="n"/>
      <c r="I26" s="37">
        <f>(F26+H26*F26)*G26</f>
        <v/>
      </c>
      <c r="J26" s="36" t="inlineStr">
        <is>
          <t>pç</t>
        </is>
      </c>
      <c r="K26" s="38" t="n">
        <v>1128</v>
      </c>
      <c r="L26" s="39">
        <f>IF(SUM(F26:K26)=0,SUMIFS($L27:$L$999,$B27:$B$999,$B26,$A27:$A$999,$A26),I26*K26)</f>
        <v/>
      </c>
      <c r="M26" s="20" t="n"/>
      <c r="N26" s="40" t="n"/>
      <c r="O26" s="37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2" t="n"/>
      <c r="AJ26" s="20" t="n"/>
    </row>
    <row r="27">
      <c r="A27" s="35">
        <f>$A$24</f>
        <v/>
      </c>
      <c r="B27" s="35">
        <f>$B$24</f>
        <v/>
      </c>
      <c r="C27" s="35" t="inlineStr">
        <is>
          <t>EXTINTORES</t>
        </is>
      </c>
      <c r="D27" s="35" t="inlineStr">
        <is>
          <t>Sistema Preventivo por Extintores</t>
        </is>
      </c>
      <c r="E27" s="35" t="inlineStr">
        <is>
          <t>Extintor PQS 4Kg (2-A:20-B:C)</t>
        </is>
      </c>
      <c r="F27" s="36" t="n">
        <v>2</v>
      </c>
      <c r="G27" s="36" t="n">
        <v>1</v>
      </c>
      <c r="H27" s="36" t="n"/>
      <c r="I27" s="37">
        <f>(F27+H27*F27)*G27</f>
        <v/>
      </c>
      <c r="J27" s="36" t="inlineStr">
        <is>
          <t>pç</t>
        </is>
      </c>
      <c r="K27" s="38" t="n">
        <v>120</v>
      </c>
      <c r="L27" s="39">
        <f>IF(SUM(F27:K27)=0,SUMIFS($L28:$L$999,$B28:$B$999,$B27,$A28:$A$999,$A27),I27*K27)</f>
        <v/>
      </c>
      <c r="M27" s="20" t="n"/>
      <c r="N27" s="40" t="n"/>
      <c r="O27" s="37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2" t="n"/>
      <c r="AJ27" s="20" t="n"/>
    </row>
    <row r="28">
      <c r="A28" s="35">
        <f>$A$24</f>
        <v/>
      </c>
      <c r="B28" s="35">
        <f>$B$24</f>
        <v/>
      </c>
      <c r="C28" s="35" t="inlineStr">
        <is>
          <t>SINALIZAÇÃO</t>
        </is>
      </c>
      <c r="D28" s="35" t="inlineStr">
        <is>
          <t>Sinalização de Abandono de Local (SAL)</t>
        </is>
      </c>
      <c r="E28" s="35" t="inlineStr">
        <is>
          <t>Placa Indicativa - Número do Pavimento 200x100 mm</t>
        </is>
      </c>
      <c r="F28" s="36" t="n">
        <v>1</v>
      </c>
      <c r="G28" s="36" t="n">
        <v>1</v>
      </c>
      <c r="H28" s="36" t="n"/>
      <c r="I28" s="37">
        <f>(F28+H28*F28)*G28</f>
        <v/>
      </c>
      <c r="J28" s="36" t="inlineStr">
        <is>
          <t>pç</t>
        </is>
      </c>
      <c r="K28" s="38" t="n">
        <v>15</v>
      </c>
      <c r="L28" s="39">
        <f>IF(SUM(F28:K28)=0,SUMIFS($L29:$L$999,$B29:$B$999,$B28,$A29:$A$999,$A28),I28*K28)</f>
        <v/>
      </c>
      <c r="M28" s="20" t="n"/>
      <c r="N28" s="40" t="n"/>
      <c r="O28" s="37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2" t="n"/>
      <c r="AJ28" s="20" t="n"/>
    </row>
    <row r="29">
      <c r="A29" s="35">
        <f>$A$24</f>
        <v/>
      </c>
      <c r="B29" s="35">
        <f>$B$24</f>
        <v/>
      </c>
      <c r="C29" s="35" t="inlineStr">
        <is>
          <t>SINALIZAÇÃO</t>
        </is>
      </c>
      <c r="D29" s="35" t="inlineStr">
        <is>
          <t>Sinalização de Abandono de Local (SAL)</t>
        </is>
      </c>
      <c r="E29" s="35" t="inlineStr">
        <is>
          <t>Placa Indicativa - Elevador de Emergência 250x125 mm</t>
        </is>
      </c>
      <c r="F29" s="36" t="n">
        <v>1</v>
      </c>
      <c r="G29" s="36" t="n">
        <v>1</v>
      </c>
      <c r="H29" s="36" t="n"/>
      <c r="I29" s="37">
        <f>(F29+H29*F29)*G29</f>
        <v/>
      </c>
      <c r="J29" s="36" t="inlineStr">
        <is>
          <t>pç</t>
        </is>
      </c>
      <c r="K29" s="38" t="n">
        <v>15</v>
      </c>
      <c r="L29" s="39">
        <f>IF(SUM(F29:K29)=0,SUMIFS($L30:$L$999,$B30:$B$999,$B29,$A30:$A$999,$A29),I29*K29)</f>
        <v/>
      </c>
      <c r="M29" s="20" t="n"/>
      <c r="N29" s="40" t="n"/>
      <c r="O29" s="37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2" t="n"/>
      <c r="AJ29" s="20" t="n"/>
    </row>
    <row r="30">
      <c r="A30" s="24" t="inlineStr">
        <is>
          <t>TORRE A</t>
        </is>
      </c>
      <c r="B30" s="24" t="inlineStr">
        <is>
          <t>GARAGEM 03</t>
        </is>
      </c>
      <c r="C30" s="25" t="n"/>
      <c r="D30" s="26" t="n"/>
      <c r="E30" s="26" t="n"/>
      <c r="F30" s="27" t="n"/>
      <c r="G30" s="27" t="n"/>
      <c r="H30" s="27" t="n"/>
      <c r="I30" s="28" t="n"/>
      <c r="J30" s="27" t="n"/>
      <c r="K30" s="29" t="n"/>
      <c r="L30" s="30">
        <f>IF(SUM(F30:K30)=0,SUMIFS($L31:$L$999,$B31:$B$999,$B30,$A31:$A$999,$A30),I30*K30)</f>
        <v/>
      </c>
      <c r="M30" s="20" t="n"/>
      <c r="N30" s="31" t="n"/>
      <c r="O30" s="32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  <c r="AG30" s="33" t="n"/>
      <c r="AH30" s="33" t="n"/>
      <c r="AI30" s="34" t="n"/>
      <c r="AJ30" s="20" t="n"/>
    </row>
    <row r="31">
      <c r="A31" s="35">
        <f>$A$30</f>
        <v/>
      </c>
      <c r="B31" s="35">
        <f>$B$30</f>
        <v/>
      </c>
      <c r="C31" s="35" t="inlineStr">
        <is>
          <t>SHP</t>
        </is>
      </c>
      <c r="D31" s="35" t="inlineStr">
        <is>
          <t>Sistema Hidráulico Preventivo (SHP)</t>
        </is>
      </c>
      <c r="E31" s="35" t="inlineStr">
        <is>
          <t>Tubo de cobre Ø2"</t>
        </is>
      </c>
      <c r="F31" s="36" t="n">
        <v>8</v>
      </c>
      <c r="G31" s="36" t="n">
        <v>1</v>
      </c>
      <c r="H31" s="36" t="n">
        <v>0</v>
      </c>
      <c r="I31" s="37">
        <f>(F31+H31*F31)*G31</f>
        <v/>
      </c>
      <c r="J31" s="36" t="inlineStr">
        <is>
          <t>m</t>
        </is>
      </c>
      <c r="K31" s="38" t="n">
        <v>315</v>
      </c>
      <c r="L31" s="39">
        <f>IF(SUM(F31:K31)=0,SUMIFS($L32:$L$999,$B32:$B$999,$B31,$A32:$A$999,$A31),I31*K31)</f>
        <v/>
      </c>
      <c r="M31" s="20" t="n"/>
      <c r="N31" s="40" t="n"/>
      <c r="O31" s="37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2" t="n"/>
      <c r="AJ31" s="20" t="n"/>
    </row>
    <row r="32">
      <c r="A32" s="35">
        <f>$A$30</f>
        <v/>
      </c>
      <c r="B32" s="35">
        <f>$B$30</f>
        <v/>
      </c>
      <c r="C32" s="35" t="inlineStr">
        <is>
          <t>HIDRANTE</t>
        </is>
      </c>
      <c r="D32" s="35" t="inlineStr">
        <is>
          <t>Sistema Hidráulico Preventivo (SHP)</t>
        </is>
      </c>
      <c r="E32" s="35" t="inlineStr">
        <is>
          <t>Hidrante com Mangotinho 30m 60x100cm</t>
        </is>
      </c>
      <c r="F32" s="36" t="n">
        <v>1</v>
      </c>
      <c r="G32" s="36" t="n">
        <v>1</v>
      </c>
      <c r="H32" s="36" t="n"/>
      <c r="I32" s="37">
        <f>(F32+H32*F32)*G32</f>
        <v/>
      </c>
      <c r="J32" s="36" t="inlineStr">
        <is>
          <t>pç</t>
        </is>
      </c>
      <c r="K32" s="38" t="n">
        <v>1128</v>
      </c>
      <c r="L32" s="39">
        <f>IF(SUM(F32:K32)=0,SUMIFS($L33:$L$999,$B33:$B$999,$B32,$A33:$A$999,$A32),I32*K32)</f>
        <v/>
      </c>
      <c r="M32" s="20" t="n"/>
      <c r="N32" s="40" t="n"/>
      <c r="O32" s="37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2" t="n"/>
      <c r="AJ32" s="20" t="n"/>
    </row>
    <row r="33">
      <c r="A33" s="35">
        <f>$A$30</f>
        <v/>
      </c>
      <c r="B33" s="35">
        <f>$B$30</f>
        <v/>
      </c>
      <c r="C33" s="35" t="inlineStr">
        <is>
          <t>EXTINTORES</t>
        </is>
      </c>
      <c r="D33" s="35" t="inlineStr">
        <is>
          <t>Sistema Preventivo por Extintores</t>
        </is>
      </c>
      <c r="E33" s="35" t="inlineStr">
        <is>
          <t>Extintor PQS 4Kg (2-A:20-B:C)</t>
        </is>
      </c>
      <c r="F33" s="36" t="n">
        <v>2</v>
      </c>
      <c r="G33" s="36" t="n">
        <v>1</v>
      </c>
      <c r="H33" s="36" t="n"/>
      <c r="I33" s="37">
        <f>(F33+H33*F33)*G33</f>
        <v/>
      </c>
      <c r="J33" s="36" t="inlineStr">
        <is>
          <t>pç</t>
        </is>
      </c>
      <c r="K33" s="38" t="n">
        <v>120</v>
      </c>
      <c r="L33" s="39">
        <f>IF(SUM(F33:K33)=0,SUMIFS($L34:$L$999,$B34:$B$999,$B33,$A34:$A$999,$A33),I33*K33)</f>
        <v/>
      </c>
      <c r="M33" s="20" t="n"/>
      <c r="N33" s="40" t="n"/>
      <c r="O33" s="37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2" t="n"/>
      <c r="AJ33" s="20" t="n"/>
    </row>
    <row r="34">
      <c r="A34" s="35">
        <f>$A$30</f>
        <v/>
      </c>
      <c r="B34" s="35">
        <f>$B$30</f>
        <v/>
      </c>
      <c r="C34" s="35" t="inlineStr">
        <is>
          <t>SINALIZAÇÃO</t>
        </is>
      </c>
      <c r="D34" s="35" t="inlineStr">
        <is>
          <t>Sinalização de Abandono de Local (SAL)</t>
        </is>
      </c>
      <c r="E34" s="35" t="inlineStr">
        <is>
          <t>Placa Indicativa - Número do Pavimento 200x100 mm</t>
        </is>
      </c>
      <c r="F34" s="36" t="n">
        <v>1</v>
      </c>
      <c r="G34" s="36" t="n">
        <v>1</v>
      </c>
      <c r="H34" s="36" t="n"/>
      <c r="I34" s="37">
        <f>(F34+H34*F34)*G34</f>
        <v/>
      </c>
      <c r="J34" s="36" t="inlineStr">
        <is>
          <t>pç</t>
        </is>
      </c>
      <c r="K34" s="38" t="n">
        <v>15</v>
      </c>
      <c r="L34" s="39">
        <f>IF(SUM(F34:K34)=0,SUMIFS($L35:$L$999,$B35:$B$999,$B34,$A35:$A$999,$A34),I34*K34)</f>
        <v/>
      </c>
      <c r="M34" s="20" t="n"/>
      <c r="N34" s="40" t="n"/>
      <c r="O34" s="37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2" t="n"/>
      <c r="AJ34" s="20" t="n"/>
    </row>
    <row r="35">
      <c r="A35" s="35">
        <f>$A$30</f>
        <v/>
      </c>
      <c r="B35" s="35">
        <f>$B$30</f>
        <v/>
      </c>
      <c r="C35" s="35" t="inlineStr">
        <is>
          <t>SINALIZAÇÃO</t>
        </is>
      </c>
      <c r="D35" s="35" t="inlineStr">
        <is>
          <t>Sinalização de Abandono de Local (SAL)</t>
        </is>
      </c>
      <c r="E35" s="35" t="inlineStr">
        <is>
          <t>Placa Indicativa - Elevador de Emergência 250x125 mm</t>
        </is>
      </c>
      <c r="F35" s="36" t="n">
        <v>1</v>
      </c>
      <c r="G35" s="36" t="n">
        <v>1</v>
      </c>
      <c r="H35" s="36" t="n"/>
      <c r="I35" s="37">
        <f>(F35+H35*F35)*G35</f>
        <v/>
      </c>
      <c r="J35" s="36" t="inlineStr">
        <is>
          <t>pç</t>
        </is>
      </c>
      <c r="K35" s="38" t="n">
        <v>15</v>
      </c>
      <c r="L35" s="39">
        <f>IF(SUM(F35:K35)=0,SUMIFS($L36:$L$999,$B36:$B$999,$B35,$A36:$A$999,$A35),I35*K35)</f>
        <v/>
      </c>
      <c r="M35" s="20" t="n"/>
      <c r="N35" s="40" t="n"/>
      <c r="O35" s="37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2" t="n"/>
      <c r="AJ35" s="20" t="n"/>
    </row>
    <row r="36">
      <c r="A36" s="24" t="inlineStr">
        <is>
          <t>TORRE A</t>
        </is>
      </c>
      <c r="B36" s="24" t="inlineStr">
        <is>
          <t>GARAGEM 04</t>
        </is>
      </c>
      <c r="C36" s="25" t="n"/>
      <c r="D36" s="26" t="n"/>
      <c r="E36" s="26" t="n"/>
      <c r="F36" s="27" t="n"/>
      <c r="G36" s="27" t="n"/>
      <c r="H36" s="27" t="n"/>
      <c r="I36" s="28" t="n"/>
      <c r="J36" s="27" t="n"/>
      <c r="K36" s="29" t="n"/>
      <c r="L36" s="30">
        <f>IF(SUM(F36:K36)=0,SUMIFS($L37:$L$999,$B37:$B$999,$B36,$A37:$A$999,$A36),I36*K36)</f>
        <v/>
      </c>
      <c r="M36" s="20" t="n"/>
      <c r="N36" s="31" t="n"/>
      <c r="O36" s="32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4" t="n"/>
      <c r="AJ36" s="20" t="n"/>
    </row>
    <row r="37">
      <c r="A37" s="35">
        <f>$A$36</f>
        <v/>
      </c>
      <c r="B37" s="35">
        <f>$B$36</f>
        <v/>
      </c>
      <c r="C37" s="35" t="inlineStr">
        <is>
          <t>SHP</t>
        </is>
      </c>
      <c r="D37" s="35" t="inlineStr">
        <is>
          <t>Sistema Hidráulico Preventivo (SHP)</t>
        </is>
      </c>
      <c r="E37" s="35" t="inlineStr">
        <is>
          <t>Tubo de cobre Ø2"</t>
        </is>
      </c>
      <c r="F37" s="36" t="n">
        <v>8</v>
      </c>
      <c r="G37" s="36" t="n">
        <v>1</v>
      </c>
      <c r="H37" s="36" t="n">
        <v>0</v>
      </c>
      <c r="I37" s="37">
        <f>(F37+H37*F37)*G37</f>
        <v/>
      </c>
      <c r="J37" s="36" t="inlineStr">
        <is>
          <t>m</t>
        </is>
      </c>
      <c r="K37" s="38" t="n">
        <v>315</v>
      </c>
      <c r="L37" s="39">
        <f>IF(SUM(F37:K37)=0,SUMIFS($L38:$L$999,$B38:$B$999,$B37,$A38:$A$999,$A37),I37*K37)</f>
        <v/>
      </c>
      <c r="M37" s="20" t="n"/>
      <c r="N37" s="40" t="n"/>
      <c r="O37" s="37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2" t="n"/>
      <c r="AJ37" s="20" t="n"/>
    </row>
    <row r="38">
      <c r="A38" s="35">
        <f>$A$36</f>
        <v/>
      </c>
      <c r="B38" s="35">
        <f>$B$36</f>
        <v/>
      </c>
      <c r="C38" s="35" t="inlineStr">
        <is>
          <t>HIDRANTE</t>
        </is>
      </c>
      <c r="D38" s="35" t="inlineStr">
        <is>
          <t>Sistema Hidráulico Preventivo (SHP)</t>
        </is>
      </c>
      <c r="E38" s="35" t="inlineStr">
        <is>
          <t>Hidrante com Mangotinho 30m 60x100cm</t>
        </is>
      </c>
      <c r="F38" s="36" t="n">
        <v>1</v>
      </c>
      <c r="G38" s="36" t="n">
        <v>1</v>
      </c>
      <c r="H38" s="36" t="n"/>
      <c r="I38" s="37">
        <f>(F38+H38*F38)*G38</f>
        <v/>
      </c>
      <c r="J38" s="36" t="inlineStr">
        <is>
          <t>pç</t>
        </is>
      </c>
      <c r="K38" s="38" t="n">
        <v>1128</v>
      </c>
      <c r="L38" s="39">
        <f>IF(SUM(F38:K38)=0,SUMIFS($L39:$L$999,$B39:$B$999,$B38,$A39:$A$999,$A38),I38*K38)</f>
        <v/>
      </c>
      <c r="M38" s="20" t="n"/>
      <c r="N38" s="40" t="n"/>
      <c r="O38" s="37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2" t="n"/>
      <c r="AJ38" s="20" t="n"/>
    </row>
    <row r="39">
      <c r="A39" s="35">
        <f>$A$36</f>
        <v/>
      </c>
      <c r="B39" s="35">
        <f>$B$36</f>
        <v/>
      </c>
      <c r="C39" s="35" t="inlineStr">
        <is>
          <t>EXTINTORES</t>
        </is>
      </c>
      <c r="D39" s="35" t="inlineStr">
        <is>
          <t>Sistema Preventivo por Extintores</t>
        </is>
      </c>
      <c r="E39" s="35" t="inlineStr">
        <is>
          <t>Extintor PQS 4Kg (2-A:20-B:C)</t>
        </is>
      </c>
      <c r="F39" s="36" t="n">
        <v>2</v>
      </c>
      <c r="G39" s="36" t="n">
        <v>1</v>
      </c>
      <c r="H39" s="36" t="n"/>
      <c r="I39" s="37">
        <f>(F39+H39*F39)*G39</f>
        <v/>
      </c>
      <c r="J39" s="36" t="inlineStr">
        <is>
          <t>pç</t>
        </is>
      </c>
      <c r="K39" s="38" t="n">
        <v>120</v>
      </c>
      <c r="L39" s="39">
        <f>IF(SUM(F39:K39)=0,SUMIFS($L40:$L$999,$B40:$B$999,$B39,$A40:$A$999,$A39),I39*K39)</f>
        <v/>
      </c>
      <c r="M39" s="20" t="n"/>
      <c r="N39" s="40" t="n"/>
      <c r="O39" s="37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2" t="n"/>
      <c r="AJ39" s="20" t="n"/>
    </row>
    <row r="40">
      <c r="A40" s="35">
        <f>$A$36</f>
        <v/>
      </c>
      <c r="B40" s="35">
        <f>$B$36</f>
        <v/>
      </c>
      <c r="C40" s="35" t="inlineStr">
        <is>
          <t>SINALIZAÇÃO</t>
        </is>
      </c>
      <c r="D40" s="35" t="inlineStr">
        <is>
          <t>Sinalização de Abandono de Local (SAL)</t>
        </is>
      </c>
      <c r="E40" s="35" t="inlineStr">
        <is>
          <t>Placa Indicativa - Número do Pavimento 200x100 mm</t>
        </is>
      </c>
      <c r="F40" s="36" t="n">
        <v>1</v>
      </c>
      <c r="G40" s="36" t="n">
        <v>1</v>
      </c>
      <c r="H40" s="36" t="n"/>
      <c r="I40" s="37">
        <f>(F40+H40*F40)*G40</f>
        <v/>
      </c>
      <c r="J40" s="36" t="inlineStr">
        <is>
          <t>pç</t>
        </is>
      </c>
      <c r="K40" s="38" t="n">
        <v>15</v>
      </c>
      <c r="L40" s="39">
        <f>IF(SUM(F40:K40)=0,SUMIFS($L41:$L$999,$B41:$B$999,$B40,$A41:$A$999,$A40),I40*K40)</f>
        <v/>
      </c>
      <c r="M40" s="20" t="n"/>
      <c r="N40" s="40" t="n"/>
      <c r="O40" s="37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2" t="n"/>
      <c r="AJ40" s="20" t="n"/>
    </row>
    <row r="41">
      <c r="A41" s="35">
        <f>$A$36</f>
        <v/>
      </c>
      <c r="B41" s="35">
        <f>$B$36</f>
        <v/>
      </c>
      <c r="C41" s="35" t="inlineStr">
        <is>
          <t>SINALIZAÇÃO</t>
        </is>
      </c>
      <c r="D41" s="35" t="inlineStr">
        <is>
          <t>Sinalização de Abandono de Local (SAL)</t>
        </is>
      </c>
      <c r="E41" s="35" t="inlineStr">
        <is>
          <t>Placa Indicativa - Elevador de Emergência 250x125 mm</t>
        </is>
      </c>
      <c r="F41" s="36" t="n">
        <v>1</v>
      </c>
      <c r="G41" s="36" t="n">
        <v>1</v>
      </c>
      <c r="H41" s="36" t="n"/>
      <c r="I41" s="37">
        <f>(F41+H41*F41)*G41</f>
        <v/>
      </c>
      <c r="J41" s="36" t="inlineStr">
        <is>
          <t>pç</t>
        </is>
      </c>
      <c r="K41" s="38" t="n">
        <v>15</v>
      </c>
      <c r="L41" s="39">
        <f>IF(SUM(F41:K41)=0,SUMIFS($L42:$L$999,$B42:$B$999,$B41,$A42:$A$999,$A41),I41*K41)</f>
        <v/>
      </c>
      <c r="M41" s="20" t="n"/>
      <c r="N41" s="40" t="n"/>
      <c r="O41" s="37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2" t="n"/>
      <c r="AJ41" s="20" t="n"/>
    </row>
    <row r="42">
      <c r="A42" s="24" t="inlineStr">
        <is>
          <t>TORRE A</t>
        </is>
      </c>
      <c r="B42" s="24" t="inlineStr">
        <is>
          <t>GARAGEM 05</t>
        </is>
      </c>
      <c r="C42" s="25" t="n"/>
      <c r="D42" s="26" t="n"/>
      <c r="E42" s="26" t="n"/>
      <c r="F42" s="27" t="n"/>
      <c r="G42" s="27" t="n"/>
      <c r="H42" s="27" t="n"/>
      <c r="I42" s="28" t="n"/>
      <c r="J42" s="27" t="n"/>
      <c r="K42" s="29" t="n"/>
      <c r="L42" s="30">
        <f>IF(SUM(F42:K42)=0,SUMIFS($L43:$L$999,$B43:$B$999,$B42,$A43:$A$999,$A42),I42*K42)</f>
        <v/>
      </c>
      <c r="M42" s="20" t="n"/>
      <c r="N42" s="31" t="n"/>
      <c r="O42" s="32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4" t="n"/>
      <c r="AJ42" s="20" t="n"/>
    </row>
    <row r="43">
      <c r="A43" s="35">
        <f>$A$42</f>
        <v/>
      </c>
      <c r="B43" s="35">
        <f>$B$42</f>
        <v/>
      </c>
      <c r="C43" s="35" t="inlineStr">
        <is>
          <t>SHP</t>
        </is>
      </c>
      <c r="D43" s="35" t="inlineStr">
        <is>
          <t>Sistema Hidráulico Preventivo (SHP)</t>
        </is>
      </c>
      <c r="E43" s="35" t="inlineStr">
        <is>
          <t>Tubo de cobre Ø2"</t>
        </is>
      </c>
      <c r="F43" s="36" t="n">
        <v>15</v>
      </c>
      <c r="G43" s="36" t="n">
        <v>1</v>
      </c>
      <c r="H43" s="36" t="n">
        <v>0</v>
      </c>
      <c r="I43" s="37">
        <f>(F43+H43*F43)*G43</f>
        <v/>
      </c>
      <c r="J43" s="36" t="inlineStr">
        <is>
          <t>m</t>
        </is>
      </c>
      <c r="K43" s="38" t="n">
        <v>315</v>
      </c>
      <c r="L43" s="39">
        <f>IF(SUM(F43:K43)=0,SUMIFS($L44:$L$999,$B44:$B$999,$B43,$A44:$A$999,$A43),I43*K43)</f>
        <v/>
      </c>
      <c r="M43" s="20" t="n"/>
      <c r="N43" s="40" t="n"/>
      <c r="O43" s="37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2" t="n"/>
      <c r="AJ43" s="20" t="n"/>
    </row>
    <row r="44">
      <c r="A44" s="35">
        <f>$A$42</f>
        <v/>
      </c>
      <c r="B44" s="35">
        <f>$B$42</f>
        <v/>
      </c>
      <c r="C44" s="35" t="inlineStr">
        <is>
          <t>SHP</t>
        </is>
      </c>
      <c r="D44" s="35" t="inlineStr">
        <is>
          <t>Sistema Hidráulico Preventivo (SHP)</t>
        </is>
      </c>
      <c r="E44" s="35" t="inlineStr">
        <is>
          <t>Joelho 90° Cobre Ø2"</t>
        </is>
      </c>
      <c r="F44" s="36" t="n">
        <v>1</v>
      </c>
      <c r="G44" s="36" t="n">
        <v>1</v>
      </c>
      <c r="H44" s="36" t="n">
        <v>0</v>
      </c>
      <c r="I44" s="37">
        <f>(F44+H44*F44)*G44</f>
        <v/>
      </c>
      <c r="J44" s="36" t="inlineStr">
        <is>
          <t>pç</t>
        </is>
      </c>
      <c r="K44" s="38" t="n">
        <v>38</v>
      </c>
      <c r="L44" s="39">
        <f>IF(SUM(F44:K44)=0,SUMIFS($L45:$L$999,$B45:$B$999,$B44,$A45:$A$999,$A44),I44*K44)</f>
        <v/>
      </c>
      <c r="M44" s="20" t="n"/>
      <c r="N44" s="40" t="n"/>
      <c r="O44" s="37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2" t="n"/>
      <c r="AJ44" s="20" t="n"/>
    </row>
    <row r="45">
      <c r="A45" s="35">
        <f>$A$42</f>
        <v/>
      </c>
      <c r="B45" s="35">
        <f>$B$42</f>
        <v/>
      </c>
      <c r="C45" s="35" t="inlineStr">
        <is>
          <t>SHP</t>
        </is>
      </c>
      <c r="D45" s="35" t="inlineStr">
        <is>
          <t>Sistema Hidráulico Preventivo (SHP)</t>
        </is>
      </c>
      <c r="E45" s="35" t="inlineStr">
        <is>
          <t>Tê Cobre Ø2"</t>
        </is>
      </c>
      <c r="F45" s="36" t="n">
        <v>1</v>
      </c>
      <c r="G45" s="36" t="n">
        <v>1</v>
      </c>
      <c r="H45" s="36" t="n">
        <v>0</v>
      </c>
      <c r="I45" s="37">
        <f>(F45+H45*F45)*G45</f>
        <v/>
      </c>
      <c r="J45" s="36" t="inlineStr">
        <is>
          <t>pç</t>
        </is>
      </c>
      <c r="K45" s="38" t="n">
        <v>98</v>
      </c>
      <c r="L45" s="39">
        <f>IF(SUM(F45:K45)=0,SUMIFS($L46:$L$999,$B46:$B$999,$B45,$A46:$A$999,$A45),I45*K45)</f>
        <v/>
      </c>
      <c r="M45" s="20" t="n"/>
      <c r="N45" s="40" t="n"/>
      <c r="O45" s="37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2" t="n"/>
      <c r="AJ45" s="20" t="n"/>
    </row>
    <row r="46">
      <c r="A46" s="35">
        <f>$A$42</f>
        <v/>
      </c>
      <c r="B46" s="35">
        <f>$B$42</f>
        <v/>
      </c>
      <c r="C46" s="35" t="inlineStr">
        <is>
          <t>HIDRANTE</t>
        </is>
      </c>
      <c r="D46" s="35" t="inlineStr">
        <is>
          <t>Sistema Hidráulico Preventivo (SHP)</t>
        </is>
      </c>
      <c r="E46" s="35" t="inlineStr">
        <is>
          <t>Hidrante com Mangotinho 30m 60x100cm</t>
        </is>
      </c>
      <c r="F46" s="36" t="n">
        <v>1</v>
      </c>
      <c r="G46" s="36" t="n">
        <v>1</v>
      </c>
      <c r="H46" s="36" t="n"/>
      <c r="I46" s="37">
        <f>(F46+H46*F46)*G46</f>
        <v/>
      </c>
      <c r="J46" s="36" t="inlineStr">
        <is>
          <t>pç</t>
        </is>
      </c>
      <c r="K46" s="38" t="n">
        <v>1128</v>
      </c>
      <c r="L46" s="39">
        <f>IF(SUM(F46:K46)=0,SUMIFS($L47:$L$999,$B47:$B$999,$B46,$A47:$A$999,$A46),I46*K46)</f>
        <v/>
      </c>
      <c r="M46" s="20" t="n"/>
      <c r="N46" s="40" t="n"/>
      <c r="O46" s="37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2" t="n"/>
      <c r="AJ46" s="20" t="n"/>
    </row>
    <row r="47">
      <c r="A47" s="35">
        <f>$A$42</f>
        <v/>
      </c>
      <c r="B47" s="35">
        <f>$B$42</f>
        <v/>
      </c>
      <c r="C47" s="35" t="inlineStr">
        <is>
          <t>EXTINTORES</t>
        </is>
      </c>
      <c r="D47" s="35" t="inlineStr">
        <is>
          <t>Sistema Preventivo por Extintores</t>
        </is>
      </c>
      <c r="E47" s="35" t="inlineStr">
        <is>
          <t>Extintor PQS 4Kg (2-A:20-B:C)</t>
        </is>
      </c>
      <c r="F47" s="36" t="n">
        <v>2</v>
      </c>
      <c r="G47" s="36" t="n">
        <v>1</v>
      </c>
      <c r="H47" s="36" t="n"/>
      <c r="I47" s="37">
        <f>(F47+H47*F47)*G47</f>
        <v/>
      </c>
      <c r="J47" s="36" t="inlineStr">
        <is>
          <t>pç</t>
        </is>
      </c>
      <c r="K47" s="38" t="n">
        <v>120</v>
      </c>
      <c r="L47" s="39">
        <f>IF(SUM(F47:K47)=0,SUMIFS($L48:$L$999,$B48:$B$999,$B47,$A48:$A$999,$A47),I47*K47)</f>
        <v/>
      </c>
      <c r="M47" s="20" t="n"/>
      <c r="N47" s="40" t="n"/>
      <c r="O47" s="37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2" t="n"/>
      <c r="AJ47" s="20" t="n"/>
    </row>
    <row r="48">
      <c r="A48" s="35">
        <f>$A$42</f>
        <v/>
      </c>
      <c r="B48" s="35">
        <f>$B$42</f>
        <v/>
      </c>
      <c r="C48" s="35" t="inlineStr">
        <is>
          <t>SINALIZAÇÃO</t>
        </is>
      </c>
      <c r="D48" s="35" t="inlineStr">
        <is>
          <t>Sinalização de Abandono de Local (SAL)</t>
        </is>
      </c>
      <c r="E48" s="35" t="inlineStr">
        <is>
          <t>Placa Indicativa - Número do Pavimento 200x100 mm</t>
        </is>
      </c>
      <c r="F48" s="36" t="n">
        <v>1</v>
      </c>
      <c r="G48" s="36" t="n">
        <v>1</v>
      </c>
      <c r="H48" s="36" t="n"/>
      <c r="I48" s="37">
        <f>(F48+H48*F48)*G48</f>
        <v/>
      </c>
      <c r="J48" s="36" t="inlineStr">
        <is>
          <t>pç</t>
        </is>
      </c>
      <c r="K48" s="38" t="n">
        <v>15</v>
      </c>
      <c r="L48" s="39">
        <f>IF(SUM(F48:K48)=0,SUMIFS($L49:$L$999,$B49:$B$999,$B48,$A49:$A$999,$A48),I48*K48)</f>
        <v/>
      </c>
      <c r="M48" s="20" t="n"/>
      <c r="N48" s="40" t="n"/>
      <c r="O48" s="37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2" t="n"/>
      <c r="AJ48" s="20" t="n"/>
    </row>
    <row r="49">
      <c r="A49" s="35">
        <f>$A$42</f>
        <v/>
      </c>
      <c r="B49" s="35">
        <f>$B$42</f>
        <v/>
      </c>
      <c r="C49" s="35" t="inlineStr">
        <is>
          <t>SINALIZAÇÃO</t>
        </is>
      </c>
      <c r="D49" s="35" t="inlineStr">
        <is>
          <t>Sinalização de Abandono de Local (SAL)</t>
        </is>
      </c>
      <c r="E49" s="35" t="inlineStr">
        <is>
          <t>Placa Indicativa - Elevador de Emergência 250x125 mm</t>
        </is>
      </c>
      <c r="F49" s="36" t="n">
        <v>1</v>
      </c>
      <c r="G49" s="36" t="n">
        <v>1</v>
      </c>
      <c r="H49" s="36" t="n"/>
      <c r="I49" s="37">
        <f>(F49+H49*F49)*G49</f>
        <v/>
      </c>
      <c r="J49" s="36" t="inlineStr">
        <is>
          <t>pç</t>
        </is>
      </c>
      <c r="K49" s="38" t="n">
        <v>15</v>
      </c>
      <c r="L49" s="39">
        <f>IF(SUM(F49:K49)=0,SUMIFS($L50:$L$999,$B50:$B$999,$B49,$A50:$A$999,$A49),I49*K49)</f>
        <v/>
      </c>
      <c r="M49" s="20" t="n"/>
      <c r="N49" s="40" t="n"/>
      <c r="O49" s="37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2" t="n"/>
      <c r="AJ49" s="20" t="n"/>
    </row>
    <row r="50">
      <c r="A50" s="24" t="inlineStr">
        <is>
          <t>TORRE A</t>
        </is>
      </c>
      <c r="B50" s="24" t="inlineStr">
        <is>
          <t>LAZER</t>
        </is>
      </c>
      <c r="C50" s="25" t="n"/>
      <c r="D50" s="26" t="n"/>
      <c r="E50" s="26" t="n"/>
      <c r="F50" s="27" t="n"/>
      <c r="G50" s="27" t="n"/>
      <c r="H50" s="27" t="n"/>
      <c r="I50" s="28" t="n"/>
      <c r="J50" s="27" t="n"/>
      <c r="K50" s="29" t="n"/>
      <c r="L50" s="30">
        <f>IF(SUM(F50:K50)=0,SUMIFS($L51:$L$999,$B51:$B$999,$B50,$A51:$A$999,$A50),I50*K50)</f>
        <v/>
      </c>
      <c r="M50" s="20" t="n"/>
      <c r="N50" s="31" t="n"/>
      <c r="O50" s="32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4" t="n"/>
      <c r="AJ50" s="20" t="n"/>
    </row>
    <row r="51">
      <c r="A51" s="35">
        <f>$A$50</f>
        <v/>
      </c>
      <c r="B51" s="35">
        <f>$B$50</f>
        <v/>
      </c>
      <c r="C51" s="35" t="inlineStr">
        <is>
          <t>SHP</t>
        </is>
      </c>
      <c r="D51" s="35" t="inlineStr">
        <is>
          <t>Sistema Hidráulico Preventivo (SHP)</t>
        </is>
      </c>
      <c r="E51" s="35" t="inlineStr">
        <is>
          <t>Tubo de cobre Ø2"</t>
        </is>
      </c>
      <c r="F51" s="36" t="n">
        <v>10</v>
      </c>
      <c r="G51" s="36" t="n">
        <v>1</v>
      </c>
      <c r="H51" s="36" t="n">
        <v>0</v>
      </c>
      <c r="I51" s="37">
        <f>(F51+H51*F51)*G51</f>
        <v/>
      </c>
      <c r="J51" s="36" t="inlineStr">
        <is>
          <t>m</t>
        </is>
      </c>
      <c r="K51" s="38" t="n">
        <v>315</v>
      </c>
      <c r="L51" s="39">
        <f>IF(SUM(F51:K51)=0,SUMIFS($L52:$L$999,$B52:$B$999,$B51,$A52:$A$999,$A51),I51*K51)</f>
        <v/>
      </c>
      <c r="M51" s="20" t="n"/>
      <c r="N51" s="40" t="n"/>
      <c r="O51" s="37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2" t="n"/>
      <c r="AJ51" s="20" t="n"/>
    </row>
    <row r="52">
      <c r="A52" s="35">
        <f>$A$50</f>
        <v/>
      </c>
      <c r="B52" s="35">
        <f>$B$50</f>
        <v/>
      </c>
      <c r="C52" s="35" t="inlineStr">
        <is>
          <t>SHP</t>
        </is>
      </c>
      <c r="D52" s="35" t="inlineStr">
        <is>
          <t>Sistema Hidráulico Preventivo (SHP)</t>
        </is>
      </c>
      <c r="E52" s="35" t="inlineStr">
        <is>
          <t>Joelho 90° Cobre Ø2"</t>
        </is>
      </c>
      <c r="F52" s="36" t="n">
        <v>1</v>
      </c>
      <c r="G52" s="36" t="n">
        <v>1</v>
      </c>
      <c r="H52" s="36" t="n">
        <v>0</v>
      </c>
      <c r="I52" s="37">
        <f>(F52+H52*F52)*G52</f>
        <v/>
      </c>
      <c r="J52" s="36" t="inlineStr">
        <is>
          <t>pç</t>
        </is>
      </c>
      <c r="K52" s="38" t="n">
        <v>38</v>
      </c>
      <c r="L52" s="39">
        <f>IF(SUM(F52:K52)=0,SUMIFS($L53:$L$999,$B53:$B$999,$B52,$A53:$A$999,$A52),I52*K52)</f>
        <v/>
      </c>
      <c r="M52" s="20" t="n"/>
      <c r="N52" s="40" t="n"/>
      <c r="O52" s="37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2" t="n"/>
      <c r="AJ52" s="20" t="n"/>
    </row>
    <row r="53">
      <c r="A53" s="35">
        <f>$A$50</f>
        <v/>
      </c>
      <c r="B53" s="35">
        <f>$B$50</f>
        <v/>
      </c>
      <c r="C53" s="35" t="inlineStr">
        <is>
          <t>SHP</t>
        </is>
      </c>
      <c r="D53" s="35" t="inlineStr">
        <is>
          <t>Sistema Hidráulico Preventivo (SHP)</t>
        </is>
      </c>
      <c r="E53" s="35" t="inlineStr">
        <is>
          <t>Tê Cobre Ø2"</t>
        </is>
      </c>
      <c r="F53" s="36" t="n">
        <v>1</v>
      </c>
      <c r="G53" s="36" t="n">
        <v>1</v>
      </c>
      <c r="H53" s="36" t="n">
        <v>0</v>
      </c>
      <c r="I53" s="37">
        <f>(F53+H53*F53)*G53</f>
        <v/>
      </c>
      <c r="J53" s="36" t="inlineStr">
        <is>
          <t>pç</t>
        </is>
      </c>
      <c r="K53" s="38" t="n">
        <v>98</v>
      </c>
      <c r="L53" s="39">
        <f>IF(SUM(F53:K53)=0,SUMIFS($L54:$L$999,$B54:$B$999,$B53,$A54:$A$999,$A53),I53*K53)</f>
        <v/>
      </c>
      <c r="M53" s="20" t="n"/>
      <c r="N53" s="40" t="n"/>
      <c r="O53" s="37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2" t="n"/>
      <c r="AJ53" s="20" t="n"/>
    </row>
    <row r="54">
      <c r="A54" s="35">
        <f>$A$50</f>
        <v/>
      </c>
      <c r="B54" s="35">
        <f>$B$50</f>
        <v/>
      </c>
      <c r="C54" s="35" t="inlineStr">
        <is>
          <t>HIDRANTE</t>
        </is>
      </c>
      <c r="D54" s="35" t="inlineStr">
        <is>
          <t>Sistema Hidráulico Preventivo (SHP)</t>
        </is>
      </c>
      <c r="E54" s="35" t="inlineStr">
        <is>
          <t>Hidrante com Mangotinho 30m 60x100cm</t>
        </is>
      </c>
      <c r="F54" s="36" t="n">
        <v>2</v>
      </c>
      <c r="G54" s="36" t="n">
        <v>1</v>
      </c>
      <c r="H54" s="36" t="n"/>
      <c r="I54" s="37">
        <f>(F54+H54*F54)*G54</f>
        <v/>
      </c>
      <c r="J54" s="36" t="inlineStr">
        <is>
          <t>pç</t>
        </is>
      </c>
      <c r="K54" s="38" t="n">
        <v>1128</v>
      </c>
      <c r="L54" s="39">
        <f>IF(SUM(F54:K54)=0,SUMIFS($L55:$L$999,$B55:$B$999,$B54,$A55:$A$999,$A54),I54*K54)</f>
        <v/>
      </c>
      <c r="M54" s="20" t="n"/>
      <c r="N54" s="40" t="n"/>
      <c r="O54" s="37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2" t="n"/>
      <c r="AJ54" s="20" t="n"/>
    </row>
    <row r="55">
      <c r="A55" s="35">
        <f>$A$50</f>
        <v/>
      </c>
      <c r="B55" s="35">
        <f>$B$50</f>
        <v/>
      </c>
      <c r="C55" s="35" t="inlineStr">
        <is>
          <t>EXTINTORES</t>
        </is>
      </c>
      <c r="D55" s="35" t="inlineStr">
        <is>
          <t>Sistema Preventivo por Extintores</t>
        </is>
      </c>
      <c r="E55" s="35" t="inlineStr">
        <is>
          <t>Extintor PQS 4Kg (2-A:20-B:C)</t>
        </is>
      </c>
      <c r="F55" s="36" t="n">
        <v>2</v>
      </c>
      <c r="G55" s="36" t="n">
        <v>1</v>
      </c>
      <c r="H55" s="36" t="n"/>
      <c r="I55" s="37">
        <f>(F55+H55*F55)*G55</f>
        <v/>
      </c>
      <c r="J55" s="36" t="inlineStr">
        <is>
          <t>pç</t>
        </is>
      </c>
      <c r="K55" s="38" t="n">
        <v>120</v>
      </c>
      <c r="L55" s="39">
        <f>IF(SUM(F55:K55)=0,SUMIFS($L56:$L$999,$B56:$B$999,$B55,$A56:$A$999,$A55),I55*K55)</f>
        <v/>
      </c>
      <c r="M55" s="20" t="n"/>
      <c r="N55" s="40" t="n"/>
      <c r="O55" s="37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2" t="n"/>
      <c r="AJ55" s="20" t="n"/>
    </row>
    <row r="56">
      <c r="A56" s="35">
        <f>$A$50</f>
        <v/>
      </c>
      <c r="B56" s="35">
        <f>$B$50</f>
        <v/>
      </c>
      <c r="C56" s="35" t="inlineStr">
        <is>
          <t>SINALIZAÇÃO</t>
        </is>
      </c>
      <c r="D56" s="35" t="inlineStr">
        <is>
          <t>Sinalização de Abandono de Local (SAL)</t>
        </is>
      </c>
      <c r="E56" s="35" t="inlineStr">
        <is>
          <t>Placa Indicativa - Número do Pavimento 200x100 mm</t>
        </is>
      </c>
      <c r="F56" s="36" t="n">
        <v>1</v>
      </c>
      <c r="G56" s="36" t="n">
        <v>1</v>
      </c>
      <c r="H56" s="36" t="n"/>
      <c r="I56" s="37">
        <f>(F56+H56*F56)*G56</f>
        <v/>
      </c>
      <c r="J56" s="36" t="inlineStr">
        <is>
          <t>pç</t>
        </is>
      </c>
      <c r="K56" s="38" t="n">
        <v>15</v>
      </c>
      <c r="L56" s="39">
        <f>IF(SUM(F56:K56)=0,SUMIFS($L57:$L$999,$B57:$B$999,$B56,$A57:$A$999,$A56),I56*K56)</f>
        <v/>
      </c>
      <c r="M56" s="20" t="n"/>
      <c r="N56" s="40" t="n"/>
      <c r="O56" s="37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2" t="n"/>
      <c r="AJ56" s="20" t="n"/>
    </row>
    <row r="57">
      <c r="A57" s="35">
        <f>$A$50</f>
        <v/>
      </c>
      <c r="B57" s="35">
        <f>$B$50</f>
        <v/>
      </c>
      <c r="C57" s="35" t="inlineStr">
        <is>
          <t>SINALIZAÇÃO</t>
        </is>
      </c>
      <c r="D57" s="35" t="inlineStr">
        <is>
          <t>Sinalização de Abandono de Local (SAL)</t>
        </is>
      </c>
      <c r="E57" s="35" t="inlineStr">
        <is>
          <t>Placa Indicativa - Elevador de Emergência 250x125 mm</t>
        </is>
      </c>
      <c r="F57" s="36" t="n">
        <v>1</v>
      </c>
      <c r="G57" s="36" t="n">
        <v>1</v>
      </c>
      <c r="H57" s="36" t="n"/>
      <c r="I57" s="37">
        <f>(F57+H57*F57)*G57</f>
        <v/>
      </c>
      <c r="J57" s="36" t="inlineStr">
        <is>
          <t>pç</t>
        </is>
      </c>
      <c r="K57" s="38" t="n">
        <v>15</v>
      </c>
      <c r="L57" s="39">
        <f>IF(SUM(F57:K57)=0,SUMIFS($L58:$L$999,$B58:$B$999,$B57,$A58:$A$999,$A57),I57*K57)</f>
        <v/>
      </c>
      <c r="M57" s="20" t="n"/>
      <c r="N57" s="40" t="n"/>
      <c r="O57" s="37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2" t="n"/>
      <c r="AJ57" s="20" t="n"/>
    </row>
    <row r="58">
      <c r="A58" s="24" t="inlineStr">
        <is>
          <t>TORRE A</t>
        </is>
      </c>
      <c r="B58" s="24" t="inlineStr">
        <is>
          <t>PAVIMENTO TIPO</t>
        </is>
      </c>
      <c r="C58" s="25" t="n"/>
      <c r="D58" s="26" t="n"/>
      <c r="E58" s="26" t="n"/>
      <c r="F58" s="27" t="n"/>
      <c r="G58" s="27" t="n"/>
      <c r="H58" s="27" t="n"/>
      <c r="I58" s="28" t="n"/>
      <c r="J58" s="27" t="n"/>
      <c r="K58" s="29" t="n"/>
      <c r="L58" s="30">
        <f>IF(SUM(F58:K58)=0,SUMIFS($L59:$L$999,$B59:$B$999,$B58,$A59:$A$999,$A58),I58*K58)</f>
        <v/>
      </c>
      <c r="M58" s="20" t="n"/>
      <c r="N58" s="31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3" t="n"/>
      <c r="AG58" s="33" t="n"/>
      <c r="AH58" s="33" t="n"/>
      <c r="AI58" s="34" t="n"/>
      <c r="AJ58" s="20" t="n"/>
    </row>
    <row r="59">
      <c r="A59" s="35">
        <f>$A$58</f>
        <v/>
      </c>
      <c r="B59" s="35">
        <f>$B$58</f>
        <v/>
      </c>
      <c r="C59" s="35" t="inlineStr">
        <is>
          <t>SHP</t>
        </is>
      </c>
      <c r="D59" s="35" t="inlineStr">
        <is>
          <t>Sistema Hidráulico Preventivo (SHP)</t>
        </is>
      </c>
      <c r="E59" s="35" t="inlineStr">
        <is>
          <t>Tubo de cobre Ø2"</t>
        </is>
      </c>
      <c r="F59" s="36" t="n">
        <v>3.15</v>
      </c>
      <c r="G59" s="36" t="n">
        <v>24</v>
      </c>
      <c r="H59" s="36" t="n">
        <v>0</v>
      </c>
      <c r="I59" s="37">
        <f>(F59+H59*F59)*G59</f>
        <v/>
      </c>
      <c r="J59" s="36" t="inlineStr">
        <is>
          <t>m</t>
        </is>
      </c>
      <c r="K59" s="38" t="n">
        <v>315</v>
      </c>
      <c r="L59" s="39">
        <f>IF(SUM(F59:K59)=0,SUMIFS($L60:$L$999,$B60:$B$999,$B59,$A60:$A$999,$A59),I59*K59)</f>
        <v/>
      </c>
      <c r="M59" s="20" t="n"/>
      <c r="N59" s="40" t="n"/>
      <c r="O59" s="37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2" t="n"/>
      <c r="AJ59" s="20" t="n"/>
    </row>
    <row r="60">
      <c r="A60" s="35">
        <f>$A$58</f>
        <v/>
      </c>
      <c r="B60" s="35">
        <f>$B$58</f>
        <v/>
      </c>
      <c r="C60" s="35" t="inlineStr">
        <is>
          <t>SHP</t>
        </is>
      </c>
      <c r="D60" s="35" t="inlineStr">
        <is>
          <t>Sistema Hidráulico Preventivo (SHP)</t>
        </is>
      </c>
      <c r="E60" s="35" t="inlineStr">
        <is>
          <t>Tê Cobre Ø2"</t>
        </is>
      </c>
      <c r="F60" s="36" t="n">
        <v>1</v>
      </c>
      <c r="G60" s="36" t="n">
        <v>24</v>
      </c>
      <c r="H60" s="36" t="n">
        <v>0</v>
      </c>
      <c r="I60" s="37">
        <f>(F60+H60*F60)*G60</f>
        <v/>
      </c>
      <c r="J60" s="36" t="inlineStr">
        <is>
          <t>pç</t>
        </is>
      </c>
      <c r="K60" s="38" t="n">
        <v>98</v>
      </c>
      <c r="L60" s="39">
        <f>IF(SUM(F60:K60)=0,SUMIFS($L61:$L$999,$B61:$B$999,$B60,$A61:$A$999,$A60),I60*K60)</f>
        <v/>
      </c>
      <c r="M60" s="20" t="n"/>
      <c r="N60" s="40" t="n"/>
      <c r="O60" s="37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2" t="n"/>
      <c r="AJ60" s="20" t="n"/>
    </row>
    <row r="61">
      <c r="A61" s="35">
        <f>$A$58</f>
        <v/>
      </c>
      <c r="B61" s="35">
        <f>$B$58</f>
        <v/>
      </c>
      <c r="C61" s="35" t="inlineStr">
        <is>
          <t>HIDRANTE</t>
        </is>
      </c>
      <c r="D61" s="35" t="inlineStr">
        <is>
          <t>Sistema Hidráulico Preventivo (SHP)</t>
        </is>
      </c>
      <c r="E61" s="35" t="inlineStr">
        <is>
          <t>Hidrante com Mangotinho 30m 60x100cm</t>
        </is>
      </c>
      <c r="F61" s="36" t="n">
        <v>1</v>
      </c>
      <c r="G61" s="36" t="n">
        <v>24</v>
      </c>
      <c r="H61" s="36" t="n"/>
      <c r="I61" s="37">
        <f>(F61+H61*F61)*G61</f>
        <v/>
      </c>
      <c r="J61" s="36" t="inlineStr">
        <is>
          <t>pç</t>
        </is>
      </c>
      <c r="K61" s="38" t="n">
        <v>1128</v>
      </c>
      <c r="L61" s="39">
        <f>IF(SUM(F61:K61)=0,SUMIFS($L62:$L$999,$B62:$B$999,$B61,$A62:$A$999,$A61),I61*K61)</f>
        <v/>
      </c>
      <c r="M61" s="20" t="n"/>
      <c r="N61" s="40" t="n"/>
      <c r="O61" s="37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2" t="n"/>
      <c r="AJ61" s="20" t="n"/>
    </row>
    <row r="62">
      <c r="A62" s="35">
        <f>$A$58</f>
        <v/>
      </c>
      <c r="B62" s="35">
        <f>$B$58</f>
        <v/>
      </c>
      <c r="C62" s="35" t="inlineStr">
        <is>
          <t>EXTINTORES</t>
        </is>
      </c>
      <c r="D62" s="35" t="inlineStr">
        <is>
          <t>Sistema Preventivo por Extintores</t>
        </is>
      </c>
      <c r="E62" s="35" t="inlineStr">
        <is>
          <t>Extintor PQS 4Kg (2-A:20-B:C)</t>
        </is>
      </c>
      <c r="F62" s="36" t="n">
        <v>2</v>
      </c>
      <c r="G62" s="36" t="n">
        <v>24</v>
      </c>
      <c r="H62" s="36" t="n"/>
      <c r="I62" s="37">
        <f>(F62+H62*F62)*G62</f>
        <v/>
      </c>
      <c r="J62" s="36" t="inlineStr">
        <is>
          <t>pç</t>
        </is>
      </c>
      <c r="K62" s="38" t="n">
        <v>120</v>
      </c>
      <c r="L62" s="39">
        <f>IF(SUM(F62:K62)=0,SUMIFS($L63:$L$999,$B63:$B$999,$B62,$A63:$A$999,$A62),I62*K62)</f>
        <v/>
      </c>
      <c r="M62" s="20" t="n"/>
      <c r="N62" s="40" t="n"/>
      <c r="O62" s="37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2" t="n"/>
      <c r="AJ62" s="20" t="n"/>
    </row>
    <row r="63">
      <c r="A63" s="35">
        <f>$A$58</f>
        <v/>
      </c>
      <c r="B63" s="35">
        <f>$B$58</f>
        <v/>
      </c>
      <c r="C63" s="35" t="inlineStr">
        <is>
          <t>SINALIZAÇÃO</t>
        </is>
      </c>
      <c r="D63" s="35" t="inlineStr">
        <is>
          <t>Sinalização de Abandono de Local (SAL)</t>
        </is>
      </c>
      <c r="E63" s="35" t="inlineStr">
        <is>
          <t>Placa Indicativa - Número do Pavimento 200x100 mm</t>
        </is>
      </c>
      <c r="F63" s="36" t="n">
        <v>1</v>
      </c>
      <c r="G63" s="36" t="n">
        <v>24</v>
      </c>
      <c r="H63" s="36" t="n"/>
      <c r="I63" s="37">
        <f>(F63+H63*F63)*G63</f>
        <v/>
      </c>
      <c r="J63" s="36" t="inlineStr">
        <is>
          <t>pç</t>
        </is>
      </c>
      <c r="K63" s="38" t="n">
        <v>15</v>
      </c>
      <c r="L63" s="39">
        <f>IF(SUM(F63:K63)=0,SUMIFS($L64:$L$999,$B64:$B$999,$B63,$A64:$A$999,$A63),I63*K63)</f>
        <v/>
      </c>
      <c r="M63" s="20" t="n"/>
      <c r="N63" s="40" t="n"/>
      <c r="O63" s="37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2" t="n"/>
      <c r="AJ63" s="20" t="n"/>
    </row>
    <row r="64">
      <c r="A64" s="35">
        <f>$A$58</f>
        <v/>
      </c>
      <c r="B64" s="35">
        <f>$B$58</f>
        <v/>
      </c>
      <c r="C64" s="35" t="inlineStr">
        <is>
          <t>SINALIZAÇÃO</t>
        </is>
      </c>
      <c r="D64" s="35" t="inlineStr">
        <is>
          <t>Sinalização de Abandono de Local (SAL)</t>
        </is>
      </c>
      <c r="E64" s="35" t="inlineStr">
        <is>
          <t>Placa Indicativa - Elevador de Emergência 250x125 mm</t>
        </is>
      </c>
      <c r="F64" s="36" t="n">
        <v>1</v>
      </c>
      <c r="G64" s="36" t="n">
        <v>24</v>
      </c>
      <c r="H64" s="36" t="n"/>
      <c r="I64" s="37">
        <f>(F64+H64*F64)*G64</f>
        <v/>
      </c>
      <c r="J64" s="36" t="inlineStr">
        <is>
          <t>pç</t>
        </is>
      </c>
      <c r="K64" s="38" t="n">
        <v>15</v>
      </c>
      <c r="L64" s="39">
        <f>IF(SUM(F64:K64)=0,SUMIFS($L65:$L$999,$B65:$B$999,$B64,$A65:$A$999,$A64),I64*K64)</f>
        <v/>
      </c>
      <c r="M64" s="20" t="n"/>
      <c r="N64" s="40" t="n"/>
      <c r="O64" s="37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2" t="n"/>
      <c r="AJ64" s="20" t="n"/>
    </row>
    <row r="65">
      <c r="A65" s="24" t="inlineStr">
        <is>
          <t>TORRE A</t>
        </is>
      </c>
      <c r="B65" s="24" t="inlineStr">
        <is>
          <t>CASA DE MÁQUINAS</t>
        </is>
      </c>
      <c r="C65" s="25" t="n"/>
      <c r="D65" s="26" t="n"/>
      <c r="E65" s="26" t="n"/>
      <c r="F65" s="27" t="n"/>
      <c r="G65" s="27" t="n"/>
      <c r="H65" s="27" t="n"/>
      <c r="I65" s="28" t="n"/>
      <c r="J65" s="27" t="n"/>
      <c r="K65" s="29" t="n"/>
      <c r="L65" s="30">
        <f>IF(SUM(F65:K65)=0,SUMIFS($L66:$L$999,$B66:$B$999,$B65,$A66:$A$999,$A65),I65*K65)</f>
        <v/>
      </c>
      <c r="M65" s="20" t="n"/>
      <c r="N65" s="31" t="n"/>
      <c r="O65" s="32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  <c r="AC65" s="33" t="n"/>
      <c r="AD65" s="33" t="n"/>
      <c r="AE65" s="33" t="n"/>
      <c r="AF65" s="33" t="n"/>
      <c r="AG65" s="33" t="n"/>
      <c r="AH65" s="33" t="n"/>
      <c r="AI65" s="34" t="n"/>
      <c r="AJ65" s="20" t="n"/>
    </row>
    <row r="66">
      <c r="A66" s="35">
        <f>$A$65</f>
        <v/>
      </c>
      <c r="B66" s="35">
        <f>$B$65</f>
        <v/>
      </c>
      <c r="C66" s="35" t="inlineStr">
        <is>
          <t>SHP</t>
        </is>
      </c>
      <c r="D66" s="35" t="inlineStr">
        <is>
          <t>Sistema Hidráulico Preventivo (SHP)</t>
        </is>
      </c>
      <c r="E66" s="35" t="inlineStr">
        <is>
          <t>Tubo de cobre Ø2"</t>
        </is>
      </c>
      <c r="F66" s="36" t="n">
        <v>45</v>
      </c>
      <c r="G66" s="36" t="n">
        <v>1</v>
      </c>
      <c r="H66" s="36" t="n">
        <v>0</v>
      </c>
      <c r="I66" s="37">
        <f>(F66+H66*F66)*G66</f>
        <v/>
      </c>
      <c r="J66" s="36" t="inlineStr">
        <is>
          <t>m</t>
        </is>
      </c>
      <c r="K66" s="38" t="n">
        <v>315</v>
      </c>
      <c r="L66" s="39">
        <f>IF(SUM(F66:K66)=0,SUMIFS($L67:$L$999,$B67:$B$999,$B66,$A67:$A$999,$A66),I66*K66)</f>
        <v/>
      </c>
      <c r="M66" s="20" t="n"/>
      <c r="N66" s="40" t="n"/>
      <c r="O66" s="37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2" t="n"/>
      <c r="AJ66" s="20" t="n"/>
    </row>
    <row r="67">
      <c r="A67" s="35">
        <f>$A$65</f>
        <v/>
      </c>
      <c r="B67" s="35">
        <f>$B$65</f>
        <v/>
      </c>
      <c r="C67" s="35" t="inlineStr">
        <is>
          <t>SHP</t>
        </is>
      </c>
      <c r="D67" s="35" t="inlineStr">
        <is>
          <t>Sistema Hidráulico Preventivo (SHP)</t>
        </is>
      </c>
      <c r="E67" s="35" t="inlineStr">
        <is>
          <t>Joelho 90° Cobre Ø2"</t>
        </is>
      </c>
      <c r="F67" s="36" t="n">
        <v>3</v>
      </c>
      <c r="G67" s="36" t="n">
        <v>1</v>
      </c>
      <c r="H67" s="36" t="n">
        <v>0</v>
      </c>
      <c r="I67" s="37">
        <f>(F67+H67*F67)*G67</f>
        <v/>
      </c>
      <c r="J67" s="36" t="inlineStr">
        <is>
          <t>pç</t>
        </is>
      </c>
      <c r="K67" s="38" t="n">
        <v>38</v>
      </c>
      <c r="L67" s="39">
        <f>IF(SUM(F67:K67)=0,SUMIFS($L68:$L$999,$B68:$B$999,$B67,$A68:$A$999,$A67),I67*K67)</f>
        <v/>
      </c>
      <c r="M67" s="20" t="n"/>
      <c r="N67" s="40" t="n"/>
      <c r="O67" s="37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2" t="n"/>
      <c r="AJ67" s="20" t="n"/>
    </row>
    <row r="68">
      <c r="A68" s="35">
        <f>$A$65</f>
        <v/>
      </c>
      <c r="B68" s="35">
        <f>$B$65</f>
        <v/>
      </c>
      <c r="C68" s="35" t="inlineStr">
        <is>
          <t>SHP</t>
        </is>
      </c>
      <c r="D68" s="35" t="inlineStr">
        <is>
          <t>Sistema Hidráulico Preventivo (SHP)</t>
        </is>
      </c>
      <c r="E68" s="35" t="inlineStr">
        <is>
          <t>Tê Cobre Ø2"</t>
        </is>
      </c>
      <c r="F68" s="36" t="n">
        <v>2</v>
      </c>
      <c r="G68" s="36" t="n">
        <v>1</v>
      </c>
      <c r="H68" s="36" t="n">
        <v>0</v>
      </c>
      <c r="I68" s="37">
        <f>(F68+H68*F68)*G68</f>
        <v/>
      </c>
      <c r="J68" s="36" t="inlineStr">
        <is>
          <t>pç</t>
        </is>
      </c>
      <c r="K68" s="38" t="n">
        <v>98</v>
      </c>
      <c r="L68" s="39">
        <f>IF(SUM(F68:K68)=0,SUMIFS($L69:$L$999,$B69:$B$999,$B68,$A69:$A$999,$A68),I68*K68)</f>
        <v/>
      </c>
      <c r="M68" s="20" t="n"/>
      <c r="N68" s="40" t="n"/>
      <c r="O68" s="37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2" t="n"/>
      <c r="AJ68" s="20" t="n"/>
    </row>
    <row r="69">
      <c r="A69" s="35">
        <f>$A$65</f>
        <v/>
      </c>
      <c r="B69" s="35">
        <f>$B$65</f>
        <v/>
      </c>
      <c r="C69" s="35" t="inlineStr">
        <is>
          <t>EXTINTORES</t>
        </is>
      </c>
      <c r="D69" s="35" t="inlineStr">
        <is>
          <t>Sistema Preventivo por Extintores</t>
        </is>
      </c>
      <c r="E69" s="35" t="inlineStr">
        <is>
          <t>Extintor PQS 4Kg (2-A:20-B:C)</t>
        </is>
      </c>
      <c r="F69" s="36" t="n">
        <v>1</v>
      </c>
      <c r="G69" s="36" t="n">
        <v>1</v>
      </c>
      <c r="H69" s="36" t="n"/>
      <c r="I69" s="37">
        <f>(F69+H69*F69)*G69</f>
        <v/>
      </c>
      <c r="J69" s="36" t="inlineStr">
        <is>
          <t>pç</t>
        </is>
      </c>
      <c r="K69" s="38" t="n">
        <v>120</v>
      </c>
      <c r="L69" s="39">
        <f>IF(SUM(F69:K69)=0,SUMIFS($L70:$L$999,$B70:$B$999,$B69,$A70:$A$999,$A69),I69*K69)</f>
        <v/>
      </c>
      <c r="M69" s="20" t="n"/>
      <c r="N69" s="40" t="n"/>
      <c r="O69" s="37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2" t="n"/>
      <c r="AJ69" s="20" t="n"/>
    </row>
    <row r="70">
      <c r="A70" s="35">
        <f>$A$65</f>
        <v/>
      </c>
      <c r="B70" s="35">
        <f>$B$65</f>
        <v/>
      </c>
      <c r="C70" s="35" t="inlineStr">
        <is>
          <t>EXTINTORES</t>
        </is>
      </c>
      <c r="D70" s="35" t="inlineStr">
        <is>
          <t>Sistema Preventivo por Extintores</t>
        </is>
      </c>
      <c r="E70" s="35" t="inlineStr">
        <is>
          <t>Extintor CO2 6kg (5-B:C)</t>
        </is>
      </c>
      <c r="F70" s="36" t="n">
        <v>3</v>
      </c>
      <c r="G70" s="36" t="n">
        <v>1</v>
      </c>
      <c r="H70" s="36" t="n"/>
      <c r="I70" s="37">
        <f>(F70+H70*F70)*G70</f>
        <v/>
      </c>
      <c r="J70" s="36" t="inlineStr">
        <is>
          <t>pç</t>
        </is>
      </c>
      <c r="K70" s="38" t="n">
        <v>550</v>
      </c>
      <c r="L70" s="39">
        <f>IF(SUM(F70:K70)=0,SUMIFS($L71:$L$999,$B71:$B$999,$B70,$A71:$A$999,$A70),I70*K70)</f>
        <v/>
      </c>
      <c r="M70" s="20" t="n"/>
      <c r="N70" s="40" t="n"/>
      <c r="O70" s="37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2" t="n"/>
      <c r="AJ70" s="20" t="n"/>
    </row>
    <row r="71">
      <c r="A71" s="35">
        <f>$A$65</f>
        <v/>
      </c>
      <c r="B71" s="35">
        <f>$B$65</f>
        <v/>
      </c>
      <c r="C71" s="35" t="inlineStr">
        <is>
          <t>SINALIZAÇÃO</t>
        </is>
      </c>
      <c r="D71" s="35" t="inlineStr">
        <is>
          <t>Sinalização de Abandono de Local (SAL)</t>
        </is>
      </c>
      <c r="E71" s="35" t="inlineStr">
        <is>
          <t>Placa Indicativa - Número do Pavimento 200x100 mm</t>
        </is>
      </c>
      <c r="F71" s="36" t="n">
        <v>1</v>
      </c>
      <c r="G71" s="36" t="n">
        <v>1</v>
      </c>
      <c r="H71" s="36" t="n"/>
      <c r="I71" s="37">
        <f>(F71+H71*F71)*G71</f>
        <v/>
      </c>
      <c r="J71" s="36" t="inlineStr">
        <is>
          <t>pç</t>
        </is>
      </c>
      <c r="K71" s="38" t="n">
        <v>15</v>
      </c>
      <c r="L71" s="39">
        <f>IF(SUM(F71:K71)=0,SUMIFS($L72:$L$999,$B72:$B$999,$B71,$A72:$A$999,$A71),I71*K71)</f>
        <v/>
      </c>
      <c r="M71" s="20" t="n"/>
      <c r="N71" s="40" t="n"/>
      <c r="O71" s="37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2" t="n"/>
      <c r="AJ71" s="20" t="n"/>
    </row>
    <row r="72">
      <c r="A72" s="35">
        <f>$A$65</f>
        <v/>
      </c>
      <c r="B72" s="35">
        <f>$B$65</f>
        <v/>
      </c>
      <c r="C72" s="35" t="inlineStr">
        <is>
          <t>SINALIZAÇÃO</t>
        </is>
      </c>
      <c r="D72" s="35" t="inlineStr">
        <is>
          <t>Sinalização de Abandono de Local (SAL)</t>
        </is>
      </c>
      <c r="E72" s="35" t="inlineStr">
        <is>
          <t>Placa Indicativa - Elevador de Emergência 250x125 mm</t>
        </is>
      </c>
      <c r="F72" s="36" t="n">
        <v>1</v>
      </c>
      <c r="G72" s="36" t="n">
        <v>1</v>
      </c>
      <c r="H72" s="36" t="n"/>
      <c r="I72" s="37">
        <f>(F72+H72*F72)*G72</f>
        <v/>
      </c>
      <c r="J72" s="36" t="inlineStr">
        <is>
          <t>pç</t>
        </is>
      </c>
      <c r="K72" s="38" t="n">
        <v>15</v>
      </c>
      <c r="L72" s="39">
        <f>IF(SUM(F72:K72)=0,SUMIFS($L73:$L$999,$B73:$B$999,$B72,$A73:$A$999,$A72),I72*K72)</f>
        <v/>
      </c>
      <c r="M72" s="20" t="n"/>
      <c r="N72" s="40" t="n"/>
      <c r="O72" s="37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2" t="n"/>
      <c r="AJ72" s="20" t="n"/>
    </row>
    <row r="73">
      <c r="A73" s="35">
        <f>$A$65</f>
        <v/>
      </c>
      <c r="B73" s="35">
        <f>$B$65</f>
        <v/>
      </c>
      <c r="C73" s="35" t="inlineStr">
        <is>
          <t>SINALIZAÇÃO</t>
        </is>
      </c>
      <c r="D73" s="35" t="inlineStr">
        <is>
          <t>Sinalização de Abandono de Local (SAL)</t>
        </is>
      </c>
      <c r="E73" s="35" t="inlineStr">
        <is>
          <t>Placa Fotoluminescente E5 - Extintor de Incêndio</t>
        </is>
      </c>
      <c r="F73" s="36" t="n">
        <v>2</v>
      </c>
      <c r="G73" s="36" t="n">
        <v>1</v>
      </c>
      <c r="H73" s="36" t="n"/>
      <c r="I73" s="37">
        <f>(F73+H73*F73)*G73</f>
        <v/>
      </c>
      <c r="J73" s="36" t="inlineStr">
        <is>
          <t>pç</t>
        </is>
      </c>
      <c r="K73" s="38" t="n">
        <v>15</v>
      </c>
      <c r="L73" s="39">
        <f>IF(SUM(F73:K73)=0,SUMIFS($L74:$L$999,$B74:$B$999,$B73,$A74:$A$999,$A73),I73*K73)</f>
        <v/>
      </c>
      <c r="M73" s="20" t="n"/>
      <c r="N73" s="40" t="n"/>
      <c r="O73" s="37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2" t="n"/>
      <c r="AJ73" s="20" t="n"/>
    </row>
    <row r="74">
      <c r="A74" s="24" t="inlineStr">
        <is>
          <t>TORRE A</t>
        </is>
      </c>
      <c r="B74" s="24" t="inlineStr">
        <is>
          <t>PAVIMENTOS TÉCNICOS</t>
        </is>
      </c>
      <c r="C74" s="25" t="n"/>
      <c r="D74" s="26" t="n"/>
      <c r="E74" s="26" t="n"/>
      <c r="F74" s="27" t="n"/>
      <c r="G74" s="27" t="n"/>
      <c r="H74" s="27" t="n"/>
      <c r="I74" s="28" t="n"/>
      <c r="J74" s="27" t="n"/>
      <c r="K74" s="29" t="n"/>
      <c r="L74" s="30">
        <f>IF(SUM(F74:K74)=0,SUMIFS($L75:$L$999,$B75:$B$999,$B74,$A75:$A$999,$A74),I74*K74)</f>
        <v/>
      </c>
      <c r="M74" s="20" t="n"/>
      <c r="N74" s="31" t="n"/>
      <c r="O74" s="32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H74" s="33" t="n"/>
      <c r="AI74" s="34" t="n"/>
      <c r="AJ74" s="20" t="n"/>
    </row>
    <row r="75">
      <c r="A75" s="35">
        <f>$A$74</f>
        <v/>
      </c>
      <c r="B75" s="35">
        <f>$B$74</f>
        <v/>
      </c>
      <c r="C75" s="35" t="inlineStr">
        <is>
          <t>SHP</t>
        </is>
      </c>
      <c r="D75" s="35" t="inlineStr">
        <is>
          <t>Sistema Hidráulico Preventivo (SHP)</t>
        </is>
      </c>
      <c r="E75" s="35" t="inlineStr">
        <is>
          <t>Tubo de cobre Ø2"</t>
        </is>
      </c>
      <c r="F75" s="36" t="n">
        <v>15</v>
      </c>
      <c r="G75" s="36" t="n">
        <v>1</v>
      </c>
      <c r="H75" s="36" t="n">
        <v>0</v>
      </c>
      <c r="I75" s="37">
        <f>(F75+H75*F75)*G75</f>
        <v/>
      </c>
      <c r="J75" s="36" t="inlineStr">
        <is>
          <t>m</t>
        </is>
      </c>
      <c r="K75" s="38" t="n">
        <v>315</v>
      </c>
      <c r="L75" s="39">
        <f>IF(SUM(F75:K75)=0,SUMIFS($L76:$L$999,$B76:$B$999,$B75,$A76:$A$999,$A75),I75*K75)</f>
        <v/>
      </c>
      <c r="M75" s="20" t="n"/>
      <c r="N75" s="40" t="n"/>
      <c r="O75" s="37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2" t="n"/>
      <c r="AJ75" s="20" t="n"/>
    </row>
    <row r="76">
      <c r="A76" s="35">
        <f>$A$74</f>
        <v/>
      </c>
      <c r="B76" s="35">
        <f>$B$74</f>
        <v/>
      </c>
      <c r="C76" s="35" t="inlineStr">
        <is>
          <t>SHP</t>
        </is>
      </c>
      <c r="D76" s="35" t="inlineStr">
        <is>
          <t>Sistema Hidráulico Preventivo (SHP)</t>
        </is>
      </c>
      <c r="E76" s="35" t="inlineStr">
        <is>
          <t>Joelho 90° Cobre Ø2"</t>
        </is>
      </c>
      <c r="F76" s="36" t="n">
        <v>1</v>
      </c>
      <c r="G76" s="36" t="n">
        <v>1</v>
      </c>
      <c r="H76" s="36" t="n">
        <v>0</v>
      </c>
      <c r="I76" s="37">
        <f>(F76+H76*F76)*G76</f>
        <v/>
      </c>
      <c r="J76" s="36" t="inlineStr">
        <is>
          <t>pç</t>
        </is>
      </c>
      <c r="K76" s="38" t="n">
        <v>38</v>
      </c>
      <c r="L76" s="39">
        <f>IF(SUM(F76:K76)=0,SUMIFS($L77:$L$999,$B77:$B$999,$B76,$A77:$A$999,$A76),I76*K76)</f>
        <v/>
      </c>
      <c r="M76" s="20" t="n"/>
      <c r="N76" s="40" t="n"/>
      <c r="O76" s="37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2" t="n"/>
      <c r="AJ76" s="20" t="n"/>
    </row>
    <row r="77">
      <c r="A77" s="24" t="inlineStr">
        <is>
          <t>TORRE B</t>
        </is>
      </c>
      <c r="B77" s="24" t="inlineStr">
        <is>
          <t>TÉRREO</t>
        </is>
      </c>
      <c r="C77" s="25" t="n"/>
      <c r="D77" s="26" t="n"/>
      <c r="E77" s="26" t="n"/>
      <c r="F77" s="27" t="n"/>
      <c r="G77" s="27" t="n"/>
      <c r="H77" s="27" t="n"/>
      <c r="I77" s="28" t="n"/>
      <c r="J77" s="27" t="n"/>
      <c r="K77" s="29" t="n"/>
      <c r="L77" s="30">
        <f>IF(SUM(F77:K77)=0,SUMIFS($L78:$L$999,$B78:$B$999,$B77,$A78:$A$999,$A77),I77*K77)</f>
        <v/>
      </c>
      <c r="M77" s="20" t="n"/>
      <c r="N77" s="31" t="n"/>
      <c r="O77" s="32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4" t="n"/>
      <c r="AJ77" s="20" t="n"/>
    </row>
    <row r="78">
      <c r="A78" s="35">
        <f>$A$77</f>
        <v/>
      </c>
      <c r="B78" s="35">
        <f>$B$77</f>
        <v/>
      </c>
      <c r="C78" s="35" t="inlineStr">
        <is>
          <t>SHP</t>
        </is>
      </c>
      <c r="D78" s="35" t="inlineStr">
        <is>
          <t>Sistema Hidráulico Preventivo (SHP)</t>
        </is>
      </c>
      <c r="E78" s="35" t="inlineStr">
        <is>
          <t>Tubo de cobre Ø2"</t>
        </is>
      </c>
      <c r="F78" s="36" t="n">
        <v>35</v>
      </c>
      <c r="G78" s="36" t="n">
        <v>1</v>
      </c>
      <c r="H78" s="36" t="n">
        <v>0</v>
      </c>
      <c r="I78" s="37">
        <f>(F78+H78*F78)*G78</f>
        <v/>
      </c>
      <c r="J78" s="36" t="inlineStr">
        <is>
          <t>m</t>
        </is>
      </c>
      <c r="K78" s="38" t="n">
        <v>315</v>
      </c>
      <c r="L78" s="39">
        <f>IF(SUM(F78:K78)=0,SUMIFS($L79:$L$999,$B79:$B$999,$B78,$A79:$A$999,$A78),I78*K78)</f>
        <v/>
      </c>
      <c r="M78" s="20" t="n"/>
      <c r="N78" s="40" t="n"/>
      <c r="O78" s="37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2" t="n"/>
      <c r="AJ78" s="20" t="n"/>
    </row>
    <row r="79">
      <c r="A79" s="35">
        <f>$A$77</f>
        <v/>
      </c>
      <c r="B79" s="35">
        <f>$B$77</f>
        <v/>
      </c>
      <c r="C79" s="35" t="inlineStr">
        <is>
          <t>SHP</t>
        </is>
      </c>
      <c r="D79" s="35" t="inlineStr">
        <is>
          <t>Sistema Hidráulico Preventivo (SHP)</t>
        </is>
      </c>
      <c r="E79" s="35" t="inlineStr">
        <is>
          <t>Joelho 90° Cobre Ø2"</t>
        </is>
      </c>
      <c r="F79" s="36" t="n">
        <v>4</v>
      </c>
      <c r="G79" s="36" t="n">
        <v>1</v>
      </c>
      <c r="H79" s="36" t="n">
        <v>0</v>
      </c>
      <c r="I79" s="37">
        <f>(F79+H79*F79)*G79</f>
        <v/>
      </c>
      <c r="J79" s="36" t="inlineStr">
        <is>
          <t>pç</t>
        </is>
      </c>
      <c r="K79" s="38" t="n">
        <v>38</v>
      </c>
      <c r="L79" s="39">
        <f>IF(SUM(F79:K79)=0,SUMIFS($L80:$L$999,$B80:$B$999,$B79,$A80:$A$999,$A79),I79*K79)</f>
        <v/>
      </c>
      <c r="M79" s="20" t="n"/>
      <c r="N79" s="40" t="n"/>
      <c r="O79" s="37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2" t="n"/>
      <c r="AJ79" s="20" t="n"/>
    </row>
    <row r="80">
      <c r="A80" s="35">
        <f>$A$77</f>
        <v/>
      </c>
      <c r="B80" s="35">
        <f>$B$77</f>
        <v/>
      </c>
      <c r="C80" s="35" t="inlineStr">
        <is>
          <t>SHP</t>
        </is>
      </c>
      <c r="D80" s="35" t="inlineStr">
        <is>
          <t>Sistema Hidráulico Preventivo (SHP)</t>
        </is>
      </c>
      <c r="E80" s="35" t="inlineStr">
        <is>
          <t>Tê Cobre Ø2"</t>
        </is>
      </c>
      <c r="F80" s="36" t="n">
        <v>3</v>
      </c>
      <c r="G80" s="36" t="n">
        <v>1</v>
      </c>
      <c r="H80" s="36" t="n">
        <v>0</v>
      </c>
      <c r="I80" s="37">
        <f>(F80+H80*F80)*G80</f>
        <v/>
      </c>
      <c r="J80" s="36" t="inlineStr">
        <is>
          <t>pç</t>
        </is>
      </c>
      <c r="K80" s="38" t="n">
        <v>98</v>
      </c>
      <c r="L80" s="39">
        <f>IF(SUM(F80:K80)=0,SUMIFS($L81:$L$999,$B81:$B$999,$B80,$A81:$A$999,$A80),I80*K80)</f>
        <v/>
      </c>
      <c r="M80" s="20" t="n"/>
      <c r="N80" s="40" t="n"/>
      <c r="O80" s="37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2" t="n"/>
      <c r="AJ80" s="20" t="n"/>
    </row>
    <row r="81">
      <c r="A81" s="35">
        <f>$A$77</f>
        <v/>
      </c>
      <c r="B81" s="35">
        <f>$B$77</f>
        <v/>
      </c>
      <c r="C81" s="35" t="inlineStr">
        <is>
          <t>HIDRANTE</t>
        </is>
      </c>
      <c r="D81" s="35" t="inlineStr">
        <is>
          <t>Sistema Hidráulico Preventivo (SHP)</t>
        </is>
      </c>
      <c r="E81" s="35" t="inlineStr">
        <is>
          <t>Hidrante com Mangotinho 30m 60x100cm</t>
        </is>
      </c>
      <c r="F81" s="36" t="n">
        <v>3</v>
      </c>
      <c r="G81" s="36" t="n">
        <v>1</v>
      </c>
      <c r="H81" s="36" t="n"/>
      <c r="I81" s="37">
        <f>(F81+H81*F81)*G81</f>
        <v/>
      </c>
      <c r="J81" s="36" t="inlineStr">
        <is>
          <t>pç</t>
        </is>
      </c>
      <c r="K81" s="38" t="n">
        <v>1128</v>
      </c>
      <c r="L81" s="39">
        <f>IF(SUM(F81:K81)=0,SUMIFS($L82:$L$999,$B82:$B$999,$B81,$A82:$A$999,$A81),I81*K81)</f>
        <v/>
      </c>
      <c r="M81" s="20" t="n"/>
      <c r="N81" s="40" t="n"/>
      <c r="O81" s="37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2" t="n"/>
      <c r="AJ81" s="20" t="n"/>
    </row>
    <row r="82">
      <c r="A82" s="35">
        <f>$A$77</f>
        <v/>
      </c>
      <c r="B82" s="35">
        <f>$B$77</f>
        <v/>
      </c>
      <c r="C82" s="35" t="inlineStr">
        <is>
          <t>EXTINTORES</t>
        </is>
      </c>
      <c r="D82" s="35" t="inlineStr">
        <is>
          <t>Sistema Preventivo por Extintores</t>
        </is>
      </c>
      <c r="E82" s="35" t="inlineStr">
        <is>
          <t>Extintor PQS 4Kg (2-A:20-B:C)</t>
        </is>
      </c>
      <c r="F82" s="36" t="n">
        <v>6</v>
      </c>
      <c r="G82" s="36" t="n">
        <v>1</v>
      </c>
      <c r="H82" s="36" t="n"/>
      <c r="I82" s="37">
        <f>(F82+H82*F82)*G82</f>
        <v/>
      </c>
      <c r="J82" s="36" t="inlineStr">
        <is>
          <t>pç</t>
        </is>
      </c>
      <c r="K82" s="38" t="n">
        <v>120</v>
      </c>
      <c r="L82" s="39">
        <f>IF(SUM(F82:K82)=0,SUMIFS($L83:$L$999,$B83:$B$999,$B82,$A83:$A$999,$A82),I82*K82)</f>
        <v/>
      </c>
      <c r="M82" s="20" t="n"/>
      <c r="N82" s="40" t="n"/>
      <c r="O82" s="37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2" t="n"/>
      <c r="AJ82" s="20" t="n"/>
    </row>
    <row r="83">
      <c r="A83" s="35">
        <f>$A$77</f>
        <v/>
      </c>
      <c r="B83" s="35">
        <f>$B$77</f>
        <v/>
      </c>
      <c r="C83" s="35" t="inlineStr">
        <is>
          <t>EXTINTORES</t>
        </is>
      </c>
      <c r="D83" s="35" t="inlineStr">
        <is>
          <t>Sistema Preventivo por Extintores</t>
        </is>
      </c>
      <c r="E83" s="35" t="inlineStr">
        <is>
          <t>Extintor CO2 6kg (5-B:C)</t>
        </is>
      </c>
      <c r="F83" s="36" t="n">
        <v>2</v>
      </c>
      <c r="G83" s="36" t="n">
        <v>1</v>
      </c>
      <c r="H83" s="36" t="n"/>
      <c r="I83" s="37">
        <f>(F83+H83*F83)*G83</f>
        <v/>
      </c>
      <c r="J83" s="36" t="inlineStr">
        <is>
          <t>pç</t>
        </is>
      </c>
      <c r="K83" s="38" t="n">
        <v>550</v>
      </c>
      <c r="L83" s="39">
        <f>IF(SUM(F83:K83)=0,SUMIFS($L84:$L$999,$B84:$B$999,$B83,$A84:$A$999,$A83),I83*K83)</f>
        <v/>
      </c>
      <c r="M83" s="20" t="n"/>
      <c r="N83" s="40" t="n"/>
      <c r="O83" s="37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2" t="n"/>
      <c r="AJ83" s="20" t="n"/>
    </row>
    <row r="84">
      <c r="A84" s="35">
        <f>$A$77</f>
        <v/>
      </c>
      <c r="B84" s="35">
        <f>$B$77</f>
        <v/>
      </c>
      <c r="C84" s="35" t="inlineStr">
        <is>
          <t>SINALIZAÇÃO</t>
        </is>
      </c>
      <c r="D84" s="35" t="inlineStr">
        <is>
          <t>Sinalização de Abandono de Local (SAL)</t>
        </is>
      </c>
      <c r="E84" s="35" t="inlineStr">
        <is>
          <t>Placa Indicativa - Número do Pavimento 200x100 mm</t>
        </is>
      </c>
      <c r="F84" s="36" t="n">
        <v>1</v>
      </c>
      <c r="G84" s="36" t="n">
        <v>1</v>
      </c>
      <c r="H84" s="36" t="n"/>
      <c r="I84" s="37">
        <f>(F84+H84*F84)*G84</f>
        <v/>
      </c>
      <c r="J84" s="36" t="inlineStr">
        <is>
          <t>pç</t>
        </is>
      </c>
      <c r="K84" s="38" t="n">
        <v>15</v>
      </c>
      <c r="L84" s="39">
        <f>IF(SUM(F84:K84)=0,SUMIFS($L85:$L$999,$B85:$B$999,$B84,$A85:$A$999,$A84),I84*K84)</f>
        <v/>
      </c>
      <c r="M84" s="20" t="n"/>
      <c r="N84" s="40" t="n"/>
      <c r="O84" s="37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2" t="n"/>
      <c r="AJ84" s="20" t="n"/>
    </row>
    <row r="85">
      <c r="A85" s="35">
        <f>$A$77</f>
        <v/>
      </c>
      <c r="B85" s="35">
        <f>$B$77</f>
        <v/>
      </c>
      <c r="C85" s="35" t="inlineStr">
        <is>
          <t>SINALIZAÇÃO</t>
        </is>
      </c>
      <c r="D85" s="35" t="inlineStr">
        <is>
          <t>Sinalização de Abandono de Local (SAL)</t>
        </is>
      </c>
      <c r="E85" s="35" t="inlineStr">
        <is>
          <t>Placa Indicativa - Elevador de Emergência 250x125 mm</t>
        </is>
      </c>
      <c r="F85" s="36" t="n">
        <v>1</v>
      </c>
      <c r="G85" s="36" t="n">
        <v>1</v>
      </c>
      <c r="H85" s="36" t="n"/>
      <c r="I85" s="37">
        <f>(F85+H85*F85)*G85</f>
        <v/>
      </c>
      <c r="J85" s="36" t="inlineStr">
        <is>
          <t>pç</t>
        </is>
      </c>
      <c r="K85" s="38" t="n">
        <v>15</v>
      </c>
      <c r="L85" s="39">
        <f>IF(SUM(F85:K85)=0,SUMIFS($L86:$L$999,$B86:$B$999,$B85,$A86:$A$999,$A85),I85*K85)</f>
        <v/>
      </c>
      <c r="M85" s="20" t="n"/>
      <c r="N85" s="40" t="n"/>
      <c r="O85" s="37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2" t="n"/>
      <c r="AJ85" s="20" t="n"/>
    </row>
    <row r="86">
      <c r="A86" s="35">
        <f>$A$77</f>
        <v/>
      </c>
      <c r="B86" s="35">
        <f>$B$77</f>
        <v/>
      </c>
      <c r="C86" s="35" t="inlineStr">
        <is>
          <t>SINALIZAÇÃO</t>
        </is>
      </c>
      <c r="D86" s="35" t="inlineStr">
        <is>
          <t>Sinalização de Abandono de Local (SAL)</t>
        </is>
      </c>
      <c r="E86" s="35" t="inlineStr">
        <is>
          <t>Placa Fotoluminescente E5 - Extintor de Incêndio</t>
        </is>
      </c>
      <c r="F86" s="36" t="n">
        <v>6</v>
      </c>
      <c r="G86" s="36" t="n">
        <v>1</v>
      </c>
      <c r="H86" s="36" t="n"/>
      <c r="I86" s="37">
        <f>(F86+H86*F86)*G86</f>
        <v/>
      </c>
      <c r="J86" s="36" t="inlineStr">
        <is>
          <t>pç</t>
        </is>
      </c>
      <c r="K86" s="38" t="n">
        <v>15</v>
      </c>
      <c r="L86" s="39">
        <f>IF(SUM(F86:K86)=0,SUMIFS($L87:$L$999,$B87:$B$999,$B86,$A87:$A$999,$A86),I86*K86)</f>
        <v/>
      </c>
      <c r="M86" s="20" t="n"/>
      <c r="N86" s="40" t="n"/>
      <c r="O86" s="37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2" t="n"/>
      <c r="AJ86" s="20" t="n"/>
    </row>
    <row r="87">
      <c r="A87" s="24" t="inlineStr">
        <is>
          <t>TORRE B</t>
        </is>
      </c>
      <c r="B87" s="24" t="inlineStr">
        <is>
          <t>GARAGEM 01</t>
        </is>
      </c>
      <c r="C87" s="25" t="n"/>
      <c r="D87" s="26" t="n"/>
      <c r="E87" s="26" t="n"/>
      <c r="F87" s="27" t="n"/>
      <c r="G87" s="27" t="n"/>
      <c r="H87" s="27" t="n"/>
      <c r="I87" s="28" t="n"/>
      <c r="J87" s="27" t="n"/>
      <c r="K87" s="29" t="n"/>
      <c r="L87" s="30">
        <f>IF(SUM(F87:K87)=0,SUMIFS($L88:$L$999,$B88:$B$999,$B87,$A88:$A$999,$A87),I87*K87)</f>
        <v/>
      </c>
      <c r="M87" s="20" t="n"/>
      <c r="N87" s="31" t="n"/>
      <c r="O87" s="32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  <c r="AA87" s="33" t="n"/>
      <c r="AB87" s="33" t="n"/>
      <c r="AC87" s="33" t="n"/>
      <c r="AD87" s="33" t="n"/>
      <c r="AE87" s="33" t="n"/>
      <c r="AF87" s="33" t="n"/>
      <c r="AG87" s="33" t="n"/>
      <c r="AH87" s="33" t="n"/>
      <c r="AI87" s="34" t="n"/>
      <c r="AJ87" s="20" t="n"/>
    </row>
    <row r="88">
      <c r="A88" s="35">
        <f>$A$87</f>
        <v/>
      </c>
      <c r="B88" s="35">
        <f>$B$87</f>
        <v/>
      </c>
      <c r="C88" s="35" t="inlineStr">
        <is>
          <t>SHP</t>
        </is>
      </c>
      <c r="D88" s="35" t="inlineStr">
        <is>
          <t>Sistema Hidráulico Preventivo (SHP)</t>
        </is>
      </c>
      <c r="E88" s="35" t="inlineStr">
        <is>
          <t>Tubo de cobre Ø2"</t>
        </is>
      </c>
      <c r="F88" s="36" t="n">
        <v>8</v>
      </c>
      <c r="G88" s="36" t="n">
        <v>1</v>
      </c>
      <c r="H88" s="36" t="n">
        <v>0</v>
      </c>
      <c r="I88" s="37">
        <f>(F88+H88*F88)*G88</f>
        <v/>
      </c>
      <c r="J88" s="36" t="inlineStr">
        <is>
          <t>m</t>
        </is>
      </c>
      <c r="K88" s="38" t="n">
        <v>315</v>
      </c>
      <c r="L88" s="39">
        <f>IF(SUM(F88:K88)=0,SUMIFS($L89:$L$999,$B89:$B$999,$B88,$A89:$A$999,$A88),I88*K88)</f>
        <v/>
      </c>
      <c r="M88" s="20" t="n"/>
      <c r="N88" s="40" t="n"/>
      <c r="O88" s="37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2" t="n"/>
      <c r="AJ88" s="20" t="n"/>
    </row>
    <row r="89">
      <c r="A89" s="35">
        <f>$A$87</f>
        <v/>
      </c>
      <c r="B89" s="35">
        <f>$B$87</f>
        <v/>
      </c>
      <c r="C89" s="35" t="inlineStr">
        <is>
          <t>SHP</t>
        </is>
      </c>
      <c r="D89" s="35" t="inlineStr">
        <is>
          <t>Sistema Hidráulico Preventivo (SHP)</t>
        </is>
      </c>
      <c r="E89" s="35" t="inlineStr">
        <is>
          <t>Joelho 90° Cobre Ø2"</t>
        </is>
      </c>
      <c r="F89" s="36" t="n">
        <v>1</v>
      </c>
      <c r="G89" s="36" t="n">
        <v>1</v>
      </c>
      <c r="H89" s="36" t="n">
        <v>0</v>
      </c>
      <c r="I89" s="37">
        <f>(F89+H89*F89)*G89</f>
        <v/>
      </c>
      <c r="J89" s="36" t="inlineStr">
        <is>
          <t>pç</t>
        </is>
      </c>
      <c r="K89" s="38" t="n">
        <v>38</v>
      </c>
      <c r="L89" s="39">
        <f>IF(SUM(F89:K89)=0,SUMIFS($L90:$L$999,$B90:$B$999,$B89,$A90:$A$999,$A89),I89*K89)</f>
        <v/>
      </c>
      <c r="M89" s="20" t="n"/>
      <c r="N89" s="40" t="n"/>
      <c r="O89" s="37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2" t="n"/>
      <c r="AJ89" s="20" t="n"/>
    </row>
    <row r="90">
      <c r="A90" s="35">
        <f>$A$87</f>
        <v/>
      </c>
      <c r="B90" s="35">
        <f>$B$87</f>
        <v/>
      </c>
      <c r="C90" s="35" t="inlineStr">
        <is>
          <t>SHP</t>
        </is>
      </c>
      <c r="D90" s="35" t="inlineStr">
        <is>
          <t>Sistema Hidráulico Preventivo (SHP)</t>
        </is>
      </c>
      <c r="E90" s="35" t="inlineStr">
        <is>
          <t>Tê Cobre Ø2"</t>
        </is>
      </c>
      <c r="F90" s="36" t="n">
        <v>1</v>
      </c>
      <c r="G90" s="36" t="n">
        <v>1</v>
      </c>
      <c r="H90" s="36" t="n">
        <v>0</v>
      </c>
      <c r="I90" s="37">
        <f>(F90+H90*F90)*G90</f>
        <v/>
      </c>
      <c r="J90" s="36" t="inlineStr">
        <is>
          <t>pç</t>
        </is>
      </c>
      <c r="K90" s="38" t="n">
        <v>98</v>
      </c>
      <c r="L90" s="39">
        <f>IF(SUM(F90:K90)=0,SUMIFS($L91:$L$999,$B91:$B$999,$B90,$A91:$A$999,$A90),I90*K90)</f>
        <v/>
      </c>
      <c r="M90" s="20" t="n"/>
      <c r="N90" s="40" t="n"/>
      <c r="O90" s="37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2" t="n"/>
      <c r="AJ90" s="20" t="n"/>
    </row>
    <row r="91">
      <c r="A91" s="35">
        <f>$A$87</f>
        <v/>
      </c>
      <c r="B91" s="35">
        <f>$B$87</f>
        <v/>
      </c>
      <c r="C91" s="35" t="inlineStr">
        <is>
          <t>HIDRANTE</t>
        </is>
      </c>
      <c r="D91" s="35" t="inlineStr">
        <is>
          <t>Sistema Hidráulico Preventivo (SHP)</t>
        </is>
      </c>
      <c r="E91" s="35" t="inlineStr">
        <is>
          <t>Hidrante com Mangotinho 30m 60x100cm</t>
        </is>
      </c>
      <c r="F91" s="36" t="n">
        <v>1</v>
      </c>
      <c r="G91" s="36" t="n">
        <v>1</v>
      </c>
      <c r="H91" s="36" t="n"/>
      <c r="I91" s="37">
        <f>(F91+H91*F91)*G91</f>
        <v/>
      </c>
      <c r="J91" s="36" t="inlineStr">
        <is>
          <t>pç</t>
        </is>
      </c>
      <c r="K91" s="38" t="n">
        <v>1128</v>
      </c>
      <c r="L91" s="39">
        <f>IF(SUM(F91:K91)=0,SUMIFS($L92:$L$999,$B92:$B$999,$B91,$A92:$A$999,$A91),I91*K91)</f>
        <v/>
      </c>
      <c r="M91" s="20" t="n"/>
      <c r="N91" s="40" t="n"/>
      <c r="O91" s="37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2" t="n"/>
      <c r="AJ91" s="20" t="n"/>
    </row>
    <row r="92">
      <c r="A92" s="35">
        <f>$A$87</f>
        <v/>
      </c>
      <c r="B92" s="35">
        <f>$B$87</f>
        <v/>
      </c>
      <c r="C92" s="35" t="inlineStr">
        <is>
          <t>EXTINTORES</t>
        </is>
      </c>
      <c r="D92" s="35" t="inlineStr">
        <is>
          <t>Sistema Preventivo por Extintores</t>
        </is>
      </c>
      <c r="E92" s="35" t="inlineStr">
        <is>
          <t>Extintor PQS 4Kg (2-A:20-B:C)</t>
        </is>
      </c>
      <c r="F92" s="36" t="n">
        <v>2</v>
      </c>
      <c r="G92" s="36" t="n">
        <v>1</v>
      </c>
      <c r="H92" s="36" t="n"/>
      <c r="I92" s="37">
        <f>(F92+H92*F92)*G92</f>
        <v/>
      </c>
      <c r="J92" s="36" t="inlineStr">
        <is>
          <t>pç</t>
        </is>
      </c>
      <c r="K92" s="38" t="n">
        <v>120</v>
      </c>
      <c r="L92" s="39">
        <f>IF(SUM(F92:K92)=0,SUMIFS($L93:$L$999,$B93:$B$999,$B92,$A93:$A$999,$A92),I92*K92)</f>
        <v/>
      </c>
      <c r="M92" s="20" t="n"/>
      <c r="N92" s="40" t="n"/>
      <c r="O92" s="37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2" t="n"/>
      <c r="AJ92" s="20" t="n"/>
    </row>
    <row r="93">
      <c r="A93" s="35">
        <f>$A$87</f>
        <v/>
      </c>
      <c r="B93" s="35">
        <f>$B$87</f>
        <v/>
      </c>
      <c r="C93" s="35" t="inlineStr">
        <is>
          <t>SINALIZAÇÃO</t>
        </is>
      </c>
      <c r="D93" s="35" t="inlineStr">
        <is>
          <t>Sinalização de Abandono de Local (SAL)</t>
        </is>
      </c>
      <c r="E93" s="35" t="inlineStr">
        <is>
          <t>Placa Indicativa - Número do Pavimento 200x100 mm</t>
        </is>
      </c>
      <c r="F93" s="36" t="n">
        <v>1</v>
      </c>
      <c r="G93" s="36" t="n">
        <v>1</v>
      </c>
      <c r="H93" s="36" t="n"/>
      <c r="I93" s="37">
        <f>(F93+H93*F93)*G93</f>
        <v/>
      </c>
      <c r="J93" s="36" t="inlineStr">
        <is>
          <t>pç</t>
        </is>
      </c>
      <c r="K93" s="38" t="n">
        <v>15</v>
      </c>
      <c r="L93" s="39">
        <f>IF(SUM(F93:K93)=0,SUMIFS($L94:$L$999,$B94:$B$999,$B93,$A94:$A$999,$A93),I93*K93)</f>
        <v/>
      </c>
      <c r="M93" s="20" t="n"/>
      <c r="N93" s="40" t="n"/>
      <c r="O93" s="37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2" t="n"/>
      <c r="AJ93" s="20" t="n"/>
    </row>
    <row r="94">
      <c r="A94" s="35">
        <f>$A$87</f>
        <v/>
      </c>
      <c r="B94" s="35">
        <f>$B$87</f>
        <v/>
      </c>
      <c r="C94" s="35" t="inlineStr">
        <is>
          <t>SINALIZAÇÃO</t>
        </is>
      </c>
      <c r="D94" s="35" t="inlineStr">
        <is>
          <t>Sinalização de Abandono de Local (SAL)</t>
        </is>
      </c>
      <c r="E94" s="35" t="inlineStr">
        <is>
          <t>Placa Indicativa - Elevador de Emergência 250x125 mm</t>
        </is>
      </c>
      <c r="F94" s="36" t="n">
        <v>1</v>
      </c>
      <c r="G94" s="36" t="n">
        <v>1</v>
      </c>
      <c r="H94" s="36" t="n"/>
      <c r="I94" s="37">
        <f>(F94+H94*F94)*G94</f>
        <v/>
      </c>
      <c r="J94" s="36" t="inlineStr">
        <is>
          <t>pç</t>
        </is>
      </c>
      <c r="K94" s="38" t="n">
        <v>15</v>
      </c>
      <c r="L94" s="39">
        <f>IF(SUM(F94:K94)=0,SUMIFS($L95:$L$999,$B95:$B$999,$B94,$A95:$A$999,$A94),I94*K94)</f>
        <v/>
      </c>
      <c r="M94" s="20" t="n"/>
      <c r="N94" s="40" t="n"/>
      <c r="O94" s="37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2" t="n"/>
      <c r="AJ94" s="20" t="n"/>
    </row>
    <row r="95">
      <c r="A95" s="24" t="inlineStr">
        <is>
          <t>TORRE B</t>
        </is>
      </c>
      <c r="B95" s="24" t="inlineStr">
        <is>
          <t>GARAGEM 02</t>
        </is>
      </c>
      <c r="C95" s="25" t="n"/>
      <c r="D95" s="26" t="n"/>
      <c r="E95" s="26" t="n"/>
      <c r="F95" s="27" t="n"/>
      <c r="G95" s="27" t="n"/>
      <c r="H95" s="27" t="n"/>
      <c r="I95" s="28" t="n"/>
      <c r="J95" s="27" t="n"/>
      <c r="K95" s="29" t="n"/>
      <c r="L95" s="30">
        <f>IF(SUM(F95:K95)=0,SUMIFS($L96:$L$999,$B96:$B$999,$B95,$A96:$A$999,$A95),I95*K95)</f>
        <v/>
      </c>
      <c r="M95" s="20" t="n"/>
      <c r="N95" s="31" t="n"/>
      <c r="O95" s="32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3" t="n"/>
      <c r="AG95" s="33" t="n"/>
      <c r="AH95" s="33" t="n"/>
      <c r="AI95" s="34" t="n"/>
      <c r="AJ95" s="20" t="n"/>
    </row>
    <row r="96">
      <c r="A96" s="35">
        <f>$A$95</f>
        <v/>
      </c>
      <c r="B96" s="35">
        <f>$B$95</f>
        <v/>
      </c>
      <c r="C96" s="35" t="inlineStr">
        <is>
          <t>SHP</t>
        </is>
      </c>
      <c r="D96" s="35" t="inlineStr">
        <is>
          <t>Sistema Hidráulico Preventivo (SHP)</t>
        </is>
      </c>
      <c r="E96" s="35" t="inlineStr">
        <is>
          <t>Tubo de cobre Ø2"</t>
        </is>
      </c>
      <c r="F96" s="36" t="n">
        <v>8</v>
      </c>
      <c r="G96" s="36" t="n">
        <v>1</v>
      </c>
      <c r="H96" s="36" t="n">
        <v>0</v>
      </c>
      <c r="I96" s="37">
        <f>(F96+H96*F96)*G96</f>
        <v/>
      </c>
      <c r="J96" s="36" t="inlineStr">
        <is>
          <t>m</t>
        </is>
      </c>
      <c r="K96" s="38" t="n">
        <v>315</v>
      </c>
      <c r="L96" s="39">
        <f>IF(SUM(F96:K96)=0,SUMIFS($L97:$L$999,$B97:$B$999,$B96,$A97:$A$999,$A96),I96*K96)</f>
        <v/>
      </c>
      <c r="M96" s="20" t="n"/>
      <c r="N96" s="40" t="n"/>
      <c r="O96" s="37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2" t="n"/>
      <c r="AJ96" s="20" t="n"/>
    </row>
    <row r="97">
      <c r="A97" s="35">
        <f>$A$95</f>
        <v/>
      </c>
      <c r="B97" s="35">
        <f>$B$95</f>
        <v/>
      </c>
      <c r="C97" s="35" t="inlineStr">
        <is>
          <t>SHP</t>
        </is>
      </c>
      <c r="D97" s="35" t="inlineStr">
        <is>
          <t>Sistema Hidráulico Preventivo (SHP)</t>
        </is>
      </c>
      <c r="E97" s="35" t="inlineStr">
        <is>
          <t>Tê Cobre Ø2"</t>
        </is>
      </c>
      <c r="F97" s="36" t="n">
        <v>1</v>
      </c>
      <c r="G97" s="36" t="n">
        <v>1</v>
      </c>
      <c r="H97" s="36" t="n">
        <v>0</v>
      </c>
      <c r="I97" s="37">
        <f>(F97+H97*F97)*G97</f>
        <v/>
      </c>
      <c r="J97" s="36" t="inlineStr">
        <is>
          <t>pç</t>
        </is>
      </c>
      <c r="K97" s="38" t="n">
        <v>98</v>
      </c>
      <c r="L97" s="39">
        <f>IF(SUM(F97:K97)=0,SUMIFS($L98:$L$999,$B98:$B$999,$B97,$A98:$A$999,$A97),I97*K97)</f>
        <v/>
      </c>
      <c r="M97" s="20" t="n"/>
      <c r="N97" s="40" t="n"/>
      <c r="O97" s="37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2" t="n"/>
      <c r="AJ97" s="20" t="n"/>
    </row>
    <row r="98">
      <c r="A98" s="35">
        <f>$A$95</f>
        <v/>
      </c>
      <c r="B98" s="35">
        <f>$B$95</f>
        <v/>
      </c>
      <c r="C98" s="35" t="inlineStr">
        <is>
          <t>HIDRANTE</t>
        </is>
      </c>
      <c r="D98" s="35" t="inlineStr">
        <is>
          <t>Sistema Hidráulico Preventivo (SHP)</t>
        </is>
      </c>
      <c r="E98" s="35" t="inlineStr">
        <is>
          <t>Hidrante com Mangotinho 30m 60x100cm</t>
        </is>
      </c>
      <c r="F98" s="36" t="n">
        <v>1</v>
      </c>
      <c r="G98" s="36" t="n">
        <v>1</v>
      </c>
      <c r="H98" s="36" t="n"/>
      <c r="I98" s="37">
        <f>(F98+H98*F98)*G98</f>
        <v/>
      </c>
      <c r="J98" s="36" t="inlineStr">
        <is>
          <t>pç</t>
        </is>
      </c>
      <c r="K98" s="38" t="n">
        <v>1128</v>
      </c>
      <c r="L98" s="39">
        <f>IF(SUM(F98:K98)=0,SUMIFS($L99:$L$999,$B99:$B$999,$B98,$A99:$A$999,$A98),I98*K98)</f>
        <v/>
      </c>
      <c r="M98" s="20" t="n"/>
      <c r="N98" s="40" t="n"/>
      <c r="O98" s="37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2" t="n"/>
      <c r="AJ98" s="20" t="n"/>
    </row>
    <row r="99">
      <c r="A99" s="35">
        <f>$A$95</f>
        <v/>
      </c>
      <c r="B99" s="35">
        <f>$B$95</f>
        <v/>
      </c>
      <c r="C99" s="35" t="inlineStr">
        <is>
          <t>EXTINTORES</t>
        </is>
      </c>
      <c r="D99" s="35" t="inlineStr">
        <is>
          <t>Sistema Preventivo por Extintores</t>
        </is>
      </c>
      <c r="E99" s="35" t="inlineStr">
        <is>
          <t>Extintor PQS 4Kg (2-A:20-B:C)</t>
        </is>
      </c>
      <c r="F99" s="36" t="n">
        <v>2</v>
      </c>
      <c r="G99" s="36" t="n">
        <v>1</v>
      </c>
      <c r="H99" s="36" t="n"/>
      <c r="I99" s="37">
        <f>(F99+H99*F99)*G99</f>
        <v/>
      </c>
      <c r="J99" s="36" t="inlineStr">
        <is>
          <t>pç</t>
        </is>
      </c>
      <c r="K99" s="38" t="n">
        <v>120</v>
      </c>
      <c r="L99" s="39">
        <f>IF(SUM(F99:K99)=0,SUMIFS($L100:$L$999,$B100:$B$999,$B99,$A100:$A$999,$A99),I99*K99)</f>
        <v/>
      </c>
      <c r="M99" s="20" t="n"/>
      <c r="N99" s="40" t="n"/>
      <c r="O99" s="37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2" t="n"/>
      <c r="AJ99" s="20" t="n"/>
    </row>
    <row r="100">
      <c r="A100" s="35">
        <f>$A$95</f>
        <v/>
      </c>
      <c r="B100" s="35">
        <f>$B$95</f>
        <v/>
      </c>
      <c r="C100" s="35" t="inlineStr">
        <is>
          <t>SINALIZAÇÃO</t>
        </is>
      </c>
      <c r="D100" s="35" t="inlineStr">
        <is>
          <t>Sinalização de Abandono de Local (SAL)</t>
        </is>
      </c>
      <c r="E100" s="35" t="inlineStr">
        <is>
          <t>Placa Indicativa - Número do Pavimento 200x100 mm</t>
        </is>
      </c>
      <c r="F100" s="36" t="n">
        <v>1</v>
      </c>
      <c r="G100" s="36" t="n">
        <v>1</v>
      </c>
      <c r="H100" s="36" t="n"/>
      <c r="I100" s="37">
        <f>(F100+H100*F100)*G100</f>
        <v/>
      </c>
      <c r="J100" s="36" t="inlineStr">
        <is>
          <t>pç</t>
        </is>
      </c>
      <c r="K100" s="38" t="n">
        <v>15</v>
      </c>
      <c r="L100" s="39">
        <f>IF(SUM(F100:K100)=0,SUMIFS($L101:$L$999,$B101:$B$999,$B100,$A101:$A$999,$A100),I100*K100)</f>
        <v/>
      </c>
      <c r="M100" s="20" t="n"/>
      <c r="N100" s="40" t="n"/>
      <c r="O100" s="37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2" t="n"/>
      <c r="AJ100" s="20" t="n"/>
    </row>
    <row r="101">
      <c r="A101" s="35">
        <f>$A$95</f>
        <v/>
      </c>
      <c r="B101" s="35">
        <f>$B$95</f>
        <v/>
      </c>
      <c r="C101" s="35" t="inlineStr">
        <is>
          <t>SINALIZAÇÃO</t>
        </is>
      </c>
      <c r="D101" s="35" t="inlineStr">
        <is>
          <t>Sinalização de Abandono de Local (SAL)</t>
        </is>
      </c>
      <c r="E101" s="35" t="inlineStr">
        <is>
          <t>Placa Indicativa - Elevador de Emergência 250x125 mm</t>
        </is>
      </c>
      <c r="F101" s="36" t="n">
        <v>1</v>
      </c>
      <c r="G101" s="36" t="n">
        <v>1</v>
      </c>
      <c r="H101" s="36" t="n"/>
      <c r="I101" s="37">
        <f>(F101+H101*F101)*G101</f>
        <v/>
      </c>
      <c r="J101" s="36" t="inlineStr">
        <is>
          <t>pç</t>
        </is>
      </c>
      <c r="K101" s="38" t="n">
        <v>15</v>
      </c>
      <c r="L101" s="39">
        <f>IF(SUM(F101:K101)=0,SUMIFS($L102:$L$999,$B102:$B$999,$B101,$A102:$A$999,$A101),I101*K101)</f>
        <v/>
      </c>
      <c r="M101" s="20" t="n"/>
      <c r="N101" s="40" t="n"/>
      <c r="O101" s="37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2" t="n"/>
      <c r="AJ101" s="20" t="n"/>
    </row>
    <row r="102">
      <c r="A102" s="24" t="inlineStr">
        <is>
          <t>TORRE B</t>
        </is>
      </c>
      <c r="B102" s="24" t="inlineStr">
        <is>
          <t>GARAGEM 03</t>
        </is>
      </c>
      <c r="C102" s="25" t="n"/>
      <c r="D102" s="26" t="n"/>
      <c r="E102" s="26" t="n"/>
      <c r="F102" s="27" t="n"/>
      <c r="G102" s="27" t="n"/>
      <c r="H102" s="27" t="n"/>
      <c r="I102" s="28" t="n"/>
      <c r="J102" s="27" t="n"/>
      <c r="K102" s="29" t="n"/>
      <c r="L102" s="30">
        <f>IF(SUM(F102:K102)=0,SUMIFS($L103:$L$999,$B103:$B$999,$B102,$A103:$A$999,$A102),I102*K102)</f>
        <v/>
      </c>
      <c r="M102" s="20" t="n"/>
      <c r="N102" s="31" t="n"/>
      <c r="O102" s="32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  <c r="AA102" s="33" t="n"/>
      <c r="AB102" s="33" t="n"/>
      <c r="AC102" s="33" t="n"/>
      <c r="AD102" s="33" t="n"/>
      <c r="AE102" s="33" t="n"/>
      <c r="AF102" s="33" t="n"/>
      <c r="AG102" s="33" t="n"/>
      <c r="AH102" s="33" t="n"/>
      <c r="AI102" s="34" t="n"/>
      <c r="AJ102" s="20" t="n"/>
    </row>
    <row r="103">
      <c r="A103" s="35">
        <f>$A$102</f>
        <v/>
      </c>
      <c r="B103" s="35">
        <f>$B$102</f>
        <v/>
      </c>
      <c r="C103" s="35" t="inlineStr">
        <is>
          <t>SHP</t>
        </is>
      </c>
      <c r="D103" s="35" t="inlineStr">
        <is>
          <t>Sistema Hidráulico Preventivo (SHP)</t>
        </is>
      </c>
      <c r="E103" s="35" t="inlineStr">
        <is>
          <t>Tubo de cobre Ø2"</t>
        </is>
      </c>
      <c r="F103" s="36" t="n">
        <v>8</v>
      </c>
      <c r="G103" s="36" t="n">
        <v>1</v>
      </c>
      <c r="H103" s="36" t="n">
        <v>0</v>
      </c>
      <c r="I103" s="37">
        <f>(F103+H103*F103)*G103</f>
        <v/>
      </c>
      <c r="J103" s="36" t="inlineStr">
        <is>
          <t>m</t>
        </is>
      </c>
      <c r="K103" s="38" t="n">
        <v>315</v>
      </c>
      <c r="L103" s="39">
        <f>IF(SUM(F103:K103)=0,SUMIFS($L104:$L$999,$B104:$B$999,$B103,$A104:$A$999,$A103),I103*K103)</f>
        <v/>
      </c>
      <c r="M103" s="20" t="n"/>
      <c r="N103" s="40" t="n"/>
      <c r="O103" s="37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2" t="n"/>
      <c r="AJ103" s="20" t="n"/>
    </row>
    <row r="104">
      <c r="A104" s="35">
        <f>$A$102</f>
        <v/>
      </c>
      <c r="B104" s="35">
        <f>$B$102</f>
        <v/>
      </c>
      <c r="C104" s="35" t="inlineStr">
        <is>
          <t>SHP</t>
        </is>
      </c>
      <c r="D104" s="35" t="inlineStr">
        <is>
          <t>Sistema Hidráulico Preventivo (SHP)</t>
        </is>
      </c>
      <c r="E104" s="35" t="inlineStr">
        <is>
          <t>Tê Cobre Ø2"</t>
        </is>
      </c>
      <c r="F104" s="36" t="n">
        <v>1</v>
      </c>
      <c r="G104" s="36" t="n">
        <v>1</v>
      </c>
      <c r="H104" s="36" t="n">
        <v>0</v>
      </c>
      <c r="I104" s="37">
        <f>(F104+H104*F104)*G104</f>
        <v/>
      </c>
      <c r="J104" s="36" t="inlineStr">
        <is>
          <t>pç</t>
        </is>
      </c>
      <c r="K104" s="38" t="n">
        <v>98</v>
      </c>
      <c r="L104" s="39">
        <f>IF(SUM(F104:K104)=0,SUMIFS($L105:$L$999,$B105:$B$999,$B104,$A105:$A$999,$A104),I104*K104)</f>
        <v/>
      </c>
      <c r="M104" s="20" t="n"/>
      <c r="N104" s="40" t="n"/>
      <c r="O104" s="37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2" t="n"/>
      <c r="AJ104" s="20" t="n"/>
    </row>
    <row r="105">
      <c r="A105" s="35">
        <f>$A$102</f>
        <v/>
      </c>
      <c r="B105" s="35">
        <f>$B$102</f>
        <v/>
      </c>
      <c r="C105" s="35" t="inlineStr">
        <is>
          <t>HIDRANTE</t>
        </is>
      </c>
      <c r="D105" s="35" t="inlineStr">
        <is>
          <t>Sistema Hidráulico Preventivo (SHP)</t>
        </is>
      </c>
      <c r="E105" s="35" t="inlineStr">
        <is>
          <t>Hidrante com Mangotinho 30m 60x100cm</t>
        </is>
      </c>
      <c r="F105" s="36" t="n">
        <v>1</v>
      </c>
      <c r="G105" s="36" t="n">
        <v>1</v>
      </c>
      <c r="H105" s="36" t="n"/>
      <c r="I105" s="37">
        <f>(F105+H105*F105)*G105</f>
        <v/>
      </c>
      <c r="J105" s="36" t="inlineStr">
        <is>
          <t>pç</t>
        </is>
      </c>
      <c r="K105" s="38" t="n">
        <v>1128</v>
      </c>
      <c r="L105" s="39">
        <f>IF(SUM(F105:K105)=0,SUMIFS($L106:$L$999,$B106:$B$999,$B105,$A106:$A$999,$A105),I105*K105)</f>
        <v/>
      </c>
      <c r="M105" s="20" t="n"/>
      <c r="N105" s="40" t="n"/>
      <c r="O105" s="37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2" t="n"/>
      <c r="AJ105" s="20" t="n"/>
    </row>
    <row r="106">
      <c r="A106" s="35">
        <f>$A$102</f>
        <v/>
      </c>
      <c r="B106" s="35">
        <f>$B$102</f>
        <v/>
      </c>
      <c r="C106" s="35" t="inlineStr">
        <is>
          <t>EXTINTORES</t>
        </is>
      </c>
      <c r="D106" s="35" t="inlineStr">
        <is>
          <t>Sistema Preventivo por Extintores</t>
        </is>
      </c>
      <c r="E106" s="35" t="inlineStr">
        <is>
          <t>Extintor PQS 4Kg (2-A:20-B:C)</t>
        </is>
      </c>
      <c r="F106" s="36" t="n">
        <v>2</v>
      </c>
      <c r="G106" s="36" t="n">
        <v>1</v>
      </c>
      <c r="H106" s="36" t="n"/>
      <c r="I106" s="37">
        <f>(F106+H106*F106)*G106</f>
        <v/>
      </c>
      <c r="J106" s="36" t="inlineStr">
        <is>
          <t>pç</t>
        </is>
      </c>
      <c r="K106" s="38" t="n">
        <v>120</v>
      </c>
      <c r="L106" s="39">
        <f>IF(SUM(F106:K106)=0,SUMIFS($L107:$L$999,$B107:$B$999,$B106,$A107:$A$999,$A106),I106*K106)</f>
        <v/>
      </c>
      <c r="M106" s="20" t="n"/>
      <c r="N106" s="40" t="n"/>
      <c r="O106" s="37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2" t="n"/>
      <c r="AJ106" s="20" t="n"/>
    </row>
    <row r="107">
      <c r="A107" s="35">
        <f>$A$102</f>
        <v/>
      </c>
      <c r="B107" s="35">
        <f>$B$102</f>
        <v/>
      </c>
      <c r="C107" s="35" t="inlineStr">
        <is>
          <t>SINALIZAÇÃO</t>
        </is>
      </c>
      <c r="D107" s="35" t="inlineStr">
        <is>
          <t>Sinalização de Abandono de Local (SAL)</t>
        </is>
      </c>
      <c r="E107" s="35" t="inlineStr">
        <is>
          <t>Placa Indicativa - Número do Pavimento 200x100 mm</t>
        </is>
      </c>
      <c r="F107" s="36" t="n">
        <v>1</v>
      </c>
      <c r="G107" s="36" t="n">
        <v>1</v>
      </c>
      <c r="H107" s="36" t="n"/>
      <c r="I107" s="37">
        <f>(F107+H107*F107)*G107</f>
        <v/>
      </c>
      <c r="J107" s="36" t="inlineStr">
        <is>
          <t>pç</t>
        </is>
      </c>
      <c r="K107" s="38" t="n">
        <v>15</v>
      </c>
      <c r="L107" s="39">
        <f>IF(SUM(F107:K107)=0,SUMIFS($L108:$L$999,$B108:$B$999,$B107,$A108:$A$999,$A107),I107*K107)</f>
        <v/>
      </c>
      <c r="M107" s="20" t="n"/>
      <c r="N107" s="40" t="n"/>
      <c r="O107" s="37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2" t="n"/>
      <c r="AJ107" s="20" t="n"/>
    </row>
    <row r="108">
      <c r="A108" s="35">
        <f>$A$102</f>
        <v/>
      </c>
      <c r="B108" s="35">
        <f>$B$102</f>
        <v/>
      </c>
      <c r="C108" s="35" t="inlineStr">
        <is>
          <t>SINALIZAÇÃO</t>
        </is>
      </c>
      <c r="D108" s="35" t="inlineStr">
        <is>
          <t>Sinalização de Abandono de Local (SAL)</t>
        </is>
      </c>
      <c r="E108" s="35" t="inlineStr">
        <is>
          <t>Placa Indicativa - Elevador de Emergência 250x125 mm</t>
        </is>
      </c>
      <c r="F108" s="36" t="n">
        <v>1</v>
      </c>
      <c r="G108" s="36" t="n">
        <v>1</v>
      </c>
      <c r="H108" s="36" t="n"/>
      <c r="I108" s="37">
        <f>(F108+H108*F108)*G108</f>
        <v/>
      </c>
      <c r="J108" s="36" t="inlineStr">
        <is>
          <t>pç</t>
        </is>
      </c>
      <c r="K108" s="38" t="n">
        <v>15</v>
      </c>
      <c r="L108" s="39">
        <f>IF(SUM(F108:K108)=0,SUMIFS($L109:$L$999,$B109:$B$999,$B108,$A109:$A$999,$A108),I108*K108)</f>
        <v/>
      </c>
      <c r="M108" s="20" t="n"/>
      <c r="N108" s="40" t="n"/>
      <c r="O108" s="37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2" t="n"/>
      <c r="AJ108" s="20" t="n"/>
    </row>
    <row r="109">
      <c r="A109" s="24" t="inlineStr">
        <is>
          <t>TORRE B</t>
        </is>
      </c>
      <c r="B109" s="24" t="inlineStr">
        <is>
          <t>GARAGEM 04</t>
        </is>
      </c>
      <c r="C109" s="25" t="n"/>
      <c r="D109" s="26" t="n"/>
      <c r="E109" s="26" t="n"/>
      <c r="F109" s="27" t="n"/>
      <c r="G109" s="27" t="n"/>
      <c r="H109" s="27" t="n"/>
      <c r="I109" s="28" t="n"/>
      <c r="J109" s="27" t="n"/>
      <c r="K109" s="29" t="n"/>
      <c r="L109" s="30">
        <f>IF(SUM(F109:K109)=0,SUMIFS($L110:$L$999,$B110:$B$999,$B109,$A110:$A$999,$A109),I109*K109)</f>
        <v/>
      </c>
      <c r="M109" s="20" t="n"/>
      <c r="N109" s="31" t="n"/>
      <c r="O109" s="32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33" t="n"/>
      <c r="AB109" s="33" t="n"/>
      <c r="AC109" s="33" t="n"/>
      <c r="AD109" s="33" t="n"/>
      <c r="AE109" s="33" t="n"/>
      <c r="AF109" s="33" t="n"/>
      <c r="AG109" s="33" t="n"/>
      <c r="AH109" s="33" t="n"/>
      <c r="AI109" s="34" t="n"/>
      <c r="AJ109" s="20" t="n"/>
    </row>
    <row r="110">
      <c r="A110" s="35">
        <f>$A$109</f>
        <v/>
      </c>
      <c r="B110" s="35">
        <f>$B$109</f>
        <v/>
      </c>
      <c r="C110" s="35" t="inlineStr">
        <is>
          <t>SHP</t>
        </is>
      </c>
      <c r="D110" s="35" t="inlineStr">
        <is>
          <t>Sistema Hidráulico Preventivo (SHP)</t>
        </is>
      </c>
      <c r="E110" s="35" t="inlineStr">
        <is>
          <t>Tubo de cobre Ø2"</t>
        </is>
      </c>
      <c r="F110" s="36" t="n">
        <v>8</v>
      </c>
      <c r="G110" s="36" t="n">
        <v>1</v>
      </c>
      <c r="H110" s="36" t="n">
        <v>0</v>
      </c>
      <c r="I110" s="37">
        <f>(F110+H110*F110)*G110</f>
        <v/>
      </c>
      <c r="J110" s="36" t="inlineStr">
        <is>
          <t>m</t>
        </is>
      </c>
      <c r="K110" s="38" t="n">
        <v>315</v>
      </c>
      <c r="L110" s="39">
        <f>IF(SUM(F110:K110)=0,SUMIFS($L111:$L$999,$B111:$B$999,$B110,$A111:$A$999,$A110),I110*K110)</f>
        <v/>
      </c>
      <c r="M110" s="20" t="n"/>
      <c r="N110" s="40" t="n"/>
      <c r="O110" s="37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2" t="n"/>
      <c r="AJ110" s="20" t="n"/>
    </row>
    <row r="111">
      <c r="A111" s="35">
        <f>$A$109</f>
        <v/>
      </c>
      <c r="B111" s="35">
        <f>$B$109</f>
        <v/>
      </c>
      <c r="C111" s="35" t="inlineStr">
        <is>
          <t>SHP</t>
        </is>
      </c>
      <c r="D111" s="35" t="inlineStr">
        <is>
          <t>Sistema Hidráulico Preventivo (SHP)</t>
        </is>
      </c>
      <c r="E111" s="35" t="inlineStr">
        <is>
          <t>Tê Cobre Ø2"</t>
        </is>
      </c>
      <c r="F111" s="36" t="n">
        <v>1</v>
      </c>
      <c r="G111" s="36" t="n">
        <v>1</v>
      </c>
      <c r="H111" s="36" t="n">
        <v>0</v>
      </c>
      <c r="I111" s="37">
        <f>(F111+H111*F111)*G111</f>
        <v/>
      </c>
      <c r="J111" s="36" t="inlineStr">
        <is>
          <t>pç</t>
        </is>
      </c>
      <c r="K111" s="38" t="n">
        <v>98</v>
      </c>
      <c r="L111" s="39">
        <f>IF(SUM(F111:K111)=0,SUMIFS($L112:$L$999,$B112:$B$999,$B111,$A112:$A$999,$A111),I111*K111)</f>
        <v/>
      </c>
      <c r="M111" s="20" t="n"/>
      <c r="N111" s="40" t="n"/>
      <c r="O111" s="37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2" t="n"/>
      <c r="AJ111" s="20" t="n"/>
    </row>
    <row r="112">
      <c r="A112" s="35">
        <f>$A$109</f>
        <v/>
      </c>
      <c r="B112" s="35">
        <f>$B$109</f>
        <v/>
      </c>
      <c r="C112" s="35" t="inlineStr">
        <is>
          <t>HIDRANTE</t>
        </is>
      </c>
      <c r="D112" s="35" t="inlineStr">
        <is>
          <t>Sistema Hidráulico Preventivo (SHP)</t>
        </is>
      </c>
      <c r="E112" s="35" t="inlineStr">
        <is>
          <t>Hidrante com Mangotinho 30m 60x100cm</t>
        </is>
      </c>
      <c r="F112" s="36" t="n">
        <v>1</v>
      </c>
      <c r="G112" s="36" t="n">
        <v>1</v>
      </c>
      <c r="H112" s="36" t="n"/>
      <c r="I112" s="37">
        <f>(F112+H112*F112)*G112</f>
        <v/>
      </c>
      <c r="J112" s="36" t="inlineStr">
        <is>
          <t>pç</t>
        </is>
      </c>
      <c r="K112" s="38" t="n">
        <v>1128</v>
      </c>
      <c r="L112" s="39">
        <f>IF(SUM(F112:K112)=0,SUMIFS($L113:$L$999,$B113:$B$999,$B112,$A113:$A$999,$A112),I112*K112)</f>
        <v/>
      </c>
      <c r="M112" s="20" t="n"/>
      <c r="N112" s="40" t="n"/>
      <c r="O112" s="37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2" t="n"/>
      <c r="AJ112" s="20" t="n"/>
    </row>
    <row r="113">
      <c r="A113" s="35">
        <f>$A$109</f>
        <v/>
      </c>
      <c r="B113" s="35">
        <f>$B$109</f>
        <v/>
      </c>
      <c r="C113" s="35" t="inlineStr">
        <is>
          <t>EXTINTORES</t>
        </is>
      </c>
      <c r="D113" s="35" t="inlineStr">
        <is>
          <t>Sistema Preventivo por Extintores</t>
        </is>
      </c>
      <c r="E113" s="35" t="inlineStr">
        <is>
          <t>Extintor PQS 4Kg (2-A:20-B:C)</t>
        </is>
      </c>
      <c r="F113" s="36" t="n">
        <v>2</v>
      </c>
      <c r="G113" s="36" t="n">
        <v>1</v>
      </c>
      <c r="H113" s="36" t="n"/>
      <c r="I113" s="37">
        <f>(F113+H113*F113)*G113</f>
        <v/>
      </c>
      <c r="J113" s="36" t="inlineStr">
        <is>
          <t>pç</t>
        </is>
      </c>
      <c r="K113" s="38" t="n">
        <v>120</v>
      </c>
      <c r="L113" s="39">
        <f>IF(SUM(F113:K113)=0,SUMIFS($L114:$L$999,$B114:$B$999,$B113,$A114:$A$999,$A113),I113*K113)</f>
        <v/>
      </c>
      <c r="M113" s="20" t="n"/>
      <c r="N113" s="40" t="n"/>
      <c r="O113" s="37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2" t="n"/>
      <c r="AJ113" s="20" t="n"/>
    </row>
    <row r="114">
      <c r="A114" s="35">
        <f>$A$109</f>
        <v/>
      </c>
      <c r="B114" s="35">
        <f>$B$109</f>
        <v/>
      </c>
      <c r="C114" s="35" t="inlineStr">
        <is>
          <t>SINALIZAÇÃO</t>
        </is>
      </c>
      <c r="D114" s="35" t="inlineStr">
        <is>
          <t>Sinalização de Abandono de Local (SAL)</t>
        </is>
      </c>
      <c r="E114" s="35" t="inlineStr">
        <is>
          <t>Placa Indicativa - Número do Pavimento 200x100 mm</t>
        </is>
      </c>
      <c r="F114" s="36" t="n">
        <v>1</v>
      </c>
      <c r="G114" s="36" t="n">
        <v>1</v>
      </c>
      <c r="H114" s="36" t="n"/>
      <c r="I114" s="37">
        <f>(F114+H114*F114)*G114</f>
        <v/>
      </c>
      <c r="J114" s="36" t="inlineStr">
        <is>
          <t>pç</t>
        </is>
      </c>
      <c r="K114" s="38" t="n">
        <v>15</v>
      </c>
      <c r="L114" s="39">
        <f>IF(SUM(F114:K114)=0,SUMIFS($L115:$L$999,$B115:$B$999,$B114,$A115:$A$999,$A114),I114*K114)</f>
        <v/>
      </c>
      <c r="M114" s="20" t="n"/>
      <c r="N114" s="40" t="n"/>
      <c r="O114" s="37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2" t="n"/>
      <c r="AJ114" s="20" t="n"/>
    </row>
    <row r="115">
      <c r="A115" s="35">
        <f>$A$109</f>
        <v/>
      </c>
      <c r="B115" s="35">
        <f>$B$109</f>
        <v/>
      </c>
      <c r="C115" s="35" t="inlineStr">
        <is>
          <t>SINALIZAÇÃO</t>
        </is>
      </c>
      <c r="D115" s="35" t="inlineStr">
        <is>
          <t>Sinalização de Abandono de Local (SAL)</t>
        </is>
      </c>
      <c r="E115" s="35" t="inlineStr">
        <is>
          <t>Placa Indicativa - Elevador de Emergência 250x125 mm</t>
        </is>
      </c>
      <c r="F115" s="36" t="n">
        <v>1</v>
      </c>
      <c r="G115" s="36" t="n">
        <v>1</v>
      </c>
      <c r="H115" s="36" t="n"/>
      <c r="I115" s="37">
        <f>(F115+H115*F115)*G115</f>
        <v/>
      </c>
      <c r="J115" s="36" t="inlineStr">
        <is>
          <t>pç</t>
        </is>
      </c>
      <c r="K115" s="38" t="n">
        <v>15</v>
      </c>
      <c r="L115" s="39">
        <f>IF(SUM(F115:K115)=0,SUMIFS($L116:$L$999,$B116:$B$999,$B115,$A116:$A$999,$A115),I115*K115)</f>
        <v/>
      </c>
      <c r="M115" s="20" t="n"/>
      <c r="N115" s="40" t="n"/>
      <c r="O115" s="37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2" t="n"/>
      <c r="AJ115" s="20" t="n"/>
    </row>
    <row r="116">
      <c r="A116" s="24" t="inlineStr">
        <is>
          <t>TORRE B</t>
        </is>
      </c>
      <c r="B116" s="24" t="inlineStr">
        <is>
          <t>GARAGEM 05</t>
        </is>
      </c>
      <c r="C116" s="25" t="n"/>
      <c r="D116" s="26" t="n"/>
      <c r="E116" s="26" t="n"/>
      <c r="F116" s="27" t="n"/>
      <c r="G116" s="27" t="n"/>
      <c r="H116" s="27" t="n"/>
      <c r="I116" s="28" t="n"/>
      <c r="J116" s="27" t="n"/>
      <c r="K116" s="29" t="n"/>
      <c r="L116" s="30">
        <f>IF(SUM(F116:K116)=0,SUMIFS($L117:$L$999,$B117:$B$999,$B116,$A117:$A$999,$A116),I116*K116)</f>
        <v/>
      </c>
      <c r="M116" s="20" t="n"/>
      <c r="N116" s="31" t="n"/>
      <c r="O116" s="32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  <c r="AA116" s="33" t="n"/>
      <c r="AB116" s="33" t="n"/>
      <c r="AC116" s="33" t="n"/>
      <c r="AD116" s="33" t="n"/>
      <c r="AE116" s="33" t="n"/>
      <c r="AF116" s="33" t="n"/>
      <c r="AG116" s="33" t="n"/>
      <c r="AH116" s="33" t="n"/>
      <c r="AI116" s="34" t="n"/>
      <c r="AJ116" s="20" t="n"/>
    </row>
    <row r="117">
      <c r="A117" s="35">
        <f>$A$116</f>
        <v/>
      </c>
      <c r="B117" s="35">
        <f>$B$116</f>
        <v/>
      </c>
      <c r="C117" s="35" t="inlineStr">
        <is>
          <t>SHP</t>
        </is>
      </c>
      <c r="D117" s="35" t="inlineStr">
        <is>
          <t>Sistema Hidráulico Preventivo (SHP)</t>
        </is>
      </c>
      <c r="E117" s="35" t="inlineStr">
        <is>
          <t>Tubo de cobre Ø2"</t>
        </is>
      </c>
      <c r="F117" s="36" t="n">
        <v>8</v>
      </c>
      <c r="G117" s="36" t="n">
        <v>1</v>
      </c>
      <c r="H117" s="36" t="n">
        <v>0</v>
      </c>
      <c r="I117" s="37">
        <f>(F117+H117*F117)*G117</f>
        <v/>
      </c>
      <c r="J117" s="36" t="inlineStr">
        <is>
          <t>m</t>
        </is>
      </c>
      <c r="K117" s="38" t="n">
        <v>315</v>
      </c>
      <c r="L117" s="39">
        <f>IF(SUM(F117:K117)=0,SUMIFS($L118:$L$999,$B118:$B$999,$B117,$A118:$A$999,$A117),I117*K117)</f>
        <v/>
      </c>
      <c r="M117" s="20" t="n"/>
      <c r="N117" s="40" t="n"/>
      <c r="O117" s="37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2" t="n"/>
      <c r="AJ117" s="20" t="n"/>
    </row>
    <row r="118">
      <c r="A118" s="35">
        <f>$A$116</f>
        <v/>
      </c>
      <c r="B118" s="35">
        <f>$B$116</f>
        <v/>
      </c>
      <c r="C118" s="35" t="inlineStr">
        <is>
          <t>SHP</t>
        </is>
      </c>
      <c r="D118" s="35" t="inlineStr">
        <is>
          <t>Sistema Hidráulico Preventivo (SHP)</t>
        </is>
      </c>
      <c r="E118" s="35" t="inlineStr">
        <is>
          <t>Tê Cobre Ø2"</t>
        </is>
      </c>
      <c r="F118" s="36" t="n">
        <v>1</v>
      </c>
      <c r="G118" s="36" t="n">
        <v>1</v>
      </c>
      <c r="H118" s="36" t="n">
        <v>0</v>
      </c>
      <c r="I118" s="37">
        <f>(F118+H118*F118)*G118</f>
        <v/>
      </c>
      <c r="J118" s="36" t="inlineStr">
        <is>
          <t>pç</t>
        </is>
      </c>
      <c r="K118" s="38" t="n">
        <v>98</v>
      </c>
      <c r="L118" s="39">
        <f>IF(SUM(F118:K118)=0,SUMIFS($L119:$L$999,$B119:$B$999,$B118,$A119:$A$999,$A118),I118*K118)</f>
        <v/>
      </c>
      <c r="M118" s="20" t="n"/>
      <c r="N118" s="40" t="n"/>
      <c r="O118" s="37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2" t="n"/>
      <c r="AJ118" s="20" t="n"/>
    </row>
    <row r="119">
      <c r="A119" s="35">
        <f>$A$116</f>
        <v/>
      </c>
      <c r="B119" s="35">
        <f>$B$116</f>
        <v/>
      </c>
      <c r="C119" s="35" t="inlineStr">
        <is>
          <t>HIDRANTE</t>
        </is>
      </c>
      <c r="D119" s="35" t="inlineStr">
        <is>
          <t>Sistema Hidráulico Preventivo (SHP)</t>
        </is>
      </c>
      <c r="E119" s="35" t="inlineStr">
        <is>
          <t>Hidrante com Mangotinho 30m 60x100cm</t>
        </is>
      </c>
      <c r="F119" s="36" t="n">
        <v>1</v>
      </c>
      <c r="G119" s="36" t="n">
        <v>1</v>
      </c>
      <c r="H119" s="36" t="n"/>
      <c r="I119" s="37">
        <f>(F119+H119*F119)*G119</f>
        <v/>
      </c>
      <c r="J119" s="36" t="inlineStr">
        <is>
          <t>pç</t>
        </is>
      </c>
      <c r="K119" s="38" t="n">
        <v>1128</v>
      </c>
      <c r="L119" s="39">
        <f>IF(SUM(F119:K119)=0,SUMIFS($L120:$L$999,$B120:$B$999,$B119,$A120:$A$999,$A119),I119*K119)</f>
        <v/>
      </c>
      <c r="M119" s="20" t="n"/>
      <c r="N119" s="40" t="n"/>
      <c r="O119" s="37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2" t="n"/>
      <c r="AJ119" s="20" t="n"/>
    </row>
    <row r="120">
      <c r="A120" s="35">
        <f>$A$116</f>
        <v/>
      </c>
      <c r="B120" s="35">
        <f>$B$116</f>
        <v/>
      </c>
      <c r="C120" s="35" t="inlineStr">
        <is>
          <t>EXTINTORES</t>
        </is>
      </c>
      <c r="D120" s="35" t="inlineStr">
        <is>
          <t>Sistema Preventivo por Extintores</t>
        </is>
      </c>
      <c r="E120" s="35" t="inlineStr">
        <is>
          <t>Extintor PQS 4Kg (2-A:20-B:C)</t>
        </is>
      </c>
      <c r="F120" s="36" t="n">
        <v>2</v>
      </c>
      <c r="G120" s="36" t="n">
        <v>1</v>
      </c>
      <c r="H120" s="36" t="n"/>
      <c r="I120" s="37">
        <f>(F120+H120*F120)*G120</f>
        <v/>
      </c>
      <c r="J120" s="36" t="inlineStr">
        <is>
          <t>pç</t>
        </is>
      </c>
      <c r="K120" s="38" t="n">
        <v>120</v>
      </c>
      <c r="L120" s="39">
        <f>IF(SUM(F120:K120)=0,SUMIFS($L121:$L$999,$B121:$B$999,$B120,$A121:$A$999,$A120),I120*K120)</f>
        <v/>
      </c>
      <c r="M120" s="20" t="n"/>
      <c r="N120" s="40" t="n"/>
      <c r="O120" s="37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2" t="n"/>
      <c r="AJ120" s="20" t="n"/>
    </row>
    <row r="121">
      <c r="A121" s="35">
        <f>$A$116</f>
        <v/>
      </c>
      <c r="B121" s="35">
        <f>$B$116</f>
        <v/>
      </c>
      <c r="C121" s="35" t="inlineStr">
        <is>
          <t>SINALIZAÇÃO</t>
        </is>
      </c>
      <c r="D121" s="35" t="inlineStr">
        <is>
          <t>Sinalização de Abandono de Local (SAL)</t>
        </is>
      </c>
      <c r="E121" s="35" t="inlineStr">
        <is>
          <t>Placa Indicativa - Número do Pavimento 200x100 mm</t>
        </is>
      </c>
      <c r="F121" s="36" t="n">
        <v>1</v>
      </c>
      <c r="G121" s="36" t="n">
        <v>1</v>
      </c>
      <c r="H121" s="36" t="n"/>
      <c r="I121" s="37">
        <f>(F121+H121*F121)*G121</f>
        <v/>
      </c>
      <c r="J121" s="36" t="inlineStr">
        <is>
          <t>pç</t>
        </is>
      </c>
      <c r="K121" s="38" t="n">
        <v>15</v>
      </c>
      <c r="L121" s="39">
        <f>IF(SUM(F121:K121)=0,SUMIFS($L122:$L$999,$B122:$B$999,$B121,$A122:$A$999,$A121),I121*K121)</f>
        <v/>
      </c>
      <c r="M121" s="20" t="n"/>
      <c r="N121" s="40" t="n"/>
      <c r="O121" s="37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2" t="n"/>
      <c r="AJ121" s="20" t="n"/>
    </row>
    <row r="122">
      <c r="A122" s="35">
        <f>$A$116</f>
        <v/>
      </c>
      <c r="B122" s="35">
        <f>$B$116</f>
        <v/>
      </c>
      <c r="C122" s="35" t="inlineStr">
        <is>
          <t>SINALIZAÇÃO</t>
        </is>
      </c>
      <c r="D122" s="35" t="inlineStr">
        <is>
          <t>Sinalização de Abandono de Local (SAL)</t>
        </is>
      </c>
      <c r="E122" s="35" t="inlineStr">
        <is>
          <t>Placa Indicativa - Elevador de Emergência 250x125 mm</t>
        </is>
      </c>
      <c r="F122" s="36" t="n">
        <v>1</v>
      </c>
      <c r="G122" s="36" t="n">
        <v>1</v>
      </c>
      <c r="H122" s="36" t="n"/>
      <c r="I122" s="37">
        <f>(F122+H122*F122)*G122</f>
        <v/>
      </c>
      <c r="J122" s="36" t="inlineStr">
        <is>
          <t>pç</t>
        </is>
      </c>
      <c r="K122" s="38" t="n">
        <v>15</v>
      </c>
      <c r="L122" s="39">
        <f>IF(SUM(F122:K122)=0,SUMIFS($L123:$L$999,$B123:$B$999,$B122,$A123:$A$999,$A122),I122*K122)</f>
        <v/>
      </c>
      <c r="M122" s="20" t="n"/>
      <c r="N122" s="40" t="n"/>
      <c r="O122" s="37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2" t="n"/>
      <c r="AJ122" s="20" t="n"/>
    </row>
    <row r="123">
      <c r="A123" s="24" t="inlineStr">
        <is>
          <t>TORRE B</t>
        </is>
      </c>
      <c r="B123" s="24" t="inlineStr">
        <is>
          <t>LAZER</t>
        </is>
      </c>
      <c r="C123" s="25" t="n"/>
      <c r="D123" s="26" t="n"/>
      <c r="E123" s="26" t="n"/>
      <c r="F123" s="27" t="n"/>
      <c r="G123" s="27" t="n"/>
      <c r="H123" s="27" t="n"/>
      <c r="I123" s="28" t="n"/>
      <c r="J123" s="27" t="n"/>
      <c r="K123" s="29" t="n"/>
      <c r="L123" s="30">
        <f>IF(SUM(F123:K123)=0,SUMIFS($L124:$L$999,$B124:$B$999,$B123,$A124:$A$999,$A123),I123*K123)</f>
        <v/>
      </c>
      <c r="M123" s="20" t="n"/>
      <c r="N123" s="31" t="n"/>
      <c r="O123" s="32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  <c r="AA123" s="33" t="n"/>
      <c r="AB123" s="33" t="n"/>
      <c r="AC123" s="33" t="n"/>
      <c r="AD123" s="33" t="n"/>
      <c r="AE123" s="33" t="n"/>
      <c r="AF123" s="33" t="n"/>
      <c r="AG123" s="33" t="n"/>
      <c r="AH123" s="33" t="n"/>
      <c r="AI123" s="34" t="n"/>
      <c r="AJ123" s="20" t="n"/>
    </row>
    <row r="124">
      <c r="A124" s="35">
        <f>$A$123</f>
        <v/>
      </c>
      <c r="B124" s="35">
        <f>$B$123</f>
        <v/>
      </c>
      <c r="C124" s="35" t="inlineStr">
        <is>
          <t>SHP</t>
        </is>
      </c>
      <c r="D124" s="35" t="inlineStr">
        <is>
          <t>Sistema Hidráulico Preventivo (SHP)</t>
        </is>
      </c>
      <c r="E124" s="35" t="inlineStr">
        <is>
          <t>Tubo de cobre Ø2"</t>
        </is>
      </c>
      <c r="F124" s="36" t="n">
        <v>10</v>
      </c>
      <c r="G124" s="36" t="n">
        <v>1</v>
      </c>
      <c r="H124" s="36" t="n">
        <v>0</v>
      </c>
      <c r="I124" s="37">
        <f>(F124+H124*F124)*G124</f>
        <v/>
      </c>
      <c r="J124" s="36" t="inlineStr">
        <is>
          <t>m</t>
        </is>
      </c>
      <c r="K124" s="38" t="n">
        <v>315</v>
      </c>
      <c r="L124" s="39">
        <f>IF(SUM(F124:K124)=0,SUMIFS($L125:$L$999,$B125:$B$999,$B124,$A125:$A$999,$A124),I124*K124)</f>
        <v/>
      </c>
      <c r="M124" s="20" t="n"/>
      <c r="N124" s="40" t="n"/>
      <c r="O124" s="37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2" t="n"/>
      <c r="AJ124" s="20" t="n"/>
    </row>
    <row r="125">
      <c r="A125" s="35">
        <f>$A$123</f>
        <v/>
      </c>
      <c r="B125" s="35">
        <f>$B$123</f>
        <v/>
      </c>
      <c r="C125" s="35" t="inlineStr">
        <is>
          <t>SHP</t>
        </is>
      </c>
      <c r="D125" s="35" t="inlineStr">
        <is>
          <t>Sistema Hidráulico Preventivo (SHP)</t>
        </is>
      </c>
      <c r="E125" s="35" t="inlineStr">
        <is>
          <t>Joelho 90° Cobre Ø2"</t>
        </is>
      </c>
      <c r="F125" s="36" t="n">
        <v>1</v>
      </c>
      <c r="G125" s="36" t="n">
        <v>1</v>
      </c>
      <c r="H125" s="36" t="n">
        <v>0</v>
      </c>
      <c r="I125" s="37">
        <f>(F125+H125*F125)*G125</f>
        <v/>
      </c>
      <c r="J125" s="36" t="inlineStr">
        <is>
          <t>pç</t>
        </is>
      </c>
      <c r="K125" s="38" t="n">
        <v>38</v>
      </c>
      <c r="L125" s="39">
        <f>IF(SUM(F125:K125)=0,SUMIFS($L126:$L$999,$B126:$B$999,$B125,$A126:$A$999,$A125),I125*K125)</f>
        <v/>
      </c>
      <c r="M125" s="20" t="n"/>
      <c r="N125" s="40" t="n"/>
      <c r="O125" s="37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2" t="n"/>
      <c r="AJ125" s="20" t="n"/>
    </row>
    <row r="126">
      <c r="A126" s="35">
        <f>$A$123</f>
        <v/>
      </c>
      <c r="B126" s="35">
        <f>$B$123</f>
        <v/>
      </c>
      <c r="C126" s="35" t="inlineStr">
        <is>
          <t>SHP</t>
        </is>
      </c>
      <c r="D126" s="35" t="inlineStr">
        <is>
          <t>Sistema Hidráulico Preventivo (SHP)</t>
        </is>
      </c>
      <c r="E126" s="35" t="inlineStr">
        <is>
          <t>Tê Cobre Ø2"</t>
        </is>
      </c>
      <c r="F126" s="36" t="n">
        <v>1</v>
      </c>
      <c r="G126" s="36" t="n">
        <v>1</v>
      </c>
      <c r="H126" s="36" t="n">
        <v>0</v>
      </c>
      <c r="I126" s="37">
        <f>(F126+H126*F126)*G126</f>
        <v/>
      </c>
      <c r="J126" s="36" t="inlineStr">
        <is>
          <t>pç</t>
        </is>
      </c>
      <c r="K126" s="38" t="n">
        <v>98</v>
      </c>
      <c r="L126" s="39">
        <f>IF(SUM(F126:K126)=0,SUMIFS($L127:$L$999,$B127:$B$999,$B126,$A127:$A$999,$A126),I126*K126)</f>
        <v/>
      </c>
      <c r="M126" s="20" t="n"/>
      <c r="N126" s="40" t="n"/>
      <c r="O126" s="37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2" t="n"/>
      <c r="AJ126" s="20" t="n"/>
    </row>
    <row r="127">
      <c r="A127" s="35">
        <f>$A$123</f>
        <v/>
      </c>
      <c r="B127" s="35">
        <f>$B$123</f>
        <v/>
      </c>
      <c r="C127" s="35" t="inlineStr">
        <is>
          <t>HIDRANTE</t>
        </is>
      </c>
      <c r="D127" s="35" t="inlineStr">
        <is>
          <t>Sistema Hidráulico Preventivo (SHP)</t>
        </is>
      </c>
      <c r="E127" s="35" t="inlineStr">
        <is>
          <t>Hidrante com Mangotinho 30m 60x100cm</t>
        </is>
      </c>
      <c r="F127" s="36" t="n">
        <v>2</v>
      </c>
      <c r="G127" s="36" t="n">
        <v>1</v>
      </c>
      <c r="H127" s="36" t="n"/>
      <c r="I127" s="37">
        <f>(F127+H127*F127)*G127</f>
        <v/>
      </c>
      <c r="J127" s="36" t="inlineStr">
        <is>
          <t>pç</t>
        </is>
      </c>
      <c r="K127" s="38" t="n">
        <v>1128</v>
      </c>
      <c r="L127" s="39">
        <f>IF(SUM(F127:K127)=0,SUMIFS($L128:$L$999,$B128:$B$999,$B127,$A128:$A$999,$A127),I127*K127)</f>
        <v/>
      </c>
      <c r="M127" s="20" t="n"/>
      <c r="N127" s="40" t="n"/>
      <c r="O127" s="37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2" t="n"/>
      <c r="AJ127" s="20" t="n"/>
    </row>
    <row r="128">
      <c r="A128" s="35">
        <f>$A$123</f>
        <v/>
      </c>
      <c r="B128" s="35">
        <f>$B$123</f>
        <v/>
      </c>
      <c r="C128" s="35" t="inlineStr">
        <is>
          <t>EXTINTORES</t>
        </is>
      </c>
      <c r="D128" s="35" t="inlineStr">
        <is>
          <t>Sistema Preventivo por Extintores</t>
        </is>
      </c>
      <c r="E128" s="35" t="inlineStr">
        <is>
          <t>Extintor PQS 4Kg (2-A:20-B:C)</t>
        </is>
      </c>
      <c r="F128" s="36" t="n">
        <v>2</v>
      </c>
      <c r="G128" s="36" t="n">
        <v>1</v>
      </c>
      <c r="H128" s="36" t="n"/>
      <c r="I128" s="37">
        <f>(F128+H128*F128)*G128</f>
        <v/>
      </c>
      <c r="J128" s="36" t="inlineStr">
        <is>
          <t>pç</t>
        </is>
      </c>
      <c r="K128" s="38" t="n">
        <v>120</v>
      </c>
      <c r="L128" s="39">
        <f>IF(SUM(F128:K128)=0,SUMIFS($L129:$L$999,$B129:$B$999,$B128,$A129:$A$999,$A128),I128*K128)</f>
        <v/>
      </c>
      <c r="M128" s="20" t="n"/>
      <c r="N128" s="40" t="n"/>
      <c r="O128" s="37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2" t="n"/>
      <c r="AJ128" s="20" t="n"/>
    </row>
    <row r="129">
      <c r="A129" s="35">
        <f>$A$123</f>
        <v/>
      </c>
      <c r="B129" s="35">
        <f>$B$123</f>
        <v/>
      </c>
      <c r="C129" s="35" t="inlineStr">
        <is>
          <t>SINALIZAÇÃO</t>
        </is>
      </c>
      <c r="D129" s="35" t="inlineStr">
        <is>
          <t>Sinalização de Abandono de Local (SAL)</t>
        </is>
      </c>
      <c r="E129" s="35" t="inlineStr">
        <is>
          <t>Placa Indicativa - Número do Pavimento 200x100 mm</t>
        </is>
      </c>
      <c r="F129" s="36" t="n">
        <v>1</v>
      </c>
      <c r="G129" s="36" t="n">
        <v>1</v>
      </c>
      <c r="H129" s="36" t="n"/>
      <c r="I129" s="37">
        <f>(F129+H129*F129)*G129</f>
        <v/>
      </c>
      <c r="J129" s="36" t="inlineStr">
        <is>
          <t>pç</t>
        </is>
      </c>
      <c r="K129" s="38" t="n">
        <v>15</v>
      </c>
      <c r="L129" s="39">
        <f>IF(SUM(F129:K129)=0,SUMIFS($L130:$L$999,$B130:$B$999,$B129,$A130:$A$999,$A129),I129*K129)</f>
        <v/>
      </c>
      <c r="M129" s="20" t="n"/>
      <c r="N129" s="40" t="n"/>
      <c r="O129" s="37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2" t="n"/>
      <c r="AJ129" s="20" t="n"/>
    </row>
    <row r="130">
      <c r="A130" s="35">
        <f>$A$123</f>
        <v/>
      </c>
      <c r="B130" s="35">
        <f>$B$123</f>
        <v/>
      </c>
      <c r="C130" s="35" t="inlineStr">
        <is>
          <t>SINALIZAÇÃO</t>
        </is>
      </c>
      <c r="D130" s="35" t="inlineStr">
        <is>
          <t>Sinalização de Abandono de Local (SAL)</t>
        </is>
      </c>
      <c r="E130" s="35" t="inlineStr">
        <is>
          <t>Placa Indicativa - Elevador de Emergência 250x125 mm</t>
        </is>
      </c>
      <c r="F130" s="36" t="n">
        <v>1</v>
      </c>
      <c r="G130" s="36" t="n">
        <v>1</v>
      </c>
      <c r="H130" s="36" t="n"/>
      <c r="I130" s="37">
        <f>(F130+H130*F130)*G130</f>
        <v/>
      </c>
      <c r="J130" s="36" t="inlineStr">
        <is>
          <t>pç</t>
        </is>
      </c>
      <c r="K130" s="38" t="n">
        <v>15</v>
      </c>
      <c r="L130" s="39">
        <f>IF(SUM(F130:K130)=0,SUMIFS($L131:$L$999,$B131:$B$999,$B130,$A131:$A$999,$A130),I130*K130)</f>
        <v/>
      </c>
      <c r="M130" s="20" t="n"/>
      <c r="N130" s="40" t="n"/>
      <c r="O130" s="37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2" t="n"/>
      <c r="AJ130" s="20" t="n"/>
    </row>
    <row r="131">
      <c r="A131" s="24" t="inlineStr">
        <is>
          <t>TORRE B</t>
        </is>
      </c>
      <c r="B131" s="24" t="inlineStr">
        <is>
          <t>PAVIMENTO TIPO</t>
        </is>
      </c>
      <c r="C131" s="25" t="n"/>
      <c r="D131" s="26" t="n"/>
      <c r="E131" s="26" t="n"/>
      <c r="F131" s="27" t="n"/>
      <c r="G131" s="27" t="n"/>
      <c r="H131" s="27" t="n"/>
      <c r="I131" s="28" t="n"/>
      <c r="J131" s="27" t="n"/>
      <c r="K131" s="29" t="n"/>
      <c r="L131" s="30">
        <f>IF(SUM(F131:K131)=0,SUMIFS($L132:$L$999,$B132:$B$999,$B131,$A132:$A$999,$A131),I131*K131)</f>
        <v/>
      </c>
      <c r="M131" s="20" t="n"/>
      <c r="N131" s="31" t="n"/>
      <c r="O131" s="32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  <c r="AA131" s="33" t="n"/>
      <c r="AB131" s="33" t="n"/>
      <c r="AC131" s="33" t="n"/>
      <c r="AD131" s="33" t="n"/>
      <c r="AE131" s="33" t="n"/>
      <c r="AF131" s="33" t="n"/>
      <c r="AG131" s="33" t="n"/>
      <c r="AH131" s="33" t="n"/>
      <c r="AI131" s="34" t="n"/>
      <c r="AJ131" s="20" t="n"/>
    </row>
    <row r="132">
      <c r="A132" s="35">
        <f>$A$131</f>
        <v/>
      </c>
      <c r="B132" s="35">
        <f>$B$131</f>
        <v/>
      </c>
      <c r="C132" s="35" t="inlineStr">
        <is>
          <t>SHP</t>
        </is>
      </c>
      <c r="D132" s="35" t="inlineStr">
        <is>
          <t>Sistema Hidráulico Preventivo (SHP)</t>
        </is>
      </c>
      <c r="E132" s="35" t="inlineStr">
        <is>
          <t>Tubo de cobre Ø2"</t>
        </is>
      </c>
      <c r="F132" s="36" t="n">
        <v>3.15</v>
      </c>
      <c r="G132" s="36" t="n">
        <v>24</v>
      </c>
      <c r="H132" s="36" t="n">
        <v>0</v>
      </c>
      <c r="I132" s="37">
        <f>(F132+H132*F132)*G132</f>
        <v/>
      </c>
      <c r="J132" s="36" t="inlineStr">
        <is>
          <t>m</t>
        </is>
      </c>
      <c r="K132" s="38" t="n">
        <v>315</v>
      </c>
      <c r="L132" s="39">
        <f>IF(SUM(F132:K132)=0,SUMIFS($L133:$L$999,$B133:$B$999,$B132,$A133:$A$999,$A132),I132*K132)</f>
        <v/>
      </c>
      <c r="M132" s="20" t="n"/>
      <c r="N132" s="40" t="n"/>
      <c r="O132" s="37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2" t="n"/>
      <c r="AJ132" s="20" t="n"/>
    </row>
    <row r="133">
      <c r="A133" s="35">
        <f>$A$131</f>
        <v/>
      </c>
      <c r="B133" s="35">
        <f>$B$131</f>
        <v/>
      </c>
      <c r="C133" s="35" t="inlineStr">
        <is>
          <t>SHP</t>
        </is>
      </c>
      <c r="D133" s="35" t="inlineStr">
        <is>
          <t>Sistema Hidráulico Preventivo (SHP)</t>
        </is>
      </c>
      <c r="E133" s="35" t="inlineStr">
        <is>
          <t>Tê Cobre Ø2"</t>
        </is>
      </c>
      <c r="F133" s="36" t="n">
        <v>1</v>
      </c>
      <c r="G133" s="36" t="n">
        <v>24</v>
      </c>
      <c r="H133" s="36" t="n">
        <v>0</v>
      </c>
      <c r="I133" s="37">
        <f>(F133+H133*F133)*G133</f>
        <v/>
      </c>
      <c r="J133" s="36" t="inlineStr">
        <is>
          <t>pç</t>
        </is>
      </c>
      <c r="K133" s="38" t="n">
        <v>98</v>
      </c>
      <c r="L133" s="39">
        <f>IF(SUM(F133:K133)=0,SUMIFS($L134:$L$999,$B134:$B$999,$B133,$A134:$A$999,$A133),I133*K133)</f>
        <v/>
      </c>
      <c r="M133" s="20" t="n"/>
      <c r="N133" s="40" t="n"/>
      <c r="O133" s="37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2" t="n"/>
      <c r="AJ133" s="20" t="n"/>
    </row>
    <row r="134">
      <c r="A134" s="35">
        <f>$A$131</f>
        <v/>
      </c>
      <c r="B134" s="35">
        <f>$B$131</f>
        <v/>
      </c>
      <c r="C134" s="35" t="inlineStr">
        <is>
          <t>HIDRANTE</t>
        </is>
      </c>
      <c r="D134" s="35" t="inlineStr">
        <is>
          <t>Sistema Hidráulico Preventivo (SHP)</t>
        </is>
      </c>
      <c r="E134" s="35" t="inlineStr">
        <is>
          <t>Hidrante com Mangotinho 30m 60x100cm</t>
        </is>
      </c>
      <c r="F134" s="36" t="n">
        <v>1</v>
      </c>
      <c r="G134" s="36" t="n">
        <v>24</v>
      </c>
      <c r="H134" s="36" t="n"/>
      <c r="I134" s="37">
        <f>(F134+H134*F134)*G134</f>
        <v/>
      </c>
      <c r="J134" s="36" t="inlineStr">
        <is>
          <t>pç</t>
        </is>
      </c>
      <c r="K134" s="38" t="n">
        <v>1128</v>
      </c>
      <c r="L134" s="39">
        <f>IF(SUM(F134:K134)=0,SUMIFS($L135:$L$999,$B135:$B$999,$B134,$A135:$A$999,$A134),I134*K134)</f>
        <v/>
      </c>
      <c r="M134" s="20" t="n"/>
      <c r="N134" s="40" t="n"/>
      <c r="O134" s="37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2" t="n"/>
      <c r="AJ134" s="20" t="n"/>
    </row>
    <row r="135">
      <c r="A135" s="35">
        <f>$A$131</f>
        <v/>
      </c>
      <c r="B135" s="35">
        <f>$B$131</f>
        <v/>
      </c>
      <c r="C135" s="35" t="inlineStr">
        <is>
          <t>EXTINTORES</t>
        </is>
      </c>
      <c r="D135" s="35" t="inlineStr">
        <is>
          <t>Sistema Preventivo por Extintores</t>
        </is>
      </c>
      <c r="E135" s="35" t="inlineStr">
        <is>
          <t>Extintor PQS 4Kg (2-A:20-B:C)</t>
        </is>
      </c>
      <c r="F135" s="36" t="n">
        <v>2</v>
      </c>
      <c r="G135" s="36" t="n">
        <v>24</v>
      </c>
      <c r="H135" s="36" t="n"/>
      <c r="I135" s="37">
        <f>(F135+H135*F135)*G135</f>
        <v/>
      </c>
      <c r="J135" s="36" t="inlineStr">
        <is>
          <t>pç</t>
        </is>
      </c>
      <c r="K135" s="38" t="n">
        <v>120</v>
      </c>
      <c r="L135" s="39">
        <f>IF(SUM(F135:K135)=0,SUMIFS($L136:$L$999,$B136:$B$999,$B135,$A136:$A$999,$A135),I135*K135)</f>
        <v/>
      </c>
      <c r="M135" s="20" t="n"/>
      <c r="N135" s="40" t="n"/>
      <c r="O135" s="37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2" t="n"/>
      <c r="AJ135" s="20" t="n"/>
    </row>
    <row r="136">
      <c r="A136" s="35">
        <f>$A$131</f>
        <v/>
      </c>
      <c r="B136" s="35">
        <f>$B$131</f>
        <v/>
      </c>
      <c r="C136" s="35" t="inlineStr">
        <is>
          <t>SINALIZAÇÃO</t>
        </is>
      </c>
      <c r="D136" s="35" t="inlineStr">
        <is>
          <t>Sinalização de Abandono de Local (SAL)</t>
        </is>
      </c>
      <c r="E136" s="35" t="inlineStr">
        <is>
          <t>Placa Indicativa - Número do Pavimento 200x100 mm</t>
        </is>
      </c>
      <c r="F136" s="36" t="n">
        <v>1</v>
      </c>
      <c r="G136" s="36" t="n">
        <v>24</v>
      </c>
      <c r="H136" s="36" t="n"/>
      <c r="I136" s="37">
        <f>(F136+H136*F136)*G136</f>
        <v/>
      </c>
      <c r="J136" s="36" t="inlineStr">
        <is>
          <t>pç</t>
        </is>
      </c>
      <c r="K136" s="38" t="n">
        <v>15</v>
      </c>
      <c r="L136" s="39">
        <f>IF(SUM(F136:K136)=0,SUMIFS($L137:$L$999,$B137:$B$999,$B136,$A137:$A$999,$A136),I136*K136)</f>
        <v/>
      </c>
      <c r="M136" s="20" t="n"/>
      <c r="N136" s="40" t="n"/>
      <c r="O136" s="37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2" t="n"/>
      <c r="AJ136" s="20" t="n"/>
    </row>
    <row r="137">
      <c r="A137" s="35">
        <f>$A$131</f>
        <v/>
      </c>
      <c r="B137" s="35">
        <f>$B$131</f>
        <v/>
      </c>
      <c r="C137" s="35" t="inlineStr">
        <is>
          <t>SINALIZAÇÃO</t>
        </is>
      </c>
      <c r="D137" s="35" t="inlineStr">
        <is>
          <t>Sinalização de Abandono de Local (SAL)</t>
        </is>
      </c>
      <c r="E137" s="35" t="inlineStr">
        <is>
          <t>Placa Indicativa - Elevador de Emergência 250x125 mm</t>
        </is>
      </c>
      <c r="F137" s="36" t="n">
        <v>1</v>
      </c>
      <c r="G137" s="36" t="n">
        <v>24</v>
      </c>
      <c r="H137" s="36" t="n"/>
      <c r="I137" s="37">
        <f>(F137+H137*F137)*G137</f>
        <v/>
      </c>
      <c r="J137" s="36" t="inlineStr">
        <is>
          <t>pç</t>
        </is>
      </c>
      <c r="K137" s="38" t="n">
        <v>15</v>
      </c>
      <c r="L137" s="39">
        <f>IF(SUM(F137:K137)=0,SUMIFS($L138:$L$999,$B138:$B$999,$B137,$A138:$A$999,$A137),I137*K137)</f>
        <v/>
      </c>
      <c r="M137" s="20" t="n"/>
      <c r="N137" s="40" t="n"/>
      <c r="O137" s="37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2" t="n"/>
      <c r="AJ137" s="20" t="n"/>
    </row>
    <row r="138">
      <c r="A138" s="24" t="inlineStr">
        <is>
          <t>TORRE B</t>
        </is>
      </c>
      <c r="B138" s="24" t="inlineStr">
        <is>
          <t>CASA DE MÁQUINAS</t>
        </is>
      </c>
      <c r="C138" s="25" t="n"/>
      <c r="D138" s="26" t="n"/>
      <c r="E138" s="26" t="n"/>
      <c r="F138" s="27" t="n"/>
      <c r="G138" s="27" t="n"/>
      <c r="H138" s="27" t="n"/>
      <c r="I138" s="28" t="n"/>
      <c r="J138" s="27" t="n"/>
      <c r="K138" s="29" t="n"/>
      <c r="L138" s="30">
        <f>IF(SUM(F138:K138)=0,SUMIFS($L139:$L$999,$B139:$B$999,$B138,$A139:$A$999,$A138),I138*K138)</f>
        <v/>
      </c>
      <c r="M138" s="20" t="n"/>
      <c r="N138" s="31" t="n"/>
      <c r="O138" s="32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  <c r="AE138" s="33" t="n"/>
      <c r="AF138" s="33" t="n"/>
      <c r="AG138" s="33" t="n"/>
      <c r="AH138" s="33" t="n"/>
      <c r="AI138" s="34" t="n"/>
      <c r="AJ138" s="20" t="n"/>
    </row>
    <row r="139">
      <c r="A139" s="35">
        <f>$A$138</f>
        <v/>
      </c>
      <c r="B139" s="35">
        <f>$B$138</f>
        <v/>
      </c>
      <c r="C139" s="35" t="inlineStr">
        <is>
          <t>SHP</t>
        </is>
      </c>
      <c r="D139" s="35" t="inlineStr">
        <is>
          <t>Sistema Hidráulico Preventivo (SHP)</t>
        </is>
      </c>
      <c r="E139" s="35" t="inlineStr">
        <is>
          <t>Tubo de cobre Ø2"</t>
        </is>
      </c>
      <c r="F139" s="36" t="n">
        <v>25</v>
      </c>
      <c r="G139" s="36" t="n">
        <v>1</v>
      </c>
      <c r="H139" s="36" t="n">
        <v>0</v>
      </c>
      <c r="I139" s="37">
        <f>(F139+H139*F139)*G139</f>
        <v/>
      </c>
      <c r="J139" s="36" t="inlineStr">
        <is>
          <t>m</t>
        </is>
      </c>
      <c r="K139" s="38" t="n">
        <v>315</v>
      </c>
      <c r="L139" s="39">
        <f>IF(SUM(F139:K139)=0,SUMIFS($L140:$L$999,$B140:$B$999,$B139,$A140:$A$999,$A139),I139*K139)</f>
        <v/>
      </c>
      <c r="M139" s="20" t="n"/>
      <c r="N139" s="40" t="n"/>
      <c r="O139" s="37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2" t="n"/>
      <c r="AJ139" s="20" t="n"/>
    </row>
    <row r="140">
      <c r="A140" s="35">
        <f>$A$138</f>
        <v/>
      </c>
      <c r="B140" s="35">
        <f>$B$138</f>
        <v/>
      </c>
      <c r="C140" s="35" t="inlineStr">
        <is>
          <t>SHP</t>
        </is>
      </c>
      <c r="D140" s="35" t="inlineStr">
        <is>
          <t>Sistema Hidráulico Preventivo (SHP)</t>
        </is>
      </c>
      <c r="E140" s="35" t="inlineStr">
        <is>
          <t>Joelho 90° Cobre Ø2"</t>
        </is>
      </c>
      <c r="F140" s="36" t="n">
        <v>2</v>
      </c>
      <c r="G140" s="36" t="n">
        <v>1</v>
      </c>
      <c r="H140" s="36" t="n">
        <v>0</v>
      </c>
      <c r="I140" s="37">
        <f>(F140+H140*F140)*G140</f>
        <v/>
      </c>
      <c r="J140" s="36" t="inlineStr">
        <is>
          <t>pç</t>
        </is>
      </c>
      <c r="K140" s="38" t="n">
        <v>38</v>
      </c>
      <c r="L140" s="39">
        <f>IF(SUM(F140:K140)=0,SUMIFS($L141:$L$999,$B141:$B$999,$B140,$A141:$A$999,$A140),I140*K140)</f>
        <v/>
      </c>
      <c r="M140" s="20" t="n"/>
      <c r="N140" s="40" t="n"/>
      <c r="O140" s="37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2" t="n"/>
      <c r="AJ140" s="20" t="n"/>
    </row>
    <row r="141">
      <c r="A141" s="35">
        <f>$A$138</f>
        <v/>
      </c>
      <c r="B141" s="35">
        <f>$B$138</f>
        <v/>
      </c>
      <c r="C141" s="35" t="inlineStr">
        <is>
          <t>SHP</t>
        </is>
      </c>
      <c r="D141" s="35" t="inlineStr">
        <is>
          <t>Sistema Hidráulico Preventivo (SHP)</t>
        </is>
      </c>
      <c r="E141" s="35" t="inlineStr">
        <is>
          <t>Tê Cobre Ø2"</t>
        </is>
      </c>
      <c r="F141" s="36" t="n">
        <v>1</v>
      </c>
      <c r="G141" s="36" t="n">
        <v>1</v>
      </c>
      <c r="H141" s="36" t="n">
        <v>0</v>
      </c>
      <c r="I141" s="37">
        <f>(F141+H141*F141)*G141</f>
        <v/>
      </c>
      <c r="J141" s="36" t="inlineStr">
        <is>
          <t>pç</t>
        </is>
      </c>
      <c r="K141" s="38" t="n">
        <v>98</v>
      </c>
      <c r="L141" s="39">
        <f>IF(SUM(F141:K141)=0,SUMIFS($L142:$L$999,$B142:$B$999,$B141,$A142:$A$999,$A141),I141*K141)</f>
        <v/>
      </c>
      <c r="M141" s="20" t="n"/>
      <c r="N141" s="40" t="n"/>
      <c r="O141" s="37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2" t="n"/>
      <c r="AJ141" s="20" t="n"/>
    </row>
    <row r="142">
      <c r="A142" s="35">
        <f>$A$138</f>
        <v/>
      </c>
      <c r="B142" s="35">
        <f>$B$138</f>
        <v/>
      </c>
      <c r="C142" s="35" t="inlineStr">
        <is>
          <t>EXTINTORES</t>
        </is>
      </c>
      <c r="D142" s="35" t="inlineStr">
        <is>
          <t>Sistema Preventivo por Extintores</t>
        </is>
      </c>
      <c r="E142" s="35" t="inlineStr">
        <is>
          <t>Extintor PQS 4Kg (2-A:20-B:C)</t>
        </is>
      </c>
      <c r="F142" s="36" t="n">
        <v>1</v>
      </c>
      <c r="G142" s="36" t="n">
        <v>1</v>
      </c>
      <c r="H142" s="36" t="n"/>
      <c r="I142" s="37">
        <f>(F142+H142*F142)*G142</f>
        <v/>
      </c>
      <c r="J142" s="36" t="inlineStr">
        <is>
          <t>pç</t>
        </is>
      </c>
      <c r="K142" s="38" t="n">
        <v>120</v>
      </c>
      <c r="L142" s="39">
        <f>IF(SUM(F142:K142)=0,SUMIFS($L143:$L$999,$B143:$B$999,$B142,$A143:$A$999,$A142),I142*K142)</f>
        <v/>
      </c>
      <c r="M142" s="20" t="n"/>
      <c r="N142" s="40" t="n"/>
      <c r="O142" s="37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2" t="n"/>
      <c r="AJ142" s="20" t="n"/>
    </row>
    <row r="143">
      <c r="A143" s="35">
        <f>$A$138</f>
        <v/>
      </c>
      <c r="B143" s="35">
        <f>$B$138</f>
        <v/>
      </c>
      <c r="C143" s="35" t="inlineStr">
        <is>
          <t>EXTINTORES</t>
        </is>
      </c>
      <c r="D143" s="35" t="inlineStr">
        <is>
          <t>Sistema Preventivo por Extintores</t>
        </is>
      </c>
      <c r="E143" s="35" t="inlineStr">
        <is>
          <t>Extintor CO2 6kg (5-B:C)</t>
        </is>
      </c>
      <c r="F143" s="36" t="n">
        <v>2</v>
      </c>
      <c r="G143" s="36" t="n">
        <v>1</v>
      </c>
      <c r="H143" s="36" t="n"/>
      <c r="I143" s="37">
        <f>(F143+H143*F143)*G143</f>
        <v/>
      </c>
      <c r="J143" s="36" t="inlineStr">
        <is>
          <t>pç</t>
        </is>
      </c>
      <c r="K143" s="38" t="n">
        <v>550</v>
      </c>
      <c r="L143" s="39">
        <f>IF(SUM(F143:K143)=0,SUMIFS($L144:$L$999,$B144:$B$999,$B143,$A144:$A$999,$A143),I143*K143)</f>
        <v/>
      </c>
      <c r="M143" s="20" t="n"/>
      <c r="N143" s="40" t="n"/>
      <c r="O143" s="37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2" t="n"/>
      <c r="AJ143" s="20" t="n"/>
    </row>
    <row r="144">
      <c r="A144" s="35">
        <f>$A$138</f>
        <v/>
      </c>
      <c r="B144" s="35">
        <f>$B$138</f>
        <v/>
      </c>
      <c r="C144" s="35" t="inlineStr">
        <is>
          <t>SINALIZAÇÃO</t>
        </is>
      </c>
      <c r="D144" s="35" t="inlineStr">
        <is>
          <t>Sinalização de Abandono de Local (SAL)</t>
        </is>
      </c>
      <c r="E144" s="35" t="inlineStr">
        <is>
          <t>Placa Indicativa - Número do Pavimento 200x100 mm</t>
        </is>
      </c>
      <c r="F144" s="36" t="n">
        <v>1</v>
      </c>
      <c r="G144" s="36" t="n">
        <v>1</v>
      </c>
      <c r="H144" s="36" t="n"/>
      <c r="I144" s="37">
        <f>(F144+H144*F144)*G144</f>
        <v/>
      </c>
      <c r="J144" s="36" t="inlineStr">
        <is>
          <t>pç</t>
        </is>
      </c>
      <c r="K144" s="38" t="n">
        <v>15</v>
      </c>
      <c r="L144" s="39">
        <f>IF(SUM(F144:K144)=0,SUMIFS($L145:$L$999,$B145:$B$999,$B144,$A145:$A$999,$A144),I144*K144)</f>
        <v/>
      </c>
      <c r="M144" s="20" t="n"/>
      <c r="N144" s="40" t="n"/>
      <c r="O144" s="37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2" t="n"/>
      <c r="AJ144" s="20" t="n"/>
    </row>
    <row r="145">
      <c r="A145" s="35">
        <f>$A$138</f>
        <v/>
      </c>
      <c r="B145" s="35">
        <f>$B$138</f>
        <v/>
      </c>
      <c r="C145" s="35" t="inlineStr">
        <is>
          <t>SINALIZAÇÃO</t>
        </is>
      </c>
      <c r="D145" s="35" t="inlineStr">
        <is>
          <t>Sinalização de Abandono de Local (SAL)</t>
        </is>
      </c>
      <c r="E145" s="35" t="inlineStr">
        <is>
          <t>Placa Indicativa - Elevador de Emergência 250x125 mm</t>
        </is>
      </c>
      <c r="F145" s="36" t="n">
        <v>1</v>
      </c>
      <c r="G145" s="36" t="n">
        <v>1</v>
      </c>
      <c r="H145" s="36" t="n"/>
      <c r="I145" s="37">
        <f>(F145+H145*F145)*G145</f>
        <v/>
      </c>
      <c r="J145" s="36" t="inlineStr">
        <is>
          <t>pç</t>
        </is>
      </c>
      <c r="K145" s="38" t="n">
        <v>15</v>
      </c>
      <c r="L145" s="39">
        <f>IF(SUM(F145:K145)=0,SUMIFS($L146:$L$999,$B146:$B$999,$B145,$A146:$A$999,$A145),I145*K145)</f>
        <v/>
      </c>
      <c r="M145" s="20" t="n"/>
      <c r="N145" s="40" t="n"/>
      <c r="O145" s="37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2" t="n"/>
      <c r="AJ145" s="20" t="n"/>
    </row>
    <row r="146">
      <c r="A146" s="35">
        <f>$A$138</f>
        <v/>
      </c>
      <c r="B146" s="35">
        <f>$B$138</f>
        <v/>
      </c>
      <c r="C146" s="35" t="inlineStr">
        <is>
          <t>SINALIZAÇÃO</t>
        </is>
      </c>
      <c r="D146" s="35" t="inlineStr">
        <is>
          <t>Sinalização de Abandono de Local (SAL)</t>
        </is>
      </c>
      <c r="E146" s="35" t="inlineStr">
        <is>
          <t>Placa Fotoluminescente E5 - Extintor de Incêndio</t>
        </is>
      </c>
      <c r="F146" s="36" t="n">
        <v>1</v>
      </c>
      <c r="G146" s="36" t="n">
        <v>1</v>
      </c>
      <c r="H146" s="36" t="n"/>
      <c r="I146" s="37">
        <f>(F146+H146*F146)*G146</f>
        <v/>
      </c>
      <c r="J146" s="36" t="inlineStr">
        <is>
          <t>pç</t>
        </is>
      </c>
      <c r="K146" s="38" t="n">
        <v>15</v>
      </c>
      <c r="L146" s="39">
        <f>IF(SUM(F146:K146)=0,SUMIFS($L147:$L$999,$B147:$B$999,$B146,$A147:$A$999,$A146),I146*K146)</f>
        <v/>
      </c>
      <c r="M146" s="20" t="n"/>
      <c r="N146" s="40" t="n"/>
      <c r="O146" s="37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2" t="n"/>
      <c r="AJ146" s="20" t="n"/>
    </row>
    <row r="147">
      <c r="A147" s="24" t="inlineStr">
        <is>
          <t>GERAL</t>
        </is>
      </c>
      <c r="B147" s="24" t="inlineStr">
        <is>
          <t>CASA DE BOMBAS</t>
        </is>
      </c>
      <c r="C147" s="25" t="n"/>
      <c r="D147" s="26" t="n"/>
      <c r="E147" s="26" t="n"/>
      <c r="F147" s="27" t="n"/>
      <c r="G147" s="27" t="n"/>
      <c r="H147" s="27" t="n"/>
      <c r="I147" s="28" t="n"/>
      <c r="J147" s="27" t="n"/>
      <c r="K147" s="29" t="n"/>
      <c r="L147" s="30">
        <f>IF(SUM(F147:K147)=0,SUMIFS($L148:$L$999,$B148:$B$999,$B147,$A148:$A$999,$A147),I147*K147)</f>
        <v/>
      </c>
      <c r="M147" s="20" t="n"/>
      <c r="N147" s="31" t="n"/>
      <c r="O147" s="32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33" t="n"/>
      <c r="AB147" s="33" t="n"/>
      <c r="AC147" s="33" t="n"/>
      <c r="AD147" s="33" t="n"/>
      <c r="AE147" s="33" t="n"/>
      <c r="AF147" s="33" t="n"/>
      <c r="AG147" s="33" t="n"/>
      <c r="AH147" s="33" t="n"/>
      <c r="AI147" s="34" t="n"/>
      <c r="AJ147" s="20" t="n"/>
    </row>
    <row r="148">
      <c r="A148" s="35">
        <f>$A$147</f>
        <v/>
      </c>
      <c r="B148" s="35">
        <f>$B$147</f>
        <v/>
      </c>
      <c r="C148" s="35" t="inlineStr">
        <is>
          <t>BOMBAS</t>
        </is>
      </c>
      <c r="D148" s="35" t="inlineStr">
        <is>
          <t>Bombas - levantado conforme projeto</t>
        </is>
      </c>
      <c r="E148" s="35" t="inlineStr">
        <is>
          <t>Bomba de Incêndio Schneider Bpi-22 R 2 1/2 7,5 CV Trifásica 4 Voltagens</t>
        </is>
      </c>
      <c r="F148" s="36" t="n">
        <v>2</v>
      </c>
      <c r="G148" s="36" t="n">
        <v>1</v>
      </c>
      <c r="H148" s="36" t="n">
        <v>0</v>
      </c>
      <c r="I148" s="37">
        <f>(F148+H148*F148)*G148</f>
        <v/>
      </c>
      <c r="J148" s="36" t="inlineStr">
        <is>
          <t>pç</t>
        </is>
      </c>
      <c r="K148" s="38" t="n">
        <v>4380</v>
      </c>
      <c r="L148" s="39">
        <f>IF(SUM(F148:K148)=0,SUMIFS($L149:$L$999,$B149:$B$999,$B148,$A149:$A$999,$A148),I148*K148)</f>
        <v/>
      </c>
      <c r="M148" s="20" t="n"/>
      <c r="N148" s="40" t="n"/>
      <c r="O148" s="37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2" t="n"/>
      <c r="AJ148" s="20" t="n"/>
    </row>
    <row r="149">
      <c r="A149" s="35">
        <f>$A$147</f>
        <v/>
      </c>
      <c r="B149" s="35">
        <f>$B$147</f>
        <v/>
      </c>
      <c r="C149" s="35" t="inlineStr">
        <is>
          <t>HIDRANTE</t>
        </is>
      </c>
      <c r="D149" s="35" t="inlineStr">
        <is>
          <t>Sistema Hidráulico Preventivo (SHP)</t>
        </is>
      </c>
      <c r="E149" s="35" t="inlineStr">
        <is>
          <t>Hidrante de Recalque de Parede 30x40cm</t>
        </is>
      </c>
      <c r="F149" s="36" t="n">
        <v>2</v>
      </c>
      <c r="G149" s="36" t="n">
        <v>1</v>
      </c>
      <c r="H149" s="36" t="n"/>
      <c r="I149" s="37">
        <f>(F149+H149*F149)*G149</f>
        <v/>
      </c>
      <c r="J149" s="36" t="inlineStr">
        <is>
          <t>pç</t>
        </is>
      </c>
      <c r="K149" s="38" t="n">
        <v>650</v>
      </c>
      <c r="L149" s="39">
        <f>IF(SUM(F149:K149)=0,SUMIFS($L150:$L$999,$B150:$B$999,$B149,$A150:$A$999,$A149),I149*K149)</f>
        <v/>
      </c>
      <c r="M149" s="20" t="n"/>
      <c r="N149" s="40" t="n"/>
      <c r="O149" s="37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2" t="n"/>
      <c r="AJ149" s="20" t="n"/>
    </row>
    <row r="150">
      <c r="A150" s="24" t="n"/>
      <c r="B150" s="24" t="n"/>
      <c r="C150" s="25" t="n"/>
      <c r="D150" s="26" t="n"/>
      <c r="E150" s="26" t="n"/>
      <c r="F150" s="27" t="n"/>
      <c r="G150" s="27" t="n"/>
      <c r="H150" s="27" t="n"/>
      <c r="I150" s="28" t="n"/>
      <c r="J150" s="27" t="n"/>
      <c r="K150" s="29" t="inlineStr">
        <is>
          <t>TOTAL:</t>
        </is>
      </c>
      <c r="L150" s="30">
        <f>SUMPRODUCT(I7:I149,K7:K149)</f>
        <v/>
      </c>
      <c r="M150" s="20" t="n"/>
      <c r="N150" s="31" t="n"/>
      <c r="O150" s="32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  <c r="AA150" s="33" t="n"/>
      <c r="AB150" s="33" t="n"/>
      <c r="AC150" s="33" t="n"/>
      <c r="AD150" s="33" t="n"/>
      <c r="AE150" s="33" t="n"/>
      <c r="AF150" s="33" t="n"/>
      <c r="AG150" s="33" t="n"/>
      <c r="AH150" s="33" t="n"/>
      <c r="AI150" s="34" t="n"/>
      <c r="AJ150" s="20" t="n"/>
    </row>
    <row r="152">
      <c r="A152" t="inlineStr">
        <is>
          <t>⚠️ OBSERVAÇÕES:</t>
        </is>
      </c>
    </row>
    <row r="153">
      <c r="A153" t="inlineStr">
        <is>
          <t>1. Metragem de tubulação ESTIMADA com base na Elizabeth II (proporcionalmente) — a extração do IFC resultou em apenas 67,26m (subestimada)</t>
        </is>
      </c>
    </row>
    <row r="154">
      <c r="A154" t="inlineStr">
        <is>
          <t>2. Material real do Electra é ferro galvanizado vermelho — PUs do template (cobre) usados como referência</t>
        </is>
      </c>
    </row>
    <row r="155">
      <c r="A155" t="inlineStr">
        <is>
          <t>3. Bombas e reservatórios NÃO identificados nos IFCs — dados estimados conforme template Elizabeth II</t>
        </is>
      </c>
    </row>
    <row r="156">
      <c r="A156" t="inlineStr">
        <is>
          <t>4. Quantitativos de hidrantes, extintores e placas extraídos dos IFCs PCI rev.01</t>
        </is>
      </c>
    </row>
  </sheetData>
  <mergeCells count="2">
    <mergeCell ref="D3:E3"/>
    <mergeCell ref="A5:A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2026-03-25T15:02:06Z</dcterms:created>
  <dcterms:modified xmlns:dcterms="http://purl.org/dc/terms/" xmlns:xsi="http://www.w3.org/2001/XMLSchema-instance" xsi:type="dcterms:W3CDTF">2026-03-25T15:02:07Z</dcterms:modified>
</cp:coreProperties>
</file>