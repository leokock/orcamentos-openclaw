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LECOMUNIC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_-* #,##0.00_-;\-* #,##0.00_-;_-* &quot;-&quot;??_-;_-@_-"/>
    <numFmt numFmtId="166" formatCode="_-&quot;R$&quot;\ * #,##0.00_-;\-&quot;R$&quot;\ * #,##0.00_-;_-&quot;R$&quot;\ * &quot;-&quot;??_-;_-@_-"/>
  </numFmts>
  <fonts count="12">
    <font>
      <name val="Calibri"/>
      <family val="2"/>
      <color theme="1"/>
      <sz val="11"/>
      <scheme val="minor"/>
    </font>
    <font>
      <name val="Arial"/>
      <family val="2"/>
      <color theme="8" tint="-0.499984740745262"/>
      <sz val="10"/>
      <scheme val="minor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Arial"/>
      <family val="2"/>
      <sz val="9.5"/>
      <scheme val="minor"/>
    </font>
    <font>
      <name val="Arial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sz val="9.5"/>
    </font>
    <font>
      <name val="Arial"/>
      <b val="1"/>
      <color rgb="00FFFFFF"/>
      <sz val="12"/>
    </font>
    <font>
      <name val="Poppins"/>
      <b val="1"/>
      <color theme="0"/>
      <sz val="10"/>
    </font>
    <font>
      <name val="Arial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1851D6"/>
        <bgColor rgb="001851D6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1499984740745262"/>
        <bgColor indexed="64"/>
      </patternFill>
    </fill>
  </fills>
  <borders count="19">
    <border>
      <left/>
      <right/>
      <top/>
      <bottom/>
      <diagonal/>
    </border>
    <border>
      <left style="thin">
        <color rgb="FF29292F"/>
      </left>
      <right/>
      <top style="thin">
        <color rgb="FF29292F"/>
      </top>
      <bottom/>
      <diagonal/>
    </border>
    <border>
      <left/>
      <right/>
      <top style="thin">
        <color rgb="FF29292F"/>
      </top>
      <bottom/>
      <diagonal/>
    </border>
    <border>
      <left style="thin">
        <color rgb="FF29292F"/>
      </left>
      <right/>
      <top style="thin">
        <color rgb="FF29292F"/>
      </top>
      <bottom style="thin">
        <color rgb="FF29292F"/>
      </bottom>
      <diagonal/>
    </border>
    <border>
      <left/>
      <right/>
      <top style="thin">
        <color rgb="FF29292F"/>
      </top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rgb="FF29292F"/>
      </bottom>
      <diagonal/>
    </border>
    <border>
      <left style="thin">
        <color rgb="FF29292F"/>
      </left>
      <right/>
      <top/>
      <bottom/>
      <diagonal/>
    </border>
    <border>
      <left/>
      <right/>
      <top style="thin">
        <color rgb="FF29292F"/>
      </top>
      <bottom style="thin">
        <color indexed="64"/>
      </bottom>
      <diagonal/>
    </border>
    <border>
      <left/>
      <right/>
      <top/>
      <bottom style="thin">
        <color rgb="FF29292F"/>
      </bottom>
      <diagonal/>
    </border>
    <border>
      <left style="thin">
        <color rgb="FF29292F"/>
      </left>
      <right/>
      <top/>
      <bottom style="thin">
        <color rgb="FF29292F"/>
      </bottom>
      <diagonal/>
    </border>
    <border>
      <left/>
      <right style="thin">
        <color indexed="64"/>
      </right>
      <top style="thin">
        <color rgb="FF29292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3" fillId="0" borderId="6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8" fillId="0" borderId="7" applyAlignment="1" pivotButton="0" quotePrefix="0" xfId="0">
      <alignment horizontal="left" vertical="center"/>
    </xf>
    <xf numFmtId="164" fontId="4" fillId="0" borderId="7" applyAlignment="1" pivotButton="0" quotePrefix="0" xfId="0">
      <alignment horizontal="left" vertical="center"/>
    </xf>
    <xf numFmtId="0" fontId="3" fillId="0" borderId="5" applyAlignment="1" pivotButton="0" quotePrefix="0" xfId="0">
      <alignment vertical="center"/>
    </xf>
    <xf numFmtId="164" fontId="8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17" fontId="3" fillId="0" borderId="9" applyAlignment="1" pivotButton="0" quotePrefix="0" xfId="0">
      <alignment horizontal="left" vertical="center"/>
    </xf>
    <xf numFmtId="17" fontId="3" fillId="0" borderId="8" applyAlignment="1" pivotButton="0" quotePrefix="0" xfId="0">
      <alignment horizontal="left" vertical="center"/>
    </xf>
    <xf numFmtId="17" fontId="3" fillId="0" borderId="10" applyAlignment="1" pivotButton="0" quotePrefix="0" xfId="0">
      <alignment horizontal="left" vertical="center"/>
    </xf>
    <xf numFmtId="0" fontId="9" fillId="2" borderId="0" pivotButton="0" quotePrefix="0" xfId="0"/>
    <xf numFmtId="0" fontId="0" fillId="2" borderId="0" pivotButton="0" quotePrefix="0" xfId="0"/>
    <xf numFmtId="0" fontId="10" fillId="3" borderId="11" applyAlignment="1" pivotButton="0" quotePrefix="0" xfId="0">
      <alignment horizontal="center" vertical="center"/>
    </xf>
    <xf numFmtId="0" fontId="10" fillId="3" borderId="12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 wrapText="1"/>
    </xf>
    <xf numFmtId="0" fontId="5" fillId="4" borderId="13" applyAlignment="1" pivotButton="0" quotePrefix="0" xfId="0">
      <alignment vertical="center"/>
    </xf>
    <xf numFmtId="0" fontId="5" fillId="4" borderId="14" applyAlignment="1" pivotButton="0" quotePrefix="0" xfId="0">
      <alignment vertical="center"/>
    </xf>
    <xf numFmtId="0" fontId="5" fillId="4" borderId="15" applyAlignment="1" pivotButton="0" quotePrefix="0" xfId="0">
      <alignment vertical="center"/>
    </xf>
    <xf numFmtId="165" fontId="5" fillId="4" borderId="15" applyAlignment="1" pivotButton="0" quotePrefix="0" xfId="0">
      <alignment vertical="center"/>
    </xf>
    <xf numFmtId="165" fontId="11" fillId="4" borderId="15" applyAlignment="1" pivotButton="0" quotePrefix="0" xfId="0">
      <alignment vertical="center"/>
    </xf>
    <xf numFmtId="166" fontId="5" fillId="4" borderId="16" applyAlignment="1" pivotButton="0" quotePrefix="0" xfId="0">
      <alignment vertical="center"/>
    </xf>
    <xf numFmtId="165" fontId="5" fillId="4" borderId="17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165" fontId="7" fillId="0" borderId="0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5" fillId="0" borderId="13" applyAlignment="1" pivotButton="0" quotePrefix="0" xfId="0">
      <alignment vertical="center"/>
    </xf>
    <xf numFmtId="165" fontId="5" fillId="0" borderId="18" applyAlignment="1" pivotButton="0" quotePrefix="0" xfId="0">
      <alignment vertical="center"/>
    </xf>
    <xf numFmtId="165" fontId="11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5" fontId="5" fillId="5" borderId="1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5" customWidth="1" min="3" max="3"/>
    <col width="30" customWidth="1" min="4" max="4"/>
    <col width="50" customWidth="1" min="5" max="5"/>
    <col width="12" customWidth="1" min="6" max="6"/>
    <col width="12" customWidth="1" min="7" max="7"/>
    <col width="10" customWidth="1" min="8" max="8"/>
    <col width="15" customWidth="1" min="9" max="9"/>
    <col width="10" customWidth="1" min="10" max="10"/>
    <col width="15" customWidth="1" min="11" max="11"/>
    <col width="15" customWidth="1" min="12" max="12"/>
    <col width="12" customWidth="1" min="14" max="14"/>
    <col width="30" customWidth="1" min="15" max="15"/>
    <col width="12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2" customWidth="1" min="22" max="22"/>
    <col width="16" customWidth="1" min="23" max="23"/>
    <col width="18" customWidth="1" min="24" max="24"/>
    <col width="12" customWidth="1" min="25" max="25"/>
  </cols>
  <sheetData>
    <row r="1">
      <c r="A1" s="1" t="n"/>
      <c r="B1" s="2" t="n"/>
      <c r="C1" s="3" t="inlineStr">
        <is>
          <t>Projeto</t>
        </is>
      </c>
      <c r="D1" s="4" t="inlineStr">
        <is>
          <t>Electra Towers</t>
        </is>
      </c>
      <c r="E1" s="5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7" t="n"/>
    </row>
    <row r="2">
      <c r="A2" s="8" t="n"/>
      <c r="B2" s="9" t="n"/>
      <c r="C2" s="3" t="inlineStr">
        <is>
          <t>Empresa</t>
        </is>
      </c>
      <c r="D2" s="10" t="inlineStr">
        <is>
          <t>Thozen</t>
        </is>
      </c>
      <c r="E2" s="11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12" t="n"/>
    </row>
    <row r="3">
      <c r="A3" s="8" t="n"/>
      <c r="B3" s="9" t="n"/>
      <c r="C3" s="3" t="inlineStr">
        <is>
          <t>Origem</t>
        </is>
      </c>
      <c r="D3" s="13" t="inlineStr">
        <is>
          <t>CTN-TZN_ELT-TEL-R02</t>
        </is>
      </c>
      <c r="E3" s="14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12" t="n"/>
    </row>
    <row r="4">
      <c r="A4" s="15" t="n"/>
      <c r="B4" s="16" t="n"/>
      <c r="C4" s="3" t="inlineStr">
        <is>
          <t>Revisão</t>
        </is>
      </c>
      <c r="D4" s="4" t="inlineStr">
        <is>
          <t>R02 - Jarvis/IFC+DWG por Torre 30/03/2026</t>
        </is>
      </c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17" t="n"/>
    </row>
    <row r="5">
      <c r="A5" s="18" t="inlineStr">
        <is>
          <t>TELECOMUNICAÇÃO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  <c r="X5" s="19" t="n"/>
      <c r="Y5" s="19" t="n"/>
      <c r="Z5" s="19" t="n"/>
      <c r="AA5" s="19" t="n"/>
      <c r="AB5" s="19" t="n"/>
      <c r="AC5" s="19" t="n"/>
      <c r="AD5" s="19" t="n"/>
      <c r="AE5" s="19" t="n"/>
      <c r="AF5" s="19" t="n"/>
      <c r="AG5" s="19" t="n"/>
      <c r="AH5" s="19" t="n"/>
      <c r="AI5" s="19" t="n"/>
      <c r="AJ5" s="19" t="n"/>
    </row>
    <row r="6">
      <c r="A6" s="20" t="inlineStr">
        <is>
          <t>TORRE</t>
        </is>
      </c>
      <c r="B6" s="20" t="inlineStr">
        <is>
          <t>PAVIMENTO</t>
        </is>
      </c>
      <c r="C6" s="20" t="inlineStr">
        <is>
          <t>GRUPO/EAP</t>
        </is>
      </c>
      <c r="D6" s="20" t="inlineStr">
        <is>
          <t>SUBGRUPO</t>
        </is>
      </c>
      <c r="E6" s="20" t="inlineStr">
        <is>
          <t>Descrição</t>
        </is>
      </c>
      <c r="F6" s="20" t="inlineStr">
        <is>
          <t>Quantidade</t>
        </is>
      </c>
      <c r="G6" s="20" t="inlineStr">
        <is>
          <t>Repetição</t>
        </is>
      </c>
      <c r="H6" s="20" t="inlineStr">
        <is>
          <t>Perda</t>
        </is>
      </c>
      <c r="I6" s="20" t="inlineStr">
        <is>
          <t>Qte com perda</t>
        </is>
      </c>
      <c r="J6" s="20" t="inlineStr">
        <is>
          <t>Unidade</t>
        </is>
      </c>
      <c r="K6" s="20" t="inlineStr">
        <is>
          <t>Custo unitário</t>
        </is>
      </c>
      <c r="L6" s="20" t="inlineStr">
        <is>
          <t>Custo Total</t>
        </is>
      </c>
      <c r="N6" s="21" t="inlineStr">
        <is>
          <t>Torre</t>
        </is>
      </c>
      <c r="O6" s="20" t="inlineStr">
        <is>
          <t>EAP</t>
        </is>
      </c>
      <c r="P6" s="20" t="inlineStr">
        <is>
          <t>TÉRREO</t>
        </is>
      </c>
      <c r="Q6" s="22" t="inlineStr">
        <is>
          <t>GARAGEM 01</t>
        </is>
      </c>
      <c r="R6" s="22" t="inlineStr">
        <is>
          <t>GARAGEM 02</t>
        </is>
      </c>
      <c r="S6" s="22" t="inlineStr">
        <is>
          <t>GARAGEM 03</t>
        </is>
      </c>
      <c r="T6" s="22" t="inlineStr">
        <is>
          <t>GARAGEM 04</t>
        </is>
      </c>
      <c r="U6" s="22" t="inlineStr">
        <is>
          <t>GARAGEM 05</t>
        </is>
      </c>
      <c r="V6" s="22" t="inlineStr">
        <is>
          <t>LAZER</t>
        </is>
      </c>
      <c r="W6" s="22" t="inlineStr">
        <is>
          <t>PAVIMENTO TIPO</t>
        </is>
      </c>
      <c r="X6" s="22" t="inlineStr">
        <is>
          <t>CASA DE MÁQUINAS</t>
        </is>
      </c>
      <c r="Y6" s="22" t="inlineStr">
        <is>
          <t>TOTAL</t>
        </is>
      </c>
    </row>
    <row r="7">
      <c r="A7" s="23" t="inlineStr">
        <is>
          <t>Torre A</t>
        </is>
      </c>
      <c r="B7" s="23" t="inlineStr">
        <is>
          <t>TÉRREO</t>
        </is>
      </c>
      <c r="C7" s="24" t="n"/>
      <c r="D7" s="25" t="n"/>
      <c r="E7" s="25" t="n"/>
      <c r="F7" s="26" t="n"/>
      <c r="G7" s="26" t="n"/>
      <c r="H7" s="26" t="n"/>
      <c r="I7" s="27" t="n"/>
      <c r="J7" s="26" t="n"/>
      <c r="K7" s="28" t="n"/>
      <c r="L7" s="29">
        <f>IF(SUM(F7:K7)=0,SUMIFS($L8:$L$9999,$B8:$B$9999,$B7,$A8:$A$9999,$A7),I7*K7)</f>
        <v/>
      </c>
      <c r="N7" s="30" t="inlineStr">
        <is>
          <t>Torre A</t>
        </is>
      </c>
      <c r="O7" s="30" t="inlineStr">
        <is>
          <t>CAIXA OCTOGONAL</t>
        </is>
      </c>
      <c r="P7" s="31" t="n">
        <v>290.6</v>
      </c>
      <c r="Q7" s="31" t="n">
        <v>258</v>
      </c>
      <c r="R7" s="31" t="n">
        <v>173.1</v>
      </c>
      <c r="S7" s="31" t="n">
        <v>173.1</v>
      </c>
      <c r="T7" s="31" t="n">
        <v>182.9</v>
      </c>
      <c r="U7" s="31" t="n">
        <v>192.7</v>
      </c>
      <c r="V7" s="31" t="n">
        <v>280.8</v>
      </c>
      <c r="W7" s="31" t="n">
        <v>1567.2</v>
      </c>
      <c r="X7" s="30" t="n"/>
      <c r="Y7" s="31" t="n">
        <v>3118.4</v>
      </c>
    </row>
    <row r="8">
      <c r="A8" s="32">
        <f>A7</f>
        <v/>
      </c>
      <c r="B8" s="32">
        <f>B7</f>
        <v/>
      </c>
      <c r="C8" s="32" t="inlineStr">
        <is>
          <t>INSTALAÇÕES DE TELECOMUNICAÇÃO</t>
        </is>
      </c>
      <c r="D8" s="32" t="inlineStr">
        <is>
          <t>CAIXA OCTOGONAL</t>
        </is>
      </c>
      <c r="E8" s="32" t="inlineStr">
        <is>
          <t>Caixa Octogonal Padrão NBR IEC 60670</t>
        </is>
      </c>
      <c r="F8" s="33" t="n">
        <v>27</v>
      </c>
      <c r="G8" s="33" t="n">
        <v>1</v>
      </c>
      <c r="H8" s="34" t="n">
        <v>0</v>
      </c>
      <c r="I8" s="35">
        <f>(F8+H8*F8)*G8</f>
        <v/>
      </c>
      <c r="J8" s="33" t="inlineStr">
        <is>
          <t>pç</t>
        </is>
      </c>
      <c r="K8" s="36" t="n">
        <v>9.800000000000001</v>
      </c>
      <c r="L8" s="37">
        <f>I8*K8</f>
        <v/>
      </c>
      <c r="N8" s="30" t="inlineStr">
        <is>
          <t>Torre A</t>
        </is>
      </c>
      <c r="O8" s="30" t="inlineStr">
        <is>
          <t>CAIXA 4x2" E 4x4"</t>
        </is>
      </c>
      <c r="P8" s="31" t="n">
        <v>1548.1</v>
      </c>
      <c r="Q8" s="31" t="n">
        <v>27.6</v>
      </c>
      <c r="R8" s="31" t="n">
        <v>12.8</v>
      </c>
      <c r="S8" s="31" t="n">
        <v>12.8</v>
      </c>
      <c r="T8" s="30" t="n"/>
      <c r="U8" s="30" t="n"/>
      <c r="V8" s="31" t="n">
        <v>1032.9</v>
      </c>
      <c r="W8" s="31" t="n">
        <v>27196.8</v>
      </c>
      <c r="X8" s="31" t="n">
        <v>55</v>
      </c>
      <c r="Y8" s="31" t="n">
        <v>29886</v>
      </c>
    </row>
    <row r="9">
      <c r="A9" s="32">
        <f>A7</f>
        <v/>
      </c>
      <c r="B9" s="32">
        <f>B7</f>
        <v/>
      </c>
      <c r="C9" s="32" t="inlineStr">
        <is>
          <t>INSTALAÇÕES DE TELECOMUNICAÇÃO</t>
        </is>
      </c>
      <c r="D9" s="32" t="inlineStr">
        <is>
          <t>CAIXA OCTOGONAL</t>
        </is>
      </c>
      <c r="E9" s="32" t="inlineStr">
        <is>
          <t>Placa cega para caixa octogonal Padrão NBR IEC 60670</t>
        </is>
      </c>
      <c r="F9" s="33" t="n">
        <v>4</v>
      </c>
      <c r="G9" s="33" t="n">
        <v>1</v>
      </c>
      <c r="H9" s="34" t="n">
        <v>0</v>
      </c>
      <c r="I9" s="35">
        <f>(F9+H9*F9)*G9</f>
        <v/>
      </c>
      <c r="J9" s="33" t="inlineStr">
        <is>
          <t>pç</t>
        </is>
      </c>
      <c r="K9" s="36" t="n">
        <v>6.5</v>
      </c>
      <c r="L9" s="37">
        <f>I9*K9</f>
        <v/>
      </c>
      <c r="N9" s="30" t="inlineStr">
        <is>
          <t>Torre A</t>
        </is>
      </c>
      <c r="O9" s="30" t="inlineStr">
        <is>
          <t>CAIXA DE PASSAGEM</t>
        </is>
      </c>
      <c r="P9" s="30" t="n"/>
      <c r="Q9" s="31" t="n">
        <v>435</v>
      </c>
      <c r="R9" s="30" t="n"/>
      <c r="S9" s="30" t="n"/>
      <c r="T9" s="30" t="n"/>
      <c r="U9" s="30" t="n"/>
      <c r="V9" s="30" t="n"/>
      <c r="W9" s="30" t="n"/>
      <c r="X9" s="30" t="n"/>
      <c r="Y9" s="31" t="n">
        <v>435</v>
      </c>
    </row>
    <row r="10">
      <c r="A10" s="32">
        <f>A7</f>
        <v/>
      </c>
      <c r="B10" s="32">
        <f>B7</f>
        <v/>
      </c>
      <c r="C10" s="32" t="inlineStr">
        <is>
          <t>INSTALAÇÕES DE TELECOMUNICAÇÃO</t>
        </is>
      </c>
      <c r="D10" s="32" t="inlineStr">
        <is>
          <t>CAIXA 4x2" E 4x4"</t>
        </is>
      </c>
      <c r="E10" s="32" t="inlineStr">
        <is>
          <t>Caixa 4x2" de Embutir em PVC Padrão NBR IEC 60670</t>
        </is>
      </c>
      <c r="F10" s="33" t="n">
        <v>85</v>
      </c>
      <c r="G10" s="33" t="n">
        <v>1</v>
      </c>
      <c r="H10" s="34" t="n">
        <v>0</v>
      </c>
      <c r="I10" s="35">
        <f>(F10+H10*F10)*G10</f>
        <v/>
      </c>
      <c r="J10" s="33" t="inlineStr">
        <is>
          <t>pç</t>
        </is>
      </c>
      <c r="K10" s="36" t="n">
        <v>5.9</v>
      </c>
      <c r="L10" s="37">
        <f>I10*K10</f>
        <v/>
      </c>
      <c r="N10" s="30" t="inlineStr">
        <is>
          <t>Torre A</t>
        </is>
      </c>
      <c r="O10" s="30" t="inlineStr">
        <is>
          <t>ELETRODUTOS</t>
        </is>
      </c>
      <c r="P10" s="31" t="n">
        <v>6633.8</v>
      </c>
      <c r="Q10" s="31" t="n">
        <v>2267.5</v>
      </c>
      <c r="R10" s="31" t="n">
        <v>1026.4</v>
      </c>
      <c r="S10" s="31" t="n">
        <v>1026.4</v>
      </c>
      <c r="T10" s="31" t="n">
        <v>969.5</v>
      </c>
      <c r="U10" s="31" t="n">
        <v>943.9</v>
      </c>
      <c r="V10" s="31" t="n">
        <v>6087</v>
      </c>
      <c r="W10" s="31" t="n">
        <v>132772.8</v>
      </c>
      <c r="X10" s="31" t="n">
        <v>864.5</v>
      </c>
      <c r="Y10" s="31" t="n">
        <v>152591.8</v>
      </c>
    </row>
    <row r="11">
      <c r="A11" s="32">
        <f>A7</f>
        <v/>
      </c>
      <c r="B11" s="32">
        <f>B7</f>
        <v/>
      </c>
      <c r="C11" s="32" t="inlineStr">
        <is>
          <t>INSTALAÇÕES DE TELECOMUNICAÇÃO</t>
        </is>
      </c>
      <c r="D11" s="32" t="inlineStr">
        <is>
          <t>CAIXA 4x2" E 4x4"</t>
        </is>
      </c>
      <c r="E11" s="32" t="inlineStr">
        <is>
          <t>Caixa 4x4" de Embutir em PVC Padrão NBR IEC 60670</t>
        </is>
      </c>
      <c r="F11" s="33" t="n">
        <v>30</v>
      </c>
      <c r="G11" s="33" t="n">
        <v>1</v>
      </c>
      <c r="H11" s="34" t="n">
        <v>0</v>
      </c>
      <c r="I11" s="35">
        <f>(F11+H11*F11)*G11</f>
        <v/>
      </c>
      <c r="J11" s="33" t="inlineStr">
        <is>
          <t>pç</t>
        </is>
      </c>
      <c r="K11" s="36" t="n">
        <v>8.9</v>
      </c>
      <c r="L11" s="37">
        <f>I11*K11</f>
        <v/>
      </c>
      <c r="N11" s="30" t="inlineStr">
        <is>
          <t>Torre A</t>
        </is>
      </c>
      <c r="O11" s="30" t="inlineStr">
        <is>
          <t>MÓDULOS</t>
        </is>
      </c>
      <c r="P11" s="31" t="n">
        <v>800.8</v>
      </c>
      <c r="Q11" s="31" t="n">
        <v>22.9</v>
      </c>
      <c r="R11" s="30" t="n"/>
      <c r="S11" s="30" t="n"/>
      <c r="T11" s="30" t="n"/>
      <c r="U11" s="30" t="n"/>
      <c r="V11" s="31" t="n">
        <v>142.7</v>
      </c>
      <c r="W11" s="31" t="n">
        <v>8568</v>
      </c>
      <c r="X11" s="30" t="n"/>
      <c r="Y11" s="31" t="n">
        <v>9534.4</v>
      </c>
    </row>
    <row r="12">
      <c r="A12" s="32">
        <f>A7</f>
        <v/>
      </c>
      <c r="B12" s="32">
        <f>B7</f>
        <v/>
      </c>
      <c r="C12" s="32" t="inlineStr">
        <is>
          <t>INSTALAÇÕES DE TELECOMUNICAÇÃO</t>
        </is>
      </c>
      <c r="D12" s="32" t="inlineStr">
        <is>
          <t>CAIXA 4x2" E 4x4"</t>
        </is>
      </c>
      <c r="E12" s="32" t="inlineStr">
        <is>
          <t>Placa 4x2" cega Padrão NBR IEC 60670</t>
        </is>
      </c>
      <c r="F12" s="33" t="n">
        <v>40</v>
      </c>
      <c r="G12" s="33" t="n">
        <v>1</v>
      </c>
      <c r="H12" s="34" t="n">
        <v>0</v>
      </c>
      <c r="I12" s="35">
        <f>(F12+H12*F12)*G12</f>
        <v/>
      </c>
      <c r="J12" s="33" t="inlineStr">
        <is>
          <t>pç</t>
        </is>
      </c>
      <c r="K12" s="36" t="n">
        <v>4.5</v>
      </c>
      <c r="L12" s="37">
        <f>I12*K12</f>
        <v/>
      </c>
      <c r="N12" s="30" t="inlineStr">
        <is>
          <t>Torre A</t>
        </is>
      </c>
      <c r="O12" s="30" t="inlineStr">
        <is>
          <t>QUADROS DE DISTRIBUIÇÃO</t>
        </is>
      </c>
      <c r="P12" s="31" t="n">
        <v>1260</v>
      </c>
      <c r="Q12" s="30" t="n"/>
      <c r="R12" s="30" t="n"/>
      <c r="S12" s="30" t="n"/>
      <c r="T12" s="30" t="n"/>
      <c r="U12" s="31" t="n">
        <v>465</v>
      </c>
      <c r="V12" s="31" t="n">
        <v>420</v>
      </c>
      <c r="W12" s="31" t="n">
        <v>10080</v>
      </c>
      <c r="X12" s="30" t="n"/>
      <c r="Y12" s="31" t="n">
        <v>12225</v>
      </c>
    </row>
    <row r="13">
      <c r="A13" s="32">
        <f>A7</f>
        <v/>
      </c>
      <c r="B13" s="32">
        <f>B7</f>
        <v/>
      </c>
      <c r="C13" s="32" t="inlineStr">
        <is>
          <t>INSTALAÇÕES DE TELECOMUNICAÇÃO</t>
        </is>
      </c>
      <c r="D13" s="32" t="inlineStr">
        <is>
          <t>CAIXA 4x2" E 4x4"</t>
        </is>
      </c>
      <c r="E13" s="32" t="inlineStr">
        <is>
          <t>Placa 4x2" para 2 funções Padrão NBR IEC 60670</t>
        </is>
      </c>
      <c r="F13" s="33" t="n">
        <v>5</v>
      </c>
      <c r="G13" s="33" t="n">
        <v>1</v>
      </c>
      <c r="H13" s="34" t="n">
        <v>0</v>
      </c>
      <c r="I13" s="35">
        <f>(F13+H13*F13)*G13</f>
        <v/>
      </c>
      <c r="J13" s="33" t="inlineStr">
        <is>
          <t>pç</t>
        </is>
      </c>
      <c r="K13" s="36" t="n">
        <v>7.8</v>
      </c>
      <c r="L13" s="37">
        <f>I13*K13</f>
        <v/>
      </c>
      <c r="N13" s="30" t="inlineStr">
        <is>
          <t>Torre A</t>
        </is>
      </c>
      <c r="O13" s="30" t="inlineStr">
        <is>
          <t>COTOVELOS</t>
        </is>
      </c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1" t="n">
        <v>0</v>
      </c>
    </row>
    <row r="14">
      <c r="A14" s="32">
        <f>A7</f>
        <v/>
      </c>
      <c r="B14" s="32">
        <f>B7</f>
        <v/>
      </c>
      <c r="C14" s="32" t="inlineStr">
        <is>
          <t>INSTALAÇÕES DE TELECOMUNICAÇÃO</t>
        </is>
      </c>
      <c r="D14" s="32" t="inlineStr">
        <is>
          <t>CAIXA 4x2" E 4x4"</t>
        </is>
      </c>
      <c r="E14" s="32" t="inlineStr">
        <is>
          <t>Placa 4x2" para 3 funções Padrão NBR IEC 60670</t>
        </is>
      </c>
      <c r="F14" s="33" t="n">
        <v>4</v>
      </c>
      <c r="G14" s="33" t="n">
        <v>1</v>
      </c>
      <c r="H14" s="34" t="n">
        <v>0</v>
      </c>
      <c r="I14" s="35">
        <f>(F14+H14*F14)*G14</f>
        <v/>
      </c>
      <c r="J14" s="33" t="inlineStr">
        <is>
          <t>pç</t>
        </is>
      </c>
      <c r="K14" s="36" t="n">
        <v>8.9</v>
      </c>
      <c r="L14" s="37">
        <f>I14*K14</f>
        <v/>
      </c>
      <c r="N14" s="30" t="inlineStr">
        <is>
          <t>Torre A</t>
        </is>
      </c>
      <c r="O14" s="30" t="inlineStr">
        <is>
          <t>CONECTORES E BUCHAS</t>
        </is>
      </c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1" t="n">
        <v>0</v>
      </c>
    </row>
    <row r="15">
      <c r="A15" s="32">
        <f>A7</f>
        <v/>
      </c>
      <c r="B15" s="32">
        <f>B7</f>
        <v/>
      </c>
      <c r="C15" s="32" t="inlineStr">
        <is>
          <t>INSTALAÇÕES DE TELECOMUNICAÇÃO</t>
        </is>
      </c>
      <c r="D15" s="32" t="inlineStr">
        <is>
          <t>CAIXA 4x2" E 4x4"</t>
        </is>
      </c>
      <c r="E15" s="32" t="inlineStr">
        <is>
          <t>Placa 4x4" cega Padrão NBR IEC 60670</t>
        </is>
      </c>
      <c r="F15" s="33" t="n">
        <v>30</v>
      </c>
      <c r="G15" s="33" t="n">
        <v>1</v>
      </c>
      <c r="H15" s="34" t="n">
        <v>0</v>
      </c>
      <c r="I15" s="35">
        <f>(F15+H15*F15)*G15</f>
        <v/>
      </c>
      <c r="J15" s="33" t="inlineStr">
        <is>
          <t>pç</t>
        </is>
      </c>
      <c r="K15" s="36" t="n">
        <v>7.5</v>
      </c>
      <c r="L15" s="37">
        <f>I15*K15</f>
        <v/>
      </c>
      <c r="N15" s="30" t="inlineStr">
        <is>
          <t>Torre A</t>
        </is>
      </c>
      <c r="O15" s="30" t="inlineStr">
        <is>
          <t>CONDUTORES TELECOM</t>
        </is>
      </c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1" t="n">
        <v>0</v>
      </c>
    </row>
    <row r="16">
      <c r="A16" s="32">
        <f>A7</f>
        <v/>
      </c>
      <c r="B16" s="32">
        <f>B7</f>
        <v/>
      </c>
      <c r="C16" s="32" t="inlineStr">
        <is>
          <t>INSTALAÇÕES DE TELECOMUNICAÇÃO</t>
        </is>
      </c>
      <c r="D16" s="32" t="inlineStr">
        <is>
          <t>CAIXA 4x2" E 4x4"</t>
        </is>
      </c>
      <c r="E16" s="32" t="inlineStr">
        <is>
          <t>Suporte p/ caixa 4x2" Padrão NBR IEC 60670</t>
        </is>
      </c>
      <c r="F16" s="33" t="n">
        <v>85</v>
      </c>
      <c r="G16" s="33" t="n">
        <v>1</v>
      </c>
      <c r="H16" s="34" t="n">
        <v>0</v>
      </c>
      <c r="I16" s="35">
        <f>(F16+H16*F16)*G16</f>
        <v/>
      </c>
      <c r="J16" s="33" t="inlineStr">
        <is>
          <t>pç</t>
        </is>
      </c>
      <c r="K16" s="36" t="n">
        <v>2.4</v>
      </c>
      <c r="L16" s="37">
        <f>I16*K16</f>
        <v/>
      </c>
      <c r="N16" s="30" t="inlineStr">
        <is>
          <t>Torre A</t>
        </is>
      </c>
      <c r="O16" s="30" t="inlineStr">
        <is>
          <t>PONTOS DE USO</t>
        </is>
      </c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1" t="n">
        <v>0</v>
      </c>
    </row>
    <row r="17">
      <c r="A17" s="32">
        <f>A7</f>
        <v/>
      </c>
      <c r="B17" s="32">
        <f>B7</f>
        <v/>
      </c>
      <c r="C17" s="32" t="inlineStr">
        <is>
          <t>INSTALAÇÕES DE TELECOMUNICAÇÃO</t>
        </is>
      </c>
      <c r="D17" s="32" t="inlineStr">
        <is>
          <t>CAIXA 4x2" E 4x4"</t>
        </is>
      </c>
      <c r="E17" s="32" t="inlineStr">
        <is>
          <t>Suporte p/ caixa 4x4" Padrão NBR IEC 60670</t>
        </is>
      </c>
      <c r="F17" s="33" t="n">
        <v>30</v>
      </c>
      <c r="G17" s="33" t="n">
        <v>1</v>
      </c>
      <c r="H17" s="34" t="n">
        <v>0</v>
      </c>
      <c r="I17" s="35">
        <f>(F17+H17*F17)*G17</f>
        <v/>
      </c>
      <c r="J17" s="33" t="inlineStr">
        <is>
          <t>pç</t>
        </is>
      </c>
      <c r="K17" s="36" t="n">
        <v>3.2</v>
      </c>
      <c r="L17" s="37">
        <f>I17*K17</f>
        <v/>
      </c>
      <c r="N17" s="30" t="inlineStr">
        <is>
          <t>Torre B</t>
        </is>
      </c>
      <c r="O17" s="30" t="inlineStr">
        <is>
          <t>CAIXA OCTOGONAL</t>
        </is>
      </c>
      <c r="P17" s="31" t="n">
        <v>372.2</v>
      </c>
      <c r="Q17" s="31" t="n">
        <v>362.5</v>
      </c>
      <c r="R17" s="31" t="n">
        <v>238.4</v>
      </c>
      <c r="S17" s="31" t="n">
        <v>238.4</v>
      </c>
      <c r="T17" s="31" t="n">
        <v>202.5</v>
      </c>
      <c r="U17" s="31" t="n">
        <v>192.7</v>
      </c>
      <c r="V17" s="31" t="n">
        <v>310.2</v>
      </c>
      <c r="W17" s="31" t="n">
        <v>1567.2</v>
      </c>
      <c r="X17" s="30" t="n"/>
      <c r="Y17" s="31" t="n">
        <v>3484.1</v>
      </c>
    </row>
    <row r="18">
      <c r="A18" s="32">
        <f>A7</f>
        <v/>
      </c>
      <c r="B18" s="32">
        <f>B7</f>
        <v/>
      </c>
      <c r="C18" s="32" t="inlineStr">
        <is>
          <t>INSTALAÇÕES DE TELECOMUNICAÇÃO</t>
        </is>
      </c>
      <c r="D18" s="32" t="inlineStr">
        <is>
          <t>ELETRODUTOS</t>
        </is>
      </c>
      <c r="E18" s="32" t="inlineStr">
        <is>
          <t>PVC Flexível Antichama - NBR 15465 ø1"</t>
        </is>
      </c>
      <c r="F18" s="33" t="n">
        <v>277</v>
      </c>
      <c r="G18" s="33" t="n">
        <v>1</v>
      </c>
      <c r="H18" s="34" t="n">
        <v>0</v>
      </c>
      <c r="I18" s="35">
        <f>(F18+H18*F18)*G18</f>
        <v/>
      </c>
      <c r="J18" s="33" t="inlineStr">
        <is>
          <t>m</t>
        </is>
      </c>
      <c r="K18" s="36" t="n">
        <v>11.9</v>
      </c>
      <c r="L18" s="37">
        <f>I18*K18</f>
        <v/>
      </c>
      <c r="N18" s="30" t="inlineStr">
        <is>
          <t>Torre B</t>
        </is>
      </c>
      <c r="O18" s="30" t="inlineStr">
        <is>
          <t>CAIXA 4x2" E 4x4"</t>
        </is>
      </c>
      <c r="P18" s="31" t="n">
        <v>1956.4</v>
      </c>
      <c r="Q18" s="31" t="n">
        <v>38.6</v>
      </c>
      <c r="R18" s="31" t="n">
        <v>12.8</v>
      </c>
      <c r="S18" s="31" t="n">
        <v>12.8</v>
      </c>
      <c r="T18" s="30" t="n"/>
      <c r="U18" s="30" t="n"/>
      <c r="V18" s="31" t="n">
        <v>1155</v>
      </c>
      <c r="W18" s="31" t="n">
        <v>27196.8</v>
      </c>
      <c r="X18" s="31" t="n">
        <v>42.2</v>
      </c>
      <c r="Y18" s="31" t="n">
        <v>30414.6</v>
      </c>
    </row>
    <row r="19">
      <c r="A19" s="32">
        <f>A7</f>
        <v/>
      </c>
      <c r="B19" s="32">
        <f>B7</f>
        <v/>
      </c>
      <c r="C19" s="32" t="inlineStr">
        <is>
          <t>INSTALAÇÕES DE TELECOMUNICAÇÃO</t>
        </is>
      </c>
      <c r="D19" s="32" t="inlineStr">
        <is>
          <t>ELETRODUTOS</t>
        </is>
      </c>
      <c r="E19" s="32" t="inlineStr">
        <is>
          <t>PVC Flexível Antichama - NBR 15465 ø3/4"</t>
        </is>
      </c>
      <c r="F19" s="33" t="n">
        <v>445</v>
      </c>
      <c r="G19" s="33" t="n">
        <v>1</v>
      </c>
      <c r="H19" s="34" t="n">
        <v>0</v>
      </c>
      <c r="I19" s="35">
        <f>(F19+H19*F19)*G19</f>
        <v/>
      </c>
      <c r="J19" s="33" t="inlineStr">
        <is>
          <t>m</t>
        </is>
      </c>
      <c r="K19" s="36" t="n">
        <v>7.5</v>
      </c>
      <c r="L19" s="37">
        <f>I19*K19</f>
        <v/>
      </c>
      <c r="N19" s="30" t="inlineStr">
        <is>
          <t>Torre B</t>
        </is>
      </c>
      <c r="O19" s="30" t="inlineStr">
        <is>
          <t>CAIXA DE PASSAGEM</t>
        </is>
      </c>
      <c r="P19" s="31" t="n">
        <v>145</v>
      </c>
      <c r="Q19" s="31" t="n">
        <v>580</v>
      </c>
      <c r="R19" s="30" t="n"/>
      <c r="S19" s="30" t="n"/>
      <c r="T19" s="30" t="n"/>
      <c r="U19" s="30" t="n"/>
      <c r="V19" s="30" t="n"/>
      <c r="W19" s="30" t="n"/>
      <c r="X19" s="30" t="n"/>
      <c r="Y19" s="31" t="n">
        <v>725</v>
      </c>
    </row>
    <row r="20">
      <c r="A20" s="32">
        <f>A7</f>
        <v/>
      </c>
      <c r="B20" s="32">
        <f>B7</f>
        <v/>
      </c>
      <c r="C20" s="32" t="inlineStr">
        <is>
          <t>INSTALAÇÕES DE TELECOMUNICAÇÃO</t>
        </is>
      </c>
      <c r="D20" s="32" t="inlineStr">
        <is>
          <t>MÓDULOS</t>
        </is>
      </c>
      <c r="E20" s="32" t="inlineStr">
        <is>
          <t>Módulo Coaxial</t>
        </is>
      </c>
      <c r="F20" s="33" t="n">
        <v>4</v>
      </c>
      <c r="G20" s="33" t="n">
        <v>1</v>
      </c>
      <c r="H20" s="34" t="n">
        <v>0</v>
      </c>
      <c r="I20" s="35">
        <f>(F20+H20*F20)*G20</f>
        <v/>
      </c>
      <c r="J20" s="33" t="inlineStr">
        <is>
          <t>pç</t>
        </is>
      </c>
      <c r="K20" s="36" t="n">
        <v>18.5</v>
      </c>
      <c r="L20" s="37">
        <f>I20*K20</f>
        <v/>
      </c>
      <c r="N20" s="30" t="inlineStr">
        <is>
          <t>Torre B</t>
        </is>
      </c>
      <c r="O20" s="30" t="inlineStr">
        <is>
          <t>ELETRODUTOS</t>
        </is>
      </c>
      <c r="P20" s="31" t="n">
        <v>8945.5</v>
      </c>
      <c r="Q20" s="31" t="n">
        <v>3005.3</v>
      </c>
      <c r="R20" s="31" t="n">
        <v>1419.1</v>
      </c>
      <c r="S20" s="31" t="n">
        <v>1419.1</v>
      </c>
      <c r="T20" s="31" t="n">
        <v>1159.9</v>
      </c>
      <c r="U20" s="31" t="n">
        <v>943.9</v>
      </c>
      <c r="V20" s="31" t="n">
        <v>6942.7</v>
      </c>
      <c r="W20" s="31" t="n">
        <v>133915.2</v>
      </c>
      <c r="X20" s="31" t="n">
        <v>543.2</v>
      </c>
      <c r="Y20" s="31" t="n">
        <v>158293.9</v>
      </c>
    </row>
    <row r="21">
      <c r="A21" s="32">
        <f>A7</f>
        <v/>
      </c>
      <c r="B21" s="32">
        <f>B7</f>
        <v/>
      </c>
      <c r="C21" s="32" t="inlineStr">
        <is>
          <t>INSTALAÇÕES DE TELECOMUNICAÇÃO</t>
        </is>
      </c>
      <c r="D21" s="32" t="inlineStr">
        <is>
          <t>MÓDULOS</t>
        </is>
      </c>
      <c r="E21" s="32" t="inlineStr">
        <is>
          <t>Módulo RJ11</t>
        </is>
      </c>
      <c r="F21" s="33" t="n">
        <v>16</v>
      </c>
      <c r="G21" s="33" t="n">
        <v>1</v>
      </c>
      <c r="H21" s="34" t="n">
        <v>0</v>
      </c>
      <c r="I21" s="35">
        <f>(F21+H21*F21)*G21</f>
        <v/>
      </c>
      <c r="J21" s="33" t="inlineStr">
        <is>
          <t>pç</t>
        </is>
      </c>
      <c r="K21" s="36" t="n">
        <v>16.8</v>
      </c>
      <c r="L21" s="37">
        <f>I21*K21</f>
        <v/>
      </c>
      <c r="N21" s="30" t="inlineStr">
        <is>
          <t>Torre B</t>
        </is>
      </c>
      <c r="O21" s="30" t="inlineStr">
        <is>
          <t>MÓDULOS</t>
        </is>
      </c>
      <c r="P21" s="31" t="n">
        <v>1042.4</v>
      </c>
      <c r="Q21" s="31" t="n">
        <v>45.8</v>
      </c>
      <c r="R21" s="30" t="n"/>
      <c r="S21" s="30" t="n"/>
      <c r="T21" s="30" t="n"/>
      <c r="U21" s="30" t="n"/>
      <c r="V21" s="31" t="n">
        <v>142.7</v>
      </c>
      <c r="W21" s="31" t="n">
        <v>8568</v>
      </c>
      <c r="X21" s="30" t="n"/>
      <c r="Y21" s="31" t="n">
        <v>9798.9</v>
      </c>
    </row>
    <row r="22">
      <c r="A22" s="32">
        <f>A7</f>
        <v/>
      </c>
      <c r="B22" s="32">
        <f>B7</f>
        <v/>
      </c>
      <c r="C22" s="32" t="inlineStr">
        <is>
          <t>INSTALAÇÕES DE TELECOMUNICAÇÃO</t>
        </is>
      </c>
      <c r="D22" s="32" t="inlineStr">
        <is>
          <t>MÓDULOS</t>
        </is>
      </c>
      <c r="E22" s="32" t="inlineStr">
        <is>
          <t>Módulo RJ45</t>
        </is>
      </c>
      <c r="F22" s="33" t="n">
        <v>20</v>
      </c>
      <c r="G22" s="33" t="n">
        <v>1</v>
      </c>
      <c r="H22" s="34" t="n">
        <v>0</v>
      </c>
      <c r="I22" s="35">
        <f>(F22+H22*F22)*G22</f>
        <v/>
      </c>
      <c r="J22" s="33" t="inlineStr">
        <is>
          <t>pç</t>
        </is>
      </c>
      <c r="K22" s="36" t="n">
        <v>22.9</v>
      </c>
      <c r="L22" s="37">
        <f>I22*K22</f>
        <v/>
      </c>
      <c r="N22" s="30" t="inlineStr">
        <is>
          <t>Torre B</t>
        </is>
      </c>
      <c r="O22" s="30" t="inlineStr">
        <is>
          <t>QUADROS DE DISTRIBUIÇÃO</t>
        </is>
      </c>
      <c r="P22" s="31" t="n">
        <v>1260</v>
      </c>
      <c r="Q22" s="31" t="n">
        <v>465</v>
      </c>
      <c r="R22" s="31" t="n">
        <v>465</v>
      </c>
      <c r="S22" s="31" t="n">
        <v>465</v>
      </c>
      <c r="T22" s="31" t="n">
        <v>465</v>
      </c>
      <c r="U22" s="30" t="n"/>
      <c r="V22" s="31" t="n">
        <v>420</v>
      </c>
      <c r="W22" s="31" t="n">
        <v>10080</v>
      </c>
      <c r="X22" s="30" t="n"/>
      <c r="Y22" s="31" t="n">
        <v>13620</v>
      </c>
    </row>
    <row r="23">
      <c r="A23" s="32">
        <f>A7</f>
        <v/>
      </c>
      <c r="B23" s="32">
        <f>B7</f>
        <v/>
      </c>
      <c r="C23" s="32" t="inlineStr">
        <is>
          <t>INSTALAÇÕES DE TELECOMUNICAÇÃO</t>
        </is>
      </c>
      <c r="D23" s="32" t="inlineStr">
        <is>
          <t>QUADROS DE DISTRIBUIÇÃO</t>
        </is>
      </c>
      <c r="E23" s="32" t="inlineStr">
        <is>
          <t>Embutir - 396x510x107mm</t>
        </is>
      </c>
      <c r="F23" s="33" t="n">
        <v>3</v>
      </c>
      <c r="G23" s="33" t="n">
        <v>1</v>
      </c>
      <c r="H23" s="34" t="n">
        <v>0</v>
      </c>
      <c r="I23" s="35">
        <f>(F23+H23*F23)*G23</f>
        <v/>
      </c>
      <c r="J23" s="33" t="inlineStr">
        <is>
          <t>pç</t>
        </is>
      </c>
      <c r="K23" s="36" t="n">
        <v>420</v>
      </c>
      <c r="L23" s="37">
        <f>I23*K23</f>
        <v/>
      </c>
      <c r="N23" s="30" t="inlineStr">
        <is>
          <t>Torre B</t>
        </is>
      </c>
      <c r="O23" s="30" t="inlineStr">
        <is>
          <t>COTOVELOS</t>
        </is>
      </c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1" t="n">
        <v>0</v>
      </c>
    </row>
    <row r="24">
      <c r="A24" s="32">
        <f>A7</f>
        <v/>
      </c>
      <c r="B24" s="32">
        <f>B7</f>
        <v/>
      </c>
      <c r="C24" s="32" t="inlineStr">
        <is>
          <t>INSTALAÇÕES DE TELECOMUNICAÇÃO</t>
        </is>
      </c>
      <c r="D24" s="32" t="inlineStr">
        <is>
          <t>ELETRODUTOS</t>
        </is>
      </c>
      <c r="E24" s="32" t="inlineStr">
        <is>
          <t>PVC Flexível Antichama - NBR 15465 ø1.1/4"</t>
        </is>
      </c>
      <c r="F24" s="33" t="n">
        <v>21</v>
      </c>
      <c r="G24" s="33" t="n">
        <v>1</v>
      </c>
      <c r="H24" s="34" t="n">
        <v>0</v>
      </c>
      <c r="I24" s="35">
        <f>(F24+H24*F24)*G24</f>
        <v/>
      </c>
      <c r="J24" s="33" t="inlineStr">
        <is>
          <t>m</t>
        </is>
      </c>
      <c r="K24" s="36" t="n">
        <v>0</v>
      </c>
      <c r="L24" s="37">
        <f>I24*K24</f>
        <v/>
      </c>
      <c r="N24" s="30" t="inlineStr">
        <is>
          <t>Torre B</t>
        </is>
      </c>
      <c r="O24" s="30" t="inlineStr">
        <is>
          <t>CONECTORES E BUCHAS</t>
        </is>
      </c>
      <c r="P24" s="30" t="n"/>
      <c r="Q24" s="30" t="n"/>
      <c r="R24" s="30" t="n"/>
      <c r="S24" s="30" t="n"/>
      <c r="T24" s="30" t="n"/>
      <c r="U24" s="30" t="n"/>
      <c r="V24" s="30" t="n"/>
      <c r="W24" s="30" t="n"/>
      <c r="X24" s="30" t="n"/>
      <c r="Y24" s="31" t="n">
        <v>0</v>
      </c>
    </row>
    <row r="25">
      <c r="A25" s="32">
        <f>A7</f>
        <v/>
      </c>
      <c r="B25" s="32">
        <f>B7</f>
        <v/>
      </c>
      <c r="C25" s="32" t="inlineStr">
        <is>
          <t>INSTALAÇÕES DE TELECOMUNICAÇÃO</t>
        </is>
      </c>
      <c r="D25" s="32" t="inlineStr">
        <is>
          <t>CAIXA DE PASSAGEM</t>
        </is>
      </c>
      <c r="E25" s="32" t="inlineStr">
        <is>
          <t>Cx de passagem de embutir com dimensão de 60x60x12cm</t>
        </is>
      </c>
      <c r="F25" s="33" t="n">
        <v>1</v>
      </c>
      <c r="G25" s="33" t="n">
        <v>1</v>
      </c>
      <c r="H25" s="34" t="n">
        <v>0</v>
      </c>
      <c r="I25" s="35">
        <f>(F25+H25*F25)*G25</f>
        <v/>
      </c>
      <c r="J25" s="33" t="inlineStr">
        <is>
          <t>pç</t>
        </is>
      </c>
      <c r="K25" s="36" t="n">
        <v>0</v>
      </c>
      <c r="L25" s="37">
        <f>I25*K25</f>
        <v/>
      </c>
      <c r="N25" s="30" t="inlineStr">
        <is>
          <t>Torre B</t>
        </is>
      </c>
      <c r="O25" s="30" t="inlineStr">
        <is>
          <t>CONDUTORES TELECOM</t>
        </is>
      </c>
      <c r="P25" s="30" t="n"/>
      <c r="Q25" s="30" t="n"/>
      <c r="R25" s="30" t="n"/>
      <c r="S25" s="30" t="n"/>
      <c r="T25" s="30" t="n"/>
      <c r="U25" s="30" t="n"/>
      <c r="V25" s="30" t="n"/>
      <c r="W25" s="30" t="n"/>
      <c r="X25" s="30" t="n"/>
      <c r="Y25" s="31" t="n">
        <v>0</v>
      </c>
    </row>
    <row r="26">
      <c r="A26" s="32">
        <f>A7</f>
        <v/>
      </c>
      <c r="B26" s="32">
        <f>B7</f>
        <v/>
      </c>
      <c r="C26" s="32" t="inlineStr">
        <is>
          <t>INSTALAÇÕES DE TELECOMUNICAÇÃO</t>
        </is>
      </c>
      <c r="D26" s="32" t="inlineStr">
        <is>
          <t>CAIXA DE PASSAGEM</t>
        </is>
      </c>
      <c r="E26" s="32" t="inlineStr">
        <is>
          <t>Cx de passagem de embutir com dimensão de 80x120x20cm</t>
        </is>
      </c>
      <c r="F26" s="33" t="n">
        <v>2</v>
      </c>
      <c r="G26" s="33" t="n">
        <v>1</v>
      </c>
      <c r="H26" s="34" t="n">
        <v>0</v>
      </c>
      <c r="I26" s="35">
        <f>(F26+H26*F26)*G26</f>
        <v/>
      </c>
      <c r="J26" s="33" t="inlineStr">
        <is>
          <t>pç</t>
        </is>
      </c>
      <c r="K26" s="36" t="n">
        <v>0</v>
      </c>
      <c r="L26" s="37">
        <f>I26*K26</f>
        <v/>
      </c>
      <c r="N26" s="30" t="inlineStr">
        <is>
          <t>Torre B</t>
        </is>
      </c>
      <c r="O26" s="30" t="inlineStr">
        <is>
          <t>PONTOS DE USO</t>
        </is>
      </c>
      <c r="P26" s="30" t="n"/>
      <c r="Q26" s="30" t="n"/>
      <c r="R26" s="30" t="n"/>
      <c r="S26" s="30" t="n"/>
      <c r="T26" s="30" t="n"/>
      <c r="U26" s="30" t="n"/>
      <c r="V26" s="30" t="n"/>
      <c r="W26" s="30" t="n"/>
      <c r="X26" s="30" t="n"/>
      <c r="Y26" s="31" t="n">
        <v>0</v>
      </c>
    </row>
    <row r="27">
      <c r="A27" s="32">
        <f>A7</f>
        <v/>
      </c>
      <c r="B27" s="32">
        <f>B7</f>
        <v/>
      </c>
      <c r="C27" s="32" t="inlineStr">
        <is>
          <t>INSTALAÇÕES DE TELECOMUNICAÇÃO</t>
        </is>
      </c>
      <c r="D27" s="32" t="inlineStr">
        <is>
          <t>COTOVELOS</t>
        </is>
      </c>
      <c r="E27" s="32" t="inlineStr">
        <is>
          <t>Cotovelo para eletroduto flexível PVC amarelo</t>
        </is>
      </c>
      <c r="F27" s="33" t="n">
        <v>575</v>
      </c>
      <c r="G27" s="33" t="n">
        <v>1</v>
      </c>
      <c r="H27" s="34" t="n">
        <v>0</v>
      </c>
      <c r="I27" s="35">
        <f>(F27+H27*F27)*G27</f>
        <v/>
      </c>
      <c r="J27" s="33" t="inlineStr">
        <is>
          <t>un</t>
        </is>
      </c>
      <c r="K27" s="36" t="n">
        <v>0</v>
      </c>
      <c r="L27" s="37">
        <f>I27*K27</f>
        <v/>
      </c>
      <c r="N27" t="inlineStr">
        <is>
          <t>Torre A</t>
        </is>
      </c>
    </row>
    <row r="28">
      <c r="A28" s="32">
        <f>A7</f>
        <v/>
      </c>
      <c r="B28" s="32">
        <f>B7</f>
        <v/>
      </c>
      <c r="C28" s="32" t="inlineStr">
        <is>
          <t>INSTALAÇÕES DE TELECOMUNICAÇÃO</t>
        </is>
      </c>
      <c r="D28" s="32" t="inlineStr">
        <is>
          <t>CONECTORES E BUCHAS</t>
        </is>
      </c>
      <c r="E28" s="32" t="inlineStr">
        <is>
          <t>Conector box e arruela - Alumínio padrão</t>
        </is>
      </c>
      <c r="F28" s="33" t="n">
        <v>42</v>
      </c>
      <c r="G28" s="33" t="n">
        <v>1</v>
      </c>
      <c r="H28" s="34" t="n">
        <v>0</v>
      </c>
      <c r="I28" s="35">
        <f>(F28+H28*F28)*G28</f>
        <v/>
      </c>
      <c r="J28" s="33" t="inlineStr">
        <is>
          <t>un</t>
        </is>
      </c>
      <c r="K28" s="36" t="n">
        <v>0</v>
      </c>
      <c r="L28" s="37">
        <f>I28*K28</f>
        <v/>
      </c>
      <c r="N28" t="inlineStr">
        <is>
          <t>Torre A</t>
        </is>
      </c>
    </row>
    <row r="29">
      <c r="A29" s="32">
        <f>A7</f>
        <v/>
      </c>
      <c r="B29" s="32">
        <f>B7</f>
        <v/>
      </c>
      <c r="C29" s="32" t="inlineStr">
        <is>
          <t>INSTALAÇÕES DE TELECOMUNICAÇÃO</t>
        </is>
      </c>
      <c r="D29" s="32" t="inlineStr">
        <is>
          <t>CONECTORES E BUCHAS</t>
        </is>
      </c>
      <c r="E29" s="32" t="inlineStr">
        <is>
          <t>Bucha terminal simples - Alumínio padrão</t>
        </is>
      </c>
      <c r="F29" s="33" t="n">
        <v>19</v>
      </c>
      <c r="G29" s="33" t="n">
        <v>1</v>
      </c>
      <c r="H29" s="34" t="n">
        <v>0</v>
      </c>
      <c r="I29" s="35">
        <f>(F29+H29*F29)*G29</f>
        <v/>
      </c>
      <c r="J29" s="33" t="inlineStr">
        <is>
          <t>un</t>
        </is>
      </c>
      <c r="K29" s="36" t="n">
        <v>0</v>
      </c>
      <c r="L29" s="37">
        <f>I29*K29</f>
        <v/>
      </c>
      <c r="N29" t="inlineStr">
        <is>
          <t>Torre A</t>
        </is>
      </c>
    </row>
    <row r="30">
      <c r="A30" s="32">
        <f>A7</f>
        <v/>
      </c>
      <c r="B30" s="32">
        <f>B7</f>
        <v/>
      </c>
      <c r="C30" s="32" t="inlineStr">
        <is>
          <t>INSTALAÇÕES DE TELECOMUNICAÇÃO</t>
        </is>
      </c>
      <c r="D30" s="32" t="inlineStr">
        <is>
          <t>CONDUTORES TELECOM</t>
        </is>
      </c>
      <c r="E30" s="32" t="inlineStr">
        <is>
          <t>Condutor CFTV</t>
        </is>
      </c>
      <c r="F30" s="33" t="n">
        <v>26</v>
      </c>
      <c r="G30" s="33" t="n">
        <v>1</v>
      </c>
      <c r="H30" s="34" t="n">
        <v>0</v>
      </c>
      <c r="I30" s="35">
        <f>(F30+H30*F30)*G30</f>
        <v/>
      </c>
      <c r="J30" s="33" t="inlineStr">
        <is>
          <t>un</t>
        </is>
      </c>
      <c r="K30" s="36" t="n">
        <v>0</v>
      </c>
      <c r="L30" s="37">
        <f>I30*K30</f>
        <v/>
      </c>
      <c r="N30" t="inlineStr">
        <is>
          <t>Torre A</t>
        </is>
      </c>
    </row>
    <row r="31">
      <c r="A31" s="32">
        <f>A7</f>
        <v/>
      </c>
      <c r="B31" s="32">
        <f>B7</f>
        <v/>
      </c>
      <c r="C31" s="32" t="inlineStr">
        <is>
          <t>INSTALAÇÕES DE TELECOMUNICAÇÃO</t>
        </is>
      </c>
      <c r="D31" s="32" t="inlineStr">
        <is>
          <t>CONDUTORES TELECOM</t>
        </is>
      </c>
      <c r="E31" s="32" t="inlineStr">
        <is>
          <t>Condutor UTP</t>
        </is>
      </c>
      <c r="F31" s="33" t="n">
        <v>17</v>
      </c>
      <c r="G31" s="33" t="n">
        <v>1</v>
      </c>
      <c r="H31" s="34" t="n">
        <v>0</v>
      </c>
      <c r="I31" s="35">
        <f>(F31+H31*F31)*G31</f>
        <v/>
      </c>
      <c r="J31" s="33" t="inlineStr">
        <is>
          <t>un</t>
        </is>
      </c>
      <c r="K31" s="36" t="n">
        <v>0</v>
      </c>
      <c r="L31" s="37">
        <f>I31*K31</f>
        <v/>
      </c>
      <c r="N31" t="inlineStr">
        <is>
          <t>Torre A</t>
        </is>
      </c>
    </row>
    <row r="32">
      <c r="A32" s="32">
        <f>A7</f>
        <v/>
      </c>
      <c r="B32" s="32">
        <f>B7</f>
        <v/>
      </c>
      <c r="C32" s="32" t="inlineStr">
        <is>
          <t>INSTALAÇÕES DE TELECOMUNICAÇÃO</t>
        </is>
      </c>
      <c r="D32" s="32" t="inlineStr">
        <is>
          <t>CONDUTORES TELECOM</t>
        </is>
      </c>
      <c r="E32" s="32" t="inlineStr">
        <is>
          <t>Condutor CCI</t>
        </is>
      </c>
      <c r="F32" s="33" t="n">
        <v>16</v>
      </c>
      <c r="G32" s="33" t="n">
        <v>1</v>
      </c>
      <c r="H32" s="34" t="n">
        <v>0</v>
      </c>
      <c r="I32" s="35">
        <f>(F32+H32*F32)*G32</f>
        <v/>
      </c>
      <c r="J32" s="33" t="inlineStr">
        <is>
          <t>un</t>
        </is>
      </c>
      <c r="K32" s="36" t="n">
        <v>0</v>
      </c>
      <c r="L32" s="37">
        <f>I32*K32</f>
        <v/>
      </c>
      <c r="N32" t="inlineStr">
        <is>
          <t>Torre A</t>
        </is>
      </c>
    </row>
    <row r="33">
      <c r="A33" s="32">
        <f>A7</f>
        <v/>
      </c>
      <c r="B33" s="32">
        <f>B7</f>
        <v/>
      </c>
      <c r="C33" s="32" t="inlineStr">
        <is>
          <t>INSTALAÇÕES DE TELECOMUNICAÇÃO</t>
        </is>
      </c>
      <c r="D33" s="32" t="inlineStr">
        <is>
          <t>CONDUTORES TELECOM</t>
        </is>
      </c>
      <c r="E33" s="32" t="inlineStr">
        <is>
          <t>Condutor Cordplast</t>
        </is>
      </c>
      <c r="F33" s="33" t="n">
        <v>26</v>
      </c>
      <c r="G33" s="33" t="n">
        <v>1</v>
      </c>
      <c r="H33" s="34" t="n">
        <v>0</v>
      </c>
      <c r="I33" s="35">
        <f>(F33+H33*F33)*G33</f>
        <v/>
      </c>
      <c r="J33" s="33" t="inlineStr">
        <is>
          <t>un</t>
        </is>
      </c>
      <c r="K33" s="36" t="n">
        <v>0</v>
      </c>
      <c r="L33" s="37">
        <f>I33*K33</f>
        <v/>
      </c>
      <c r="N33" t="inlineStr">
        <is>
          <t>Torre A</t>
        </is>
      </c>
    </row>
    <row r="34">
      <c r="A34" s="32">
        <f>A7</f>
        <v/>
      </c>
      <c r="B34" s="32">
        <f>B7</f>
        <v/>
      </c>
      <c r="C34" s="32" t="inlineStr">
        <is>
          <t>INSTALAÇÕES DE TELECOMUNICAÇÃO</t>
        </is>
      </c>
      <c r="D34" s="32" t="inlineStr">
        <is>
          <t>PONTOS DE USO</t>
        </is>
      </c>
      <c r="E34" s="32" t="inlineStr">
        <is>
          <t>Caixa 4x2 - Interfone</t>
        </is>
      </c>
      <c r="F34" s="33" t="n">
        <v>5</v>
      </c>
      <c r="G34" s="33" t="n">
        <v>1</v>
      </c>
      <c r="H34" s="34" t="n">
        <v>0</v>
      </c>
      <c r="I34" s="35">
        <f>(F34+H34*F34)*G34</f>
        <v/>
      </c>
      <c r="J34" s="33" t="inlineStr">
        <is>
          <t>un</t>
        </is>
      </c>
      <c r="K34" s="36" t="n">
        <v>0</v>
      </c>
      <c r="L34" s="37">
        <f>I34*K34</f>
        <v/>
      </c>
      <c r="N34" t="inlineStr">
        <is>
          <t>Torre A</t>
        </is>
      </c>
    </row>
    <row r="35">
      <c r="A35" s="32">
        <f>A7</f>
        <v/>
      </c>
      <c r="B35" s="32">
        <f>B7</f>
        <v/>
      </c>
      <c r="C35" s="32" t="inlineStr">
        <is>
          <t>INSTALAÇÕES DE TELECOMUNICAÇÃO</t>
        </is>
      </c>
      <c r="D35" s="32" t="inlineStr">
        <is>
          <t>PONTOS DE USO</t>
        </is>
      </c>
      <c r="E35" s="32" t="inlineStr">
        <is>
          <t>Caixa 4x2 - Câmera CFTV</t>
        </is>
      </c>
      <c r="F35" s="33" t="n">
        <v>1</v>
      </c>
      <c r="G35" s="33" t="n">
        <v>1</v>
      </c>
      <c r="H35" s="34" t="n">
        <v>0</v>
      </c>
      <c r="I35" s="35">
        <f>(F35+H35*F35)*G35</f>
        <v/>
      </c>
      <c r="J35" s="33" t="inlineStr">
        <is>
          <t>un</t>
        </is>
      </c>
      <c r="K35" s="36" t="n">
        <v>0</v>
      </c>
      <c r="L35" s="37">
        <f>I35*K35</f>
        <v/>
      </c>
      <c r="N35" t="inlineStr">
        <is>
          <t>Torre A</t>
        </is>
      </c>
    </row>
    <row r="36">
      <c r="A36" s="32">
        <f>A7</f>
        <v/>
      </c>
      <c r="B36" s="32">
        <f>B7</f>
        <v/>
      </c>
      <c r="C36" s="32" t="inlineStr">
        <is>
          <t>INSTALAÇÕES DE TELECOMUNICAÇÃO</t>
        </is>
      </c>
      <c r="D36" s="32" t="inlineStr">
        <is>
          <t>PONTOS DE USO</t>
        </is>
      </c>
      <c r="E36" s="32" t="inlineStr">
        <is>
          <t>Caixa 4x2 - Controle de Acesso</t>
        </is>
      </c>
      <c r="F36" s="33" t="n">
        <v>13</v>
      </c>
      <c r="G36" s="33" t="n">
        <v>1</v>
      </c>
      <c r="H36" s="34" t="n">
        <v>0</v>
      </c>
      <c r="I36" s="35">
        <f>(F36+H36*F36)*G36</f>
        <v/>
      </c>
      <c r="J36" s="33" t="inlineStr">
        <is>
          <t>un</t>
        </is>
      </c>
      <c r="K36" s="36" t="n">
        <v>0</v>
      </c>
      <c r="L36" s="37">
        <f>I36*K36</f>
        <v/>
      </c>
      <c r="N36" t="inlineStr">
        <is>
          <t>Torre A</t>
        </is>
      </c>
    </row>
    <row r="37">
      <c r="A37" s="32">
        <f>A7</f>
        <v/>
      </c>
      <c r="B37" s="32">
        <f>B7</f>
        <v/>
      </c>
      <c r="C37" s="32" t="inlineStr">
        <is>
          <t>INSTALAÇÕES DE TELECOMUNICAÇÃO</t>
        </is>
      </c>
      <c r="D37" s="32" t="inlineStr">
        <is>
          <t>PONTOS DE USO</t>
        </is>
      </c>
      <c r="E37" s="32" t="inlineStr">
        <is>
          <t>Caixa 4x4 - Dados/Telefone (RJ45/RJ11)</t>
        </is>
      </c>
      <c r="F37" s="33" t="n">
        <v>14</v>
      </c>
      <c r="G37" s="33" t="n">
        <v>1</v>
      </c>
      <c r="H37" s="34" t="n">
        <v>0</v>
      </c>
      <c r="I37" s="35">
        <f>(F37+H37*F37)*G37</f>
        <v/>
      </c>
      <c r="J37" s="33" t="inlineStr">
        <is>
          <t>un</t>
        </is>
      </c>
      <c r="K37" s="36" t="n">
        <v>0</v>
      </c>
      <c r="L37" s="37">
        <f>I37*K37</f>
        <v/>
      </c>
      <c r="N37" t="inlineStr">
        <is>
          <t>Torre A</t>
        </is>
      </c>
    </row>
    <row r="38">
      <c r="A38" s="23" t="inlineStr">
        <is>
          <t>Torre A</t>
        </is>
      </c>
      <c r="B38" s="23" t="inlineStr">
        <is>
          <t>GARAGEM 01</t>
        </is>
      </c>
      <c r="C38" s="24" t="n"/>
      <c r="D38" s="25" t="n"/>
      <c r="E38" s="25" t="n"/>
      <c r="F38" s="26" t="n"/>
      <c r="G38" s="26" t="n"/>
      <c r="H38" s="26" t="n"/>
      <c r="I38" s="27" t="n"/>
      <c r="J38" s="26" t="n"/>
      <c r="K38" s="28" t="n"/>
      <c r="L38" s="29">
        <f>IF(SUM(F38:K38)=0,SUMIFS($L39:$L$9999,$B39:$B$9999,$B38,$A39:$A$9999,$A38),I38*K38)</f>
        <v/>
      </c>
      <c r="N38" t="inlineStr">
        <is>
          <t>Torre A</t>
        </is>
      </c>
    </row>
    <row r="39">
      <c r="A39" s="32">
        <f>A38</f>
        <v/>
      </c>
      <c r="B39" s="32">
        <f>B38</f>
        <v/>
      </c>
      <c r="C39" s="32" t="inlineStr">
        <is>
          <t>INSTALAÇÕES DE TELECOMUNICAÇÃO</t>
        </is>
      </c>
      <c r="D39" s="32" t="inlineStr">
        <is>
          <t>CAIXA OCTOGONAL</t>
        </is>
      </c>
      <c r="E39" s="32" t="inlineStr">
        <is>
          <t>Caixa Octogonal Padrão NBR IEC 60670</t>
        </is>
      </c>
      <c r="F39" s="33" t="n">
        <v>25</v>
      </c>
      <c r="G39" s="33" t="n">
        <v>1</v>
      </c>
      <c r="H39" s="34" t="n">
        <v>0</v>
      </c>
      <c r="I39" s="35">
        <f>(F39+H39*F39)*G39</f>
        <v/>
      </c>
      <c r="J39" s="33" t="inlineStr">
        <is>
          <t>pç</t>
        </is>
      </c>
      <c r="K39" s="36" t="n">
        <v>9.800000000000001</v>
      </c>
      <c r="L39" s="37">
        <f>I39*K39</f>
        <v/>
      </c>
      <c r="N39" t="inlineStr">
        <is>
          <t>Torre A</t>
        </is>
      </c>
    </row>
    <row r="40">
      <c r="A40" s="32">
        <f>A38</f>
        <v/>
      </c>
      <c r="B40" s="32">
        <f>B38</f>
        <v/>
      </c>
      <c r="C40" s="32" t="inlineStr">
        <is>
          <t>INSTALAÇÕES DE TELECOMUNICAÇÃO</t>
        </is>
      </c>
      <c r="D40" s="32" t="inlineStr">
        <is>
          <t>CAIXA OCTOGONAL</t>
        </is>
      </c>
      <c r="E40" s="32" t="inlineStr">
        <is>
          <t>Placa cega para caixa octogonal Padrão NBR IEC 60670</t>
        </is>
      </c>
      <c r="F40" s="33" t="n">
        <v>2</v>
      </c>
      <c r="G40" s="33" t="n">
        <v>1</v>
      </c>
      <c r="H40" s="34" t="n">
        <v>0</v>
      </c>
      <c r="I40" s="35">
        <f>(F40+H40*F40)*G40</f>
        <v/>
      </c>
      <c r="J40" s="33" t="inlineStr">
        <is>
          <t>pç</t>
        </is>
      </c>
      <c r="K40" s="36" t="n">
        <v>6.5</v>
      </c>
      <c r="L40" s="37">
        <f>I40*K40</f>
        <v/>
      </c>
      <c r="N40" t="inlineStr">
        <is>
          <t>Torre A</t>
        </is>
      </c>
    </row>
    <row r="41">
      <c r="A41" s="32">
        <f>A38</f>
        <v/>
      </c>
      <c r="B41" s="32">
        <f>B38</f>
        <v/>
      </c>
      <c r="C41" s="32" t="inlineStr">
        <is>
          <t>INSTALAÇÕES DE TELECOMUNICAÇÃO</t>
        </is>
      </c>
      <c r="D41" s="32" t="inlineStr">
        <is>
          <t>CAIXA 4x2" E 4x4"</t>
        </is>
      </c>
      <c r="E41" s="32" t="inlineStr">
        <is>
          <t>Caixa 4x2" de Embutir em PVC Padrão NBR IEC 60670</t>
        </is>
      </c>
      <c r="F41" s="33" t="n">
        <v>2</v>
      </c>
      <c r="G41" s="33" t="n">
        <v>1</v>
      </c>
      <c r="H41" s="34" t="n">
        <v>0</v>
      </c>
      <c r="I41" s="35">
        <f>(F41+H41*F41)*G41</f>
        <v/>
      </c>
      <c r="J41" s="33" t="inlineStr">
        <is>
          <t>pç</t>
        </is>
      </c>
      <c r="K41" s="36" t="n">
        <v>5.9</v>
      </c>
      <c r="L41" s="37">
        <f>I41*K41</f>
        <v/>
      </c>
      <c r="N41" t="inlineStr">
        <is>
          <t>Torre A</t>
        </is>
      </c>
    </row>
    <row r="42">
      <c r="A42" s="32">
        <f>A38</f>
        <v/>
      </c>
      <c r="B42" s="32">
        <f>B38</f>
        <v/>
      </c>
      <c r="C42" s="32" t="inlineStr">
        <is>
          <t>INSTALAÇÕES DE TELECOMUNICAÇÃO</t>
        </is>
      </c>
      <c r="D42" s="32" t="inlineStr">
        <is>
          <t>CAIXA 4x2" E 4x4"</t>
        </is>
      </c>
      <c r="E42" s="32" t="inlineStr">
        <is>
          <t>Placa 4x2" cega Padrão NBR IEC 60670</t>
        </is>
      </c>
      <c r="F42" s="33" t="n">
        <v>1</v>
      </c>
      <c r="G42" s="33" t="n">
        <v>1</v>
      </c>
      <c r="H42" s="34" t="n">
        <v>0</v>
      </c>
      <c r="I42" s="35">
        <f>(F42+H42*F42)*G42</f>
        <v/>
      </c>
      <c r="J42" s="33" t="inlineStr">
        <is>
          <t>pç</t>
        </is>
      </c>
      <c r="K42" s="36" t="n">
        <v>4.5</v>
      </c>
      <c r="L42" s="37">
        <f>I42*K42</f>
        <v/>
      </c>
      <c r="N42" t="inlineStr">
        <is>
          <t>Torre A</t>
        </is>
      </c>
    </row>
    <row r="43">
      <c r="A43" s="32">
        <f>A38</f>
        <v/>
      </c>
      <c r="B43" s="32">
        <f>B38</f>
        <v/>
      </c>
      <c r="C43" s="32" t="inlineStr">
        <is>
          <t>INSTALAÇÕES DE TELECOMUNICAÇÃO</t>
        </is>
      </c>
      <c r="D43" s="32" t="inlineStr">
        <is>
          <t>CAIXA 4x2" E 4x4"</t>
        </is>
      </c>
      <c r="E43" s="32" t="inlineStr">
        <is>
          <t>Placa 4x2" para 1 função Padrão NBR IEC 60670</t>
        </is>
      </c>
      <c r="F43" s="33" t="n">
        <v>1</v>
      </c>
      <c r="G43" s="33" t="n">
        <v>1</v>
      </c>
      <c r="H43" s="34" t="n">
        <v>0</v>
      </c>
      <c r="I43" s="35">
        <f>(F43+H43*F43)*G43</f>
        <v/>
      </c>
      <c r="J43" s="33" t="inlineStr">
        <is>
          <t>pç</t>
        </is>
      </c>
      <c r="K43" s="36" t="n">
        <v>6.5</v>
      </c>
      <c r="L43" s="37">
        <f>I43*K43</f>
        <v/>
      </c>
      <c r="N43" t="inlineStr">
        <is>
          <t>Torre A</t>
        </is>
      </c>
    </row>
    <row r="44">
      <c r="A44" s="32">
        <f>A38</f>
        <v/>
      </c>
      <c r="B44" s="32">
        <f>B38</f>
        <v/>
      </c>
      <c r="C44" s="32" t="inlineStr">
        <is>
          <t>INSTALAÇÕES DE TELECOMUNICAÇÃO</t>
        </is>
      </c>
      <c r="D44" s="32" t="inlineStr">
        <is>
          <t>CAIXA 4x2" E 4x4"</t>
        </is>
      </c>
      <c r="E44" s="32" t="inlineStr">
        <is>
          <t>Suporte p/ caixa 4x2" Padrão NBR IEC 60670</t>
        </is>
      </c>
      <c r="F44" s="33" t="n">
        <v>2</v>
      </c>
      <c r="G44" s="33" t="n">
        <v>1</v>
      </c>
      <c r="H44" s="34" t="n">
        <v>0</v>
      </c>
      <c r="I44" s="35">
        <f>(F44+H44*F44)*G44</f>
        <v/>
      </c>
      <c r="J44" s="33" t="inlineStr">
        <is>
          <t>pç</t>
        </is>
      </c>
      <c r="K44" s="36" t="n">
        <v>2.4</v>
      </c>
      <c r="L44" s="37">
        <f>I44*K44</f>
        <v/>
      </c>
      <c r="N44" t="inlineStr">
        <is>
          <t>Torre A</t>
        </is>
      </c>
    </row>
    <row r="45">
      <c r="A45" s="32">
        <f>A38</f>
        <v/>
      </c>
      <c r="B45" s="32">
        <f>B38</f>
        <v/>
      </c>
      <c r="C45" s="32" t="inlineStr">
        <is>
          <t>INSTALAÇÕES DE TELECOMUNICAÇÃO</t>
        </is>
      </c>
      <c r="D45" s="32" t="inlineStr">
        <is>
          <t>CAIXA DE PASSAGEM</t>
        </is>
      </c>
      <c r="E45" s="32" t="inlineStr">
        <is>
          <t>Cx de passagem de embutir com dimensão de 30x30x12 cm</t>
        </is>
      </c>
      <c r="F45" s="33" t="n">
        <v>3</v>
      </c>
      <c r="G45" s="33" t="n">
        <v>1</v>
      </c>
      <c r="H45" s="34" t="n">
        <v>0</v>
      </c>
      <c r="I45" s="35">
        <f>(F45+H45*F45)*G45</f>
        <v/>
      </c>
      <c r="J45" s="33" t="inlineStr">
        <is>
          <t>pç</t>
        </is>
      </c>
      <c r="K45" s="36" t="n">
        <v>145</v>
      </c>
      <c r="L45" s="37">
        <f>I45*K45</f>
        <v/>
      </c>
      <c r="N45" t="inlineStr">
        <is>
          <t>Torre A</t>
        </is>
      </c>
    </row>
    <row r="46">
      <c r="A46" s="32">
        <f>A38</f>
        <v/>
      </c>
      <c r="B46" s="32">
        <f>B38</f>
        <v/>
      </c>
      <c r="C46" s="32" t="inlineStr">
        <is>
          <t>INSTALAÇÕES DE TELECOMUNICAÇÃO</t>
        </is>
      </c>
      <c r="D46" s="32" t="inlineStr">
        <is>
          <t>ELETRODUTOS</t>
        </is>
      </c>
      <c r="E46" s="32" t="inlineStr">
        <is>
          <t>PVC Flexível Antichama - NBR 15465 ø1"</t>
        </is>
      </c>
      <c r="F46" s="33" t="n">
        <v>125</v>
      </c>
      <c r="G46" s="33" t="n">
        <v>1</v>
      </c>
      <c r="H46" s="34" t="n">
        <v>0</v>
      </c>
      <c r="I46" s="35">
        <f>(F46+H46*F46)*G46</f>
        <v/>
      </c>
      <c r="J46" s="33" t="inlineStr">
        <is>
          <t>m</t>
        </is>
      </c>
      <c r="K46" s="36" t="n">
        <v>11.9</v>
      </c>
      <c r="L46" s="37">
        <f>I46*K46</f>
        <v/>
      </c>
      <c r="N46" t="inlineStr">
        <is>
          <t>Torre A</t>
        </is>
      </c>
    </row>
    <row r="47">
      <c r="A47" s="32">
        <f>A38</f>
        <v/>
      </c>
      <c r="B47" s="32">
        <f>B38</f>
        <v/>
      </c>
      <c r="C47" s="32" t="inlineStr">
        <is>
          <t>INSTALAÇÕES DE TELECOMUNICAÇÃO</t>
        </is>
      </c>
      <c r="D47" s="32" t="inlineStr">
        <is>
          <t>ELETRODUTOS</t>
        </is>
      </c>
      <c r="E47" s="32" t="inlineStr">
        <is>
          <t>PVC Flexível Antichama - NBR 15465 ø3/4"</t>
        </is>
      </c>
      <c r="F47" s="33" t="n">
        <v>104</v>
      </c>
      <c r="G47" s="33" t="n">
        <v>1</v>
      </c>
      <c r="H47" s="34" t="n">
        <v>0</v>
      </c>
      <c r="I47" s="35">
        <f>(F47+H47*F47)*G47</f>
        <v/>
      </c>
      <c r="J47" s="33" t="inlineStr">
        <is>
          <t>m</t>
        </is>
      </c>
      <c r="K47" s="36" t="n">
        <v>7.5</v>
      </c>
      <c r="L47" s="37">
        <f>I47*K47</f>
        <v/>
      </c>
      <c r="N47" t="inlineStr">
        <is>
          <t>Torre A</t>
        </is>
      </c>
    </row>
    <row r="48">
      <c r="A48" s="32">
        <f>A38</f>
        <v/>
      </c>
      <c r="B48" s="32">
        <f>B38</f>
        <v/>
      </c>
      <c r="C48" s="32" t="inlineStr">
        <is>
          <t>INSTALAÇÕES DE TELECOMUNICAÇÃO</t>
        </is>
      </c>
      <c r="D48" s="32" t="inlineStr">
        <is>
          <t>MÓDULOS</t>
        </is>
      </c>
      <c r="E48" s="32" t="inlineStr">
        <is>
          <t>Módulo RJ45</t>
        </is>
      </c>
      <c r="F48" s="33" t="n">
        <v>1</v>
      </c>
      <c r="G48" s="33" t="n">
        <v>1</v>
      </c>
      <c r="H48" s="34" t="n">
        <v>0</v>
      </c>
      <c r="I48" s="35">
        <f>(F48+H48*F48)*G48</f>
        <v/>
      </c>
      <c r="J48" s="33" t="inlineStr">
        <is>
          <t>pç</t>
        </is>
      </c>
      <c r="K48" s="36" t="n">
        <v>22.9</v>
      </c>
      <c r="L48" s="37">
        <f>I48*K48</f>
        <v/>
      </c>
      <c r="N48" t="inlineStr">
        <is>
          <t>Torre A</t>
        </is>
      </c>
    </row>
    <row r="49">
      <c r="A49" s="32">
        <f>A38</f>
        <v/>
      </c>
      <c r="B49" s="32">
        <f>B38</f>
        <v/>
      </c>
      <c r="C49" s="32" t="inlineStr">
        <is>
          <t>INSTALAÇÕES DE TELECOMUNICAÇÃO</t>
        </is>
      </c>
      <c r="D49" s="32" t="inlineStr">
        <is>
          <t>ELETRODUTOS</t>
        </is>
      </c>
      <c r="E49" s="32" t="inlineStr">
        <is>
          <t>PVC Flexível Antichama - NBR 15465 ø1.1/4"</t>
        </is>
      </c>
      <c r="F49" s="33" t="n">
        <v>6</v>
      </c>
      <c r="G49" s="33" t="n">
        <v>1</v>
      </c>
      <c r="H49" s="34" t="n">
        <v>0</v>
      </c>
      <c r="I49" s="35">
        <f>(F49+H49*F49)*G49</f>
        <v/>
      </c>
      <c r="J49" s="33" t="inlineStr">
        <is>
          <t>m</t>
        </is>
      </c>
      <c r="K49" s="36" t="n">
        <v>0</v>
      </c>
      <c r="L49" s="37">
        <f>I49*K49</f>
        <v/>
      </c>
      <c r="N49" t="inlineStr">
        <is>
          <t>Torre A</t>
        </is>
      </c>
    </row>
    <row r="50">
      <c r="A50" s="32">
        <f>A38</f>
        <v/>
      </c>
      <c r="B50" s="32">
        <f>B38</f>
        <v/>
      </c>
      <c r="C50" s="32" t="inlineStr">
        <is>
          <t>INSTALAÇÕES DE TELECOMUNICAÇÃO</t>
        </is>
      </c>
      <c r="D50" s="32" t="inlineStr">
        <is>
          <t>ELETRODUTOS</t>
        </is>
      </c>
      <c r="E50" s="32" t="inlineStr">
        <is>
          <t>PVC Flexível Antichama - NBR 15465 ø1.1/4"</t>
        </is>
      </c>
      <c r="F50" s="33" t="n">
        <v>6</v>
      </c>
      <c r="G50" s="33" t="n">
        <v>1</v>
      </c>
      <c r="H50" s="34" t="n">
        <v>0</v>
      </c>
      <c r="I50" s="35">
        <f>(F50+H50*F50)*G50</f>
        <v/>
      </c>
      <c r="J50" s="33" t="inlineStr">
        <is>
          <t>m</t>
        </is>
      </c>
      <c r="K50" s="36" t="n">
        <v>0</v>
      </c>
      <c r="L50" s="37">
        <f>I50*K50</f>
        <v/>
      </c>
      <c r="N50" t="inlineStr">
        <is>
          <t>Torre A</t>
        </is>
      </c>
    </row>
    <row r="51">
      <c r="A51" s="32">
        <f>A38</f>
        <v/>
      </c>
      <c r="B51" s="32">
        <f>B38</f>
        <v/>
      </c>
      <c r="C51" s="32" t="inlineStr">
        <is>
          <t>INSTALAÇÕES DE TELECOMUNICAÇÃO</t>
        </is>
      </c>
      <c r="D51" s="32" t="inlineStr">
        <is>
          <t>ELETRODUTOS</t>
        </is>
      </c>
      <c r="E51" s="32" t="inlineStr">
        <is>
          <t>PVC Flexível Antichama - NBR 15465 ø3"</t>
        </is>
      </c>
      <c r="F51" s="33" t="n">
        <v>13</v>
      </c>
      <c r="G51" s="33" t="n">
        <v>1</v>
      </c>
      <c r="H51" s="34" t="n">
        <v>0</v>
      </c>
      <c r="I51" s="35">
        <f>(F51+H51*F51)*G51</f>
        <v/>
      </c>
      <c r="J51" s="33" t="inlineStr">
        <is>
          <t>m</t>
        </is>
      </c>
      <c r="K51" s="36" t="n">
        <v>0</v>
      </c>
      <c r="L51" s="37">
        <f>I51*K51</f>
        <v/>
      </c>
      <c r="N51" t="inlineStr">
        <is>
          <t>Torre A</t>
        </is>
      </c>
    </row>
    <row r="52">
      <c r="A52" s="32">
        <f>A38</f>
        <v/>
      </c>
      <c r="B52" s="32">
        <f>B38</f>
        <v/>
      </c>
      <c r="C52" s="32" t="inlineStr">
        <is>
          <t>INSTALAÇÕES DE TELECOMUNICAÇÃO</t>
        </is>
      </c>
      <c r="D52" s="32" t="inlineStr">
        <is>
          <t>CAIXA DE PASSAGEM</t>
        </is>
      </c>
      <c r="E52" s="32" t="inlineStr">
        <is>
          <t>Cx de passagem de embutir com dimensão de 60x120x15cm</t>
        </is>
      </c>
      <c r="F52" s="33" t="n">
        <v>1</v>
      </c>
      <c r="G52" s="33" t="n">
        <v>1</v>
      </c>
      <c r="H52" s="34" t="n">
        <v>0</v>
      </c>
      <c r="I52" s="35">
        <f>(F52+H52*F52)*G52</f>
        <v/>
      </c>
      <c r="J52" s="33" t="inlineStr">
        <is>
          <t>pç</t>
        </is>
      </c>
      <c r="K52" s="36" t="n">
        <v>0</v>
      </c>
      <c r="L52" s="37">
        <f>I52*K52</f>
        <v/>
      </c>
      <c r="N52" t="inlineStr">
        <is>
          <t>Torre A</t>
        </is>
      </c>
    </row>
    <row r="53">
      <c r="A53" s="32">
        <f>A38</f>
        <v/>
      </c>
      <c r="B53" s="32">
        <f>B38</f>
        <v/>
      </c>
      <c r="C53" s="32" t="inlineStr">
        <is>
          <t>INSTALAÇÕES DE TELECOMUNICAÇÃO</t>
        </is>
      </c>
      <c r="D53" s="32" t="inlineStr">
        <is>
          <t>COTOVELOS</t>
        </is>
      </c>
      <c r="E53" s="32" t="inlineStr">
        <is>
          <t>Cotovelo para eletroduto flexível PVC amarelo</t>
        </is>
      </c>
      <c r="F53" s="33" t="n">
        <v>125</v>
      </c>
      <c r="G53" s="33" t="n">
        <v>1</v>
      </c>
      <c r="H53" s="34" t="n">
        <v>0</v>
      </c>
      <c r="I53" s="35">
        <f>(F53+H53*F53)*G53</f>
        <v/>
      </c>
      <c r="J53" s="33" t="inlineStr">
        <is>
          <t>un</t>
        </is>
      </c>
      <c r="K53" s="36" t="n">
        <v>0</v>
      </c>
      <c r="L53" s="37">
        <f>I53*K53</f>
        <v/>
      </c>
      <c r="N53" t="inlineStr">
        <is>
          <t>Torre A</t>
        </is>
      </c>
    </row>
    <row r="54">
      <c r="A54" s="32">
        <f>A38</f>
        <v/>
      </c>
      <c r="B54" s="32">
        <f>B38</f>
        <v/>
      </c>
      <c r="C54" s="32" t="inlineStr">
        <is>
          <t>INSTALAÇÕES DE TELECOMUNICAÇÃO</t>
        </is>
      </c>
      <c r="D54" s="32" t="inlineStr">
        <is>
          <t>CONECTORES E BUCHAS</t>
        </is>
      </c>
      <c r="E54" s="32" t="inlineStr">
        <is>
          <t>Conector box e arruela - Alumínio padrão</t>
        </is>
      </c>
      <c r="F54" s="33" t="n">
        <v>19</v>
      </c>
      <c r="G54" s="33" t="n">
        <v>1</v>
      </c>
      <c r="H54" s="34" t="n">
        <v>0</v>
      </c>
      <c r="I54" s="35">
        <f>(F54+H54*F54)*G54</f>
        <v/>
      </c>
      <c r="J54" s="33" t="inlineStr">
        <is>
          <t>un</t>
        </is>
      </c>
      <c r="K54" s="36" t="n">
        <v>0</v>
      </c>
      <c r="L54" s="37">
        <f>I54*K54</f>
        <v/>
      </c>
      <c r="N54" t="inlineStr">
        <is>
          <t>Torre A</t>
        </is>
      </c>
    </row>
    <row r="55">
      <c r="A55" s="32">
        <f>A38</f>
        <v/>
      </c>
      <c r="B55" s="32">
        <f>B38</f>
        <v/>
      </c>
      <c r="C55" s="32" t="inlineStr">
        <is>
          <t>INSTALAÇÕES DE TELECOMUNICAÇÃO</t>
        </is>
      </c>
      <c r="D55" s="32" t="inlineStr">
        <is>
          <t>CONECTORES E BUCHAS</t>
        </is>
      </c>
      <c r="E55" s="32" t="inlineStr">
        <is>
          <t>Bucha terminal simples - Alumínio padrão</t>
        </is>
      </c>
      <c r="F55" s="33" t="n">
        <v>6</v>
      </c>
      <c r="G55" s="33" t="n">
        <v>1</v>
      </c>
      <c r="H55" s="34" t="n">
        <v>0</v>
      </c>
      <c r="I55" s="35">
        <f>(F55+H55*F55)*G55</f>
        <v/>
      </c>
      <c r="J55" s="33" t="inlineStr">
        <is>
          <t>un</t>
        </is>
      </c>
      <c r="K55" s="36" t="n">
        <v>0</v>
      </c>
      <c r="L55" s="37">
        <f>I55*K55</f>
        <v/>
      </c>
      <c r="N55" t="inlineStr">
        <is>
          <t>Torre A</t>
        </is>
      </c>
    </row>
    <row r="56">
      <c r="A56" s="32">
        <f>A38</f>
        <v/>
      </c>
      <c r="B56" s="32">
        <f>B38</f>
        <v/>
      </c>
      <c r="C56" s="32" t="inlineStr">
        <is>
          <t>INSTALAÇÕES DE TELECOMUNICAÇÃO</t>
        </is>
      </c>
      <c r="D56" s="32" t="inlineStr">
        <is>
          <t>CONDUTORES TELECOM</t>
        </is>
      </c>
      <c r="E56" s="32" t="inlineStr">
        <is>
          <t>Condutor CFTV</t>
        </is>
      </c>
      <c r="F56" s="33" t="n">
        <v>4</v>
      </c>
      <c r="G56" s="33" t="n">
        <v>1</v>
      </c>
      <c r="H56" s="34" t="n">
        <v>0</v>
      </c>
      <c r="I56" s="35">
        <f>(F56+H56*F56)*G56</f>
        <v/>
      </c>
      <c r="J56" s="33" t="inlineStr">
        <is>
          <t>un</t>
        </is>
      </c>
      <c r="K56" s="36" t="n">
        <v>0</v>
      </c>
      <c r="L56" s="37">
        <f>I56*K56</f>
        <v/>
      </c>
      <c r="N56" t="inlineStr">
        <is>
          <t>Torre A</t>
        </is>
      </c>
    </row>
    <row r="57">
      <c r="A57" s="32">
        <f>A38</f>
        <v/>
      </c>
      <c r="B57" s="32">
        <f>B38</f>
        <v/>
      </c>
      <c r="C57" s="32" t="inlineStr">
        <is>
          <t>INSTALAÇÕES DE TELECOMUNICAÇÃO</t>
        </is>
      </c>
      <c r="D57" s="32" t="inlineStr">
        <is>
          <t>CONDUTORES TELECOM</t>
        </is>
      </c>
      <c r="E57" s="32" t="inlineStr">
        <is>
          <t>Condutor Cordplast</t>
        </is>
      </c>
      <c r="F57" s="33" t="n">
        <v>4</v>
      </c>
      <c r="G57" s="33" t="n">
        <v>1</v>
      </c>
      <c r="H57" s="34" t="n">
        <v>0</v>
      </c>
      <c r="I57" s="35">
        <f>(F57+H57*F57)*G57</f>
        <v/>
      </c>
      <c r="J57" s="33" t="inlineStr">
        <is>
          <t>un</t>
        </is>
      </c>
      <c r="K57" s="36" t="n">
        <v>0</v>
      </c>
      <c r="L57" s="37">
        <f>I57*K57</f>
        <v/>
      </c>
      <c r="N57" t="inlineStr">
        <is>
          <t>Torre A</t>
        </is>
      </c>
    </row>
    <row r="58">
      <c r="A58" s="32">
        <f>A38</f>
        <v/>
      </c>
      <c r="B58" s="32">
        <f>B38</f>
        <v/>
      </c>
      <c r="C58" s="32" t="inlineStr">
        <is>
          <t>INSTALAÇÕES DE TELECOMUNICAÇÃO</t>
        </is>
      </c>
      <c r="D58" s="32" t="inlineStr">
        <is>
          <t>PONTOS DE USO</t>
        </is>
      </c>
      <c r="E58" s="32" t="inlineStr">
        <is>
          <t>Caixa 4x2 - Interfone</t>
        </is>
      </c>
      <c r="F58" s="33" t="n">
        <v>4</v>
      </c>
      <c r="G58" s="33" t="n">
        <v>1</v>
      </c>
      <c r="H58" s="34" t="n">
        <v>0</v>
      </c>
      <c r="I58" s="35">
        <f>(F58+H58*F58)*G58</f>
        <v/>
      </c>
      <c r="J58" s="33" t="inlineStr">
        <is>
          <t>un</t>
        </is>
      </c>
      <c r="K58" s="36" t="n">
        <v>0</v>
      </c>
      <c r="L58" s="37">
        <f>I58*K58</f>
        <v/>
      </c>
      <c r="N58" t="inlineStr">
        <is>
          <t>Torre A</t>
        </is>
      </c>
    </row>
    <row r="59">
      <c r="A59" s="32">
        <f>A38</f>
        <v/>
      </c>
      <c r="B59" s="32">
        <f>B38</f>
        <v/>
      </c>
      <c r="C59" s="32" t="inlineStr">
        <is>
          <t>INSTALAÇÕES DE TELECOMUNICAÇÃO</t>
        </is>
      </c>
      <c r="D59" s="32" t="inlineStr">
        <is>
          <t>PONTOS DE USO</t>
        </is>
      </c>
      <c r="E59" s="32" t="inlineStr">
        <is>
          <t>Caixa 4x2 - Câmera CFTV</t>
        </is>
      </c>
      <c r="F59" s="33" t="n">
        <v>2</v>
      </c>
      <c r="G59" s="33" t="n">
        <v>1</v>
      </c>
      <c r="H59" s="34" t="n">
        <v>0</v>
      </c>
      <c r="I59" s="35">
        <f>(F59+H59*F59)*G59</f>
        <v/>
      </c>
      <c r="J59" s="33" t="inlineStr">
        <is>
          <t>un</t>
        </is>
      </c>
      <c r="K59" s="36" t="n">
        <v>0</v>
      </c>
      <c r="L59" s="37">
        <f>I59*K59</f>
        <v/>
      </c>
      <c r="N59" t="inlineStr">
        <is>
          <t>Torre A</t>
        </is>
      </c>
    </row>
    <row r="60">
      <c r="A60" s="23" t="inlineStr">
        <is>
          <t>Torre A</t>
        </is>
      </c>
      <c r="B60" s="23" t="inlineStr">
        <is>
          <t>GARAGEM 02</t>
        </is>
      </c>
      <c r="C60" s="24" t="n"/>
      <c r="D60" s="25" t="n"/>
      <c r="E60" s="25" t="n"/>
      <c r="F60" s="26" t="n"/>
      <c r="G60" s="26" t="n"/>
      <c r="H60" s="26" t="n"/>
      <c r="I60" s="27" t="n"/>
      <c r="J60" s="26" t="n"/>
      <c r="K60" s="28" t="n"/>
      <c r="L60" s="29">
        <f>IF(SUM(F60:K60)=0,SUMIFS($L61:$L$9999,$B61:$B$9999,$B60,$A61:$A$9999,$A60),I60*K60)</f>
        <v/>
      </c>
      <c r="N60" t="inlineStr">
        <is>
          <t>Torre A</t>
        </is>
      </c>
    </row>
    <row r="61">
      <c r="A61" s="32">
        <f>A60</f>
        <v/>
      </c>
      <c r="B61" s="32">
        <f>B60</f>
        <v/>
      </c>
      <c r="C61" s="32" t="inlineStr">
        <is>
          <t>INSTALAÇÕES DE TELECOMUNICAÇÃO</t>
        </is>
      </c>
      <c r="D61" s="32" t="inlineStr">
        <is>
          <t>CAIXA OCTOGONAL</t>
        </is>
      </c>
      <c r="E61" s="32" t="inlineStr">
        <is>
          <t>Caixa Octogonal Padrão NBR IEC 60670</t>
        </is>
      </c>
      <c r="F61" s="33" t="n">
        <v>17</v>
      </c>
      <c r="G61" s="33" t="n">
        <v>1</v>
      </c>
      <c r="H61" s="34" t="n">
        <v>0</v>
      </c>
      <c r="I61" s="35">
        <f>(F61+H61*F61)*G61</f>
        <v/>
      </c>
      <c r="J61" s="33" t="inlineStr">
        <is>
          <t>pç</t>
        </is>
      </c>
      <c r="K61" s="36" t="n">
        <v>9.800000000000001</v>
      </c>
      <c r="L61" s="37">
        <f>I61*K61</f>
        <v/>
      </c>
      <c r="N61" t="inlineStr">
        <is>
          <t>Torre A</t>
        </is>
      </c>
    </row>
    <row r="62">
      <c r="A62" s="32">
        <f>A60</f>
        <v/>
      </c>
      <c r="B62" s="32">
        <f>B60</f>
        <v/>
      </c>
      <c r="C62" s="32" t="inlineStr">
        <is>
          <t>INSTALAÇÕES DE TELECOMUNICAÇÃO</t>
        </is>
      </c>
      <c r="D62" s="32" t="inlineStr">
        <is>
          <t>CAIXA OCTOGONAL</t>
        </is>
      </c>
      <c r="E62" s="32" t="inlineStr">
        <is>
          <t>Placa cega para caixa octogonal Padrão NBR IEC 60670</t>
        </is>
      </c>
      <c r="F62" s="33" t="n">
        <v>1</v>
      </c>
      <c r="G62" s="33" t="n">
        <v>1</v>
      </c>
      <c r="H62" s="34" t="n">
        <v>0</v>
      </c>
      <c r="I62" s="35">
        <f>(F62+H62*F62)*G62</f>
        <v/>
      </c>
      <c r="J62" s="33" t="inlineStr">
        <is>
          <t>pç</t>
        </is>
      </c>
      <c r="K62" s="36" t="n">
        <v>6.5</v>
      </c>
      <c r="L62" s="37">
        <f>I62*K62</f>
        <v/>
      </c>
      <c r="N62" t="inlineStr">
        <is>
          <t>Torre A</t>
        </is>
      </c>
    </row>
    <row r="63">
      <c r="A63" s="32">
        <f>A60</f>
        <v/>
      </c>
      <c r="B63" s="32">
        <f>B60</f>
        <v/>
      </c>
      <c r="C63" s="32" t="inlineStr">
        <is>
          <t>INSTALAÇÕES DE TELECOMUNICAÇÃO</t>
        </is>
      </c>
      <c r="D63" s="32" t="inlineStr">
        <is>
          <t>CAIXA 4x2" E 4x4"</t>
        </is>
      </c>
      <c r="E63" s="32" t="inlineStr">
        <is>
          <t>Caixa 4x2" de Embutir em PVC Padrão NBR IEC 60670</t>
        </is>
      </c>
      <c r="F63" s="33" t="n">
        <v>1</v>
      </c>
      <c r="G63" s="33" t="n">
        <v>1</v>
      </c>
      <c r="H63" s="34" t="n">
        <v>0</v>
      </c>
      <c r="I63" s="35">
        <f>(F63+H63*F63)*G63</f>
        <v/>
      </c>
      <c r="J63" s="33" t="inlineStr">
        <is>
          <t>pç</t>
        </is>
      </c>
      <c r="K63" s="36" t="n">
        <v>5.9</v>
      </c>
      <c r="L63" s="37">
        <f>I63*K63</f>
        <v/>
      </c>
      <c r="N63" t="inlineStr">
        <is>
          <t>Torre A</t>
        </is>
      </c>
    </row>
    <row r="64">
      <c r="A64" s="32">
        <f>A60</f>
        <v/>
      </c>
      <c r="B64" s="32">
        <f>B60</f>
        <v/>
      </c>
      <c r="C64" s="32" t="inlineStr">
        <is>
          <t>INSTALAÇÕES DE TELECOMUNICAÇÃO</t>
        </is>
      </c>
      <c r="D64" s="32" t="inlineStr">
        <is>
          <t>CAIXA 4x2" E 4x4"</t>
        </is>
      </c>
      <c r="E64" s="32" t="inlineStr">
        <is>
          <t>Placa 4x2" cega Padrão NBR IEC 60670</t>
        </is>
      </c>
      <c r="F64" s="33" t="n">
        <v>1</v>
      </c>
      <c r="G64" s="33" t="n">
        <v>1</v>
      </c>
      <c r="H64" s="34" t="n">
        <v>0</v>
      </c>
      <c r="I64" s="35">
        <f>(F64+H64*F64)*G64</f>
        <v/>
      </c>
      <c r="J64" s="33" t="inlineStr">
        <is>
          <t>pç</t>
        </is>
      </c>
      <c r="K64" s="36" t="n">
        <v>4.5</v>
      </c>
      <c r="L64" s="37">
        <f>I64*K64</f>
        <v/>
      </c>
      <c r="N64" t="inlineStr">
        <is>
          <t>Torre A</t>
        </is>
      </c>
    </row>
    <row r="65">
      <c r="A65" s="32">
        <f>A60</f>
        <v/>
      </c>
      <c r="B65" s="32">
        <f>B60</f>
        <v/>
      </c>
      <c r="C65" s="32" t="inlineStr">
        <is>
          <t>INSTALAÇÕES DE TELECOMUNICAÇÃO</t>
        </is>
      </c>
      <c r="D65" s="32" t="inlineStr">
        <is>
          <t>CAIXA 4x2" E 4x4"</t>
        </is>
      </c>
      <c r="E65" s="32" t="inlineStr">
        <is>
          <t>Suporte p/ caixa 4x2" Padrão NBR IEC 60670</t>
        </is>
      </c>
      <c r="F65" s="33" t="n">
        <v>1</v>
      </c>
      <c r="G65" s="33" t="n">
        <v>1</v>
      </c>
      <c r="H65" s="34" t="n">
        <v>0</v>
      </c>
      <c r="I65" s="35">
        <f>(F65+H65*F65)*G65</f>
        <v/>
      </c>
      <c r="J65" s="33" t="inlineStr">
        <is>
          <t>pç</t>
        </is>
      </c>
      <c r="K65" s="36" t="n">
        <v>2.4</v>
      </c>
      <c r="L65" s="37">
        <f>I65*K65</f>
        <v/>
      </c>
      <c r="N65" t="inlineStr">
        <is>
          <t>Torre A</t>
        </is>
      </c>
    </row>
    <row r="66">
      <c r="A66" s="32">
        <f>A60</f>
        <v/>
      </c>
      <c r="B66" s="32">
        <f>B60</f>
        <v/>
      </c>
      <c r="C66" s="32" t="inlineStr">
        <is>
          <t>INSTALAÇÕES DE TELECOMUNICAÇÃO</t>
        </is>
      </c>
      <c r="D66" s="32" t="inlineStr">
        <is>
          <t>ELETRODUTOS</t>
        </is>
      </c>
      <c r="E66" s="32" t="inlineStr">
        <is>
          <t>PVC Flexível Antichama - NBR 15465 ø1"</t>
        </is>
      </c>
      <c r="F66" s="33" t="n">
        <v>56</v>
      </c>
      <c r="G66" s="33" t="n">
        <v>1</v>
      </c>
      <c r="H66" s="34" t="n">
        <v>0</v>
      </c>
      <c r="I66" s="35">
        <f>(F66+H66*F66)*G66</f>
        <v/>
      </c>
      <c r="J66" s="33" t="inlineStr">
        <is>
          <t>m</t>
        </is>
      </c>
      <c r="K66" s="36" t="n">
        <v>11.9</v>
      </c>
      <c r="L66" s="37">
        <f>I66*K66</f>
        <v/>
      </c>
      <c r="N66" t="inlineStr">
        <is>
          <t>Torre A</t>
        </is>
      </c>
    </row>
    <row r="67">
      <c r="A67" s="32">
        <f>A60</f>
        <v/>
      </c>
      <c r="B67" s="32">
        <f>B60</f>
        <v/>
      </c>
      <c r="C67" s="32" t="inlineStr">
        <is>
          <t>INSTALAÇÕES DE TELECOMUNICAÇÃO</t>
        </is>
      </c>
      <c r="D67" s="32" t="inlineStr">
        <is>
          <t>ELETRODUTOS</t>
        </is>
      </c>
      <c r="E67" s="32" t="inlineStr">
        <is>
          <t>PVC Flexível Antichama - NBR 15465 ø3/4"</t>
        </is>
      </c>
      <c r="F67" s="33" t="n">
        <v>48</v>
      </c>
      <c r="G67" s="33" t="n">
        <v>1</v>
      </c>
      <c r="H67" s="34" t="n">
        <v>0</v>
      </c>
      <c r="I67" s="35">
        <f>(F67+H67*F67)*G67</f>
        <v/>
      </c>
      <c r="J67" s="33" t="inlineStr">
        <is>
          <t>m</t>
        </is>
      </c>
      <c r="K67" s="36" t="n">
        <v>7.5</v>
      </c>
      <c r="L67" s="37">
        <f>I67*K67</f>
        <v/>
      </c>
      <c r="N67" t="inlineStr">
        <is>
          <t>Torre A</t>
        </is>
      </c>
    </row>
    <row r="68">
      <c r="A68" s="32">
        <f>A60</f>
        <v/>
      </c>
      <c r="B68" s="32">
        <f>B60</f>
        <v/>
      </c>
      <c r="C68" s="32" t="inlineStr">
        <is>
          <t>INSTALAÇÕES DE TELECOMUNICAÇÃO</t>
        </is>
      </c>
      <c r="D68" s="32" t="inlineStr">
        <is>
          <t>ELETRODUTOS</t>
        </is>
      </c>
      <c r="E68" s="32" t="inlineStr">
        <is>
          <t>PVC Flexível Antichama - NBR 15465 ø3"</t>
        </is>
      </c>
      <c r="F68" s="33" t="n">
        <v>6</v>
      </c>
      <c r="G68" s="33" t="n">
        <v>1</v>
      </c>
      <c r="H68" s="34" t="n">
        <v>0</v>
      </c>
      <c r="I68" s="35">
        <f>(F68+H68*F68)*G68</f>
        <v/>
      </c>
      <c r="J68" s="33" t="inlineStr">
        <is>
          <t>m</t>
        </is>
      </c>
      <c r="K68" s="36" t="n">
        <v>0</v>
      </c>
      <c r="L68" s="37">
        <f>I68*K68</f>
        <v/>
      </c>
      <c r="N68" t="inlineStr">
        <is>
          <t>Torre A</t>
        </is>
      </c>
    </row>
    <row r="69">
      <c r="A69" s="32">
        <f>A60</f>
        <v/>
      </c>
      <c r="B69" s="32">
        <f>B60</f>
        <v/>
      </c>
      <c r="C69" s="32" t="inlineStr">
        <is>
          <t>INSTALAÇÕES DE TELECOMUNICAÇÃO</t>
        </is>
      </c>
      <c r="D69" s="32" t="inlineStr">
        <is>
          <t>CAIXA DE PASSAGEM</t>
        </is>
      </c>
      <c r="E69" s="32" t="inlineStr">
        <is>
          <t>Cx de passagem de embutir com dimensão de 40x120x15cm</t>
        </is>
      </c>
      <c r="F69" s="33" t="n">
        <v>1</v>
      </c>
      <c r="G69" s="33" t="n">
        <v>1</v>
      </c>
      <c r="H69" s="34" t="n">
        <v>0</v>
      </c>
      <c r="I69" s="35">
        <f>(F69+H69*F69)*G69</f>
        <v/>
      </c>
      <c r="J69" s="33" t="inlineStr">
        <is>
          <t>pç</t>
        </is>
      </c>
      <c r="K69" s="36" t="n">
        <v>0</v>
      </c>
      <c r="L69" s="37">
        <f>I69*K69</f>
        <v/>
      </c>
      <c r="N69" t="inlineStr">
        <is>
          <t>Torre A</t>
        </is>
      </c>
    </row>
    <row r="70">
      <c r="A70" s="32">
        <f>A60</f>
        <v/>
      </c>
      <c r="B70" s="32">
        <f>B60</f>
        <v/>
      </c>
      <c r="C70" s="32" t="inlineStr">
        <is>
          <t>INSTALAÇÕES DE TELECOMUNICAÇÃO</t>
        </is>
      </c>
      <c r="D70" s="32" t="inlineStr">
        <is>
          <t>COTOVELOS</t>
        </is>
      </c>
      <c r="E70" s="32" t="inlineStr">
        <is>
          <t>Cotovelo para eletroduto flexível PVC amarelo</t>
        </is>
      </c>
      <c r="F70" s="33" t="n">
        <v>76</v>
      </c>
      <c r="G70" s="33" t="n">
        <v>1</v>
      </c>
      <c r="H70" s="34" t="n">
        <v>0</v>
      </c>
      <c r="I70" s="35">
        <f>(F70+H70*F70)*G70</f>
        <v/>
      </c>
      <c r="J70" s="33" t="inlineStr">
        <is>
          <t>un</t>
        </is>
      </c>
      <c r="K70" s="36" t="n">
        <v>0</v>
      </c>
      <c r="L70" s="37">
        <f>I70*K70</f>
        <v/>
      </c>
      <c r="N70" t="inlineStr">
        <is>
          <t>Torre A</t>
        </is>
      </c>
    </row>
    <row r="71">
      <c r="A71" s="32">
        <f>A60</f>
        <v/>
      </c>
      <c r="B71" s="32">
        <f>B60</f>
        <v/>
      </c>
      <c r="C71" s="32" t="inlineStr">
        <is>
          <t>INSTALAÇÕES DE TELECOMUNICAÇÃO</t>
        </is>
      </c>
      <c r="D71" s="32" t="inlineStr">
        <is>
          <t>CONECTORES E BUCHAS</t>
        </is>
      </c>
      <c r="E71" s="32" t="inlineStr">
        <is>
          <t>Conector box e arruela - Alumínio padrão</t>
        </is>
      </c>
      <c r="F71" s="33" t="n">
        <v>21</v>
      </c>
      <c r="G71" s="33" t="n">
        <v>1</v>
      </c>
      <c r="H71" s="34" t="n">
        <v>0</v>
      </c>
      <c r="I71" s="35">
        <f>(F71+H71*F71)*G71</f>
        <v/>
      </c>
      <c r="J71" s="33" t="inlineStr">
        <is>
          <t>un</t>
        </is>
      </c>
      <c r="K71" s="36" t="n">
        <v>0</v>
      </c>
      <c r="L71" s="37">
        <f>I71*K71</f>
        <v/>
      </c>
      <c r="N71" t="inlineStr">
        <is>
          <t>Torre A</t>
        </is>
      </c>
    </row>
    <row r="72">
      <c r="A72" s="32">
        <f>A60</f>
        <v/>
      </c>
      <c r="B72" s="32">
        <f>B60</f>
        <v/>
      </c>
      <c r="C72" s="32" t="inlineStr">
        <is>
          <t>INSTALAÇÕES DE TELECOMUNICAÇÃO</t>
        </is>
      </c>
      <c r="D72" s="32" t="inlineStr">
        <is>
          <t>CONECTORES E BUCHAS</t>
        </is>
      </c>
      <c r="E72" s="32" t="inlineStr">
        <is>
          <t>Bucha terminal simples - Alumínio padrão</t>
        </is>
      </c>
      <c r="F72" s="33" t="n">
        <v>2</v>
      </c>
      <c r="G72" s="33" t="n">
        <v>1</v>
      </c>
      <c r="H72" s="34" t="n">
        <v>0</v>
      </c>
      <c r="I72" s="35">
        <f>(F72+H72*F72)*G72</f>
        <v/>
      </c>
      <c r="J72" s="33" t="inlineStr">
        <is>
          <t>un</t>
        </is>
      </c>
      <c r="K72" s="36" t="n">
        <v>0</v>
      </c>
      <c r="L72" s="37">
        <f>I72*K72</f>
        <v/>
      </c>
      <c r="N72" t="inlineStr">
        <is>
          <t>Torre A</t>
        </is>
      </c>
    </row>
    <row r="73">
      <c r="A73" s="32">
        <f>A60</f>
        <v/>
      </c>
      <c r="B73" s="32">
        <f>B60</f>
        <v/>
      </c>
      <c r="C73" s="32" t="inlineStr">
        <is>
          <t>INSTALAÇÕES DE TELECOMUNICAÇÃO</t>
        </is>
      </c>
      <c r="D73" s="32" t="inlineStr">
        <is>
          <t>CONDUTORES TELECOM</t>
        </is>
      </c>
      <c r="E73" s="32" t="inlineStr">
        <is>
          <t>Condutor CFTV</t>
        </is>
      </c>
      <c r="F73" s="33" t="n">
        <v>4</v>
      </c>
      <c r="G73" s="33" t="n">
        <v>1</v>
      </c>
      <c r="H73" s="34" t="n">
        <v>0</v>
      </c>
      <c r="I73" s="35">
        <f>(F73+H73*F73)*G73</f>
        <v/>
      </c>
      <c r="J73" s="33" t="inlineStr">
        <is>
          <t>un</t>
        </is>
      </c>
      <c r="K73" s="36" t="n">
        <v>0</v>
      </c>
      <c r="L73" s="37">
        <f>I73*K73</f>
        <v/>
      </c>
      <c r="N73" t="inlineStr">
        <is>
          <t>Torre A</t>
        </is>
      </c>
    </row>
    <row r="74">
      <c r="A74" s="32">
        <f>A60</f>
        <v/>
      </c>
      <c r="B74" s="32">
        <f>B60</f>
        <v/>
      </c>
      <c r="C74" s="32" t="inlineStr">
        <is>
          <t>INSTALAÇÕES DE TELECOMUNICAÇÃO</t>
        </is>
      </c>
      <c r="D74" s="32" t="inlineStr">
        <is>
          <t>CONDUTORES TELECOM</t>
        </is>
      </c>
      <c r="E74" s="32" t="inlineStr">
        <is>
          <t>Condutor Cordplast</t>
        </is>
      </c>
      <c r="F74" s="33" t="n">
        <v>4</v>
      </c>
      <c r="G74" s="33" t="n">
        <v>1</v>
      </c>
      <c r="H74" s="34" t="n">
        <v>0</v>
      </c>
      <c r="I74" s="35">
        <f>(F74+H74*F74)*G74</f>
        <v/>
      </c>
      <c r="J74" s="33" t="inlineStr">
        <is>
          <t>un</t>
        </is>
      </c>
      <c r="K74" s="36" t="n">
        <v>0</v>
      </c>
      <c r="L74" s="37">
        <f>I74*K74</f>
        <v/>
      </c>
      <c r="N74" t="inlineStr">
        <is>
          <t>Torre A</t>
        </is>
      </c>
    </row>
    <row r="75">
      <c r="A75" s="32">
        <f>A60</f>
        <v/>
      </c>
      <c r="B75" s="32">
        <f>B60</f>
        <v/>
      </c>
      <c r="C75" s="32" t="inlineStr">
        <is>
          <t>INSTALAÇÕES DE TELECOMUNICAÇÃO</t>
        </is>
      </c>
      <c r="D75" s="32" t="inlineStr">
        <is>
          <t>PONTOS DE USO</t>
        </is>
      </c>
      <c r="E75" s="32" t="inlineStr">
        <is>
          <t>Caixa 4x2 - Interfone</t>
        </is>
      </c>
      <c r="F75" s="33" t="n">
        <v>4</v>
      </c>
      <c r="G75" s="33" t="n">
        <v>1</v>
      </c>
      <c r="H75" s="34" t="n">
        <v>0</v>
      </c>
      <c r="I75" s="35">
        <f>(F75+H75*F75)*G75</f>
        <v/>
      </c>
      <c r="J75" s="33" t="inlineStr">
        <is>
          <t>un</t>
        </is>
      </c>
      <c r="K75" s="36" t="n">
        <v>0</v>
      </c>
      <c r="L75" s="37">
        <f>I75*K75</f>
        <v/>
      </c>
      <c r="N75" t="inlineStr">
        <is>
          <t>Torre A</t>
        </is>
      </c>
    </row>
    <row r="76">
      <c r="A76" s="32">
        <f>A60</f>
        <v/>
      </c>
      <c r="B76" s="32">
        <f>B60</f>
        <v/>
      </c>
      <c r="C76" s="32" t="inlineStr">
        <is>
          <t>INSTALAÇÕES DE TELECOMUNICAÇÃO</t>
        </is>
      </c>
      <c r="D76" s="32" t="inlineStr">
        <is>
          <t>PONTOS DE USO</t>
        </is>
      </c>
      <c r="E76" s="32" t="inlineStr">
        <is>
          <t>Caixa 4x2 - Câmera CFTV</t>
        </is>
      </c>
      <c r="F76" s="33" t="n">
        <v>2</v>
      </c>
      <c r="G76" s="33" t="n">
        <v>1</v>
      </c>
      <c r="H76" s="34" t="n">
        <v>0</v>
      </c>
      <c r="I76" s="35">
        <f>(F76+H76*F76)*G76</f>
        <v/>
      </c>
      <c r="J76" s="33" t="inlineStr">
        <is>
          <t>un</t>
        </is>
      </c>
      <c r="K76" s="36" t="n">
        <v>0</v>
      </c>
      <c r="L76" s="37">
        <f>I76*K76</f>
        <v/>
      </c>
      <c r="N76" t="inlineStr">
        <is>
          <t>Torre A</t>
        </is>
      </c>
    </row>
    <row r="77">
      <c r="A77" s="23" t="inlineStr">
        <is>
          <t>Torre A</t>
        </is>
      </c>
      <c r="B77" s="23" t="inlineStr">
        <is>
          <t>GARAGEM 03</t>
        </is>
      </c>
      <c r="C77" s="24" t="n"/>
      <c r="D77" s="25" t="n"/>
      <c r="E77" s="25" t="n"/>
      <c r="F77" s="26" t="n"/>
      <c r="G77" s="26" t="n"/>
      <c r="H77" s="26" t="n"/>
      <c r="I77" s="27" t="n"/>
      <c r="J77" s="26" t="n"/>
      <c r="K77" s="28" t="n"/>
      <c r="L77" s="29">
        <f>IF(SUM(F77:K77)=0,SUMIFS($L78:$L$9999,$B78:$B$9999,$B77,$A78:$A$9999,$A77),I77*K77)</f>
        <v/>
      </c>
      <c r="N77" t="inlineStr">
        <is>
          <t>Torre A</t>
        </is>
      </c>
    </row>
    <row r="78">
      <c r="A78" s="32">
        <f>A77</f>
        <v/>
      </c>
      <c r="B78" s="32">
        <f>B77</f>
        <v/>
      </c>
      <c r="C78" s="32" t="inlineStr">
        <is>
          <t>INSTALAÇÕES DE TELECOMUNICAÇÃO</t>
        </is>
      </c>
      <c r="D78" s="32" t="inlineStr">
        <is>
          <t>CAIXA OCTOGONAL</t>
        </is>
      </c>
      <c r="E78" s="32" t="inlineStr">
        <is>
          <t>Caixa Octogonal Padrão NBR IEC 60670</t>
        </is>
      </c>
      <c r="F78" s="33" t="n">
        <v>17</v>
      </c>
      <c r="G78" s="33" t="n">
        <v>1</v>
      </c>
      <c r="H78" s="34" t="n">
        <v>0</v>
      </c>
      <c r="I78" s="35">
        <f>(F78+H78*F78)*G78</f>
        <v/>
      </c>
      <c r="J78" s="33" t="inlineStr">
        <is>
          <t>pç</t>
        </is>
      </c>
      <c r="K78" s="36" t="n">
        <v>9.800000000000001</v>
      </c>
      <c r="L78" s="37">
        <f>I78*K78</f>
        <v/>
      </c>
      <c r="N78" t="inlineStr">
        <is>
          <t>Torre A</t>
        </is>
      </c>
    </row>
    <row r="79">
      <c r="A79" s="32">
        <f>A77</f>
        <v/>
      </c>
      <c r="B79" s="32">
        <f>B77</f>
        <v/>
      </c>
      <c r="C79" s="32" t="inlineStr">
        <is>
          <t>INSTALAÇÕES DE TELECOMUNICAÇÃO</t>
        </is>
      </c>
      <c r="D79" s="32" t="inlineStr">
        <is>
          <t>CAIXA OCTOGONAL</t>
        </is>
      </c>
      <c r="E79" s="32" t="inlineStr">
        <is>
          <t>Placa cega para caixa octogonal Padrão NBR IEC 60670</t>
        </is>
      </c>
      <c r="F79" s="33" t="n">
        <v>1</v>
      </c>
      <c r="G79" s="33" t="n">
        <v>1</v>
      </c>
      <c r="H79" s="34" t="n">
        <v>0</v>
      </c>
      <c r="I79" s="35">
        <f>(F79+H79*F79)*G79</f>
        <v/>
      </c>
      <c r="J79" s="33" t="inlineStr">
        <is>
          <t>pç</t>
        </is>
      </c>
      <c r="K79" s="36" t="n">
        <v>6.5</v>
      </c>
      <c r="L79" s="37">
        <f>I79*K79</f>
        <v/>
      </c>
      <c r="N79" t="inlineStr">
        <is>
          <t>Torre A</t>
        </is>
      </c>
    </row>
    <row r="80">
      <c r="A80" s="32">
        <f>A77</f>
        <v/>
      </c>
      <c r="B80" s="32">
        <f>B77</f>
        <v/>
      </c>
      <c r="C80" s="32" t="inlineStr">
        <is>
          <t>INSTALAÇÕES DE TELECOMUNICAÇÃO</t>
        </is>
      </c>
      <c r="D80" s="32" t="inlineStr">
        <is>
          <t>CAIXA 4x2" E 4x4"</t>
        </is>
      </c>
      <c r="E80" s="32" t="inlineStr">
        <is>
          <t>Caixa 4x2" de Embutir em PVC Padrão NBR IEC 60670</t>
        </is>
      </c>
      <c r="F80" s="33" t="n">
        <v>1</v>
      </c>
      <c r="G80" s="33" t="n">
        <v>1</v>
      </c>
      <c r="H80" s="34" t="n">
        <v>0</v>
      </c>
      <c r="I80" s="35">
        <f>(F80+H80*F80)*G80</f>
        <v/>
      </c>
      <c r="J80" s="33" t="inlineStr">
        <is>
          <t>pç</t>
        </is>
      </c>
      <c r="K80" s="36" t="n">
        <v>5.9</v>
      </c>
      <c r="L80" s="37">
        <f>I80*K80</f>
        <v/>
      </c>
      <c r="N80" t="inlineStr">
        <is>
          <t>Torre A</t>
        </is>
      </c>
    </row>
    <row r="81">
      <c r="A81" s="32">
        <f>A77</f>
        <v/>
      </c>
      <c r="B81" s="32">
        <f>B77</f>
        <v/>
      </c>
      <c r="C81" s="32" t="inlineStr">
        <is>
          <t>INSTALAÇÕES DE TELECOMUNICAÇÃO</t>
        </is>
      </c>
      <c r="D81" s="32" t="inlineStr">
        <is>
          <t>CAIXA 4x2" E 4x4"</t>
        </is>
      </c>
      <c r="E81" s="32" t="inlineStr">
        <is>
          <t>Placa 4x2" cega Padrão NBR IEC 60670</t>
        </is>
      </c>
      <c r="F81" s="33" t="n">
        <v>1</v>
      </c>
      <c r="G81" s="33" t="n">
        <v>1</v>
      </c>
      <c r="H81" s="34" t="n">
        <v>0</v>
      </c>
      <c r="I81" s="35">
        <f>(F81+H81*F81)*G81</f>
        <v/>
      </c>
      <c r="J81" s="33" t="inlineStr">
        <is>
          <t>pç</t>
        </is>
      </c>
      <c r="K81" s="36" t="n">
        <v>4.5</v>
      </c>
      <c r="L81" s="37">
        <f>I81*K81</f>
        <v/>
      </c>
      <c r="N81" t="inlineStr">
        <is>
          <t>Torre A</t>
        </is>
      </c>
    </row>
    <row r="82">
      <c r="A82" s="32">
        <f>A77</f>
        <v/>
      </c>
      <c r="B82" s="32">
        <f>B77</f>
        <v/>
      </c>
      <c r="C82" s="32" t="inlineStr">
        <is>
          <t>INSTALAÇÕES DE TELECOMUNICAÇÃO</t>
        </is>
      </c>
      <c r="D82" s="32" t="inlineStr">
        <is>
          <t>CAIXA 4x2" E 4x4"</t>
        </is>
      </c>
      <c r="E82" s="32" t="inlineStr">
        <is>
          <t>Suporte p/ caixa 4x2" Padrão NBR IEC 60670</t>
        </is>
      </c>
      <c r="F82" s="33" t="n">
        <v>1</v>
      </c>
      <c r="G82" s="33" t="n">
        <v>1</v>
      </c>
      <c r="H82" s="34" t="n">
        <v>0</v>
      </c>
      <c r="I82" s="35">
        <f>(F82+H82*F82)*G82</f>
        <v/>
      </c>
      <c r="J82" s="33" t="inlineStr">
        <is>
          <t>pç</t>
        </is>
      </c>
      <c r="K82" s="36" t="n">
        <v>2.4</v>
      </c>
      <c r="L82" s="37">
        <f>I82*K82</f>
        <v/>
      </c>
      <c r="N82" t="inlineStr">
        <is>
          <t>Torre A</t>
        </is>
      </c>
    </row>
    <row r="83">
      <c r="A83" s="32">
        <f>A77</f>
        <v/>
      </c>
      <c r="B83" s="32">
        <f>B77</f>
        <v/>
      </c>
      <c r="C83" s="32" t="inlineStr">
        <is>
          <t>INSTALAÇÕES DE TELECOMUNICAÇÃO</t>
        </is>
      </c>
      <c r="D83" s="32" t="inlineStr">
        <is>
          <t>ELETRODUTOS</t>
        </is>
      </c>
      <c r="E83" s="32" t="inlineStr">
        <is>
          <t>PVC Flexível Antichama - NBR 15465 ø1"</t>
        </is>
      </c>
      <c r="F83" s="33" t="n">
        <v>56</v>
      </c>
      <c r="G83" s="33" t="n">
        <v>1</v>
      </c>
      <c r="H83" s="34" t="n">
        <v>0</v>
      </c>
      <c r="I83" s="35">
        <f>(F83+H83*F83)*G83</f>
        <v/>
      </c>
      <c r="J83" s="33" t="inlineStr">
        <is>
          <t>m</t>
        </is>
      </c>
      <c r="K83" s="36" t="n">
        <v>11.9</v>
      </c>
      <c r="L83" s="37">
        <f>I83*K83</f>
        <v/>
      </c>
      <c r="N83" t="inlineStr">
        <is>
          <t>Torre A</t>
        </is>
      </c>
    </row>
    <row r="84">
      <c r="A84" s="32">
        <f>A77</f>
        <v/>
      </c>
      <c r="B84" s="32">
        <f>B77</f>
        <v/>
      </c>
      <c r="C84" s="32" t="inlineStr">
        <is>
          <t>INSTALAÇÕES DE TELECOMUNICAÇÃO</t>
        </is>
      </c>
      <c r="D84" s="32" t="inlineStr">
        <is>
          <t>ELETRODUTOS</t>
        </is>
      </c>
      <c r="E84" s="32" t="inlineStr">
        <is>
          <t>PVC Flexível Antichama - NBR 15465 ø3/4"</t>
        </is>
      </c>
      <c r="F84" s="33" t="n">
        <v>48</v>
      </c>
      <c r="G84" s="33" t="n">
        <v>1</v>
      </c>
      <c r="H84" s="34" t="n">
        <v>0</v>
      </c>
      <c r="I84" s="35">
        <f>(F84+H84*F84)*G84</f>
        <v/>
      </c>
      <c r="J84" s="33" t="inlineStr">
        <is>
          <t>m</t>
        </is>
      </c>
      <c r="K84" s="36" t="n">
        <v>7.5</v>
      </c>
      <c r="L84" s="37">
        <f>I84*K84</f>
        <v/>
      </c>
      <c r="N84" t="inlineStr">
        <is>
          <t>Torre A</t>
        </is>
      </c>
    </row>
    <row r="85">
      <c r="A85" s="32">
        <f>A77</f>
        <v/>
      </c>
      <c r="B85" s="32">
        <f>B77</f>
        <v/>
      </c>
      <c r="C85" s="32" t="inlineStr">
        <is>
          <t>INSTALAÇÕES DE TELECOMUNICAÇÃO</t>
        </is>
      </c>
      <c r="D85" s="32" t="inlineStr">
        <is>
          <t>ELETRODUTOS</t>
        </is>
      </c>
      <c r="E85" s="32" t="inlineStr">
        <is>
          <t>PVC Flexível Antichama - NBR 15465 ø3"</t>
        </is>
      </c>
      <c r="F85" s="33" t="n">
        <v>6</v>
      </c>
      <c r="G85" s="33" t="n">
        <v>1</v>
      </c>
      <c r="H85" s="34" t="n">
        <v>0</v>
      </c>
      <c r="I85" s="35">
        <f>(F85+H85*F85)*G85</f>
        <v/>
      </c>
      <c r="J85" s="33" t="inlineStr">
        <is>
          <t>m</t>
        </is>
      </c>
      <c r="K85" s="36" t="n">
        <v>0</v>
      </c>
      <c r="L85" s="37">
        <f>I85*K85</f>
        <v/>
      </c>
      <c r="N85" t="inlineStr">
        <is>
          <t>Torre A</t>
        </is>
      </c>
    </row>
    <row r="86">
      <c r="A86" s="32">
        <f>A77</f>
        <v/>
      </c>
      <c r="B86" s="32">
        <f>B77</f>
        <v/>
      </c>
      <c r="C86" s="32" t="inlineStr">
        <is>
          <t>INSTALAÇÕES DE TELECOMUNICAÇÃO</t>
        </is>
      </c>
      <c r="D86" s="32" t="inlineStr">
        <is>
          <t>CAIXA DE PASSAGEM</t>
        </is>
      </c>
      <c r="E86" s="32" t="inlineStr">
        <is>
          <t>Cx de passagem de embutir com dimensão de 40x120x15cm</t>
        </is>
      </c>
      <c r="F86" s="33" t="n">
        <v>1</v>
      </c>
      <c r="G86" s="33" t="n">
        <v>1</v>
      </c>
      <c r="H86" s="34" t="n">
        <v>0</v>
      </c>
      <c r="I86" s="35">
        <f>(F86+H86*F86)*G86</f>
        <v/>
      </c>
      <c r="J86" s="33" t="inlineStr">
        <is>
          <t>pç</t>
        </is>
      </c>
      <c r="K86" s="36" t="n">
        <v>0</v>
      </c>
      <c r="L86" s="37">
        <f>I86*K86</f>
        <v/>
      </c>
      <c r="N86" t="inlineStr">
        <is>
          <t>Torre A</t>
        </is>
      </c>
    </row>
    <row r="87">
      <c r="A87" s="32">
        <f>A77</f>
        <v/>
      </c>
      <c r="B87" s="32">
        <f>B77</f>
        <v/>
      </c>
      <c r="C87" s="32" t="inlineStr">
        <is>
          <t>INSTALAÇÕES DE TELECOMUNICAÇÃO</t>
        </is>
      </c>
      <c r="D87" s="32" t="inlineStr">
        <is>
          <t>COTOVELOS</t>
        </is>
      </c>
      <c r="E87" s="32" t="inlineStr">
        <is>
          <t>Cotovelo para eletroduto flexível PVC amarelo</t>
        </is>
      </c>
      <c r="F87" s="33" t="n">
        <v>71</v>
      </c>
      <c r="G87" s="33" t="n">
        <v>1</v>
      </c>
      <c r="H87" s="34" t="n">
        <v>0</v>
      </c>
      <c r="I87" s="35">
        <f>(F87+H87*F87)*G87</f>
        <v/>
      </c>
      <c r="J87" s="33" t="inlineStr">
        <is>
          <t>un</t>
        </is>
      </c>
      <c r="K87" s="36" t="n">
        <v>0</v>
      </c>
      <c r="L87" s="37">
        <f>I87*K87</f>
        <v/>
      </c>
      <c r="N87" t="inlineStr">
        <is>
          <t>Torre A</t>
        </is>
      </c>
    </row>
    <row r="88">
      <c r="A88" s="32">
        <f>A77</f>
        <v/>
      </c>
      <c r="B88" s="32">
        <f>B77</f>
        <v/>
      </c>
      <c r="C88" s="32" t="inlineStr">
        <is>
          <t>INSTALAÇÕES DE TELECOMUNICAÇÃO</t>
        </is>
      </c>
      <c r="D88" s="32" t="inlineStr">
        <is>
          <t>CONECTORES E BUCHAS</t>
        </is>
      </c>
      <c r="E88" s="32" t="inlineStr">
        <is>
          <t>Conector box e arruela - Alumínio padrão</t>
        </is>
      </c>
      <c r="F88" s="33" t="n">
        <v>15</v>
      </c>
      <c r="G88" s="33" t="n">
        <v>1</v>
      </c>
      <c r="H88" s="34" t="n">
        <v>0</v>
      </c>
      <c r="I88" s="35">
        <f>(F88+H88*F88)*G88</f>
        <v/>
      </c>
      <c r="J88" s="33" t="inlineStr">
        <is>
          <t>un</t>
        </is>
      </c>
      <c r="K88" s="36" t="n">
        <v>0</v>
      </c>
      <c r="L88" s="37">
        <f>I88*K88</f>
        <v/>
      </c>
      <c r="N88" t="inlineStr">
        <is>
          <t>Torre A</t>
        </is>
      </c>
    </row>
    <row r="89">
      <c r="A89" s="32">
        <f>A77</f>
        <v/>
      </c>
      <c r="B89" s="32">
        <f>B77</f>
        <v/>
      </c>
      <c r="C89" s="32" t="inlineStr">
        <is>
          <t>INSTALAÇÕES DE TELECOMUNICAÇÃO</t>
        </is>
      </c>
      <c r="D89" s="32" t="inlineStr">
        <is>
          <t>CONECTORES E BUCHAS</t>
        </is>
      </c>
      <c r="E89" s="32" t="inlineStr">
        <is>
          <t>Bucha terminal simples - Alumínio padrão</t>
        </is>
      </c>
      <c r="F89" s="33" t="n">
        <v>6</v>
      </c>
      <c r="G89" s="33" t="n">
        <v>1</v>
      </c>
      <c r="H89" s="34" t="n">
        <v>0</v>
      </c>
      <c r="I89" s="35">
        <f>(F89+H89*F89)*G89</f>
        <v/>
      </c>
      <c r="J89" s="33" t="inlineStr">
        <is>
          <t>un</t>
        </is>
      </c>
      <c r="K89" s="36" t="n">
        <v>0</v>
      </c>
      <c r="L89" s="37">
        <f>I89*K89</f>
        <v/>
      </c>
      <c r="N89" t="inlineStr">
        <is>
          <t>Torre A</t>
        </is>
      </c>
    </row>
    <row r="90">
      <c r="A90" s="32">
        <f>A77</f>
        <v/>
      </c>
      <c r="B90" s="32">
        <f>B77</f>
        <v/>
      </c>
      <c r="C90" s="32" t="inlineStr">
        <is>
          <t>INSTALAÇÕES DE TELECOMUNICAÇÃO</t>
        </is>
      </c>
      <c r="D90" s="32" t="inlineStr">
        <is>
          <t>CONDUTORES TELECOM</t>
        </is>
      </c>
      <c r="E90" s="32" t="inlineStr">
        <is>
          <t>Condutor CFTV</t>
        </is>
      </c>
      <c r="F90" s="33" t="n">
        <v>4</v>
      </c>
      <c r="G90" s="33" t="n">
        <v>1</v>
      </c>
      <c r="H90" s="34" t="n">
        <v>0</v>
      </c>
      <c r="I90" s="35">
        <f>(F90+H90*F90)*G90</f>
        <v/>
      </c>
      <c r="J90" s="33" t="inlineStr">
        <is>
          <t>un</t>
        </is>
      </c>
      <c r="K90" s="36" t="n">
        <v>0</v>
      </c>
      <c r="L90" s="37">
        <f>I90*K90</f>
        <v/>
      </c>
      <c r="N90" t="inlineStr">
        <is>
          <t>Torre A</t>
        </is>
      </c>
    </row>
    <row r="91">
      <c r="A91" s="32">
        <f>A77</f>
        <v/>
      </c>
      <c r="B91" s="32">
        <f>B77</f>
        <v/>
      </c>
      <c r="C91" s="32" t="inlineStr">
        <is>
          <t>INSTALAÇÕES DE TELECOMUNICAÇÃO</t>
        </is>
      </c>
      <c r="D91" s="32" t="inlineStr">
        <is>
          <t>CONDUTORES TELECOM</t>
        </is>
      </c>
      <c r="E91" s="32" t="inlineStr">
        <is>
          <t>Condutor Cordplast</t>
        </is>
      </c>
      <c r="F91" s="33" t="n">
        <v>4</v>
      </c>
      <c r="G91" s="33" t="n">
        <v>1</v>
      </c>
      <c r="H91" s="34" t="n">
        <v>0</v>
      </c>
      <c r="I91" s="35">
        <f>(F91+H91*F91)*G91</f>
        <v/>
      </c>
      <c r="J91" s="33" t="inlineStr">
        <is>
          <t>un</t>
        </is>
      </c>
      <c r="K91" s="36" t="n">
        <v>0</v>
      </c>
      <c r="L91" s="37">
        <f>I91*K91</f>
        <v/>
      </c>
      <c r="N91" t="inlineStr">
        <is>
          <t>Torre A</t>
        </is>
      </c>
    </row>
    <row r="92">
      <c r="A92" s="32">
        <f>A77</f>
        <v/>
      </c>
      <c r="B92" s="32">
        <f>B77</f>
        <v/>
      </c>
      <c r="C92" s="32" t="inlineStr">
        <is>
          <t>INSTALAÇÕES DE TELECOMUNICAÇÃO</t>
        </is>
      </c>
      <c r="D92" s="32" t="inlineStr">
        <is>
          <t>PONTOS DE USO</t>
        </is>
      </c>
      <c r="E92" s="32" t="inlineStr">
        <is>
          <t>Caixa 4x2 - Interfone</t>
        </is>
      </c>
      <c r="F92" s="33" t="n">
        <v>4</v>
      </c>
      <c r="G92" s="33" t="n">
        <v>1</v>
      </c>
      <c r="H92" s="34" t="n">
        <v>0</v>
      </c>
      <c r="I92" s="35">
        <f>(F92+H92*F92)*G92</f>
        <v/>
      </c>
      <c r="J92" s="33" t="inlineStr">
        <is>
          <t>un</t>
        </is>
      </c>
      <c r="K92" s="36" t="n">
        <v>0</v>
      </c>
      <c r="L92" s="37">
        <f>I92*K92</f>
        <v/>
      </c>
      <c r="N92" t="inlineStr">
        <is>
          <t>Torre A</t>
        </is>
      </c>
    </row>
    <row r="93">
      <c r="A93" s="32">
        <f>A77</f>
        <v/>
      </c>
      <c r="B93" s="32">
        <f>B77</f>
        <v/>
      </c>
      <c r="C93" s="32" t="inlineStr">
        <is>
          <t>INSTALAÇÕES DE TELECOMUNICAÇÃO</t>
        </is>
      </c>
      <c r="D93" s="32" t="inlineStr">
        <is>
          <t>PONTOS DE USO</t>
        </is>
      </c>
      <c r="E93" s="32" t="inlineStr">
        <is>
          <t>Caixa 4x2 - Câmera CFTV</t>
        </is>
      </c>
      <c r="F93" s="33" t="n">
        <v>2</v>
      </c>
      <c r="G93" s="33" t="n">
        <v>1</v>
      </c>
      <c r="H93" s="34" t="n">
        <v>0</v>
      </c>
      <c r="I93" s="35">
        <f>(F93+H93*F93)*G93</f>
        <v/>
      </c>
      <c r="J93" s="33" t="inlineStr">
        <is>
          <t>un</t>
        </is>
      </c>
      <c r="K93" s="36" t="n">
        <v>0</v>
      </c>
      <c r="L93" s="37">
        <f>I93*K93</f>
        <v/>
      </c>
      <c r="N93" t="inlineStr">
        <is>
          <t>Torre A</t>
        </is>
      </c>
    </row>
    <row r="94">
      <c r="A94" s="23" t="inlineStr">
        <is>
          <t>Torre A</t>
        </is>
      </c>
      <c r="B94" s="23" t="inlineStr">
        <is>
          <t>GARAGEM 04</t>
        </is>
      </c>
      <c r="C94" s="24" t="n"/>
      <c r="D94" s="25" t="n"/>
      <c r="E94" s="25" t="n"/>
      <c r="F94" s="26" t="n"/>
      <c r="G94" s="26" t="n"/>
      <c r="H94" s="26" t="n"/>
      <c r="I94" s="27" t="n"/>
      <c r="J94" s="26" t="n"/>
      <c r="K94" s="28" t="n"/>
      <c r="L94" s="29">
        <f>IF(SUM(F94:K94)=0,SUMIFS($L95:$L$9999,$B95:$B$9999,$B94,$A95:$A$9999,$A94),I94*K94)</f>
        <v/>
      </c>
      <c r="N94" t="inlineStr">
        <is>
          <t>Torre A</t>
        </is>
      </c>
    </row>
    <row r="95">
      <c r="A95" s="32">
        <f>A94</f>
        <v/>
      </c>
      <c r="B95" s="32">
        <f>B94</f>
        <v/>
      </c>
      <c r="C95" s="32" t="inlineStr">
        <is>
          <t>INSTALAÇÕES DE TELECOMUNICAÇÃO</t>
        </is>
      </c>
      <c r="D95" s="32" t="inlineStr">
        <is>
          <t>CAIXA OCTOGONAL</t>
        </is>
      </c>
      <c r="E95" s="32" t="inlineStr">
        <is>
          <t>Caixa Octogonal Padrão NBR IEC 60670</t>
        </is>
      </c>
      <c r="F95" s="33" t="n">
        <v>18</v>
      </c>
      <c r="G95" s="33" t="n">
        <v>1</v>
      </c>
      <c r="H95" s="34" t="n">
        <v>0</v>
      </c>
      <c r="I95" s="35">
        <f>(F95+H95*F95)*G95</f>
        <v/>
      </c>
      <c r="J95" s="33" t="inlineStr">
        <is>
          <t>pç</t>
        </is>
      </c>
      <c r="K95" s="36" t="n">
        <v>9.800000000000001</v>
      </c>
      <c r="L95" s="37">
        <f>I95*K95</f>
        <v/>
      </c>
      <c r="N95" t="inlineStr">
        <is>
          <t>Torre A</t>
        </is>
      </c>
    </row>
    <row r="96">
      <c r="A96" s="32">
        <f>A94</f>
        <v/>
      </c>
      <c r="B96" s="32">
        <f>B94</f>
        <v/>
      </c>
      <c r="C96" s="32" t="inlineStr">
        <is>
          <t>INSTALAÇÕES DE TELECOMUNICAÇÃO</t>
        </is>
      </c>
      <c r="D96" s="32" t="inlineStr">
        <is>
          <t>CAIXA OCTOGONAL</t>
        </is>
      </c>
      <c r="E96" s="32" t="inlineStr">
        <is>
          <t>Placa cega para caixa octogonal Padrão NBR IEC 60670</t>
        </is>
      </c>
      <c r="F96" s="33" t="n">
        <v>1</v>
      </c>
      <c r="G96" s="33" t="n">
        <v>1</v>
      </c>
      <c r="H96" s="34" t="n">
        <v>0</v>
      </c>
      <c r="I96" s="35">
        <f>(F96+H96*F96)*G96</f>
        <v/>
      </c>
      <c r="J96" s="33" t="inlineStr">
        <is>
          <t>pç</t>
        </is>
      </c>
      <c r="K96" s="36" t="n">
        <v>6.5</v>
      </c>
      <c r="L96" s="37">
        <f>I96*K96</f>
        <v/>
      </c>
      <c r="N96" t="inlineStr">
        <is>
          <t>Torre A</t>
        </is>
      </c>
    </row>
    <row r="97">
      <c r="A97" s="32">
        <f>A94</f>
        <v/>
      </c>
      <c r="B97" s="32">
        <f>B94</f>
        <v/>
      </c>
      <c r="C97" s="32" t="inlineStr">
        <is>
          <t>INSTALAÇÕES DE TELECOMUNICAÇÃO</t>
        </is>
      </c>
      <c r="D97" s="32" t="inlineStr">
        <is>
          <t>ELETRODUTOS</t>
        </is>
      </c>
      <c r="E97" s="32" t="inlineStr">
        <is>
          <t>PVC Flexível Antichama - NBR 15465 ø1"</t>
        </is>
      </c>
      <c r="F97" s="33" t="n">
        <v>55</v>
      </c>
      <c r="G97" s="33" t="n">
        <v>1</v>
      </c>
      <c r="H97" s="34" t="n">
        <v>0</v>
      </c>
      <c r="I97" s="35">
        <f>(F97+H97*F97)*G97</f>
        <v/>
      </c>
      <c r="J97" s="33" t="inlineStr">
        <is>
          <t>m</t>
        </is>
      </c>
      <c r="K97" s="36" t="n">
        <v>11.9</v>
      </c>
      <c r="L97" s="37">
        <f>I97*K97</f>
        <v/>
      </c>
      <c r="N97" t="inlineStr">
        <is>
          <t>Torre A</t>
        </is>
      </c>
    </row>
    <row r="98">
      <c r="A98" s="32">
        <f>A94</f>
        <v/>
      </c>
      <c r="B98" s="32">
        <f>B94</f>
        <v/>
      </c>
      <c r="C98" s="32" t="inlineStr">
        <is>
          <t>INSTALAÇÕES DE TELECOMUNICAÇÃO</t>
        </is>
      </c>
      <c r="D98" s="32" t="inlineStr">
        <is>
          <t>ELETRODUTOS</t>
        </is>
      </c>
      <c r="E98" s="32" t="inlineStr">
        <is>
          <t>PVC Flexível Antichama - NBR 15465 ø3/4"</t>
        </is>
      </c>
      <c r="F98" s="33" t="n">
        <v>42</v>
      </c>
      <c r="G98" s="33" t="n">
        <v>1</v>
      </c>
      <c r="H98" s="34" t="n">
        <v>0</v>
      </c>
      <c r="I98" s="35">
        <f>(F98+H98*F98)*G98</f>
        <v/>
      </c>
      <c r="J98" s="33" t="inlineStr">
        <is>
          <t>m</t>
        </is>
      </c>
      <c r="K98" s="36" t="n">
        <v>7.5</v>
      </c>
      <c r="L98" s="37">
        <f>I98*K98</f>
        <v/>
      </c>
      <c r="N98" t="inlineStr">
        <is>
          <t>Torre A</t>
        </is>
      </c>
    </row>
    <row r="99">
      <c r="A99" s="32">
        <f>A94</f>
        <v/>
      </c>
      <c r="B99" s="32">
        <f>B94</f>
        <v/>
      </c>
      <c r="C99" s="32" t="inlineStr">
        <is>
          <t>INSTALAÇÕES DE TELECOMUNICAÇÃO</t>
        </is>
      </c>
      <c r="D99" s="32" t="inlineStr">
        <is>
          <t>ELETRODUTOS</t>
        </is>
      </c>
      <c r="E99" s="32" t="inlineStr">
        <is>
          <t>PVC Flexível Antichama - NBR 15465 ø3"</t>
        </is>
      </c>
      <c r="F99" s="33" t="n">
        <v>6</v>
      </c>
      <c r="G99" s="33" t="n">
        <v>1</v>
      </c>
      <c r="H99" s="34" t="n">
        <v>0</v>
      </c>
      <c r="I99" s="35">
        <f>(F99+H99*F99)*G99</f>
        <v/>
      </c>
      <c r="J99" s="33" t="inlineStr">
        <is>
          <t>m</t>
        </is>
      </c>
      <c r="K99" s="36" t="n">
        <v>0</v>
      </c>
      <c r="L99" s="37">
        <f>I99*K99</f>
        <v/>
      </c>
      <c r="N99" t="inlineStr">
        <is>
          <t>Torre A</t>
        </is>
      </c>
    </row>
    <row r="100">
      <c r="A100" s="32">
        <f>A94</f>
        <v/>
      </c>
      <c r="B100" s="32">
        <f>B94</f>
        <v/>
      </c>
      <c r="C100" s="32" t="inlineStr">
        <is>
          <t>INSTALAÇÕES DE TELECOMUNICAÇÃO</t>
        </is>
      </c>
      <c r="D100" s="32" t="inlineStr">
        <is>
          <t>CAIXA DE PASSAGEM</t>
        </is>
      </c>
      <c r="E100" s="32" t="inlineStr">
        <is>
          <t>Cx de passagem de embutir com dimensão de 40x120x15cm</t>
        </is>
      </c>
      <c r="F100" s="33" t="n">
        <v>1</v>
      </c>
      <c r="G100" s="33" t="n">
        <v>1</v>
      </c>
      <c r="H100" s="34" t="n">
        <v>0</v>
      </c>
      <c r="I100" s="35">
        <f>(F100+H100*F100)*G100</f>
        <v/>
      </c>
      <c r="J100" s="33" t="inlineStr">
        <is>
          <t>pç</t>
        </is>
      </c>
      <c r="K100" s="36" t="n">
        <v>0</v>
      </c>
      <c r="L100" s="37">
        <f>I100*K100</f>
        <v/>
      </c>
      <c r="N100" t="inlineStr">
        <is>
          <t>Torre A</t>
        </is>
      </c>
    </row>
    <row r="101">
      <c r="A101" s="32">
        <f>A94</f>
        <v/>
      </c>
      <c r="B101" s="32">
        <f>B94</f>
        <v/>
      </c>
      <c r="C101" s="32" t="inlineStr">
        <is>
          <t>INSTALAÇÕES DE TELECOMUNICAÇÃO</t>
        </is>
      </c>
      <c r="D101" s="32" t="inlineStr">
        <is>
          <t>COTOVELOS</t>
        </is>
      </c>
      <c r="E101" s="32" t="inlineStr">
        <is>
          <t>Cotovelo para eletroduto flexível PVC amarelo</t>
        </is>
      </c>
      <c r="F101" s="33" t="n">
        <v>76</v>
      </c>
      <c r="G101" s="33" t="n">
        <v>1</v>
      </c>
      <c r="H101" s="34" t="n">
        <v>0</v>
      </c>
      <c r="I101" s="35">
        <f>(F101+H101*F101)*G101</f>
        <v/>
      </c>
      <c r="J101" s="33" t="inlineStr">
        <is>
          <t>un</t>
        </is>
      </c>
      <c r="K101" s="36" t="n">
        <v>0</v>
      </c>
      <c r="L101" s="37">
        <f>I101*K101</f>
        <v/>
      </c>
      <c r="N101" t="inlineStr">
        <is>
          <t>Torre A</t>
        </is>
      </c>
    </row>
    <row r="102">
      <c r="A102" s="32">
        <f>A94</f>
        <v/>
      </c>
      <c r="B102" s="32">
        <f>B94</f>
        <v/>
      </c>
      <c r="C102" s="32" t="inlineStr">
        <is>
          <t>INSTALAÇÕES DE TELECOMUNICAÇÃO</t>
        </is>
      </c>
      <c r="D102" s="32" t="inlineStr">
        <is>
          <t>CONECTORES E BUCHAS</t>
        </is>
      </c>
      <c r="E102" s="32" t="inlineStr">
        <is>
          <t>Conector box e arruela - Alumínio padrão</t>
        </is>
      </c>
      <c r="F102" s="33" t="n">
        <v>19</v>
      </c>
      <c r="G102" s="33" t="n">
        <v>1</v>
      </c>
      <c r="H102" s="34" t="n">
        <v>0</v>
      </c>
      <c r="I102" s="35">
        <f>(F102+H102*F102)*G102</f>
        <v/>
      </c>
      <c r="J102" s="33" t="inlineStr">
        <is>
          <t>un</t>
        </is>
      </c>
      <c r="K102" s="36" t="n">
        <v>0</v>
      </c>
      <c r="L102" s="37">
        <f>I102*K102</f>
        <v/>
      </c>
      <c r="N102" t="inlineStr">
        <is>
          <t>Torre A</t>
        </is>
      </c>
    </row>
    <row r="103">
      <c r="A103" s="32">
        <f>A94</f>
        <v/>
      </c>
      <c r="B103" s="32">
        <f>B94</f>
        <v/>
      </c>
      <c r="C103" s="32" t="inlineStr">
        <is>
          <t>INSTALAÇÕES DE TELECOMUNICAÇÃO</t>
        </is>
      </c>
      <c r="D103" s="32" t="inlineStr">
        <is>
          <t>CONECTORES E BUCHAS</t>
        </is>
      </c>
      <c r="E103" s="32" t="inlineStr">
        <is>
          <t>Bucha terminal simples - Alumínio padrão</t>
        </is>
      </c>
      <c r="F103" s="33" t="n">
        <v>6</v>
      </c>
      <c r="G103" s="33" t="n">
        <v>1</v>
      </c>
      <c r="H103" s="34" t="n">
        <v>0</v>
      </c>
      <c r="I103" s="35">
        <f>(F103+H103*F103)*G103</f>
        <v/>
      </c>
      <c r="J103" s="33" t="inlineStr">
        <is>
          <t>un</t>
        </is>
      </c>
      <c r="K103" s="36" t="n">
        <v>0</v>
      </c>
      <c r="L103" s="37">
        <f>I103*K103</f>
        <v/>
      </c>
      <c r="N103" t="inlineStr">
        <is>
          <t>Torre A</t>
        </is>
      </c>
    </row>
    <row r="104">
      <c r="A104" s="32">
        <f>A94</f>
        <v/>
      </c>
      <c r="B104" s="32">
        <f>B94</f>
        <v/>
      </c>
      <c r="C104" s="32" t="inlineStr">
        <is>
          <t>INSTALAÇÕES DE TELECOMUNICAÇÃO</t>
        </is>
      </c>
      <c r="D104" s="32" t="inlineStr">
        <is>
          <t>CONDUTORES TELECOM</t>
        </is>
      </c>
      <c r="E104" s="32" t="inlineStr">
        <is>
          <t>Condutor CFTV</t>
        </is>
      </c>
      <c r="F104" s="33" t="n">
        <v>4</v>
      </c>
      <c r="G104" s="33" t="n">
        <v>1</v>
      </c>
      <c r="H104" s="34" t="n">
        <v>0</v>
      </c>
      <c r="I104" s="35">
        <f>(F104+H104*F104)*G104</f>
        <v/>
      </c>
      <c r="J104" s="33" t="inlineStr">
        <is>
          <t>un</t>
        </is>
      </c>
      <c r="K104" s="36" t="n">
        <v>0</v>
      </c>
      <c r="L104" s="37">
        <f>I104*K104</f>
        <v/>
      </c>
      <c r="N104" t="inlineStr">
        <is>
          <t>Torre A</t>
        </is>
      </c>
    </row>
    <row r="105">
      <c r="A105" s="32">
        <f>A94</f>
        <v/>
      </c>
      <c r="B105" s="32">
        <f>B94</f>
        <v/>
      </c>
      <c r="C105" s="32" t="inlineStr">
        <is>
          <t>INSTALAÇÕES DE TELECOMUNICAÇÃO</t>
        </is>
      </c>
      <c r="D105" s="32" t="inlineStr">
        <is>
          <t>CONDUTORES TELECOM</t>
        </is>
      </c>
      <c r="E105" s="32" t="inlineStr">
        <is>
          <t>Condutor Cordplast</t>
        </is>
      </c>
      <c r="F105" s="33" t="n">
        <v>4</v>
      </c>
      <c r="G105" s="33" t="n">
        <v>1</v>
      </c>
      <c r="H105" s="34" t="n">
        <v>0</v>
      </c>
      <c r="I105" s="35">
        <f>(F105+H105*F105)*G105</f>
        <v/>
      </c>
      <c r="J105" s="33" t="inlineStr">
        <is>
          <t>un</t>
        </is>
      </c>
      <c r="K105" s="36" t="n">
        <v>0</v>
      </c>
      <c r="L105" s="37">
        <f>I105*K105</f>
        <v/>
      </c>
      <c r="N105" t="inlineStr">
        <is>
          <t>Torre A</t>
        </is>
      </c>
    </row>
    <row r="106">
      <c r="A106" s="32">
        <f>A94</f>
        <v/>
      </c>
      <c r="B106" s="32">
        <f>B94</f>
        <v/>
      </c>
      <c r="C106" s="32" t="inlineStr">
        <is>
          <t>INSTALAÇÕES DE TELECOMUNICAÇÃO</t>
        </is>
      </c>
      <c r="D106" s="32" t="inlineStr">
        <is>
          <t>PONTOS DE USO</t>
        </is>
      </c>
      <c r="E106" s="32" t="inlineStr">
        <is>
          <t>Caixa 4x2 - Interfone</t>
        </is>
      </c>
      <c r="F106" s="33" t="n">
        <v>4</v>
      </c>
      <c r="G106" s="33" t="n">
        <v>1</v>
      </c>
      <c r="H106" s="34" t="n">
        <v>0</v>
      </c>
      <c r="I106" s="35">
        <f>(F106+H106*F106)*G106</f>
        <v/>
      </c>
      <c r="J106" s="33" t="inlineStr">
        <is>
          <t>un</t>
        </is>
      </c>
      <c r="K106" s="36" t="n">
        <v>0</v>
      </c>
      <c r="L106" s="37">
        <f>I106*K106</f>
        <v/>
      </c>
      <c r="N106" t="inlineStr">
        <is>
          <t>Torre A</t>
        </is>
      </c>
    </row>
    <row r="107">
      <c r="A107" s="32">
        <f>A94</f>
        <v/>
      </c>
      <c r="B107" s="32">
        <f>B94</f>
        <v/>
      </c>
      <c r="C107" s="32" t="inlineStr">
        <is>
          <t>INSTALAÇÕES DE TELECOMUNICAÇÃO</t>
        </is>
      </c>
      <c r="D107" s="32" t="inlineStr">
        <is>
          <t>PONTOS DE USO</t>
        </is>
      </c>
      <c r="E107" s="32" t="inlineStr">
        <is>
          <t>Caixa 4x2 - Câmera CFTV</t>
        </is>
      </c>
      <c r="F107" s="33" t="n">
        <v>2</v>
      </c>
      <c r="G107" s="33" t="n">
        <v>1</v>
      </c>
      <c r="H107" s="34" t="n">
        <v>0</v>
      </c>
      <c r="I107" s="35">
        <f>(F107+H107*F107)*G107</f>
        <v/>
      </c>
      <c r="J107" s="33" t="inlineStr">
        <is>
          <t>un</t>
        </is>
      </c>
      <c r="K107" s="36" t="n">
        <v>0</v>
      </c>
      <c r="L107" s="37">
        <f>I107*K107</f>
        <v/>
      </c>
      <c r="N107" t="inlineStr">
        <is>
          <t>Torre A</t>
        </is>
      </c>
    </row>
    <row r="108">
      <c r="A108" s="23" t="inlineStr">
        <is>
          <t>Torre A</t>
        </is>
      </c>
      <c r="B108" s="23" t="inlineStr">
        <is>
          <t>GARAGEM 05</t>
        </is>
      </c>
      <c r="C108" s="24" t="n"/>
      <c r="D108" s="25" t="n"/>
      <c r="E108" s="25" t="n"/>
      <c r="F108" s="26" t="n"/>
      <c r="G108" s="26" t="n"/>
      <c r="H108" s="26" t="n"/>
      <c r="I108" s="27" t="n"/>
      <c r="J108" s="26" t="n"/>
      <c r="K108" s="28" t="n"/>
      <c r="L108" s="29">
        <f>IF(SUM(F108:K108)=0,SUMIFS($L109:$L$9999,$B109:$B$9999,$B108,$A109:$A$9999,$A108),I108*K108)</f>
        <v/>
      </c>
      <c r="N108" t="inlineStr">
        <is>
          <t>Torre A</t>
        </is>
      </c>
    </row>
    <row r="109">
      <c r="A109" s="32">
        <f>A108</f>
        <v/>
      </c>
      <c r="B109" s="32">
        <f>B108</f>
        <v/>
      </c>
      <c r="C109" s="32" t="inlineStr">
        <is>
          <t>INSTALAÇÕES DE TELECOMUNICAÇÃO</t>
        </is>
      </c>
      <c r="D109" s="32" t="inlineStr">
        <is>
          <t>CAIXA OCTOGONAL</t>
        </is>
      </c>
      <c r="E109" s="32" t="inlineStr">
        <is>
          <t>Caixa Octogonal Padrão NBR IEC 60670</t>
        </is>
      </c>
      <c r="F109" s="33" t="n">
        <v>19</v>
      </c>
      <c r="G109" s="33" t="n">
        <v>1</v>
      </c>
      <c r="H109" s="34" t="n">
        <v>0</v>
      </c>
      <c r="I109" s="35">
        <f>(F109+H109*F109)*G109</f>
        <v/>
      </c>
      <c r="J109" s="33" t="inlineStr">
        <is>
          <t>pç</t>
        </is>
      </c>
      <c r="K109" s="36" t="n">
        <v>9.800000000000001</v>
      </c>
      <c r="L109" s="37">
        <f>I109*K109</f>
        <v/>
      </c>
      <c r="N109" t="inlineStr">
        <is>
          <t>Torre A</t>
        </is>
      </c>
    </row>
    <row r="110">
      <c r="A110" s="32">
        <f>A108</f>
        <v/>
      </c>
      <c r="B110" s="32">
        <f>B108</f>
        <v/>
      </c>
      <c r="C110" s="32" t="inlineStr">
        <is>
          <t>INSTALAÇÕES DE TELECOMUNICAÇÃO</t>
        </is>
      </c>
      <c r="D110" s="32" t="inlineStr">
        <is>
          <t>CAIXA OCTOGONAL</t>
        </is>
      </c>
      <c r="E110" s="32" t="inlineStr">
        <is>
          <t>Placa cega para caixa octogonal Padrão NBR IEC 60670</t>
        </is>
      </c>
      <c r="F110" s="33" t="n">
        <v>1</v>
      </c>
      <c r="G110" s="33" t="n">
        <v>1</v>
      </c>
      <c r="H110" s="34" t="n">
        <v>0</v>
      </c>
      <c r="I110" s="35">
        <f>(F110+H110*F110)*G110</f>
        <v/>
      </c>
      <c r="J110" s="33" t="inlineStr">
        <is>
          <t>pç</t>
        </is>
      </c>
      <c r="K110" s="36" t="n">
        <v>6.5</v>
      </c>
      <c r="L110" s="37">
        <f>I110*K110</f>
        <v/>
      </c>
      <c r="N110" t="inlineStr">
        <is>
          <t>Torre A</t>
        </is>
      </c>
    </row>
    <row r="111">
      <c r="A111" s="32">
        <f>A108</f>
        <v/>
      </c>
      <c r="B111" s="32">
        <f>B108</f>
        <v/>
      </c>
      <c r="C111" s="32" t="inlineStr">
        <is>
          <t>INSTALAÇÕES DE TELECOMUNICAÇÃO</t>
        </is>
      </c>
      <c r="D111" s="32" t="inlineStr">
        <is>
          <t>ELETRODUTOS</t>
        </is>
      </c>
      <c r="E111" s="32" t="inlineStr">
        <is>
          <t>PVC Flexível Antichama - NBR 15465 ø1"</t>
        </is>
      </c>
      <c r="F111" s="33" t="n">
        <v>56</v>
      </c>
      <c r="G111" s="33" t="n">
        <v>1</v>
      </c>
      <c r="H111" s="34" t="n">
        <v>0</v>
      </c>
      <c r="I111" s="35">
        <f>(F111+H111*F111)*G111</f>
        <v/>
      </c>
      <c r="J111" s="33" t="inlineStr">
        <is>
          <t>m</t>
        </is>
      </c>
      <c r="K111" s="36" t="n">
        <v>11.9</v>
      </c>
      <c r="L111" s="37">
        <f>I111*K111</f>
        <v/>
      </c>
      <c r="N111" t="inlineStr">
        <is>
          <t>Torre A</t>
        </is>
      </c>
    </row>
    <row r="112">
      <c r="A112" s="32">
        <f>A108</f>
        <v/>
      </c>
      <c r="B112" s="32">
        <f>B108</f>
        <v/>
      </c>
      <c r="C112" s="32" t="inlineStr">
        <is>
          <t>INSTALAÇÕES DE TELECOMUNICAÇÃO</t>
        </is>
      </c>
      <c r="D112" s="32" t="inlineStr">
        <is>
          <t>ELETRODUTOS</t>
        </is>
      </c>
      <c r="E112" s="32" t="inlineStr">
        <is>
          <t>PVC Flexível Antichama - NBR 15465 ø3/4"</t>
        </is>
      </c>
      <c r="F112" s="33" t="n">
        <v>37</v>
      </c>
      <c r="G112" s="33" t="n">
        <v>1</v>
      </c>
      <c r="H112" s="34" t="n">
        <v>0</v>
      </c>
      <c r="I112" s="35">
        <f>(F112+H112*F112)*G112</f>
        <v/>
      </c>
      <c r="J112" s="33" t="inlineStr">
        <is>
          <t>m</t>
        </is>
      </c>
      <c r="K112" s="36" t="n">
        <v>7.5</v>
      </c>
      <c r="L112" s="37">
        <f>I112*K112</f>
        <v/>
      </c>
      <c r="N112" t="inlineStr">
        <is>
          <t>Torre A</t>
        </is>
      </c>
    </row>
    <row r="113">
      <c r="A113" s="32">
        <f>A108</f>
        <v/>
      </c>
      <c r="B113" s="32">
        <f>B108</f>
        <v/>
      </c>
      <c r="C113" s="32" t="inlineStr">
        <is>
          <t>INSTALAÇÕES DE TELECOMUNICAÇÃO</t>
        </is>
      </c>
      <c r="D113" s="32" t="inlineStr">
        <is>
          <t>QUADROS DE DISTRIBUIÇÃO</t>
        </is>
      </c>
      <c r="E113" s="32" t="inlineStr">
        <is>
          <t>Embutir - 486x510x109mm</t>
        </is>
      </c>
      <c r="F113" s="33" t="n">
        <v>1</v>
      </c>
      <c r="G113" s="33" t="n">
        <v>1</v>
      </c>
      <c r="H113" s="34" t="n">
        <v>0</v>
      </c>
      <c r="I113" s="35">
        <f>(F113+H113*F113)*G113</f>
        <v/>
      </c>
      <c r="J113" s="33" t="inlineStr">
        <is>
          <t>pç</t>
        </is>
      </c>
      <c r="K113" s="36" t="n">
        <v>465</v>
      </c>
      <c r="L113" s="37">
        <f>I113*K113</f>
        <v/>
      </c>
      <c r="N113" t="inlineStr">
        <is>
          <t>Torre A</t>
        </is>
      </c>
    </row>
    <row r="114">
      <c r="A114" s="32">
        <f>A108</f>
        <v/>
      </c>
      <c r="B114" s="32">
        <f>B108</f>
        <v/>
      </c>
      <c r="C114" s="32" t="inlineStr">
        <is>
          <t>INSTALAÇÕES DE TELECOMUNICAÇÃO</t>
        </is>
      </c>
      <c r="D114" s="32" t="inlineStr">
        <is>
          <t>ELETRODUTOS</t>
        </is>
      </c>
      <c r="E114" s="32" t="inlineStr">
        <is>
          <t>PVC Flexível Antichama - NBR 15465 ø3"</t>
        </is>
      </c>
      <c r="F114" s="33" t="n">
        <v>6</v>
      </c>
      <c r="G114" s="33" t="n">
        <v>1</v>
      </c>
      <c r="H114" s="34" t="n">
        <v>0</v>
      </c>
      <c r="I114" s="35">
        <f>(F114+H114*F114)*G114</f>
        <v/>
      </c>
      <c r="J114" s="33" t="inlineStr">
        <is>
          <t>m</t>
        </is>
      </c>
      <c r="K114" s="36" t="n">
        <v>0</v>
      </c>
      <c r="L114" s="37">
        <f>I114*K114</f>
        <v/>
      </c>
      <c r="N114" t="inlineStr">
        <is>
          <t>Torre A</t>
        </is>
      </c>
    </row>
    <row r="115">
      <c r="A115" s="32">
        <f>A108</f>
        <v/>
      </c>
      <c r="B115" s="32">
        <f>B108</f>
        <v/>
      </c>
      <c r="C115" s="32" t="inlineStr">
        <is>
          <t>INSTALAÇÕES DE TELECOMUNICAÇÃO</t>
        </is>
      </c>
      <c r="D115" s="32" t="inlineStr">
        <is>
          <t>CAIXA DE PASSAGEM</t>
        </is>
      </c>
      <c r="E115" s="32" t="inlineStr">
        <is>
          <t>Cx de passagem de embutir com dimensão de 40x120x15cm</t>
        </is>
      </c>
      <c r="F115" s="33" t="n">
        <v>1</v>
      </c>
      <c r="G115" s="33" t="n">
        <v>1</v>
      </c>
      <c r="H115" s="34" t="n">
        <v>0</v>
      </c>
      <c r="I115" s="35">
        <f>(F115+H115*F115)*G115</f>
        <v/>
      </c>
      <c r="J115" s="33" t="inlineStr">
        <is>
          <t>pç</t>
        </is>
      </c>
      <c r="K115" s="36" t="n">
        <v>0</v>
      </c>
      <c r="L115" s="37">
        <f>I115*K115</f>
        <v/>
      </c>
      <c r="N115" t="inlineStr">
        <is>
          <t>Torre A</t>
        </is>
      </c>
    </row>
    <row r="116">
      <c r="A116" s="32">
        <f>A108</f>
        <v/>
      </c>
      <c r="B116" s="32">
        <f>B108</f>
        <v/>
      </c>
      <c r="C116" s="32" t="inlineStr">
        <is>
          <t>INSTALAÇÕES DE TELECOMUNICAÇÃO</t>
        </is>
      </c>
      <c r="D116" s="32" t="inlineStr">
        <is>
          <t>COTOVELOS</t>
        </is>
      </c>
      <c r="E116" s="32" t="inlineStr">
        <is>
          <t>Cotovelo para eletroduto flexível PVC amarelo</t>
        </is>
      </c>
      <c r="F116" s="33" t="n">
        <v>62</v>
      </c>
      <c r="G116" s="33" t="n">
        <v>1</v>
      </c>
      <c r="H116" s="34" t="n">
        <v>0</v>
      </c>
      <c r="I116" s="35">
        <f>(F116+H116*F116)*G116</f>
        <v/>
      </c>
      <c r="J116" s="33" t="inlineStr">
        <is>
          <t>un</t>
        </is>
      </c>
      <c r="K116" s="36" t="n">
        <v>0</v>
      </c>
      <c r="L116" s="37">
        <f>I116*K116</f>
        <v/>
      </c>
      <c r="N116" t="inlineStr">
        <is>
          <t>Torre A</t>
        </is>
      </c>
    </row>
    <row r="117">
      <c r="A117" s="32">
        <f>A108</f>
        <v/>
      </c>
      <c r="B117" s="32">
        <f>B108</f>
        <v/>
      </c>
      <c r="C117" s="32" t="inlineStr">
        <is>
          <t>INSTALAÇÕES DE TELECOMUNICAÇÃO</t>
        </is>
      </c>
      <c r="D117" s="32" t="inlineStr">
        <is>
          <t>CONECTORES E BUCHAS</t>
        </is>
      </c>
      <c r="E117" s="32" t="inlineStr">
        <is>
          <t>Conector box e arruela - Alumínio padrão</t>
        </is>
      </c>
      <c r="F117" s="33" t="n">
        <v>23</v>
      </c>
      <c r="G117" s="33" t="n">
        <v>1</v>
      </c>
      <c r="H117" s="34" t="n">
        <v>0</v>
      </c>
      <c r="I117" s="35">
        <f>(F117+H117*F117)*G117</f>
        <v/>
      </c>
      <c r="J117" s="33" t="inlineStr">
        <is>
          <t>un</t>
        </is>
      </c>
      <c r="K117" s="36" t="n">
        <v>0</v>
      </c>
      <c r="L117" s="37">
        <f>I117*K117</f>
        <v/>
      </c>
      <c r="N117" t="inlineStr">
        <is>
          <t>Torre A</t>
        </is>
      </c>
    </row>
    <row r="118">
      <c r="A118" s="32">
        <f>A108</f>
        <v/>
      </c>
      <c r="B118" s="32">
        <f>B108</f>
        <v/>
      </c>
      <c r="C118" s="32" t="inlineStr">
        <is>
          <t>INSTALAÇÕES DE TELECOMUNICAÇÃO</t>
        </is>
      </c>
      <c r="D118" s="32" t="inlineStr">
        <is>
          <t>CONECTORES E BUCHAS</t>
        </is>
      </c>
      <c r="E118" s="32" t="inlineStr">
        <is>
          <t>Bucha terminal simples - Alumínio padrão</t>
        </is>
      </c>
      <c r="F118" s="33" t="n">
        <v>7</v>
      </c>
      <c r="G118" s="33" t="n">
        <v>1</v>
      </c>
      <c r="H118" s="34" t="n">
        <v>0</v>
      </c>
      <c r="I118" s="35">
        <f>(F118+H118*F118)*G118</f>
        <v/>
      </c>
      <c r="J118" s="33" t="inlineStr">
        <is>
          <t>un</t>
        </is>
      </c>
      <c r="K118" s="36" t="n">
        <v>0</v>
      </c>
      <c r="L118" s="37">
        <f>I118*K118</f>
        <v/>
      </c>
      <c r="N118" t="inlineStr">
        <is>
          <t>Torre A</t>
        </is>
      </c>
    </row>
    <row r="119">
      <c r="A119" s="32">
        <f>A108</f>
        <v/>
      </c>
      <c r="B119" s="32">
        <f>B108</f>
        <v/>
      </c>
      <c r="C119" s="32" t="inlineStr">
        <is>
          <t>INSTALAÇÕES DE TELECOMUNICAÇÃO</t>
        </is>
      </c>
      <c r="D119" s="32" t="inlineStr">
        <is>
          <t>CONDUTORES TELECOM</t>
        </is>
      </c>
      <c r="E119" s="32" t="inlineStr">
        <is>
          <t>Condutor CFTV</t>
        </is>
      </c>
      <c r="F119" s="33" t="n">
        <v>4</v>
      </c>
      <c r="G119" s="33" t="n">
        <v>1</v>
      </c>
      <c r="H119" s="34" t="n">
        <v>0</v>
      </c>
      <c r="I119" s="35">
        <f>(F119+H119*F119)*G119</f>
        <v/>
      </c>
      <c r="J119" s="33" t="inlineStr">
        <is>
          <t>un</t>
        </is>
      </c>
      <c r="K119" s="36" t="n">
        <v>0</v>
      </c>
      <c r="L119" s="37">
        <f>I119*K119</f>
        <v/>
      </c>
      <c r="N119" t="inlineStr">
        <is>
          <t>Torre A</t>
        </is>
      </c>
    </row>
    <row r="120">
      <c r="A120" s="32">
        <f>A108</f>
        <v/>
      </c>
      <c r="B120" s="32">
        <f>B108</f>
        <v/>
      </c>
      <c r="C120" s="32" t="inlineStr">
        <is>
          <t>INSTALAÇÕES DE TELECOMUNICAÇÃO</t>
        </is>
      </c>
      <c r="D120" s="32" t="inlineStr">
        <is>
          <t>CONDUTORES TELECOM</t>
        </is>
      </c>
      <c r="E120" s="32" t="inlineStr">
        <is>
          <t>Condutor Cordplast</t>
        </is>
      </c>
      <c r="F120" s="33" t="n">
        <v>4</v>
      </c>
      <c r="G120" s="33" t="n">
        <v>1</v>
      </c>
      <c r="H120" s="34" t="n">
        <v>0</v>
      </c>
      <c r="I120" s="35">
        <f>(F120+H120*F120)*G120</f>
        <v/>
      </c>
      <c r="J120" s="33" t="inlineStr">
        <is>
          <t>un</t>
        </is>
      </c>
      <c r="K120" s="36" t="n">
        <v>0</v>
      </c>
      <c r="L120" s="37">
        <f>I120*K120</f>
        <v/>
      </c>
      <c r="N120" t="inlineStr">
        <is>
          <t>Torre A</t>
        </is>
      </c>
    </row>
    <row r="121">
      <c r="A121" s="32">
        <f>A108</f>
        <v/>
      </c>
      <c r="B121" s="32">
        <f>B108</f>
        <v/>
      </c>
      <c r="C121" s="32" t="inlineStr">
        <is>
          <t>INSTALAÇÕES DE TELECOMUNICAÇÃO</t>
        </is>
      </c>
      <c r="D121" s="32" t="inlineStr">
        <is>
          <t>PONTOS DE USO</t>
        </is>
      </c>
      <c r="E121" s="32" t="inlineStr">
        <is>
          <t>Caixa 4x2 - Interfone</t>
        </is>
      </c>
      <c r="F121" s="33" t="n">
        <v>4</v>
      </c>
      <c r="G121" s="33" t="n">
        <v>1</v>
      </c>
      <c r="H121" s="34" t="n">
        <v>0</v>
      </c>
      <c r="I121" s="35">
        <f>(F121+H121*F121)*G121</f>
        <v/>
      </c>
      <c r="J121" s="33" t="inlineStr">
        <is>
          <t>un</t>
        </is>
      </c>
      <c r="K121" s="36" t="n">
        <v>0</v>
      </c>
      <c r="L121" s="37">
        <f>I121*K121</f>
        <v/>
      </c>
      <c r="N121" t="inlineStr">
        <is>
          <t>Torre A</t>
        </is>
      </c>
    </row>
    <row r="122">
      <c r="A122" s="32">
        <f>A108</f>
        <v/>
      </c>
      <c r="B122" s="32">
        <f>B108</f>
        <v/>
      </c>
      <c r="C122" s="32" t="inlineStr">
        <is>
          <t>INSTALAÇÕES DE TELECOMUNICAÇÃO</t>
        </is>
      </c>
      <c r="D122" s="32" t="inlineStr">
        <is>
          <t>PONTOS DE USO</t>
        </is>
      </c>
      <c r="E122" s="32" t="inlineStr">
        <is>
          <t>Caixa 4x2 - Câmera CFTV</t>
        </is>
      </c>
      <c r="F122" s="33" t="n">
        <v>2</v>
      </c>
      <c r="G122" s="33" t="n">
        <v>1</v>
      </c>
      <c r="H122" s="34" t="n">
        <v>0</v>
      </c>
      <c r="I122" s="35">
        <f>(F122+H122*F122)*G122</f>
        <v/>
      </c>
      <c r="J122" s="33" t="inlineStr">
        <is>
          <t>un</t>
        </is>
      </c>
      <c r="K122" s="36" t="n">
        <v>0</v>
      </c>
      <c r="L122" s="37">
        <f>I122*K122</f>
        <v/>
      </c>
      <c r="N122" t="inlineStr">
        <is>
          <t>Torre A</t>
        </is>
      </c>
    </row>
    <row r="123">
      <c r="A123" s="23" t="inlineStr">
        <is>
          <t>Torre A</t>
        </is>
      </c>
      <c r="B123" s="23" t="inlineStr">
        <is>
          <t>LAZER</t>
        </is>
      </c>
      <c r="C123" s="24" t="n"/>
      <c r="D123" s="25" t="n"/>
      <c r="E123" s="25" t="n"/>
      <c r="F123" s="26" t="n"/>
      <c r="G123" s="26" t="n"/>
      <c r="H123" s="26" t="n"/>
      <c r="I123" s="27" t="n"/>
      <c r="J123" s="26" t="n"/>
      <c r="K123" s="28" t="n"/>
      <c r="L123" s="29">
        <f>IF(SUM(F123:K123)=0,SUMIFS($L124:$L$9999,$B124:$B$9999,$B123,$A124:$A$9999,$A123),I123*K123)</f>
        <v/>
      </c>
      <c r="N123" t="inlineStr">
        <is>
          <t>Torre A</t>
        </is>
      </c>
    </row>
    <row r="124">
      <c r="A124" s="32">
        <f>A123</f>
        <v/>
      </c>
      <c r="B124" s="32">
        <f>B123</f>
        <v/>
      </c>
      <c r="C124" s="32" t="inlineStr">
        <is>
          <t>INSTALAÇÕES DE TELECOMUNICAÇÃO</t>
        </is>
      </c>
      <c r="D124" s="32" t="inlineStr">
        <is>
          <t>CAIXA OCTOGONAL</t>
        </is>
      </c>
      <c r="E124" s="32" t="inlineStr">
        <is>
          <t>Caixa Octogonal Padrão NBR IEC 60670</t>
        </is>
      </c>
      <c r="F124" s="33" t="n">
        <v>26</v>
      </c>
      <c r="G124" s="33" t="n">
        <v>1</v>
      </c>
      <c r="H124" s="34" t="n">
        <v>0</v>
      </c>
      <c r="I124" s="35">
        <f>(F124+H124*F124)*G124</f>
        <v/>
      </c>
      <c r="J124" s="33" t="inlineStr">
        <is>
          <t>pç</t>
        </is>
      </c>
      <c r="K124" s="36" t="n">
        <v>9.800000000000001</v>
      </c>
      <c r="L124" s="37">
        <f>I124*K124</f>
        <v/>
      </c>
      <c r="N124" t="inlineStr">
        <is>
          <t>Torre A</t>
        </is>
      </c>
    </row>
    <row r="125">
      <c r="A125" s="32">
        <f>A123</f>
        <v/>
      </c>
      <c r="B125" s="32">
        <f>B123</f>
        <v/>
      </c>
      <c r="C125" s="32" t="inlineStr">
        <is>
          <t>INSTALAÇÕES DE TELECOMUNICAÇÃO</t>
        </is>
      </c>
      <c r="D125" s="32" t="inlineStr">
        <is>
          <t>CAIXA OCTOGONAL</t>
        </is>
      </c>
      <c r="E125" s="32" t="inlineStr">
        <is>
          <t>Placa cega para caixa octogonal Padrão NBR IEC 60670</t>
        </is>
      </c>
      <c r="F125" s="33" t="n">
        <v>4</v>
      </c>
      <c r="G125" s="33" t="n">
        <v>1</v>
      </c>
      <c r="H125" s="34" t="n">
        <v>0</v>
      </c>
      <c r="I125" s="35">
        <f>(F125+H125*F125)*G125</f>
        <v/>
      </c>
      <c r="J125" s="33" t="inlineStr">
        <is>
          <t>pç</t>
        </is>
      </c>
      <c r="K125" s="36" t="n">
        <v>6.5</v>
      </c>
      <c r="L125" s="37">
        <f>I125*K125</f>
        <v/>
      </c>
      <c r="N125" t="inlineStr">
        <is>
          <t>Torre A</t>
        </is>
      </c>
    </row>
    <row r="126">
      <c r="A126" s="32">
        <f>A123</f>
        <v/>
      </c>
      <c r="B126" s="32">
        <f>B123</f>
        <v/>
      </c>
      <c r="C126" s="32" t="inlineStr">
        <is>
          <t>INSTALAÇÕES DE TELECOMUNICAÇÃO</t>
        </is>
      </c>
      <c r="D126" s="32" t="inlineStr">
        <is>
          <t>CAIXA 4x2" E 4x4"</t>
        </is>
      </c>
      <c r="E126" s="32" t="inlineStr">
        <is>
          <t>Caixa 4x2" de Embutir em PVC Padrão NBR IEC 60670</t>
        </is>
      </c>
      <c r="F126" s="33" t="n">
        <v>57</v>
      </c>
      <c r="G126" s="33" t="n">
        <v>1</v>
      </c>
      <c r="H126" s="34" t="n">
        <v>0</v>
      </c>
      <c r="I126" s="35">
        <f>(F126+H126*F126)*G126</f>
        <v/>
      </c>
      <c r="J126" s="33" t="inlineStr">
        <is>
          <t>pç</t>
        </is>
      </c>
      <c r="K126" s="36" t="n">
        <v>5.9</v>
      </c>
      <c r="L126" s="37">
        <f>I126*K126</f>
        <v/>
      </c>
      <c r="N126" t="inlineStr">
        <is>
          <t>Torre A</t>
        </is>
      </c>
    </row>
    <row r="127">
      <c r="A127" s="32">
        <f>A123</f>
        <v/>
      </c>
      <c r="B127" s="32">
        <f>B123</f>
        <v/>
      </c>
      <c r="C127" s="32" t="inlineStr">
        <is>
          <t>INSTALAÇÕES DE TELECOMUNICAÇÃO</t>
        </is>
      </c>
      <c r="D127" s="32" t="inlineStr">
        <is>
          <t>CAIXA 4x2" E 4x4"</t>
        </is>
      </c>
      <c r="E127" s="32" t="inlineStr">
        <is>
          <t>Caixa 4x4" de Embutir em PVC Padrão NBR IEC 60670</t>
        </is>
      </c>
      <c r="F127" s="33" t="n">
        <v>21</v>
      </c>
      <c r="G127" s="33" t="n">
        <v>1</v>
      </c>
      <c r="H127" s="34" t="n">
        <v>0</v>
      </c>
      <c r="I127" s="35">
        <f>(F127+H127*F127)*G127</f>
        <v/>
      </c>
      <c r="J127" s="33" t="inlineStr">
        <is>
          <t>pç</t>
        </is>
      </c>
      <c r="K127" s="36" t="n">
        <v>8.9</v>
      </c>
      <c r="L127" s="37">
        <f>I127*K127</f>
        <v/>
      </c>
      <c r="N127" t="inlineStr">
        <is>
          <t>Torre A</t>
        </is>
      </c>
    </row>
    <row r="128">
      <c r="A128" s="32">
        <f>A123</f>
        <v/>
      </c>
      <c r="B128" s="32">
        <f>B123</f>
        <v/>
      </c>
      <c r="C128" s="32" t="inlineStr">
        <is>
          <t>INSTALAÇÕES DE TELECOMUNICAÇÃO</t>
        </is>
      </c>
      <c r="D128" s="32" t="inlineStr">
        <is>
          <t>CAIXA 4x2" E 4x4"</t>
        </is>
      </c>
      <c r="E128" s="32" t="inlineStr">
        <is>
          <t>Placa 4x2" cega Padrão NBR IEC 60670</t>
        </is>
      </c>
      <c r="F128" s="33" t="n">
        <v>26</v>
      </c>
      <c r="G128" s="33" t="n">
        <v>1</v>
      </c>
      <c r="H128" s="34" t="n">
        <v>0</v>
      </c>
      <c r="I128" s="35">
        <f>(F128+H128*F128)*G128</f>
        <v/>
      </c>
      <c r="J128" s="33" t="inlineStr">
        <is>
          <t>pç</t>
        </is>
      </c>
      <c r="K128" s="36" t="n">
        <v>4.5</v>
      </c>
      <c r="L128" s="37">
        <f>I128*K128</f>
        <v/>
      </c>
      <c r="N128" t="inlineStr">
        <is>
          <t>Torre A</t>
        </is>
      </c>
    </row>
    <row r="129">
      <c r="A129" s="32">
        <f>A123</f>
        <v/>
      </c>
      <c r="B129" s="32">
        <f>B123</f>
        <v/>
      </c>
      <c r="C129" s="32" t="inlineStr">
        <is>
          <t>INSTALAÇÕES DE TELECOMUNICAÇÃO</t>
        </is>
      </c>
      <c r="D129" s="32" t="inlineStr">
        <is>
          <t>CAIXA 4x2" E 4x4"</t>
        </is>
      </c>
      <c r="E129" s="32" t="inlineStr">
        <is>
          <t>Placa 4x2" para 2 funções Padrão NBR IEC 60670</t>
        </is>
      </c>
      <c r="F129" s="33" t="n">
        <v>4</v>
      </c>
      <c r="G129" s="33" t="n">
        <v>1</v>
      </c>
      <c r="H129" s="34" t="n">
        <v>0</v>
      </c>
      <c r="I129" s="35">
        <f>(F129+H129*F129)*G129</f>
        <v/>
      </c>
      <c r="J129" s="33" t="inlineStr">
        <is>
          <t>pç</t>
        </is>
      </c>
      <c r="K129" s="36" t="n">
        <v>7.8</v>
      </c>
      <c r="L129" s="37">
        <f>I129*K129</f>
        <v/>
      </c>
      <c r="N129" t="inlineStr">
        <is>
          <t>Torre A</t>
        </is>
      </c>
    </row>
    <row r="130">
      <c r="A130" s="32">
        <f>A123</f>
        <v/>
      </c>
      <c r="B130" s="32">
        <f>B123</f>
        <v/>
      </c>
      <c r="C130" s="32" t="inlineStr">
        <is>
          <t>INSTALAÇÕES DE TELECOMUNICAÇÃO</t>
        </is>
      </c>
      <c r="D130" s="32" t="inlineStr">
        <is>
          <t>CAIXA 4x2" E 4x4"</t>
        </is>
      </c>
      <c r="E130" s="32" t="inlineStr">
        <is>
          <t>Placa 4x4" cega Padrão NBR IEC 60670</t>
        </is>
      </c>
      <c r="F130" s="33" t="n">
        <v>21</v>
      </c>
      <c r="G130" s="33" t="n">
        <v>1</v>
      </c>
      <c r="H130" s="34" t="n">
        <v>0</v>
      </c>
      <c r="I130" s="35">
        <f>(F130+H130*F130)*G130</f>
        <v/>
      </c>
      <c r="J130" s="33" t="inlineStr">
        <is>
          <t>pç</t>
        </is>
      </c>
      <c r="K130" s="36" t="n">
        <v>7.5</v>
      </c>
      <c r="L130" s="37">
        <f>I130*K130</f>
        <v/>
      </c>
      <c r="N130" t="inlineStr">
        <is>
          <t>Torre A</t>
        </is>
      </c>
    </row>
    <row r="131">
      <c r="A131" s="32">
        <f>A123</f>
        <v/>
      </c>
      <c r="B131" s="32">
        <f>B123</f>
        <v/>
      </c>
      <c r="C131" s="32" t="inlineStr">
        <is>
          <t>INSTALAÇÕES DE TELECOMUNICAÇÃO</t>
        </is>
      </c>
      <c r="D131" s="32" t="inlineStr">
        <is>
          <t>CAIXA 4x2" E 4x4"</t>
        </is>
      </c>
      <c r="E131" s="32" t="inlineStr">
        <is>
          <t>Suporte p/ caixa 4x2" Padrão NBR IEC 60670</t>
        </is>
      </c>
      <c r="F131" s="33" t="n">
        <v>57</v>
      </c>
      <c r="G131" s="33" t="n">
        <v>1</v>
      </c>
      <c r="H131" s="34" t="n">
        <v>0</v>
      </c>
      <c r="I131" s="35">
        <f>(F131+H131*F131)*G131</f>
        <v/>
      </c>
      <c r="J131" s="33" t="inlineStr">
        <is>
          <t>pç</t>
        </is>
      </c>
      <c r="K131" s="36" t="n">
        <v>2.4</v>
      </c>
      <c r="L131" s="37">
        <f>I131*K131</f>
        <v/>
      </c>
      <c r="N131" t="inlineStr">
        <is>
          <t>Torre A</t>
        </is>
      </c>
    </row>
    <row r="132">
      <c r="A132" s="32">
        <f>A123</f>
        <v/>
      </c>
      <c r="B132" s="32">
        <f>B123</f>
        <v/>
      </c>
      <c r="C132" s="32" t="inlineStr">
        <is>
          <t>INSTALAÇÕES DE TELECOMUNICAÇÃO</t>
        </is>
      </c>
      <c r="D132" s="32" t="inlineStr">
        <is>
          <t>CAIXA 4x2" E 4x4"</t>
        </is>
      </c>
      <c r="E132" s="32" t="inlineStr">
        <is>
          <t>Suporte p/ caixa 4x4" Padrão NBR IEC 60670</t>
        </is>
      </c>
      <c r="F132" s="33" t="n">
        <v>21</v>
      </c>
      <c r="G132" s="33" t="n">
        <v>1</v>
      </c>
      <c r="H132" s="34" t="n">
        <v>0</v>
      </c>
      <c r="I132" s="35">
        <f>(F132+H132*F132)*G132</f>
        <v/>
      </c>
      <c r="J132" s="33" t="inlineStr">
        <is>
          <t>pç</t>
        </is>
      </c>
      <c r="K132" s="36" t="n">
        <v>3.2</v>
      </c>
      <c r="L132" s="37">
        <f>I132*K132</f>
        <v/>
      </c>
      <c r="N132" t="inlineStr">
        <is>
          <t>Torre A</t>
        </is>
      </c>
    </row>
    <row r="133">
      <c r="A133" s="32">
        <f>A123</f>
        <v/>
      </c>
      <c r="B133" s="32">
        <f>B123</f>
        <v/>
      </c>
      <c r="C133" s="32" t="inlineStr">
        <is>
          <t>INSTALAÇÕES DE TELECOMUNICAÇÃO</t>
        </is>
      </c>
      <c r="D133" s="32" t="inlineStr">
        <is>
          <t>ELETRODUTOS</t>
        </is>
      </c>
      <c r="E133" s="32" t="inlineStr">
        <is>
          <t>PVC Flexível Antichama - NBR 15465 ø1"</t>
        </is>
      </c>
      <c r="F133" s="33" t="n">
        <v>255</v>
      </c>
      <c r="G133" s="33" t="n">
        <v>1</v>
      </c>
      <c r="H133" s="34" t="n">
        <v>0</v>
      </c>
      <c r="I133" s="35">
        <f>(F133+H133*F133)*G133</f>
        <v/>
      </c>
      <c r="J133" s="33" t="inlineStr">
        <is>
          <t>m</t>
        </is>
      </c>
      <c r="K133" s="36" t="n">
        <v>11.9</v>
      </c>
      <c r="L133" s="37">
        <f>I133*K133</f>
        <v/>
      </c>
      <c r="N133" t="inlineStr">
        <is>
          <t>Torre A</t>
        </is>
      </c>
    </row>
    <row r="134">
      <c r="A134" s="32">
        <f>A123</f>
        <v/>
      </c>
      <c r="B134" s="32">
        <f>B123</f>
        <v/>
      </c>
      <c r="C134" s="32" t="inlineStr">
        <is>
          <t>INSTALAÇÕES DE TELECOMUNICAÇÃO</t>
        </is>
      </c>
      <c r="D134" s="32" t="inlineStr">
        <is>
          <t>ELETRODUTOS</t>
        </is>
      </c>
      <c r="E134" s="32" t="inlineStr">
        <is>
          <t>PVC Flexível Antichama - NBR 15465 ø3/4"</t>
        </is>
      </c>
      <c r="F134" s="33" t="n">
        <v>407</v>
      </c>
      <c r="G134" s="33" t="n">
        <v>1</v>
      </c>
      <c r="H134" s="34" t="n">
        <v>0</v>
      </c>
      <c r="I134" s="35">
        <f>(F134+H134*F134)*G134</f>
        <v/>
      </c>
      <c r="J134" s="33" t="inlineStr">
        <is>
          <t>m</t>
        </is>
      </c>
      <c r="K134" s="36" t="n">
        <v>7.5</v>
      </c>
      <c r="L134" s="37">
        <f>I134*K134</f>
        <v/>
      </c>
      <c r="N134" t="inlineStr">
        <is>
          <t>Torre A</t>
        </is>
      </c>
    </row>
    <row r="135">
      <c r="A135" s="32">
        <f>A123</f>
        <v/>
      </c>
      <c r="B135" s="32">
        <f>B123</f>
        <v/>
      </c>
      <c r="C135" s="32" t="inlineStr">
        <is>
          <t>INSTALAÇÕES DE TELECOMUNICAÇÃO</t>
        </is>
      </c>
      <c r="D135" s="32" t="inlineStr">
        <is>
          <t>MÓDULOS</t>
        </is>
      </c>
      <c r="E135" s="32" t="inlineStr">
        <is>
          <t>Módulo Coaxial</t>
        </is>
      </c>
      <c r="F135" s="33" t="n">
        <v>4</v>
      </c>
      <c r="G135" s="33" t="n">
        <v>1</v>
      </c>
      <c r="H135" s="34" t="n">
        <v>0</v>
      </c>
      <c r="I135" s="35">
        <f>(F135+H135*F135)*G135</f>
        <v/>
      </c>
      <c r="J135" s="33" t="inlineStr">
        <is>
          <t>pç</t>
        </is>
      </c>
      <c r="K135" s="36" t="n">
        <v>18.5</v>
      </c>
      <c r="L135" s="37">
        <f>I135*K135</f>
        <v/>
      </c>
      <c r="N135" t="inlineStr">
        <is>
          <t>Torre A</t>
        </is>
      </c>
    </row>
    <row r="136">
      <c r="A136" s="32">
        <f>A123</f>
        <v/>
      </c>
      <c r="B136" s="32">
        <f>B123</f>
        <v/>
      </c>
      <c r="C136" s="32" t="inlineStr">
        <is>
          <t>INSTALAÇÕES DE TELECOMUNICAÇÃO</t>
        </is>
      </c>
      <c r="D136" s="32" t="inlineStr">
        <is>
          <t>MÓDULOS</t>
        </is>
      </c>
      <c r="E136" s="32" t="inlineStr">
        <is>
          <t>Módulo RJ45</t>
        </is>
      </c>
      <c r="F136" s="33" t="n">
        <v>3</v>
      </c>
      <c r="G136" s="33" t="n">
        <v>1</v>
      </c>
      <c r="H136" s="34" t="n">
        <v>0</v>
      </c>
      <c r="I136" s="35">
        <f>(F136+H136*F136)*G136</f>
        <v/>
      </c>
      <c r="J136" s="33" t="inlineStr">
        <is>
          <t>pç</t>
        </is>
      </c>
      <c r="K136" s="36" t="n">
        <v>22.9</v>
      </c>
      <c r="L136" s="37">
        <f>I136*K136</f>
        <v/>
      </c>
      <c r="N136" t="inlineStr">
        <is>
          <t>Torre A</t>
        </is>
      </c>
    </row>
    <row r="137">
      <c r="A137" s="32">
        <f>A123</f>
        <v/>
      </c>
      <c r="B137" s="32">
        <f>B123</f>
        <v/>
      </c>
      <c r="C137" s="32" t="inlineStr">
        <is>
          <t>INSTALAÇÕES DE TELECOMUNICAÇÃO</t>
        </is>
      </c>
      <c r="D137" s="32" t="inlineStr">
        <is>
          <t>QUADROS DE DISTRIBUIÇÃO</t>
        </is>
      </c>
      <c r="E137" s="32" t="inlineStr">
        <is>
          <t>Embutir - 396x510x107mm</t>
        </is>
      </c>
      <c r="F137" s="33" t="n">
        <v>1</v>
      </c>
      <c r="G137" s="33" t="n">
        <v>1</v>
      </c>
      <c r="H137" s="34" t="n">
        <v>0</v>
      </c>
      <c r="I137" s="35">
        <f>(F137+H137*F137)*G137</f>
        <v/>
      </c>
      <c r="J137" s="33" t="inlineStr">
        <is>
          <t>pç</t>
        </is>
      </c>
      <c r="K137" s="36" t="n">
        <v>420</v>
      </c>
      <c r="L137" s="37">
        <f>I137*K137</f>
        <v/>
      </c>
      <c r="N137" t="inlineStr">
        <is>
          <t>Torre A</t>
        </is>
      </c>
    </row>
    <row r="138">
      <c r="A138" s="32">
        <f>A123</f>
        <v/>
      </c>
      <c r="B138" s="32">
        <f>B123</f>
        <v/>
      </c>
      <c r="C138" s="32" t="inlineStr">
        <is>
          <t>INSTALAÇÕES DE TELECOMUNICAÇÃO</t>
        </is>
      </c>
      <c r="D138" s="32" t="inlineStr">
        <is>
          <t>ELETRODUTOS</t>
        </is>
      </c>
      <c r="E138" s="32" t="inlineStr">
        <is>
          <t>PVC Flexível Antichama - NBR 15465 ø1.1/4"</t>
        </is>
      </c>
      <c r="F138" s="33" t="n">
        <v>18</v>
      </c>
      <c r="G138" s="33" t="n">
        <v>1</v>
      </c>
      <c r="H138" s="34" t="n">
        <v>0</v>
      </c>
      <c r="I138" s="35">
        <f>(F138+H138*F138)*G138</f>
        <v/>
      </c>
      <c r="J138" s="33" t="inlineStr">
        <is>
          <t>m</t>
        </is>
      </c>
      <c r="K138" s="36" t="n">
        <v>0</v>
      </c>
      <c r="L138" s="37">
        <f>I138*K138</f>
        <v/>
      </c>
      <c r="N138" t="inlineStr">
        <is>
          <t>Torre A</t>
        </is>
      </c>
    </row>
    <row r="139">
      <c r="A139" s="32">
        <f>A123</f>
        <v/>
      </c>
      <c r="B139" s="32">
        <f>B123</f>
        <v/>
      </c>
      <c r="C139" s="32" t="inlineStr">
        <is>
          <t>INSTALAÇÕES DE TELECOMUNICAÇÃO</t>
        </is>
      </c>
      <c r="D139" s="32" t="inlineStr">
        <is>
          <t>ELETRODUTOS</t>
        </is>
      </c>
      <c r="E139" s="32" t="inlineStr">
        <is>
          <t>PVC Flexível Antichama - NBR 15465 ø1.1/4"</t>
        </is>
      </c>
      <c r="F139" s="33" t="n">
        <v>9</v>
      </c>
      <c r="G139" s="33" t="n">
        <v>1</v>
      </c>
      <c r="H139" s="34" t="n">
        <v>0</v>
      </c>
      <c r="I139" s="35">
        <f>(F139+H139*F139)*G139</f>
        <v/>
      </c>
      <c r="J139" s="33" t="inlineStr">
        <is>
          <t>m</t>
        </is>
      </c>
      <c r="K139" s="36" t="n">
        <v>0</v>
      </c>
      <c r="L139" s="37">
        <f>I139*K139</f>
        <v/>
      </c>
      <c r="N139" t="inlineStr">
        <is>
          <t>Torre A</t>
        </is>
      </c>
    </row>
    <row r="140">
      <c r="A140" s="32">
        <f>A123</f>
        <v/>
      </c>
      <c r="B140" s="32">
        <f>B123</f>
        <v/>
      </c>
      <c r="C140" s="32" t="inlineStr">
        <is>
          <t>INSTALAÇÕES DE TELECOMUNICAÇÃO</t>
        </is>
      </c>
      <c r="D140" s="32" t="inlineStr">
        <is>
          <t>ELETRODUTOS</t>
        </is>
      </c>
      <c r="E140" s="32" t="inlineStr">
        <is>
          <t>PVC Flexível Antichama - NBR 15465 ø3"</t>
        </is>
      </c>
      <c r="F140" s="33" t="n">
        <v>6</v>
      </c>
      <c r="G140" s="33" t="n">
        <v>1</v>
      </c>
      <c r="H140" s="34" t="n">
        <v>0</v>
      </c>
      <c r="I140" s="35">
        <f>(F140+H140*F140)*G140</f>
        <v/>
      </c>
      <c r="J140" s="33" t="inlineStr">
        <is>
          <t>m</t>
        </is>
      </c>
      <c r="K140" s="36" t="n">
        <v>0</v>
      </c>
      <c r="L140" s="37">
        <f>I140*K140</f>
        <v/>
      </c>
      <c r="N140" t="inlineStr">
        <is>
          <t>Torre A</t>
        </is>
      </c>
    </row>
    <row r="141">
      <c r="A141" s="32">
        <f>A123</f>
        <v/>
      </c>
      <c r="B141" s="32">
        <f>B123</f>
        <v/>
      </c>
      <c r="C141" s="32" t="inlineStr">
        <is>
          <t>INSTALAÇÕES DE TELECOMUNICAÇÃO</t>
        </is>
      </c>
      <c r="D141" s="32" t="inlineStr">
        <is>
          <t>CAIXA DE PASSAGEM</t>
        </is>
      </c>
      <c r="E141" s="32" t="inlineStr">
        <is>
          <t>Cx de passagem de embutir com dimensão de 40x120x15cm</t>
        </is>
      </c>
      <c r="F141" s="33" t="n">
        <v>1</v>
      </c>
      <c r="G141" s="33" t="n">
        <v>1</v>
      </c>
      <c r="H141" s="34" t="n">
        <v>0</v>
      </c>
      <c r="I141" s="35">
        <f>(F141+H141*F141)*G141</f>
        <v/>
      </c>
      <c r="J141" s="33" t="inlineStr">
        <is>
          <t>pç</t>
        </is>
      </c>
      <c r="K141" s="36" t="n">
        <v>0</v>
      </c>
      <c r="L141" s="37">
        <f>I141*K141</f>
        <v/>
      </c>
      <c r="N141" t="inlineStr">
        <is>
          <t>Torre A</t>
        </is>
      </c>
    </row>
    <row r="142">
      <c r="A142" s="32">
        <f>A123</f>
        <v/>
      </c>
      <c r="B142" s="32">
        <f>B123</f>
        <v/>
      </c>
      <c r="C142" s="32" t="inlineStr">
        <is>
          <t>INSTALAÇÕES DE TELECOMUNICAÇÃO</t>
        </is>
      </c>
      <c r="D142" s="32" t="inlineStr">
        <is>
          <t>CAIXA DE PASSAGEM</t>
        </is>
      </c>
      <c r="E142" s="32" t="inlineStr">
        <is>
          <t>Cx de passagem de embutir com dimensão de 60x40x12cm</t>
        </is>
      </c>
      <c r="F142" s="33" t="n">
        <v>1</v>
      </c>
      <c r="G142" s="33" t="n">
        <v>1</v>
      </c>
      <c r="H142" s="34" t="n">
        <v>0</v>
      </c>
      <c r="I142" s="35">
        <f>(F142+H142*F142)*G142</f>
        <v/>
      </c>
      <c r="J142" s="33" t="inlineStr">
        <is>
          <t>pç</t>
        </is>
      </c>
      <c r="K142" s="36" t="n">
        <v>0</v>
      </c>
      <c r="L142" s="37">
        <f>I142*K142</f>
        <v/>
      </c>
      <c r="N142" t="inlineStr">
        <is>
          <t>Torre A</t>
        </is>
      </c>
    </row>
    <row r="143">
      <c r="A143" s="32">
        <f>A123</f>
        <v/>
      </c>
      <c r="B143" s="32">
        <f>B123</f>
        <v/>
      </c>
      <c r="C143" s="32" t="inlineStr">
        <is>
          <t>INSTALAÇÕES DE TELECOMUNICAÇÃO</t>
        </is>
      </c>
      <c r="D143" s="32" t="inlineStr">
        <is>
          <t>COTOVELOS</t>
        </is>
      </c>
      <c r="E143" s="32" t="inlineStr">
        <is>
          <t>Cotovelo para eletroduto flexível PVC amarelo</t>
        </is>
      </c>
      <c r="F143" s="33" t="n">
        <v>492</v>
      </c>
      <c r="G143" s="33" t="n">
        <v>1</v>
      </c>
      <c r="H143" s="34" t="n">
        <v>0</v>
      </c>
      <c r="I143" s="35">
        <f>(F143+H143*F143)*G143</f>
        <v/>
      </c>
      <c r="J143" s="33" t="inlineStr">
        <is>
          <t>un</t>
        </is>
      </c>
      <c r="K143" s="36" t="n">
        <v>0</v>
      </c>
      <c r="L143" s="37">
        <f>I143*K143</f>
        <v/>
      </c>
      <c r="N143" t="inlineStr">
        <is>
          <t>Torre A</t>
        </is>
      </c>
    </row>
    <row r="144">
      <c r="A144" s="32">
        <f>A123</f>
        <v/>
      </c>
      <c r="B144" s="32">
        <f>B123</f>
        <v/>
      </c>
      <c r="C144" s="32" t="inlineStr">
        <is>
          <t>INSTALAÇÕES DE TELECOMUNICAÇÃO</t>
        </is>
      </c>
      <c r="D144" s="32" t="inlineStr">
        <is>
          <t>CONECTORES E BUCHAS</t>
        </is>
      </c>
      <c r="E144" s="32" t="inlineStr">
        <is>
          <t>Conector box e arruela - Alumínio padrão</t>
        </is>
      </c>
      <c r="F144" s="33" t="n">
        <v>49</v>
      </c>
      <c r="G144" s="33" t="n">
        <v>1</v>
      </c>
      <c r="H144" s="34" t="n">
        <v>0</v>
      </c>
      <c r="I144" s="35">
        <f>(F144+H144*F144)*G144</f>
        <v/>
      </c>
      <c r="J144" s="33" t="inlineStr">
        <is>
          <t>un</t>
        </is>
      </c>
      <c r="K144" s="36" t="n">
        <v>0</v>
      </c>
      <c r="L144" s="37">
        <f>I144*K144</f>
        <v/>
      </c>
      <c r="N144" t="inlineStr">
        <is>
          <t>Torre A</t>
        </is>
      </c>
    </row>
    <row r="145">
      <c r="A145" s="32">
        <f>A123</f>
        <v/>
      </c>
      <c r="B145" s="32">
        <f>B123</f>
        <v/>
      </c>
      <c r="C145" s="32" t="inlineStr">
        <is>
          <t>INSTALAÇÕES DE TELECOMUNICAÇÃO</t>
        </is>
      </c>
      <c r="D145" s="32" t="inlineStr">
        <is>
          <t>CONECTORES E BUCHAS</t>
        </is>
      </c>
      <c r="E145" s="32" t="inlineStr">
        <is>
          <t>Bucha terminal simples - Alumínio padrão</t>
        </is>
      </c>
      <c r="F145" s="33" t="n">
        <v>21</v>
      </c>
      <c r="G145" s="33" t="n">
        <v>1</v>
      </c>
      <c r="H145" s="34" t="n">
        <v>0</v>
      </c>
      <c r="I145" s="35">
        <f>(F145+H145*F145)*G145</f>
        <v/>
      </c>
      <c r="J145" s="33" t="inlineStr">
        <is>
          <t>un</t>
        </is>
      </c>
      <c r="K145" s="36" t="n">
        <v>0</v>
      </c>
      <c r="L145" s="37">
        <f>I145*K145</f>
        <v/>
      </c>
      <c r="N145" t="inlineStr">
        <is>
          <t>Torre A</t>
        </is>
      </c>
    </row>
    <row r="146">
      <c r="A146" s="32">
        <f>A123</f>
        <v/>
      </c>
      <c r="B146" s="32">
        <f>B123</f>
        <v/>
      </c>
      <c r="C146" s="32" t="inlineStr">
        <is>
          <t>INSTALAÇÕES DE TELECOMUNICAÇÃO</t>
        </is>
      </c>
      <c r="D146" s="32" t="inlineStr">
        <is>
          <t>CONDUTORES TELECOM</t>
        </is>
      </c>
      <c r="E146" s="32" t="inlineStr">
        <is>
          <t>Condutor CFTV</t>
        </is>
      </c>
      <c r="F146" s="33" t="n">
        <v>15</v>
      </c>
      <c r="G146" s="33" t="n">
        <v>1</v>
      </c>
      <c r="H146" s="34" t="n">
        <v>0</v>
      </c>
      <c r="I146" s="35">
        <f>(F146+H146*F146)*G146</f>
        <v/>
      </c>
      <c r="J146" s="33" t="inlineStr">
        <is>
          <t>un</t>
        </is>
      </c>
      <c r="K146" s="36" t="n">
        <v>0</v>
      </c>
      <c r="L146" s="37">
        <f>I146*K146</f>
        <v/>
      </c>
      <c r="N146" t="inlineStr">
        <is>
          <t>Torre A</t>
        </is>
      </c>
    </row>
    <row r="147">
      <c r="A147" s="32">
        <f>A123</f>
        <v/>
      </c>
      <c r="B147" s="32">
        <f>B123</f>
        <v/>
      </c>
      <c r="C147" s="32" t="inlineStr">
        <is>
          <t>INSTALAÇÕES DE TELECOMUNICAÇÃO</t>
        </is>
      </c>
      <c r="D147" s="32" t="inlineStr">
        <is>
          <t>CONDUTORES TELECOM</t>
        </is>
      </c>
      <c r="E147" s="32" t="inlineStr">
        <is>
          <t>Condutor Cordplast</t>
        </is>
      </c>
      <c r="F147" s="33" t="n">
        <v>15</v>
      </c>
      <c r="G147" s="33" t="n">
        <v>1</v>
      </c>
      <c r="H147" s="34" t="n">
        <v>0</v>
      </c>
      <c r="I147" s="35">
        <f>(F147+H147*F147)*G147</f>
        <v/>
      </c>
      <c r="J147" s="33" t="inlineStr">
        <is>
          <t>un</t>
        </is>
      </c>
      <c r="K147" s="36" t="n">
        <v>0</v>
      </c>
      <c r="L147" s="37">
        <f>I147*K147</f>
        <v/>
      </c>
      <c r="N147" t="inlineStr">
        <is>
          <t>Torre A</t>
        </is>
      </c>
    </row>
    <row r="148">
      <c r="A148" s="32">
        <f>A123</f>
        <v/>
      </c>
      <c r="B148" s="32">
        <f>B123</f>
        <v/>
      </c>
      <c r="C148" s="32" t="inlineStr">
        <is>
          <t>INSTALAÇÕES DE TELECOMUNICAÇÃO</t>
        </is>
      </c>
      <c r="D148" s="32" t="inlineStr">
        <is>
          <t>PONTOS DE USO</t>
        </is>
      </c>
      <c r="E148" s="32" t="inlineStr">
        <is>
          <t>Caixa 4x2 - Interfone</t>
        </is>
      </c>
      <c r="F148" s="33" t="n">
        <v>7</v>
      </c>
      <c r="G148" s="33" t="n">
        <v>1</v>
      </c>
      <c r="H148" s="34" t="n">
        <v>0</v>
      </c>
      <c r="I148" s="35">
        <f>(F148+H148*F148)*G148</f>
        <v/>
      </c>
      <c r="J148" s="33" t="inlineStr">
        <is>
          <t>un</t>
        </is>
      </c>
      <c r="K148" s="36" t="n">
        <v>0</v>
      </c>
      <c r="L148" s="37">
        <f>I148*K148</f>
        <v/>
      </c>
      <c r="N148" t="inlineStr">
        <is>
          <t>Torre A</t>
        </is>
      </c>
    </row>
    <row r="149">
      <c r="A149" s="32">
        <f>A123</f>
        <v/>
      </c>
      <c r="B149" s="32">
        <f>B123</f>
        <v/>
      </c>
      <c r="C149" s="32" t="inlineStr">
        <is>
          <t>INSTALAÇÕES DE TELECOMUNICAÇÃO</t>
        </is>
      </c>
      <c r="D149" s="32" t="inlineStr">
        <is>
          <t>PONTOS DE USO</t>
        </is>
      </c>
      <c r="E149" s="32" t="inlineStr">
        <is>
          <t>Caixa 4x2 - Câmera CFTV</t>
        </is>
      </c>
      <c r="F149" s="33" t="n">
        <v>2</v>
      </c>
      <c r="G149" s="33" t="n">
        <v>1</v>
      </c>
      <c r="H149" s="34" t="n">
        <v>0</v>
      </c>
      <c r="I149" s="35">
        <f>(F149+H149*F149)*G149</f>
        <v/>
      </c>
      <c r="J149" s="33" t="inlineStr">
        <is>
          <t>un</t>
        </is>
      </c>
      <c r="K149" s="36" t="n">
        <v>0</v>
      </c>
      <c r="L149" s="37">
        <f>I149*K149</f>
        <v/>
      </c>
      <c r="N149" t="inlineStr">
        <is>
          <t>Torre A</t>
        </is>
      </c>
    </row>
    <row r="150">
      <c r="A150" s="32">
        <f>A123</f>
        <v/>
      </c>
      <c r="B150" s="32">
        <f>B123</f>
        <v/>
      </c>
      <c r="C150" s="32" t="inlineStr">
        <is>
          <t>INSTALAÇÕES DE TELECOMUNICAÇÃO</t>
        </is>
      </c>
      <c r="D150" s="32" t="inlineStr">
        <is>
          <t>PONTOS DE USO</t>
        </is>
      </c>
      <c r="E150" s="32" t="inlineStr">
        <is>
          <t>Caixa 4x2 - Controle de Acesso</t>
        </is>
      </c>
      <c r="F150" s="33" t="n">
        <v>14</v>
      </c>
      <c r="G150" s="33" t="n">
        <v>1</v>
      </c>
      <c r="H150" s="34" t="n">
        <v>0</v>
      </c>
      <c r="I150" s="35">
        <f>(F150+H150*F150)*G150</f>
        <v/>
      </c>
      <c r="J150" s="33" t="inlineStr">
        <is>
          <t>un</t>
        </is>
      </c>
      <c r="K150" s="36" t="n">
        <v>0</v>
      </c>
      <c r="L150" s="37">
        <f>I150*K150</f>
        <v/>
      </c>
      <c r="N150" t="inlineStr">
        <is>
          <t>Torre A</t>
        </is>
      </c>
    </row>
    <row r="151">
      <c r="A151" s="23" t="inlineStr">
        <is>
          <t>Torre A</t>
        </is>
      </c>
      <c r="B151" s="23" t="inlineStr">
        <is>
          <t>PAVIMENTO TIPO</t>
        </is>
      </c>
      <c r="C151" s="24" t="n"/>
      <c r="D151" s="25" t="n"/>
      <c r="E151" s="25" t="n"/>
      <c r="F151" s="26" t="n"/>
      <c r="G151" s="26" t="n"/>
      <c r="H151" s="26" t="n"/>
      <c r="I151" s="27" t="n"/>
      <c r="J151" s="26" t="n"/>
      <c r="K151" s="28" t="n"/>
      <c r="L151" s="29">
        <f>IF(SUM(F151:K151)=0,SUMIFS($L152:$L$9999,$B152:$B$9999,$B151,$A152:$A$9999,$A151),I151*K151)</f>
        <v/>
      </c>
      <c r="N151" t="inlineStr">
        <is>
          <t>Torre A</t>
        </is>
      </c>
    </row>
    <row r="152">
      <c r="A152" s="32">
        <f>A151</f>
        <v/>
      </c>
      <c r="B152" s="32">
        <f>B151</f>
        <v/>
      </c>
      <c r="C152" s="32" t="inlineStr">
        <is>
          <t>INSTALAÇÕES DE TELECOMUNICAÇÃO</t>
        </is>
      </c>
      <c r="D152" s="32" t="inlineStr">
        <is>
          <t>CAIXA OCTOGONAL</t>
        </is>
      </c>
      <c r="E152" s="32" t="inlineStr">
        <is>
          <t>Caixa Octogonal Padrão NBR IEC 60670</t>
        </is>
      </c>
      <c r="F152" s="33" t="n">
        <v>6</v>
      </c>
      <c r="G152" s="33" t="n">
        <v>24</v>
      </c>
      <c r="H152" s="34" t="n">
        <v>0</v>
      </c>
      <c r="I152" s="35">
        <f>(F152+H152*F152)*G152</f>
        <v/>
      </c>
      <c r="J152" s="33" t="inlineStr">
        <is>
          <t>pç</t>
        </is>
      </c>
      <c r="K152" s="36" t="n">
        <v>9.800000000000001</v>
      </c>
      <c r="L152" s="37">
        <f>I152*K152</f>
        <v/>
      </c>
      <c r="N152" t="inlineStr">
        <is>
          <t>Torre A</t>
        </is>
      </c>
    </row>
    <row r="153">
      <c r="A153" s="32">
        <f>A151</f>
        <v/>
      </c>
      <c r="B153" s="32">
        <f>B151</f>
        <v/>
      </c>
      <c r="C153" s="32" t="inlineStr">
        <is>
          <t>INSTALAÇÕES DE TELECOMUNICAÇÃO</t>
        </is>
      </c>
      <c r="D153" s="32" t="inlineStr">
        <is>
          <t>CAIXA OCTOGONAL</t>
        </is>
      </c>
      <c r="E153" s="32" t="inlineStr">
        <is>
          <t>Placa cega para caixa octogonal Padrão NBR IEC 60670</t>
        </is>
      </c>
      <c r="F153" s="33" t="n">
        <v>1</v>
      </c>
      <c r="G153" s="33" t="n">
        <v>24</v>
      </c>
      <c r="H153" s="34" t="n">
        <v>0</v>
      </c>
      <c r="I153" s="35">
        <f>(F153+H153*F153)*G153</f>
        <v/>
      </c>
      <c r="J153" s="33" t="inlineStr">
        <is>
          <t>pç</t>
        </is>
      </c>
      <c r="K153" s="36" t="n">
        <v>6.5</v>
      </c>
      <c r="L153" s="37">
        <f>I153*K153</f>
        <v/>
      </c>
      <c r="N153" t="inlineStr">
        <is>
          <t>Torre A</t>
        </is>
      </c>
    </row>
    <row r="154">
      <c r="A154" s="32">
        <f>A151</f>
        <v/>
      </c>
      <c r="B154" s="32">
        <f>B151</f>
        <v/>
      </c>
      <c r="C154" s="32" t="inlineStr">
        <is>
          <t>INSTALAÇÕES DE TELECOMUNICAÇÃO</t>
        </is>
      </c>
      <c r="D154" s="32" t="inlineStr">
        <is>
          <t>CAIXA 4x2" E 4x4"</t>
        </is>
      </c>
      <c r="E154" s="32" t="inlineStr">
        <is>
          <t>Caixa 4x2" de Embutir em PVC Padrão NBR IEC 60670</t>
        </is>
      </c>
      <c r="F154" s="33" t="n">
        <v>48</v>
      </c>
      <c r="G154" s="33" t="n">
        <v>24</v>
      </c>
      <c r="H154" s="34" t="n">
        <v>0</v>
      </c>
      <c r="I154" s="35">
        <f>(F154+H154*F154)*G154</f>
        <v/>
      </c>
      <c r="J154" s="33" t="inlineStr">
        <is>
          <t>pç</t>
        </is>
      </c>
      <c r="K154" s="36" t="n">
        <v>5.9</v>
      </c>
      <c r="L154" s="37">
        <f>I154*K154</f>
        <v/>
      </c>
      <c r="N154" t="inlineStr">
        <is>
          <t>Torre A</t>
        </is>
      </c>
    </row>
    <row r="155">
      <c r="A155" s="32">
        <f>A151</f>
        <v/>
      </c>
      <c r="B155" s="32">
        <f>B151</f>
        <v/>
      </c>
      <c r="C155" s="32" t="inlineStr">
        <is>
          <t>INSTALAÇÕES DE TELECOMUNICAÇÃO</t>
        </is>
      </c>
      <c r="D155" s="32" t="inlineStr">
        <is>
          <t>CAIXA 4x2" E 4x4"</t>
        </is>
      </c>
      <c r="E155" s="32" t="inlineStr">
        <is>
          <t>Caixa 4x4" de Embutir em PVC Padrão NBR IEC 60670</t>
        </is>
      </c>
      <c r="F155" s="33" t="n">
        <v>30</v>
      </c>
      <c r="G155" s="33" t="n">
        <v>24</v>
      </c>
      <c r="H155" s="34" t="n">
        <v>0</v>
      </c>
      <c r="I155" s="35">
        <f>(F155+H155*F155)*G155</f>
        <v/>
      </c>
      <c r="J155" s="33" t="inlineStr">
        <is>
          <t>pç</t>
        </is>
      </c>
      <c r="K155" s="36" t="n">
        <v>8.9</v>
      </c>
      <c r="L155" s="37">
        <f>I155*K155</f>
        <v/>
      </c>
      <c r="N155" t="inlineStr">
        <is>
          <t>Torre A</t>
        </is>
      </c>
    </row>
    <row r="156">
      <c r="A156" s="32">
        <f>A151</f>
        <v/>
      </c>
      <c r="B156" s="32">
        <f>B151</f>
        <v/>
      </c>
      <c r="C156" s="32" t="inlineStr">
        <is>
          <t>INSTALAÇÕES DE TELECOMUNICAÇÃO</t>
        </is>
      </c>
      <c r="D156" s="32" t="inlineStr">
        <is>
          <t>CAIXA 4x2" E 4x4"</t>
        </is>
      </c>
      <c r="E156" s="32" t="inlineStr">
        <is>
          <t>Placa 4x2" cega Padrão NBR IEC 60670</t>
        </is>
      </c>
      <c r="F156" s="33" t="n">
        <v>20</v>
      </c>
      <c r="G156" s="33" t="n">
        <v>24</v>
      </c>
      <c r="H156" s="34" t="n">
        <v>0</v>
      </c>
      <c r="I156" s="35">
        <f>(F156+H156*F156)*G156</f>
        <v/>
      </c>
      <c r="J156" s="33" t="inlineStr">
        <is>
          <t>pç</t>
        </is>
      </c>
      <c r="K156" s="36" t="n">
        <v>4.5</v>
      </c>
      <c r="L156" s="37">
        <f>I156*K156</f>
        <v/>
      </c>
      <c r="N156" t="inlineStr">
        <is>
          <t>Torre A</t>
        </is>
      </c>
    </row>
    <row r="157">
      <c r="A157" s="32">
        <f>A151</f>
        <v/>
      </c>
      <c r="B157" s="32">
        <f>B151</f>
        <v/>
      </c>
      <c r="C157" s="32" t="inlineStr">
        <is>
          <t>INSTALAÇÕES DE TELECOMUNICAÇÃO</t>
        </is>
      </c>
      <c r="D157" s="32" t="inlineStr">
        <is>
          <t>CAIXA 4x2" E 4x4"</t>
        </is>
      </c>
      <c r="E157" s="32" t="inlineStr">
        <is>
          <t>Placa 4x2" para 2 funções Padrão NBR IEC 60670</t>
        </is>
      </c>
      <c r="F157" s="33" t="n">
        <v>5</v>
      </c>
      <c r="G157" s="33" t="n">
        <v>24</v>
      </c>
      <c r="H157" s="34" t="n">
        <v>0</v>
      </c>
      <c r="I157" s="35">
        <f>(F157+H157*F157)*G157</f>
        <v/>
      </c>
      <c r="J157" s="33" t="inlineStr">
        <is>
          <t>pç</t>
        </is>
      </c>
      <c r="K157" s="36" t="n">
        <v>7.8</v>
      </c>
      <c r="L157" s="37">
        <f>I157*K157</f>
        <v/>
      </c>
      <c r="N157" t="inlineStr">
        <is>
          <t>Torre A</t>
        </is>
      </c>
    </row>
    <row r="158">
      <c r="A158" s="32">
        <f>A151</f>
        <v/>
      </c>
      <c r="B158" s="32">
        <f>B151</f>
        <v/>
      </c>
      <c r="C158" s="32" t="inlineStr">
        <is>
          <t>INSTALAÇÕES DE TELECOMUNICAÇÃO</t>
        </is>
      </c>
      <c r="D158" s="32" t="inlineStr">
        <is>
          <t>CAIXA 4x2" E 4x4"</t>
        </is>
      </c>
      <c r="E158" s="32" t="inlineStr">
        <is>
          <t>Placa 4x2" para 3 funções Padrão NBR IEC 60670</t>
        </is>
      </c>
      <c r="F158" s="33" t="n">
        <v>2</v>
      </c>
      <c r="G158" s="33" t="n">
        <v>24</v>
      </c>
      <c r="H158" s="34" t="n">
        <v>0</v>
      </c>
      <c r="I158" s="35">
        <f>(F158+H158*F158)*G158</f>
        <v/>
      </c>
      <c r="J158" s="33" t="inlineStr">
        <is>
          <t>pç</t>
        </is>
      </c>
      <c r="K158" s="36" t="n">
        <v>8.9</v>
      </c>
      <c r="L158" s="37">
        <f>I158*K158</f>
        <v/>
      </c>
      <c r="N158" t="inlineStr">
        <is>
          <t>Torre A</t>
        </is>
      </c>
    </row>
    <row r="159">
      <c r="A159" s="32">
        <f>A151</f>
        <v/>
      </c>
      <c r="B159" s="32">
        <f>B151</f>
        <v/>
      </c>
      <c r="C159" s="32" t="inlineStr">
        <is>
          <t>INSTALAÇÕES DE TELECOMUNICAÇÃO</t>
        </is>
      </c>
      <c r="D159" s="32" t="inlineStr">
        <is>
          <t>CAIXA 4x2" E 4x4"</t>
        </is>
      </c>
      <c r="E159" s="32" t="inlineStr">
        <is>
          <t>Placa 4x4" cega Padrão NBR IEC 60670</t>
        </is>
      </c>
      <c r="F159" s="33" t="n">
        <v>30</v>
      </c>
      <c r="G159" s="33" t="n">
        <v>24</v>
      </c>
      <c r="H159" s="34" t="n">
        <v>0</v>
      </c>
      <c r="I159" s="35">
        <f>(F159+H159*F159)*G159</f>
        <v/>
      </c>
      <c r="J159" s="33" t="inlineStr">
        <is>
          <t>pç</t>
        </is>
      </c>
      <c r="K159" s="36" t="n">
        <v>7.5</v>
      </c>
      <c r="L159" s="37">
        <f>I159*K159</f>
        <v/>
      </c>
      <c r="N159" t="inlineStr">
        <is>
          <t>Torre A</t>
        </is>
      </c>
    </row>
    <row r="160">
      <c r="A160" s="32">
        <f>A151</f>
        <v/>
      </c>
      <c r="B160" s="32">
        <f>B151</f>
        <v/>
      </c>
      <c r="C160" s="32" t="inlineStr">
        <is>
          <t>INSTALAÇÕES DE TELECOMUNICAÇÃO</t>
        </is>
      </c>
      <c r="D160" s="32" t="inlineStr">
        <is>
          <t>CAIXA 4x2" E 4x4"</t>
        </is>
      </c>
      <c r="E160" s="32" t="inlineStr">
        <is>
          <t>Suporte p/ caixa 4x2" Padrão NBR IEC 60670</t>
        </is>
      </c>
      <c r="F160" s="33" t="n">
        <v>48</v>
      </c>
      <c r="G160" s="33" t="n">
        <v>24</v>
      </c>
      <c r="H160" s="34" t="n">
        <v>0</v>
      </c>
      <c r="I160" s="35">
        <f>(F160+H160*F160)*G160</f>
        <v/>
      </c>
      <c r="J160" s="33" t="inlineStr">
        <is>
          <t>pç</t>
        </is>
      </c>
      <c r="K160" s="36" t="n">
        <v>2.4</v>
      </c>
      <c r="L160" s="37">
        <f>I160*K160</f>
        <v/>
      </c>
      <c r="N160" t="inlineStr">
        <is>
          <t>Torre A</t>
        </is>
      </c>
    </row>
    <row r="161">
      <c r="A161" s="32">
        <f>A151</f>
        <v/>
      </c>
      <c r="B161" s="32">
        <f>B151</f>
        <v/>
      </c>
      <c r="C161" s="32" t="inlineStr">
        <is>
          <t>INSTALAÇÕES DE TELECOMUNICAÇÃO</t>
        </is>
      </c>
      <c r="D161" s="32" t="inlineStr">
        <is>
          <t>CAIXA 4x2" E 4x4"</t>
        </is>
      </c>
      <c r="E161" s="32" t="inlineStr">
        <is>
          <t>Suporte p/ caixa 4x4" Padrão NBR IEC 60670</t>
        </is>
      </c>
      <c r="F161" s="33" t="n">
        <v>30</v>
      </c>
      <c r="G161" s="33" t="n">
        <v>24</v>
      </c>
      <c r="H161" s="34" t="n">
        <v>0</v>
      </c>
      <c r="I161" s="35">
        <f>(F161+H161*F161)*G161</f>
        <v/>
      </c>
      <c r="J161" s="33" t="inlineStr">
        <is>
          <t>pç</t>
        </is>
      </c>
      <c r="K161" s="36" t="n">
        <v>3.2</v>
      </c>
      <c r="L161" s="37">
        <f>I161*K161</f>
        <v/>
      </c>
      <c r="N161" t="inlineStr">
        <is>
          <t>Torre A</t>
        </is>
      </c>
    </row>
    <row r="162">
      <c r="A162" s="32">
        <f>A151</f>
        <v/>
      </c>
      <c r="B162" s="32">
        <f>B151</f>
        <v/>
      </c>
      <c r="C162" s="32" t="inlineStr">
        <is>
          <t>INSTALAÇÕES DE TELECOMUNICAÇÃO</t>
        </is>
      </c>
      <c r="D162" s="32" t="inlineStr">
        <is>
          <t>ELETRODUTOS</t>
        </is>
      </c>
      <c r="E162" s="32" t="inlineStr">
        <is>
          <t>PVC Flexível Antichama - NBR 15465 ø1"</t>
        </is>
      </c>
      <c r="F162" s="33" t="n">
        <v>238</v>
      </c>
      <c r="G162" s="33" t="n">
        <v>24</v>
      </c>
      <c r="H162" s="34" t="n">
        <v>0</v>
      </c>
      <c r="I162" s="35">
        <f>(F162+H162*F162)*G162</f>
        <v/>
      </c>
      <c r="J162" s="33" t="inlineStr">
        <is>
          <t>m</t>
        </is>
      </c>
      <c r="K162" s="36" t="n">
        <v>11.9</v>
      </c>
      <c r="L162" s="37">
        <f>I162*K162</f>
        <v/>
      </c>
      <c r="N162" t="inlineStr">
        <is>
          <t>Torre A</t>
        </is>
      </c>
    </row>
    <row r="163">
      <c r="A163" s="32">
        <f>A151</f>
        <v/>
      </c>
      <c r="B163" s="32">
        <f>B151</f>
        <v/>
      </c>
      <c r="C163" s="32" t="inlineStr">
        <is>
          <t>INSTALAÇÕES DE TELECOMUNICAÇÃO</t>
        </is>
      </c>
      <c r="D163" s="32" t="inlineStr">
        <is>
          <t>ELETRODUTOS</t>
        </is>
      </c>
      <c r="E163" s="32" t="inlineStr">
        <is>
          <t>PVC Flexível Antichama - NBR 15465 ø3/4"</t>
        </is>
      </c>
      <c r="F163" s="33" t="n">
        <v>360</v>
      </c>
      <c r="G163" s="33" t="n">
        <v>24</v>
      </c>
      <c r="H163" s="34" t="n">
        <v>0</v>
      </c>
      <c r="I163" s="35">
        <f>(F163+H163*F163)*G163</f>
        <v/>
      </c>
      <c r="J163" s="33" t="inlineStr">
        <is>
          <t>m</t>
        </is>
      </c>
      <c r="K163" s="36" t="n">
        <v>7.5</v>
      </c>
      <c r="L163" s="37">
        <f>I163*K163</f>
        <v/>
      </c>
      <c r="N163" t="inlineStr">
        <is>
          <t>Torre A</t>
        </is>
      </c>
    </row>
    <row r="164">
      <c r="A164" s="32">
        <f>A151</f>
        <v/>
      </c>
      <c r="B164" s="32">
        <f>B151</f>
        <v/>
      </c>
      <c r="C164" s="32" t="inlineStr">
        <is>
          <t>INSTALAÇÕES DE TELECOMUNICAÇÃO</t>
        </is>
      </c>
      <c r="D164" s="32" t="inlineStr">
        <is>
          <t>MÓDULOS</t>
        </is>
      </c>
      <c r="E164" s="32" t="inlineStr">
        <is>
          <t>Módulo Coaxial</t>
        </is>
      </c>
      <c r="F164" s="33" t="n">
        <v>7</v>
      </c>
      <c r="G164" s="33" t="n">
        <v>24</v>
      </c>
      <c r="H164" s="34" t="n">
        <v>0</v>
      </c>
      <c r="I164" s="35">
        <f>(F164+H164*F164)*G164</f>
        <v/>
      </c>
      <c r="J164" s="33" t="inlineStr">
        <is>
          <t>pç</t>
        </is>
      </c>
      <c r="K164" s="36" t="n">
        <v>18.5</v>
      </c>
      <c r="L164" s="37">
        <f>I164*K164</f>
        <v/>
      </c>
      <c r="N164" t="inlineStr">
        <is>
          <t>Torre A</t>
        </is>
      </c>
    </row>
    <row r="165">
      <c r="A165" s="32">
        <f>A151</f>
        <v/>
      </c>
      <c r="B165" s="32">
        <f>B151</f>
        <v/>
      </c>
      <c r="C165" s="32" t="inlineStr">
        <is>
          <t>INSTALAÇÕES DE TELECOMUNICAÇÃO</t>
        </is>
      </c>
      <c r="D165" s="32" t="inlineStr">
        <is>
          <t>MÓDULOS</t>
        </is>
      </c>
      <c r="E165" s="32" t="inlineStr">
        <is>
          <t>Módulo RJ11</t>
        </is>
      </c>
      <c r="F165" s="33" t="n">
        <v>4</v>
      </c>
      <c r="G165" s="33" t="n">
        <v>24</v>
      </c>
      <c r="H165" s="34" t="n">
        <v>0</v>
      </c>
      <c r="I165" s="35">
        <f>(F165+H165*F165)*G165</f>
        <v/>
      </c>
      <c r="J165" s="33" t="inlineStr">
        <is>
          <t>pç</t>
        </is>
      </c>
      <c r="K165" s="36" t="n">
        <v>16.8</v>
      </c>
      <c r="L165" s="37">
        <f>I165*K165</f>
        <v/>
      </c>
      <c r="N165" t="inlineStr">
        <is>
          <t>Torre A</t>
        </is>
      </c>
    </row>
    <row r="166">
      <c r="A166" s="32">
        <f>A151</f>
        <v/>
      </c>
      <c r="B166" s="32">
        <f>B151</f>
        <v/>
      </c>
      <c r="C166" s="32" t="inlineStr">
        <is>
          <t>INSTALAÇÕES DE TELECOMUNICAÇÃO</t>
        </is>
      </c>
      <c r="D166" s="32" t="inlineStr">
        <is>
          <t>MÓDULOS</t>
        </is>
      </c>
      <c r="E166" s="32" t="inlineStr">
        <is>
          <t>Módulo RJ45</t>
        </is>
      </c>
      <c r="F166" s="33" t="n">
        <v>7</v>
      </c>
      <c r="G166" s="33" t="n">
        <v>24</v>
      </c>
      <c r="H166" s="34" t="n">
        <v>0</v>
      </c>
      <c r="I166" s="35">
        <f>(F166+H166*F166)*G166</f>
        <v/>
      </c>
      <c r="J166" s="33" t="inlineStr">
        <is>
          <t>pç</t>
        </is>
      </c>
      <c r="K166" s="36" t="n">
        <v>22.9</v>
      </c>
      <c r="L166" s="37">
        <f>I166*K166</f>
        <v/>
      </c>
      <c r="N166" t="inlineStr">
        <is>
          <t>Torre A</t>
        </is>
      </c>
    </row>
    <row r="167">
      <c r="A167" s="32">
        <f>A151</f>
        <v/>
      </c>
      <c r="B167" s="32">
        <f>B151</f>
        <v/>
      </c>
      <c r="C167" s="32" t="inlineStr">
        <is>
          <t>INSTALAÇÕES DE TELECOMUNICAÇÃO</t>
        </is>
      </c>
      <c r="D167" s="32" t="inlineStr">
        <is>
          <t>QUADROS DE DISTRIBUIÇÃO</t>
        </is>
      </c>
      <c r="E167" s="32" t="inlineStr">
        <is>
          <t>Embutir - 396x510x107mm</t>
        </is>
      </c>
      <c r="F167" s="33" t="n">
        <v>1</v>
      </c>
      <c r="G167" s="33" t="n">
        <v>24</v>
      </c>
      <c r="H167" s="34" t="n">
        <v>0</v>
      </c>
      <c r="I167" s="35">
        <f>(F167+H167*F167)*G167</f>
        <v/>
      </c>
      <c r="J167" s="33" t="inlineStr">
        <is>
          <t>pç</t>
        </is>
      </c>
      <c r="K167" s="36" t="n">
        <v>420</v>
      </c>
      <c r="L167" s="37">
        <f>I167*K167</f>
        <v/>
      </c>
      <c r="N167" t="inlineStr">
        <is>
          <t>Torre A</t>
        </is>
      </c>
    </row>
    <row r="168">
      <c r="A168" s="32">
        <f>A151</f>
        <v/>
      </c>
      <c r="B168" s="32">
        <f>B151</f>
        <v/>
      </c>
      <c r="C168" s="32" t="inlineStr">
        <is>
          <t>INSTALAÇÕES DE TELECOMUNICAÇÃO</t>
        </is>
      </c>
      <c r="D168" s="32" t="inlineStr">
        <is>
          <t>ELETRODUTOS</t>
        </is>
      </c>
      <c r="E168" s="32" t="inlineStr">
        <is>
          <t>PVC Flexível Antichama - NBR 15465 ø1.1/4"</t>
        </is>
      </c>
      <c r="F168" s="33" t="n">
        <v>8</v>
      </c>
      <c r="G168" s="33" t="n">
        <v>1</v>
      </c>
      <c r="H168" s="34" t="n">
        <v>0</v>
      </c>
      <c r="I168" s="35">
        <f>(F168+H168*F168)*G168</f>
        <v/>
      </c>
      <c r="J168" s="33" t="inlineStr">
        <is>
          <t>m</t>
        </is>
      </c>
      <c r="K168" s="36" t="n">
        <v>0</v>
      </c>
      <c r="L168" s="37">
        <f>I168*K168</f>
        <v/>
      </c>
      <c r="N168" t="inlineStr">
        <is>
          <t>Torre A</t>
        </is>
      </c>
    </row>
    <row r="169">
      <c r="A169" s="32">
        <f>A151</f>
        <v/>
      </c>
      <c r="B169" s="32">
        <f>B151</f>
        <v/>
      </c>
      <c r="C169" s="32" t="inlineStr">
        <is>
          <t>INSTALAÇÕES DE TELECOMUNICAÇÃO</t>
        </is>
      </c>
      <c r="D169" s="32" t="inlineStr">
        <is>
          <t>ELETRODUTOS</t>
        </is>
      </c>
      <c r="E169" s="32" t="inlineStr">
        <is>
          <t>PVC Flexível Antichama - NBR 15465 ø3"</t>
        </is>
      </c>
      <c r="F169" s="33" t="n">
        <v>6</v>
      </c>
      <c r="G169" s="33" t="n">
        <v>1</v>
      </c>
      <c r="H169" s="34" t="n">
        <v>0</v>
      </c>
      <c r="I169" s="35">
        <f>(F169+H169*F169)*G169</f>
        <v/>
      </c>
      <c r="J169" s="33" t="inlineStr">
        <is>
          <t>m</t>
        </is>
      </c>
      <c r="K169" s="36" t="n">
        <v>0</v>
      </c>
      <c r="L169" s="37">
        <f>I169*K169</f>
        <v/>
      </c>
      <c r="N169" t="inlineStr">
        <is>
          <t>Torre A</t>
        </is>
      </c>
    </row>
    <row r="170">
      <c r="A170" s="32">
        <f>A151</f>
        <v/>
      </c>
      <c r="B170" s="32">
        <f>B151</f>
        <v/>
      </c>
      <c r="C170" s="32" t="inlineStr">
        <is>
          <t>INSTALAÇÕES DE TELECOMUNICAÇÃO</t>
        </is>
      </c>
      <c r="D170" s="32" t="inlineStr">
        <is>
          <t>CAIXA DE PASSAGEM</t>
        </is>
      </c>
      <c r="E170" s="32" t="inlineStr">
        <is>
          <t>Cx de passagem de embutir com dimensão de 40x120x15cm</t>
        </is>
      </c>
      <c r="F170" s="33" t="n">
        <v>2</v>
      </c>
      <c r="G170" s="33" t="n">
        <v>1</v>
      </c>
      <c r="H170" s="34" t="n">
        <v>0</v>
      </c>
      <c r="I170" s="35">
        <f>(F170+H170*F170)*G170</f>
        <v/>
      </c>
      <c r="J170" s="33" t="inlineStr">
        <is>
          <t>pç</t>
        </is>
      </c>
      <c r="K170" s="36" t="n">
        <v>0</v>
      </c>
      <c r="L170" s="37">
        <f>I170*K170</f>
        <v/>
      </c>
      <c r="N170" t="inlineStr">
        <is>
          <t>Torre A</t>
        </is>
      </c>
    </row>
    <row r="171">
      <c r="A171" s="32">
        <f>A151</f>
        <v/>
      </c>
      <c r="B171" s="32">
        <f>B151</f>
        <v/>
      </c>
      <c r="C171" s="32" t="inlineStr">
        <is>
          <t>INSTALAÇÕES DE TELECOMUNICAÇÃO</t>
        </is>
      </c>
      <c r="D171" s="32" t="inlineStr">
        <is>
          <t>COTOVELOS</t>
        </is>
      </c>
      <c r="E171" s="32" t="inlineStr">
        <is>
          <t>Cotovelo para eletroduto flexível PVC amarelo</t>
        </is>
      </c>
      <c r="F171" s="33" t="n">
        <v>452</v>
      </c>
      <c r="G171" s="33" t="n">
        <v>1</v>
      </c>
      <c r="H171" s="34" t="n">
        <v>0</v>
      </c>
      <c r="I171" s="35">
        <f>(F171+H171*F171)*G171</f>
        <v/>
      </c>
      <c r="J171" s="33" t="inlineStr">
        <is>
          <t>un</t>
        </is>
      </c>
      <c r="K171" s="36" t="n">
        <v>0</v>
      </c>
      <c r="L171" s="37">
        <f>I171*K171</f>
        <v/>
      </c>
      <c r="N171" t="inlineStr">
        <is>
          <t>Torre A</t>
        </is>
      </c>
    </row>
    <row r="172">
      <c r="A172" s="32">
        <f>A151</f>
        <v/>
      </c>
      <c r="B172" s="32">
        <f>B151</f>
        <v/>
      </c>
      <c r="C172" s="32" t="inlineStr">
        <is>
          <t>INSTALAÇÕES DE TELECOMUNICAÇÃO</t>
        </is>
      </c>
      <c r="D172" s="32" t="inlineStr">
        <is>
          <t>CONECTORES E BUCHAS</t>
        </is>
      </c>
      <c r="E172" s="32" t="inlineStr">
        <is>
          <t>Conector box e arruela - Alumínio padrão</t>
        </is>
      </c>
      <c r="F172" s="33" t="n">
        <v>31</v>
      </c>
      <c r="G172" s="33" t="n">
        <v>1</v>
      </c>
      <c r="H172" s="34" t="n">
        <v>0</v>
      </c>
      <c r="I172" s="35">
        <f>(F172+H172*F172)*G172</f>
        <v/>
      </c>
      <c r="J172" s="33" t="inlineStr">
        <is>
          <t>un</t>
        </is>
      </c>
      <c r="K172" s="36" t="n">
        <v>0</v>
      </c>
      <c r="L172" s="37">
        <f>I172*K172</f>
        <v/>
      </c>
      <c r="N172" t="inlineStr">
        <is>
          <t>Torre A</t>
        </is>
      </c>
    </row>
    <row r="173">
      <c r="A173" s="32">
        <f>A151</f>
        <v/>
      </c>
      <c r="B173" s="32">
        <f>B151</f>
        <v/>
      </c>
      <c r="C173" s="32" t="inlineStr">
        <is>
          <t>INSTALAÇÕES DE TELECOMUNICAÇÃO</t>
        </is>
      </c>
      <c r="D173" s="32" t="inlineStr">
        <is>
          <t>CONECTORES E BUCHAS</t>
        </is>
      </c>
      <c r="E173" s="32" t="inlineStr">
        <is>
          <t>Bucha terminal simples - Alumínio padrão</t>
        </is>
      </c>
      <c r="F173" s="33" t="n">
        <v>5</v>
      </c>
      <c r="G173" s="33" t="n">
        <v>1</v>
      </c>
      <c r="H173" s="34" t="n">
        <v>0</v>
      </c>
      <c r="I173" s="35">
        <f>(F173+H173*F173)*G173</f>
        <v/>
      </c>
      <c r="J173" s="33" t="inlineStr">
        <is>
          <t>un</t>
        </is>
      </c>
      <c r="K173" s="36" t="n">
        <v>0</v>
      </c>
      <c r="L173" s="37">
        <f>I173*K173</f>
        <v/>
      </c>
      <c r="N173" t="inlineStr">
        <is>
          <t>Torre A</t>
        </is>
      </c>
    </row>
    <row r="174">
      <c r="A174" s="32">
        <f>A151</f>
        <v/>
      </c>
      <c r="B174" s="32">
        <f>B151</f>
        <v/>
      </c>
      <c r="C174" s="32" t="inlineStr">
        <is>
          <t>INSTALAÇÕES DE TELECOMUNICAÇÃO</t>
        </is>
      </c>
      <c r="D174" s="32" t="inlineStr">
        <is>
          <t>CONDUTORES TELECOM</t>
        </is>
      </c>
      <c r="E174" s="32" t="inlineStr">
        <is>
          <t>Condutor CFTV</t>
        </is>
      </c>
      <c r="F174" s="33" t="n">
        <v>3</v>
      </c>
      <c r="G174" s="33" t="n">
        <v>1</v>
      </c>
      <c r="H174" s="34" t="n">
        <v>0</v>
      </c>
      <c r="I174" s="35">
        <f>(F174+H174*F174)*G174</f>
        <v/>
      </c>
      <c r="J174" s="33" t="inlineStr">
        <is>
          <t>un</t>
        </is>
      </c>
      <c r="K174" s="36" t="n">
        <v>0</v>
      </c>
      <c r="L174" s="37">
        <f>I174*K174</f>
        <v/>
      </c>
      <c r="N174" t="inlineStr">
        <is>
          <t>Torre A</t>
        </is>
      </c>
    </row>
    <row r="175">
      <c r="A175" s="32">
        <f>A151</f>
        <v/>
      </c>
      <c r="B175" s="32">
        <f>B151</f>
        <v/>
      </c>
      <c r="C175" s="32" t="inlineStr">
        <is>
          <t>INSTALAÇÕES DE TELECOMUNICAÇÃO</t>
        </is>
      </c>
      <c r="D175" s="32" t="inlineStr">
        <is>
          <t>CONDUTORES TELECOM</t>
        </is>
      </c>
      <c r="E175" s="32" t="inlineStr">
        <is>
          <t>Condutor CCI</t>
        </is>
      </c>
      <c r="F175" s="33" t="n">
        <v>7</v>
      </c>
      <c r="G175" s="33" t="n">
        <v>1</v>
      </c>
      <c r="H175" s="34" t="n">
        <v>0</v>
      </c>
      <c r="I175" s="35">
        <f>(F175+H175*F175)*G175</f>
        <v/>
      </c>
      <c r="J175" s="33" t="inlineStr">
        <is>
          <t>un</t>
        </is>
      </c>
      <c r="K175" s="36" t="n">
        <v>0</v>
      </c>
      <c r="L175" s="37">
        <f>I175*K175</f>
        <v/>
      </c>
      <c r="N175" t="inlineStr">
        <is>
          <t>Torre A</t>
        </is>
      </c>
    </row>
    <row r="176">
      <c r="A176" s="32">
        <f>A151</f>
        <v/>
      </c>
      <c r="B176" s="32">
        <f>B151</f>
        <v/>
      </c>
      <c r="C176" s="32" t="inlineStr">
        <is>
          <t>INSTALAÇÕES DE TELECOMUNICAÇÃO</t>
        </is>
      </c>
      <c r="D176" s="32" t="inlineStr">
        <is>
          <t>CONDUTORES TELECOM</t>
        </is>
      </c>
      <c r="E176" s="32" t="inlineStr">
        <is>
          <t>Condutor Cordplast</t>
        </is>
      </c>
      <c r="F176" s="33" t="n">
        <v>3</v>
      </c>
      <c r="G176" s="33" t="n">
        <v>1</v>
      </c>
      <c r="H176" s="34" t="n">
        <v>0</v>
      </c>
      <c r="I176" s="35">
        <f>(F176+H176*F176)*G176</f>
        <v/>
      </c>
      <c r="J176" s="33" t="inlineStr">
        <is>
          <t>un</t>
        </is>
      </c>
      <c r="K176" s="36" t="n">
        <v>0</v>
      </c>
      <c r="L176" s="37">
        <f>I176*K176</f>
        <v/>
      </c>
      <c r="N176" t="inlineStr">
        <is>
          <t>Torre A</t>
        </is>
      </c>
    </row>
    <row r="177">
      <c r="A177" s="32">
        <f>A151</f>
        <v/>
      </c>
      <c r="B177" s="32">
        <f>B151</f>
        <v/>
      </c>
      <c r="C177" s="32" t="inlineStr">
        <is>
          <t>INSTALAÇÕES DE TELECOMUNICAÇÃO</t>
        </is>
      </c>
      <c r="D177" s="32" t="inlineStr">
        <is>
          <t>PONTOS DE USO</t>
        </is>
      </c>
      <c r="E177" s="32" t="inlineStr">
        <is>
          <t>Caixa 4x2 - Interfone</t>
        </is>
      </c>
      <c r="F177" s="33" t="n">
        <v>8</v>
      </c>
      <c r="G177" s="33" t="n">
        <v>1</v>
      </c>
      <c r="H177" s="34" t="n">
        <v>0</v>
      </c>
      <c r="I177" s="35">
        <f>(F177+H177*F177)*G177</f>
        <v/>
      </c>
      <c r="J177" s="33" t="inlineStr">
        <is>
          <t>un</t>
        </is>
      </c>
      <c r="K177" s="36" t="n">
        <v>0</v>
      </c>
      <c r="L177" s="37">
        <f>I177*K177</f>
        <v/>
      </c>
      <c r="N177" t="inlineStr">
        <is>
          <t>Torre A</t>
        </is>
      </c>
    </row>
    <row r="178">
      <c r="A178" s="23" t="inlineStr">
        <is>
          <t>Torre A</t>
        </is>
      </c>
      <c r="B178" s="23" t="inlineStr">
        <is>
          <t>CASA DE MÁQUINAS</t>
        </is>
      </c>
      <c r="C178" s="24" t="n"/>
      <c r="D178" s="25" t="n"/>
      <c r="E178" s="25" t="n"/>
      <c r="F178" s="26" t="n"/>
      <c r="G178" s="26" t="n"/>
      <c r="H178" s="26" t="n"/>
      <c r="I178" s="27" t="n"/>
      <c r="J178" s="26" t="n"/>
      <c r="K178" s="28" t="n"/>
      <c r="L178" s="29">
        <f>IF(SUM(F178:K178)=0,SUMIFS($L179:$L$9999,$B179:$B$9999,$B178,$A179:$A$9999,$A178),I178*K178)</f>
        <v/>
      </c>
      <c r="N178" t="inlineStr">
        <is>
          <t>Torre A</t>
        </is>
      </c>
    </row>
    <row r="179">
      <c r="A179" s="32">
        <f>A178</f>
        <v/>
      </c>
      <c r="B179" s="32">
        <f>B178</f>
        <v/>
      </c>
      <c r="C179" s="32" t="inlineStr">
        <is>
          <t>INSTALAÇÕES DE TELECOMUNICAÇÃO</t>
        </is>
      </c>
      <c r="D179" s="32" t="inlineStr">
        <is>
          <t>CAIXA 4x2" E 4x4"</t>
        </is>
      </c>
      <c r="E179" s="32" t="inlineStr">
        <is>
          <t>Caixa 4x2" de Embutir em PVC Padrão NBR IEC 60670</t>
        </is>
      </c>
      <c r="F179" s="33" t="n">
        <v>5</v>
      </c>
      <c r="G179" s="33" t="n">
        <v>1</v>
      </c>
      <c r="H179" s="34" t="n">
        <v>0</v>
      </c>
      <c r="I179" s="35">
        <f>(F179+H179*F179)*G179</f>
        <v/>
      </c>
      <c r="J179" s="33" t="inlineStr">
        <is>
          <t>pç</t>
        </is>
      </c>
      <c r="K179" s="36" t="n">
        <v>5.9</v>
      </c>
      <c r="L179" s="37">
        <f>I179*K179</f>
        <v/>
      </c>
      <c r="N179" t="inlineStr">
        <is>
          <t>Torre A</t>
        </is>
      </c>
    </row>
    <row r="180">
      <c r="A180" s="32">
        <f>A178</f>
        <v/>
      </c>
      <c r="B180" s="32">
        <f>B178</f>
        <v/>
      </c>
      <c r="C180" s="32" t="inlineStr">
        <is>
          <t>INSTALAÇÕES DE TELECOMUNICAÇÃO</t>
        </is>
      </c>
      <c r="D180" s="32" t="inlineStr">
        <is>
          <t>CAIXA 4x2" E 4x4"</t>
        </is>
      </c>
      <c r="E180" s="32" t="inlineStr">
        <is>
          <t>Placa 4x2" cega Padrão NBR IEC 60670</t>
        </is>
      </c>
      <c r="F180" s="33" t="n">
        <v>3</v>
      </c>
      <c r="G180" s="33" t="n">
        <v>1</v>
      </c>
      <c r="H180" s="34" t="n">
        <v>0</v>
      </c>
      <c r="I180" s="35">
        <f>(F180+H180*F180)*G180</f>
        <v/>
      </c>
      <c r="J180" s="33" t="inlineStr">
        <is>
          <t>pç</t>
        </is>
      </c>
      <c r="K180" s="36" t="n">
        <v>4.5</v>
      </c>
      <c r="L180" s="37">
        <f>I180*K180</f>
        <v/>
      </c>
      <c r="N180" t="inlineStr">
        <is>
          <t>Torre A</t>
        </is>
      </c>
    </row>
    <row r="181">
      <c r="A181" s="32">
        <f>A178</f>
        <v/>
      </c>
      <c r="B181" s="32">
        <f>B178</f>
        <v/>
      </c>
      <c r="C181" s="32" t="inlineStr">
        <is>
          <t>INSTALAÇÕES DE TELECOMUNICAÇÃO</t>
        </is>
      </c>
      <c r="D181" s="32" t="inlineStr">
        <is>
          <t>CAIXA 4x2" E 4x4"</t>
        </is>
      </c>
      <c r="E181" s="32" t="inlineStr">
        <is>
          <t>Suporte p/ caixa 4x2" Padrão NBR IEC 60670</t>
        </is>
      </c>
      <c r="F181" s="33" t="n">
        <v>5</v>
      </c>
      <c r="G181" s="33" t="n">
        <v>1</v>
      </c>
      <c r="H181" s="34" t="n">
        <v>0</v>
      </c>
      <c r="I181" s="35">
        <f>(F181+H181*F181)*G181</f>
        <v/>
      </c>
      <c r="J181" s="33" t="inlineStr">
        <is>
          <t>pç</t>
        </is>
      </c>
      <c r="K181" s="36" t="n">
        <v>2.4</v>
      </c>
      <c r="L181" s="37">
        <f>I181*K181</f>
        <v/>
      </c>
      <c r="N181" t="inlineStr">
        <is>
          <t>Torre A</t>
        </is>
      </c>
    </row>
    <row r="182">
      <c r="A182" s="32">
        <f>A178</f>
        <v/>
      </c>
      <c r="B182" s="32">
        <f>B178</f>
        <v/>
      </c>
      <c r="C182" s="32" t="inlineStr">
        <is>
          <t>INSTALAÇÕES DE TELECOMUNICAÇÃO</t>
        </is>
      </c>
      <c r="D182" s="32" t="inlineStr">
        <is>
          <t>ELETRODUTOS</t>
        </is>
      </c>
      <c r="E182" s="32" t="inlineStr">
        <is>
          <t>PVC Flexível Antichama - NBR 15465 ø1"</t>
        </is>
      </c>
      <c r="F182" s="33" t="n">
        <v>55</v>
      </c>
      <c r="G182" s="33" t="n">
        <v>1</v>
      </c>
      <c r="H182" s="34" t="n">
        <v>0</v>
      </c>
      <c r="I182" s="35">
        <f>(F182+H182*F182)*G182</f>
        <v/>
      </c>
      <c r="J182" s="33" t="inlineStr">
        <is>
          <t>m</t>
        </is>
      </c>
      <c r="K182" s="36" t="n">
        <v>11.9</v>
      </c>
      <c r="L182" s="37">
        <f>I182*K182</f>
        <v/>
      </c>
      <c r="N182" t="inlineStr">
        <is>
          <t>Torre A</t>
        </is>
      </c>
    </row>
    <row r="183">
      <c r="A183" s="32">
        <f>A178</f>
        <v/>
      </c>
      <c r="B183" s="32">
        <f>B178</f>
        <v/>
      </c>
      <c r="C183" s="32" t="inlineStr">
        <is>
          <t>INSTALAÇÕES DE TELECOMUNICAÇÃO</t>
        </is>
      </c>
      <c r="D183" s="32" t="inlineStr">
        <is>
          <t>ELETRODUTOS</t>
        </is>
      </c>
      <c r="E183" s="32" t="inlineStr">
        <is>
          <t>PVC Flexível Antichama - NBR 15465 ø3/4"</t>
        </is>
      </c>
      <c r="F183" s="33" t="n">
        <v>28</v>
      </c>
      <c r="G183" s="33" t="n">
        <v>1</v>
      </c>
      <c r="H183" s="34" t="n">
        <v>0</v>
      </c>
      <c r="I183" s="35">
        <f>(F183+H183*F183)*G183</f>
        <v/>
      </c>
      <c r="J183" s="33" t="inlineStr">
        <is>
          <t>m</t>
        </is>
      </c>
      <c r="K183" s="36" t="n">
        <v>7.5</v>
      </c>
      <c r="L183" s="37">
        <f>I183*K183</f>
        <v/>
      </c>
      <c r="N183" t="inlineStr">
        <is>
          <t>Torre A</t>
        </is>
      </c>
    </row>
    <row r="184">
      <c r="A184" s="32">
        <f>A178</f>
        <v/>
      </c>
      <c r="B184" s="32">
        <f>B178</f>
        <v/>
      </c>
      <c r="C184" s="32" t="inlineStr">
        <is>
          <t>INSTALAÇÕES DE TELECOMUNICAÇÃO</t>
        </is>
      </c>
      <c r="D184" s="32" t="inlineStr">
        <is>
          <t>ELETRODUTOS</t>
        </is>
      </c>
      <c r="E184" s="32" t="inlineStr">
        <is>
          <t>PVC Flexível Antichama - NBR 15465 ø1.1/4"</t>
        </is>
      </c>
      <c r="F184" s="33" t="n">
        <v>8</v>
      </c>
      <c r="G184" s="33" t="n">
        <v>1</v>
      </c>
      <c r="H184" s="34" t="n">
        <v>0</v>
      </c>
      <c r="I184" s="35">
        <f>(F184+H184*F184)*G184</f>
        <v/>
      </c>
      <c r="J184" s="33" t="inlineStr">
        <is>
          <t>m</t>
        </is>
      </c>
      <c r="K184" s="36" t="n">
        <v>0</v>
      </c>
      <c r="L184" s="37">
        <f>I184*K184</f>
        <v/>
      </c>
      <c r="N184" t="inlineStr">
        <is>
          <t>Torre A</t>
        </is>
      </c>
    </row>
    <row r="185">
      <c r="A185" s="32">
        <f>A178</f>
        <v/>
      </c>
      <c r="B185" s="32">
        <f>B178</f>
        <v/>
      </c>
      <c r="C185" s="32" t="inlineStr">
        <is>
          <t>INSTALAÇÕES DE TELECOMUNICAÇÃO</t>
        </is>
      </c>
      <c r="D185" s="32" t="inlineStr">
        <is>
          <t>CAIXA DE PASSAGEM</t>
        </is>
      </c>
      <c r="E185" s="32" t="inlineStr">
        <is>
          <t>Cx de passagem de embutir com dimensão de 20x20x12cm</t>
        </is>
      </c>
      <c r="F185" s="33" t="n">
        <v>1</v>
      </c>
      <c r="G185" s="33" t="n">
        <v>1</v>
      </c>
      <c r="H185" s="34" t="n">
        <v>0</v>
      </c>
      <c r="I185" s="35">
        <f>(F185+H185*F185)*G185</f>
        <v/>
      </c>
      <c r="J185" s="33" t="inlineStr">
        <is>
          <t>pç</t>
        </is>
      </c>
      <c r="K185" s="36" t="n">
        <v>0</v>
      </c>
      <c r="L185" s="37">
        <f>I185*K185</f>
        <v/>
      </c>
      <c r="N185" t="inlineStr">
        <is>
          <t>Torre A</t>
        </is>
      </c>
    </row>
    <row r="186">
      <c r="A186" s="32">
        <f>A178</f>
        <v/>
      </c>
      <c r="B186" s="32">
        <f>B178</f>
        <v/>
      </c>
      <c r="C186" s="32" t="inlineStr">
        <is>
          <t>INSTALAÇÕES DE TELECOMUNICAÇÃO</t>
        </is>
      </c>
      <c r="D186" s="32" t="inlineStr">
        <is>
          <t>CAIXA DE PASSAGEM</t>
        </is>
      </c>
      <c r="E186" s="32" t="inlineStr">
        <is>
          <t>Cx de passagem de embutir com dimensão de 40x40x15cm</t>
        </is>
      </c>
      <c r="F186" s="33" t="n">
        <v>1</v>
      </c>
      <c r="G186" s="33" t="n">
        <v>1</v>
      </c>
      <c r="H186" s="34" t="n">
        <v>0</v>
      </c>
      <c r="I186" s="35">
        <f>(F186+H186*F186)*G186</f>
        <v/>
      </c>
      <c r="J186" s="33" t="inlineStr">
        <is>
          <t>pç</t>
        </is>
      </c>
      <c r="K186" s="36" t="n">
        <v>0</v>
      </c>
      <c r="L186" s="37">
        <f>I186*K186</f>
        <v/>
      </c>
      <c r="N186" t="inlineStr">
        <is>
          <t>Torre A</t>
        </is>
      </c>
    </row>
    <row r="187">
      <c r="A187" s="32">
        <f>A178</f>
        <v/>
      </c>
      <c r="B187" s="32">
        <f>B178</f>
        <v/>
      </c>
      <c r="C187" s="32" t="inlineStr">
        <is>
          <t>INSTALAÇÕES DE TELECOMUNICAÇÃO</t>
        </is>
      </c>
      <c r="D187" s="32" t="inlineStr">
        <is>
          <t>COTOVELOS</t>
        </is>
      </c>
      <c r="E187" s="32" t="inlineStr">
        <is>
          <t>Cotovelo para eletroduto flexível PVC amarelo</t>
        </is>
      </c>
      <c r="F187" s="33" t="n">
        <v>55</v>
      </c>
      <c r="G187" s="33" t="n">
        <v>1</v>
      </c>
      <c r="H187" s="34" t="n">
        <v>0</v>
      </c>
      <c r="I187" s="35">
        <f>(F187+H187*F187)*G187</f>
        <v/>
      </c>
      <c r="J187" s="33" t="inlineStr">
        <is>
          <t>un</t>
        </is>
      </c>
      <c r="K187" s="36" t="n">
        <v>0</v>
      </c>
      <c r="L187" s="37">
        <f>I187*K187</f>
        <v/>
      </c>
      <c r="N187" t="inlineStr">
        <is>
          <t>Torre A</t>
        </is>
      </c>
    </row>
    <row r="188">
      <c r="A188" s="32">
        <f>A178</f>
        <v/>
      </c>
      <c r="B188" s="32">
        <f>B178</f>
        <v/>
      </c>
      <c r="C188" s="32" t="inlineStr">
        <is>
          <t>INSTALAÇÕES DE TELECOMUNICAÇÃO</t>
        </is>
      </c>
      <c r="D188" s="32" t="inlineStr">
        <is>
          <t>CONECTORES E BUCHAS</t>
        </is>
      </c>
      <c r="E188" s="32" t="inlineStr">
        <is>
          <t>Conector box e arruela - Alumínio padrão</t>
        </is>
      </c>
      <c r="F188" s="33" t="n">
        <v>27</v>
      </c>
      <c r="G188" s="33" t="n">
        <v>1</v>
      </c>
      <c r="H188" s="34" t="n">
        <v>0</v>
      </c>
      <c r="I188" s="35">
        <f>(F188+H188*F188)*G188</f>
        <v/>
      </c>
      <c r="J188" s="33" t="inlineStr">
        <is>
          <t>un</t>
        </is>
      </c>
      <c r="K188" s="36" t="n">
        <v>0</v>
      </c>
      <c r="L188" s="37">
        <f>I188*K188</f>
        <v/>
      </c>
      <c r="N188" t="inlineStr">
        <is>
          <t>Torre A</t>
        </is>
      </c>
    </row>
    <row r="189">
      <c r="A189" s="32">
        <f>A178</f>
        <v/>
      </c>
      <c r="B189" s="32">
        <f>B178</f>
        <v/>
      </c>
      <c r="C189" s="32" t="inlineStr">
        <is>
          <t>INSTALAÇÕES DE TELECOMUNICAÇÃO</t>
        </is>
      </c>
      <c r="D189" s="32" t="inlineStr">
        <is>
          <t>CONECTORES E BUCHAS</t>
        </is>
      </c>
      <c r="E189" s="32" t="inlineStr">
        <is>
          <t>Bucha terminal simples - Alumínio padrão</t>
        </is>
      </c>
      <c r="F189" s="33" t="n">
        <v>12</v>
      </c>
      <c r="G189" s="33" t="n">
        <v>1</v>
      </c>
      <c r="H189" s="34" t="n">
        <v>0</v>
      </c>
      <c r="I189" s="35">
        <f>(F189+H189*F189)*G189</f>
        <v/>
      </c>
      <c r="J189" s="33" t="inlineStr">
        <is>
          <t>un</t>
        </is>
      </c>
      <c r="K189" s="36" t="n">
        <v>0</v>
      </c>
      <c r="L189" s="37">
        <f>I189*K189</f>
        <v/>
      </c>
      <c r="N189" t="inlineStr">
        <is>
          <t>Torre A</t>
        </is>
      </c>
    </row>
    <row r="190">
      <c r="A190" s="32">
        <f>A178</f>
        <v/>
      </c>
      <c r="B190" s="32">
        <f>B178</f>
        <v/>
      </c>
      <c r="C190" s="32" t="inlineStr">
        <is>
          <t>INSTALAÇÕES DE TELECOMUNICAÇÃO</t>
        </is>
      </c>
      <c r="D190" s="32" t="inlineStr">
        <is>
          <t>CONDUTORES TELECOM</t>
        </is>
      </c>
      <c r="E190" s="32" t="inlineStr">
        <is>
          <t>Condutor CFTV</t>
        </is>
      </c>
      <c r="F190" s="33" t="n">
        <v>2</v>
      </c>
      <c r="G190" s="33" t="n">
        <v>1</v>
      </c>
      <c r="H190" s="34" t="n">
        <v>0</v>
      </c>
      <c r="I190" s="35">
        <f>(F190+H190*F190)*G190</f>
        <v/>
      </c>
      <c r="J190" s="33" t="inlineStr">
        <is>
          <t>un</t>
        </is>
      </c>
      <c r="K190" s="36" t="n">
        <v>0</v>
      </c>
      <c r="L190" s="37">
        <f>I190*K190</f>
        <v/>
      </c>
      <c r="N190" t="inlineStr">
        <is>
          <t>Torre A</t>
        </is>
      </c>
    </row>
    <row r="191">
      <c r="A191" s="32">
        <f>A178</f>
        <v/>
      </c>
      <c r="B191" s="32">
        <f>B178</f>
        <v/>
      </c>
      <c r="C191" s="32" t="inlineStr">
        <is>
          <t>INSTALAÇÕES DE TELECOMUNICAÇÃO</t>
        </is>
      </c>
      <c r="D191" s="32" t="inlineStr">
        <is>
          <t>CONDUTORES TELECOM</t>
        </is>
      </c>
      <c r="E191" s="32" t="inlineStr">
        <is>
          <t>Condutor Cordplast</t>
        </is>
      </c>
      <c r="F191" s="33" t="n">
        <v>2</v>
      </c>
      <c r="G191" s="33" t="n">
        <v>1</v>
      </c>
      <c r="H191" s="34" t="n">
        <v>0</v>
      </c>
      <c r="I191" s="35">
        <f>(F191+H191*F191)*G191</f>
        <v/>
      </c>
      <c r="J191" s="33" t="inlineStr">
        <is>
          <t>un</t>
        </is>
      </c>
      <c r="K191" s="36" t="n">
        <v>0</v>
      </c>
      <c r="L191" s="37">
        <f>I191*K191</f>
        <v/>
      </c>
      <c r="N191" t="inlineStr">
        <is>
          <t>Torre A</t>
        </is>
      </c>
    </row>
    <row r="192">
      <c r="A192" s="32">
        <f>A178</f>
        <v/>
      </c>
      <c r="B192" s="32">
        <f>B178</f>
        <v/>
      </c>
      <c r="C192" s="32" t="inlineStr">
        <is>
          <t>INSTALAÇÕES DE TELECOMUNICAÇÃO</t>
        </is>
      </c>
      <c r="D192" s="32" t="inlineStr">
        <is>
          <t>PONTOS DE USO</t>
        </is>
      </c>
      <c r="E192" s="32" t="inlineStr">
        <is>
          <t>Caixa 4x2 - Câmera CFTV</t>
        </is>
      </c>
      <c r="F192" s="33" t="n">
        <v>2</v>
      </c>
      <c r="G192" s="33" t="n">
        <v>1</v>
      </c>
      <c r="H192" s="34" t="n">
        <v>0</v>
      </c>
      <c r="I192" s="35">
        <f>(F192+H192*F192)*G192</f>
        <v/>
      </c>
      <c r="J192" s="33" t="inlineStr">
        <is>
          <t>un</t>
        </is>
      </c>
      <c r="K192" s="36" t="n">
        <v>0</v>
      </c>
      <c r="L192" s="37">
        <f>I192*K192</f>
        <v/>
      </c>
      <c r="N192" t="inlineStr">
        <is>
          <t>Torre A</t>
        </is>
      </c>
    </row>
    <row r="193">
      <c r="A193" s="23" t="inlineStr">
        <is>
          <t>Torre B</t>
        </is>
      </c>
      <c r="B193" s="23" t="inlineStr">
        <is>
          <t>TÉRREO</t>
        </is>
      </c>
      <c r="C193" s="24" t="n"/>
      <c r="D193" s="25" t="n"/>
      <c r="E193" s="25" t="n"/>
      <c r="F193" s="26" t="n"/>
      <c r="G193" s="26" t="n"/>
      <c r="H193" s="26" t="n"/>
      <c r="I193" s="27" t="n"/>
      <c r="J193" s="26" t="n"/>
      <c r="K193" s="28" t="n"/>
      <c r="L193" s="29">
        <f>IF(SUM(F193:K193)=0,SUMIFS($L194:$L$9999,$B194:$B$9999,$B193,$A194:$A$9999,$A193),I193*K193)</f>
        <v/>
      </c>
      <c r="N193" t="inlineStr">
        <is>
          <t>Torre B</t>
        </is>
      </c>
    </row>
    <row r="194">
      <c r="A194" s="32">
        <f>A193</f>
        <v/>
      </c>
      <c r="B194" s="32">
        <f>B193</f>
        <v/>
      </c>
      <c r="C194" s="32" t="inlineStr">
        <is>
          <t>INSTALAÇÕES DE TELECOMUNICAÇÃO</t>
        </is>
      </c>
      <c r="D194" s="32" t="inlineStr">
        <is>
          <t>CAIXA OCTOGONAL</t>
        </is>
      </c>
      <c r="E194" s="32" t="inlineStr">
        <is>
          <t>Caixa Octogonal Padrão NBR IEC 60670</t>
        </is>
      </c>
      <c r="F194" s="33" t="n">
        <v>34</v>
      </c>
      <c r="G194" s="33" t="n">
        <v>1</v>
      </c>
      <c r="H194" s="34" t="n">
        <v>0</v>
      </c>
      <c r="I194" s="35">
        <f>(F194+H194*F194)*G194</f>
        <v/>
      </c>
      <c r="J194" s="33" t="inlineStr">
        <is>
          <t>pç</t>
        </is>
      </c>
      <c r="K194" s="36" t="n">
        <v>9.800000000000001</v>
      </c>
      <c r="L194" s="37">
        <f>I194*K194</f>
        <v/>
      </c>
      <c r="N194" t="inlineStr">
        <is>
          <t>Torre B</t>
        </is>
      </c>
    </row>
    <row r="195">
      <c r="A195" s="32">
        <f>A193</f>
        <v/>
      </c>
      <c r="B195" s="32">
        <f>B193</f>
        <v/>
      </c>
      <c r="C195" s="32" t="inlineStr">
        <is>
          <t>INSTALAÇÕES DE TELECOMUNICAÇÃO</t>
        </is>
      </c>
      <c r="D195" s="32" t="inlineStr">
        <is>
          <t>CAIXA OCTOGONAL</t>
        </is>
      </c>
      <c r="E195" s="32" t="inlineStr">
        <is>
          <t>Placa cega para caixa octogonal Padrão NBR IEC 60670</t>
        </is>
      </c>
      <c r="F195" s="33" t="n">
        <v>6</v>
      </c>
      <c r="G195" s="33" t="n">
        <v>1</v>
      </c>
      <c r="H195" s="34" t="n">
        <v>0</v>
      </c>
      <c r="I195" s="35">
        <f>(F195+H195*F195)*G195</f>
        <v/>
      </c>
      <c r="J195" s="33" t="inlineStr">
        <is>
          <t>pç</t>
        </is>
      </c>
      <c r="K195" s="36" t="n">
        <v>6.5</v>
      </c>
      <c r="L195" s="37">
        <f>I195*K195</f>
        <v/>
      </c>
      <c r="N195" t="inlineStr">
        <is>
          <t>Torre B</t>
        </is>
      </c>
    </row>
    <row r="196">
      <c r="A196" s="32">
        <f>A193</f>
        <v/>
      </c>
      <c r="B196" s="32">
        <f>B193</f>
        <v/>
      </c>
      <c r="C196" s="32" t="inlineStr">
        <is>
          <t>INSTALAÇÕES DE TELECOMUNICAÇÃO</t>
        </is>
      </c>
      <c r="D196" s="32" t="inlineStr">
        <is>
          <t>CAIXA 4x2" E 4x4"</t>
        </is>
      </c>
      <c r="E196" s="32" t="inlineStr">
        <is>
          <t>Caixa 4x2" de Embutir em PVC Padrão NBR IEC 60670</t>
        </is>
      </c>
      <c r="F196" s="33" t="n">
        <v>108</v>
      </c>
      <c r="G196" s="33" t="n">
        <v>1</v>
      </c>
      <c r="H196" s="34" t="n">
        <v>0</v>
      </c>
      <c r="I196" s="35">
        <f>(F196+H196*F196)*G196</f>
        <v/>
      </c>
      <c r="J196" s="33" t="inlineStr">
        <is>
          <t>pç</t>
        </is>
      </c>
      <c r="K196" s="36" t="n">
        <v>5.9</v>
      </c>
      <c r="L196" s="37">
        <f>I196*K196</f>
        <v/>
      </c>
      <c r="N196" t="inlineStr">
        <is>
          <t>Torre B</t>
        </is>
      </c>
    </row>
    <row r="197">
      <c r="A197" s="32">
        <f>A193</f>
        <v/>
      </c>
      <c r="B197" s="32">
        <f>B193</f>
        <v/>
      </c>
      <c r="C197" s="32" t="inlineStr">
        <is>
          <t>INSTALAÇÕES DE TELECOMUNICAÇÃO</t>
        </is>
      </c>
      <c r="D197" s="32" t="inlineStr">
        <is>
          <t>CAIXA 4x2" E 4x4"</t>
        </is>
      </c>
      <c r="E197" s="32" t="inlineStr">
        <is>
          <t>Caixa 4x4" de Embutir em PVC Padrão NBR IEC 60670</t>
        </is>
      </c>
      <c r="F197" s="33" t="n">
        <v>38</v>
      </c>
      <c r="G197" s="33" t="n">
        <v>1</v>
      </c>
      <c r="H197" s="34" t="n">
        <v>0</v>
      </c>
      <c r="I197" s="35">
        <f>(F197+H197*F197)*G197</f>
        <v/>
      </c>
      <c r="J197" s="33" t="inlineStr">
        <is>
          <t>pç</t>
        </is>
      </c>
      <c r="K197" s="36" t="n">
        <v>8.9</v>
      </c>
      <c r="L197" s="37">
        <f>I197*K197</f>
        <v/>
      </c>
      <c r="N197" t="inlineStr">
        <is>
          <t>Torre B</t>
        </is>
      </c>
    </row>
    <row r="198">
      <c r="A198" s="32">
        <f>A193</f>
        <v/>
      </c>
      <c r="B198" s="32">
        <f>B193</f>
        <v/>
      </c>
      <c r="C198" s="32" t="inlineStr">
        <is>
          <t>INSTALAÇÕES DE TELECOMUNICAÇÃO</t>
        </is>
      </c>
      <c r="D198" s="32" t="inlineStr">
        <is>
          <t>CAIXA 4x2" E 4x4"</t>
        </is>
      </c>
      <c r="E198" s="32" t="inlineStr">
        <is>
          <t>Placa 4x2" cega Padrão NBR IEC 60670</t>
        </is>
      </c>
      <c r="F198" s="33" t="n">
        <v>50</v>
      </c>
      <c r="G198" s="33" t="n">
        <v>1</v>
      </c>
      <c r="H198" s="34" t="n">
        <v>0</v>
      </c>
      <c r="I198" s="35">
        <f>(F198+H198*F198)*G198</f>
        <v/>
      </c>
      <c r="J198" s="33" t="inlineStr">
        <is>
          <t>pç</t>
        </is>
      </c>
      <c r="K198" s="36" t="n">
        <v>4.5</v>
      </c>
      <c r="L198" s="37">
        <f>I198*K198</f>
        <v/>
      </c>
      <c r="N198" t="inlineStr">
        <is>
          <t>Torre B</t>
        </is>
      </c>
    </row>
    <row r="199">
      <c r="A199" s="32">
        <f>A193</f>
        <v/>
      </c>
      <c r="B199" s="32">
        <f>B193</f>
        <v/>
      </c>
      <c r="C199" s="32" t="inlineStr">
        <is>
          <t>INSTALAÇÕES DE TELECOMUNICAÇÃO</t>
        </is>
      </c>
      <c r="D199" s="32" t="inlineStr">
        <is>
          <t>CAIXA 4x2" E 4x4"</t>
        </is>
      </c>
      <c r="E199" s="32" t="inlineStr">
        <is>
          <t>Placa 4x2" para 2 funções Padrão NBR IEC 60670</t>
        </is>
      </c>
      <c r="F199" s="33" t="n">
        <v>7</v>
      </c>
      <c r="G199" s="33" t="n">
        <v>1</v>
      </c>
      <c r="H199" s="34" t="n">
        <v>0</v>
      </c>
      <c r="I199" s="35">
        <f>(F199+H199*F199)*G199</f>
        <v/>
      </c>
      <c r="J199" s="33" t="inlineStr">
        <is>
          <t>pç</t>
        </is>
      </c>
      <c r="K199" s="36" t="n">
        <v>7.8</v>
      </c>
      <c r="L199" s="37">
        <f>I199*K199</f>
        <v/>
      </c>
      <c r="N199" t="inlineStr">
        <is>
          <t>Torre B</t>
        </is>
      </c>
    </row>
    <row r="200">
      <c r="A200" s="32">
        <f>A193</f>
        <v/>
      </c>
      <c r="B200" s="32">
        <f>B193</f>
        <v/>
      </c>
      <c r="C200" s="32" t="inlineStr">
        <is>
          <t>INSTALAÇÕES DE TELECOMUNICAÇÃO</t>
        </is>
      </c>
      <c r="D200" s="32" t="inlineStr">
        <is>
          <t>CAIXA 4x2" E 4x4"</t>
        </is>
      </c>
      <c r="E200" s="32" t="inlineStr">
        <is>
          <t>Placa 4x2" para 3 funções Padrão NBR IEC 60670</t>
        </is>
      </c>
      <c r="F200" s="33" t="n">
        <v>4</v>
      </c>
      <c r="G200" s="33" t="n">
        <v>1</v>
      </c>
      <c r="H200" s="34" t="n">
        <v>0</v>
      </c>
      <c r="I200" s="35">
        <f>(F200+H200*F200)*G200</f>
        <v/>
      </c>
      <c r="J200" s="33" t="inlineStr">
        <is>
          <t>pç</t>
        </is>
      </c>
      <c r="K200" s="36" t="n">
        <v>8.9</v>
      </c>
      <c r="L200" s="37">
        <f>I200*K200</f>
        <v/>
      </c>
      <c r="N200" t="inlineStr">
        <is>
          <t>Torre B</t>
        </is>
      </c>
    </row>
    <row r="201">
      <c r="A201" s="32">
        <f>A193</f>
        <v/>
      </c>
      <c r="B201" s="32">
        <f>B193</f>
        <v/>
      </c>
      <c r="C201" s="32" t="inlineStr">
        <is>
          <t>INSTALAÇÕES DE TELECOMUNICAÇÃO</t>
        </is>
      </c>
      <c r="D201" s="32" t="inlineStr">
        <is>
          <t>CAIXA 4x2" E 4x4"</t>
        </is>
      </c>
      <c r="E201" s="32" t="inlineStr">
        <is>
          <t>Placa 4x4" cega Padrão NBR IEC 60670</t>
        </is>
      </c>
      <c r="F201" s="33" t="n">
        <v>38</v>
      </c>
      <c r="G201" s="33" t="n">
        <v>1</v>
      </c>
      <c r="H201" s="34" t="n">
        <v>0</v>
      </c>
      <c r="I201" s="35">
        <f>(F201+H201*F201)*G201</f>
        <v/>
      </c>
      <c r="J201" s="33" t="inlineStr">
        <is>
          <t>pç</t>
        </is>
      </c>
      <c r="K201" s="36" t="n">
        <v>7.5</v>
      </c>
      <c r="L201" s="37">
        <f>I201*K201</f>
        <v/>
      </c>
      <c r="N201" t="inlineStr">
        <is>
          <t>Torre B</t>
        </is>
      </c>
    </row>
    <row r="202">
      <c r="A202" s="32">
        <f>A193</f>
        <v/>
      </c>
      <c r="B202" s="32">
        <f>B193</f>
        <v/>
      </c>
      <c r="C202" s="32" t="inlineStr">
        <is>
          <t>INSTALAÇÕES DE TELECOMUNICAÇÃO</t>
        </is>
      </c>
      <c r="D202" s="32" t="inlineStr">
        <is>
          <t>CAIXA 4x2" E 4x4"</t>
        </is>
      </c>
      <c r="E202" s="32" t="inlineStr">
        <is>
          <t>Suporte p/ caixa 4x2" Padrão NBR IEC 60670</t>
        </is>
      </c>
      <c r="F202" s="33" t="n">
        <v>108</v>
      </c>
      <c r="G202" s="33" t="n">
        <v>1</v>
      </c>
      <c r="H202" s="34" t="n">
        <v>0</v>
      </c>
      <c r="I202" s="35">
        <f>(F202+H202*F202)*G202</f>
        <v/>
      </c>
      <c r="J202" s="33" t="inlineStr">
        <is>
          <t>pç</t>
        </is>
      </c>
      <c r="K202" s="36" t="n">
        <v>2.4</v>
      </c>
      <c r="L202" s="37">
        <f>I202*K202</f>
        <v/>
      </c>
      <c r="N202" t="inlineStr">
        <is>
          <t>Torre B</t>
        </is>
      </c>
    </row>
    <row r="203">
      <c r="A203" s="32">
        <f>A193</f>
        <v/>
      </c>
      <c r="B203" s="32">
        <f>B193</f>
        <v/>
      </c>
      <c r="C203" s="32" t="inlineStr">
        <is>
          <t>INSTALAÇÕES DE TELECOMUNICAÇÃO</t>
        </is>
      </c>
      <c r="D203" s="32" t="inlineStr">
        <is>
          <t>CAIXA 4x2" E 4x4"</t>
        </is>
      </c>
      <c r="E203" s="32" t="inlineStr">
        <is>
          <t>Suporte p/ caixa 4x4" Padrão NBR IEC 60670</t>
        </is>
      </c>
      <c r="F203" s="33" t="n">
        <v>38</v>
      </c>
      <c r="G203" s="33" t="n">
        <v>1</v>
      </c>
      <c r="H203" s="34" t="n">
        <v>0</v>
      </c>
      <c r="I203" s="35">
        <f>(F203+H203*F203)*G203</f>
        <v/>
      </c>
      <c r="J203" s="33" t="inlineStr">
        <is>
          <t>pç</t>
        </is>
      </c>
      <c r="K203" s="36" t="n">
        <v>3.2</v>
      </c>
      <c r="L203" s="37">
        <f>I203*K203</f>
        <v/>
      </c>
      <c r="N203" t="inlineStr">
        <is>
          <t>Torre B</t>
        </is>
      </c>
    </row>
    <row r="204">
      <c r="A204" s="32">
        <f>A193</f>
        <v/>
      </c>
      <c r="B204" s="32">
        <f>B193</f>
        <v/>
      </c>
      <c r="C204" s="32" t="inlineStr">
        <is>
          <t>INSTALAÇÕES DE TELECOMUNICAÇÃO</t>
        </is>
      </c>
      <c r="D204" s="32" t="inlineStr">
        <is>
          <t>CAIXA DE PASSAGEM</t>
        </is>
      </c>
      <c r="E204" s="32" t="inlineStr">
        <is>
          <t>Cx de passagem de embutir com dimensão de 30x30x12 cm</t>
        </is>
      </c>
      <c r="F204" s="33" t="n">
        <v>1</v>
      </c>
      <c r="G204" s="33" t="n">
        <v>1</v>
      </c>
      <c r="H204" s="34" t="n">
        <v>0</v>
      </c>
      <c r="I204" s="35">
        <f>(F204+H204*F204)*G204</f>
        <v/>
      </c>
      <c r="J204" s="33" t="inlineStr">
        <is>
          <t>pç</t>
        </is>
      </c>
      <c r="K204" s="36" t="n">
        <v>145</v>
      </c>
      <c r="L204" s="37">
        <f>I204*K204</f>
        <v/>
      </c>
      <c r="N204" t="inlineStr">
        <is>
          <t>Torre B</t>
        </is>
      </c>
    </row>
    <row r="205">
      <c r="A205" s="32">
        <f>A193</f>
        <v/>
      </c>
      <c r="B205" s="32">
        <f>B193</f>
        <v/>
      </c>
      <c r="C205" s="32" t="inlineStr">
        <is>
          <t>INSTALAÇÕES DE TELECOMUNICAÇÃO</t>
        </is>
      </c>
      <c r="D205" s="32" t="inlineStr">
        <is>
          <t>ELETRODUTOS</t>
        </is>
      </c>
      <c r="E205" s="32" t="inlineStr">
        <is>
          <t>PVC Flexível Antichama - NBR 15465 ø1"</t>
        </is>
      </c>
      <c r="F205" s="33" t="n">
        <v>395</v>
      </c>
      <c r="G205" s="33" t="n">
        <v>1</v>
      </c>
      <c r="H205" s="34" t="n">
        <v>0</v>
      </c>
      <c r="I205" s="35">
        <f>(F205+H205*F205)*G205</f>
        <v/>
      </c>
      <c r="J205" s="33" t="inlineStr">
        <is>
          <t>m</t>
        </is>
      </c>
      <c r="K205" s="36" t="n">
        <v>11.9</v>
      </c>
      <c r="L205" s="37">
        <f>I205*K205</f>
        <v/>
      </c>
      <c r="N205" t="inlineStr">
        <is>
          <t>Torre B</t>
        </is>
      </c>
    </row>
    <row r="206">
      <c r="A206" s="32">
        <f>A193</f>
        <v/>
      </c>
      <c r="B206" s="32">
        <f>B193</f>
        <v/>
      </c>
      <c r="C206" s="32" t="inlineStr">
        <is>
          <t>INSTALAÇÕES DE TELECOMUNICAÇÃO</t>
        </is>
      </c>
      <c r="D206" s="32" t="inlineStr">
        <is>
          <t>ELETRODUTOS</t>
        </is>
      </c>
      <c r="E206" s="32" t="inlineStr">
        <is>
          <t>PVC Flexível Antichama - NBR 15465 ø3/4"</t>
        </is>
      </c>
      <c r="F206" s="33" t="n">
        <v>566</v>
      </c>
      <c r="G206" s="33" t="n">
        <v>1</v>
      </c>
      <c r="H206" s="34" t="n">
        <v>0</v>
      </c>
      <c r="I206" s="35">
        <f>(F206+H206*F206)*G206</f>
        <v/>
      </c>
      <c r="J206" s="33" t="inlineStr">
        <is>
          <t>m</t>
        </is>
      </c>
      <c r="K206" s="36" t="n">
        <v>7.5</v>
      </c>
      <c r="L206" s="37">
        <f>I206*K206</f>
        <v/>
      </c>
      <c r="N206" t="inlineStr">
        <is>
          <t>Torre B</t>
        </is>
      </c>
    </row>
    <row r="207">
      <c r="A207" s="32">
        <f>A193</f>
        <v/>
      </c>
      <c r="B207" s="32">
        <f>B193</f>
        <v/>
      </c>
      <c r="C207" s="32" t="inlineStr">
        <is>
          <t>INSTALAÇÕES DE TELECOMUNICAÇÃO</t>
        </is>
      </c>
      <c r="D207" s="32" t="inlineStr">
        <is>
          <t>MÓDULOS</t>
        </is>
      </c>
      <c r="E207" s="32" t="inlineStr">
        <is>
          <t>Módulo Coaxial</t>
        </is>
      </c>
      <c r="F207" s="33" t="n">
        <v>6</v>
      </c>
      <c r="G207" s="33" t="n">
        <v>1</v>
      </c>
      <c r="H207" s="34" t="n">
        <v>0</v>
      </c>
      <c r="I207" s="35">
        <f>(F207+H207*F207)*G207</f>
        <v/>
      </c>
      <c r="J207" s="33" t="inlineStr">
        <is>
          <t>pç</t>
        </is>
      </c>
      <c r="K207" s="36" t="n">
        <v>18.5</v>
      </c>
      <c r="L207" s="37">
        <f>I207*K207</f>
        <v/>
      </c>
      <c r="N207" t="inlineStr">
        <is>
          <t>Torre B</t>
        </is>
      </c>
    </row>
    <row r="208">
      <c r="A208" s="32">
        <f>A193</f>
        <v/>
      </c>
      <c r="B208" s="32">
        <f>B193</f>
        <v/>
      </c>
      <c r="C208" s="32" t="inlineStr">
        <is>
          <t>INSTALAÇÕES DE TELECOMUNICAÇÃO</t>
        </is>
      </c>
      <c r="D208" s="32" t="inlineStr">
        <is>
          <t>MÓDULOS</t>
        </is>
      </c>
      <c r="E208" s="32" t="inlineStr">
        <is>
          <t>Módulo RJ11</t>
        </is>
      </c>
      <c r="F208" s="33" t="n">
        <v>20</v>
      </c>
      <c r="G208" s="33" t="n">
        <v>1</v>
      </c>
      <c r="H208" s="34" t="n">
        <v>0</v>
      </c>
      <c r="I208" s="35">
        <f>(F208+H208*F208)*G208</f>
        <v/>
      </c>
      <c r="J208" s="33" t="inlineStr">
        <is>
          <t>pç</t>
        </is>
      </c>
      <c r="K208" s="36" t="n">
        <v>16.8</v>
      </c>
      <c r="L208" s="37">
        <f>I208*K208</f>
        <v/>
      </c>
      <c r="N208" t="inlineStr">
        <is>
          <t>Torre B</t>
        </is>
      </c>
    </row>
    <row r="209">
      <c r="A209" s="32">
        <f>A193</f>
        <v/>
      </c>
      <c r="B209" s="32">
        <f>B193</f>
        <v/>
      </c>
      <c r="C209" s="32" t="inlineStr">
        <is>
          <t>INSTALAÇÕES DE TELECOMUNICAÇÃO</t>
        </is>
      </c>
      <c r="D209" s="32" t="inlineStr">
        <is>
          <t>MÓDULOS</t>
        </is>
      </c>
      <c r="E209" s="32" t="inlineStr">
        <is>
          <t>Módulo RJ45</t>
        </is>
      </c>
      <c r="F209" s="33" t="n">
        <v>26</v>
      </c>
      <c r="G209" s="33" t="n">
        <v>1</v>
      </c>
      <c r="H209" s="34" t="n">
        <v>0</v>
      </c>
      <c r="I209" s="35">
        <f>(F209+H209*F209)*G209</f>
        <v/>
      </c>
      <c r="J209" s="33" t="inlineStr">
        <is>
          <t>pç</t>
        </is>
      </c>
      <c r="K209" s="36" t="n">
        <v>22.9</v>
      </c>
      <c r="L209" s="37">
        <f>I209*K209</f>
        <v/>
      </c>
      <c r="N209" t="inlineStr">
        <is>
          <t>Torre B</t>
        </is>
      </c>
    </row>
    <row r="210">
      <c r="A210" s="32">
        <f>A193</f>
        <v/>
      </c>
      <c r="B210" s="32">
        <f>B193</f>
        <v/>
      </c>
      <c r="C210" s="32" t="inlineStr">
        <is>
          <t>INSTALAÇÕES DE TELECOMUNICAÇÃO</t>
        </is>
      </c>
      <c r="D210" s="32" t="inlineStr">
        <is>
          <t>QUADROS DE DISTRIBUIÇÃO</t>
        </is>
      </c>
      <c r="E210" s="32" t="inlineStr">
        <is>
          <t>Embutir - 396x510x107mm</t>
        </is>
      </c>
      <c r="F210" s="33" t="n">
        <v>3</v>
      </c>
      <c r="G210" s="33" t="n">
        <v>1</v>
      </c>
      <c r="H210" s="34" t="n">
        <v>0</v>
      </c>
      <c r="I210" s="35">
        <f>(F210+H210*F210)*G210</f>
        <v/>
      </c>
      <c r="J210" s="33" t="inlineStr">
        <is>
          <t>pç</t>
        </is>
      </c>
      <c r="K210" s="36" t="n">
        <v>420</v>
      </c>
      <c r="L210" s="37">
        <f>I210*K210</f>
        <v/>
      </c>
      <c r="N210" t="inlineStr">
        <is>
          <t>Torre B</t>
        </is>
      </c>
    </row>
    <row r="211">
      <c r="A211" s="32">
        <f>A193</f>
        <v/>
      </c>
      <c r="B211" s="32">
        <f>B193</f>
        <v/>
      </c>
      <c r="C211" s="32" t="inlineStr">
        <is>
          <t>INSTALAÇÕES DE TELECOMUNICAÇÃO</t>
        </is>
      </c>
      <c r="D211" s="32" t="inlineStr">
        <is>
          <t>ELETRODUTOS</t>
        </is>
      </c>
      <c r="E211" s="32" t="inlineStr">
        <is>
          <t>PVC Flexível Antichama - NBR 15465 ø1.1/4"</t>
        </is>
      </c>
      <c r="F211" s="33" t="n">
        <v>11</v>
      </c>
      <c r="G211" s="33" t="n">
        <v>1</v>
      </c>
      <c r="H211" s="34" t="n">
        <v>0</v>
      </c>
      <c r="I211" s="35">
        <f>(F211+H211*F211)*G211</f>
        <v/>
      </c>
      <c r="J211" s="33" t="inlineStr">
        <is>
          <t>m</t>
        </is>
      </c>
      <c r="K211" s="36" t="n">
        <v>0</v>
      </c>
      <c r="L211" s="37">
        <f>I211*K211</f>
        <v/>
      </c>
      <c r="N211" t="inlineStr">
        <is>
          <t>Torre B</t>
        </is>
      </c>
    </row>
    <row r="212">
      <c r="A212" s="32">
        <f>A193</f>
        <v/>
      </c>
      <c r="B212" s="32">
        <f>B193</f>
        <v/>
      </c>
      <c r="C212" s="32" t="inlineStr">
        <is>
          <t>INSTALAÇÕES DE TELECOMUNICAÇÃO</t>
        </is>
      </c>
      <c r="D212" s="32" t="inlineStr">
        <is>
          <t>CAIXA DE PASSAGEM</t>
        </is>
      </c>
      <c r="E212" s="32" t="inlineStr">
        <is>
          <t>Cx de passagem de embutir com dimensão de 60x120x20cm</t>
        </is>
      </c>
      <c r="F212" s="33" t="n">
        <v>1</v>
      </c>
      <c r="G212" s="33" t="n">
        <v>1</v>
      </c>
      <c r="H212" s="34" t="n">
        <v>0</v>
      </c>
      <c r="I212" s="35">
        <f>(F212+H212*F212)*G212</f>
        <v/>
      </c>
      <c r="J212" s="33" t="inlineStr">
        <is>
          <t>pç</t>
        </is>
      </c>
      <c r="K212" s="36" t="n">
        <v>0</v>
      </c>
      <c r="L212" s="37">
        <f>I212*K212</f>
        <v/>
      </c>
      <c r="N212" t="inlineStr">
        <is>
          <t>Torre B</t>
        </is>
      </c>
    </row>
    <row r="213">
      <c r="A213" s="32">
        <f>A193</f>
        <v/>
      </c>
      <c r="B213" s="32">
        <f>B193</f>
        <v/>
      </c>
      <c r="C213" s="32" t="inlineStr">
        <is>
          <t>INSTALAÇÕES DE TELECOMUNICAÇÃO</t>
        </is>
      </c>
      <c r="D213" s="32" t="inlineStr">
        <is>
          <t>COTOVELOS</t>
        </is>
      </c>
      <c r="E213" s="32" t="inlineStr">
        <is>
          <t>Cotovelo para eletroduto flexível PVC amarelo</t>
        </is>
      </c>
      <c r="F213" s="33" t="n">
        <v>762</v>
      </c>
      <c r="G213" s="33" t="n">
        <v>1</v>
      </c>
      <c r="H213" s="34" t="n">
        <v>0</v>
      </c>
      <c r="I213" s="35">
        <f>(F213+H213*F213)*G213</f>
        <v/>
      </c>
      <c r="J213" s="33" t="inlineStr">
        <is>
          <t>un</t>
        </is>
      </c>
      <c r="K213" s="36" t="n">
        <v>0</v>
      </c>
      <c r="L213" s="37">
        <f>I213*K213</f>
        <v/>
      </c>
      <c r="N213" t="inlineStr">
        <is>
          <t>Torre B</t>
        </is>
      </c>
    </row>
    <row r="214">
      <c r="A214" s="32">
        <f>A193</f>
        <v/>
      </c>
      <c r="B214" s="32">
        <f>B193</f>
        <v/>
      </c>
      <c r="C214" s="32" t="inlineStr">
        <is>
          <t>INSTALAÇÕES DE TELECOMUNICAÇÃO</t>
        </is>
      </c>
      <c r="D214" s="32" t="inlineStr">
        <is>
          <t>CONECTORES E BUCHAS</t>
        </is>
      </c>
      <c r="E214" s="32" t="inlineStr">
        <is>
          <t>Conector box e arruela - Alumínio padrão</t>
        </is>
      </c>
      <c r="F214" s="33" t="n">
        <v>41</v>
      </c>
      <c r="G214" s="33" t="n">
        <v>1</v>
      </c>
      <c r="H214" s="34" t="n">
        <v>0</v>
      </c>
      <c r="I214" s="35">
        <f>(F214+H214*F214)*G214</f>
        <v/>
      </c>
      <c r="J214" s="33" t="inlineStr">
        <is>
          <t>un</t>
        </is>
      </c>
      <c r="K214" s="36" t="n">
        <v>0</v>
      </c>
      <c r="L214" s="37">
        <f>I214*K214</f>
        <v/>
      </c>
      <c r="N214" t="inlineStr">
        <is>
          <t>Torre B</t>
        </is>
      </c>
    </row>
    <row r="215">
      <c r="A215" s="32">
        <f>A193</f>
        <v/>
      </c>
      <c r="B215" s="32">
        <f>B193</f>
        <v/>
      </c>
      <c r="C215" s="32" t="inlineStr">
        <is>
          <t>INSTALAÇÕES DE TELECOMUNICAÇÃO</t>
        </is>
      </c>
      <c r="D215" s="32" t="inlineStr">
        <is>
          <t>CONECTORES E BUCHAS</t>
        </is>
      </c>
      <c r="E215" s="32" t="inlineStr">
        <is>
          <t>Bucha terminal simples - Alumínio padrão</t>
        </is>
      </c>
      <c r="F215" s="33" t="n">
        <v>3</v>
      </c>
      <c r="G215" s="33" t="n">
        <v>1</v>
      </c>
      <c r="H215" s="34" t="n">
        <v>0</v>
      </c>
      <c r="I215" s="35">
        <f>(F215+H215*F215)*G215</f>
        <v/>
      </c>
      <c r="J215" s="33" t="inlineStr">
        <is>
          <t>un</t>
        </is>
      </c>
      <c r="K215" s="36" t="n">
        <v>0</v>
      </c>
      <c r="L215" s="37">
        <f>I215*K215</f>
        <v/>
      </c>
      <c r="N215" t="inlineStr">
        <is>
          <t>Torre B</t>
        </is>
      </c>
    </row>
    <row r="216">
      <c r="A216" s="32">
        <f>A193</f>
        <v/>
      </c>
      <c r="B216" s="32">
        <f>B193</f>
        <v/>
      </c>
      <c r="C216" s="32" t="inlineStr">
        <is>
          <t>INSTALAÇÕES DE TELECOMUNICAÇÃO</t>
        </is>
      </c>
      <c r="D216" s="32" t="inlineStr">
        <is>
          <t>CONDUTORES TELECOM</t>
        </is>
      </c>
      <c r="E216" s="32" t="inlineStr">
        <is>
          <t>Condutor CFTV</t>
        </is>
      </c>
      <c r="F216" s="33" t="n">
        <v>26</v>
      </c>
      <c r="G216" s="33" t="n">
        <v>1</v>
      </c>
      <c r="H216" s="34" t="n">
        <v>0</v>
      </c>
      <c r="I216" s="35">
        <f>(F216+H216*F216)*G216</f>
        <v/>
      </c>
      <c r="J216" s="33" t="inlineStr">
        <is>
          <t>un</t>
        </is>
      </c>
      <c r="K216" s="36" t="n">
        <v>0</v>
      </c>
      <c r="L216" s="37">
        <f>I216*K216</f>
        <v/>
      </c>
      <c r="N216" t="inlineStr">
        <is>
          <t>Torre B</t>
        </is>
      </c>
    </row>
    <row r="217">
      <c r="A217" s="32">
        <f>A193</f>
        <v/>
      </c>
      <c r="B217" s="32">
        <f>B193</f>
        <v/>
      </c>
      <c r="C217" s="32" t="inlineStr">
        <is>
          <t>INSTALAÇÕES DE TELECOMUNICAÇÃO</t>
        </is>
      </c>
      <c r="D217" s="32" t="inlineStr">
        <is>
          <t>CONDUTORES TELECOM</t>
        </is>
      </c>
      <c r="E217" s="32" t="inlineStr">
        <is>
          <t>Condutor UTP</t>
        </is>
      </c>
      <c r="F217" s="33" t="n">
        <v>30</v>
      </c>
      <c r="G217" s="33" t="n">
        <v>1</v>
      </c>
      <c r="H217" s="34" t="n">
        <v>0</v>
      </c>
      <c r="I217" s="35">
        <f>(F217+H217*F217)*G217</f>
        <v/>
      </c>
      <c r="J217" s="33" t="inlineStr">
        <is>
          <t>un</t>
        </is>
      </c>
      <c r="K217" s="36" t="n">
        <v>0</v>
      </c>
      <c r="L217" s="37">
        <f>I217*K217</f>
        <v/>
      </c>
      <c r="N217" t="inlineStr">
        <is>
          <t>Torre B</t>
        </is>
      </c>
    </row>
    <row r="218">
      <c r="A218" s="32">
        <f>A193</f>
        <v/>
      </c>
      <c r="B218" s="32">
        <f>B193</f>
        <v/>
      </c>
      <c r="C218" s="32" t="inlineStr">
        <is>
          <t>INSTALAÇÕES DE TELECOMUNICAÇÃO</t>
        </is>
      </c>
      <c r="D218" s="32" t="inlineStr">
        <is>
          <t>CONDUTORES TELECOM</t>
        </is>
      </c>
      <c r="E218" s="32" t="inlineStr">
        <is>
          <t>Condutor CCI</t>
        </is>
      </c>
      <c r="F218" s="33" t="n">
        <v>29</v>
      </c>
      <c r="G218" s="33" t="n">
        <v>1</v>
      </c>
      <c r="H218" s="34" t="n">
        <v>0</v>
      </c>
      <c r="I218" s="35">
        <f>(F218+H218*F218)*G218</f>
        <v/>
      </c>
      <c r="J218" s="33" t="inlineStr">
        <is>
          <t>un</t>
        </is>
      </c>
      <c r="K218" s="36" t="n">
        <v>0</v>
      </c>
      <c r="L218" s="37">
        <f>I218*K218</f>
        <v/>
      </c>
      <c r="N218" t="inlineStr">
        <is>
          <t>Torre B</t>
        </is>
      </c>
    </row>
    <row r="219">
      <c r="A219" s="32">
        <f>A193</f>
        <v/>
      </c>
      <c r="B219" s="32">
        <f>B193</f>
        <v/>
      </c>
      <c r="C219" s="32" t="inlineStr">
        <is>
          <t>INSTALAÇÕES DE TELECOMUNICAÇÃO</t>
        </is>
      </c>
      <c r="D219" s="32" t="inlineStr">
        <is>
          <t>CONDUTORES TELECOM</t>
        </is>
      </c>
      <c r="E219" s="32" t="inlineStr">
        <is>
          <t>Condutor Cordplast</t>
        </is>
      </c>
      <c r="F219" s="33" t="n">
        <v>26</v>
      </c>
      <c r="G219" s="33" t="n">
        <v>1</v>
      </c>
      <c r="H219" s="34" t="n">
        <v>0</v>
      </c>
      <c r="I219" s="35">
        <f>(F219+H219*F219)*G219</f>
        <v/>
      </c>
      <c r="J219" s="33" t="inlineStr">
        <is>
          <t>un</t>
        </is>
      </c>
      <c r="K219" s="36" t="n">
        <v>0</v>
      </c>
      <c r="L219" s="37">
        <f>I219*K219</f>
        <v/>
      </c>
      <c r="N219" t="inlineStr">
        <is>
          <t>Torre B</t>
        </is>
      </c>
    </row>
    <row r="220">
      <c r="A220" s="32">
        <f>A193</f>
        <v/>
      </c>
      <c r="B220" s="32">
        <f>B193</f>
        <v/>
      </c>
      <c r="C220" s="32" t="inlineStr">
        <is>
          <t>INSTALAÇÕES DE TELECOMUNICAÇÃO</t>
        </is>
      </c>
      <c r="D220" s="32" t="inlineStr">
        <is>
          <t>PONTOS DE USO</t>
        </is>
      </c>
      <c r="E220" s="32" t="inlineStr">
        <is>
          <t>Caixa 4x2 - Interfone</t>
        </is>
      </c>
      <c r="F220" s="33" t="n">
        <v>5</v>
      </c>
      <c r="G220" s="33" t="n">
        <v>1</v>
      </c>
      <c r="H220" s="34" t="n">
        <v>0</v>
      </c>
      <c r="I220" s="35">
        <f>(F220+H220*F220)*G220</f>
        <v/>
      </c>
      <c r="J220" s="33" t="inlineStr">
        <is>
          <t>un</t>
        </is>
      </c>
      <c r="K220" s="36" t="n">
        <v>0</v>
      </c>
      <c r="L220" s="37">
        <f>I220*K220</f>
        <v/>
      </c>
      <c r="N220" t="inlineStr">
        <is>
          <t>Torre B</t>
        </is>
      </c>
    </row>
    <row r="221">
      <c r="A221" s="32">
        <f>A193</f>
        <v/>
      </c>
      <c r="B221" s="32">
        <f>B193</f>
        <v/>
      </c>
      <c r="C221" s="32" t="inlineStr">
        <is>
          <t>INSTALAÇÕES DE TELECOMUNICAÇÃO</t>
        </is>
      </c>
      <c r="D221" s="32" t="inlineStr">
        <is>
          <t>PONTOS DE USO</t>
        </is>
      </c>
      <c r="E221" s="32" t="inlineStr">
        <is>
          <t>Caixa 4x2 - Câmera CFTV</t>
        </is>
      </c>
      <c r="F221" s="33" t="n">
        <v>1</v>
      </c>
      <c r="G221" s="33" t="n">
        <v>1</v>
      </c>
      <c r="H221" s="34" t="n">
        <v>0</v>
      </c>
      <c r="I221" s="35">
        <f>(F221+H221*F221)*G221</f>
        <v/>
      </c>
      <c r="J221" s="33" t="inlineStr">
        <is>
          <t>un</t>
        </is>
      </c>
      <c r="K221" s="36" t="n">
        <v>0</v>
      </c>
      <c r="L221" s="37">
        <f>I221*K221</f>
        <v/>
      </c>
      <c r="N221" t="inlineStr">
        <is>
          <t>Torre B</t>
        </is>
      </c>
    </row>
    <row r="222">
      <c r="A222" s="32">
        <f>A193</f>
        <v/>
      </c>
      <c r="B222" s="32">
        <f>B193</f>
        <v/>
      </c>
      <c r="C222" s="32" t="inlineStr">
        <is>
          <t>INSTALAÇÕES DE TELECOMUNICAÇÃO</t>
        </is>
      </c>
      <c r="D222" s="32" t="inlineStr">
        <is>
          <t>PONTOS DE USO</t>
        </is>
      </c>
      <c r="E222" s="32" t="inlineStr">
        <is>
          <t>Caixa 4x2 - Controle de Acesso</t>
        </is>
      </c>
      <c r="F222" s="33" t="n">
        <v>19</v>
      </c>
      <c r="G222" s="33" t="n">
        <v>1</v>
      </c>
      <c r="H222" s="34" t="n">
        <v>0</v>
      </c>
      <c r="I222" s="35">
        <f>(F222+H222*F222)*G222</f>
        <v/>
      </c>
      <c r="J222" s="33" t="inlineStr">
        <is>
          <t>un</t>
        </is>
      </c>
      <c r="K222" s="36" t="n">
        <v>0</v>
      </c>
      <c r="L222" s="37">
        <f>I222*K222</f>
        <v/>
      </c>
      <c r="N222" t="inlineStr">
        <is>
          <t>Torre B</t>
        </is>
      </c>
    </row>
    <row r="223">
      <c r="A223" s="32">
        <f>A193</f>
        <v/>
      </c>
      <c r="B223" s="32">
        <f>B193</f>
        <v/>
      </c>
      <c r="C223" s="32" t="inlineStr">
        <is>
          <t>INSTALAÇÕES DE TELECOMUNICAÇÃO</t>
        </is>
      </c>
      <c r="D223" s="32" t="inlineStr">
        <is>
          <t>PONTOS DE USO</t>
        </is>
      </c>
      <c r="E223" s="32" t="inlineStr">
        <is>
          <t>Caixa 4x4 - Dados/Telefone (RJ45/RJ11)</t>
        </is>
      </c>
      <c r="F223" s="33" t="n">
        <v>24</v>
      </c>
      <c r="G223" s="33" t="n">
        <v>1</v>
      </c>
      <c r="H223" s="34" t="n">
        <v>0</v>
      </c>
      <c r="I223" s="35">
        <f>(F223+H223*F223)*G223</f>
        <v/>
      </c>
      <c r="J223" s="33" t="inlineStr">
        <is>
          <t>un</t>
        </is>
      </c>
      <c r="K223" s="36" t="n">
        <v>0</v>
      </c>
      <c r="L223" s="37">
        <f>I223*K223</f>
        <v/>
      </c>
      <c r="N223" t="inlineStr">
        <is>
          <t>Torre B</t>
        </is>
      </c>
    </row>
    <row r="224">
      <c r="A224" s="23" t="inlineStr">
        <is>
          <t>Torre B</t>
        </is>
      </c>
      <c r="B224" s="23" t="inlineStr">
        <is>
          <t>GARAGEM 01</t>
        </is>
      </c>
      <c r="C224" s="24" t="n"/>
      <c r="D224" s="25" t="n"/>
      <c r="E224" s="25" t="n"/>
      <c r="F224" s="26" t="n"/>
      <c r="G224" s="26" t="n"/>
      <c r="H224" s="26" t="n"/>
      <c r="I224" s="27" t="n"/>
      <c r="J224" s="26" t="n"/>
      <c r="K224" s="28" t="n"/>
      <c r="L224" s="29">
        <f>IF(SUM(F224:K224)=0,SUMIFS($L225:$L$9999,$B225:$B$9999,$B224,$A225:$A$9999,$A224),I224*K224)</f>
        <v/>
      </c>
      <c r="N224" t="inlineStr">
        <is>
          <t>Torre B</t>
        </is>
      </c>
    </row>
    <row r="225">
      <c r="A225" s="32">
        <f>A224</f>
        <v/>
      </c>
      <c r="B225" s="32">
        <f>B224</f>
        <v/>
      </c>
      <c r="C225" s="32" t="inlineStr">
        <is>
          <t>INSTALAÇÕES DE TELECOMUNICAÇÃO</t>
        </is>
      </c>
      <c r="D225" s="32" t="inlineStr">
        <is>
          <t>CAIXA OCTOGONAL</t>
        </is>
      </c>
      <c r="E225" s="32" t="inlineStr">
        <is>
          <t>Caixa Octogonal Padrão NBR IEC 60670</t>
        </is>
      </c>
      <c r="F225" s="33" t="n">
        <v>35</v>
      </c>
      <c r="G225" s="33" t="n">
        <v>1</v>
      </c>
      <c r="H225" s="34" t="n">
        <v>0</v>
      </c>
      <c r="I225" s="35">
        <f>(F225+H225*F225)*G225</f>
        <v/>
      </c>
      <c r="J225" s="33" t="inlineStr">
        <is>
          <t>pç</t>
        </is>
      </c>
      <c r="K225" s="36" t="n">
        <v>9.800000000000001</v>
      </c>
      <c r="L225" s="37">
        <f>I225*K225</f>
        <v/>
      </c>
      <c r="N225" t="inlineStr">
        <is>
          <t>Torre B</t>
        </is>
      </c>
    </row>
    <row r="226">
      <c r="A226" s="32">
        <f>A224</f>
        <v/>
      </c>
      <c r="B226" s="32">
        <f>B224</f>
        <v/>
      </c>
      <c r="C226" s="32" t="inlineStr">
        <is>
          <t>INSTALAÇÕES DE TELECOMUNICAÇÃO</t>
        </is>
      </c>
      <c r="D226" s="32" t="inlineStr">
        <is>
          <t>CAIXA OCTOGONAL</t>
        </is>
      </c>
      <c r="E226" s="32" t="inlineStr">
        <is>
          <t>Placa cega para caixa octogonal Padrão NBR IEC 60670</t>
        </is>
      </c>
      <c r="F226" s="33" t="n">
        <v>3</v>
      </c>
      <c r="G226" s="33" t="n">
        <v>1</v>
      </c>
      <c r="H226" s="34" t="n">
        <v>0</v>
      </c>
      <c r="I226" s="35">
        <f>(F226+H226*F226)*G226</f>
        <v/>
      </c>
      <c r="J226" s="33" t="inlineStr">
        <is>
          <t>pç</t>
        </is>
      </c>
      <c r="K226" s="36" t="n">
        <v>6.5</v>
      </c>
      <c r="L226" s="37">
        <f>I226*K226</f>
        <v/>
      </c>
      <c r="N226" t="inlineStr">
        <is>
          <t>Torre B</t>
        </is>
      </c>
    </row>
    <row r="227">
      <c r="A227" s="32">
        <f>A224</f>
        <v/>
      </c>
      <c r="B227" s="32">
        <f>B224</f>
        <v/>
      </c>
      <c r="C227" s="32" t="inlineStr">
        <is>
          <t>INSTALAÇÕES DE TELECOMUNICAÇÃO</t>
        </is>
      </c>
      <c r="D227" s="32" t="inlineStr">
        <is>
          <t>CAIXA 4x2" E 4x4"</t>
        </is>
      </c>
      <c r="E227" s="32" t="inlineStr">
        <is>
          <t>Caixa 4x2" de Embutir em PVC Padrão NBR IEC 60670</t>
        </is>
      </c>
      <c r="F227" s="33" t="n">
        <v>2</v>
      </c>
      <c r="G227" s="33" t="n">
        <v>1</v>
      </c>
      <c r="H227" s="34" t="n">
        <v>0</v>
      </c>
      <c r="I227" s="35">
        <f>(F227+H227*F227)*G227</f>
        <v/>
      </c>
      <c r="J227" s="33" t="inlineStr">
        <is>
          <t>pç</t>
        </is>
      </c>
      <c r="K227" s="36" t="n">
        <v>5.9</v>
      </c>
      <c r="L227" s="37">
        <f>I227*K227</f>
        <v/>
      </c>
      <c r="N227" t="inlineStr">
        <is>
          <t>Torre B</t>
        </is>
      </c>
    </row>
    <row r="228">
      <c r="A228" s="32">
        <f>A224</f>
        <v/>
      </c>
      <c r="B228" s="32">
        <f>B224</f>
        <v/>
      </c>
      <c r="C228" s="32" t="inlineStr">
        <is>
          <t>INSTALAÇÕES DE TELECOMUNICAÇÃO</t>
        </is>
      </c>
      <c r="D228" s="32" t="inlineStr">
        <is>
          <t>CAIXA 4x2" E 4x4"</t>
        </is>
      </c>
      <c r="E228" s="32" t="inlineStr">
        <is>
          <t>Placa 4x2" cega Padrão NBR IEC 60670</t>
        </is>
      </c>
      <c r="F228" s="33" t="n">
        <v>2</v>
      </c>
      <c r="G228" s="33" t="n">
        <v>1</v>
      </c>
      <c r="H228" s="34" t="n">
        <v>0</v>
      </c>
      <c r="I228" s="35">
        <f>(F228+H228*F228)*G228</f>
        <v/>
      </c>
      <c r="J228" s="33" t="inlineStr">
        <is>
          <t>pç</t>
        </is>
      </c>
      <c r="K228" s="36" t="n">
        <v>4.5</v>
      </c>
      <c r="L228" s="37">
        <f>I228*K228</f>
        <v/>
      </c>
      <c r="N228" t="inlineStr">
        <is>
          <t>Torre B</t>
        </is>
      </c>
    </row>
    <row r="229">
      <c r="A229" s="32">
        <f>A224</f>
        <v/>
      </c>
      <c r="B229" s="32">
        <f>B224</f>
        <v/>
      </c>
      <c r="C229" s="32" t="inlineStr">
        <is>
          <t>INSTALAÇÕES DE TELECOMUNICAÇÃO</t>
        </is>
      </c>
      <c r="D229" s="32" t="inlineStr">
        <is>
          <t>CAIXA 4x2" E 4x4"</t>
        </is>
      </c>
      <c r="E229" s="32" t="inlineStr">
        <is>
          <t>Placa 4x2" para 1 função Padrão NBR IEC 60670</t>
        </is>
      </c>
      <c r="F229" s="33" t="n">
        <v>2</v>
      </c>
      <c r="G229" s="33" t="n">
        <v>1</v>
      </c>
      <c r="H229" s="34" t="n">
        <v>0</v>
      </c>
      <c r="I229" s="35">
        <f>(F229+H229*F229)*G229</f>
        <v/>
      </c>
      <c r="J229" s="33" t="inlineStr">
        <is>
          <t>pç</t>
        </is>
      </c>
      <c r="K229" s="36" t="n">
        <v>6.5</v>
      </c>
      <c r="L229" s="37">
        <f>I229*K229</f>
        <v/>
      </c>
      <c r="N229" t="inlineStr">
        <is>
          <t>Torre B</t>
        </is>
      </c>
    </row>
    <row r="230">
      <c r="A230" s="32">
        <f>A224</f>
        <v/>
      </c>
      <c r="B230" s="32">
        <f>B224</f>
        <v/>
      </c>
      <c r="C230" s="32" t="inlineStr">
        <is>
          <t>INSTALAÇÕES DE TELECOMUNICAÇÃO</t>
        </is>
      </c>
      <c r="D230" s="32" t="inlineStr">
        <is>
          <t>CAIXA 4x2" E 4x4"</t>
        </is>
      </c>
      <c r="E230" s="32" t="inlineStr">
        <is>
          <t>Suporte p/ caixa 4x2" Padrão NBR IEC 60670</t>
        </is>
      </c>
      <c r="F230" s="33" t="n">
        <v>2</v>
      </c>
      <c r="G230" s="33" t="n">
        <v>1</v>
      </c>
      <c r="H230" s="34" t="n">
        <v>0</v>
      </c>
      <c r="I230" s="35">
        <f>(F230+H230*F230)*G230</f>
        <v/>
      </c>
      <c r="J230" s="33" t="inlineStr">
        <is>
          <t>pç</t>
        </is>
      </c>
      <c r="K230" s="36" t="n">
        <v>2.4</v>
      </c>
      <c r="L230" s="37">
        <f>I230*K230</f>
        <v/>
      </c>
      <c r="N230" t="inlineStr">
        <is>
          <t>Torre B</t>
        </is>
      </c>
    </row>
    <row r="231">
      <c r="A231" s="32">
        <f>A224</f>
        <v/>
      </c>
      <c r="B231" s="32">
        <f>B224</f>
        <v/>
      </c>
      <c r="C231" s="32" t="inlineStr">
        <is>
          <t>INSTALAÇÕES DE TELECOMUNICAÇÃO</t>
        </is>
      </c>
      <c r="D231" s="32" t="inlineStr">
        <is>
          <t>CAIXA DE PASSAGEM</t>
        </is>
      </c>
      <c r="E231" s="32" t="inlineStr">
        <is>
          <t>Cx de passagem de embutir com dimensão de 30x30x12 cm</t>
        </is>
      </c>
      <c r="F231" s="33" t="n">
        <v>4</v>
      </c>
      <c r="G231" s="33" t="n">
        <v>1</v>
      </c>
      <c r="H231" s="34" t="n">
        <v>0</v>
      </c>
      <c r="I231" s="35">
        <f>(F231+H231*F231)*G231</f>
        <v/>
      </c>
      <c r="J231" s="33" t="inlineStr">
        <is>
          <t>pç</t>
        </is>
      </c>
      <c r="K231" s="36" t="n">
        <v>145</v>
      </c>
      <c r="L231" s="37">
        <f>I231*K231</f>
        <v/>
      </c>
      <c r="N231" t="inlineStr">
        <is>
          <t>Torre B</t>
        </is>
      </c>
    </row>
    <row r="232">
      <c r="A232" s="32">
        <f>A224</f>
        <v/>
      </c>
      <c r="B232" s="32">
        <f>B224</f>
        <v/>
      </c>
      <c r="C232" s="32" t="inlineStr">
        <is>
          <t>INSTALAÇÕES DE TELECOMUNICAÇÃO</t>
        </is>
      </c>
      <c r="D232" s="32" t="inlineStr">
        <is>
          <t>ELETRODUTOS</t>
        </is>
      </c>
      <c r="E232" s="32" t="inlineStr">
        <is>
          <t>PVC Flexível Antichama - NBR 15465 ø1"</t>
        </is>
      </c>
      <c r="F232" s="33" t="n">
        <v>187</v>
      </c>
      <c r="G232" s="33" t="n">
        <v>1</v>
      </c>
      <c r="H232" s="34" t="n">
        <v>0</v>
      </c>
      <c r="I232" s="35">
        <f>(F232+H232*F232)*G232</f>
        <v/>
      </c>
      <c r="J232" s="33" t="inlineStr">
        <is>
          <t>m</t>
        </is>
      </c>
      <c r="K232" s="36" t="n">
        <v>11.9</v>
      </c>
      <c r="L232" s="37">
        <f>I232*K232</f>
        <v/>
      </c>
      <c r="N232" t="inlineStr">
        <is>
          <t>Torre B</t>
        </is>
      </c>
    </row>
    <row r="233">
      <c r="A233" s="32">
        <f>A224</f>
        <v/>
      </c>
      <c r="B233" s="32">
        <f>B224</f>
        <v/>
      </c>
      <c r="C233" s="32" t="inlineStr">
        <is>
          <t>INSTALAÇÕES DE TELECOMUNICAÇÃO</t>
        </is>
      </c>
      <c r="D233" s="32" t="inlineStr">
        <is>
          <t>ELETRODUTOS</t>
        </is>
      </c>
      <c r="E233" s="32" t="inlineStr">
        <is>
          <t>PVC Flexível Antichama - NBR 15465 ø3/4"</t>
        </is>
      </c>
      <c r="F233" s="33" t="n">
        <v>104</v>
      </c>
      <c r="G233" s="33" t="n">
        <v>1</v>
      </c>
      <c r="H233" s="34" t="n">
        <v>0</v>
      </c>
      <c r="I233" s="35">
        <f>(F233+H233*F233)*G233</f>
        <v/>
      </c>
      <c r="J233" s="33" t="inlineStr">
        <is>
          <t>m</t>
        </is>
      </c>
      <c r="K233" s="36" t="n">
        <v>7.5</v>
      </c>
      <c r="L233" s="37">
        <f>I233*K233</f>
        <v/>
      </c>
      <c r="N233" t="inlineStr">
        <is>
          <t>Torre B</t>
        </is>
      </c>
    </row>
    <row r="234">
      <c r="A234" s="32">
        <f>A224</f>
        <v/>
      </c>
      <c r="B234" s="32">
        <f>B224</f>
        <v/>
      </c>
      <c r="C234" s="32" t="inlineStr">
        <is>
          <t>INSTALAÇÕES DE TELECOMUNICAÇÃO</t>
        </is>
      </c>
      <c r="D234" s="32" t="inlineStr">
        <is>
          <t>MÓDULOS</t>
        </is>
      </c>
      <c r="E234" s="32" t="inlineStr">
        <is>
          <t>Módulo RJ45</t>
        </is>
      </c>
      <c r="F234" s="33" t="n">
        <v>2</v>
      </c>
      <c r="G234" s="33" t="n">
        <v>1</v>
      </c>
      <c r="H234" s="34" t="n">
        <v>0</v>
      </c>
      <c r="I234" s="35">
        <f>(F234+H234*F234)*G234</f>
        <v/>
      </c>
      <c r="J234" s="33" t="inlineStr">
        <is>
          <t>pç</t>
        </is>
      </c>
      <c r="K234" s="36" t="n">
        <v>22.9</v>
      </c>
      <c r="L234" s="37">
        <f>I234*K234</f>
        <v/>
      </c>
      <c r="N234" t="inlineStr">
        <is>
          <t>Torre B</t>
        </is>
      </c>
    </row>
    <row r="235">
      <c r="A235" s="32">
        <f>A224</f>
        <v/>
      </c>
      <c r="B235" s="32">
        <f>B224</f>
        <v/>
      </c>
      <c r="C235" s="32" t="inlineStr">
        <is>
          <t>INSTALAÇÕES DE TELECOMUNICAÇÃO</t>
        </is>
      </c>
      <c r="D235" s="32" t="inlineStr">
        <is>
          <t>QUADROS DE DISTRIBUIÇÃO</t>
        </is>
      </c>
      <c r="E235" s="32" t="inlineStr">
        <is>
          <t>Embutir - 486x510x109mm</t>
        </is>
      </c>
      <c r="F235" s="33" t="n">
        <v>1</v>
      </c>
      <c r="G235" s="33" t="n">
        <v>1</v>
      </c>
      <c r="H235" s="34" t="n">
        <v>0</v>
      </c>
      <c r="I235" s="35">
        <f>(F235+H235*F235)*G235</f>
        <v/>
      </c>
      <c r="J235" s="33" t="inlineStr">
        <is>
          <t>pç</t>
        </is>
      </c>
      <c r="K235" s="36" t="n">
        <v>465</v>
      </c>
      <c r="L235" s="37">
        <f>I235*K235</f>
        <v/>
      </c>
      <c r="N235" t="inlineStr">
        <is>
          <t>Torre B</t>
        </is>
      </c>
    </row>
    <row r="236">
      <c r="A236" s="32">
        <f>A224</f>
        <v/>
      </c>
      <c r="B236" s="32">
        <f>B224</f>
        <v/>
      </c>
      <c r="C236" s="32" t="inlineStr">
        <is>
          <t>INSTALAÇÕES DE TELECOMUNICAÇÃO</t>
        </is>
      </c>
      <c r="D236" s="32" t="inlineStr">
        <is>
          <t>ELETRODUTOS</t>
        </is>
      </c>
      <c r="E236" s="32" t="inlineStr">
        <is>
          <t>PVC Flexível Antichama - NBR 15465 ø1.1/4"</t>
        </is>
      </c>
      <c r="F236" s="33" t="n">
        <v>6</v>
      </c>
      <c r="G236" s="33" t="n">
        <v>1</v>
      </c>
      <c r="H236" s="34" t="n">
        <v>0</v>
      </c>
      <c r="I236" s="35">
        <f>(F236+H236*F236)*G236</f>
        <v/>
      </c>
      <c r="J236" s="33" t="inlineStr">
        <is>
          <t>m</t>
        </is>
      </c>
      <c r="K236" s="36" t="n">
        <v>0</v>
      </c>
      <c r="L236" s="37">
        <f>I236*K236</f>
        <v/>
      </c>
      <c r="N236" t="inlineStr">
        <is>
          <t>Torre B</t>
        </is>
      </c>
    </row>
    <row r="237">
      <c r="A237" s="32">
        <f>A224</f>
        <v/>
      </c>
      <c r="B237" s="32">
        <f>B224</f>
        <v/>
      </c>
      <c r="C237" s="32" t="inlineStr">
        <is>
          <t>INSTALAÇÕES DE TELECOMUNICAÇÃO</t>
        </is>
      </c>
      <c r="D237" s="32" t="inlineStr">
        <is>
          <t>ELETRODUTOS</t>
        </is>
      </c>
      <c r="E237" s="32" t="inlineStr">
        <is>
          <t>PVC Flexível Antichama - NBR 15465 ø1.1/4"</t>
        </is>
      </c>
      <c r="F237" s="33" t="n">
        <v>6</v>
      </c>
      <c r="G237" s="33" t="n">
        <v>1</v>
      </c>
      <c r="H237" s="34" t="n">
        <v>0</v>
      </c>
      <c r="I237" s="35">
        <f>(F237+H237*F237)*G237</f>
        <v/>
      </c>
      <c r="J237" s="33" t="inlineStr">
        <is>
          <t>m</t>
        </is>
      </c>
      <c r="K237" s="36" t="n">
        <v>0</v>
      </c>
      <c r="L237" s="37">
        <f>I237*K237</f>
        <v/>
      </c>
      <c r="N237" t="inlineStr">
        <is>
          <t>Torre B</t>
        </is>
      </c>
    </row>
    <row r="238">
      <c r="A238" s="32">
        <f>A224</f>
        <v/>
      </c>
      <c r="B238" s="32">
        <f>B224</f>
        <v/>
      </c>
      <c r="C238" s="32" t="inlineStr">
        <is>
          <t>INSTALAÇÕES DE TELECOMUNICAÇÃO</t>
        </is>
      </c>
      <c r="D238" s="32" t="inlineStr">
        <is>
          <t>ELETRODUTOS</t>
        </is>
      </c>
      <c r="E238" s="32" t="inlineStr">
        <is>
          <t>PVC Flexível Antichama - NBR 15465 ø3"</t>
        </is>
      </c>
      <c r="F238" s="33" t="n">
        <v>27</v>
      </c>
      <c r="G238" s="33" t="n">
        <v>1</v>
      </c>
      <c r="H238" s="34" t="n">
        <v>0</v>
      </c>
      <c r="I238" s="35">
        <f>(F238+H238*F238)*G238</f>
        <v/>
      </c>
      <c r="J238" s="33" t="inlineStr">
        <is>
          <t>m</t>
        </is>
      </c>
      <c r="K238" s="36" t="n">
        <v>0</v>
      </c>
      <c r="L238" s="37">
        <f>I238*K238</f>
        <v/>
      </c>
      <c r="N238" t="inlineStr">
        <is>
          <t>Torre B</t>
        </is>
      </c>
    </row>
    <row r="239">
      <c r="A239" s="32">
        <f>A224</f>
        <v/>
      </c>
      <c r="B239" s="32">
        <f>B224</f>
        <v/>
      </c>
      <c r="C239" s="32" t="inlineStr">
        <is>
          <t>INSTALAÇÕES DE TELECOMUNICAÇÃO</t>
        </is>
      </c>
      <c r="D239" s="32" t="inlineStr">
        <is>
          <t>CAIXA DE PASSAGEM</t>
        </is>
      </c>
      <c r="E239" s="32" t="inlineStr">
        <is>
          <t>Cx de passagem de embutir com dimensão de 60x120x20cm</t>
        </is>
      </c>
      <c r="F239" s="33" t="n">
        <v>1</v>
      </c>
      <c r="G239" s="33" t="n">
        <v>1</v>
      </c>
      <c r="H239" s="34" t="n">
        <v>0</v>
      </c>
      <c r="I239" s="35">
        <f>(F239+H239*F239)*G239</f>
        <v/>
      </c>
      <c r="J239" s="33" t="inlineStr">
        <is>
          <t>pç</t>
        </is>
      </c>
      <c r="K239" s="36" t="n">
        <v>0</v>
      </c>
      <c r="L239" s="37">
        <f>I239*K239</f>
        <v/>
      </c>
      <c r="N239" t="inlineStr">
        <is>
          <t>Torre B</t>
        </is>
      </c>
    </row>
    <row r="240">
      <c r="A240" s="32">
        <f>A224</f>
        <v/>
      </c>
      <c r="B240" s="32">
        <f>B224</f>
        <v/>
      </c>
      <c r="C240" s="32" t="inlineStr">
        <is>
          <t>INSTALAÇÕES DE TELECOMUNICAÇÃO</t>
        </is>
      </c>
      <c r="D240" s="32" t="inlineStr">
        <is>
          <t>COTOVELOS</t>
        </is>
      </c>
      <c r="E240" s="32" t="inlineStr">
        <is>
          <t>Cotovelo para eletroduto flexível PVC amarelo</t>
        </is>
      </c>
      <c r="F240" s="33" t="n">
        <v>176</v>
      </c>
      <c r="G240" s="33" t="n">
        <v>1</v>
      </c>
      <c r="H240" s="34" t="n">
        <v>0</v>
      </c>
      <c r="I240" s="35">
        <f>(F240+H240*F240)*G240</f>
        <v/>
      </c>
      <c r="J240" s="33" t="inlineStr">
        <is>
          <t>un</t>
        </is>
      </c>
      <c r="K240" s="36" t="n">
        <v>0</v>
      </c>
      <c r="L240" s="37">
        <f>I240*K240</f>
        <v/>
      </c>
      <c r="N240" t="inlineStr">
        <is>
          <t>Torre B</t>
        </is>
      </c>
    </row>
    <row r="241">
      <c r="A241" s="32">
        <f>A224</f>
        <v/>
      </c>
      <c r="B241" s="32">
        <f>B224</f>
        <v/>
      </c>
      <c r="C241" s="32" t="inlineStr">
        <is>
          <t>INSTALAÇÕES DE TELECOMUNICAÇÃO</t>
        </is>
      </c>
      <c r="D241" s="32" t="inlineStr">
        <is>
          <t>CONECTORES E BUCHAS</t>
        </is>
      </c>
      <c r="E241" s="32" t="inlineStr">
        <is>
          <t>Conector box e arruela - Alumínio padrão</t>
        </is>
      </c>
      <c r="F241" s="33" t="n">
        <v>13</v>
      </c>
      <c r="G241" s="33" t="n">
        <v>1</v>
      </c>
      <c r="H241" s="34" t="n">
        <v>0</v>
      </c>
      <c r="I241" s="35">
        <f>(F241+H241*F241)*G241</f>
        <v/>
      </c>
      <c r="J241" s="33" t="inlineStr">
        <is>
          <t>un</t>
        </is>
      </c>
      <c r="K241" s="36" t="n">
        <v>0</v>
      </c>
      <c r="L241" s="37">
        <f>I241*K241</f>
        <v/>
      </c>
      <c r="N241" t="inlineStr">
        <is>
          <t>Torre B</t>
        </is>
      </c>
    </row>
    <row r="242">
      <c r="A242" s="32">
        <f>A224</f>
        <v/>
      </c>
      <c r="B242" s="32">
        <f>B224</f>
        <v/>
      </c>
      <c r="C242" s="32" t="inlineStr">
        <is>
          <t>INSTALAÇÕES DE TELECOMUNICAÇÃO</t>
        </is>
      </c>
      <c r="D242" s="32" t="inlineStr">
        <is>
          <t>CONECTORES E BUCHAS</t>
        </is>
      </c>
      <c r="E242" s="32" t="inlineStr">
        <is>
          <t>Bucha terminal simples - Alumínio padrão</t>
        </is>
      </c>
      <c r="F242" s="33" t="n">
        <v>6</v>
      </c>
      <c r="G242" s="33" t="n">
        <v>1</v>
      </c>
      <c r="H242" s="34" t="n">
        <v>0</v>
      </c>
      <c r="I242" s="35">
        <f>(F242+H242*F242)*G242</f>
        <v/>
      </c>
      <c r="J242" s="33" t="inlineStr">
        <is>
          <t>un</t>
        </is>
      </c>
      <c r="K242" s="36" t="n">
        <v>0</v>
      </c>
      <c r="L242" s="37">
        <f>I242*K242</f>
        <v/>
      </c>
      <c r="N242" t="inlineStr">
        <is>
          <t>Torre B</t>
        </is>
      </c>
    </row>
    <row r="243">
      <c r="A243" s="32">
        <f>A224</f>
        <v/>
      </c>
      <c r="B243" s="32">
        <f>B224</f>
        <v/>
      </c>
      <c r="C243" s="32" t="inlineStr">
        <is>
          <t>INSTALAÇÕES DE TELECOMUNICAÇÃO</t>
        </is>
      </c>
      <c r="D243" s="32" t="inlineStr">
        <is>
          <t>CONDUTORES TELECOM</t>
        </is>
      </c>
      <c r="E243" s="32" t="inlineStr">
        <is>
          <t>Condutor CFTV</t>
        </is>
      </c>
      <c r="F243" s="33" t="n">
        <v>10</v>
      </c>
      <c r="G243" s="33" t="n">
        <v>1</v>
      </c>
      <c r="H243" s="34" t="n">
        <v>0</v>
      </c>
      <c r="I243" s="35">
        <f>(F243+H243*F243)*G243</f>
        <v/>
      </c>
      <c r="J243" s="33" t="inlineStr">
        <is>
          <t>un</t>
        </is>
      </c>
      <c r="K243" s="36" t="n">
        <v>0</v>
      </c>
      <c r="L243" s="37">
        <f>I243*K243</f>
        <v/>
      </c>
      <c r="N243" t="inlineStr">
        <is>
          <t>Torre B</t>
        </is>
      </c>
    </row>
    <row r="244">
      <c r="A244" s="32">
        <f>A224</f>
        <v/>
      </c>
      <c r="B244" s="32">
        <f>B224</f>
        <v/>
      </c>
      <c r="C244" s="32" t="inlineStr">
        <is>
          <t>INSTALAÇÕES DE TELECOMUNICAÇÃO</t>
        </is>
      </c>
      <c r="D244" s="32" t="inlineStr">
        <is>
          <t>CONDUTORES TELECOM</t>
        </is>
      </c>
      <c r="E244" s="32" t="inlineStr">
        <is>
          <t>Condutor Cordplast</t>
        </is>
      </c>
      <c r="F244" s="33" t="n">
        <v>10</v>
      </c>
      <c r="G244" s="33" t="n">
        <v>1</v>
      </c>
      <c r="H244" s="34" t="n">
        <v>0</v>
      </c>
      <c r="I244" s="35">
        <f>(F244+H244*F244)*G244</f>
        <v/>
      </c>
      <c r="J244" s="33" t="inlineStr">
        <is>
          <t>un</t>
        </is>
      </c>
      <c r="K244" s="36" t="n">
        <v>0</v>
      </c>
      <c r="L244" s="37">
        <f>I244*K244</f>
        <v/>
      </c>
      <c r="N244" t="inlineStr">
        <is>
          <t>Torre B</t>
        </is>
      </c>
    </row>
    <row r="245">
      <c r="A245" s="32">
        <f>A224</f>
        <v/>
      </c>
      <c r="B245" s="32">
        <f>B224</f>
        <v/>
      </c>
      <c r="C245" s="32" t="inlineStr">
        <is>
          <t>INSTALAÇÕES DE TELECOMUNICAÇÃO</t>
        </is>
      </c>
      <c r="D245" s="32" t="inlineStr">
        <is>
          <t>PONTOS DE USO</t>
        </is>
      </c>
      <c r="E245" s="32" t="inlineStr">
        <is>
          <t>Caixa 4x2 - Interfone</t>
        </is>
      </c>
      <c r="F245" s="33" t="n">
        <v>4</v>
      </c>
      <c r="G245" s="33" t="n">
        <v>1</v>
      </c>
      <c r="H245" s="34" t="n">
        <v>0</v>
      </c>
      <c r="I245" s="35">
        <f>(F245+H245*F245)*G245</f>
        <v/>
      </c>
      <c r="J245" s="33" t="inlineStr">
        <is>
          <t>un</t>
        </is>
      </c>
      <c r="K245" s="36" t="n">
        <v>0</v>
      </c>
      <c r="L245" s="37">
        <f>I245*K245</f>
        <v/>
      </c>
      <c r="N245" t="inlineStr">
        <is>
          <t>Torre B</t>
        </is>
      </c>
    </row>
    <row r="246">
      <c r="A246" s="32">
        <f>A224</f>
        <v/>
      </c>
      <c r="B246" s="32">
        <f>B224</f>
        <v/>
      </c>
      <c r="C246" s="32" t="inlineStr">
        <is>
          <t>INSTALAÇÕES DE TELECOMUNICAÇÃO</t>
        </is>
      </c>
      <c r="D246" s="32" t="inlineStr">
        <is>
          <t>PONTOS DE USO</t>
        </is>
      </c>
      <c r="E246" s="32" t="inlineStr">
        <is>
          <t>Caixa 4x2 - Câmera CFTV</t>
        </is>
      </c>
      <c r="F246" s="33" t="n">
        <v>4</v>
      </c>
      <c r="G246" s="33" t="n">
        <v>1</v>
      </c>
      <c r="H246" s="34" t="n">
        <v>0</v>
      </c>
      <c r="I246" s="35">
        <f>(F246+H246*F246)*G246</f>
        <v/>
      </c>
      <c r="J246" s="33" t="inlineStr">
        <is>
          <t>un</t>
        </is>
      </c>
      <c r="K246" s="36" t="n">
        <v>0</v>
      </c>
      <c r="L246" s="37">
        <f>I246*K246</f>
        <v/>
      </c>
      <c r="N246" t="inlineStr">
        <is>
          <t>Torre B</t>
        </is>
      </c>
    </row>
    <row r="247">
      <c r="A247" s="23" t="inlineStr">
        <is>
          <t>Torre B</t>
        </is>
      </c>
      <c r="B247" s="23" t="inlineStr">
        <is>
          <t>GARAGEM 02</t>
        </is>
      </c>
      <c r="C247" s="24" t="n"/>
      <c r="D247" s="25" t="n"/>
      <c r="E247" s="25" t="n"/>
      <c r="F247" s="26" t="n"/>
      <c r="G247" s="26" t="n"/>
      <c r="H247" s="26" t="n"/>
      <c r="I247" s="27" t="n"/>
      <c r="J247" s="26" t="n"/>
      <c r="K247" s="28" t="n"/>
      <c r="L247" s="29">
        <f>IF(SUM(F247:K247)=0,SUMIFS($L248:$L$9999,$B248:$B$9999,$B247,$A248:$A$9999,$A247),I247*K247)</f>
        <v/>
      </c>
      <c r="N247" t="inlineStr">
        <is>
          <t>Torre B</t>
        </is>
      </c>
    </row>
    <row r="248">
      <c r="A248" s="32">
        <f>A247</f>
        <v/>
      </c>
      <c r="B248" s="32">
        <f>B247</f>
        <v/>
      </c>
      <c r="C248" s="32" t="inlineStr">
        <is>
          <t>INSTALAÇÕES DE TELECOMUNICAÇÃO</t>
        </is>
      </c>
      <c r="D248" s="32" t="inlineStr">
        <is>
          <t>CAIXA OCTOGONAL</t>
        </is>
      </c>
      <c r="E248" s="32" t="inlineStr">
        <is>
          <t>Caixa Octogonal Padrão NBR IEC 60670</t>
        </is>
      </c>
      <c r="F248" s="33" t="n">
        <v>23</v>
      </c>
      <c r="G248" s="33" t="n">
        <v>1</v>
      </c>
      <c r="H248" s="34" t="n">
        <v>0</v>
      </c>
      <c r="I248" s="35">
        <f>(F248+H248*F248)*G248</f>
        <v/>
      </c>
      <c r="J248" s="33" t="inlineStr">
        <is>
          <t>pç</t>
        </is>
      </c>
      <c r="K248" s="36" t="n">
        <v>9.800000000000001</v>
      </c>
      <c r="L248" s="37">
        <f>I248*K248</f>
        <v/>
      </c>
      <c r="N248" t="inlineStr">
        <is>
          <t>Torre B</t>
        </is>
      </c>
    </row>
    <row r="249">
      <c r="A249" s="32">
        <f>A247</f>
        <v/>
      </c>
      <c r="B249" s="32">
        <f>B247</f>
        <v/>
      </c>
      <c r="C249" s="32" t="inlineStr">
        <is>
          <t>INSTALAÇÕES DE TELECOMUNICAÇÃO</t>
        </is>
      </c>
      <c r="D249" s="32" t="inlineStr">
        <is>
          <t>CAIXA OCTOGONAL</t>
        </is>
      </c>
      <c r="E249" s="32" t="inlineStr">
        <is>
          <t>Placa cega para caixa octogonal Padrão NBR IEC 60670</t>
        </is>
      </c>
      <c r="F249" s="33" t="n">
        <v>2</v>
      </c>
      <c r="G249" s="33" t="n">
        <v>1</v>
      </c>
      <c r="H249" s="34" t="n">
        <v>0</v>
      </c>
      <c r="I249" s="35">
        <f>(F249+H249*F249)*G249</f>
        <v/>
      </c>
      <c r="J249" s="33" t="inlineStr">
        <is>
          <t>pç</t>
        </is>
      </c>
      <c r="K249" s="36" t="n">
        <v>6.5</v>
      </c>
      <c r="L249" s="37">
        <f>I249*K249</f>
        <v/>
      </c>
      <c r="N249" t="inlineStr">
        <is>
          <t>Torre B</t>
        </is>
      </c>
    </row>
    <row r="250">
      <c r="A250" s="32">
        <f>A247</f>
        <v/>
      </c>
      <c r="B250" s="32">
        <f>B247</f>
        <v/>
      </c>
      <c r="C250" s="32" t="inlineStr">
        <is>
          <t>INSTALAÇÕES DE TELECOMUNICAÇÃO</t>
        </is>
      </c>
      <c r="D250" s="32" t="inlineStr">
        <is>
          <t>CAIXA 4x2" E 4x4"</t>
        </is>
      </c>
      <c r="E250" s="32" t="inlineStr">
        <is>
          <t>Caixa 4x2" de Embutir em PVC Padrão NBR IEC 60670</t>
        </is>
      </c>
      <c r="F250" s="33" t="n">
        <v>1</v>
      </c>
      <c r="G250" s="33" t="n">
        <v>1</v>
      </c>
      <c r="H250" s="34" t="n">
        <v>0</v>
      </c>
      <c r="I250" s="35">
        <f>(F250+H250*F250)*G250</f>
        <v/>
      </c>
      <c r="J250" s="33" t="inlineStr">
        <is>
          <t>pç</t>
        </is>
      </c>
      <c r="K250" s="36" t="n">
        <v>5.9</v>
      </c>
      <c r="L250" s="37">
        <f>I250*K250</f>
        <v/>
      </c>
      <c r="N250" t="inlineStr">
        <is>
          <t>Torre B</t>
        </is>
      </c>
    </row>
    <row r="251">
      <c r="A251" s="32">
        <f>A247</f>
        <v/>
      </c>
      <c r="B251" s="32">
        <f>B247</f>
        <v/>
      </c>
      <c r="C251" s="32" t="inlineStr">
        <is>
          <t>INSTALAÇÕES DE TELECOMUNICAÇÃO</t>
        </is>
      </c>
      <c r="D251" s="32" t="inlineStr">
        <is>
          <t>CAIXA 4x2" E 4x4"</t>
        </is>
      </c>
      <c r="E251" s="32" t="inlineStr">
        <is>
          <t>Placa 4x2" cega Padrão NBR IEC 60670</t>
        </is>
      </c>
      <c r="F251" s="33" t="n">
        <v>1</v>
      </c>
      <c r="G251" s="33" t="n">
        <v>1</v>
      </c>
      <c r="H251" s="34" t="n">
        <v>0</v>
      </c>
      <c r="I251" s="35">
        <f>(F251+H251*F251)*G251</f>
        <v/>
      </c>
      <c r="J251" s="33" t="inlineStr">
        <is>
          <t>pç</t>
        </is>
      </c>
      <c r="K251" s="36" t="n">
        <v>4.5</v>
      </c>
      <c r="L251" s="37">
        <f>I251*K251</f>
        <v/>
      </c>
      <c r="N251" t="inlineStr">
        <is>
          <t>Torre B</t>
        </is>
      </c>
    </row>
    <row r="252">
      <c r="A252" s="32">
        <f>A247</f>
        <v/>
      </c>
      <c r="B252" s="32">
        <f>B247</f>
        <v/>
      </c>
      <c r="C252" s="32" t="inlineStr">
        <is>
          <t>INSTALAÇÕES DE TELECOMUNICAÇÃO</t>
        </is>
      </c>
      <c r="D252" s="32" t="inlineStr">
        <is>
          <t>CAIXA 4x2" E 4x4"</t>
        </is>
      </c>
      <c r="E252" s="32" t="inlineStr">
        <is>
          <t>Suporte p/ caixa 4x2" Padrão NBR IEC 60670</t>
        </is>
      </c>
      <c r="F252" s="33" t="n">
        <v>1</v>
      </c>
      <c r="G252" s="33" t="n">
        <v>1</v>
      </c>
      <c r="H252" s="34" t="n">
        <v>0</v>
      </c>
      <c r="I252" s="35">
        <f>(F252+H252*F252)*G252</f>
        <v/>
      </c>
      <c r="J252" s="33" t="inlineStr">
        <is>
          <t>pç</t>
        </is>
      </c>
      <c r="K252" s="36" t="n">
        <v>2.4</v>
      </c>
      <c r="L252" s="37">
        <f>I252*K252</f>
        <v/>
      </c>
      <c r="N252" t="inlineStr">
        <is>
          <t>Torre B</t>
        </is>
      </c>
    </row>
    <row r="253">
      <c r="A253" s="32">
        <f>A247</f>
        <v/>
      </c>
      <c r="B253" s="32">
        <f>B247</f>
        <v/>
      </c>
      <c r="C253" s="32" t="inlineStr">
        <is>
          <t>INSTALAÇÕES DE TELECOMUNICAÇÃO</t>
        </is>
      </c>
      <c r="D253" s="32" t="inlineStr">
        <is>
          <t>ELETRODUTOS</t>
        </is>
      </c>
      <c r="E253" s="32" t="inlineStr">
        <is>
          <t>PVC Flexível Antichama - NBR 15465 ø1"</t>
        </is>
      </c>
      <c r="F253" s="33" t="n">
        <v>89</v>
      </c>
      <c r="G253" s="33" t="n">
        <v>1</v>
      </c>
      <c r="H253" s="34" t="n">
        <v>0</v>
      </c>
      <c r="I253" s="35">
        <f>(F253+H253*F253)*G253</f>
        <v/>
      </c>
      <c r="J253" s="33" t="inlineStr">
        <is>
          <t>m</t>
        </is>
      </c>
      <c r="K253" s="36" t="n">
        <v>11.9</v>
      </c>
      <c r="L253" s="37">
        <f>I253*K253</f>
        <v/>
      </c>
      <c r="N253" t="inlineStr">
        <is>
          <t>Torre B</t>
        </is>
      </c>
    </row>
    <row r="254">
      <c r="A254" s="32">
        <f>A247</f>
        <v/>
      </c>
      <c r="B254" s="32">
        <f>B247</f>
        <v/>
      </c>
      <c r="C254" s="32" t="inlineStr">
        <is>
          <t>INSTALAÇÕES DE TELECOMUNICAÇÃO</t>
        </is>
      </c>
      <c r="D254" s="32" t="inlineStr">
        <is>
          <t>ELETRODUTOS</t>
        </is>
      </c>
      <c r="E254" s="32" t="inlineStr">
        <is>
          <t>PVC Flexível Antichama - NBR 15465 ø3/4"</t>
        </is>
      </c>
      <c r="F254" s="33" t="n">
        <v>48</v>
      </c>
      <c r="G254" s="33" t="n">
        <v>1</v>
      </c>
      <c r="H254" s="34" t="n">
        <v>0</v>
      </c>
      <c r="I254" s="35">
        <f>(F254+H254*F254)*G254</f>
        <v/>
      </c>
      <c r="J254" s="33" t="inlineStr">
        <is>
          <t>m</t>
        </is>
      </c>
      <c r="K254" s="36" t="n">
        <v>7.5</v>
      </c>
      <c r="L254" s="37">
        <f>I254*K254</f>
        <v/>
      </c>
      <c r="N254" t="inlineStr">
        <is>
          <t>Torre B</t>
        </is>
      </c>
    </row>
    <row r="255">
      <c r="A255" s="32">
        <f>A247</f>
        <v/>
      </c>
      <c r="B255" s="32">
        <f>B247</f>
        <v/>
      </c>
      <c r="C255" s="32" t="inlineStr">
        <is>
          <t>INSTALAÇÕES DE TELECOMUNICAÇÃO</t>
        </is>
      </c>
      <c r="D255" s="32" t="inlineStr">
        <is>
          <t>QUADROS DE DISTRIBUIÇÃO</t>
        </is>
      </c>
      <c r="E255" s="32" t="inlineStr">
        <is>
          <t>Embutir - 486x510x109mm</t>
        </is>
      </c>
      <c r="F255" s="33" t="n">
        <v>1</v>
      </c>
      <c r="G255" s="33" t="n">
        <v>1</v>
      </c>
      <c r="H255" s="34" t="n">
        <v>0</v>
      </c>
      <c r="I255" s="35">
        <f>(F255+H255*F255)*G255</f>
        <v/>
      </c>
      <c r="J255" s="33" t="inlineStr">
        <is>
          <t>pç</t>
        </is>
      </c>
      <c r="K255" s="36" t="n">
        <v>465</v>
      </c>
      <c r="L255" s="37">
        <f>I255*K255</f>
        <v/>
      </c>
      <c r="N255" t="inlineStr">
        <is>
          <t>Torre B</t>
        </is>
      </c>
    </row>
    <row r="256">
      <c r="A256" s="32">
        <f>A247</f>
        <v/>
      </c>
      <c r="B256" s="32">
        <f>B247</f>
        <v/>
      </c>
      <c r="C256" s="32" t="inlineStr">
        <is>
          <t>INSTALAÇÕES DE TELECOMUNICAÇÃO</t>
        </is>
      </c>
      <c r="D256" s="32" t="inlineStr">
        <is>
          <t>ELETRODUTOS</t>
        </is>
      </c>
      <c r="E256" s="32" t="inlineStr">
        <is>
          <t>PVC Flexível Antichama - NBR 15465 ø3"</t>
        </is>
      </c>
      <c r="F256" s="33" t="n">
        <v>6</v>
      </c>
      <c r="G256" s="33" t="n">
        <v>1</v>
      </c>
      <c r="H256" s="34" t="n">
        <v>0</v>
      </c>
      <c r="I256" s="35">
        <f>(F256+H256*F256)*G256</f>
        <v/>
      </c>
      <c r="J256" s="33" t="inlineStr">
        <is>
          <t>m</t>
        </is>
      </c>
      <c r="K256" s="36" t="n">
        <v>0</v>
      </c>
      <c r="L256" s="37">
        <f>I256*K256</f>
        <v/>
      </c>
      <c r="N256" t="inlineStr">
        <is>
          <t>Torre B</t>
        </is>
      </c>
    </row>
    <row r="257">
      <c r="A257" s="32">
        <f>A247</f>
        <v/>
      </c>
      <c r="B257" s="32">
        <f>B247</f>
        <v/>
      </c>
      <c r="C257" s="32" t="inlineStr">
        <is>
          <t>INSTALAÇÕES DE TELECOMUNICAÇÃO</t>
        </is>
      </c>
      <c r="D257" s="32" t="inlineStr">
        <is>
          <t>CAIXA DE PASSAGEM</t>
        </is>
      </c>
      <c r="E257" s="32" t="inlineStr">
        <is>
          <t>Cx de passagem de embutir com dimensão de 40x120x15cm</t>
        </is>
      </c>
      <c r="F257" s="33" t="n">
        <v>1</v>
      </c>
      <c r="G257" s="33" t="n">
        <v>1</v>
      </c>
      <c r="H257" s="34" t="n">
        <v>0</v>
      </c>
      <c r="I257" s="35">
        <f>(F257+H257*F257)*G257</f>
        <v/>
      </c>
      <c r="J257" s="33" t="inlineStr">
        <is>
          <t>pç</t>
        </is>
      </c>
      <c r="K257" s="36" t="n">
        <v>0</v>
      </c>
      <c r="L257" s="37">
        <f>I257*K257</f>
        <v/>
      </c>
      <c r="N257" t="inlineStr">
        <is>
          <t>Torre B</t>
        </is>
      </c>
    </row>
    <row r="258">
      <c r="A258" s="32">
        <f>A247</f>
        <v/>
      </c>
      <c r="B258" s="32">
        <f>B247</f>
        <v/>
      </c>
      <c r="C258" s="32" t="inlineStr">
        <is>
          <t>INSTALAÇÕES DE TELECOMUNICAÇÃO</t>
        </is>
      </c>
      <c r="D258" s="32" t="inlineStr">
        <is>
          <t>COTOVELOS</t>
        </is>
      </c>
      <c r="E258" s="32" t="inlineStr">
        <is>
          <t>Cotovelo para eletroduto flexível PVC amarelo</t>
        </is>
      </c>
      <c r="F258" s="33" t="n">
        <v>118</v>
      </c>
      <c r="G258" s="33" t="n">
        <v>1</v>
      </c>
      <c r="H258" s="34" t="n">
        <v>0</v>
      </c>
      <c r="I258" s="35">
        <f>(F258+H258*F258)*G258</f>
        <v/>
      </c>
      <c r="J258" s="33" t="inlineStr">
        <is>
          <t>un</t>
        </is>
      </c>
      <c r="K258" s="36" t="n">
        <v>0</v>
      </c>
      <c r="L258" s="37">
        <f>I258*K258</f>
        <v/>
      </c>
      <c r="N258" t="inlineStr">
        <is>
          <t>Torre B</t>
        </is>
      </c>
    </row>
    <row r="259">
      <c r="A259" s="32">
        <f>A247</f>
        <v/>
      </c>
      <c r="B259" s="32">
        <f>B247</f>
        <v/>
      </c>
      <c r="C259" s="32" t="inlineStr">
        <is>
          <t>INSTALAÇÕES DE TELECOMUNICAÇÃO</t>
        </is>
      </c>
      <c r="D259" s="32" t="inlineStr">
        <is>
          <t>CONECTORES E BUCHAS</t>
        </is>
      </c>
      <c r="E259" s="32" t="inlineStr">
        <is>
          <t>Conector box e arruela - Alumínio padrão</t>
        </is>
      </c>
      <c r="F259" s="33" t="n">
        <v>13</v>
      </c>
      <c r="G259" s="33" t="n">
        <v>1</v>
      </c>
      <c r="H259" s="34" t="n">
        <v>0</v>
      </c>
      <c r="I259" s="35">
        <f>(F259+H259*F259)*G259</f>
        <v/>
      </c>
      <c r="J259" s="33" t="inlineStr">
        <is>
          <t>un</t>
        </is>
      </c>
      <c r="K259" s="36" t="n">
        <v>0</v>
      </c>
      <c r="L259" s="37">
        <f>I259*K259</f>
        <v/>
      </c>
      <c r="N259" t="inlineStr">
        <is>
          <t>Torre B</t>
        </is>
      </c>
    </row>
    <row r="260">
      <c r="A260" s="32">
        <f>A247</f>
        <v/>
      </c>
      <c r="B260" s="32">
        <f>B247</f>
        <v/>
      </c>
      <c r="C260" s="32" t="inlineStr">
        <is>
          <t>INSTALAÇÕES DE TELECOMUNICAÇÃO</t>
        </is>
      </c>
      <c r="D260" s="32" t="inlineStr">
        <is>
          <t>CONDUTORES TELECOM</t>
        </is>
      </c>
      <c r="E260" s="32" t="inlineStr">
        <is>
          <t>Condutor CFTV</t>
        </is>
      </c>
      <c r="F260" s="33" t="n">
        <v>10</v>
      </c>
      <c r="G260" s="33" t="n">
        <v>1</v>
      </c>
      <c r="H260" s="34" t="n">
        <v>0</v>
      </c>
      <c r="I260" s="35">
        <f>(F260+H260*F260)*G260</f>
        <v/>
      </c>
      <c r="J260" s="33" t="inlineStr">
        <is>
          <t>un</t>
        </is>
      </c>
      <c r="K260" s="36" t="n">
        <v>0</v>
      </c>
      <c r="L260" s="37">
        <f>I260*K260</f>
        <v/>
      </c>
      <c r="N260" t="inlineStr">
        <is>
          <t>Torre B</t>
        </is>
      </c>
    </row>
    <row r="261">
      <c r="A261" s="32">
        <f>A247</f>
        <v/>
      </c>
      <c r="B261" s="32">
        <f>B247</f>
        <v/>
      </c>
      <c r="C261" s="32" t="inlineStr">
        <is>
          <t>INSTALAÇÕES DE TELECOMUNICAÇÃO</t>
        </is>
      </c>
      <c r="D261" s="32" t="inlineStr">
        <is>
          <t>CONDUTORES TELECOM</t>
        </is>
      </c>
      <c r="E261" s="32" t="inlineStr">
        <is>
          <t>Condutor Cordplast</t>
        </is>
      </c>
      <c r="F261" s="33" t="n">
        <v>10</v>
      </c>
      <c r="G261" s="33" t="n">
        <v>1</v>
      </c>
      <c r="H261" s="34" t="n">
        <v>0</v>
      </c>
      <c r="I261" s="35">
        <f>(F261+H261*F261)*G261</f>
        <v/>
      </c>
      <c r="J261" s="33" t="inlineStr">
        <is>
          <t>un</t>
        </is>
      </c>
      <c r="K261" s="36" t="n">
        <v>0</v>
      </c>
      <c r="L261" s="37">
        <f>I261*K261</f>
        <v/>
      </c>
      <c r="N261" t="inlineStr">
        <is>
          <t>Torre B</t>
        </is>
      </c>
    </row>
    <row r="262">
      <c r="A262" s="32">
        <f>A247</f>
        <v/>
      </c>
      <c r="B262" s="32">
        <f>B247</f>
        <v/>
      </c>
      <c r="C262" s="32" t="inlineStr">
        <is>
          <t>INSTALAÇÕES DE TELECOMUNICAÇÃO</t>
        </is>
      </c>
      <c r="D262" s="32" t="inlineStr">
        <is>
          <t>PONTOS DE USO</t>
        </is>
      </c>
      <c r="E262" s="32" t="inlineStr">
        <is>
          <t>Caixa 4x2 - Interfone</t>
        </is>
      </c>
      <c r="F262" s="33" t="n">
        <v>4</v>
      </c>
      <c r="G262" s="33" t="n">
        <v>1</v>
      </c>
      <c r="H262" s="34" t="n">
        <v>0</v>
      </c>
      <c r="I262" s="35">
        <f>(F262+H262*F262)*G262</f>
        <v/>
      </c>
      <c r="J262" s="33" t="inlineStr">
        <is>
          <t>un</t>
        </is>
      </c>
      <c r="K262" s="36" t="n">
        <v>0</v>
      </c>
      <c r="L262" s="37">
        <f>I262*K262</f>
        <v/>
      </c>
      <c r="N262" t="inlineStr">
        <is>
          <t>Torre B</t>
        </is>
      </c>
    </row>
    <row r="263">
      <c r="A263" s="32">
        <f>A247</f>
        <v/>
      </c>
      <c r="B263" s="32">
        <f>B247</f>
        <v/>
      </c>
      <c r="C263" s="32" t="inlineStr">
        <is>
          <t>INSTALAÇÕES DE TELECOMUNICAÇÃO</t>
        </is>
      </c>
      <c r="D263" s="32" t="inlineStr">
        <is>
          <t>PONTOS DE USO</t>
        </is>
      </c>
      <c r="E263" s="32" t="inlineStr">
        <is>
          <t>Caixa 4x2 - Câmera CFTV</t>
        </is>
      </c>
      <c r="F263" s="33" t="n">
        <v>5</v>
      </c>
      <c r="G263" s="33" t="n">
        <v>1</v>
      </c>
      <c r="H263" s="34" t="n">
        <v>0</v>
      </c>
      <c r="I263" s="35">
        <f>(F263+H263*F263)*G263</f>
        <v/>
      </c>
      <c r="J263" s="33" t="inlineStr">
        <is>
          <t>un</t>
        </is>
      </c>
      <c r="K263" s="36" t="n">
        <v>0</v>
      </c>
      <c r="L263" s="37">
        <f>I263*K263</f>
        <v/>
      </c>
      <c r="N263" t="inlineStr">
        <is>
          <t>Torre B</t>
        </is>
      </c>
    </row>
    <row r="264">
      <c r="A264" s="23" t="inlineStr">
        <is>
          <t>Torre B</t>
        </is>
      </c>
      <c r="B264" s="23" t="inlineStr">
        <is>
          <t>GARAGEM 03</t>
        </is>
      </c>
      <c r="C264" s="24" t="n"/>
      <c r="D264" s="25" t="n"/>
      <c r="E264" s="25" t="n"/>
      <c r="F264" s="26" t="n"/>
      <c r="G264" s="26" t="n"/>
      <c r="H264" s="26" t="n"/>
      <c r="I264" s="27" t="n"/>
      <c r="J264" s="26" t="n"/>
      <c r="K264" s="28" t="n"/>
      <c r="L264" s="29">
        <f>IF(SUM(F264:K264)=0,SUMIFS($L265:$L$9999,$B265:$B$9999,$B264,$A265:$A$9999,$A264),I264*K264)</f>
        <v/>
      </c>
      <c r="N264" t="inlineStr">
        <is>
          <t>Torre B</t>
        </is>
      </c>
    </row>
    <row r="265">
      <c r="A265" s="32">
        <f>A264</f>
        <v/>
      </c>
      <c r="B265" s="32">
        <f>B264</f>
        <v/>
      </c>
      <c r="C265" s="32" t="inlineStr">
        <is>
          <t>INSTALAÇÕES DE TELECOMUNICAÇÃO</t>
        </is>
      </c>
      <c r="D265" s="32" t="inlineStr">
        <is>
          <t>CAIXA OCTOGONAL</t>
        </is>
      </c>
      <c r="E265" s="32" t="inlineStr">
        <is>
          <t>Caixa Octogonal Padrão NBR IEC 60670</t>
        </is>
      </c>
      <c r="F265" s="33" t="n">
        <v>23</v>
      </c>
      <c r="G265" s="33" t="n">
        <v>1</v>
      </c>
      <c r="H265" s="34" t="n">
        <v>0</v>
      </c>
      <c r="I265" s="35">
        <f>(F265+H265*F265)*G265</f>
        <v/>
      </c>
      <c r="J265" s="33" t="inlineStr">
        <is>
          <t>pç</t>
        </is>
      </c>
      <c r="K265" s="36" t="n">
        <v>9.800000000000001</v>
      </c>
      <c r="L265" s="37">
        <f>I265*K265</f>
        <v/>
      </c>
      <c r="N265" t="inlineStr">
        <is>
          <t>Torre B</t>
        </is>
      </c>
    </row>
    <row r="266">
      <c r="A266" s="32">
        <f>A264</f>
        <v/>
      </c>
      <c r="B266" s="32">
        <f>B264</f>
        <v/>
      </c>
      <c r="C266" s="32" t="inlineStr">
        <is>
          <t>INSTALAÇÕES DE TELECOMUNICAÇÃO</t>
        </is>
      </c>
      <c r="D266" s="32" t="inlineStr">
        <is>
          <t>CAIXA OCTOGONAL</t>
        </is>
      </c>
      <c r="E266" s="32" t="inlineStr">
        <is>
          <t>Placa cega para caixa octogonal Padrão NBR IEC 60670</t>
        </is>
      </c>
      <c r="F266" s="33" t="n">
        <v>2</v>
      </c>
      <c r="G266" s="33" t="n">
        <v>1</v>
      </c>
      <c r="H266" s="34" t="n">
        <v>0</v>
      </c>
      <c r="I266" s="35">
        <f>(F266+H266*F266)*G266</f>
        <v/>
      </c>
      <c r="J266" s="33" t="inlineStr">
        <is>
          <t>pç</t>
        </is>
      </c>
      <c r="K266" s="36" t="n">
        <v>6.5</v>
      </c>
      <c r="L266" s="37">
        <f>I266*K266</f>
        <v/>
      </c>
      <c r="N266" t="inlineStr">
        <is>
          <t>Torre B</t>
        </is>
      </c>
    </row>
    <row r="267">
      <c r="A267" s="32">
        <f>A264</f>
        <v/>
      </c>
      <c r="B267" s="32">
        <f>B264</f>
        <v/>
      </c>
      <c r="C267" s="32" t="inlineStr">
        <is>
          <t>INSTALAÇÕES DE TELECOMUNICAÇÃO</t>
        </is>
      </c>
      <c r="D267" s="32" t="inlineStr">
        <is>
          <t>CAIXA 4x2" E 4x4"</t>
        </is>
      </c>
      <c r="E267" s="32" t="inlineStr">
        <is>
          <t>Caixa 4x2" de Embutir em PVC Padrão NBR IEC 60670</t>
        </is>
      </c>
      <c r="F267" s="33" t="n">
        <v>1</v>
      </c>
      <c r="G267" s="33" t="n">
        <v>1</v>
      </c>
      <c r="H267" s="34" t="n">
        <v>0</v>
      </c>
      <c r="I267" s="35">
        <f>(F267+H267*F267)*G267</f>
        <v/>
      </c>
      <c r="J267" s="33" t="inlineStr">
        <is>
          <t>pç</t>
        </is>
      </c>
      <c r="K267" s="36" t="n">
        <v>5.9</v>
      </c>
      <c r="L267" s="37">
        <f>I267*K267</f>
        <v/>
      </c>
      <c r="N267" t="inlineStr">
        <is>
          <t>Torre B</t>
        </is>
      </c>
    </row>
    <row r="268">
      <c r="A268" s="32">
        <f>A264</f>
        <v/>
      </c>
      <c r="B268" s="32">
        <f>B264</f>
        <v/>
      </c>
      <c r="C268" s="32" t="inlineStr">
        <is>
          <t>INSTALAÇÕES DE TELECOMUNICAÇÃO</t>
        </is>
      </c>
      <c r="D268" s="32" t="inlineStr">
        <is>
          <t>CAIXA 4x2" E 4x4"</t>
        </is>
      </c>
      <c r="E268" s="32" t="inlineStr">
        <is>
          <t>Placa 4x2" cega Padrão NBR IEC 60670</t>
        </is>
      </c>
      <c r="F268" s="33" t="n">
        <v>1</v>
      </c>
      <c r="G268" s="33" t="n">
        <v>1</v>
      </c>
      <c r="H268" s="34" t="n">
        <v>0</v>
      </c>
      <c r="I268" s="35">
        <f>(F268+H268*F268)*G268</f>
        <v/>
      </c>
      <c r="J268" s="33" t="inlineStr">
        <is>
          <t>pç</t>
        </is>
      </c>
      <c r="K268" s="36" t="n">
        <v>4.5</v>
      </c>
      <c r="L268" s="37">
        <f>I268*K268</f>
        <v/>
      </c>
      <c r="N268" t="inlineStr">
        <is>
          <t>Torre B</t>
        </is>
      </c>
    </row>
    <row r="269">
      <c r="A269" s="32">
        <f>A264</f>
        <v/>
      </c>
      <c r="B269" s="32">
        <f>B264</f>
        <v/>
      </c>
      <c r="C269" s="32" t="inlineStr">
        <is>
          <t>INSTALAÇÕES DE TELECOMUNICAÇÃO</t>
        </is>
      </c>
      <c r="D269" s="32" t="inlineStr">
        <is>
          <t>CAIXA 4x2" E 4x4"</t>
        </is>
      </c>
      <c r="E269" s="32" t="inlineStr">
        <is>
          <t>Suporte p/ caixa 4x2" Padrão NBR IEC 60670</t>
        </is>
      </c>
      <c r="F269" s="33" t="n">
        <v>1</v>
      </c>
      <c r="G269" s="33" t="n">
        <v>1</v>
      </c>
      <c r="H269" s="34" t="n">
        <v>0</v>
      </c>
      <c r="I269" s="35">
        <f>(F269+H269*F269)*G269</f>
        <v/>
      </c>
      <c r="J269" s="33" t="inlineStr">
        <is>
          <t>pç</t>
        </is>
      </c>
      <c r="K269" s="36" t="n">
        <v>2.4</v>
      </c>
      <c r="L269" s="37">
        <f>I269*K269</f>
        <v/>
      </c>
      <c r="N269" t="inlineStr">
        <is>
          <t>Torre B</t>
        </is>
      </c>
    </row>
    <row r="270">
      <c r="A270" s="32">
        <f>A264</f>
        <v/>
      </c>
      <c r="B270" s="32">
        <f>B264</f>
        <v/>
      </c>
      <c r="C270" s="32" t="inlineStr">
        <is>
          <t>INSTALAÇÕES DE TELECOMUNICAÇÃO</t>
        </is>
      </c>
      <c r="D270" s="32" t="inlineStr">
        <is>
          <t>ELETRODUTOS</t>
        </is>
      </c>
      <c r="E270" s="32" t="inlineStr">
        <is>
          <t>PVC Flexível Antichama - NBR 15465 ø1"</t>
        </is>
      </c>
      <c r="F270" s="33" t="n">
        <v>89</v>
      </c>
      <c r="G270" s="33" t="n">
        <v>1</v>
      </c>
      <c r="H270" s="34" t="n">
        <v>0</v>
      </c>
      <c r="I270" s="35">
        <f>(F270+H270*F270)*G270</f>
        <v/>
      </c>
      <c r="J270" s="33" t="inlineStr">
        <is>
          <t>m</t>
        </is>
      </c>
      <c r="K270" s="36" t="n">
        <v>11.9</v>
      </c>
      <c r="L270" s="37">
        <f>I270*K270</f>
        <v/>
      </c>
      <c r="N270" t="inlineStr">
        <is>
          <t>Torre B</t>
        </is>
      </c>
    </row>
    <row r="271">
      <c r="A271" s="32">
        <f>A264</f>
        <v/>
      </c>
      <c r="B271" s="32">
        <f>B264</f>
        <v/>
      </c>
      <c r="C271" s="32" t="inlineStr">
        <is>
          <t>INSTALAÇÕES DE TELECOMUNICAÇÃO</t>
        </is>
      </c>
      <c r="D271" s="32" t="inlineStr">
        <is>
          <t>ELETRODUTOS</t>
        </is>
      </c>
      <c r="E271" s="32" t="inlineStr">
        <is>
          <t>PVC Flexível Antichama - NBR 15465 ø3/4"</t>
        </is>
      </c>
      <c r="F271" s="33" t="n">
        <v>48</v>
      </c>
      <c r="G271" s="33" t="n">
        <v>1</v>
      </c>
      <c r="H271" s="34" t="n">
        <v>0</v>
      </c>
      <c r="I271" s="35">
        <f>(F271+H271*F271)*G271</f>
        <v/>
      </c>
      <c r="J271" s="33" t="inlineStr">
        <is>
          <t>m</t>
        </is>
      </c>
      <c r="K271" s="36" t="n">
        <v>7.5</v>
      </c>
      <c r="L271" s="37">
        <f>I271*K271</f>
        <v/>
      </c>
      <c r="N271" t="inlineStr">
        <is>
          <t>Torre B</t>
        </is>
      </c>
    </row>
    <row r="272">
      <c r="A272" s="32">
        <f>A264</f>
        <v/>
      </c>
      <c r="B272" s="32">
        <f>B264</f>
        <v/>
      </c>
      <c r="C272" s="32" t="inlineStr">
        <is>
          <t>INSTALAÇÕES DE TELECOMUNICAÇÃO</t>
        </is>
      </c>
      <c r="D272" s="32" t="inlineStr">
        <is>
          <t>QUADROS DE DISTRIBUIÇÃO</t>
        </is>
      </c>
      <c r="E272" s="32" t="inlineStr">
        <is>
          <t>Embutir - 486x510x109mm</t>
        </is>
      </c>
      <c r="F272" s="33" t="n">
        <v>1</v>
      </c>
      <c r="G272" s="33" t="n">
        <v>1</v>
      </c>
      <c r="H272" s="34" t="n">
        <v>0</v>
      </c>
      <c r="I272" s="35">
        <f>(F272+H272*F272)*G272</f>
        <v/>
      </c>
      <c r="J272" s="33" t="inlineStr">
        <is>
          <t>pç</t>
        </is>
      </c>
      <c r="K272" s="36" t="n">
        <v>465</v>
      </c>
      <c r="L272" s="37">
        <f>I272*K272</f>
        <v/>
      </c>
      <c r="N272" t="inlineStr">
        <is>
          <t>Torre B</t>
        </is>
      </c>
    </row>
    <row r="273">
      <c r="A273" s="32">
        <f>A264</f>
        <v/>
      </c>
      <c r="B273" s="32">
        <f>B264</f>
        <v/>
      </c>
      <c r="C273" s="32" t="inlineStr">
        <is>
          <t>INSTALAÇÕES DE TELECOMUNICAÇÃO</t>
        </is>
      </c>
      <c r="D273" s="32" t="inlineStr">
        <is>
          <t>ELETRODUTOS</t>
        </is>
      </c>
      <c r="E273" s="32" t="inlineStr">
        <is>
          <t>PVC Flexível Antichama - NBR 15465 ø3"</t>
        </is>
      </c>
      <c r="F273" s="33" t="n">
        <v>6</v>
      </c>
      <c r="G273" s="33" t="n">
        <v>1</v>
      </c>
      <c r="H273" s="34" t="n">
        <v>0</v>
      </c>
      <c r="I273" s="35">
        <f>(F273+H273*F273)*G273</f>
        <v/>
      </c>
      <c r="J273" s="33" t="inlineStr">
        <is>
          <t>m</t>
        </is>
      </c>
      <c r="K273" s="36" t="n">
        <v>0</v>
      </c>
      <c r="L273" s="37">
        <f>I273*K273</f>
        <v/>
      </c>
      <c r="N273" t="inlineStr">
        <is>
          <t>Torre B</t>
        </is>
      </c>
    </row>
    <row r="274">
      <c r="A274" s="32">
        <f>A264</f>
        <v/>
      </c>
      <c r="B274" s="32">
        <f>B264</f>
        <v/>
      </c>
      <c r="C274" s="32" t="inlineStr">
        <is>
          <t>INSTALAÇÕES DE TELECOMUNICAÇÃO</t>
        </is>
      </c>
      <c r="D274" s="32" t="inlineStr">
        <is>
          <t>CAIXA DE PASSAGEM</t>
        </is>
      </c>
      <c r="E274" s="32" t="inlineStr">
        <is>
          <t>Cx de passagem de embutir com dimensão de 40x120x15cm</t>
        </is>
      </c>
      <c r="F274" s="33" t="n">
        <v>1</v>
      </c>
      <c r="G274" s="33" t="n">
        <v>1</v>
      </c>
      <c r="H274" s="34" t="n">
        <v>0</v>
      </c>
      <c r="I274" s="35">
        <f>(F274+H274*F274)*G274</f>
        <v/>
      </c>
      <c r="J274" s="33" t="inlineStr">
        <is>
          <t>pç</t>
        </is>
      </c>
      <c r="K274" s="36" t="n">
        <v>0</v>
      </c>
      <c r="L274" s="37">
        <f>I274*K274</f>
        <v/>
      </c>
      <c r="N274" t="inlineStr">
        <is>
          <t>Torre B</t>
        </is>
      </c>
    </row>
    <row r="275">
      <c r="A275" s="32">
        <f>A264</f>
        <v/>
      </c>
      <c r="B275" s="32">
        <f>B264</f>
        <v/>
      </c>
      <c r="C275" s="32" t="inlineStr">
        <is>
          <t>INSTALAÇÕES DE TELECOMUNICAÇÃO</t>
        </is>
      </c>
      <c r="D275" s="32" t="inlineStr">
        <is>
          <t>COTOVELOS</t>
        </is>
      </c>
      <c r="E275" s="32" t="inlineStr">
        <is>
          <t>Cotovelo para eletroduto flexível PVC amarelo</t>
        </is>
      </c>
      <c r="F275" s="33" t="n">
        <v>117</v>
      </c>
      <c r="G275" s="33" t="n">
        <v>1</v>
      </c>
      <c r="H275" s="34" t="n">
        <v>0</v>
      </c>
      <c r="I275" s="35">
        <f>(F275+H275*F275)*G275</f>
        <v/>
      </c>
      <c r="J275" s="33" t="inlineStr">
        <is>
          <t>un</t>
        </is>
      </c>
      <c r="K275" s="36" t="n">
        <v>0</v>
      </c>
      <c r="L275" s="37">
        <f>I275*K275</f>
        <v/>
      </c>
      <c r="N275" t="inlineStr">
        <is>
          <t>Torre B</t>
        </is>
      </c>
    </row>
    <row r="276">
      <c r="A276" s="32">
        <f>A264</f>
        <v/>
      </c>
      <c r="B276" s="32">
        <f>B264</f>
        <v/>
      </c>
      <c r="C276" s="32" t="inlineStr">
        <is>
          <t>INSTALAÇÕES DE TELECOMUNICAÇÃO</t>
        </is>
      </c>
      <c r="D276" s="32" t="inlineStr">
        <is>
          <t>CONECTORES E BUCHAS</t>
        </is>
      </c>
      <c r="E276" s="32" t="inlineStr">
        <is>
          <t>Conector box e arruela - Alumínio padrão</t>
        </is>
      </c>
      <c r="F276" s="33" t="n">
        <v>14</v>
      </c>
      <c r="G276" s="33" t="n">
        <v>1</v>
      </c>
      <c r="H276" s="34" t="n">
        <v>0</v>
      </c>
      <c r="I276" s="35">
        <f>(F276+H276*F276)*G276</f>
        <v/>
      </c>
      <c r="J276" s="33" t="inlineStr">
        <is>
          <t>un</t>
        </is>
      </c>
      <c r="K276" s="36" t="n">
        <v>0</v>
      </c>
      <c r="L276" s="37">
        <f>I276*K276</f>
        <v/>
      </c>
      <c r="N276" t="inlineStr">
        <is>
          <t>Torre B</t>
        </is>
      </c>
    </row>
    <row r="277">
      <c r="A277" s="32">
        <f>A264</f>
        <v/>
      </c>
      <c r="B277" s="32">
        <f>B264</f>
        <v/>
      </c>
      <c r="C277" s="32" t="inlineStr">
        <is>
          <t>INSTALAÇÕES DE TELECOMUNICAÇÃO</t>
        </is>
      </c>
      <c r="D277" s="32" t="inlineStr">
        <is>
          <t>CONDUTORES TELECOM</t>
        </is>
      </c>
      <c r="E277" s="32" t="inlineStr">
        <is>
          <t>Condutor CFTV</t>
        </is>
      </c>
      <c r="F277" s="33" t="n">
        <v>10</v>
      </c>
      <c r="G277" s="33" t="n">
        <v>1</v>
      </c>
      <c r="H277" s="34" t="n">
        <v>0</v>
      </c>
      <c r="I277" s="35">
        <f>(F277+H277*F277)*G277</f>
        <v/>
      </c>
      <c r="J277" s="33" t="inlineStr">
        <is>
          <t>un</t>
        </is>
      </c>
      <c r="K277" s="36" t="n">
        <v>0</v>
      </c>
      <c r="L277" s="37">
        <f>I277*K277</f>
        <v/>
      </c>
      <c r="N277" t="inlineStr">
        <is>
          <t>Torre B</t>
        </is>
      </c>
    </row>
    <row r="278">
      <c r="A278" s="32">
        <f>A264</f>
        <v/>
      </c>
      <c r="B278" s="32">
        <f>B264</f>
        <v/>
      </c>
      <c r="C278" s="32" t="inlineStr">
        <is>
          <t>INSTALAÇÕES DE TELECOMUNICAÇÃO</t>
        </is>
      </c>
      <c r="D278" s="32" t="inlineStr">
        <is>
          <t>CONDUTORES TELECOM</t>
        </is>
      </c>
      <c r="E278" s="32" t="inlineStr">
        <is>
          <t>Condutor Cordplast</t>
        </is>
      </c>
      <c r="F278" s="33" t="n">
        <v>10</v>
      </c>
      <c r="G278" s="33" t="n">
        <v>1</v>
      </c>
      <c r="H278" s="34" t="n">
        <v>0</v>
      </c>
      <c r="I278" s="35">
        <f>(F278+H278*F278)*G278</f>
        <v/>
      </c>
      <c r="J278" s="33" t="inlineStr">
        <is>
          <t>un</t>
        </is>
      </c>
      <c r="K278" s="36" t="n">
        <v>0</v>
      </c>
      <c r="L278" s="37">
        <f>I278*K278</f>
        <v/>
      </c>
      <c r="N278" t="inlineStr">
        <is>
          <t>Torre B</t>
        </is>
      </c>
    </row>
    <row r="279">
      <c r="A279" s="32">
        <f>A264</f>
        <v/>
      </c>
      <c r="B279" s="32">
        <f>B264</f>
        <v/>
      </c>
      <c r="C279" s="32" t="inlineStr">
        <is>
          <t>INSTALAÇÕES DE TELECOMUNICAÇÃO</t>
        </is>
      </c>
      <c r="D279" s="32" t="inlineStr">
        <is>
          <t>PONTOS DE USO</t>
        </is>
      </c>
      <c r="E279" s="32" t="inlineStr">
        <is>
          <t>Caixa 4x2 - Interfone</t>
        </is>
      </c>
      <c r="F279" s="33" t="n">
        <v>4</v>
      </c>
      <c r="G279" s="33" t="n">
        <v>1</v>
      </c>
      <c r="H279" s="34" t="n">
        <v>0</v>
      </c>
      <c r="I279" s="35">
        <f>(F279+H279*F279)*G279</f>
        <v/>
      </c>
      <c r="J279" s="33" t="inlineStr">
        <is>
          <t>un</t>
        </is>
      </c>
      <c r="K279" s="36" t="n">
        <v>0</v>
      </c>
      <c r="L279" s="37">
        <f>I279*K279</f>
        <v/>
      </c>
      <c r="N279" t="inlineStr">
        <is>
          <t>Torre B</t>
        </is>
      </c>
    </row>
    <row r="280">
      <c r="A280" s="32">
        <f>A264</f>
        <v/>
      </c>
      <c r="B280" s="32">
        <f>B264</f>
        <v/>
      </c>
      <c r="C280" s="32" t="inlineStr">
        <is>
          <t>INSTALAÇÕES DE TELECOMUNICAÇÃO</t>
        </is>
      </c>
      <c r="D280" s="32" t="inlineStr">
        <is>
          <t>PONTOS DE USO</t>
        </is>
      </c>
      <c r="E280" s="32" t="inlineStr">
        <is>
          <t>Caixa 4x2 - Câmera CFTV</t>
        </is>
      </c>
      <c r="F280" s="33" t="n">
        <v>5</v>
      </c>
      <c r="G280" s="33" t="n">
        <v>1</v>
      </c>
      <c r="H280" s="34" t="n">
        <v>0</v>
      </c>
      <c r="I280" s="35">
        <f>(F280+H280*F280)*G280</f>
        <v/>
      </c>
      <c r="J280" s="33" t="inlineStr">
        <is>
          <t>un</t>
        </is>
      </c>
      <c r="K280" s="36" t="n">
        <v>0</v>
      </c>
      <c r="L280" s="37">
        <f>I280*K280</f>
        <v/>
      </c>
      <c r="N280" t="inlineStr">
        <is>
          <t>Torre B</t>
        </is>
      </c>
    </row>
    <row r="281">
      <c r="A281" s="23" t="inlineStr">
        <is>
          <t>Torre B</t>
        </is>
      </c>
      <c r="B281" s="23" t="inlineStr">
        <is>
          <t>GARAGEM 04</t>
        </is>
      </c>
      <c r="C281" s="24" t="n"/>
      <c r="D281" s="25" t="n"/>
      <c r="E281" s="25" t="n"/>
      <c r="F281" s="26" t="n"/>
      <c r="G281" s="26" t="n"/>
      <c r="H281" s="26" t="n"/>
      <c r="I281" s="27" t="n"/>
      <c r="J281" s="26" t="n"/>
      <c r="K281" s="28" t="n"/>
      <c r="L281" s="29">
        <f>IF(SUM(F281:K281)=0,SUMIFS($L282:$L$9999,$B282:$B$9999,$B281,$A282:$A$9999,$A281),I281*K281)</f>
        <v/>
      </c>
      <c r="N281" t="inlineStr">
        <is>
          <t>Torre B</t>
        </is>
      </c>
    </row>
    <row r="282">
      <c r="A282" s="32">
        <f>A281</f>
        <v/>
      </c>
      <c r="B282" s="32">
        <f>B281</f>
        <v/>
      </c>
      <c r="C282" s="32" t="inlineStr">
        <is>
          <t>INSTALAÇÕES DE TELECOMUNICAÇÃO</t>
        </is>
      </c>
      <c r="D282" s="32" t="inlineStr">
        <is>
          <t>CAIXA OCTOGONAL</t>
        </is>
      </c>
      <c r="E282" s="32" t="inlineStr">
        <is>
          <t>Caixa Octogonal Padrão NBR IEC 60670</t>
        </is>
      </c>
      <c r="F282" s="33" t="n">
        <v>20</v>
      </c>
      <c r="G282" s="33" t="n">
        <v>1</v>
      </c>
      <c r="H282" s="34" t="n">
        <v>0</v>
      </c>
      <c r="I282" s="35">
        <f>(F282+H282*F282)*G282</f>
        <v/>
      </c>
      <c r="J282" s="33" t="inlineStr">
        <is>
          <t>pç</t>
        </is>
      </c>
      <c r="K282" s="36" t="n">
        <v>9.800000000000001</v>
      </c>
      <c r="L282" s="37">
        <f>I282*K282</f>
        <v/>
      </c>
      <c r="N282" t="inlineStr">
        <is>
          <t>Torre B</t>
        </is>
      </c>
    </row>
    <row r="283">
      <c r="A283" s="32">
        <f>A281</f>
        <v/>
      </c>
      <c r="B283" s="32">
        <f>B281</f>
        <v/>
      </c>
      <c r="C283" s="32" t="inlineStr">
        <is>
          <t>INSTALAÇÕES DE TELECOMUNICAÇÃO</t>
        </is>
      </c>
      <c r="D283" s="32" t="inlineStr">
        <is>
          <t>CAIXA OCTOGONAL</t>
        </is>
      </c>
      <c r="E283" s="32" t="inlineStr">
        <is>
          <t>Placa cega para caixa octogonal Padrão NBR IEC 60670</t>
        </is>
      </c>
      <c r="F283" s="33" t="n">
        <v>1</v>
      </c>
      <c r="G283" s="33" t="n">
        <v>1</v>
      </c>
      <c r="H283" s="34" t="n">
        <v>0</v>
      </c>
      <c r="I283" s="35">
        <f>(F283+H283*F283)*G283</f>
        <v/>
      </c>
      <c r="J283" s="33" t="inlineStr">
        <is>
          <t>pç</t>
        </is>
      </c>
      <c r="K283" s="36" t="n">
        <v>6.5</v>
      </c>
      <c r="L283" s="37">
        <f>I283*K283</f>
        <v/>
      </c>
      <c r="N283" t="inlineStr">
        <is>
          <t>Torre B</t>
        </is>
      </c>
    </row>
    <row r="284">
      <c r="A284" s="32">
        <f>A281</f>
        <v/>
      </c>
      <c r="B284" s="32">
        <f>B281</f>
        <v/>
      </c>
      <c r="C284" s="32" t="inlineStr">
        <is>
          <t>INSTALAÇÕES DE TELECOMUNICAÇÃO</t>
        </is>
      </c>
      <c r="D284" s="32" t="inlineStr">
        <is>
          <t>ELETRODUTOS</t>
        </is>
      </c>
      <c r="E284" s="32" t="inlineStr">
        <is>
          <t>PVC Flexível Antichama - NBR 15465 ø1"</t>
        </is>
      </c>
      <c r="F284" s="33" t="n">
        <v>71</v>
      </c>
      <c r="G284" s="33" t="n">
        <v>1</v>
      </c>
      <c r="H284" s="34" t="n">
        <v>0</v>
      </c>
      <c r="I284" s="35">
        <f>(F284+H284*F284)*G284</f>
        <v/>
      </c>
      <c r="J284" s="33" t="inlineStr">
        <is>
          <t>m</t>
        </is>
      </c>
      <c r="K284" s="36" t="n">
        <v>11.9</v>
      </c>
      <c r="L284" s="37">
        <f>I284*K284</f>
        <v/>
      </c>
      <c r="N284" t="inlineStr">
        <is>
          <t>Torre B</t>
        </is>
      </c>
    </row>
    <row r="285">
      <c r="A285" s="32">
        <f>A281</f>
        <v/>
      </c>
      <c r="B285" s="32">
        <f>B281</f>
        <v/>
      </c>
      <c r="C285" s="32" t="inlineStr">
        <is>
          <t>INSTALAÇÕES DE TELECOMUNICAÇÃO</t>
        </is>
      </c>
      <c r="D285" s="32" t="inlineStr">
        <is>
          <t>ELETRODUTOS</t>
        </is>
      </c>
      <c r="E285" s="32" t="inlineStr">
        <is>
          <t>PVC Flexível Antichama - NBR 15465 ø3/4"</t>
        </is>
      </c>
      <c r="F285" s="33" t="n">
        <v>42</v>
      </c>
      <c r="G285" s="33" t="n">
        <v>1</v>
      </c>
      <c r="H285" s="34" t="n">
        <v>0</v>
      </c>
      <c r="I285" s="35">
        <f>(F285+H285*F285)*G285</f>
        <v/>
      </c>
      <c r="J285" s="33" t="inlineStr">
        <is>
          <t>m</t>
        </is>
      </c>
      <c r="K285" s="36" t="n">
        <v>7.5</v>
      </c>
      <c r="L285" s="37">
        <f>I285*K285</f>
        <v/>
      </c>
      <c r="N285" t="inlineStr">
        <is>
          <t>Torre B</t>
        </is>
      </c>
    </row>
    <row r="286">
      <c r="A286" s="32">
        <f>A281</f>
        <v/>
      </c>
      <c r="B286" s="32">
        <f>B281</f>
        <v/>
      </c>
      <c r="C286" s="32" t="inlineStr">
        <is>
          <t>INSTALAÇÕES DE TELECOMUNICAÇÃO</t>
        </is>
      </c>
      <c r="D286" s="32" t="inlineStr">
        <is>
          <t>QUADROS DE DISTRIBUIÇÃO</t>
        </is>
      </c>
      <c r="E286" s="32" t="inlineStr">
        <is>
          <t>Embutir - 486x510x109mm</t>
        </is>
      </c>
      <c r="F286" s="33" t="n">
        <v>1</v>
      </c>
      <c r="G286" s="33" t="n">
        <v>1</v>
      </c>
      <c r="H286" s="34" t="n">
        <v>0</v>
      </c>
      <c r="I286" s="35">
        <f>(F286+H286*F286)*G286</f>
        <v/>
      </c>
      <c r="J286" s="33" t="inlineStr">
        <is>
          <t>pç</t>
        </is>
      </c>
      <c r="K286" s="36" t="n">
        <v>465</v>
      </c>
      <c r="L286" s="37">
        <f>I286*K286</f>
        <v/>
      </c>
      <c r="N286" t="inlineStr">
        <is>
          <t>Torre B</t>
        </is>
      </c>
    </row>
    <row r="287">
      <c r="A287" s="32">
        <f>A281</f>
        <v/>
      </c>
      <c r="B287" s="32">
        <f>B281</f>
        <v/>
      </c>
      <c r="C287" s="32" t="inlineStr">
        <is>
          <t>INSTALAÇÕES DE TELECOMUNICAÇÃO</t>
        </is>
      </c>
      <c r="D287" s="32" t="inlineStr">
        <is>
          <t>ELETRODUTOS</t>
        </is>
      </c>
      <c r="E287" s="32" t="inlineStr">
        <is>
          <t>PVC Flexível Antichama - NBR 15465 ø3"</t>
        </is>
      </c>
      <c r="F287" s="33" t="n">
        <v>6</v>
      </c>
      <c r="G287" s="33" t="n">
        <v>1</v>
      </c>
      <c r="H287" s="34" t="n">
        <v>0</v>
      </c>
      <c r="I287" s="35">
        <f>(F287+H287*F287)*G287</f>
        <v/>
      </c>
      <c r="J287" s="33" t="inlineStr">
        <is>
          <t>m</t>
        </is>
      </c>
      <c r="K287" s="36" t="n">
        <v>0</v>
      </c>
      <c r="L287" s="37">
        <f>I287*K287</f>
        <v/>
      </c>
      <c r="N287" t="inlineStr">
        <is>
          <t>Torre B</t>
        </is>
      </c>
    </row>
    <row r="288">
      <c r="A288" s="32">
        <f>A281</f>
        <v/>
      </c>
      <c r="B288" s="32">
        <f>B281</f>
        <v/>
      </c>
      <c r="C288" s="32" t="inlineStr">
        <is>
          <t>INSTALAÇÕES DE TELECOMUNICAÇÃO</t>
        </is>
      </c>
      <c r="D288" s="32" t="inlineStr">
        <is>
          <t>CAIXA DE PASSAGEM</t>
        </is>
      </c>
      <c r="E288" s="32" t="inlineStr">
        <is>
          <t>Cx de passagem de embutir com dimensão de 40x120x15cm</t>
        </is>
      </c>
      <c r="F288" s="33" t="n">
        <v>1</v>
      </c>
      <c r="G288" s="33" t="n">
        <v>1</v>
      </c>
      <c r="H288" s="34" t="n">
        <v>0</v>
      </c>
      <c r="I288" s="35">
        <f>(F288+H288*F288)*G288</f>
        <v/>
      </c>
      <c r="J288" s="33" t="inlineStr">
        <is>
          <t>pç</t>
        </is>
      </c>
      <c r="K288" s="36" t="n">
        <v>0</v>
      </c>
      <c r="L288" s="37">
        <f>I288*K288</f>
        <v/>
      </c>
      <c r="N288" t="inlineStr">
        <is>
          <t>Torre B</t>
        </is>
      </c>
    </row>
    <row r="289">
      <c r="A289" s="32">
        <f>A281</f>
        <v/>
      </c>
      <c r="B289" s="32">
        <f>B281</f>
        <v/>
      </c>
      <c r="C289" s="32" t="inlineStr">
        <is>
          <t>INSTALAÇÕES DE TELECOMUNICAÇÃO</t>
        </is>
      </c>
      <c r="D289" s="32" t="inlineStr">
        <is>
          <t>COTOVELOS</t>
        </is>
      </c>
      <c r="E289" s="32" t="inlineStr">
        <is>
          <t>Cotovelo para eletroduto flexível PVC amarelo</t>
        </is>
      </c>
      <c r="F289" s="33" t="n">
        <v>87</v>
      </c>
      <c r="G289" s="33" t="n">
        <v>1</v>
      </c>
      <c r="H289" s="34" t="n">
        <v>0</v>
      </c>
      <c r="I289" s="35">
        <f>(F289+H289*F289)*G289</f>
        <v/>
      </c>
      <c r="J289" s="33" t="inlineStr">
        <is>
          <t>un</t>
        </is>
      </c>
      <c r="K289" s="36" t="n">
        <v>0</v>
      </c>
      <c r="L289" s="37">
        <f>I289*K289</f>
        <v/>
      </c>
      <c r="N289" t="inlineStr">
        <is>
          <t>Torre B</t>
        </is>
      </c>
    </row>
    <row r="290">
      <c r="A290" s="32">
        <f>A281</f>
        <v/>
      </c>
      <c r="B290" s="32">
        <f>B281</f>
        <v/>
      </c>
      <c r="C290" s="32" t="inlineStr">
        <is>
          <t>INSTALAÇÕES DE TELECOMUNICAÇÃO</t>
        </is>
      </c>
      <c r="D290" s="32" t="inlineStr">
        <is>
          <t>CONECTORES E BUCHAS</t>
        </is>
      </c>
      <c r="E290" s="32" t="inlineStr">
        <is>
          <t>Conector box e arruela - Alumínio padrão</t>
        </is>
      </c>
      <c r="F290" s="33" t="n">
        <v>14</v>
      </c>
      <c r="G290" s="33" t="n">
        <v>1</v>
      </c>
      <c r="H290" s="34" t="n">
        <v>0</v>
      </c>
      <c r="I290" s="35">
        <f>(F290+H290*F290)*G290</f>
        <v/>
      </c>
      <c r="J290" s="33" t="inlineStr">
        <is>
          <t>un</t>
        </is>
      </c>
      <c r="K290" s="36" t="n">
        <v>0</v>
      </c>
      <c r="L290" s="37">
        <f>I290*K290</f>
        <v/>
      </c>
      <c r="N290" t="inlineStr">
        <is>
          <t>Torre B</t>
        </is>
      </c>
    </row>
    <row r="291">
      <c r="A291" s="32">
        <f>A281</f>
        <v/>
      </c>
      <c r="B291" s="32">
        <f>B281</f>
        <v/>
      </c>
      <c r="C291" s="32" t="inlineStr">
        <is>
          <t>INSTALAÇÕES DE TELECOMUNICAÇÃO</t>
        </is>
      </c>
      <c r="D291" s="32" t="inlineStr">
        <is>
          <t>CONECTORES E BUCHAS</t>
        </is>
      </c>
      <c r="E291" s="32" t="inlineStr">
        <is>
          <t>Bucha terminal simples - Alumínio padrão</t>
        </is>
      </c>
      <c r="F291" s="33" t="n">
        <v>6</v>
      </c>
      <c r="G291" s="33" t="n">
        <v>1</v>
      </c>
      <c r="H291" s="34" t="n">
        <v>0</v>
      </c>
      <c r="I291" s="35">
        <f>(F291+H291*F291)*G291</f>
        <v/>
      </c>
      <c r="J291" s="33" t="inlineStr">
        <is>
          <t>un</t>
        </is>
      </c>
      <c r="K291" s="36" t="n">
        <v>0</v>
      </c>
      <c r="L291" s="37">
        <f>I291*K291</f>
        <v/>
      </c>
      <c r="N291" t="inlineStr">
        <is>
          <t>Torre B</t>
        </is>
      </c>
    </row>
    <row r="292">
      <c r="A292" s="32">
        <f>A281</f>
        <v/>
      </c>
      <c r="B292" s="32">
        <f>B281</f>
        <v/>
      </c>
      <c r="C292" s="32" t="inlineStr">
        <is>
          <t>INSTALAÇÕES DE TELECOMUNICAÇÃO</t>
        </is>
      </c>
      <c r="D292" s="32" t="inlineStr">
        <is>
          <t>CONDUTORES TELECOM</t>
        </is>
      </c>
      <c r="E292" s="32" t="inlineStr">
        <is>
          <t>Condutor CFTV</t>
        </is>
      </c>
      <c r="F292" s="33" t="n">
        <v>7</v>
      </c>
      <c r="G292" s="33" t="n">
        <v>1</v>
      </c>
      <c r="H292" s="34" t="n">
        <v>0</v>
      </c>
      <c r="I292" s="35">
        <f>(F292+H292*F292)*G292</f>
        <v/>
      </c>
      <c r="J292" s="33" t="inlineStr">
        <is>
          <t>un</t>
        </is>
      </c>
      <c r="K292" s="36" t="n">
        <v>0</v>
      </c>
      <c r="L292" s="37">
        <f>I292*K292</f>
        <v/>
      </c>
      <c r="N292" t="inlineStr">
        <is>
          <t>Torre B</t>
        </is>
      </c>
    </row>
    <row r="293">
      <c r="A293" s="32">
        <f>A281</f>
        <v/>
      </c>
      <c r="B293" s="32">
        <f>B281</f>
        <v/>
      </c>
      <c r="C293" s="32" t="inlineStr">
        <is>
          <t>INSTALAÇÕES DE TELECOMUNICAÇÃO</t>
        </is>
      </c>
      <c r="D293" s="32" t="inlineStr">
        <is>
          <t>CONDUTORES TELECOM</t>
        </is>
      </c>
      <c r="E293" s="32" t="inlineStr">
        <is>
          <t>Condutor Cordplast</t>
        </is>
      </c>
      <c r="F293" s="33" t="n">
        <v>7</v>
      </c>
      <c r="G293" s="33" t="n">
        <v>1</v>
      </c>
      <c r="H293" s="34" t="n">
        <v>0</v>
      </c>
      <c r="I293" s="35">
        <f>(F293+H293*F293)*G293</f>
        <v/>
      </c>
      <c r="J293" s="33" t="inlineStr">
        <is>
          <t>un</t>
        </is>
      </c>
      <c r="K293" s="36" t="n">
        <v>0</v>
      </c>
      <c r="L293" s="37">
        <f>I293*K293</f>
        <v/>
      </c>
      <c r="N293" t="inlineStr">
        <is>
          <t>Torre B</t>
        </is>
      </c>
    </row>
    <row r="294">
      <c r="A294" s="32">
        <f>A281</f>
        <v/>
      </c>
      <c r="B294" s="32">
        <f>B281</f>
        <v/>
      </c>
      <c r="C294" s="32" t="inlineStr">
        <is>
          <t>INSTALAÇÕES DE TELECOMUNICAÇÃO</t>
        </is>
      </c>
      <c r="D294" s="32" t="inlineStr">
        <is>
          <t>PONTOS DE USO</t>
        </is>
      </c>
      <c r="E294" s="32" t="inlineStr">
        <is>
          <t>Caixa 4x2 - Interfone</t>
        </is>
      </c>
      <c r="F294" s="33" t="n">
        <v>4</v>
      </c>
      <c r="G294" s="33" t="n">
        <v>1</v>
      </c>
      <c r="H294" s="34" t="n">
        <v>0</v>
      </c>
      <c r="I294" s="35">
        <f>(F294+H294*F294)*G294</f>
        <v/>
      </c>
      <c r="J294" s="33" t="inlineStr">
        <is>
          <t>un</t>
        </is>
      </c>
      <c r="K294" s="36" t="n">
        <v>0</v>
      </c>
      <c r="L294" s="37">
        <f>I294*K294</f>
        <v/>
      </c>
      <c r="N294" t="inlineStr">
        <is>
          <t>Torre B</t>
        </is>
      </c>
    </row>
    <row r="295">
      <c r="A295" s="32">
        <f>A281</f>
        <v/>
      </c>
      <c r="B295" s="32">
        <f>B281</f>
        <v/>
      </c>
      <c r="C295" s="32" t="inlineStr">
        <is>
          <t>INSTALAÇÕES DE TELECOMUNICAÇÃO</t>
        </is>
      </c>
      <c r="D295" s="32" t="inlineStr">
        <is>
          <t>PONTOS DE USO</t>
        </is>
      </c>
      <c r="E295" s="32" t="inlineStr">
        <is>
          <t>Caixa 4x2 - Câmera CFTV</t>
        </is>
      </c>
      <c r="F295" s="33" t="n">
        <v>4</v>
      </c>
      <c r="G295" s="33" t="n">
        <v>1</v>
      </c>
      <c r="H295" s="34" t="n">
        <v>0</v>
      </c>
      <c r="I295" s="35">
        <f>(F295+H295*F295)*G295</f>
        <v/>
      </c>
      <c r="J295" s="33" t="inlineStr">
        <is>
          <t>un</t>
        </is>
      </c>
      <c r="K295" s="36" t="n">
        <v>0</v>
      </c>
      <c r="L295" s="37">
        <f>I295*K295</f>
        <v/>
      </c>
      <c r="N295" t="inlineStr">
        <is>
          <t>Torre B</t>
        </is>
      </c>
    </row>
    <row r="296">
      <c r="A296" s="23" t="inlineStr">
        <is>
          <t>Torre B</t>
        </is>
      </c>
      <c r="B296" s="23" t="inlineStr">
        <is>
          <t>GARAGEM 05</t>
        </is>
      </c>
      <c r="C296" s="24" t="n"/>
      <c r="D296" s="25" t="n"/>
      <c r="E296" s="25" t="n"/>
      <c r="F296" s="26" t="n"/>
      <c r="G296" s="26" t="n"/>
      <c r="H296" s="26" t="n"/>
      <c r="I296" s="27" t="n"/>
      <c r="J296" s="26" t="n"/>
      <c r="K296" s="28" t="n"/>
      <c r="L296" s="29">
        <f>IF(SUM(F296:K296)=0,SUMIFS($L297:$L$9999,$B297:$B$9999,$B296,$A297:$A$9999,$A296),I296*K296)</f>
        <v/>
      </c>
      <c r="N296" t="inlineStr">
        <is>
          <t>Torre B</t>
        </is>
      </c>
    </row>
    <row r="297">
      <c r="A297" s="32">
        <f>A296</f>
        <v/>
      </c>
      <c r="B297" s="32">
        <f>B296</f>
        <v/>
      </c>
      <c r="C297" s="32" t="inlineStr">
        <is>
          <t>INSTALAÇÕES DE TELECOMUNICAÇÃO</t>
        </is>
      </c>
      <c r="D297" s="32" t="inlineStr">
        <is>
          <t>CAIXA OCTOGONAL</t>
        </is>
      </c>
      <c r="E297" s="32" t="inlineStr">
        <is>
          <t>Caixa Octogonal Padrão NBR IEC 60670</t>
        </is>
      </c>
      <c r="F297" s="33" t="n">
        <v>19</v>
      </c>
      <c r="G297" s="33" t="n">
        <v>1</v>
      </c>
      <c r="H297" s="34" t="n">
        <v>0</v>
      </c>
      <c r="I297" s="35">
        <f>(F297+H297*F297)*G297</f>
        <v/>
      </c>
      <c r="J297" s="33" t="inlineStr">
        <is>
          <t>pç</t>
        </is>
      </c>
      <c r="K297" s="36" t="n">
        <v>9.800000000000001</v>
      </c>
      <c r="L297" s="37">
        <f>I297*K297</f>
        <v/>
      </c>
      <c r="N297" t="inlineStr">
        <is>
          <t>Torre B</t>
        </is>
      </c>
    </row>
    <row r="298">
      <c r="A298" s="32">
        <f>A296</f>
        <v/>
      </c>
      <c r="B298" s="32">
        <f>B296</f>
        <v/>
      </c>
      <c r="C298" s="32" t="inlineStr">
        <is>
          <t>INSTALAÇÕES DE TELECOMUNICAÇÃO</t>
        </is>
      </c>
      <c r="D298" s="32" t="inlineStr">
        <is>
          <t>CAIXA OCTOGONAL</t>
        </is>
      </c>
      <c r="E298" s="32" t="inlineStr">
        <is>
          <t>Placa cega para caixa octogonal Padrão NBR IEC 60670</t>
        </is>
      </c>
      <c r="F298" s="33" t="n">
        <v>1</v>
      </c>
      <c r="G298" s="33" t="n">
        <v>1</v>
      </c>
      <c r="H298" s="34" t="n">
        <v>0</v>
      </c>
      <c r="I298" s="35">
        <f>(F298+H298*F298)*G298</f>
        <v/>
      </c>
      <c r="J298" s="33" t="inlineStr">
        <is>
          <t>pç</t>
        </is>
      </c>
      <c r="K298" s="36" t="n">
        <v>6.5</v>
      </c>
      <c r="L298" s="37">
        <f>I298*K298</f>
        <v/>
      </c>
      <c r="N298" t="inlineStr">
        <is>
          <t>Torre B</t>
        </is>
      </c>
    </row>
    <row r="299">
      <c r="A299" s="32">
        <f>A296</f>
        <v/>
      </c>
      <c r="B299" s="32">
        <f>B296</f>
        <v/>
      </c>
      <c r="C299" s="32" t="inlineStr">
        <is>
          <t>INSTALAÇÕES DE TELECOMUNICAÇÃO</t>
        </is>
      </c>
      <c r="D299" s="32" t="inlineStr">
        <is>
          <t>ELETRODUTOS</t>
        </is>
      </c>
      <c r="E299" s="32" t="inlineStr">
        <is>
          <t>PVC Flexível Antichama - NBR 15465 ø1"</t>
        </is>
      </c>
      <c r="F299" s="33" t="n">
        <v>56</v>
      </c>
      <c r="G299" s="33" t="n">
        <v>1</v>
      </c>
      <c r="H299" s="34" t="n">
        <v>0</v>
      </c>
      <c r="I299" s="35">
        <f>(F299+H299*F299)*G299</f>
        <v/>
      </c>
      <c r="J299" s="33" t="inlineStr">
        <is>
          <t>m</t>
        </is>
      </c>
      <c r="K299" s="36" t="n">
        <v>11.9</v>
      </c>
      <c r="L299" s="37">
        <f>I299*K299</f>
        <v/>
      </c>
      <c r="N299" t="inlineStr">
        <is>
          <t>Torre B</t>
        </is>
      </c>
    </row>
    <row r="300">
      <c r="A300" s="32">
        <f>A296</f>
        <v/>
      </c>
      <c r="B300" s="32">
        <f>B296</f>
        <v/>
      </c>
      <c r="C300" s="32" t="inlineStr">
        <is>
          <t>INSTALAÇÕES DE TELECOMUNICAÇÃO</t>
        </is>
      </c>
      <c r="D300" s="32" t="inlineStr">
        <is>
          <t>ELETRODUTOS</t>
        </is>
      </c>
      <c r="E300" s="32" t="inlineStr">
        <is>
          <t>PVC Flexível Antichama - NBR 15465 ø3/4"</t>
        </is>
      </c>
      <c r="F300" s="33" t="n">
        <v>37</v>
      </c>
      <c r="G300" s="33" t="n">
        <v>1</v>
      </c>
      <c r="H300" s="34" t="n">
        <v>0</v>
      </c>
      <c r="I300" s="35">
        <f>(F300+H300*F300)*G300</f>
        <v/>
      </c>
      <c r="J300" s="33" t="inlineStr">
        <is>
          <t>m</t>
        </is>
      </c>
      <c r="K300" s="36" t="n">
        <v>7.5</v>
      </c>
      <c r="L300" s="37">
        <f>I300*K300</f>
        <v/>
      </c>
      <c r="N300" t="inlineStr">
        <is>
          <t>Torre B</t>
        </is>
      </c>
    </row>
    <row r="301">
      <c r="A301" s="32">
        <f>A296</f>
        <v/>
      </c>
      <c r="B301" s="32">
        <f>B296</f>
        <v/>
      </c>
      <c r="C301" s="32" t="inlineStr">
        <is>
          <t>INSTALAÇÕES DE TELECOMUNICAÇÃO</t>
        </is>
      </c>
      <c r="D301" s="32" t="inlineStr">
        <is>
          <t>ELETRODUTOS</t>
        </is>
      </c>
      <c r="E301" s="32" t="inlineStr">
        <is>
          <t>PVC Flexível Antichama - NBR 15465 ø3"</t>
        </is>
      </c>
      <c r="F301" s="33" t="n">
        <v>6</v>
      </c>
      <c r="G301" s="33" t="n">
        <v>1</v>
      </c>
      <c r="H301" s="34" t="n">
        <v>0</v>
      </c>
      <c r="I301" s="35">
        <f>(F301+H301*F301)*G301</f>
        <v/>
      </c>
      <c r="J301" s="33" t="inlineStr">
        <is>
          <t>m</t>
        </is>
      </c>
      <c r="K301" s="36" t="n">
        <v>0</v>
      </c>
      <c r="L301" s="37">
        <f>I301*K301</f>
        <v/>
      </c>
      <c r="N301" t="inlineStr">
        <is>
          <t>Torre B</t>
        </is>
      </c>
    </row>
    <row r="302">
      <c r="A302" s="32">
        <f>A296</f>
        <v/>
      </c>
      <c r="B302" s="32">
        <f>B296</f>
        <v/>
      </c>
      <c r="C302" s="32" t="inlineStr">
        <is>
          <t>INSTALAÇÕES DE TELECOMUNICAÇÃO</t>
        </is>
      </c>
      <c r="D302" s="32" t="inlineStr">
        <is>
          <t>CAIXA DE PASSAGEM</t>
        </is>
      </c>
      <c r="E302" s="32" t="inlineStr">
        <is>
          <t>Cx de passagem de embutir com dimensão de 40x120x15cm</t>
        </is>
      </c>
      <c r="F302" s="33" t="n">
        <v>1</v>
      </c>
      <c r="G302" s="33" t="n">
        <v>1</v>
      </c>
      <c r="H302" s="34" t="n">
        <v>0</v>
      </c>
      <c r="I302" s="35">
        <f>(F302+H302*F302)*G302</f>
        <v/>
      </c>
      <c r="J302" s="33" t="inlineStr">
        <is>
          <t>pç</t>
        </is>
      </c>
      <c r="K302" s="36" t="n">
        <v>0</v>
      </c>
      <c r="L302" s="37">
        <f>I302*K302</f>
        <v/>
      </c>
      <c r="N302" t="inlineStr">
        <is>
          <t>Torre B</t>
        </is>
      </c>
    </row>
    <row r="303">
      <c r="A303" s="32">
        <f>A296</f>
        <v/>
      </c>
      <c r="B303" s="32">
        <f>B296</f>
        <v/>
      </c>
      <c r="C303" s="32" t="inlineStr">
        <is>
          <t>INSTALAÇÕES DE TELECOMUNICAÇÃO</t>
        </is>
      </c>
      <c r="D303" s="32" t="inlineStr">
        <is>
          <t>COTOVELOS</t>
        </is>
      </c>
      <c r="E303" s="32" t="inlineStr">
        <is>
          <t>Cotovelo para eletroduto flexível PVC amarelo</t>
        </is>
      </c>
      <c r="F303" s="33" t="n">
        <v>77</v>
      </c>
      <c r="G303" s="33" t="n">
        <v>1</v>
      </c>
      <c r="H303" s="34" t="n">
        <v>0</v>
      </c>
      <c r="I303" s="35">
        <f>(F303+H303*F303)*G303</f>
        <v/>
      </c>
      <c r="J303" s="33" t="inlineStr">
        <is>
          <t>un</t>
        </is>
      </c>
      <c r="K303" s="36" t="n">
        <v>0</v>
      </c>
      <c r="L303" s="37">
        <f>I303*K303</f>
        <v/>
      </c>
      <c r="N303" t="inlineStr">
        <is>
          <t>Torre B</t>
        </is>
      </c>
    </row>
    <row r="304">
      <c r="A304" s="32">
        <f>A296</f>
        <v/>
      </c>
      <c r="B304" s="32">
        <f>B296</f>
        <v/>
      </c>
      <c r="C304" s="32" t="inlineStr">
        <is>
          <t>INSTALAÇÕES DE TELECOMUNICAÇÃO</t>
        </is>
      </c>
      <c r="D304" s="32" t="inlineStr">
        <is>
          <t>CONECTORES E BUCHAS</t>
        </is>
      </c>
      <c r="E304" s="32" t="inlineStr">
        <is>
          <t>Conector box e arruela - Alumínio padrão</t>
        </is>
      </c>
      <c r="F304" s="33" t="n">
        <v>13</v>
      </c>
      <c r="G304" s="33" t="n">
        <v>1</v>
      </c>
      <c r="H304" s="34" t="n">
        <v>0</v>
      </c>
      <c r="I304" s="35">
        <f>(F304+H304*F304)*G304</f>
        <v/>
      </c>
      <c r="J304" s="33" t="inlineStr">
        <is>
          <t>un</t>
        </is>
      </c>
      <c r="K304" s="36" t="n">
        <v>0</v>
      </c>
      <c r="L304" s="37">
        <f>I304*K304</f>
        <v/>
      </c>
      <c r="N304" t="inlineStr">
        <is>
          <t>Torre B</t>
        </is>
      </c>
    </row>
    <row r="305">
      <c r="A305" s="32">
        <f>A296</f>
        <v/>
      </c>
      <c r="B305" s="32">
        <f>B296</f>
        <v/>
      </c>
      <c r="C305" s="32" t="inlineStr">
        <is>
          <t>INSTALAÇÕES DE TELECOMUNICAÇÃO</t>
        </is>
      </c>
      <c r="D305" s="32" t="inlineStr">
        <is>
          <t>CONECTORES E BUCHAS</t>
        </is>
      </c>
      <c r="E305" s="32" t="inlineStr">
        <is>
          <t>Bucha terminal simples - Alumínio padrão</t>
        </is>
      </c>
      <c r="F305" s="33" t="n">
        <v>6</v>
      </c>
      <c r="G305" s="33" t="n">
        <v>1</v>
      </c>
      <c r="H305" s="34" t="n">
        <v>0</v>
      </c>
      <c r="I305" s="35">
        <f>(F305+H305*F305)*G305</f>
        <v/>
      </c>
      <c r="J305" s="33" t="inlineStr">
        <is>
          <t>un</t>
        </is>
      </c>
      <c r="K305" s="36" t="n">
        <v>0</v>
      </c>
      <c r="L305" s="37">
        <f>I305*K305</f>
        <v/>
      </c>
      <c r="N305" t="inlineStr">
        <is>
          <t>Torre B</t>
        </is>
      </c>
    </row>
    <row r="306">
      <c r="A306" s="32">
        <f>A296</f>
        <v/>
      </c>
      <c r="B306" s="32">
        <f>B296</f>
        <v/>
      </c>
      <c r="C306" s="32" t="inlineStr">
        <is>
          <t>INSTALAÇÕES DE TELECOMUNICAÇÃO</t>
        </is>
      </c>
      <c r="D306" s="32" t="inlineStr">
        <is>
          <t>CONDUTORES TELECOM</t>
        </is>
      </c>
      <c r="E306" s="32" t="inlineStr">
        <is>
          <t>Condutor CFTV</t>
        </is>
      </c>
      <c r="F306" s="33" t="n">
        <v>4</v>
      </c>
      <c r="G306" s="33" t="n">
        <v>1</v>
      </c>
      <c r="H306" s="34" t="n">
        <v>0</v>
      </c>
      <c r="I306" s="35">
        <f>(F306+H306*F306)*G306</f>
        <v/>
      </c>
      <c r="J306" s="33" t="inlineStr">
        <is>
          <t>un</t>
        </is>
      </c>
      <c r="K306" s="36" t="n">
        <v>0</v>
      </c>
      <c r="L306" s="37">
        <f>I306*K306</f>
        <v/>
      </c>
      <c r="N306" t="inlineStr">
        <is>
          <t>Torre B</t>
        </is>
      </c>
    </row>
    <row r="307">
      <c r="A307" s="32">
        <f>A296</f>
        <v/>
      </c>
      <c r="B307" s="32">
        <f>B296</f>
        <v/>
      </c>
      <c r="C307" s="32" t="inlineStr">
        <is>
          <t>INSTALAÇÕES DE TELECOMUNICAÇÃO</t>
        </is>
      </c>
      <c r="D307" s="32" t="inlineStr">
        <is>
          <t>CONDUTORES TELECOM</t>
        </is>
      </c>
      <c r="E307" s="32" t="inlineStr">
        <is>
          <t>Condutor Cordplast</t>
        </is>
      </c>
      <c r="F307" s="33" t="n">
        <v>4</v>
      </c>
      <c r="G307" s="33" t="n">
        <v>1</v>
      </c>
      <c r="H307" s="34" t="n">
        <v>0</v>
      </c>
      <c r="I307" s="35">
        <f>(F307+H307*F307)*G307</f>
        <v/>
      </c>
      <c r="J307" s="33" t="inlineStr">
        <is>
          <t>un</t>
        </is>
      </c>
      <c r="K307" s="36" t="n">
        <v>0</v>
      </c>
      <c r="L307" s="37">
        <f>I307*K307</f>
        <v/>
      </c>
      <c r="N307" t="inlineStr">
        <is>
          <t>Torre B</t>
        </is>
      </c>
    </row>
    <row r="308">
      <c r="A308" s="32">
        <f>A296</f>
        <v/>
      </c>
      <c r="B308" s="32">
        <f>B296</f>
        <v/>
      </c>
      <c r="C308" s="32" t="inlineStr">
        <is>
          <t>INSTALAÇÕES DE TELECOMUNICAÇÃO</t>
        </is>
      </c>
      <c r="D308" s="32" t="inlineStr">
        <is>
          <t>PONTOS DE USO</t>
        </is>
      </c>
      <c r="E308" s="32" t="inlineStr">
        <is>
          <t>Caixa 4x2 - Interfone</t>
        </is>
      </c>
      <c r="F308" s="33" t="n">
        <v>4</v>
      </c>
      <c r="G308" s="33" t="n">
        <v>1</v>
      </c>
      <c r="H308" s="34" t="n">
        <v>0</v>
      </c>
      <c r="I308" s="35">
        <f>(F308+H308*F308)*G308</f>
        <v/>
      </c>
      <c r="J308" s="33" t="inlineStr">
        <is>
          <t>un</t>
        </is>
      </c>
      <c r="K308" s="36" t="n">
        <v>0</v>
      </c>
      <c r="L308" s="37">
        <f>I308*K308</f>
        <v/>
      </c>
      <c r="N308" t="inlineStr">
        <is>
          <t>Torre B</t>
        </is>
      </c>
    </row>
    <row r="309">
      <c r="A309" s="32">
        <f>A296</f>
        <v/>
      </c>
      <c r="B309" s="32">
        <f>B296</f>
        <v/>
      </c>
      <c r="C309" s="32" t="inlineStr">
        <is>
          <t>INSTALAÇÕES DE TELECOMUNICAÇÃO</t>
        </is>
      </c>
      <c r="D309" s="32" t="inlineStr">
        <is>
          <t>PONTOS DE USO</t>
        </is>
      </c>
      <c r="E309" s="32" t="inlineStr">
        <is>
          <t>Caixa 4x2 - Câmera CFTV</t>
        </is>
      </c>
      <c r="F309" s="33" t="n">
        <v>3</v>
      </c>
      <c r="G309" s="33" t="n">
        <v>1</v>
      </c>
      <c r="H309" s="34" t="n">
        <v>0</v>
      </c>
      <c r="I309" s="35">
        <f>(F309+H309*F309)*G309</f>
        <v/>
      </c>
      <c r="J309" s="33" t="inlineStr">
        <is>
          <t>un</t>
        </is>
      </c>
      <c r="K309" s="36" t="n">
        <v>0</v>
      </c>
      <c r="L309" s="37">
        <f>I309*K309</f>
        <v/>
      </c>
      <c r="N309" t="inlineStr">
        <is>
          <t>Torre B</t>
        </is>
      </c>
    </row>
    <row r="310">
      <c r="A310" s="23" t="inlineStr">
        <is>
          <t>Torre B</t>
        </is>
      </c>
      <c r="B310" s="23" t="inlineStr">
        <is>
          <t>LAZER</t>
        </is>
      </c>
      <c r="C310" s="24" t="n"/>
      <c r="D310" s="25" t="n"/>
      <c r="E310" s="25" t="n"/>
      <c r="F310" s="26" t="n"/>
      <c r="G310" s="26" t="n"/>
      <c r="H310" s="26" t="n"/>
      <c r="I310" s="27" t="n"/>
      <c r="J310" s="26" t="n"/>
      <c r="K310" s="28" t="n"/>
      <c r="L310" s="29">
        <f>IF(SUM(F310:K310)=0,SUMIFS($L311:$L$9999,$B311:$B$9999,$B310,$A311:$A$9999,$A310),I310*K310)</f>
        <v/>
      </c>
      <c r="N310" t="inlineStr">
        <is>
          <t>Torre B</t>
        </is>
      </c>
    </row>
    <row r="311">
      <c r="A311" s="32">
        <f>A310</f>
        <v/>
      </c>
      <c r="B311" s="32">
        <f>B310</f>
        <v/>
      </c>
      <c r="C311" s="32" t="inlineStr">
        <is>
          <t>INSTALAÇÕES DE TELECOMUNICAÇÃO</t>
        </is>
      </c>
      <c r="D311" s="32" t="inlineStr">
        <is>
          <t>CAIXA OCTOGONAL</t>
        </is>
      </c>
      <c r="E311" s="32" t="inlineStr">
        <is>
          <t>Caixa Octogonal Padrão NBR IEC 60670</t>
        </is>
      </c>
      <c r="F311" s="33" t="n">
        <v>29</v>
      </c>
      <c r="G311" s="33" t="n">
        <v>1</v>
      </c>
      <c r="H311" s="34" t="n">
        <v>0</v>
      </c>
      <c r="I311" s="35">
        <f>(F311+H311*F311)*G311</f>
        <v/>
      </c>
      <c r="J311" s="33" t="inlineStr">
        <is>
          <t>pç</t>
        </is>
      </c>
      <c r="K311" s="36" t="n">
        <v>9.800000000000001</v>
      </c>
      <c r="L311" s="37">
        <f>I311*K311</f>
        <v/>
      </c>
      <c r="N311" t="inlineStr">
        <is>
          <t>Torre B</t>
        </is>
      </c>
    </row>
    <row r="312">
      <c r="A312" s="32">
        <f>A310</f>
        <v/>
      </c>
      <c r="B312" s="32">
        <f>B310</f>
        <v/>
      </c>
      <c r="C312" s="32" t="inlineStr">
        <is>
          <t>INSTALAÇÕES DE TELECOMUNICAÇÃO</t>
        </is>
      </c>
      <c r="D312" s="32" t="inlineStr">
        <is>
          <t>CAIXA OCTOGONAL</t>
        </is>
      </c>
      <c r="E312" s="32" t="inlineStr">
        <is>
          <t>Placa cega para caixa octogonal Padrão NBR IEC 60670</t>
        </is>
      </c>
      <c r="F312" s="33" t="n">
        <v>4</v>
      </c>
      <c r="G312" s="33" t="n">
        <v>1</v>
      </c>
      <c r="H312" s="34" t="n">
        <v>0</v>
      </c>
      <c r="I312" s="35">
        <f>(F312+H312*F312)*G312</f>
        <v/>
      </c>
      <c r="J312" s="33" t="inlineStr">
        <is>
          <t>pç</t>
        </is>
      </c>
      <c r="K312" s="36" t="n">
        <v>6.5</v>
      </c>
      <c r="L312" s="37">
        <f>I312*K312</f>
        <v/>
      </c>
      <c r="N312" t="inlineStr">
        <is>
          <t>Torre B</t>
        </is>
      </c>
    </row>
    <row r="313">
      <c r="A313" s="32">
        <f>A310</f>
        <v/>
      </c>
      <c r="B313" s="32">
        <f>B310</f>
        <v/>
      </c>
      <c r="C313" s="32" t="inlineStr">
        <is>
          <t>INSTALAÇÕES DE TELECOMUNICAÇÃO</t>
        </is>
      </c>
      <c r="D313" s="32" t="inlineStr">
        <is>
          <t>CAIXA 4x2" E 4x4"</t>
        </is>
      </c>
      <c r="E313" s="32" t="inlineStr">
        <is>
          <t>Caixa 4x2" de Embutir em PVC Padrão NBR IEC 60670</t>
        </is>
      </c>
      <c r="F313" s="33" t="n">
        <v>63</v>
      </c>
      <c r="G313" s="33" t="n">
        <v>1</v>
      </c>
      <c r="H313" s="34" t="n">
        <v>0</v>
      </c>
      <c r="I313" s="35">
        <f>(F313+H313*F313)*G313</f>
        <v/>
      </c>
      <c r="J313" s="33" t="inlineStr">
        <is>
          <t>pç</t>
        </is>
      </c>
      <c r="K313" s="36" t="n">
        <v>5.9</v>
      </c>
      <c r="L313" s="37">
        <f>I313*K313</f>
        <v/>
      </c>
      <c r="N313" t="inlineStr">
        <is>
          <t>Torre B</t>
        </is>
      </c>
    </row>
    <row r="314">
      <c r="A314" s="32">
        <f>A310</f>
        <v/>
      </c>
      <c r="B314" s="32">
        <f>B310</f>
        <v/>
      </c>
      <c r="C314" s="32" t="inlineStr">
        <is>
          <t>INSTALAÇÕES DE TELECOMUNICAÇÃO</t>
        </is>
      </c>
      <c r="D314" s="32" t="inlineStr">
        <is>
          <t>CAIXA 4x2" E 4x4"</t>
        </is>
      </c>
      <c r="E314" s="32" t="inlineStr">
        <is>
          <t>Caixa 4x4" de Embutir em PVC Padrão NBR IEC 60670</t>
        </is>
      </c>
      <c r="F314" s="33" t="n">
        <v>24</v>
      </c>
      <c r="G314" s="33" t="n">
        <v>1</v>
      </c>
      <c r="H314" s="34" t="n">
        <v>0</v>
      </c>
      <c r="I314" s="35">
        <f>(F314+H314*F314)*G314</f>
        <v/>
      </c>
      <c r="J314" s="33" t="inlineStr">
        <is>
          <t>pç</t>
        </is>
      </c>
      <c r="K314" s="36" t="n">
        <v>8.9</v>
      </c>
      <c r="L314" s="37">
        <f>I314*K314</f>
        <v/>
      </c>
      <c r="N314" t="inlineStr">
        <is>
          <t>Torre B</t>
        </is>
      </c>
    </row>
    <row r="315">
      <c r="A315" s="32">
        <f>A310</f>
        <v/>
      </c>
      <c r="B315" s="32">
        <f>B310</f>
        <v/>
      </c>
      <c r="C315" s="32" t="inlineStr">
        <is>
          <t>INSTALAÇÕES DE TELECOMUNICAÇÃO</t>
        </is>
      </c>
      <c r="D315" s="32" t="inlineStr">
        <is>
          <t>CAIXA 4x2" E 4x4"</t>
        </is>
      </c>
      <c r="E315" s="32" t="inlineStr">
        <is>
          <t>Placa 4x2" cega Padrão NBR IEC 60670</t>
        </is>
      </c>
      <c r="F315" s="33" t="n">
        <v>29</v>
      </c>
      <c r="G315" s="33" t="n">
        <v>1</v>
      </c>
      <c r="H315" s="34" t="n">
        <v>0</v>
      </c>
      <c r="I315" s="35">
        <f>(F315+H315*F315)*G315</f>
        <v/>
      </c>
      <c r="J315" s="33" t="inlineStr">
        <is>
          <t>pç</t>
        </is>
      </c>
      <c r="K315" s="36" t="n">
        <v>4.5</v>
      </c>
      <c r="L315" s="37">
        <f>I315*K315</f>
        <v/>
      </c>
      <c r="N315" t="inlineStr">
        <is>
          <t>Torre B</t>
        </is>
      </c>
    </row>
    <row r="316">
      <c r="A316" s="32">
        <f>A310</f>
        <v/>
      </c>
      <c r="B316" s="32">
        <f>B310</f>
        <v/>
      </c>
      <c r="C316" s="32" t="inlineStr">
        <is>
          <t>INSTALAÇÕES DE TELECOMUNICAÇÃO</t>
        </is>
      </c>
      <c r="D316" s="32" t="inlineStr">
        <is>
          <t>CAIXA 4x2" E 4x4"</t>
        </is>
      </c>
      <c r="E316" s="32" t="inlineStr">
        <is>
          <t>Placa 4x2" para 2 funções Padrão NBR IEC 60670</t>
        </is>
      </c>
      <c r="F316" s="33" t="n">
        <v>4</v>
      </c>
      <c r="G316" s="33" t="n">
        <v>1</v>
      </c>
      <c r="H316" s="34" t="n">
        <v>0</v>
      </c>
      <c r="I316" s="35">
        <f>(F316+H316*F316)*G316</f>
        <v/>
      </c>
      <c r="J316" s="33" t="inlineStr">
        <is>
          <t>pç</t>
        </is>
      </c>
      <c r="K316" s="36" t="n">
        <v>7.8</v>
      </c>
      <c r="L316" s="37">
        <f>I316*K316</f>
        <v/>
      </c>
      <c r="N316" t="inlineStr">
        <is>
          <t>Torre B</t>
        </is>
      </c>
    </row>
    <row r="317">
      <c r="A317" s="32">
        <f>A310</f>
        <v/>
      </c>
      <c r="B317" s="32">
        <f>B310</f>
        <v/>
      </c>
      <c r="C317" s="32" t="inlineStr">
        <is>
          <t>INSTALAÇÕES DE TELECOMUNICAÇÃO</t>
        </is>
      </c>
      <c r="D317" s="32" t="inlineStr">
        <is>
          <t>CAIXA 4x2" E 4x4"</t>
        </is>
      </c>
      <c r="E317" s="32" t="inlineStr">
        <is>
          <t>Placa 4x4" cega Padrão NBR IEC 60670</t>
        </is>
      </c>
      <c r="F317" s="33" t="n">
        <v>24</v>
      </c>
      <c r="G317" s="33" t="n">
        <v>1</v>
      </c>
      <c r="H317" s="34" t="n">
        <v>0</v>
      </c>
      <c r="I317" s="35">
        <f>(F317+H317*F317)*G317</f>
        <v/>
      </c>
      <c r="J317" s="33" t="inlineStr">
        <is>
          <t>pç</t>
        </is>
      </c>
      <c r="K317" s="36" t="n">
        <v>7.5</v>
      </c>
      <c r="L317" s="37">
        <f>I317*K317</f>
        <v/>
      </c>
      <c r="N317" t="inlineStr">
        <is>
          <t>Torre B</t>
        </is>
      </c>
    </row>
    <row r="318">
      <c r="A318" s="32">
        <f>A310</f>
        <v/>
      </c>
      <c r="B318" s="32">
        <f>B310</f>
        <v/>
      </c>
      <c r="C318" s="32" t="inlineStr">
        <is>
          <t>INSTALAÇÕES DE TELECOMUNICAÇÃO</t>
        </is>
      </c>
      <c r="D318" s="32" t="inlineStr">
        <is>
          <t>CAIXA 4x2" E 4x4"</t>
        </is>
      </c>
      <c r="E318" s="32" t="inlineStr">
        <is>
          <t>Suporte p/ caixa 4x2" Padrão NBR IEC 60670</t>
        </is>
      </c>
      <c r="F318" s="33" t="n">
        <v>63</v>
      </c>
      <c r="G318" s="33" t="n">
        <v>1</v>
      </c>
      <c r="H318" s="34" t="n">
        <v>0</v>
      </c>
      <c r="I318" s="35">
        <f>(F318+H318*F318)*G318</f>
        <v/>
      </c>
      <c r="J318" s="33" t="inlineStr">
        <is>
          <t>pç</t>
        </is>
      </c>
      <c r="K318" s="36" t="n">
        <v>2.4</v>
      </c>
      <c r="L318" s="37">
        <f>I318*K318</f>
        <v/>
      </c>
      <c r="N318" t="inlineStr">
        <is>
          <t>Torre B</t>
        </is>
      </c>
    </row>
    <row r="319">
      <c r="A319" s="32">
        <f>A310</f>
        <v/>
      </c>
      <c r="B319" s="32">
        <f>B310</f>
        <v/>
      </c>
      <c r="C319" s="32" t="inlineStr">
        <is>
          <t>INSTALAÇÕES DE TELECOMUNICAÇÃO</t>
        </is>
      </c>
      <c r="D319" s="32" t="inlineStr">
        <is>
          <t>CAIXA 4x2" E 4x4"</t>
        </is>
      </c>
      <c r="E319" s="32" t="inlineStr">
        <is>
          <t>Suporte p/ caixa 4x4" Padrão NBR IEC 60670</t>
        </is>
      </c>
      <c r="F319" s="33" t="n">
        <v>24</v>
      </c>
      <c r="G319" s="33" t="n">
        <v>1</v>
      </c>
      <c r="H319" s="34" t="n">
        <v>0</v>
      </c>
      <c r="I319" s="35">
        <f>(F319+H319*F319)*G319</f>
        <v/>
      </c>
      <c r="J319" s="33" t="inlineStr">
        <is>
          <t>pç</t>
        </is>
      </c>
      <c r="K319" s="36" t="n">
        <v>3.2</v>
      </c>
      <c r="L319" s="37">
        <f>I319*K319</f>
        <v/>
      </c>
      <c r="N319" t="inlineStr">
        <is>
          <t>Torre B</t>
        </is>
      </c>
    </row>
    <row r="320">
      <c r="A320" s="32">
        <f>A310</f>
        <v/>
      </c>
      <c r="B320" s="32">
        <f>B310</f>
        <v/>
      </c>
      <c r="C320" s="32" t="inlineStr">
        <is>
          <t>INSTALAÇÕES DE TELECOMUNICAÇÃO</t>
        </is>
      </c>
      <c r="D320" s="32" t="inlineStr">
        <is>
          <t>ELETRODUTOS</t>
        </is>
      </c>
      <c r="E320" s="32" t="inlineStr">
        <is>
          <t>PVC Flexível Antichama - NBR 15465 ø1"</t>
        </is>
      </c>
      <c r="F320" s="33" t="n">
        <v>308</v>
      </c>
      <c r="G320" s="33" t="n">
        <v>1</v>
      </c>
      <c r="H320" s="34" t="n">
        <v>0</v>
      </c>
      <c r="I320" s="35">
        <f>(F320+H320*F320)*G320</f>
        <v/>
      </c>
      <c r="J320" s="33" t="inlineStr">
        <is>
          <t>m</t>
        </is>
      </c>
      <c r="K320" s="36" t="n">
        <v>11.9</v>
      </c>
      <c r="L320" s="37">
        <f>I320*K320</f>
        <v/>
      </c>
      <c r="N320" t="inlineStr">
        <is>
          <t>Torre B</t>
        </is>
      </c>
    </row>
    <row r="321">
      <c r="A321" s="32">
        <f>A310</f>
        <v/>
      </c>
      <c r="B321" s="32">
        <f>B310</f>
        <v/>
      </c>
      <c r="C321" s="32" t="inlineStr">
        <is>
          <t>INSTALAÇÕES DE TELECOMUNICAÇÃO</t>
        </is>
      </c>
      <c r="D321" s="32" t="inlineStr">
        <is>
          <t>ELETRODUTOS</t>
        </is>
      </c>
      <c r="E321" s="32" t="inlineStr">
        <is>
          <t>PVC Flexível Antichama - NBR 15465 ø3/4"</t>
        </is>
      </c>
      <c r="F321" s="33" t="n">
        <v>437</v>
      </c>
      <c r="G321" s="33" t="n">
        <v>1</v>
      </c>
      <c r="H321" s="34" t="n">
        <v>0</v>
      </c>
      <c r="I321" s="35">
        <f>(F321+H321*F321)*G321</f>
        <v/>
      </c>
      <c r="J321" s="33" t="inlineStr">
        <is>
          <t>m</t>
        </is>
      </c>
      <c r="K321" s="36" t="n">
        <v>7.5</v>
      </c>
      <c r="L321" s="37">
        <f>I321*K321</f>
        <v/>
      </c>
      <c r="N321" t="inlineStr">
        <is>
          <t>Torre B</t>
        </is>
      </c>
    </row>
    <row r="322">
      <c r="A322" s="32">
        <f>A310</f>
        <v/>
      </c>
      <c r="B322" s="32">
        <f>B310</f>
        <v/>
      </c>
      <c r="C322" s="32" t="inlineStr">
        <is>
          <t>INSTALAÇÕES DE TELECOMUNICAÇÃO</t>
        </is>
      </c>
      <c r="D322" s="32" t="inlineStr">
        <is>
          <t>MÓDULOS</t>
        </is>
      </c>
      <c r="E322" s="32" t="inlineStr">
        <is>
          <t>Módulo Coaxial</t>
        </is>
      </c>
      <c r="F322" s="33" t="n">
        <v>4</v>
      </c>
      <c r="G322" s="33" t="n">
        <v>1</v>
      </c>
      <c r="H322" s="34" t="n">
        <v>0</v>
      </c>
      <c r="I322" s="35">
        <f>(F322+H322*F322)*G322</f>
        <v/>
      </c>
      <c r="J322" s="33" t="inlineStr">
        <is>
          <t>pç</t>
        </is>
      </c>
      <c r="K322" s="36" t="n">
        <v>18.5</v>
      </c>
      <c r="L322" s="37">
        <f>I322*K322</f>
        <v/>
      </c>
      <c r="N322" t="inlineStr">
        <is>
          <t>Torre B</t>
        </is>
      </c>
    </row>
    <row r="323">
      <c r="A323" s="32">
        <f>A310</f>
        <v/>
      </c>
      <c r="B323" s="32">
        <f>B310</f>
        <v/>
      </c>
      <c r="C323" s="32" t="inlineStr">
        <is>
          <t>INSTALAÇÕES DE TELECOMUNICAÇÃO</t>
        </is>
      </c>
      <c r="D323" s="32" t="inlineStr">
        <is>
          <t>MÓDULOS</t>
        </is>
      </c>
      <c r="E323" s="32" t="inlineStr">
        <is>
          <t>Módulo RJ45</t>
        </is>
      </c>
      <c r="F323" s="33" t="n">
        <v>3</v>
      </c>
      <c r="G323" s="33" t="n">
        <v>1</v>
      </c>
      <c r="H323" s="34" t="n">
        <v>0</v>
      </c>
      <c r="I323" s="35">
        <f>(F323+H323*F323)*G323</f>
        <v/>
      </c>
      <c r="J323" s="33" t="inlineStr">
        <is>
          <t>pç</t>
        </is>
      </c>
      <c r="K323" s="36" t="n">
        <v>22.9</v>
      </c>
      <c r="L323" s="37">
        <f>I323*K323</f>
        <v/>
      </c>
      <c r="N323" t="inlineStr">
        <is>
          <t>Torre B</t>
        </is>
      </c>
    </row>
    <row r="324">
      <c r="A324" s="32">
        <f>A310</f>
        <v/>
      </c>
      <c r="B324" s="32">
        <f>B310</f>
        <v/>
      </c>
      <c r="C324" s="32" t="inlineStr">
        <is>
          <t>INSTALAÇÕES DE TELECOMUNICAÇÃO</t>
        </is>
      </c>
      <c r="D324" s="32" t="inlineStr">
        <is>
          <t>QUADROS DE DISTRIBUIÇÃO</t>
        </is>
      </c>
      <c r="E324" s="32" t="inlineStr">
        <is>
          <t>Embutir - 396x510x107mm</t>
        </is>
      </c>
      <c r="F324" s="33" t="n">
        <v>1</v>
      </c>
      <c r="G324" s="33" t="n">
        <v>1</v>
      </c>
      <c r="H324" s="34" t="n">
        <v>0</v>
      </c>
      <c r="I324" s="35">
        <f>(F324+H324*F324)*G324</f>
        <v/>
      </c>
      <c r="J324" s="33" t="inlineStr">
        <is>
          <t>pç</t>
        </is>
      </c>
      <c r="K324" s="36" t="n">
        <v>420</v>
      </c>
      <c r="L324" s="37">
        <f>I324*K324</f>
        <v/>
      </c>
      <c r="N324" t="inlineStr">
        <is>
          <t>Torre B</t>
        </is>
      </c>
    </row>
    <row r="325">
      <c r="A325" s="32">
        <f>A310</f>
        <v/>
      </c>
      <c r="B325" s="32">
        <f>B310</f>
        <v/>
      </c>
      <c r="C325" s="32" t="inlineStr">
        <is>
          <t>INSTALAÇÕES DE TELECOMUNICAÇÃO</t>
        </is>
      </c>
      <c r="D325" s="32" t="inlineStr">
        <is>
          <t>ELETRODUTOS</t>
        </is>
      </c>
      <c r="E325" s="32" t="inlineStr">
        <is>
          <t>PVC Flexível Antichama - NBR 15465 ø1.1/4"</t>
        </is>
      </c>
      <c r="F325" s="33" t="n">
        <v>18</v>
      </c>
      <c r="G325" s="33" t="n">
        <v>1</v>
      </c>
      <c r="H325" s="34" t="n">
        <v>0</v>
      </c>
      <c r="I325" s="35">
        <f>(F325+H325*F325)*G325</f>
        <v/>
      </c>
      <c r="J325" s="33" t="inlineStr">
        <is>
          <t>m</t>
        </is>
      </c>
      <c r="K325" s="36" t="n">
        <v>0</v>
      </c>
      <c r="L325" s="37">
        <f>I325*K325</f>
        <v/>
      </c>
      <c r="N325" t="inlineStr">
        <is>
          <t>Torre B</t>
        </is>
      </c>
    </row>
    <row r="326">
      <c r="A326" s="32">
        <f>A310</f>
        <v/>
      </c>
      <c r="B326" s="32">
        <f>B310</f>
        <v/>
      </c>
      <c r="C326" s="32" t="inlineStr">
        <is>
          <t>INSTALAÇÕES DE TELECOMUNICAÇÃO</t>
        </is>
      </c>
      <c r="D326" s="32" t="inlineStr">
        <is>
          <t>ELETRODUTOS</t>
        </is>
      </c>
      <c r="E326" s="32" t="inlineStr">
        <is>
          <t>PVC Flexível Antichama - NBR 15465 ø1.1/4"</t>
        </is>
      </c>
      <c r="F326" s="33" t="n">
        <v>9</v>
      </c>
      <c r="G326" s="33" t="n">
        <v>1</v>
      </c>
      <c r="H326" s="34" t="n">
        <v>0</v>
      </c>
      <c r="I326" s="35">
        <f>(F326+H326*F326)*G326</f>
        <v/>
      </c>
      <c r="J326" s="33" t="inlineStr">
        <is>
          <t>m</t>
        </is>
      </c>
      <c r="K326" s="36" t="n">
        <v>0</v>
      </c>
      <c r="L326" s="37">
        <f>I326*K326</f>
        <v/>
      </c>
      <c r="N326" t="inlineStr">
        <is>
          <t>Torre B</t>
        </is>
      </c>
    </row>
    <row r="327">
      <c r="A327" s="32">
        <f>A310</f>
        <v/>
      </c>
      <c r="B327" s="32">
        <f>B310</f>
        <v/>
      </c>
      <c r="C327" s="32" t="inlineStr">
        <is>
          <t>INSTALAÇÕES DE TELECOMUNICAÇÃO</t>
        </is>
      </c>
      <c r="D327" s="32" t="inlineStr">
        <is>
          <t>ELETRODUTOS</t>
        </is>
      </c>
      <c r="E327" s="32" t="inlineStr">
        <is>
          <t>PVC Flexível Antichama - NBR 15465 ø3"</t>
        </is>
      </c>
      <c r="F327" s="33" t="n">
        <v>6</v>
      </c>
      <c r="G327" s="33" t="n">
        <v>1</v>
      </c>
      <c r="H327" s="34" t="n">
        <v>0</v>
      </c>
      <c r="I327" s="35">
        <f>(F327+H327*F327)*G327</f>
        <v/>
      </c>
      <c r="J327" s="33" t="inlineStr">
        <is>
          <t>m</t>
        </is>
      </c>
      <c r="K327" s="36" t="n">
        <v>0</v>
      </c>
      <c r="L327" s="37">
        <f>I327*K327</f>
        <v/>
      </c>
      <c r="N327" t="inlineStr">
        <is>
          <t>Torre B</t>
        </is>
      </c>
    </row>
    <row r="328">
      <c r="A328" s="32">
        <f>A310</f>
        <v/>
      </c>
      <c r="B328" s="32">
        <f>B310</f>
        <v/>
      </c>
      <c r="C328" s="32" t="inlineStr">
        <is>
          <t>INSTALAÇÕES DE TELECOMUNICAÇÃO</t>
        </is>
      </c>
      <c r="D328" s="32" t="inlineStr">
        <is>
          <t>CAIXA DE PASSAGEM</t>
        </is>
      </c>
      <c r="E328" s="32" t="inlineStr">
        <is>
          <t>Cx de passagem de embutir com dimensão de 40x120x15cm</t>
        </is>
      </c>
      <c r="F328" s="33" t="n">
        <v>1</v>
      </c>
      <c r="G328" s="33" t="n">
        <v>1</v>
      </c>
      <c r="H328" s="34" t="n">
        <v>0</v>
      </c>
      <c r="I328" s="35">
        <f>(F328+H328*F328)*G328</f>
        <v/>
      </c>
      <c r="J328" s="33" t="inlineStr">
        <is>
          <t>pç</t>
        </is>
      </c>
      <c r="K328" s="36" t="n">
        <v>0</v>
      </c>
      <c r="L328" s="37">
        <f>I328*K328</f>
        <v/>
      </c>
      <c r="N328" t="inlineStr">
        <is>
          <t>Torre B</t>
        </is>
      </c>
    </row>
    <row r="329">
      <c r="A329" s="32">
        <f>A310</f>
        <v/>
      </c>
      <c r="B329" s="32">
        <f>B310</f>
        <v/>
      </c>
      <c r="C329" s="32" t="inlineStr">
        <is>
          <t>INSTALAÇÕES DE TELECOMUNICAÇÃO</t>
        </is>
      </c>
      <c r="D329" s="32" t="inlineStr">
        <is>
          <t>CAIXA DE PASSAGEM</t>
        </is>
      </c>
      <c r="E329" s="32" t="inlineStr">
        <is>
          <t>Cx de passagem de embutir com dimensão de 40x40x12cm</t>
        </is>
      </c>
      <c r="F329" s="33" t="n">
        <v>1</v>
      </c>
      <c r="G329" s="33" t="n">
        <v>1</v>
      </c>
      <c r="H329" s="34" t="n">
        <v>0</v>
      </c>
      <c r="I329" s="35">
        <f>(F329+H329*F329)*G329</f>
        <v/>
      </c>
      <c r="J329" s="33" t="inlineStr">
        <is>
          <t>pç</t>
        </is>
      </c>
      <c r="K329" s="36" t="n">
        <v>0</v>
      </c>
      <c r="L329" s="37">
        <f>I329*K329</f>
        <v/>
      </c>
      <c r="N329" t="inlineStr">
        <is>
          <t>Torre B</t>
        </is>
      </c>
    </row>
    <row r="330">
      <c r="A330" s="32">
        <f>A310</f>
        <v/>
      </c>
      <c r="B330" s="32">
        <f>B310</f>
        <v/>
      </c>
      <c r="C330" s="32" t="inlineStr">
        <is>
          <t>INSTALAÇÕES DE TELECOMUNICAÇÃO</t>
        </is>
      </c>
      <c r="D330" s="32" t="inlineStr">
        <is>
          <t>COTOVELOS</t>
        </is>
      </c>
      <c r="E330" s="32" t="inlineStr">
        <is>
          <t>Cotovelo para eletroduto flexível PVC amarelo</t>
        </is>
      </c>
      <c r="F330" s="33" t="n">
        <v>586</v>
      </c>
      <c r="G330" s="33" t="n">
        <v>1</v>
      </c>
      <c r="H330" s="34" t="n">
        <v>0</v>
      </c>
      <c r="I330" s="35">
        <f>(F330+H330*F330)*G330</f>
        <v/>
      </c>
      <c r="J330" s="33" t="inlineStr">
        <is>
          <t>un</t>
        </is>
      </c>
      <c r="K330" s="36" t="n">
        <v>0</v>
      </c>
      <c r="L330" s="37">
        <f>I330*K330</f>
        <v/>
      </c>
      <c r="N330" t="inlineStr">
        <is>
          <t>Torre B</t>
        </is>
      </c>
    </row>
    <row r="331">
      <c r="A331" s="32">
        <f>A310</f>
        <v/>
      </c>
      <c r="B331" s="32">
        <f>B310</f>
        <v/>
      </c>
      <c r="C331" s="32" t="inlineStr">
        <is>
          <t>INSTALAÇÕES DE TELECOMUNICAÇÃO</t>
        </is>
      </c>
      <c r="D331" s="32" t="inlineStr">
        <is>
          <t>CONECTORES E BUCHAS</t>
        </is>
      </c>
      <c r="E331" s="32" t="inlineStr">
        <is>
          <t>Conector box e arruela - Alumínio padrão</t>
        </is>
      </c>
      <c r="F331" s="33" t="n">
        <v>27</v>
      </c>
      <c r="G331" s="33" t="n">
        <v>1</v>
      </c>
      <c r="H331" s="34" t="n">
        <v>0</v>
      </c>
      <c r="I331" s="35">
        <f>(F331+H331*F331)*G331</f>
        <v/>
      </c>
      <c r="J331" s="33" t="inlineStr">
        <is>
          <t>un</t>
        </is>
      </c>
      <c r="K331" s="36" t="n">
        <v>0</v>
      </c>
      <c r="L331" s="37">
        <f>I331*K331</f>
        <v/>
      </c>
      <c r="N331" t="inlineStr">
        <is>
          <t>Torre B</t>
        </is>
      </c>
    </row>
    <row r="332">
      <c r="A332" s="32">
        <f>A310</f>
        <v/>
      </c>
      <c r="B332" s="32">
        <f>B310</f>
        <v/>
      </c>
      <c r="C332" s="32" t="inlineStr">
        <is>
          <t>INSTALAÇÕES DE TELECOMUNICAÇÃO</t>
        </is>
      </c>
      <c r="D332" s="32" t="inlineStr">
        <is>
          <t>CONECTORES E BUCHAS</t>
        </is>
      </c>
      <c r="E332" s="32" t="inlineStr">
        <is>
          <t>Bucha terminal simples - Alumínio padrão</t>
        </is>
      </c>
      <c r="F332" s="33" t="n">
        <v>10</v>
      </c>
      <c r="G332" s="33" t="n">
        <v>1</v>
      </c>
      <c r="H332" s="34" t="n">
        <v>0</v>
      </c>
      <c r="I332" s="35">
        <f>(F332+H332*F332)*G332</f>
        <v/>
      </c>
      <c r="J332" s="33" t="inlineStr">
        <is>
          <t>un</t>
        </is>
      </c>
      <c r="K332" s="36" t="n">
        <v>0</v>
      </c>
      <c r="L332" s="37">
        <f>I332*K332</f>
        <v/>
      </c>
      <c r="N332" t="inlineStr">
        <is>
          <t>Torre B</t>
        </is>
      </c>
    </row>
    <row r="333">
      <c r="A333" s="32">
        <f>A310</f>
        <v/>
      </c>
      <c r="B333" s="32">
        <f>B310</f>
        <v/>
      </c>
      <c r="C333" s="32" t="inlineStr">
        <is>
          <t>INSTALAÇÕES DE TELECOMUNICAÇÃO</t>
        </is>
      </c>
      <c r="D333" s="32" t="inlineStr">
        <is>
          <t>CONDUTORES TELECOM</t>
        </is>
      </c>
      <c r="E333" s="32" t="inlineStr">
        <is>
          <t>Condutor CFTV</t>
        </is>
      </c>
      <c r="F333" s="33" t="n">
        <v>19</v>
      </c>
      <c r="G333" s="33" t="n">
        <v>1</v>
      </c>
      <c r="H333" s="34" t="n">
        <v>0</v>
      </c>
      <c r="I333" s="35">
        <f>(F333+H333*F333)*G333</f>
        <v/>
      </c>
      <c r="J333" s="33" t="inlineStr">
        <is>
          <t>un</t>
        </is>
      </c>
      <c r="K333" s="36" t="n">
        <v>0</v>
      </c>
      <c r="L333" s="37">
        <f>I333*K333</f>
        <v/>
      </c>
      <c r="N333" t="inlineStr">
        <is>
          <t>Torre B</t>
        </is>
      </c>
    </row>
    <row r="334">
      <c r="A334" s="32">
        <f>A310</f>
        <v/>
      </c>
      <c r="B334" s="32">
        <f>B310</f>
        <v/>
      </c>
      <c r="C334" s="32" t="inlineStr">
        <is>
          <t>INSTALAÇÕES DE TELECOMUNICAÇÃO</t>
        </is>
      </c>
      <c r="D334" s="32" t="inlineStr">
        <is>
          <t>CONDUTORES TELECOM</t>
        </is>
      </c>
      <c r="E334" s="32" t="inlineStr">
        <is>
          <t>Condutor Cordplast</t>
        </is>
      </c>
      <c r="F334" s="33" t="n">
        <v>19</v>
      </c>
      <c r="G334" s="33" t="n">
        <v>1</v>
      </c>
      <c r="H334" s="34" t="n">
        <v>0</v>
      </c>
      <c r="I334" s="35">
        <f>(F334+H334*F334)*G334</f>
        <v/>
      </c>
      <c r="J334" s="33" t="inlineStr">
        <is>
          <t>un</t>
        </is>
      </c>
      <c r="K334" s="36" t="n">
        <v>0</v>
      </c>
      <c r="L334" s="37">
        <f>I334*K334</f>
        <v/>
      </c>
      <c r="N334" t="inlineStr">
        <is>
          <t>Torre B</t>
        </is>
      </c>
    </row>
    <row r="335">
      <c r="A335" s="32">
        <f>A310</f>
        <v/>
      </c>
      <c r="B335" s="32">
        <f>B310</f>
        <v/>
      </c>
      <c r="C335" s="32" t="inlineStr">
        <is>
          <t>INSTALAÇÕES DE TELECOMUNICAÇÃO</t>
        </is>
      </c>
      <c r="D335" s="32" t="inlineStr">
        <is>
          <t>PONTOS DE USO</t>
        </is>
      </c>
      <c r="E335" s="32" t="inlineStr">
        <is>
          <t>Caixa 4x2 - Interfone</t>
        </is>
      </c>
      <c r="F335" s="33" t="n">
        <v>9</v>
      </c>
      <c r="G335" s="33" t="n">
        <v>1</v>
      </c>
      <c r="H335" s="34" t="n">
        <v>0</v>
      </c>
      <c r="I335" s="35">
        <f>(F335+H335*F335)*G335</f>
        <v/>
      </c>
      <c r="J335" s="33" t="inlineStr">
        <is>
          <t>un</t>
        </is>
      </c>
      <c r="K335" s="36" t="n">
        <v>0</v>
      </c>
      <c r="L335" s="37">
        <f>I335*K335</f>
        <v/>
      </c>
      <c r="N335" t="inlineStr">
        <is>
          <t>Torre B</t>
        </is>
      </c>
    </row>
    <row r="336">
      <c r="A336" s="32">
        <f>A310</f>
        <v/>
      </c>
      <c r="B336" s="32">
        <f>B310</f>
        <v/>
      </c>
      <c r="C336" s="32" t="inlineStr">
        <is>
          <t>INSTALAÇÕES DE TELECOMUNICAÇÃO</t>
        </is>
      </c>
      <c r="D336" s="32" t="inlineStr">
        <is>
          <t>PONTOS DE USO</t>
        </is>
      </c>
      <c r="E336" s="32" t="inlineStr">
        <is>
          <t>Caixa 4x2 - Câmera CFTV</t>
        </is>
      </c>
      <c r="F336" s="33" t="n">
        <v>2</v>
      </c>
      <c r="G336" s="33" t="n">
        <v>1</v>
      </c>
      <c r="H336" s="34" t="n">
        <v>0</v>
      </c>
      <c r="I336" s="35">
        <f>(F336+H336*F336)*G336</f>
        <v/>
      </c>
      <c r="J336" s="33" t="inlineStr">
        <is>
          <t>un</t>
        </is>
      </c>
      <c r="K336" s="36" t="n">
        <v>0</v>
      </c>
      <c r="L336" s="37">
        <f>I336*K336</f>
        <v/>
      </c>
      <c r="N336" t="inlineStr">
        <is>
          <t>Torre B</t>
        </is>
      </c>
    </row>
    <row r="337">
      <c r="A337" s="32">
        <f>A310</f>
        <v/>
      </c>
      <c r="B337" s="32">
        <f>B310</f>
        <v/>
      </c>
      <c r="C337" s="32" t="inlineStr">
        <is>
          <t>INSTALAÇÕES DE TELECOMUNICAÇÃO</t>
        </is>
      </c>
      <c r="D337" s="32" t="inlineStr">
        <is>
          <t>PONTOS DE USO</t>
        </is>
      </c>
      <c r="E337" s="32" t="inlineStr">
        <is>
          <t>Caixa 4x2 - Controle de Acesso</t>
        </is>
      </c>
      <c r="F337" s="33" t="n">
        <v>17</v>
      </c>
      <c r="G337" s="33" t="n">
        <v>1</v>
      </c>
      <c r="H337" s="34" t="n">
        <v>0</v>
      </c>
      <c r="I337" s="35">
        <f>(F337+H337*F337)*G337</f>
        <v/>
      </c>
      <c r="J337" s="33" t="inlineStr">
        <is>
          <t>un</t>
        </is>
      </c>
      <c r="K337" s="36" t="n">
        <v>0</v>
      </c>
      <c r="L337" s="37">
        <f>I337*K337</f>
        <v/>
      </c>
      <c r="N337" t="inlineStr">
        <is>
          <t>Torre B</t>
        </is>
      </c>
    </row>
    <row r="338">
      <c r="A338" s="23" t="inlineStr">
        <is>
          <t>Torre B</t>
        </is>
      </c>
      <c r="B338" s="23" t="inlineStr">
        <is>
          <t>PAVIMENTO TIPO</t>
        </is>
      </c>
      <c r="C338" s="24" t="n"/>
      <c r="D338" s="25" t="n"/>
      <c r="E338" s="25" t="n"/>
      <c r="F338" s="26" t="n"/>
      <c r="G338" s="26" t="n"/>
      <c r="H338" s="26" t="n"/>
      <c r="I338" s="27" t="n"/>
      <c r="J338" s="26" t="n"/>
      <c r="K338" s="28" t="n"/>
      <c r="L338" s="29">
        <f>IF(SUM(F338:K338)=0,SUMIFS($L339:$L$9999,$B339:$B$9999,$B338,$A339:$A$9999,$A338),I338*K338)</f>
        <v/>
      </c>
      <c r="N338" t="inlineStr">
        <is>
          <t>Torre B</t>
        </is>
      </c>
    </row>
    <row r="339">
      <c r="A339" s="32">
        <f>A338</f>
        <v/>
      </c>
      <c r="B339" s="32">
        <f>B338</f>
        <v/>
      </c>
      <c r="C339" s="32" t="inlineStr">
        <is>
          <t>INSTALAÇÕES DE TELECOMUNICAÇÃO</t>
        </is>
      </c>
      <c r="D339" s="32" t="inlineStr">
        <is>
          <t>CAIXA OCTOGONAL</t>
        </is>
      </c>
      <c r="E339" s="32" t="inlineStr">
        <is>
          <t>Caixa Octogonal Padrão NBR IEC 60670</t>
        </is>
      </c>
      <c r="F339" s="33" t="n">
        <v>6</v>
      </c>
      <c r="G339" s="33" t="n">
        <v>24</v>
      </c>
      <c r="H339" s="34" t="n">
        <v>0</v>
      </c>
      <c r="I339" s="35">
        <f>(F339+H339*F339)*G339</f>
        <v/>
      </c>
      <c r="J339" s="33" t="inlineStr">
        <is>
          <t>pç</t>
        </is>
      </c>
      <c r="K339" s="36" t="n">
        <v>9.800000000000001</v>
      </c>
      <c r="L339" s="37">
        <f>I339*K339</f>
        <v/>
      </c>
      <c r="N339" t="inlineStr">
        <is>
          <t>Torre B</t>
        </is>
      </c>
    </row>
    <row r="340">
      <c r="A340" s="32">
        <f>A338</f>
        <v/>
      </c>
      <c r="B340" s="32">
        <f>B338</f>
        <v/>
      </c>
      <c r="C340" s="32" t="inlineStr">
        <is>
          <t>INSTALAÇÕES DE TELECOMUNICAÇÃO</t>
        </is>
      </c>
      <c r="D340" s="32" t="inlineStr">
        <is>
          <t>CAIXA OCTOGONAL</t>
        </is>
      </c>
      <c r="E340" s="32" t="inlineStr">
        <is>
          <t>Placa cega para caixa octogonal Padrão NBR IEC 60670</t>
        </is>
      </c>
      <c r="F340" s="33" t="n">
        <v>1</v>
      </c>
      <c r="G340" s="33" t="n">
        <v>24</v>
      </c>
      <c r="H340" s="34" t="n">
        <v>0</v>
      </c>
      <c r="I340" s="35">
        <f>(F340+H340*F340)*G340</f>
        <v/>
      </c>
      <c r="J340" s="33" t="inlineStr">
        <is>
          <t>pç</t>
        </is>
      </c>
      <c r="K340" s="36" t="n">
        <v>6.5</v>
      </c>
      <c r="L340" s="37">
        <f>I340*K340</f>
        <v/>
      </c>
      <c r="N340" t="inlineStr">
        <is>
          <t>Torre B</t>
        </is>
      </c>
    </row>
    <row r="341">
      <c r="A341" s="32">
        <f>A338</f>
        <v/>
      </c>
      <c r="B341" s="32">
        <f>B338</f>
        <v/>
      </c>
      <c r="C341" s="32" t="inlineStr">
        <is>
          <t>INSTALAÇÕES DE TELECOMUNICAÇÃO</t>
        </is>
      </c>
      <c r="D341" s="32" t="inlineStr">
        <is>
          <t>CAIXA 4x2" E 4x4"</t>
        </is>
      </c>
      <c r="E341" s="32" t="inlineStr">
        <is>
          <t>Caixa 4x2" de Embutir em PVC Padrão NBR IEC 60670</t>
        </is>
      </c>
      <c r="F341" s="33" t="n">
        <v>48</v>
      </c>
      <c r="G341" s="33" t="n">
        <v>24</v>
      </c>
      <c r="H341" s="34" t="n">
        <v>0</v>
      </c>
      <c r="I341" s="35">
        <f>(F341+H341*F341)*G341</f>
        <v/>
      </c>
      <c r="J341" s="33" t="inlineStr">
        <is>
          <t>pç</t>
        </is>
      </c>
      <c r="K341" s="36" t="n">
        <v>5.9</v>
      </c>
      <c r="L341" s="37">
        <f>I341*K341</f>
        <v/>
      </c>
      <c r="N341" t="inlineStr">
        <is>
          <t>Torre B</t>
        </is>
      </c>
    </row>
    <row r="342">
      <c r="A342" s="32">
        <f>A338</f>
        <v/>
      </c>
      <c r="B342" s="32">
        <f>B338</f>
        <v/>
      </c>
      <c r="C342" s="32" t="inlineStr">
        <is>
          <t>INSTALAÇÕES DE TELECOMUNICAÇÃO</t>
        </is>
      </c>
      <c r="D342" s="32" t="inlineStr">
        <is>
          <t>CAIXA 4x2" E 4x4"</t>
        </is>
      </c>
      <c r="E342" s="32" t="inlineStr">
        <is>
          <t>Caixa 4x4" de Embutir em PVC Padrão NBR IEC 60670</t>
        </is>
      </c>
      <c r="F342" s="33" t="n">
        <v>30</v>
      </c>
      <c r="G342" s="33" t="n">
        <v>24</v>
      </c>
      <c r="H342" s="34" t="n">
        <v>0</v>
      </c>
      <c r="I342" s="35">
        <f>(F342+H342*F342)*G342</f>
        <v/>
      </c>
      <c r="J342" s="33" t="inlineStr">
        <is>
          <t>pç</t>
        </is>
      </c>
      <c r="K342" s="36" t="n">
        <v>8.9</v>
      </c>
      <c r="L342" s="37">
        <f>I342*K342</f>
        <v/>
      </c>
      <c r="N342" t="inlineStr">
        <is>
          <t>Torre B</t>
        </is>
      </c>
    </row>
    <row r="343">
      <c r="A343" s="32">
        <f>A338</f>
        <v/>
      </c>
      <c r="B343" s="32">
        <f>B338</f>
        <v/>
      </c>
      <c r="C343" s="32" t="inlineStr">
        <is>
          <t>INSTALAÇÕES DE TELECOMUNICAÇÃO</t>
        </is>
      </c>
      <c r="D343" s="32" t="inlineStr">
        <is>
          <t>CAIXA 4x2" E 4x4"</t>
        </is>
      </c>
      <c r="E343" s="32" t="inlineStr">
        <is>
          <t>Placa 4x2" cega Padrão NBR IEC 60670</t>
        </is>
      </c>
      <c r="F343" s="33" t="n">
        <v>20</v>
      </c>
      <c r="G343" s="33" t="n">
        <v>24</v>
      </c>
      <c r="H343" s="34" t="n">
        <v>0</v>
      </c>
      <c r="I343" s="35">
        <f>(F343+H343*F343)*G343</f>
        <v/>
      </c>
      <c r="J343" s="33" t="inlineStr">
        <is>
          <t>pç</t>
        </is>
      </c>
      <c r="K343" s="36" t="n">
        <v>4.5</v>
      </c>
      <c r="L343" s="37">
        <f>I343*K343</f>
        <v/>
      </c>
      <c r="N343" t="inlineStr">
        <is>
          <t>Torre B</t>
        </is>
      </c>
    </row>
    <row r="344">
      <c r="A344" s="32">
        <f>A338</f>
        <v/>
      </c>
      <c r="B344" s="32">
        <f>B338</f>
        <v/>
      </c>
      <c r="C344" s="32" t="inlineStr">
        <is>
          <t>INSTALAÇÕES DE TELECOMUNICAÇÃO</t>
        </is>
      </c>
      <c r="D344" s="32" t="inlineStr">
        <is>
          <t>CAIXA 4x2" E 4x4"</t>
        </is>
      </c>
      <c r="E344" s="32" t="inlineStr">
        <is>
          <t>Placa 4x2" para 2 funções Padrão NBR IEC 60670</t>
        </is>
      </c>
      <c r="F344" s="33" t="n">
        <v>5</v>
      </c>
      <c r="G344" s="33" t="n">
        <v>24</v>
      </c>
      <c r="H344" s="34" t="n">
        <v>0</v>
      </c>
      <c r="I344" s="35">
        <f>(F344+H344*F344)*G344</f>
        <v/>
      </c>
      <c r="J344" s="33" t="inlineStr">
        <is>
          <t>pç</t>
        </is>
      </c>
      <c r="K344" s="36" t="n">
        <v>7.8</v>
      </c>
      <c r="L344" s="37">
        <f>I344*K344</f>
        <v/>
      </c>
      <c r="N344" t="inlineStr">
        <is>
          <t>Torre B</t>
        </is>
      </c>
    </row>
    <row r="345">
      <c r="A345" s="32">
        <f>A338</f>
        <v/>
      </c>
      <c r="B345" s="32">
        <f>B338</f>
        <v/>
      </c>
      <c r="C345" s="32" t="inlineStr">
        <is>
          <t>INSTALAÇÕES DE TELECOMUNICAÇÃO</t>
        </is>
      </c>
      <c r="D345" s="32" t="inlineStr">
        <is>
          <t>CAIXA 4x2" E 4x4"</t>
        </is>
      </c>
      <c r="E345" s="32" t="inlineStr">
        <is>
          <t>Placa 4x2" para 3 funções Padrão NBR IEC 60670</t>
        </is>
      </c>
      <c r="F345" s="33" t="n">
        <v>2</v>
      </c>
      <c r="G345" s="33" t="n">
        <v>24</v>
      </c>
      <c r="H345" s="34" t="n">
        <v>0</v>
      </c>
      <c r="I345" s="35">
        <f>(F345+H345*F345)*G345</f>
        <v/>
      </c>
      <c r="J345" s="33" t="inlineStr">
        <is>
          <t>pç</t>
        </is>
      </c>
      <c r="K345" s="36" t="n">
        <v>8.9</v>
      </c>
      <c r="L345" s="37">
        <f>I345*K345</f>
        <v/>
      </c>
      <c r="N345" t="inlineStr">
        <is>
          <t>Torre B</t>
        </is>
      </c>
    </row>
    <row r="346">
      <c r="A346" s="32">
        <f>A338</f>
        <v/>
      </c>
      <c r="B346" s="32">
        <f>B338</f>
        <v/>
      </c>
      <c r="C346" s="32" t="inlineStr">
        <is>
          <t>INSTALAÇÕES DE TELECOMUNICAÇÃO</t>
        </is>
      </c>
      <c r="D346" s="32" t="inlineStr">
        <is>
          <t>CAIXA 4x2" E 4x4"</t>
        </is>
      </c>
      <c r="E346" s="32" t="inlineStr">
        <is>
          <t>Placa 4x4" cega Padrão NBR IEC 60670</t>
        </is>
      </c>
      <c r="F346" s="33" t="n">
        <v>30</v>
      </c>
      <c r="G346" s="33" t="n">
        <v>24</v>
      </c>
      <c r="H346" s="34" t="n">
        <v>0</v>
      </c>
      <c r="I346" s="35">
        <f>(F346+H346*F346)*G346</f>
        <v/>
      </c>
      <c r="J346" s="33" t="inlineStr">
        <is>
          <t>pç</t>
        </is>
      </c>
      <c r="K346" s="36" t="n">
        <v>7.5</v>
      </c>
      <c r="L346" s="37">
        <f>I346*K346</f>
        <v/>
      </c>
      <c r="N346" t="inlineStr">
        <is>
          <t>Torre B</t>
        </is>
      </c>
    </row>
    <row r="347">
      <c r="A347" s="32">
        <f>A338</f>
        <v/>
      </c>
      <c r="B347" s="32">
        <f>B338</f>
        <v/>
      </c>
      <c r="C347" s="32" t="inlineStr">
        <is>
          <t>INSTALAÇÕES DE TELECOMUNICAÇÃO</t>
        </is>
      </c>
      <c r="D347" s="32" t="inlineStr">
        <is>
          <t>CAIXA 4x2" E 4x4"</t>
        </is>
      </c>
      <c r="E347" s="32" t="inlineStr">
        <is>
          <t>Suporte p/ caixa 4x2" Padrão NBR IEC 60670</t>
        </is>
      </c>
      <c r="F347" s="33" t="n">
        <v>48</v>
      </c>
      <c r="G347" s="33" t="n">
        <v>24</v>
      </c>
      <c r="H347" s="34" t="n">
        <v>0</v>
      </c>
      <c r="I347" s="35">
        <f>(F347+H347*F347)*G347</f>
        <v/>
      </c>
      <c r="J347" s="33" t="inlineStr">
        <is>
          <t>pç</t>
        </is>
      </c>
      <c r="K347" s="36" t="n">
        <v>2.4</v>
      </c>
      <c r="L347" s="37">
        <f>I347*K347</f>
        <v/>
      </c>
      <c r="N347" t="inlineStr">
        <is>
          <t>Torre B</t>
        </is>
      </c>
    </row>
    <row r="348">
      <c r="A348" s="32">
        <f>A338</f>
        <v/>
      </c>
      <c r="B348" s="32">
        <f>B338</f>
        <v/>
      </c>
      <c r="C348" s="32" t="inlineStr">
        <is>
          <t>INSTALAÇÕES DE TELECOMUNICAÇÃO</t>
        </is>
      </c>
      <c r="D348" s="32" t="inlineStr">
        <is>
          <t>CAIXA 4x2" E 4x4"</t>
        </is>
      </c>
      <c r="E348" s="32" t="inlineStr">
        <is>
          <t>Suporte p/ caixa 4x4" Padrão NBR IEC 60670</t>
        </is>
      </c>
      <c r="F348" s="33" t="n">
        <v>30</v>
      </c>
      <c r="G348" s="33" t="n">
        <v>24</v>
      </c>
      <c r="H348" s="34" t="n">
        <v>0</v>
      </c>
      <c r="I348" s="35">
        <f>(F348+H348*F348)*G348</f>
        <v/>
      </c>
      <c r="J348" s="33" t="inlineStr">
        <is>
          <t>pç</t>
        </is>
      </c>
      <c r="K348" s="36" t="n">
        <v>3.2</v>
      </c>
      <c r="L348" s="37">
        <f>I348*K348</f>
        <v/>
      </c>
      <c r="N348" t="inlineStr">
        <is>
          <t>Torre B</t>
        </is>
      </c>
    </row>
    <row r="349">
      <c r="A349" s="32">
        <f>A338</f>
        <v/>
      </c>
      <c r="B349" s="32">
        <f>B338</f>
        <v/>
      </c>
      <c r="C349" s="32" t="inlineStr">
        <is>
          <t>INSTALAÇÕES DE TELECOMUNICAÇÃO</t>
        </is>
      </c>
      <c r="D349" s="32" t="inlineStr">
        <is>
          <t>ELETRODUTOS</t>
        </is>
      </c>
      <c r="E349" s="32" t="inlineStr">
        <is>
          <t>PVC Flexível Antichama - NBR 15465 ø1"</t>
        </is>
      </c>
      <c r="F349" s="33" t="n">
        <v>242</v>
      </c>
      <c r="G349" s="33" t="n">
        <v>24</v>
      </c>
      <c r="H349" s="34" t="n">
        <v>0</v>
      </c>
      <c r="I349" s="35">
        <f>(F349+H349*F349)*G349</f>
        <v/>
      </c>
      <c r="J349" s="33" t="inlineStr">
        <is>
          <t>m</t>
        </is>
      </c>
      <c r="K349" s="36" t="n">
        <v>11.9</v>
      </c>
      <c r="L349" s="37">
        <f>I349*K349</f>
        <v/>
      </c>
      <c r="N349" t="inlineStr">
        <is>
          <t>Torre B</t>
        </is>
      </c>
    </row>
    <row r="350">
      <c r="A350" s="32">
        <f>A338</f>
        <v/>
      </c>
      <c r="B350" s="32">
        <f>B338</f>
        <v/>
      </c>
      <c r="C350" s="32" t="inlineStr">
        <is>
          <t>INSTALAÇÕES DE TELECOMUNICAÇÃO</t>
        </is>
      </c>
      <c r="D350" s="32" t="inlineStr">
        <is>
          <t>ELETRODUTOS</t>
        </is>
      </c>
      <c r="E350" s="32" t="inlineStr">
        <is>
          <t>PVC Flexível Antichama - NBR 15465 ø3/4"</t>
        </is>
      </c>
      <c r="F350" s="33" t="n">
        <v>360</v>
      </c>
      <c r="G350" s="33" t="n">
        <v>24</v>
      </c>
      <c r="H350" s="34" t="n">
        <v>0</v>
      </c>
      <c r="I350" s="35">
        <f>(F350+H350*F350)*G350</f>
        <v/>
      </c>
      <c r="J350" s="33" t="inlineStr">
        <is>
          <t>m</t>
        </is>
      </c>
      <c r="K350" s="36" t="n">
        <v>7.5</v>
      </c>
      <c r="L350" s="37">
        <f>I350*K350</f>
        <v/>
      </c>
      <c r="N350" t="inlineStr">
        <is>
          <t>Torre B</t>
        </is>
      </c>
    </row>
    <row r="351">
      <c r="A351" s="32">
        <f>A338</f>
        <v/>
      </c>
      <c r="B351" s="32">
        <f>B338</f>
        <v/>
      </c>
      <c r="C351" s="32" t="inlineStr">
        <is>
          <t>INSTALAÇÕES DE TELECOMUNICAÇÃO</t>
        </is>
      </c>
      <c r="D351" s="32" t="inlineStr">
        <is>
          <t>MÓDULOS</t>
        </is>
      </c>
      <c r="E351" s="32" t="inlineStr">
        <is>
          <t>Módulo Coaxial</t>
        </is>
      </c>
      <c r="F351" s="33" t="n">
        <v>7</v>
      </c>
      <c r="G351" s="33" t="n">
        <v>24</v>
      </c>
      <c r="H351" s="34" t="n">
        <v>0</v>
      </c>
      <c r="I351" s="35">
        <f>(F351+H351*F351)*G351</f>
        <v/>
      </c>
      <c r="J351" s="33" t="inlineStr">
        <is>
          <t>pç</t>
        </is>
      </c>
      <c r="K351" s="36" t="n">
        <v>18.5</v>
      </c>
      <c r="L351" s="37">
        <f>I351*K351</f>
        <v/>
      </c>
      <c r="N351" t="inlineStr">
        <is>
          <t>Torre B</t>
        </is>
      </c>
    </row>
    <row r="352">
      <c r="A352" s="32">
        <f>A338</f>
        <v/>
      </c>
      <c r="B352" s="32">
        <f>B338</f>
        <v/>
      </c>
      <c r="C352" s="32" t="inlineStr">
        <is>
          <t>INSTALAÇÕES DE TELECOMUNICAÇÃO</t>
        </is>
      </c>
      <c r="D352" s="32" t="inlineStr">
        <is>
          <t>MÓDULOS</t>
        </is>
      </c>
      <c r="E352" s="32" t="inlineStr">
        <is>
          <t>Módulo RJ11</t>
        </is>
      </c>
      <c r="F352" s="33" t="n">
        <v>4</v>
      </c>
      <c r="G352" s="33" t="n">
        <v>24</v>
      </c>
      <c r="H352" s="34" t="n">
        <v>0</v>
      </c>
      <c r="I352" s="35">
        <f>(F352+H352*F352)*G352</f>
        <v/>
      </c>
      <c r="J352" s="33" t="inlineStr">
        <is>
          <t>pç</t>
        </is>
      </c>
      <c r="K352" s="36" t="n">
        <v>16.8</v>
      </c>
      <c r="L352" s="37">
        <f>I352*K352</f>
        <v/>
      </c>
      <c r="N352" t="inlineStr">
        <is>
          <t>Torre B</t>
        </is>
      </c>
    </row>
    <row r="353">
      <c r="A353" s="32">
        <f>A338</f>
        <v/>
      </c>
      <c r="B353" s="32">
        <f>B338</f>
        <v/>
      </c>
      <c r="C353" s="32" t="inlineStr">
        <is>
          <t>INSTALAÇÕES DE TELECOMUNICAÇÃO</t>
        </is>
      </c>
      <c r="D353" s="32" t="inlineStr">
        <is>
          <t>MÓDULOS</t>
        </is>
      </c>
      <c r="E353" s="32" t="inlineStr">
        <is>
          <t>Módulo RJ45</t>
        </is>
      </c>
      <c r="F353" s="33" t="n">
        <v>7</v>
      </c>
      <c r="G353" s="33" t="n">
        <v>24</v>
      </c>
      <c r="H353" s="34" t="n">
        <v>0</v>
      </c>
      <c r="I353" s="35">
        <f>(F353+H353*F353)*G353</f>
        <v/>
      </c>
      <c r="J353" s="33" t="inlineStr">
        <is>
          <t>pç</t>
        </is>
      </c>
      <c r="K353" s="36" t="n">
        <v>22.9</v>
      </c>
      <c r="L353" s="37">
        <f>I353*K353</f>
        <v/>
      </c>
      <c r="N353" t="inlineStr">
        <is>
          <t>Torre B</t>
        </is>
      </c>
    </row>
    <row r="354">
      <c r="A354" s="32">
        <f>A338</f>
        <v/>
      </c>
      <c r="B354" s="32">
        <f>B338</f>
        <v/>
      </c>
      <c r="C354" s="32" t="inlineStr">
        <is>
          <t>INSTALAÇÕES DE TELECOMUNICAÇÃO</t>
        </is>
      </c>
      <c r="D354" s="32" t="inlineStr">
        <is>
          <t>QUADROS DE DISTRIBUIÇÃO</t>
        </is>
      </c>
      <c r="E354" s="32" t="inlineStr">
        <is>
          <t>Embutir - 396x510x107mm</t>
        </is>
      </c>
      <c r="F354" s="33" t="n">
        <v>1</v>
      </c>
      <c r="G354" s="33" t="n">
        <v>24</v>
      </c>
      <c r="H354" s="34" t="n">
        <v>0</v>
      </c>
      <c r="I354" s="35">
        <f>(F354+H354*F354)*G354</f>
        <v/>
      </c>
      <c r="J354" s="33" t="inlineStr">
        <is>
          <t>pç</t>
        </is>
      </c>
      <c r="K354" s="36" t="n">
        <v>420</v>
      </c>
      <c r="L354" s="37">
        <f>I354*K354</f>
        <v/>
      </c>
      <c r="N354" t="inlineStr">
        <is>
          <t>Torre B</t>
        </is>
      </c>
    </row>
    <row r="355">
      <c r="A355" s="32">
        <f>A338</f>
        <v/>
      </c>
      <c r="B355" s="32">
        <f>B338</f>
        <v/>
      </c>
      <c r="C355" s="32" t="inlineStr">
        <is>
          <t>INSTALAÇÕES DE TELECOMUNICAÇÃO</t>
        </is>
      </c>
      <c r="D355" s="32" t="inlineStr">
        <is>
          <t>ELETRODUTOS</t>
        </is>
      </c>
      <c r="E355" s="32" t="inlineStr">
        <is>
          <t>PVC Flexível Antichama - NBR 15465 ø1.1/4"</t>
        </is>
      </c>
      <c r="F355" s="33" t="n">
        <v>8</v>
      </c>
      <c r="G355" s="33" t="n">
        <v>1</v>
      </c>
      <c r="H355" s="34" t="n">
        <v>0</v>
      </c>
      <c r="I355" s="35">
        <f>(F355+H355*F355)*G355</f>
        <v/>
      </c>
      <c r="J355" s="33" t="inlineStr">
        <is>
          <t>m</t>
        </is>
      </c>
      <c r="K355" s="36" t="n">
        <v>0</v>
      </c>
      <c r="L355" s="37">
        <f>I355*K355</f>
        <v/>
      </c>
      <c r="N355" t="inlineStr">
        <is>
          <t>Torre B</t>
        </is>
      </c>
    </row>
    <row r="356">
      <c r="A356" s="32">
        <f>A338</f>
        <v/>
      </c>
      <c r="B356" s="32">
        <f>B338</f>
        <v/>
      </c>
      <c r="C356" s="32" t="inlineStr">
        <is>
          <t>INSTALAÇÕES DE TELECOMUNICAÇÃO</t>
        </is>
      </c>
      <c r="D356" s="32" t="inlineStr">
        <is>
          <t>ELETRODUTOS</t>
        </is>
      </c>
      <c r="E356" s="32" t="inlineStr">
        <is>
          <t>PVC Flexível Antichama - NBR 15465 ø3"</t>
        </is>
      </c>
      <c r="F356" s="33" t="n">
        <v>6</v>
      </c>
      <c r="G356" s="33" t="n">
        <v>1</v>
      </c>
      <c r="H356" s="34" t="n">
        <v>0</v>
      </c>
      <c r="I356" s="35">
        <f>(F356+H356*F356)*G356</f>
        <v/>
      </c>
      <c r="J356" s="33" t="inlineStr">
        <is>
          <t>m</t>
        </is>
      </c>
      <c r="K356" s="36" t="n">
        <v>0</v>
      </c>
      <c r="L356" s="37">
        <f>I356*K356</f>
        <v/>
      </c>
      <c r="N356" t="inlineStr">
        <is>
          <t>Torre B</t>
        </is>
      </c>
    </row>
    <row r="357">
      <c r="A357" s="32">
        <f>A338</f>
        <v/>
      </c>
      <c r="B357" s="32">
        <f>B338</f>
        <v/>
      </c>
      <c r="C357" s="32" t="inlineStr">
        <is>
          <t>INSTALAÇÕES DE TELECOMUNICAÇÃO</t>
        </is>
      </c>
      <c r="D357" s="32" t="inlineStr">
        <is>
          <t>CAIXA DE PASSAGEM</t>
        </is>
      </c>
      <c r="E357" s="32" t="inlineStr">
        <is>
          <t>Cx de passagem de embutir com dimensão de 40x120x15cm</t>
        </is>
      </c>
      <c r="F357" s="33" t="n">
        <v>2</v>
      </c>
      <c r="G357" s="33" t="n">
        <v>1</v>
      </c>
      <c r="H357" s="34" t="n">
        <v>0</v>
      </c>
      <c r="I357" s="35">
        <f>(F357+H357*F357)*G357</f>
        <v/>
      </c>
      <c r="J357" s="33" t="inlineStr">
        <is>
          <t>pç</t>
        </is>
      </c>
      <c r="K357" s="36" t="n">
        <v>0</v>
      </c>
      <c r="L357" s="37">
        <f>I357*K357</f>
        <v/>
      </c>
      <c r="N357" t="inlineStr">
        <is>
          <t>Torre B</t>
        </is>
      </c>
    </row>
    <row r="358">
      <c r="A358" s="32">
        <f>A338</f>
        <v/>
      </c>
      <c r="B358" s="32">
        <f>B338</f>
        <v/>
      </c>
      <c r="C358" s="32" t="inlineStr">
        <is>
          <t>INSTALAÇÕES DE TELECOMUNICAÇÃO</t>
        </is>
      </c>
      <c r="D358" s="32" t="inlineStr">
        <is>
          <t>COTOVELOS</t>
        </is>
      </c>
      <c r="E358" s="32" t="inlineStr">
        <is>
          <t>Cotovelo para eletroduto flexível PVC amarelo</t>
        </is>
      </c>
      <c r="F358" s="33" t="n">
        <v>466</v>
      </c>
      <c r="G358" s="33" t="n">
        <v>1</v>
      </c>
      <c r="H358" s="34" t="n">
        <v>0</v>
      </c>
      <c r="I358" s="35">
        <f>(F358+H358*F358)*G358</f>
        <v/>
      </c>
      <c r="J358" s="33" t="inlineStr">
        <is>
          <t>un</t>
        </is>
      </c>
      <c r="K358" s="36" t="n">
        <v>0</v>
      </c>
      <c r="L358" s="37">
        <f>I358*K358</f>
        <v/>
      </c>
      <c r="N358" t="inlineStr">
        <is>
          <t>Torre B</t>
        </is>
      </c>
    </row>
    <row r="359">
      <c r="A359" s="32">
        <f>A338</f>
        <v/>
      </c>
      <c r="B359" s="32">
        <f>B338</f>
        <v/>
      </c>
      <c r="C359" s="32" t="inlineStr">
        <is>
          <t>INSTALAÇÕES DE TELECOMUNICAÇÃO</t>
        </is>
      </c>
      <c r="D359" s="32" t="inlineStr">
        <is>
          <t>CONECTORES E BUCHAS</t>
        </is>
      </c>
      <c r="E359" s="32" t="inlineStr">
        <is>
          <t>Conector box e arruela - Alumínio padrão</t>
        </is>
      </c>
      <c r="F359" s="33" t="n">
        <v>23</v>
      </c>
      <c r="G359" s="33" t="n">
        <v>1</v>
      </c>
      <c r="H359" s="34" t="n">
        <v>0</v>
      </c>
      <c r="I359" s="35">
        <f>(F359+H359*F359)*G359</f>
        <v/>
      </c>
      <c r="J359" s="33" t="inlineStr">
        <is>
          <t>un</t>
        </is>
      </c>
      <c r="K359" s="36" t="n">
        <v>0</v>
      </c>
      <c r="L359" s="37">
        <f>I359*K359</f>
        <v/>
      </c>
      <c r="N359" t="inlineStr">
        <is>
          <t>Torre B</t>
        </is>
      </c>
    </row>
    <row r="360">
      <c r="A360" s="32">
        <f>A338</f>
        <v/>
      </c>
      <c r="B360" s="32">
        <f>B338</f>
        <v/>
      </c>
      <c r="C360" s="32" t="inlineStr">
        <is>
          <t>INSTALAÇÕES DE TELECOMUNICAÇÃO</t>
        </is>
      </c>
      <c r="D360" s="32" t="inlineStr">
        <is>
          <t>CONECTORES E BUCHAS</t>
        </is>
      </c>
      <c r="E360" s="32" t="inlineStr">
        <is>
          <t>Bucha terminal simples - Alumínio padrão</t>
        </is>
      </c>
      <c r="F360" s="33" t="n">
        <v>7</v>
      </c>
      <c r="G360" s="33" t="n">
        <v>1</v>
      </c>
      <c r="H360" s="34" t="n">
        <v>0</v>
      </c>
      <c r="I360" s="35">
        <f>(F360+H360*F360)*G360</f>
        <v/>
      </c>
      <c r="J360" s="33" t="inlineStr">
        <is>
          <t>un</t>
        </is>
      </c>
      <c r="K360" s="36" t="n">
        <v>0</v>
      </c>
      <c r="L360" s="37">
        <f>I360*K360</f>
        <v/>
      </c>
      <c r="N360" t="inlineStr">
        <is>
          <t>Torre B</t>
        </is>
      </c>
    </row>
    <row r="361">
      <c r="A361" s="32">
        <f>A338</f>
        <v/>
      </c>
      <c r="B361" s="32">
        <f>B338</f>
        <v/>
      </c>
      <c r="C361" s="32" t="inlineStr">
        <is>
          <t>INSTALAÇÕES DE TELECOMUNICAÇÃO</t>
        </is>
      </c>
      <c r="D361" s="32" t="inlineStr">
        <is>
          <t>CONDUTORES TELECOM</t>
        </is>
      </c>
      <c r="E361" s="32" t="inlineStr">
        <is>
          <t>Condutor CFTV</t>
        </is>
      </c>
      <c r="F361" s="33" t="n">
        <v>3</v>
      </c>
      <c r="G361" s="33" t="n">
        <v>1</v>
      </c>
      <c r="H361" s="34" t="n">
        <v>0</v>
      </c>
      <c r="I361" s="35">
        <f>(F361+H361*F361)*G361</f>
        <v/>
      </c>
      <c r="J361" s="33" t="inlineStr">
        <is>
          <t>un</t>
        </is>
      </c>
      <c r="K361" s="36" t="n">
        <v>0</v>
      </c>
      <c r="L361" s="37">
        <f>I361*K361</f>
        <v/>
      </c>
      <c r="N361" t="inlineStr">
        <is>
          <t>Torre B</t>
        </is>
      </c>
    </row>
    <row r="362">
      <c r="A362" s="32">
        <f>A338</f>
        <v/>
      </c>
      <c r="B362" s="32">
        <f>B338</f>
        <v/>
      </c>
      <c r="C362" s="32" t="inlineStr">
        <is>
          <t>INSTALAÇÕES DE TELECOMUNICAÇÃO</t>
        </is>
      </c>
      <c r="D362" s="32" t="inlineStr">
        <is>
          <t>CONDUTORES TELECOM</t>
        </is>
      </c>
      <c r="E362" s="32" t="inlineStr">
        <is>
          <t>Condutor CCI</t>
        </is>
      </c>
      <c r="F362" s="33" t="n">
        <v>8</v>
      </c>
      <c r="G362" s="33" t="n">
        <v>1</v>
      </c>
      <c r="H362" s="34" t="n">
        <v>0</v>
      </c>
      <c r="I362" s="35">
        <f>(F362+H362*F362)*G362</f>
        <v/>
      </c>
      <c r="J362" s="33" t="inlineStr">
        <is>
          <t>un</t>
        </is>
      </c>
      <c r="K362" s="36" t="n">
        <v>0</v>
      </c>
      <c r="L362" s="37">
        <f>I362*K362</f>
        <v/>
      </c>
      <c r="N362" t="inlineStr">
        <is>
          <t>Torre B</t>
        </is>
      </c>
    </row>
    <row r="363">
      <c r="A363" s="32">
        <f>A338</f>
        <v/>
      </c>
      <c r="B363" s="32">
        <f>B338</f>
        <v/>
      </c>
      <c r="C363" s="32" t="inlineStr">
        <is>
          <t>INSTALAÇÕES DE TELECOMUNICAÇÃO</t>
        </is>
      </c>
      <c r="D363" s="32" t="inlineStr">
        <is>
          <t>CONDUTORES TELECOM</t>
        </is>
      </c>
      <c r="E363" s="32" t="inlineStr">
        <is>
          <t>Condutor Cordplast</t>
        </is>
      </c>
      <c r="F363" s="33" t="n">
        <v>3</v>
      </c>
      <c r="G363" s="33" t="n">
        <v>1</v>
      </c>
      <c r="H363" s="34" t="n">
        <v>0</v>
      </c>
      <c r="I363" s="35">
        <f>(F363+H363*F363)*G363</f>
        <v/>
      </c>
      <c r="J363" s="33" t="inlineStr">
        <is>
          <t>un</t>
        </is>
      </c>
      <c r="K363" s="36" t="n">
        <v>0</v>
      </c>
      <c r="L363" s="37">
        <f>I363*K363</f>
        <v/>
      </c>
      <c r="N363" t="inlineStr">
        <is>
          <t>Torre B</t>
        </is>
      </c>
    </row>
    <row r="364">
      <c r="A364" s="32">
        <f>A338</f>
        <v/>
      </c>
      <c r="B364" s="32">
        <f>B338</f>
        <v/>
      </c>
      <c r="C364" s="32" t="inlineStr">
        <is>
          <t>INSTALAÇÕES DE TELECOMUNICAÇÃO</t>
        </is>
      </c>
      <c r="D364" s="32" t="inlineStr">
        <is>
          <t>PONTOS DE USO</t>
        </is>
      </c>
      <c r="E364" s="32" t="inlineStr">
        <is>
          <t>Caixa 4x2 - Interfone</t>
        </is>
      </c>
      <c r="F364" s="33" t="n">
        <v>8</v>
      </c>
      <c r="G364" s="33" t="n">
        <v>1</v>
      </c>
      <c r="H364" s="34" t="n">
        <v>0</v>
      </c>
      <c r="I364" s="35">
        <f>(F364+H364*F364)*G364</f>
        <v/>
      </c>
      <c r="J364" s="33" t="inlineStr">
        <is>
          <t>un</t>
        </is>
      </c>
      <c r="K364" s="36" t="n">
        <v>0</v>
      </c>
      <c r="L364" s="37">
        <f>I364*K364</f>
        <v/>
      </c>
      <c r="N364" t="inlineStr">
        <is>
          <t>Torre B</t>
        </is>
      </c>
    </row>
    <row r="365">
      <c r="A365" s="23" t="inlineStr">
        <is>
          <t>Torre B</t>
        </is>
      </c>
      <c r="B365" s="23" t="inlineStr">
        <is>
          <t>CASA DE MÁQUINAS</t>
        </is>
      </c>
      <c r="C365" s="24" t="n"/>
      <c r="D365" s="25" t="n"/>
      <c r="E365" s="25" t="n"/>
      <c r="F365" s="26" t="n"/>
      <c r="G365" s="26" t="n"/>
      <c r="H365" s="26" t="n"/>
      <c r="I365" s="27" t="n"/>
      <c r="J365" s="26" t="n"/>
      <c r="K365" s="28" t="n"/>
      <c r="L365" s="29">
        <f>IF(SUM(F365:K365)=0,SUMIFS($L366:$L$9999,$B366:$B$9999,$B365,$A366:$A$9999,$A365),I365*K365)</f>
        <v/>
      </c>
      <c r="N365" t="inlineStr">
        <is>
          <t>Torre B</t>
        </is>
      </c>
    </row>
    <row r="366">
      <c r="A366" s="32">
        <f>A365</f>
        <v/>
      </c>
      <c r="B366" s="32">
        <f>B365</f>
        <v/>
      </c>
      <c r="C366" s="32" t="inlineStr">
        <is>
          <t>INSTALAÇÕES DE TELECOMUNICAÇÃO</t>
        </is>
      </c>
      <c r="D366" s="32" t="inlineStr">
        <is>
          <t>CAIXA 4x2" E 4x4"</t>
        </is>
      </c>
      <c r="E366" s="32" t="inlineStr">
        <is>
          <t>Caixa 4x2" de Embutir em PVC Padrão NBR IEC 60670</t>
        </is>
      </c>
      <c r="F366" s="33" t="n">
        <v>4</v>
      </c>
      <c r="G366" s="33" t="n">
        <v>1</v>
      </c>
      <c r="H366" s="34" t="n">
        <v>0</v>
      </c>
      <c r="I366" s="35">
        <f>(F366+H366*F366)*G366</f>
        <v/>
      </c>
      <c r="J366" s="33" t="inlineStr">
        <is>
          <t>pç</t>
        </is>
      </c>
      <c r="K366" s="36" t="n">
        <v>5.9</v>
      </c>
      <c r="L366" s="37">
        <f>I366*K366</f>
        <v/>
      </c>
      <c r="N366" t="inlineStr">
        <is>
          <t>Torre B</t>
        </is>
      </c>
    </row>
    <row r="367">
      <c r="A367" s="32">
        <f>A365</f>
        <v/>
      </c>
      <c r="B367" s="32">
        <f>B365</f>
        <v/>
      </c>
      <c r="C367" s="32" t="inlineStr">
        <is>
          <t>INSTALAÇÕES DE TELECOMUNICAÇÃO</t>
        </is>
      </c>
      <c r="D367" s="32" t="inlineStr">
        <is>
          <t>CAIXA 4x2" E 4x4"</t>
        </is>
      </c>
      <c r="E367" s="32" t="inlineStr">
        <is>
          <t>Placa 4x2" cega Padrão NBR IEC 60670</t>
        </is>
      </c>
      <c r="F367" s="33" t="n">
        <v>2</v>
      </c>
      <c r="G367" s="33" t="n">
        <v>1</v>
      </c>
      <c r="H367" s="34" t="n">
        <v>0</v>
      </c>
      <c r="I367" s="35">
        <f>(F367+H367*F367)*G367</f>
        <v/>
      </c>
      <c r="J367" s="33" t="inlineStr">
        <is>
          <t>pç</t>
        </is>
      </c>
      <c r="K367" s="36" t="n">
        <v>4.5</v>
      </c>
      <c r="L367" s="37">
        <f>I367*K367</f>
        <v/>
      </c>
      <c r="N367" t="inlineStr">
        <is>
          <t>Torre B</t>
        </is>
      </c>
    </row>
    <row r="368">
      <c r="A368" s="32">
        <f>A365</f>
        <v/>
      </c>
      <c r="B368" s="32">
        <f>B365</f>
        <v/>
      </c>
      <c r="C368" s="32" t="inlineStr">
        <is>
          <t>INSTALAÇÕES DE TELECOMUNICAÇÃO</t>
        </is>
      </c>
      <c r="D368" s="32" t="inlineStr">
        <is>
          <t>CAIXA 4x2" E 4x4"</t>
        </is>
      </c>
      <c r="E368" s="32" t="inlineStr">
        <is>
          <t>Suporte p/ caixa 4x2" Padrão NBR IEC 60670</t>
        </is>
      </c>
      <c r="F368" s="33" t="n">
        <v>4</v>
      </c>
      <c r="G368" s="33" t="n">
        <v>1</v>
      </c>
      <c r="H368" s="34" t="n">
        <v>0</v>
      </c>
      <c r="I368" s="35">
        <f>(F368+H368*F368)*G368</f>
        <v/>
      </c>
      <c r="J368" s="33" t="inlineStr">
        <is>
          <t>pç</t>
        </is>
      </c>
      <c r="K368" s="36" t="n">
        <v>2.4</v>
      </c>
      <c r="L368" s="37">
        <f>I368*K368</f>
        <v/>
      </c>
      <c r="N368" t="inlineStr">
        <is>
          <t>Torre B</t>
        </is>
      </c>
    </row>
    <row r="369">
      <c r="A369" s="32">
        <f>A365</f>
        <v/>
      </c>
      <c r="B369" s="32">
        <f>B365</f>
        <v/>
      </c>
      <c r="C369" s="32" t="inlineStr">
        <is>
          <t>INSTALAÇÕES DE TELECOMUNICAÇÃO</t>
        </is>
      </c>
      <c r="D369" s="32" t="inlineStr">
        <is>
          <t>ELETRODUTOS</t>
        </is>
      </c>
      <c r="E369" s="32" t="inlineStr">
        <is>
          <t>PVC Flexível Antichama - NBR 15465 ø1"</t>
        </is>
      </c>
      <c r="F369" s="33" t="n">
        <v>28</v>
      </c>
      <c r="G369" s="33" t="n">
        <v>1</v>
      </c>
      <c r="H369" s="34" t="n">
        <v>0</v>
      </c>
      <c r="I369" s="35">
        <f>(F369+H369*F369)*G369</f>
        <v/>
      </c>
      <c r="J369" s="33" t="inlineStr">
        <is>
          <t>m</t>
        </is>
      </c>
      <c r="K369" s="36" t="n">
        <v>11.9</v>
      </c>
      <c r="L369" s="37">
        <f>I369*K369</f>
        <v/>
      </c>
      <c r="N369" t="inlineStr">
        <is>
          <t>Torre B</t>
        </is>
      </c>
    </row>
    <row r="370">
      <c r="A370" s="32">
        <f>A365</f>
        <v/>
      </c>
      <c r="B370" s="32">
        <f>B365</f>
        <v/>
      </c>
      <c r="C370" s="32" t="inlineStr">
        <is>
          <t>INSTALAÇÕES DE TELECOMUNICAÇÃO</t>
        </is>
      </c>
      <c r="D370" s="32" t="inlineStr">
        <is>
          <t>ELETRODUTOS</t>
        </is>
      </c>
      <c r="E370" s="32" t="inlineStr">
        <is>
          <t>PVC Flexível Antichama - NBR 15465 ø3/4"</t>
        </is>
      </c>
      <c r="F370" s="33" t="n">
        <v>28</v>
      </c>
      <c r="G370" s="33" t="n">
        <v>1</v>
      </c>
      <c r="H370" s="34" t="n">
        <v>0</v>
      </c>
      <c r="I370" s="35">
        <f>(F370+H370*F370)*G370</f>
        <v/>
      </c>
      <c r="J370" s="33" t="inlineStr">
        <is>
          <t>m</t>
        </is>
      </c>
      <c r="K370" s="36" t="n">
        <v>7.5</v>
      </c>
      <c r="L370" s="37">
        <f>I370*K370</f>
        <v/>
      </c>
      <c r="N370" t="inlineStr">
        <is>
          <t>Torre B</t>
        </is>
      </c>
    </row>
    <row r="371">
      <c r="A371" s="32">
        <f>A365</f>
        <v/>
      </c>
      <c r="B371" s="32">
        <f>B365</f>
        <v/>
      </c>
      <c r="C371" s="32" t="inlineStr">
        <is>
          <t>INSTALAÇÕES DE TELECOMUNICAÇÃO</t>
        </is>
      </c>
      <c r="D371" s="32" t="inlineStr">
        <is>
          <t>ELETRODUTOS</t>
        </is>
      </c>
      <c r="E371" s="32" t="inlineStr">
        <is>
          <t>PVC Flexível Antichama - NBR 15465 ø1.1/4"</t>
        </is>
      </c>
      <c r="F371" s="33" t="n">
        <v>8</v>
      </c>
      <c r="G371" s="33" t="n">
        <v>1</v>
      </c>
      <c r="H371" s="34" t="n">
        <v>0</v>
      </c>
      <c r="I371" s="35">
        <f>(F371+H371*F371)*G371</f>
        <v/>
      </c>
      <c r="J371" s="33" t="inlineStr">
        <is>
          <t>m</t>
        </is>
      </c>
      <c r="K371" s="36" t="n">
        <v>0</v>
      </c>
      <c r="L371" s="37">
        <f>I371*K371</f>
        <v/>
      </c>
      <c r="N371" t="inlineStr">
        <is>
          <t>Torre B</t>
        </is>
      </c>
    </row>
    <row r="372">
      <c r="A372" s="32">
        <f>A365</f>
        <v/>
      </c>
      <c r="B372" s="32">
        <f>B365</f>
        <v/>
      </c>
      <c r="C372" s="32" t="inlineStr">
        <is>
          <t>INSTALAÇÕES DE TELECOMUNICAÇÃO</t>
        </is>
      </c>
      <c r="D372" s="32" t="inlineStr">
        <is>
          <t>CAIXA DE PASSAGEM</t>
        </is>
      </c>
      <c r="E372" s="32" t="inlineStr">
        <is>
          <t>Cx de passagem de embutir com dimensão de 20x20x12cm</t>
        </is>
      </c>
      <c r="F372" s="33" t="n">
        <v>1</v>
      </c>
      <c r="G372" s="33" t="n">
        <v>1</v>
      </c>
      <c r="H372" s="34" t="n">
        <v>0</v>
      </c>
      <c r="I372" s="35">
        <f>(F372+H372*F372)*G372</f>
        <v/>
      </c>
      <c r="J372" s="33" t="inlineStr">
        <is>
          <t>pç</t>
        </is>
      </c>
      <c r="K372" s="36" t="n">
        <v>0</v>
      </c>
      <c r="L372" s="37">
        <f>I372*K372</f>
        <v/>
      </c>
      <c r="N372" t="inlineStr">
        <is>
          <t>Torre B</t>
        </is>
      </c>
    </row>
    <row r="373">
      <c r="A373" s="32">
        <f>A365</f>
        <v/>
      </c>
      <c r="B373" s="32">
        <f>B365</f>
        <v/>
      </c>
      <c r="C373" s="32" t="inlineStr">
        <is>
          <t>INSTALAÇÕES DE TELECOMUNICAÇÃO</t>
        </is>
      </c>
      <c r="D373" s="32" t="inlineStr">
        <is>
          <t>CAIXA DE PASSAGEM</t>
        </is>
      </c>
      <c r="E373" s="32" t="inlineStr">
        <is>
          <t>Cx de passagem de embutir com dimensão de 40x40x15cm</t>
        </is>
      </c>
      <c r="F373" s="33" t="n">
        <v>1</v>
      </c>
      <c r="G373" s="33" t="n">
        <v>1</v>
      </c>
      <c r="H373" s="34" t="n">
        <v>0</v>
      </c>
      <c r="I373" s="35">
        <f>(F373+H373*F373)*G373</f>
        <v/>
      </c>
      <c r="J373" s="33" t="inlineStr">
        <is>
          <t>pç</t>
        </is>
      </c>
      <c r="K373" s="36" t="n">
        <v>0</v>
      </c>
      <c r="L373" s="37">
        <f>I373*K373</f>
        <v/>
      </c>
      <c r="N373" t="inlineStr">
        <is>
          <t>Torre B</t>
        </is>
      </c>
    </row>
    <row r="374">
      <c r="A374" s="32">
        <f>A365</f>
        <v/>
      </c>
      <c r="B374" s="32">
        <f>B365</f>
        <v/>
      </c>
      <c r="C374" s="32" t="inlineStr">
        <is>
          <t>INSTALAÇÕES DE TELECOMUNICAÇÃO</t>
        </is>
      </c>
      <c r="D374" s="32" t="inlineStr">
        <is>
          <t>COTOVELOS</t>
        </is>
      </c>
      <c r="E374" s="32" t="inlineStr">
        <is>
          <t>Cotovelo para eletroduto flexível PVC amarelo</t>
        </is>
      </c>
      <c r="F374" s="33" t="n">
        <v>41</v>
      </c>
      <c r="G374" s="33" t="n">
        <v>1</v>
      </c>
      <c r="H374" s="34" t="n">
        <v>0</v>
      </c>
      <c r="I374" s="35">
        <f>(F374+H374*F374)*G374</f>
        <v/>
      </c>
      <c r="J374" s="33" t="inlineStr">
        <is>
          <t>un</t>
        </is>
      </c>
      <c r="K374" s="36" t="n">
        <v>0</v>
      </c>
      <c r="L374" s="37">
        <f>I374*K374</f>
        <v/>
      </c>
      <c r="N374" t="inlineStr">
        <is>
          <t>Torre B</t>
        </is>
      </c>
    </row>
    <row r="375">
      <c r="A375" s="32">
        <f>A365</f>
        <v/>
      </c>
      <c r="B375" s="32">
        <f>B365</f>
        <v/>
      </c>
      <c r="C375" s="32" t="inlineStr">
        <is>
          <t>INSTALAÇÕES DE TELECOMUNICAÇÃO</t>
        </is>
      </c>
      <c r="D375" s="32" t="inlineStr">
        <is>
          <t>CONECTORES E BUCHAS</t>
        </is>
      </c>
      <c r="E375" s="32" t="inlineStr">
        <is>
          <t>Conector box e arruela - Alumínio padrão</t>
        </is>
      </c>
      <c r="F375" s="33" t="n">
        <v>11</v>
      </c>
      <c r="G375" s="33" t="n">
        <v>1</v>
      </c>
      <c r="H375" s="34" t="n">
        <v>0</v>
      </c>
      <c r="I375" s="35">
        <f>(F375+H375*F375)*G375</f>
        <v/>
      </c>
      <c r="J375" s="33" t="inlineStr">
        <is>
          <t>un</t>
        </is>
      </c>
      <c r="K375" s="36" t="n">
        <v>0</v>
      </c>
      <c r="L375" s="37">
        <f>I375*K375</f>
        <v/>
      </c>
      <c r="N375" t="inlineStr">
        <is>
          <t>Torre B</t>
        </is>
      </c>
    </row>
    <row r="376">
      <c r="A376" s="32">
        <f>A365</f>
        <v/>
      </c>
      <c r="B376" s="32">
        <f>B365</f>
        <v/>
      </c>
      <c r="C376" s="32" t="inlineStr">
        <is>
          <t>INSTALAÇÕES DE TELECOMUNICAÇÃO</t>
        </is>
      </c>
      <c r="D376" s="32" t="inlineStr">
        <is>
          <t>CONECTORES E BUCHAS</t>
        </is>
      </c>
      <c r="E376" s="32" t="inlineStr">
        <is>
          <t>Bucha terminal simples - Alumínio padrão</t>
        </is>
      </c>
      <c r="F376" s="33" t="n">
        <v>10</v>
      </c>
      <c r="G376" s="33" t="n">
        <v>1</v>
      </c>
      <c r="H376" s="34" t="n">
        <v>0</v>
      </c>
      <c r="I376" s="35">
        <f>(F376+H376*F376)*G376</f>
        <v/>
      </c>
      <c r="J376" s="33" t="inlineStr">
        <is>
          <t>un</t>
        </is>
      </c>
      <c r="K376" s="36" t="n">
        <v>0</v>
      </c>
      <c r="L376" s="37">
        <f>I376*K376</f>
        <v/>
      </c>
      <c r="N376" t="inlineStr">
        <is>
          <t>Torre B</t>
        </is>
      </c>
    </row>
    <row r="377">
      <c r="A377" s="32">
        <f>A365</f>
        <v/>
      </c>
      <c r="B377" s="32">
        <f>B365</f>
        <v/>
      </c>
      <c r="C377" s="32" t="inlineStr">
        <is>
          <t>INSTALAÇÕES DE TELECOMUNICAÇÃO</t>
        </is>
      </c>
      <c r="D377" s="32" t="inlineStr">
        <is>
          <t>CONDUTORES TELECOM</t>
        </is>
      </c>
      <c r="E377" s="32" t="inlineStr">
        <is>
          <t>Condutor CFTV</t>
        </is>
      </c>
      <c r="F377" s="33" t="n">
        <v>1</v>
      </c>
      <c r="G377" s="33" t="n">
        <v>1</v>
      </c>
      <c r="H377" s="34" t="n">
        <v>0</v>
      </c>
      <c r="I377" s="35">
        <f>(F377+H377*F377)*G377</f>
        <v/>
      </c>
      <c r="J377" s="33" t="inlineStr">
        <is>
          <t>un</t>
        </is>
      </c>
      <c r="K377" s="36" t="n">
        <v>0</v>
      </c>
      <c r="L377" s="37">
        <f>I377*K377</f>
        <v/>
      </c>
      <c r="N377" t="inlineStr">
        <is>
          <t>Torre B</t>
        </is>
      </c>
    </row>
    <row r="378">
      <c r="A378" s="32">
        <f>A365</f>
        <v/>
      </c>
      <c r="B378" s="32">
        <f>B365</f>
        <v/>
      </c>
      <c r="C378" s="32" t="inlineStr">
        <is>
          <t>INSTALAÇÕES DE TELECOMUNICAÇÃO</t>
        </is>
      </c>
      <c r="D378" s="32" t="inlineStr">
        <is>
          <t>CONDUTORES TELECOM</t>
        </is>
      </c>
      <c r="E378" s="32" t="inlineStr">
        <is>
          <t>Condutor Cordplast</t>
        </is>
      </c>
      <c r="F378" s="33" t="n">
        <v>1</v>
      </c>
      <c r="G378" s="33" t="n">
        <v>1</v>
      </c>
      <c r="H378" s="34" t="n">
        <v>0</v>
      </c>
      <c r="I378" s="35">
        <f>(F378+H378*F378)*G378</f>
        <v/>
      </c>
      <c r="J378" s="33" t="inlineStr">
        <is>
          <t>un</t>
        </is>
      </c>
      <c r="K378" s="36" t="n">
        <v>0</v>
      </c>
      <c r="L378" s="37">
        <f>I378*K378</f>
        <v/>
      </c>
      <c r="N378" t="inlineStr">
        <is>
          <t>Torre B</t>
        </is>
      </c>
    </row>
    <row r="379">
      <c r="A379" s="32">
        <f>A365</f>
        <v/>
      </c>
      <c r="B379" s="32">
        <f>B365</f>
        <v/>
      </c>
      <c r="C379" s="32" t="inlineStr">
        <is>
          <t>INSTALAÇÕES DE TELECOMUNICAÇÃO</t>
        </is>
      </c>
      <c r="D379" s="32" t="inlineStr">
        <is>
          <t>PONTOS DE USO</t>
        </is>
      </c>
      <c r="E379" s="32" t="inlineStr">
        <is>
          <t>Caixa 4x2 - Câmera CFTV</t>
        </is>
      </c>
      <c r="F379" s="33" t="n">
        <v>1</v>
      </c>
      <c r="G379" s="33" t="n">
        <v>1</v>
      </c>
      <c r="H379" s="34" t="n">
        <v>0</v>
      </c>
      <c r="I379" s="35">
        <f>(F379+H379*F379)*G379</f>
        <v/>
      </c>
      <c r="J379" s="33" t="inlineStr">
        <is>
          <t>un</t>
        </is>
      </c>
      <c r="K379" s="36" t="n">
        <v>0</v>
      </c>
      <c r="L379" s="37">
        <f>I379*K379</f>
        <v/>
      </c>
      <c r="N379" t="inlineStr">
        <is>
          <t>Torre B</t>
        </is>
      </c>
    </row>
  </sheetData>
  <mergeCells count="2">
    <mergeCell ref="D3:E3"/>
    <mergeCell ref="A5:A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2026-03-30T12:58:37Z</dcterms:created>
  <dcterms:modified xmlns:dcterms="http://purl.org/dc/terms/" xmlns:xsi="http://www.w3.org/2001/XMLSchema-instance" xsi:type="dcterms:W3CDTF">2026-03-30T12:58:38Z</dcterms:modified>
</cp:coreProperties>
</file>