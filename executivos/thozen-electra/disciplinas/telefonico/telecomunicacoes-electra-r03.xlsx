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XAS POR PAVIMENTO" sheetId="1" state="visible" r:id="rId1"/>
    <sheet xmlns:r="http://schemas.openxmlformats.org/officeDocument/2006/relationships" name="RESUMO POR PAVIMENTO" sheetId="2" state="visible" r:id="rId2"/>
    <sheet xmlns:r="http://schemas.openxmlformats.org/officeDocument/2006/relationships" name="RESUMO R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4" fontId="5" fillId="3" borderId="1" pivotButton="0" quotePrefix="0" xfId="0"/>
    <xf numFmtId="0" fontId="2" fillId="4" borderId="0" applyAlignment="1" pivotButton="0" quotePrefix="0" xfId="0">
      <alignment horizontal="left" vertical="center" wrapText="1"/>
    </xf>
    <xf numFmtId="4" fontId="2" fillId="4" borderId="0" pivotButton="0" quotePrefix="0" xfId="0"/>
    <xf numFmtId="0" fontId="5" fillId="0" borderId="0" pivotButton="0" quotePrefix="0" xfId="0"/>
    <xf numFmtId="4" fontId="0" fillId="3" borderId="0" pivotButton="0" quotePrefix="0" xfId="0"/>
    <xf numFmtId="0" fontId="6" fillId="0" borderId="0" pivotButton="0" quotePrefix="0" xfId="0"/>
    <xf numFmtId="4" fontId="7" fillId="5" borderId="0" pivotButton="0" quotePrefix="0" xfId="0"/>
    <xf numFmtId="4" fontId="0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4" fontId="2" fillId="4" borderId="1" pivotButton="0" quotePrefix="0" xfId="0"/>
    <xf numFmtId="4" fontId="0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4" customWidth="1" min="3" max="3"/>
    <col width="5" customWidth="1" min="4" max="4"/>
    <col width="5" customWidth="1" min="5" max="5"/>
    <col width="18" customWidth="1" min="6" max="6"/>
    <col width="26" customWidth="1" min="7" max="7"/>
    <col width="50" customWidth="1" min="8" max="8"/>
    <col width="10" customWidth="1" min="9" max="9"/>
    <col width="14" customWidth="1" min="10" max="10"/>
    <col width="24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Disciplina: 08 Telecomunicacoes - R03 Suplemento (por pavimento)</t>
        </is>
      </c>
    </row>
    <row r="3">
      <c r="A3" t="inlineStr">
        <is>
          <t>Revisao: R03 | Data: 2026-04-14 | AC: 36.092 m2</t>
        </is>
      </c>
    </row>
    <row r="4">
      <c r="A4" s="3" t="inlineStr">
        <is>
          <t>Fonte: PDF Eletrowatts 'Caixas e Quadros - Telecom' 07/04/2026 (28 caixas tronco)</t>
        </is>
      </c>
    </row>
    <row r="6" ht="24" customHeight="1">
      <c r="A6" s="4" t="inlineStr">
        <is>
          <t>Pavimento</t>
        </is>
      </c>
      <c r="B6" s="4" t="inlineStr">
        <is>
          <t>Torre</t>
        </is>
      </c>
      <c r="C6" s="4" t="inlineStr">
        <is>
          <t>#</t>
        </is>
      </c>
      <c r="D6" s="4" t="inlineStr">
        <is>
          <t>Qtd</t>
        </is>
      </c>
      <c r="E6" s="4" t="inlineStr">
        <is>
          <t>Unid</t>
        </is>
      </c>
      <c r="F6" s="4" t="inlineStr">
        <is>
          <t>Dimensoes</t>
        </is>
      </c>
      <c r="G6" s="4" t="inlineStr">
        <is>
          <t>Local (original)</t>
        </is>
      </c>
      <c r="H6" s="4" t="inlineStr">
        <is>
          <t>Descricao</t>
        </is>
      </c>
      <c r="I6" s="4" t="inlineStr">
        <is>
          <t>PU (R$)</t>
        </is>
      </c>
      <c r="J6" s="4" t="inlineStr">
        <is>
          <t>Total (R$)</t>
        </is>
      </c>
      <c r="K6" s="4" t="inlineStr">
        <is>
          <t>Fonte PU</t>
        </is>
      </c>
    </row>
    <row r="7">
      <c r="A7" s="5" t="inlineStr">
        <is>
          <t>01º Térreo</t>
        </is>
      </c>
      <c r="B7" s="6" t="inlineStr">
        <is>
          <t>A</t>
        </is>
      </c>
      <c r="C7" s="6" t="n">
        <v>1</v>
      </c>
      <c r="D7" s="7" t="n">
        <v>1</v>
      </c>
      <c r="E7" s="6" t="inlineStr">
        <is>
          <t>pç</t>
        </is>
      </c>
      <c r="F7" s="6" t="inlineStr">
        <is>
          <t>30x30x12CM</t>
        </is>
      </c>
      <c r="G7" s="5" t="inlineStr">
        <is>
          <t>C.P. TÉRREO - BLOCO-A</t>
        </is>
      </c>
      <c r="H7" s="5" t="inlineStr">
        <is>
          <t>CX. DE PASSAGEM TELECOM C/ PORTA + VISTA, FUNDO DE MADEIRA /BRANCA</t>
        </is>
      </c>
      <c r="I7" s="8" t="n">
        <v>140</v>
      </c>
      <c r="J7" s="8">
        <f>D7*I7</f>
        <v/>
      </c>
      <c r="K7" s="5" t="inlineStr">
        <is>
          <t>Faixa 2 (5-15 dm3)</t>
        </is>
      </c>
    </row>
    <row r="8">
      <c r="A8" s="5" t="inlineStr">
        <is>
          <t>01º Térreo</t>
        </is>
      </c>
      <c r="B8" s="6" t="inlineStr">
        <is>
          <t>A</t>
        </is>
      </c>
      <c r="C8" s="6" t="n">
        <v>2</v>
      </c>
      <c r="D8" s="7" t="n">
        <v>1</v>
      </c>
      <c r="E8" s="6" t="inlineStr">
        <is>
          <t>pç</t>
        </is>
      </c>
      <c r="F8" s="6" t="inlineStr">
        <is>
          <t>60x120x20CM</t>
        </is>
      </c>
      <c r="G8" s="5" t="inlineStr">
        <is>
          <t>C.P. TÉRREO - BLOCO-A</t>
        </is>
      </c>
      <c r="H8" s="5" t="inlineStr">
        <is>
          <t>CX. DE PASSAGEM TELECOM C/ PORTA + VISTA, FUNDO DE MADEIRA /BRANCA</t>
        </is>
      </c>
      <c r="I8" s="8" t="n">
        <v>420</v>
      </c>
      <c r="J8" s="8">
        <f>D8*I8</f>
        <v/>
      </c>
      <c r="K8" s="5" t="inlineStr">
        <is>
          <t>Faixa 4 (&gt; 30 dm3)</t>
        </is>
      </c>
    </row>
    <row r="9">
      <c r="A9" s="5" t="inlineStr">
        <is>
          <t>01º Térreo</t>
        </is>
      </c>
      <c r="B9" s="6" t="inlineStr">
        <is>
          <t>B</t>
        </is>
      </c>
      <c r="C9" s="6" t="n">
        <v>15</v>
      </c>
      <c r="D9" s="7" t="n">
        <v>1</v>
      </c>
      <c r="E9" s="6" t="inlineStr">
        <is>
          <t>pç</t>
        </is>
      </c>
      <c r="F9" s="6" t="inlineStr">
        <is>
          <t>60x60x12CM</t>
        </is>
      </c>
      <c r="G9" s="5" t="inlineStr">
        <is>
          <t>C.P. TÉRREO - BLOCO-B</t>
        </is>
      </c>
      <c r="H9" s="5" t="inlineStr">
        <is>
          <t>CX. DE PASSAGEM TELECOM C/ PORTA + VISTA, FUNDO DE MADEIRA /BRANCA</t>
        </is>
      </c>
      <c r="I9" s="8" t="n">
        <v>420</v>
      </c>
      <c r="J9" s="8">
        <f>D9*I9</f>
        <v/>
      </c>
      <c r="K9" s="5" t="inlineStr">
        <is>
          <t>Faixa 4 (&gt; 30 dm3)</t>
        </is>
      </c>
    </row>
    <row r="10">
      <c r="A10" s="5" t="inlineStr">
        <is>
          <t>01º Térreo</t>
        </is>
      </c>
      <c r="B10" s="6" t="inlineStr">
        <is>
          <t>B</t>
        </is>
      </c>
      <c r="C10" s="6" t="n">
        <v>16</v>
      </c>
      <c r="D10" s="7" t="n">
        <v>1</v>
      </c>
      <c r="E10" s="6" t="inlineStr">
        <is>
          <t>pç</t>
        </is>
      </c>
      <c r="F10" s="6" t="inlineStr">
        <is>
          <t>60x120x20CM</t>
        </is>
      </c>
      <c r="G10" s="5" t="inlineStr">
        <is>
          <t>C.P. TÉRREO - BLOCO-B</t>
        </is>
      </c>
      <c r="H10" s="5" t="inlineStr">
        <is>
          <t>CX. DE PASSAGEM TELECOM C/ PORTA + VISTA, FUNDO DE MADEIRA /BRANCA</t>
        </is>
      </c>
      <c r="I10" s="8" t="n">
        <v>420</v>
      </c>
      <c r="J10" s="8">
        <f>D10*I10</f>
        <v/>
      </c>
      <c r="K10" s="5" t="inlineStr">
        <is>
          <t>Faixa 4 (&gt; 30 dm3)</t>
        </is>
      </c>
    </row>
    <row r="11">
      <c r="A11" s="9" t="inlineStr">
        <is>
          <t>Subtotal — 01º Térreo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>
        <f>SUM(J7:J10)</f>
        <v/>
      </c>
      <c r="K11" s="10" t="n"/>
    </row>
    <row r="12">
      <c r="A12" s="5" t="inlineStr">
        <is>
          <t>02º G1</t>
        </is>
      </c>
      <c r="B12" s="6" t="inlineStr">
        <is>
          <t>A</t>
        </is>
      </c>
      <c r="C12" s="6" t="n">
        <v>3</v>
      </c>
      <c r="D12" s="7" t="n">
        <v>4</v>
      </c>
      <c r="E12" s="6" t="inlineStr">
        <is>
          <t>pç</t>
        </is>
      </c>
      <c r="F12" s="6" t="inlineStr">
        <is>
          <t>30x30x12CM</t>
        </is>
      </c>
      <c r="G12" s="5" t="inlineStr">
        <is>
          <t>C.P. G1 - BLOCO-A</t>
        </is>
      </c>
      <c r="H12" s="5" t="inlineStr">
        <is>
          <t>CX. DE PASSAGEM TELECOM C/ PORTA + VISTA, FUNDO DE MADEIRA /BRANCA</t>
        </is>
      </c>
      <c r="I12" s="8" t="n">
        <v>140</v>
      </c>
      <c r="J12" s="8">
        <f>D12*I12</f>
        <v/>
      </c>
      <c r="K12" s="5" t="inlineStr">
        <is>
          <t>Faixa 2 (5-15 dm3)</t>
        </is>
      </c>
    </row>
    <row r="13">
      <c r="A13" s="5" t="inlineStr">
        <is>
          <t>02º G1</t>
        </is>
      </c>
      <c r="B13" s="6" t="inlineStr">
        <is>
          <t>A</t>
        </is>
      </c>
      <c r="C13" s="6" t="n">
        <v>4</v>
      </c>
      <c r="D13" s="7" t="n">
        <v>1</v>
      </c>
      <c r="E13" s="6" t="inlineStr">
        <is>
          <t>pç</t>
        </is>
      </c>
      <c r="F13" s="6" t="inlineStr">
        <is>
          <t>60x120x20CM</t>
        </is>
      </c>
      <c r="G13" s="5" t="inlineStr">
        <is>
          <t>C.P. G1 - BLOCO-A</t>
        </is>
      </c>
      <c r="H13" s="5" t="inlineStr">
        <is>
          <t>CX. DE PASSAGEM TELECOM C/ PORTA + VISTA, FUNDO DE MADEIRA /BRANCA</t>
        </is>
      </c>
      <c r="I13" s="8" t="n">
        <v>420</v>
      </c>
      <c r="J13" s="8">
        <f>D13*I13</f>
        <v/>
      </c>
      <c r="K13" s="5" t="inlineStr">
        <is>
          <t>Faixa 4 (&gt; 30 dm3)</t>
        </is>
      </c>
    </row>
    <row r="14">
      <c r="A14" s="5" t="inlineStr">
        <is>
          <t>02º G1</t>
        </is>
      </c>
      <c r="B14" s="6" t="inlineStr">
        <is>
          <t>A</t>
        </is>
      </c>
      <c r="C14" s="6" t="n">
        <v>5</v>
      </c>
      <c r="D14" s="7" t="n">
        <v>1</v>
      </c>
      <c r="E14" s="6" t="inlineStr">
        <is>
          <t>pç</t>
        </is>
      </c>
      <c r="F14" s="6" t="inlineStr">
        <is>
          <t>40x40x15CM</t>
        </is>
      </c>
      <c r="G14" s="5" t="inlineStr">
        <is>
          <t>C.P. G1 - BLOCO-A</t>
        </is>
      </c>
      <c r="H14" s="5" t="inlineStr">
        <is>
          <t>CX. DE PASSAGEM TELECOM C/ PORTA + VISTA, FUNDO DE MADEIRA /BRANCA</t>
        </is>
      </c>
      <c r="I14" s="8" t="n">
        <v>280</v>
      </c>
      <c r="J14" s="8">
        <f>D14*I14</f>
        <v/>
      </c>
      <c r="K14" s="5" t="inlineStr">
        <is>
          <t>Faixa 3 (15-30 dm3)</t>
        </is>
      </c>
    </row>
    <row r="15">
      <c r="A15" s="5" t="inlineStr">
        <is>
          <t>02º G1</t>
        </is>
      </c>
      <c r="B15" s="6" t="inlineStr">
        <is>
          <t>B</t>
        </is>
      </c>
      <c r="C15" s="6" t="n">
        <v>17</v>
      </c>
      <c r="D15" s="7" t="n">
        <v>1</v>
      </c>
      <c r="E15" s="6" t="inlineStr">
        <is>
          <t>pç</t>
        </is>
      </c>
      <c r="F15" s="6" t="inlineStr">
        <is>
          <t>60x120x20CM</t>
        </is>
      </c>
      <c r="G15" s="5" t="inlineStr">
        <is>
          <t>C.P. G1 - BLOCO-B</t>
        </is>
      </c>
      <c r="H15" s="5" t="inlineStr">
        <is>
          <t>CX. DE PASSAGEM TELECOM C/ PORTA + VISTA, FUNDO DE MADEIRA /BRANCA</t>
        </is>
      </c>
      <c r="I15" s="8" t="n">
        <v>420</v>
      </c>
      <c r="J15" s="8">
        <f>D15*I15</f>
        <v/>
      </c>
      <c r="K15" s="5" t="inlineStr">
        <is>
          <t>Faixa 4 (&gt; 30 dm3)</t>
        </is>
      </c>
    </row>
    <row r="16">
      <c r="A16" s="5" t="inlineStr">
        <is>
          <t>02º G1</t>
        </is>
      </c>
      <c r="B16" s="6" t="inlineStr">
        <is>
          <t>B</t>
        </is>
      </c>
      <c r="C16" s="6" t="n">
        <v>18</v>
      </c>
      <c r="D16" s="7" t="n">
        <v>3</v>
      </c>
      <c r="E16" s="6" t="inlineStr">
        <is>
          <t>pç</t>
        </is>
      </c>
      <c r="F16" s="6" t="inlineStr">
        <is>
          <t>30x30x12CM</t>
        </is>
      </c>
      <c r="G16" s="5" t="inlineStr">
        <is>
          <t>C.P. G1 - BLOCO-B</t>
        </is>
      </c>
      <c r="H16" s="5" t="inlineStr">
        <is>
          <t>CX. DE PASSAGEM TELECOM C/ PORTA + VISTA, FUNDO DE MADEIRA /BRANCA</t>
        </is>
      </c>
      <c r="I16" s="8" t="n">
        <v>140</v>
      </c>
      <c r="J16" s="8">
        <f>D16*I16</f>
        <v/>
      </c>
      <c r="K16" s="5" t="inlineStr">
        <is>
          <t>Faixa 2 (5-15 dm3)</t>
        </is>
      </c>
    </row>
    <row r="17">
      <c r="A17" s="9" t="inlineStr">
        <is>
          <t>Subtotal — 02º G1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>
        <f>SUM(J12:J16)</f>
        <v/>
      </c>
      <c r="K17" s="10" t="n"/>
    </row>
    <row r="18">
      <c r="A18" s="5" t="inlineStr">
        <is>
          <t>03º G2</t>
        </is>
      </c>
      <c r="B18" s="6" t="inlineStr">
        <is>
          <t>A</t>
        </is>
      </c>
      <c r="C18" s="6" t="n">
        <v>6</v>
      </c>
      <c r="D18" s="7" t="n">
        <v>1</v>
      </c>
      <c r="E18" s="6" t="inlineStr">
        <is>
          <t>pç</t>
        </is>
      </c>
      <c r="F18" s="6" t="inlineStr">
        <is>
          <t>40x120x15CM</t>
        </is>
      </c>
      <c r="G18" s="5" t="inlineStr">
        <is>
          <t>C.P. G2 - BLOCO-A</t>
        </is>
      </c>
      <c r="H18" s="5" t="inlineStr">
        <is>
          <t>CX. DE PASSAGEM TELECOM C/ PORTA + VISTA, FUNDO DE MADEIRA /BRANCA</t>
        </is>
      </c>
      <c r="I18" s="8" t="n">
        <v>420</v>
      </c>
      <c r="J18" s="8">
        <f>D18*I18</f>
        <v/>
      </c>
      <c r="K18" s="5" t="inlineStr">
        <is>
          <t>Faixa 4 (&gt; 30 dm3)</t>
        </is>
      </c>
    </row>
    <row r="19">
      <c r="A19" s="5" t="inlineStr">
        <is>
          <t>03º G2</t>
        </is>
      </c>
      <c r="B19" s="6" t="inlineStr">
        <is>
          <t>B</t>
        </is>
      </c>
      <c r="C19" s="6" t="n">
        <v>19</v>
      </c>
      <c r="D19" s="7" t="n">
        <v>1</v>
      </c>
      <c r="E19" s="6" t="inlineStr">
        <is>
          <t>pç</t>
        </is>
      </c>
      <c r="F19" s="6" t="inlineStr">
        <is>
          <t>40x120x15CM</t>
        </is>
      </c>
      <c r="G19" s="5" t="inlineStr">
        <is>
          <t>C.P. G2 - BLOCO-B</t>
        </is>
      </c>
      <c r="H19" s="5" t="inlineStr">
        <is>
          <t>CX. DE PASSAGEM TELECOM C/ PORTA + VISTA, FUNDO DE MADEIRA /BRANCA</t>
        </is>
      </c>
      <c r="I19" s="8" t="n">
        <v>420</v>
      </c>
      <c r="J19" s="8">
        <f>D19*I19</f>
        <v/>
      </c>
      <c r="K19" s="5" t="inlineStr">
        <is>
          <t>Faixa 4 (&gt; 30 dm3)</t>
        </is>
      </c>
    </row>
    <row r="20">
      <c r="A20" s="9" t="inlineStr">
        <is>
          <t>Subtotal — 03º G2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>
        <f>SUM(J18:J19)</f>
        <v/>
      </c>
      <c r="K20" s="10" t="n"/>
    </row>
    <row r="21">
      <c r="A21" s="5" t="inlineStr">
        <is>
          <t>04º G3</t>
        </is>
      </c>
      <c r="B21" s="6" t="inlineStr">
        <is>
          <t>A</t>
        </is>
      </c>
      <c r="C21" s="6" t="n">
        <v>7</v>
      </c>
      <c r="D21" s="7" t="n">
        <v>1</v>
      </c>
      <c r="E21" s="6" t="inlineStr">
        <is>
          <t>pç</t>
        </is>
      </c>
      <c r="F21" s="6" t="inlineStr">
        <is>
          <t>40x120x15CM</t>
        </is>
      </c>
      <c r="G21" s="5" t="inlineStr">
        <is>
          <t>C.P. G3 - BLOCO-A</t>
        </is>
      </c>
      <c r="H21" s="5" t="inlineStr">
        <is>
          <t>CX. DE PASSAGEM TELECOM C/ PORTA + VISTA, FUNDO DE MADEIRA /BRANCA</t>
        </is>
      </c>
      <c r="I21" s="8" t="n">
        <v>420</v>
      </c>
      <c r="J21" s="8">
        <f>D21*I21</f>
        <v/>
      </c>
      <c r="K21" s="5" t="inlineStr">
        <is>
          <t>Faixa 4 (&gt; 30 dm3)</t>
        </is>
      </c>
    </row>
    <row r="22">
      <c r="A22" s="5" t="inlineStr">
        <is>
          <t>04º G3</t>
        </is>
      </c>
      <c r="B22" s="6" t="inlineStr">
        <is>
          <t>B</t>
        </is>
      </c>
      <c r="C22" s="6" t="n">
        <v>20</v>
      </c>
      <c r="D22" s="7" t="n">
        <v>1</v>
      </c>
      <c r="E22" s="6" t="inlineStr">
        <is>
          <t>pç</t>
        </is>
      </c>
      <c r="F22" s="6" t="inlineStr">
        <is>
          <t>40x120x15CM</t>
        </is>
      </c>
      <c r="G22" s="5" t="inlineStr">
        <is>
          <t>C.P. G3 - BLOCO-B</t>
        </is>
      </c>
      <c r="H22" s="5" t="inlineStr">
        <is>
          <t>CX. DE PASSAGEM TELECOM C/ PORTA + VISTA, FUNDO DE MADEIRA /BRANCA</t>
        </is>
      </c>
      <c r="I22" s="8" t="n">
        <v>420</v>
      </c>
      <c r="J22" s="8">
        <f>D22*I22</f>
        <v/>
      </c>
      <c r="K22" s="5" t="inlineStr">
        <is>
          <t>Faixa 4 (&gt; 30 dm3)</t>
        </is>
      </c>
    </row>
    <row r="23">
      <c r="A23" s="9" t="inlineStr">
        <is>
          <t>Subtotal — 04º G3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1">
        <f>SUM(J21:J22)</f>
        <v/>
      </c>
      <c r="K23" s="10" t="n"/>
    </row>
    <row r="24">
      <c r="A24" s="5" t="inlineStr">
        <is>
          <t>05º G4</t>
        </is>
      </c>
      <c r="B24" s="6" t="inlineStr">
        <is>
          <t>A</t>
        </is>
      </c>
      <c r="C24" s="6" t="n">
        <v>8</v>
      </c>
      <c r="D24" s="7" t="n">
        <v>1</v>
      </c>
      <c r="E24" s="6" t="inlineStr">
        <is>
          <t>pç</t>
        </is>
      </c>
      <c r="F24" s="6" t="inlineStr">
        <is>
          <t>40x120x15CM</t>
        </is>
      </c>
      <c r="G24" s="5" t="inlineStr">
        <is>
          <t>C.P. G4 - BLOCO-A</t>
        </is>
      </c>
      <c r="H24" s="5" t="inlineStr">
        <is>
          <t>CX. DE PASSAGEM TELECOM C/ PORTA + VISTA, FUNDO DE MADEIRA /BRANCA</t>
        </is>
      </c>
      <c r="I24" s="8" t="n">
        <v>420</v>
      </c>
      <c r="J24" s="8">
        <f>D24*I24</f>
        <v/>
      </c>
      <c r="K24" s="5" t="inlineStr">
        <is>
          <t>Faixa 4 (&gt; 30 dm3)</t>
        </is>
      </c>
    </row>
    <row r="25">
      <c r="A25" s="5" t="inlineStr">
        <is>
          <t>05º G4</t>
        </is>
      </c>
      <c r="B25" s="6" t="inlineStr">
        <is>
          <t>B</t>
        </is>
      </c>
      <c r="C25" s="6" t="n">
        <v>21</v>
      </c>
      <c r="D25" s="7" t="n">
        <v>1</v>
      </c>
      <c r="E25" s="6" t="inlineStr">
        <is>
          <t>pç</t>
        </is>
      </c>
      <c r="F25" s="6" t="inlineStr">
        <is>
          <t>40x120x15CM</t>
        </is>
      </c>
      <c r="G25" s="5" t="inlineStr">
        <is>
          <t>C.P. G4 - BLOCO-B</t>
        </is>
      </c>
      <c r="H25" s="5" t="inlineStr">
        <is>
          <t>CX. DE PASSAGEM TELECOM C/ PORTA + VISTA, FUNDO DE MADEIRA /BRANCA</t>
        </is>
      </c>
      <c r="I25" s="8" t="n">
        <v>420</v>
      </c>
      <c r="J25" s="8">
        <f>D25*I25</f>
        <v/>
      </c>
      <c r="K25" s="5" t="inlineStr">
        <is>
          <t>Faixa 4 (&gt; 30 dm3)</t>
        </is>
      </c>
    </row>
    <row r="26">
      <c r="A26" s="9" t="inlineStr">
        <is>
          <t>Subtotal — 05º G4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1">
        <f>SUM(J24:J25)</f>
        <v/>
      </c>
      <c r="K26" s="10" t="n"/>
    </row>
    <row r="27">
      <c r="A27" s="5" t="inlineStr">
        <is>
          <t>06º G5</t>
        </is>
      </c>
      <c r="B27" s="6" t="inlineStr">
        <is>
          <t>A</t>
        </is>
      </c>
      <c r="C27" s="6" t="n">
        <v>9</v>
      </c>
      <c r="D27" s="7" t="n">
        <v>1</v>
      </c>
      <c r="E27" s="6" t="inlineStr">
        <is>
          <t>pç</t>
        </is>
      </c>
      <c r="F27" s="6" t="inlineStr">
        <is>
          <t>40x120x15CM</t>
        </is>
      </c>
      <c r="G27" s="5" t="inlineStr">
        <is>
          <t>C.P. G5 - BLOCO-A</t>
        </is>
      </c>
      <c r="H27" s="5" t="inlineStr">
        <is>
          <t>CX. DE PASSAGEM TELECOM C/ PORTA + VISTA, FUNDO DE MADEIRA /BRANCA</t>
        </is>
      </c>
      <c r="I27" s="8" t="n">
        <v>420</v>
      </c>
      <c r="J27" s="8">
        <f>D27*I27</f>
        <v/>
      </c>
      <c r="K27" s="5" t="inlineStr">
        <is>
          <t>Faixa 4 (&gt; 30 dm3)</t>
        </is>
      </c>
    </row>
    <row r="28">
      <c r="A28" s="5" t="inlineStr">
        <is>
          <t>06º G5</t>
        </is>
      </c>
      <c r="B28" s="6" t="inlineStr">
        <is>
          <t>B</t>
        </is>
      </c>
      <c r="C28" s="6" t="n">
        <v>22</v>
      </c>
      <c r="D28" s="7" t="n">
        <v>1</v>
      </c>
      <c r="E28" s="6" t="inlineStr">
        <is>
          <t>pç</t>
        </is>
      </c>
      <c r="F28" s="6" t="inlineStr">
        <is>
          <t>40x120x15CM</t>
        </is>
      </c>
      <c r="G28" s="5" t="inlineStr">
        <is>
          <t>C.P. G5 - BLOCO-B</t>
        </is>
      </c>
      <c r="H28" s="5" t="inlineStr">
        <is>
          <t>CX. DE PASSAGEM TELECOM C/ PORTA + VISTA, FUNDO DE MADEIRA /BRANCA</t>
        </is>
      </c>
      <c r="I28" s="8" t="n">
        <v>420</v>
      </c>
      <c r="J28" s="8">
        <f>D28*I28</f>
        <v/>
      </c>
      <c r="K28" s="5" t="inlineStr">
        <is>
          <t>Faixa 4 (&gt; 30 dm3)</t>
        </is>
      </c>
    </row>
    <row r="29">
      <c r="A29" s="9" t="inlineStr">
        <is>
          <t>Subtotal — 06º G5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1">
        <f>SUM(J27:J28)</f>
        <v/>
      </c>
      <c r="K29" s="10" t="n"/>
    </row>
    <row r="30">
      <c r="A30" s="5" t="inlineStr">
        <is>
          <t>07º Lazer</t>
        </is>
      </c>
      <c r="B30" s="6" t="inlineStr">
        <is>
          <t>A</t>
        </is>
      </c>
      <c r="C30" s="6" t="n">
        <v>10</v>
      </c>
      <c r="D30" s="7" t="n">
        <v>1</v>
      </c>
      <c r="E30" s="6" t="inlineStr">
        <is>
          <t>pç</t>
        </is>
      </c>
      <c r="F30" s="6" t="inlineStr">
        <is>
          <t>40x40x12CM</t>
        </is>
      </c>
      <c r="G30" s="5" t="inlineStr">
        <is>
          <t>C.P. LAZER - BLOCO-A</t>
        </is>
      </c>
      <c r="H30" s="5" t="inlineStr">
        <is>
          <t>CX. DE PASSAGEM TELECOM C/ PORTA + VISTA, FUNDO DE MADEIRA /BRANCA</t>
        </is>
      </c>
      <c r="I30" s="8" t="n">
        <v>280</v>
      </c>
      <c r="J30" s="8">
        <f>D30*I30</f>
        <v/>
      </c>
      <c r="K30" s="5" t="inlineStr">
        <is>
          <t>Faixa 3 (15-30 dm3)</t>
        </is>
      </c>
    </row>
    <row r="31">
      <c r="A31" s="5" t="inlineStr">
        <is>
          <t>07º Lazer</t>
        </is>
      </c>
      <c r="B31" s="6" t="inlineStr">
        <is>
          <t>A</t>
        </is>
      </c>
      <c r="C31" s="6" t="n">
        <v>11</v>
      </c>
      <c r="D31" s="7" t="n">
        <v>1</v>
      </c>
      <c r="E31" s="6" t="inlineStr">
        <is>
          <t>pç</t>
        </is>
      </c>
      <c r="F31" s="6" t="inlineStr">
        <is>
          <t>40x120x15CM</t>
        </is>
      </c>
      <c r="G31" s="5" t="inlineStr">
        <is>
          <t>C.P. LAZER - BLOCO-A</t>
        </is>
      </c>
      <c r="H31" s="5" t="inlineStr">
        <is>
          <t>CX. DE PASSAGEM TELECOM C/ PORTA + VISTA, FUNDO DE MADEIRA /BRANCA</t>
        </is>
      </c>
      <c r="I31" s="8" t="n">
        <v>420</v>
      </c>
      <c r="J31" s="8">
        <f>D31*I31</f>
        <v/>
      </c>
      <c r="K31" s="5" t="inlineStr">
        <is>
          <t>Faixa 4 (&gt; 30 dm3)</t>
        </is>
      </c>
    </row>
    <row r="32">
      <c r="A32" s="5" t="inlineStr">
        <is>
          <t>07º Lazer</t>
        </is>
      </c>
      <c r="B32" s="6" t="inlineStr">
        <is>
          <t>B</t>
        </is>
      </c>
      <c r="C32" s="6" t="n">
        <v>23</v>
      </c>
      <c r="D32" s="7" t="n">
        <v>1</v>
      </c>
      <c r="E32" s="6" t="inlineStr">
        <is>
          <t>pç</t>
        </is>
      </c>
      <c r="F32" s="6" t="inlineStr">
        <is>
          <t>60x40x12CM</t>
        </is>
      </c>
      <c r="G32" s="5" t="inlineStr">
        <is>
          <t>C.P. LAZER - BLOCO-B</t>
        </is>
      </c>
      <c r="H32" s="5" t="inlineStr">
        <is>
          <t>CX. DE PASSAGEM TELECOM C/ PORTA + VISTA, FUNDO DE MADEIRA /BRANCA</t>
        </is>
      </c>
      <c r="I32" s="8" t="n">
        <v>280</v>
      </c>
      <c r="J32" s="8">
        <f>D32*I32</f>
        <v/>
      </c>
      <c r="K32" s="5" t="inlineStr">
        <is>
          <t>Faixa 3 (15-30 dm3)</t>
        </is>
      </c>
    </row>
    <row r="33">
      <c r="A33" s="5" t="inlineStr">
        <is>
          <t>07º Lazer</t>
        </is>
      </c>
      <c r="B33" s="6" t="inlineStr">
        <is>
          <t>B</t>
        </is>
      </c>
      <c r="C33" s="6" t="n">
        <v>24</v>
      </c>
      <c r="D33" s="7" t="n">
        <v>1</v>
      </c>
      <c r="E33" s="6" t="inlineStr">
        <is>
          <t>pç</t>
        </is>
      </c>
      <c r="F33" s="6" t="inlineStr">
        <is>
          <t>40x120x15CM</t>
        </is>
      </c>
      <c r="G33" s="5" t="inlineStr">
        <is>
          <t>C.P. LAZER - BLOCO-B</t>
        </is>
      </c>
      <c r="H33" s="5" t="inlineStr">
        <is>
          <t>CX. DE PASSAGEM TELECOM C/ PORTA + VISTA, FUNDO DE MADEIRA /BRANCA</t>
        </is>
      </c>
      <c r="I33" s="8" t="n">
        <v>420</v>
      </c>
      <c r="J33" s="8">
        <f>D33*I33</f>
        <v/>
      </c>
      <c r="K33" s="5" t="inlineStr">
        <is>
          <t>Faixa 4 (&gt; 30 dm3)</t>
        </is>
      </c>
    </row>
    <row r="34">
      <c r="A34" s="9" t="inlineStr">
        <is>
          <t>Subtotal — 07º Lazer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>
        <f>SUM(J30:J33)</f>
        <v/>
      </c>
      <c r="K34" s="10" t="n"/>
    </row>
    <row r="35">
      <c r="A35" s="5" t="inlineStr">
        <is>
          <t>08º-31º Tipo (×24)</t>
        </is>
      </c>
      <c r="B35" s="6" t="inlineStr">
        <is>
          <t>A</t>
        </is>
      </c>
      <c r="C35" s="6" t="n">
        <v>12</v>
      </c>
      <c r="D35" s="7" t="n">
        <v>24</v>
      </c>
      <c r="E35" s="6" t="inlineStr">
        <is>
          <t>pç</t>
        </is>
      </c>
      <c r="F35" s="6" t="inlineStr">
        <is>
          <t>40x120x15CM</t>
        </is>
      </c>
      <c r="G35" s="5" t="inlineStr">
        <is>
          <t>C.P. TIPO 24x - BLOCO-A</t>
        </is>
      </c>
      <c r="H35" s="5" t="inlineStr">
        <is>
          <t>CX. DE PASSAGEM TELECOM C/ PORTA + VISTA, FUNDO DE MADEIRA /BRANCA</t>
        </is>
      </c>
      <c r="I35" s="8" t="n">
        <v>420</v>
      </c>
      <c r="J35" s="8">
        <f>D35*I35</f>
        <v/>
      </c>
      <c r="K35" s="5" t="inlineStr">
        <is>
          <t>Faixa 4 (&gt; 30 dm3)</t>
        </is>
      </c>
    </row>
    <row r="36">
      <c r="A36" s="5" t="inlineStr">
        <is>
          <t>08º-31º Tipo (×24)</t>
        </is>
      </c>
      <c r="B36" s="6" t="inlineStr">
        <is>
          <t>B</t>
        </is>
      </c>
      <c r="C36" s="6" t="n">
        <v>25</v>
      </c>
      <c r="D36" s="7" t="n">
        <v>24</v>
      </c>
      <c r="E36" s="6" t="inlineStr">
        <is>
          <t>pç</t>
        </is>
      </c>
      <c r="F36" s="6" t="inlineStr">
        <is>
          <t>30x30x12CM</t>
        </is>
      </c>
      <c r="G36" s="5" t="inlineStr">
        <is>
          <t>C.P. TIPO 24x - BLOCO-B</t>
        </is>
      </c>
      <c r="H36" s="5" t="inlineStr">
        <is>
          <t>CX. DE PASSAGEM TELECOM C/ PORTA + VISTA, FUNDO DE MADEIRA /BRANCA</t>
        </is>
      </c>
      <c r="I36" s="8" t="n">
        <v>140</v>
      </c>
      <c r="J36" s="8">
        <f>D36*I36</f>
        <v/>
      </c>
      <c r="K36" s="5" t="inlineStr">
        <is>
          <t>Faixa 2 (5-15 dm3)</t>
        </is>
      </c>
    </row>
    <row r="37">
      <c r="A37" s="5" t="inlineStr">
        <is>
          <t>08º-31º Tipo (×24)</t>
        </is>
      </c>
      <c r="B37" s="6" t="inlineStr">
        <is>
          <t>B</t>
        </is>
      </c>
      <c r="C37" s="6" t="n">
        <v>26</v>
      </c>
      <c r="D37" s="7" t="n">
        <v>24</v>
      </c>
      <c r="E37" s="6" t="inlineStr">
        <is>
          <t>pç</t>
        </is>
      </c>
      <c r="F37" s="6" t="inlineStr">
        <is>
          <t>40x120x15CM</t>
        </is>
      </c>
      <c r="G37" s="5" t="inlineStr">
        <is>
          <t>C.P. TIPO 24x - BLOCO-B</t>
        </is>
      </c>
      <c r="H37" s="5" t="inlineStr">
        <is>
          <t>CX. DE PASSAGEM TELECOM C/ PORTA + VISTA, FUNDO DE MADEIRA /BRANCA</t>
        </is>
      </c>
      <c r="I37" s="8" t="n">
        <v>420</v>
      </c>
      <c r="J37" s="8">
        <f>D37*I37</f>
        <v/>
      </c>
      <c r="K37" s="5" t="inlineStr">
        <is>
          <t>Faixa 4 (&gt; 30 dm3)</t>
        </is>
      </c>
    </row>
    <row r="38">
      <c r="A38" s="9" t="inlineStr">
        <is>
          <t>Subtotal — 08º-31º Tipo (×24)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1">
        <f>SUM(J35:J37)</f>
        <v/>
      </c>
      <c r="K38" s="10" t="n"/>
    </row>
    <row r="39">
      <c r="A39" s="5" t="inlineStr">
        <is>
          <t>Casa de Máquinas</t>
        </is>
      </c>
      <c r="B39" s="6" t="inlineStr">
        <is>
          <t>A</t>
        </is>
      </c>
      <c r="C39" s="6" t="n">
        <v>13</v>
      </c>
      <c r="D39" s="7" t="n">
        <v>1</v>
      </c>
      <c r="E39" s="6" t="inlineStr">
        <is>
          <t>pç</t>
        </is>
      </c>
      <c r="F39" s="6" t="inlineStr">
        <is>
          <t>20x20x12CM</t>
        </is>
      </c>
      <c r="G39" s="5" t="inlineStr">
        <is>
          <t>C.P. C. MÁQ. - BLOCO-A</t>
        </is>
      </c>
      <c r="H39" s="5" t="inlineStr">
        <is>
          <t>CX. DE PASSAGEM TELECOM C/ PORTA + VISTA, FUNDO DE MADEIRA /BRANCA</t>
        </is>
      </c>
      <c r="I39" s="8" t="n">
        <v>85</v>
      </c>
      <c r="J39" s="8">
        <f>D39*I39</f>
        <v/>
      </c>
      <c r="K39" s="5" t="inlineStr">
        <is>
          <t>Faixa 1 (&lt;= 5 dm3)</t>
        </is>
      </c>
    </row>
    <row r="40">
      <c r="A40" s="5" t="inlineStr">
        <is>
          <t>Casa de Máquinas</t>
        </is>
      </c>
      <c r="B40" s="6" t="inlineStr">
        <is>
          <t>A</t>
        </is>
      </c>
      <c r="C40" s="6" t="n">
        <v>14</v>
      </c>
      <c r="D40" s="7" t="n">
        <v>1</v>
      </c>
      <c r="E40" s="6" t="inlineStr">
        <is>
          <t>pç</t>
        </is>
      </c>
      <c r="F40" s="6" t="inlineStr">
        <is>
          <t>40x40x15CM</t>
        </is>
      </c>
      <c r="G40" s="5" t="inlineStr">
        <is>
          <t>C.P. C. MÁQ - BLOCO-A</t>
        </is>
      </c>
      <c r="H40" s="5" t="inlineStr">
        <is>
          <t>CX. DE PASSAGEM TELECOM C/ PORTA + VISTA, FUNDO DE MADEIRA /BRANCA</t>
        </is>
      </c>
      <c r="I40" s="8" t="n">
        <v>280</v>
      </c>
      <c r="J40" s="8">
        <f>D40*I40</f>
        <v/>
      </c>
      <c r="K40" s="5" t="inlineStr">
        <is>
          <t>Faixa 3 (15-30 dm3)</t>
        </is>
      </c>
    </row>
    <row r="41">
      <c r="A41" s="5" t="inlineStr">
        <is>
          <t>Casa de Máquinas</t>
        </is>
      </c>
      <c r="B41" s="6" t="inlineStr">
        <is>
          <t>B</t>
        </is>
      </c>
      <c r="C41" s="6" t="n">
        <v>27</v>
      </c>
      <c r="D41" s="7" t="n">
        <v>1</v>
      </c>
      <c r="E41" s="6" t="inlineStr">
        <is>
          <t>pç</t>
        </is>
      </c>
      <c r="F41" s="6" t="inlineStr">
        <is>
          <t>40x40x15CM</t>
        </is>
      </c>
      <c r="G41" s="5" t="inlineStr">
        <is>
          <t>C.P. C. MÁQ. - BLOCO-B</t>
        </is>
      </c>
      <c r="H41" s="5" t="inlineStr">
        <is>
          <t>CX. DE PASSAGEM TELECOM C/ PORTA + VISTA, FUNDO DE MADEIRA /BRANCA</t>
        </is>
      </c>
      <c r="I41" s="8" t="n">
        <v>280</v>
      </c>
      <c r="J41" s="8">
        <f>D41*I41</f>
        <v/>
      </c>
      <c r="K41" s="5" t="inlineStr">
        <is>
          <t>Faixa 3 (15-30 dm3)</t>
        </is>
      </c>
    </row>
    <row r="42">
      <c r="A42" s="5" t="inlineStr">
        <is>
          <t>Casa de Máquinas</t>
        </is>
      </c>
      <c r="B42" s="6" t="inlineStr">
        <is>
          <t>B</t>
        </is>
      </c>
      <c r="C42" s="6" t="n">
        <v>28</v>
      </c>
      <c r="D42" s="7" t="n">
        <v>1</v>
      </c>
      <c r="E42" s="6" t="inlineStr">
        <is>
          <t>pç</t>
        </is>
      </c>
      <c r="F42" s="6" t="inlineStr">
        <is>
          <t>20x20x12CM</t>
        </is>
      </c>
      <c r="G42" s="5" t="inlineStr">
        <is>
          <t>C.P. C. MÁQ. - BLOCO-B</t>
        </is>
      </c>
      <c r="H42" s="5" t="inlineStr">
        <is>
          <t>CX. DE PASSAGEM TELECOM C/ PORTA + VISTA, FUNDO DE MADEIRA /BRANCA</t>
        </is>
      </c>
      <c r="I42" s="8" t="n">
        <v>85</v>
      </c>
      <c r="J42" s="8">
        <f>D42*I42</f>
        <v/>
      </c>
      <c r="K42" s="5" t="inlineStr">
        <is>
          <t>Faixa 1 (&lt;= 5 dm3)</t>
        </is>
      </c>
    </row>
    <row r="43">
      <c r="A43" s="9" t="inlineStr">
        <is>
          <t>Subtotal — Casa de Máquinas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1">
        <f>SUM(J39:J42)</f>
        <v/>
      </c>
      <c r="K43" s="10" t="n"/>
    </row>
    <row r="45">
      <c r="A45" s="12" t="inlineStr">
        <is>
          <t>TOTAL SUPLEMENTO (28 caixas por pavimento)</t>
        </is>
      </c>
      <c r="J45" s="13">
        <f>J11+J17+J20+J23+J26+J29+J34+J38+J43</f>
        <v/>
      </c>
    </row>
    <row r="46">
      <c r="A46" s="14" t="inlineStr">
        <is>
          <t>MO instalacao (20% sobre material)</t>
        </is>
      </c>
      <c r="J46" s="15">
        <f>J45*0.20</f>
        <v/>
      </c>
    </row>
    <row r="47">
      <c r="A47" s="16" t="inlineStr">
        <is>
          <t>TOTAL SUPLEMENTO R03 (material + MO)</t>
        </is>
      </c>
      <c r="J47" s="17">
        <f>J45+J46</f>
        <v/>
      </c>
    </row>
  </sheetData>
  <mergeCells count="12">
    <mergeCell ref="A29:I29"/>
    <mergeCell ref="A26:I26"/>
    <mergeCell ref="A43:I43"/>
    <mergeCell ref="A11:I11"/>
    <mergeCell ref="A47:I47"/>
    <mergeCell ref="A46:I46"/>
    <mergeCell ref="A45:I45"/>
    <mergeCell ref="A17:I17"/>
    <mergeCell ref="A23:I23"/>
    <mergeCell ref="A34:I34"/>
    <mergeCell ref="A20:I20"/>
    <mergeCell ref="A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TELECOM R03 — Distribuicao por Pavimento</t>
        </is>
      </c>
    </row>
    <row r="3">
      <c r="A3" s="4" t="inlineStr">
        <is>
          <t>Pavimento</t>
        </is>
      </c>
      <c r="B3" s="4" t="inlineStr">
        <is>
          <t>Torre A qtd</t>
        </is>
      </c>
      <c r="C3" s="4" t="inlineStr">
        <is>
          <t>Torre A R$</t>
        </is>
      </c>
      <c r="D3" s="4" t="inlineStr">
        <is>
          <t>Torre B qtd</t>
        </is>
      </c>
      <c r="E3" s="4" t="inlineStr">
        <is>
          <t>Torre B R$</t>
        </is>
      </c>
      <c r="F3" s="4" t="inlineStr">
        <is>
          <t>Total qtd</t>
        </is>
      </c>
      <c r="G3" s="4" t="inlineStr">
        <is>
          <t>Total R$</t>
        </is>
      </c>
    </row>
    <row r="4">
      <c r="A4" s="5" t="inlineStr">
        <is>
          <t>01º Térreo</t>
        </is>
      </c>
      <c r="B4" s="7" t="n">
        <v>2</v>
      </c>
      <c r="C4" s="18" t="n">
        <v>560</v>
      </c>
      <c r="D4" s="7" t="n">
        <v>2</v>
      </c>
      <c r="E4" s="18" t="n">
        <v>840</v>
      </c>
      <c r="F4" s="19" t="n">
        <v>4</v>
      </c>
      <c r="G4" s="20" t="n">
        <v>1400</v>
      </c>
    </row>
    <row r="5">
      <c r="A5" s="5" t="inlineStr">
        <is>
          <t>02º G1</t>
        </is>
      </c>
      <c r="B5" s="7" t="n">
        <v>6</v>
      </c>
      <c r="C5" s="18" t="n">
        <v>1260</v>
      </c>
      <c r="D5" s="7" t="n">
        <v>4</v>
      </c>
      <c r="E5" s="18" t="n">
        <v>840</v>
      </c>
      <c r="F5" s="19" t="n">
        <v>10</v>
      </c>
      <c r="G5" s="20" t="n">
        <v>2100</v>
      </c>
    </row>
    <row r="6">
      <c r="A6" s="5" t="inlineStr">
        <is>
          <t>03º G2</t>
        </is>
      </c>
      <c r="B6" s="7" t="n">
        <v>1</v>
      </c>
      <c r="C6" s="18" t="n">
        <v>420</v>
      </c>
      <c r="D6" s="7" t="n">
        <v>1</v>
      </c>
      <c r="E6" s="18" t="n">
        <v>420</v>
      </c>
      <c r="F6" s="19" t="n">
        <v>2</v>
      </c>
      <c r="G6" s="20" t="n">
        <v>840</v>
      </c>
    </row>
    <row r="7">
      <c r="A7" s="5" t="inlineStr">
        <is>
          <t>04º G3</t>
        </is>
      </c>
      <c r="B7" s="7" t="n">
        <v>1</v>
      </c>
      <c r="C7" s="18" t="n">
        <v>420</v>
      </c>
      <c r="D7" s="7" t="n">
        <v>1</v>
      </c>
      <c r="E7" s="18" t="n">
        <v>420</v>
      </c>
      <c r="F7" s="19" t="n">
        <v>2</v>
      </c>
      <c r="G7" s="20" t="n">
        <v>840</v>
      </c>
    </row>
    <row r="8">
      <c r="A8" s="5" t="inlineStr">
        <is>
          <t>05º G4</t>
        </is>
      </c>
      <c r="B8" s="7" t="n">
        <v>1</v>
      </c>
      <c r="C8" s="18" t="n">
        <v>420</v>
      </c>
      <c r="D8" s="7" t="n">
        <v>1</v>
      </c>
      <c r="E8" s="18" t="n">
        <v>420</v>
      </c>
      <c r="F8" s="19" t="n">
        <v>2</v>
      </c>
      <c r="G8" s="20" t="n">
        <v>840</v>
      </c>
    </row>
    <row r="9">
      <c r="A9" s="5" t="inlineStr">
        <is>
          <t>06º G5</t>
        </is>
      </c>
      <c r="B9" s="7" t="n">
        <v>1</v>
      </c>
      <c r="C9" s="18" t="n">
        <v>420</v>
      </c>
      <c r="D9" s="7" t="n">
        <v>1</v>
      </c>
      <c r="E9" s="18" t="n">
        <v>420</v>
      </c>
      <c r="F9" s="19" t="n">
        <v>2</v>
      </c>
      <c r="G9" s="20" t="n">
        <v>840</v>
      </c>
    </row>
    <row r="10">
      <c r="A10" s="5" t="inlineStr">
        <is>
          <t>07º Lazer</t>
        </is>
      </c>
      <c r="B10" s="7" t="n">
        <v>2</v>
      </c>
      <c r="C10" s="18" t="n">
        <v>700</v>
      </c>
      <c r="D10" s="7" t="n">
        <v>2</v>
      </c>
      <c r="E10" s="18" t="n">
        <v>700</v>
      </c>
      <c r="F10" s="19" t="n">
        <v>4</v>
      </c>
      <c r="G10" s="20" t="n">
        <v>1400</v>
      </c>
    </row>
    <row r="11">
      <c r="A11" s="5" t="inlineStr">
        <is>
          <t>08º-31º Tipo (×24)</t>
        </is>
      </c>
      <c r="B11" s="7" t="n">
        <v>24</v>
      </c>
      <c r="C11" s="18" t="n">
        <v>10080</v>
      </c>
      <c r="D11" s="7" t="n">
        <v>48</v>
      </c>
      <c r="E11" s="18" t="n">
        <v>13440</v>
      </c>
      <c r="F11" s="19" t="n">
        <v>72</v>
      </c>
      <c r="G11" s="20" t="n">
        <v>23520</v>
      </c>
    </row>
    <row r="12">
      <c r="A12" s="5" t="inlineStr">
        <is>
          <t>Casa de Máquinas</t>
        </is>
      </c>
      <c r="B12" s="7" t="n">
        <v>2</v>
      </c>
      <c r="C12" s="18" t="n">
        <v>365</v>
      </c>
      <c r="D12" s="7" t="n">
        <v>2</v>
      </c>
      <c r="E12" s="18" t="n">
        <v>365</v>
      </c>
      <c r="F12" s="19" t="n">
        <v>4</v>
      </c>
      <c r="G12" s="20" t="n">
        <v>730</v>
      </c>
    </row>
    <row r="13">
      <c r="A13" s="21" t="inlineStr">
        <is>
          <t>TOTAL</t>
        </is>
      </c>
      <c r="B13" s="22" t="n"/>
      <c r="C13" s="22" t="n"/>
      <c r="D13" s="22" t="n"/>
      <c r="E13" s="22" t="n"/>
      <c r="F13" s="21" t="n">
        <v>102</v>
      </c>
      <c r="G13" s="23" t="n">
        <v>32510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12" customWidth="1" min="4" max="4"/>
  </cols>
  <sheetData>
    <row r="1">
      <c r="A1" s="1" t="inlineStr">
        <is>
          <t>TELECOM R03 — Consolidado com R02</t>
        </is>
      </c>
    </row>
    <row r="3">
      <c r="A3" s="4" t="inlineStr">
        <is>
          <t>Fonte</t>
        </is>
      </c>
      <c r="B3" s="4" t="inlineStr">
        <is>
          <t>Escopo</t>
        </is>
      </c>
      <c r="C3" s="4" t="inlineStr">
        <is>
          <t>Total (R$)</t>
        </is>
      </c>
      <c r="D3" s="4" t="inlineStr">
        <is>
          <t>R$/m2 AC</t>
        </is>
      </c>
    </row>
    <row r="4">
      <c r="A4" s="19" t="inlineStr">
        <is>
          <t>R02 (30/mar)</t>
        </is>
      </c>
      <c r="B4" s="5" t="inlineStr">
        <is>
          <t>IFC (648 caixas) + DWG (222 pontos ativos)</t>
        </is>
      </c>
      <c r="C4" s="18" t="n">
        <v>424000</v>
      </c>
      <c r="D4" s="18" t="n">
        <v>11.74775573534301</v>
      </c>
    </row>
    <row r="5">
      <c r="A5" s="19" t="inlineStr">
        <is>
          <t>R03 suplemento</t>
        </is>
      </c>
      <c r="B5" s="5" t="inlineStr">
        <is>
          <t>28 caixas de passagem tronco (PDF) por pavimento</t>
        </is>
      </c>
      <c r="C5" s="24">
        <f>'CAIXAS POR PAVIMENTO'!J47</f>
        <v/>
      </c>
      <c r="D5" s="18">
        <f>C5/36092</f>
        <v/>
      </c>
    </row>
    <row r="6">
      <c r="A6" s="25" t="inlineStr">
        <is>
          <t>TOTAL R03</t>
        </is>
      </c>
      <c r="B6" s="5" t="inlineStr">
        <is>
          <t>R02 + Suplemento</t>
        </is>
      </c>
      <c r="C6" s="23">
        <f>C4+C5</f>
        <v/>
      </c>
      <c r="D6" s="18">
        <f>C6/36092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2026-04-14T19:33:21Z</dcterms:created>
  <dcterms:modified xmlns:dcterms="http://purl.org/dc/terms/" xmlns:xsi="http://www.w3.org/2001/XMLSchema-instance" xsi:type="dcterms:W3CDTF">2026-04-14T19:33:21Z</dcterms:modified>
</cp:coreProperties>
</file>