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R03" sheetId="1" state="visible" r:id="rId1"/>
    <sheet xmlns:r="http://schemas.openxmlformats.org/officeDocument/2006/relationships" name="QUADROS PRINCIPAIS" sheetId="2" state="visible" r:id="rId2"/>
    <sheet xmlns:r="http://schemas.openxmlformats.org/officeDocument/2006/relationships" name="CAIXAS PASSAGEM" sheetId="3" state="visible" r:id="rId3"/>
    <sheet xmlns:r="http://schemas.openxmlformats.org/officeDocument/2006/relationships" name="MATERIAL INTERNO CD" sheetId="4" state="visible" r:id="rId4"/>
    <sheet xmlns:r="http://schemas.openxmlformats.org/officeDocument/2006/relationships" name="DISJUNTORES 18 C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i val="1"/>
      <color rgb="00C00000"/>
      <sz val="9"/>
    </font>
    <font>
      <b val="1"/>
      <color rgb="00FFFFFF"/>
      <sz val="10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4" borderId="1" pivotButton="0" quotePrefix="0" xfId="0"/>
    <xf numFmtId="4" fontId="0" fillId="4" borderId="1" pivotButton="0" quotePrefix="0" xfId="0"/>
    <xf numFmtId="0" fontId="0" fillId="0" borderId="1" pivotButton="0" quotePrefix="0" xfId="0"/>
    <xf numFmtId="4" fontId="6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5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4" fontId="6" fillId="3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ELETRICO R03 — Resumo por Pavimento</t>
        </is>
      </c>
    </row>
    <row r="2">
      <c r="A2" s="2" t="inlineStr">
        <is>
          <t>Suplemento do PDFs Eletrowatts 07/04/2026 ao R02 existente — organizado por pavimento</t>
        </is>
      </c>
    </row>
    <row r="4">
      <c r="A4" s="3" t="inlineStr">
        <is>
          <t>Aba tematica</t>
        </is>
      </c>
      <c r="B4" s="3" t="inlineStr">
        <is>
          <t>Escopo</t>
        </is>
      </c>
      <c r="C4" s="3" t="inlineStr">
        <is>
          <t>Total (R$)</t>
        </is>
      </c>
      <c r="D4" s="3" t="inlineStr">
        <is>
          <t>R$/m2 AC</t>
        </is>
      </c>
      <c r="E4" s="3" t="inlineStr">
        <is>
          <t>Fallbacks</t>
        </is>
      </c>
    </row>
    <row r="5">
      <c r="A5" s="4" t="inlineStr">
        <is>
          <t>QUADROS PRINCIPAIS</t>
        </is>
      </c>
      <c r="B5" s="4" t="inlineStr">
        <is>
          <t>16 quadros principais (QGBT/QM/BEP/banco cap)</t>
        </is>
      </c>
      <c r="C5" s="5" t="n">
        <v>623600</v>
      </c>
      <c r="D5" s="5" t="n">
        <v>17.27806716169788</v>
      </c>
      <c r="E5" s="6" t="n">
        <v>0</v>
      </c>
    </row>
    <row r="6">
      <c r="A6" s="4" t="inlineStr">
        <is>
          <t>CAIXAS PASSAGEM</t>
        </is>
      </c>
      <c r="B6" s="4" t="inlineStr">
        <is>
          <t>162 caixas de passagem (Exec+Prev) por pavimento</t>
        </is>
      </c>
      <c r="C6" s="5" t="n">
        <v>129045</v>
      </c>
      <c r="D6" s="5" t="n">
        <v>3.57544608223429</v>
      </c>
      <c r="E6" s="6" t="n">
        <v>89</v>
      </c>
    </row>
    <row r="7">
      <c r="A7" s="4" t="inlineStr">
        <is>
          <t>MATERIAL INTERNO CD</t>
        </is>
      </c>
      <c r="B7" s="4" t="inlineStr">
        <is>
          <t>39 itens barramentos/cabos/terminais interno CDs</t>
        </is>
      </c>
      <c r="C7" s="5" t="n">
        <v>79133.8</v>
      </c>
      <c r="D7" s="5" t="n">
        <v>2.192557907569545</v>
      </c>
      <c r="E7" s="6" t="n">
        <v>5</v>
      </c>
    </row>
    <row r="8">
      <c r="A8" s="4" t="inlineStr">
        <is>
          <t>DISJUNTORES 18 CDs</t>
        </is>
      </c>
      <c r="B8" s="4" t="inlineStr">
        <is>
          <t>167 disjuntores/IDR/DPS em 18 CDs</t>
        </is>
      </c>
      <c r="C8" s="5" t="n">
        <v>497048</v>
      </c>
      <c r="D8" s="5" t="n">
        <v>13.77169455835088</v>
      </c>
      <c r="E8" s="6" t="n">
        <v>9</v>
      </c>
    </row>
    <row r="9">
      <c r="A9" s="7" t="inlineStr">
        <is>
          <t>TOTAL SUPLEMENTO R03</t>
        </is>
      </c>
      <c r="B9" s="4" t="inlineStr">
        <is>
          <t>(sem MO adicional — MO embutida nos PUs)</t>
        </is>
      </c>
      <c r="C9" s="8" t="n">
        <v>1328826.8</v>
      </c>
      <c r="D9" s="9" t="n">
        <v>36.8177657098526</v>
      </c>
      <c r="E9" s="10" t="n"/>
    </row>
    <row r="11">
      <c r="A11" s="2" t="inlineStr">
        <is>
          <t>DISTRIBUICAO POR PAVIMENTO (todas as 4 abas)</t>
        </is>
      </c>
    </row>
    <row r="12">
      <c r="A12" s="3" t="inlineStr">
        <is>
          <t>Pavimento</t>
        </is>
      </c>
      <c r="B12" s="3" t="inlineStr">
        <is>
          <t>Quadros R$</t>
        </is>
      </c>
      <c r="C12" s="3" t="inlineStr">
        <is>
          <t>Caixas R$</t>
        </is>
      </c>
      <c r="D12" s="3" t="inlineStr">
        <is>
          <t>Material R$</t>
        </is>
      </c>
      <c r="E12" s="3" t="inlineStr">
        <is>
          <t>Disjuntores R$</t>
        </is>
      </c>
      <c r="F12" s="3" t="inlineStr">
        <is>
          <t>Total R$</t>
        </is>
      </c>
    </row>
    <row r="13">
      <c r="A13" s="4" t="inlineStr">
        <is>
          <t>01º Térreo</t>
        </is>
      </c>
      <c r="B13" s="5" t="n">
        <v>623600</v>
      </c>
      <c r="C13" s="5" t="n">
        <v>5185</v>
      </c>
      <c r="D13" s="5" t="n">
        <v>1949.8</v>
      </c>
      <c r="E13" s="5" t="n">
        <v>45239</v>
      </c>
      <c r="F13" s="11" t="n">
        <v>675973.8</v>
      </c>
    </row>
    <row r="14">
      <c r="A14" s="4" t="inlineStr">
        <is>
          <t>02º G1</t>
        </is>
      </c>
      <c r="B14" s="5" t="n">
        <v>0</v>
      </c>
      <c r="C14" s="5" t="n">
        <v>5310</v>
      </c>
      <c r="D14" s="5" t="n">
        <v>0</v>
      </c>
      <c r="E14" s="5" t="n">
        <v>5150</v>
      </c>
      <c r="F14" s="11" t="n">
        <v>10460</v>
      </c>
    </row>
    <row r="15">
      <c r="A15" s="4" t="inlineStr">
        <is>
          <t>03º G2</t>
        </is>
      </c>
      <c r="B15" s="5" t="n">
        <v>0</v>
      </c>
      <c r="C15" s="5" t="n">
        <v>3540</v>
      </c>
      <c r="D15" s="5" t="n">
        <v>0</v>
      </c>
      <c r="E15" s="5" t="n">
        <v>0</v>
      </c>
      <c r="F15" s="11" t="n">
        <v>3540</v>
      </c>
    </row>
    <row r="16">
      <c r="A16" s="4" t="inlineStr">
        <is>
          <t>04º G3</t>
        </is>
      </c>
      <c r="B16" s="5" t="n">
        <v>0</v>
      </c>
      <c r="C16" s="5" t="n">
        <v>2940</v>
      </c>
      <c r="D16" s="5" t="n">
        <v>0</v>
      </c>
      <c r="E16" s="5" t="n">
        <v>0</v>
      </c>
      <c r="F16" s="11" t="n">
        <v>2940</v>
      </c>
    </row>
    <row r="17">
      <c r="A17" s="4" t="inlineStr">
        <is>
          <t>05º G4</t>
        </is>
      </c>
      <c r="B17" s="5" t="n">
        <v>0</v>
      </c>
      <c r="C17" s="5" t="n">
        <v>3540</v>
      </c>
      <c r="D17" s="5" t="n">
        <v>0</v>
      </c>
      <c r="E17" s="5" t="n">
        <v>0</v>
      </c>
      <c r="F17" s="11" t="n">
        <v>3540</v>
      </c>
    </row>
    <row r="18">
      <c r="A18" s="4" t="inlineStr">
        <is>
          <t>06º G5</t>
        </is>
      </c>
      <c r="B18" s="5" t="n">
        <v>0</v>
      </c>
      <c r="C18" s="5" t="n">
        <v>4260</v>
      </c>
      <c r="D18" s="5" t="n">
        <v>0</v>
      </c>
      <c r="E18" s="5" t="n">
        <v>388</v>
      </c>
      <c r="F18" s="11" t="n">
        <v>4648</v>
      </c>
    </row>
    <row r="19">
      <c r="A19" s="4" t="inlineStr">
        <is>
          <t>07º Lazer</t>
        </is>
      </c>
      <c r="B19" s="5" t="n">
        <v>0</v>
      </c>
      <c r="C19" s="5" t="n">
        <v>5020</v>
      </c>
      <c r="D19" s="5" t="n">
        <v>0</v>
      </c>
      <c r="E19" s="5" t="n">
        <v>16575</v>
      </c>
      <c r="F19" s="11" t="n">
        <v>21595</v>
      </c>
    </row>
    <row r="20">
      <c r="A20" s="4" t="inlineStr">
        <is>
          <t>08º-31º Tipo (×24)</t>
        </is>
      </c>
      <c r="B20" s="5" t="n">
        <v>0</v>
      </c>
      <c r="C20" s="5" t="n">
        <v>93420</v>
      </c>
      <c r="D20" s="5" t="n">
        <v>77184</v>
      </c>
      <c r="E20" s="5" t="n">
        <v>429696</v>
      </c>
      <c r="F20" s="11" t="n">
        <v>600300</v>
      </c>
    </row>
    <row r="21">
      <c r="A21" s="4" t="inlineStr">
        <is>
          <t>Casa de Máquinas</t>
        </is>
      </c>
      <c r="B21" s="5" t="n">
        <v>0</v>
      </c>
      <c r="C21" s="5" t="n">
        <v>5830</v>
      </c>
      <c r="D21" s="5" t="n">
        <v>0</v>
      </c>
      <c r="E21" s="5" t="n">
        <v>0</v>
      </c>
      <c r="F21" s="11" t="n">
        <v>5830</v>
      </c>
    </row>
    <row r="22">
      <c r="A22" s="12" t="inlineStr">
        <is>
          <t>TOTAL</t>
        </is>
      </c>
      <c r="B22" s="13" t="n">
        <v>623600</v>
      </c>
      <c r="C22" s="13" t="n">
        <v>129045</v>
      </c>
      <c r="D22" s="13" t="n">
        <v>79133.8</v>
      </c>
      <c r="E22" s="13" t="n">
        <v>497048</v>
      </c>
      <c r="F22" s="13" t="n">
        <v>1328826.8</v>
      </c>
    </row>
    <row r="24">
      <c r="A24" s="14" t="inlineStr">
        <is>
          <t>⚠️ R03 NAO SOMA AO R02</t>
        </is>
      </c>
      <c r="B24" s="15" t="inlineStr">
        <is>
          <t>Substitui os itens 'vermelhos' (sem fonte) do R02 pelos itens rastreaveis PDF</t>
        </is>
      </c>
      <c r="C24" s="16" t="n"/>
      <c r="D24" s="16" t="n"/>
      <c r="E24" s="16" t="n"/>
      <c r="F24" s="16" t="n"/>
    </row>
    <row r="25">
      <c r="A25" s="17" t="inlineStr">
        <is>
          <t>R02 anterior</t>
        </is>
      </c>
      <c r="B25" s="4" t="inlineStr">
        <is>
          <t>Total R02 (log sec 19)</t>
        </is>
      </c>
      <c r="C25" s="5" t="n">
        <v>6444152</v>
      </c>
      <c r="D25" s="5" t="n">
        <v>178.5479330599579</v>
      </c>
      <c r="E25" s="10" t="n"/>
      <c r="F25" s="10" t="n"/>
    </row>
    <row r="27">
      <c r="A27" s="18" t="inlineStr">
        <is>
          <t>PENDENCIAS R02 nao cobertas pelos PDFs</t>
        </is>
      </c>
    </row>
    <row r="28">
      <c r="B28" s="19" t="inlineStr">
        <is>
          <t>1. Comprimento medio trechos eletroduto (IFC sem Length)</t>
        </is>
      </c>
    </row>
    <row r="29">
      <c r="B29" s="19" t="inlineStr">
        <is>
          <t>2. Fator cabos vs eletrodutos</t>
        </is>
      </c>
    </row>
    <row r="30">
      <c r="B30" s="19" t="inlineStr">
        <is>
          <t>3. Subestacao/gerador/barramento compartilhados?</t>
        </is>
      </c>
    </row>
    <row r="31">
      <c r="B31" s="19" t="inlineStr">
        <is>
          <t>4. MO eletrica (mediana base R$ 26/m2 vs R02 R$ 170/m2)</t>
        </is>
      </c>
    </row>
    <row r="32">
      <c r="B32" s="19" t="inlineStr">
        <is>
          <t>5. Cabos de forca metragem</t>
        </is>
      </c>
    </row>
    <row r="33">
      <c r="B33" s="19" t="inlineStr">
        <is>
          <t>6. Luminarias PU</t>
        </is>
      </c>
    </row>
    <row r="34">
      <c r="B34" s="19" t="inlineStr">
        <is>
          <t>7. PU medio dos fallback amarelo em CAIXAS PASSAGEM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" customWidth="1" min="3" max="3"/>
    <col width="6" customWidth="1" min="4" max="4"/>
    <col width="6" customWidth="1" min="5" max="5"/>
    <col width="60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THOZEN - RES. ELECTRA TOWERS</t>
        </is>
      </c>
    </row>
    <row r="2">
      <c r="A2" s="2" t="inlineStr">
        <is>
          <t>Disciplina: 06 Eletrico - Quadros Principais (aprovativo, fallback Terreo)</t>
        </is>
      </c>
    </row>
    <row r="3">
      <c r="A3" t="inlineStr">
        <is>
          <t>Revisao: R03 | Data: 2026-04-14 | AC: 36.092 m2 | Organizado por pavimento</t>
        </is>
      </c>
    </row>
    <row r="4">
      <c r="A4" s="20" t="inlineStr">
        <is>
          <t>Fonte: PDFs Eletrowatts 07/04/2026</t>
        </is>
      </c>
    </row>
    <row r="5">
      <c r="A5" s="21" t="inlineStr">
        <is>
          <t>Suplemento ao eletrico-r02-completo.xlsx (25/mar/2026)</t>
        </is>
      </c>
    </row>
    <row r="7" ht="22" customHeight="1">
      <c r="A7" s="3" t="inlineStr">
        <is>
          <t>Pavimento</t>
        </is>
      </c>
      <c r="B7" s="3" t="inlineStr">
        <is>
          <t>Torre</t>
        </is>
      </c>
      <c r="C7" s="3" t="inlineStr">
        <is>
          <t>#</t>
        </is>
      </c>
      <c r="D7" s="3" t="inlineStr">
        <is>
          <t>Qtd</t>
        </is>
      </c>
      <c r="E7" s="3" t="inlineStr">
        <is>
          <t>Unid</t>
        </is>
      </c>
      <c r="F7" s="3" t="inlineStr">
        <is>
          <t>Descricao</t>
        </is>
      </c>
      <c r="G7" s="3" t="inlineStr">
        <is>
          <t>PU (R$)</t>
        </is>
      </c>
      <c r="H7" s="3" t="inlineStr">
        <is>
          <t>Total (R$)</t>
        </is>
      </c>
      <c r="I7" s="3" t="inlineStr">
        <is>
          <t>Fonte PU</t>
        </is>
      </c>
    </row>
    <row r="8">
      <c r="A8" s="4" t="inlineStr">
        <is>
          <t>01º Térreo</t>
        </is>
      </c>
      <c r="B8" s="6" t="inlineStr">
        <is>
          <t>A</t>
        </is>
      </c>
      <c r="C8" s="6" t="n">
        <v>3</v>
      </c>
      <c r="D8" s="22" t="n">
        <v>1</v>
      </c>
      <c r="E8" s="6" t="inlineStr">
        <is>
          <t>pç</t>
        </is>
      </c>
      <c r="F8" s="4" t="inlineStr">
        <is>
          <t>QM 01 (CONVENCIONAL) SL. COMERCIAL - 04 MEDIDORES ESPECIAIS + TELEMEDIÇÃO - BLOCO A</t>
        </is>
      </c>
      <c r="G8" s="23" t="n">
        <v>8500</v>
      </c>
      <c r="H8" s="23">
        <f>D8*G8</f>
        <v/>
      </c>
      <c r="I8" s="4" t="inlineStr">
        <is>
          <t>QM convencional</t>
        </is>
      </c>
    </row>
    <row r="9">
      <c r="A9" s="4" t="inlineStr">
        <is>
          <t>01º Térreo</t>
        </is>
      </c>
      <c r="B9" s="6" t="inlineStr">
        <is>
          <t>A</t>
        </is>
      </c>
      <c r="C9" s="6" t="n">
        <v>5</v>
      </c>
      <c r="D9" s="22" t="n">
        <v>1</v>
      </c>
      <c r="E9" s="6" t="inlineStr">
        <is>
          <t>pç</t>
        </is>
      </c>
      <c r="F9" s="4" t="inlineStr">
        <is>
          <t>QM-03 AO QM-26 (BUS WAY) - 04 MEDIDORES - BLOCO A</t>
        </is>
      </c>
      <c r="G9" s="23" t="n">
        <v>12000</v>
      </c>
      <c r="H9" s="23">
        <f>D9*G9</f>
        <v/>
      </c>
      <c r="I9" s="4" t="inlineStr">
        <is>
          <t>QM Bus Way medicao</t>
        </is>
      </c>
    </row>
    <row r="10">
      <c r="A10" s="4" t="inlineStr">
        <is>
          <t>01º Térreo</t>
        </is>
      </c>
      <c r="B10" s="6" t="inlineStr">
        <is>
          <t>A</t>
        </is>
      </c>
      <c r="C10" s="6" t="n">
        <v>7</v>
      </c>
      <c r="D10" s="22" t="n">
        <v>24</v>
      </c>
      <c r="E10" s="6" t="inlineStr">
        <is>
          <t>pç</t>
        </is>
      </c>
      <c r="F10" s="4" t="inlineStr">
        <is>
          <t>TELEMEDIÇÃO - CAIXA CONCENTRADORA - BLOCO A</t>
        </is>
      </c>
      <c r="G10" s="23" t="n">
        <v>6200</v>
      </c>
      <c r="H10" s="23">
        <f>D10*G10</f>
        <v/>
      </c>
      <c r="I10" s="4" t="inlineStr">
        <is>
          <t>Telemedicao concentradora</t>
        </is>
      </c>
    </row>
    <row r="11">
      <c r="A11" s="4" t="inlineStr">
        <is>
          <t>01º Térreo</t>
        </is>
      </c>
      <c r="B11" s="6" t="inlineStr">
        <is>
          <t>A</t>
        </is>
      </c>
      <c r="C11" s="6" t="n">
        <v>9</v>
      </c>
      <c r="D11" s="22" t="n">
        <v>1</v>
      </c>
      <c r="E11" s="6" t="inlineStr">
        <is>
          <t>pç</t>
        </is>
      </c>
      <c r="F11" s="4" t="inlineStr">
        <is>
          <t>TELEMEDIÇÃO - CAIXA CONCENTRADORA COM MEDIÇÃO LOCAL - BLOCO A</t>
        </is>
      </c>
      <c r="G11" s="23" t="n">
        <v>9800</v>
      </c>
      <c r="H11" s="23">
        <f>D11*G11</f>
        <v/>
      </c>
      <c r="I11" s="4" t="inlineStr">
        <is>
          <t>Telemedicao com medicao local</t>
        </is>
      </c>
    </row>
    <row r="12">
      <c r="A12" s="4" t="inlineStr">
        <is>
          <t>01º Térreo</t>
        </is>
      </c>
      <c r="B12" s="6" t="inlineStr">
        <is>
          <t>B</t>
        </is>
      </c>
      <c r="C12" s="6" t="n">
        <v>1</v>
      </c>
      <c r="D12" s="22" t="n">
        <v>1</v>
      </c>
      <c r="E12" s="6" t="inlineStr">
        <is>
          <t>pç</t>
        </is>
      </c>
      <c r="F12" s="4" t="inlineStr">
        <is>
          <t>QM 02 (CONVENCIONAL) SL. COMERCIAL - 04 MEDIDORES ESPECIAIS + TELEMEDIÇÃO - BLOCO B</t>
        </is>
      </c>
      <c r="G12" s="23" t="n">
        <v>8500</v>
      </c>
      <c r="H12" s="23">
        <f>D12*G12</f>
        <v/>
      </c>
      <c r="I12" s="4" t="inlineStr">
        <is>
          <t>QM convencional</t>
        </is>
      </c>
    </row>
    <row r="13">
      <c r="A13" s="4" t="inlineStr">
        <is>
          <t>01º Térreo</t>
        </is>
      </c>
      <c r="B13" s="6" t="inlineStr">
        <is>
          <t>B</t>
        </is>
      </c>
      <c r="C13" s="6" t="n">
        <v>6</v>
      </c>
      <c r="D13" s="22" t="n">
        <v>24</v>
      </c>
      <c r="E13" s="6" t="inlineStr">
        <is>
          <t>pç</t>
        </is>
      </c>
      <c r="F13" s="4" t="inlineStr">
        <is>
          <t>QM-27 AO QM-50 (BUS WAY) - 04 MEDIDORES - BLOCO B</t>
        </is>
      </c>
      <c r="G13" s="23" t="n">
        <v>12000</v>
      </c>
      <c r="H13" s="23">
        <f>D13*G13</f>
        <v/>
      </c>
      <c r="I13" s="4" t="inlineStr">
        <is>
          <t>QM Bus Way medicao</t>
        </is>
      </c>
    </row>
    <row r="14">
      <c r="A14" s="4" t="inlineStr">
        <is>
          <t>01º Térreo</t>
        </is>
      </c>
      <c r="B14" s="6" t="inlineStr">
        <is>
          <t>B</t>
        </is>
      </c>
      <c r="C14" s="6" t="n">
        <v>8</v>
      </c>
      <c r="D14" s="22" t="n">
        <v>1</v>
      </c>
      <c r="E14" s="6" t="inlineStr">
        <is>
          <t>pç</t>
        </is>
      </c>
      <c r="F14" s="4" t="inlineStr">
        <is>
          <t>TELEMEDIÇÃO - CAIXA CONCENTRADORA - BLOCO B</t>
        </is>
      </c>
      <c r="G14" s="23" t="n">
        <v>6200</v>
      </c>
      <c r="H14" s="23">
        <f>D14*G14</f>
        <v/>
      </c>
      <c r="I14" s="4" t="inlineStr">
        <is>
          <t>Telemedicao concentradora</t>
        </is>
      </c>
    </row>
    <row r="15">
      <c r="A15" s="4" t="inlineStr">
        <is>
          <t>01º Térreo</t>
        </is>
      </c>
      <c r="B15" s="6" t="inlineStr">
        <is>
          <t>B</t>
        </is>
      </c>
      <c r="C15" s="6" t="n">
        <v>10</v>
      </c>
      <c r="D15" s="22" t="n">
        <v>1</v>
      </c>
      <c r="E15" s="6" t="inlineStr">
        <is>
          <t>pç</t>
        </is>
      </c>
      <c r="F15" s="4" t="inlineStr">
        <is>
          <t>TELEMEDIÇÃO - CAIXA CONCENTRADORA COM MEDIÇÃO LOCAL - BLOCO B</t>
        </is>
      </c>
      <c r="G15" s="23" t="n">
        <v>9800</v>
      </c>
      <c r="H15" s="23">
        <f>D15*G15</f>
        <v/>
      </c>
      <c r="I15" s="4" t="inlineStr">
        <is>
          <t>Telemedicao com medicao local</t>
        </is>
      </c>
    </row>
    <row r="16">
      <c r="A16" s="4" t="inlineStr">
        <is>
          <t>01º Térreo</t>
        </is>
      </c>
      <c r="B16" s="6" t="inlineStr">
        <is>
          <t>NA</t>
        </is>
      </c>
      <c r="C16" s="6" t="n">
        <v>2</v>
      </c>
      <c r="D16" s="22" t="n">
        <v>1</v>
      </c>
      <c r="E16" s="6" t="inlineStr">
        <is>
          <t>pç</t>
        </is>
      </c>
      <c r="F16" s="4" t="inlineStr">
        <is>
          <t>QUADRO GERAL DE BAIXA TENSÃO - Q.G.B.T. 01</t>
        </is>
      </c>
      <c r="G16" s="23" t="n">
        <v>28000</v>
      </c>
      <c r="H16" s="23">
        <f>D16*G16</f>
        <v/>
      </c>
      <c r="I16" s="4" t="inlineStr">
        <is>
          <t>QGBT — mercado SC</t>
        </is>
      </c>
    </row>
    <row r="17">
      <c r="A17" s="4" t="inlineStr">
        <is>
          <t>01º Térreo</t>
        </is>
      </c>
      <c r="B17" s="6" t="inlineStr">
        <is>
          <t>NA</t>
        </is>
      </c>
      <c r="C17" s="6" t="n">
        <v>4</v>
      </c>
      <c r="D17" s="22" t="n">
        <v>1</v>
      </c>
      <c r="E17" s="6" t="inlineStr">
        <is>
          <t>pç</t>
        </is>
      </c>
      <c r="F17" s="4" t="inlineStr">
        <is>
          <t>CAIXA PORTA FUSÍVEIS</t>
        </is>
      </c>
      <c r="G17" s="23" t="n">
        <v>4200</v>
      </c>
      <c r="H17" s="23">
        <f>D17*G17</f>
        <v/>
      </c>
      <c r="I17" s="4" t="inlineStr">
        <is>
          <t>Caixa porta fusiveis NH</t>
        </is>
      </c>
    </row>
    <row r="18">
      <c r="A18" s="4" t="inlineStr">
        <is>
          <t>01º Térreo</t>
        </is>
      </c>
      <c r="B18" s="6" t="inlineStr">
        <is>
          <t>NA</t>
        </is>
      </c>
      <c r="C18" s="6" t="n">
        <v>11</v>
      </c>
      <c r="D18" s="22" t="n">
        <v>1</v>
      </c>
      <c r="E18" s="6" t="inlineStr">
        <is>
          <t>pç</t>
        </is>
      </c>
      <c r="F18" s="4" t="inlineStr">
        <is>
          <t>QUADRO PARA BANCO DE CAPACITORES (CONDOMÍNIO)</t>
        </is>
      </c>
      <c r="G18" s="23" t="n">
        <v>32000</v>
      </c>
      <c r="H18" s="23">
        <f>D18*G18</f>
        <v/>
      </c>
      <c r="I18" s="4" t="inlineStr">
        <is>
          <t>Banco capacitores automatico</t>
        </is>
      </c>
    </row>
    <row r="19">
      <c r="A19" s="4" t="inlineStr">
        <is>
          <t>01º Térreo</t>
        </is>
      </c>
      <c r="B19" s="6" t="inlineStr">
        <is>
          <t>NA</t>
        </is>
      </c>
      <c r="C19" s="6" t="n">
        <v>12</v>
      </c>
      <c r="D19" s="22" t="n">
        <v>1</v>
      </c>
      <c r="E19" s="6" t="inlineStr">
        <is>
          <t>pç</t>
        </is>
      </c>
      <c r="F19" s="4" t="inlineStr">
        <is>
          <t>BEP - CAIXA PARA BARRAMENTO DE EQUIPOTENCIALIZAÇÃO CENTRAL</t>
        </is>
      </c>
      <c r="G19" s="23" t="n">
        <v>3800</v>
      </c>
      <c r="H19" s="23">
        <f>D19*G19</f>
        <v/>
      </c>
      <c r="I19" s="4" t="inlineStr">
        <is>
          <t>BEP</t>
        </is>
      </c>
    </row>
    <row r="20">
      <c r="A20" s="4" t="inlineStr">
        <is>
          <t>01º Térreo</t>
        </is>
      </c>
      <c r="B20" s="6" t="inlineStr">
        <is>
          <t>NA</t>
        </is>
      </c>
      <c r="C20" s="6" t="n">
        <v>13</v>
      </c>
      <c r="D20" s="22" t="n">
        <v>1</v>
      </c>
      <c r="E20" s="6" t="inlineStr">
        <is>
          <t>pç</t>
        </is>
      </c>
      <c r="F20" s="4" t="inlineStr">
        <is>
          <t>QM 01 - CAIXA PARA MEDIDOR DE DEMANDA (M.D.R)</t>
        </is>
      </c>
      <c r="G20" s="23" t="n">
        <v>6500</v>
      </c>
      <c r="H20" s="23">
        <f>D20*G20</f>
        <v/>
      </c>
      <c r="I20" s="4" t="inlineStr">
        <is>
          <t>QM MDR</t>
        </is>
      </c>
    </row>
    <row r="21">
      <c r="A21" s="4" t="inlineStr">
        <is>
          <t>01º Térreo</t>
        </is>
      </c>
      <c r="B21" s="6" t="inlineStr">
        <is>
          <t>NA</t>
        </is>
      </c>
      <c r="C21" s="6" t="n">
        <v>14</v>
      </c>
      <c r="D21" s="22" t="n">
        <v>1</v>
      </c>
      <c r="E21" s="6" t="inlineStr">
        <is>
          <t>pç</t>
        </is>
      </c>
      <c r="F21" s="4" t="inlineStr">
        <is>
          <t>ÁRMARIO – DOCUMENTOS E CHAVES</t>
        </is>
      </c>
      <c r="G21" s="23" t="n">
        <v>1500</v>
      </c>
      <c r="H21" s="23">
        <f>D21*G21</f>
        <v/>
      </c>
      <c r="I21" s="4" t="inlineStr">
        <is>
          <t>Armario documentos</t>
        </is>
      </c>
    </row>
    <row r="22">
      <c r="A22" s="4" t="inlineStr">
        <is>
          <t>01º Térreo</t>
        </is>
      </c>
      <c r="B22" s="6" t="inlineStr">
        <is>
          <t>NA</t>
        </is>
      </c>
      <c r="C22" s="6" t="n">
        <v>15</v>
      </c>
      <c r="D22" s="22" t="n">
        <v>1</v>
      </c>
      <c r="E22" s="6" t="inlineStr">
        <is>
          <t>pç</t>
        </is>
      </c>
      <c r="F22" s="4" t="inlineStr">
        <is>
          <t>QUADRO GERAL DE BAIXA TENSÃO - Q.G.B.T. 02</t>
        </is>
      </c>
      <c r="G22" s="23" t="n">
        <v>28000</v>
      </c>
      <c r="H22" s="23">
        <f>D22*G22</f>
        <v/>
      </c>
      <c r="I22" s="4" t="inlineStr">
        <is>
          <t>QGBT — mercado SC</t>
        </is>
      </c>
    </row>
    <row r="23">
      <c r="A23" s="4" t="inlineStr">
        <is>
          <t>01º Térreo</t>
        </is>
      </c>
      <c r="B23" s="6" t="inlineStr">
        <is>
          <t>NA</t>
        </is>
      </c>
      <c r="C23" s="6" t="n">
        <v>16</v>
      </c>
      <c r="D23" s="22" t="n">
        <v>1</v>
      </c>
      <c r="E23" s="6" t="inlineStr">
        <is>
          <t>pç</t>
        </is>
      </c>
      <c r="F23" s="4" t="inlineStr">
        <is>
          <t>QUADRO GERAL DE BAIXA TENSÃO - Q.G.B.T. 03</t>
        </is>
      </c>
      <c r="G23" s="23" t="n">
        <v>28000</v>
      </c>
      <c r="H23" s="23">
        <f>D23*G23</f>
        <v/>
      </c>
      <c r="I23" s="4" t="inlineStr">
        <is>
          <t>QGBT — mercado SC</t>
        </is>
      </c>
    </row>
    <row r="24">
      <c r="A24" s="24" t="inlineStr">
        <is>
          <t>Subtotal — 01º Térreo</t>
        </is>
      </c>
      <c r="B24" s="25" t="n"/>
      <c r="C24" s="25" t="n"/>
      <c r="D24" s="25" t="n"/>
      <c r="E24" s="25" t="n"/>
      <c r="F24" s="25" t="n"/>
      <c r="G24" s="25" t="n"/>
      <c r="H24" s="26">
        <f>SUM(H8:H23)</f>
        <v/>
      </c>
      <c r="I24" s="25" t="n"/>
    </row>
    <row r="26">
      <c r="A26" s="7" t="inlineStr">
        <is>
          <t>TOTAL QUADROS PRINCIPAIS</t>
        </is>
      </c>
      <c r="B26" s="10" t="n"/>
      <c r="C26" s="10" t="n"/>
      <c r="D26" s="10" t="n"/>
      <c r="E26" s="10" t="n"/>
      <c r="F26" s="10" t="n"/>
      <c r="G26" s="10" t="n"/>
      <c r="H26" s="8">
        <f>H24</f>
        <v/>
      </c>
      <c r="I26" s="10" t="n"/>
    </row>
  </sheetData>
  <mergeCells count="2">
    <mergeCell ref="A26:G26"/>
    <mergeCell ref="A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4" customWidth="1" min="4" max="4"/>
    <col width="6" customWidth="1" min="5" max="5"/>
    <col width="5" customWidth="1" min="6" max="6"/>
    <col width="18" customWidth="1" min="7" max="7"/>
    <col width="38" customWidth="1" min="8" max="8"/>
    <col width="12" customWidth="1" min="9" max="9"/>
    <col width="14" customWidth="1" min="10" max="10"/>
    <col width="2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Disciplina: 06 Eletrico - Caixas de Passagem (Executivo + Preventivo)</t>
        </is>
      </c>
    </row>
    <row r="3">
      <c r="A3" t="inlineStr">
        <is>
          <t>Revisao: R03 | Data: 2026-04-14 | AC: 36.092 m2 | Organizado por pavimento</t>
        </is>
      </c>
    </row>
    <row r="4">
      <c r="A4" s="20" t="inlineStr">
        <is>
          <t>Fonte: PDFs Eletrowatts 07/04/2026</t>
        </is>
      </c>
    </row>
    <row r="5">
      <c r="A5" s="21" t="inlineStr">
        <is>
          <t>Suplemento ao eletrico-r02-completo.xlsx (25/mar/2026)</t>
        </is>
      </c>
    </row>
    <row r="7" ht="22" customHeight="1">
      <c r="A7" s="3" t="inlineStr">
        <is>
          <t>Pavimento</t>
        </is>
      </c>
      <c r="B7" s="3" t="inlineStr">
        <is>
          <t>Torre</t>
        </is>
      </c>
      <c r="C7" s="3" t="inlineStr">
        <is>
          <t>Fonte</t>
        </is>
      </c>
      <c r="D7" s="3" t="inlineStr">
        <is>
          <t>#</t>
        </is>
      </c>
      <c r="E7" s="3" t="inlineStr">
        <is>
          <t>Qtd</t>
        </is>
      </c>
      <c r="F7" s="3" t="inlineStr">
        <is>
          <t>Unid</t>
        </is>
      </c>
      <c r="G7" s="3" t="inlineStr">
        <is>
          <t>Dimensoes</t>
        </is>
      </c>
      <c r="H7" s="3" t="inlineStr">
        <is>
          <t>Local (orig)</t>
        </is>
      </c>
      <c r="I7" s="3" t="inlineStr">
        <is>
          <t>PU (R$)</t>
        </is>
      </c>
      <c r="J7" s="3" t="inlineStr">
        <is>
          <t>Total (R$)</t>
        </is>
      </c>
      <c r="K7" s="3" t="inlineStr">
        <is>
          <t>Fonte PU</t>
        </is>
      </c>
    </row>
    <row r="8">
      <c r="A8" s="15" t="inlineStr">
        <is>
          <t>01º Térreo</t>
        </is>
      </c>
      <c r="B8" s="27" t="inlineStr">
        <is>
          <t>A</t>
        </is>
      </c>
      <c r="C8" s="27" t="inlineStr">
        <is>
          <t>Exec</t>
        </is>
      </c>
      <c r="D8" s="27" t="n">
        <v>1</v>
      </c>
      <c r="E8" s="28" t="n">
        <v>1</v>
      </c>
      <c r="F8" s="27" t="inlineStr">
        <is>
          <t>pç</t>
        </is>
      </c>
      <c r="G8" s="27" t="inlineStr">
        <is>
          <t>VERIFICAR DIAGRAMA</t>
        </is>
      </c>
      <c r="H8" s="15" t="inlineStr">
        <is>
          <t>01° PV. TÉRREO - TORRE A</t>
        </is>
      </c>
      <c r="I8" s="29" t="n">
        <v>150</v>
      </c>
      <c r="J8" s="29">
        <f>E8*I8</f>
        <v/>
      </c>
      <c r="K8" s="15" t="inlineStr">
        <is>
          <t>fallback (dim VERIFICAR DIAGRAMA)</t>
        </is>
      </c>
    </row>
    <row r="9">
      <c r="A9" s="15" t="inlineStr">
        <is>
          <t>01º Térreo</t>
        </is>
      </c>
      <c r="B9" s="27" t="inlineStr">
        <is>
          <t>A</t>
        </is>
      </c>
      <c r="C9" s="27" t="inlineStr">
        <is>
          <t>Exec</t>
        </is>
      </c>
      <c r="D9" s="27" t="n">
        <v>3</v>
      </c>
      <c r="E9" s="28" t="n">
        <v>1</v>
      </c>
      <c r="F9" s="27" t="inlineStr">
        <is>
          <t>pç</t>
        </is>
      </c>
      <c r="G9" s="27" t="inlineStr">
        <is>
          <t>VERIFICAR DIAGRAMA</t>
        </is>
      </c>
      <c r="H9" s="15" t="inlineStr">
        <is>
          <t>01° PV. TÉRREO - TORRE A</t>
        </is>
      </c>
      <c r="I9" s="29" t="n">
        <v>150</v>
      </c>
      <c r="J9" s="29">
        <f>E9*I9</f>
        <v/>
      </c>
      <c r="K9" s="15" t="inlineStr">
        <is>
          <t>fallback (dim VERIFICAR DIAGRAMA)</t>
        </is>
      </c>
    </row>
    <row r="10">
      <c r="A10" s="15" t="inlineStr">
        <is>
          <t>01º Térreo</t>
        </is>
      </c>
      <c r="B10" s="27" t="inlineStr">
        <is>
          <t>A</t>
        </is>
      </c>
      <c r="C10" s="27" t="inlineStr">
        <is>
          <t>Exec</t>
        </is>
      </c>
      <c r="D10" s="27" t="n">
        <v>5</v>
      </c>
      <c r="E10" s="28" t="n">
        <v>1</v>
      </c>
      <c r="F10" s="27" t="inlineStr">
        <is>
          <t>pç</t>
        </is>
      </c>
      <c r="G10" s="27" t="inlineStr">
        <is>
          <t>VERIFICAR DIAGRAMA</t>
        </is>
      </c>
      <c r="H10" s="15" t="inlineStr">
        <is>
          <t>01° PV. TÉRREO - TORRE A</t>
        </is>
      </c>
      <c r="I10" s="29" t="n">
        <v>150</v>
      </c>
      <c r="J10" s="29">
        <f>E10*I10</f>
        <v/>
      </c>
      <c r="K10" s="15" t="inlineStr">
        <is>
          <t>fallback (dim VERIFICAR DIAGRAMA)</t>
        </is>
      </c>
    </row>
    <row r="11">
      <c r="A11" s="15" t="inlineStr">
        <is>
          <t>01º Térreo</t>
        </is>
      </c>
      <c r="B11" s="27" t="inlineStr">
        <is>
          <t>A</t>
        </is>
      </c>
      <c r="C11" s="27" t="inlineStr">
        <is>
          <t>Exec</t>
        </is>
      </c>
      <c r="D11" s="27" t="n">
        <v>7</v>
      </c>
      <c r="E11" s="28" t="n">
        <v>3</v>
      </c>
      <c r="F11" s="27" t="inlineStr">
        <is>
          <t>pç</t>
        </is>
      </c>
      <c r="G11" s="27" t="inlineStr">
        <is>
          <t>VERIFICAR DIAGRAMA</t>
        </is>
      </c>
      <c r="H11" s="15" t="inlineStr">
        <is>
          <t>01° PV. TÉRREO - TORRE A</t>
        </is>
      </c>
      <c r="I11" s="29" t="n">
        <v>150</v>
      </c>
      <c r="J11" s="29">
        <f>E11*I11</f>
        <v/>
      </c>
      <c r="K11" s="15" t="inlineStr">
        <is>
          <t>fallback (dim VERIFICAR DIAGRAMA)</t>
        </is>
      </c>
    </row>
    <row r="12">
      <c r="A12" s="4" t="inlineStr">
        <is>
          <t>01º Térreo</t>
        </is>
      </c>
      <c r="B12" s="6" t="inlineStr">
        <is>
          <t>A</t>
        </is>
      </c>
      <c r="C12" s="6" t="inlineStr">
        <is>
          <t>Exec</t>
        </is>
      </c>
      <c r="D12" s="6" t="n">
        <v>20</v>
      </c>
      <c r="E12" s="22" t="n">
        <v>5</v>
      </c>
      <c r="F12" s="6" t="inlineStr">
        <is>
          <t>pç</t>
        </is>
      </c>
      <c r="G12" s="6" t="inlineStr">
        <is>
          <t>15x15x10CM</t>
        </is>
      </c>
      <c r="H12" s="4" t="inlineStr">
        <is>
          <t>01° PV. TÉRREO - TORRE A</t>
        </is>
      </c>
      <c r="I12" s="23" t="n">
        <v>75</v>
      </c>
      <c r="J12" s="23">
        <f>E12*I12</f>
        <v/>
      </c>
      <c r="K12" s="4" t="inlineStr">
        <is>
          <t>&lt;= 3 dm3</t>
        </is>
      </c>
    </row>
    <row r="13">
      <c r="A13" s="4" t="inlineStr">
        <is>
          <t>01º Térreo</t>
        </is>
      </c>
      <c r="B13" s="6" t="inlineStr">
        <is>
          <t>A</t>
        </is>
      </c>
      <c r="C13" s="6" t="inlineStr">
        <is>
          <t>Prev</t>
        </is>
      </c>
      <c r="D13" s="6" t="n">
        <v>1</v>
      </c>
      <c r="E13" s="22" t="n">
        <v>1</v>
      </c>
      <c r="F13" s="6" t="inlineStr">
        <is>
          <t>pç</t>
        </is>
      </c>
      <c r="G13" s="6" t="inlineStr">
        <is>
          <t>50X60X20CM</t>
        </is>
      </c>
      <c r="H13" s="4" t="inlineStr">
        <is>
          <t>01° PV. TÉRREO - TORRE A</t>
        </is>
      </c>
      <c r="I13" s="23" t="n">
        <v>680</v>
      </c>
      <c r="J13" s="23">
        <f>E13*I13</f>
        <v/>
      </c>
      <c r="K13" s="4" t="inlineStr">
        <is>
          <t>&gt; 40 dm3</t>
        </is>
      </c>
    </row>
    <row r="14">
      <c r="A14" s="15" t="inlineStr">
        <is>
          <t>01º Térreo</t>
        </is>
      </c>
      <c r="B14" s="27" t="inlineStr">
        <is>
          <t>B</t>
        </is>
      </c>
      <c r="C14" s="27" t="inlineStr">
        <is>
          <t>Exec</t>
        </is>
      </c>
      <c r="D14" s="27" t="n">
        <v>2</v>
      </c>
      <c r="E14" s="28" t="n">
        <v>1</v>
      </c>
      <c r="F14" s="27" t="inlineStr">
        <is>
          <t>pç</t>
        </is>
      </c>
      <c r="G14" s="27" t="inlineStr">
        <is>
          <t>VERIFICAR DIAGRAMA</t>
        </is>
      </c>
      <c r="H14" s="15" t="inlineStr">
        <is>
          <t>01° PV. TÉRREO - TORRE B</t>
        </is>
      </c>
      <c r="I14" s="29" t="n">
        <v>150</v>
      </c>
      <c r="J14" s="29">
        <f>E14*I14</f>
        <v/>
      </c>
      <c r="K14" s="15" t="inlineStr">
        <is>
          <t>fallback (dim VERIFICAR DIAGRAMA)</t>
        </is>
      </c>
    </row>
    <row r="15">
      <c r="A15" s="15" t="inlineStr">
        <is>
          <t>01º Térreo</t>
        </is>
      </c>
      <c r="B15" s="27" t="inlineStr">
        <is>
          <t>B</t>
        </is>
      </c>
      <c r="C15" s="27" t="inlineStr">
        <is>
          <t>Exec</t>
        </is>
      </c>
      <c r="D15" s="27" t="n">
        <v>4</v>
      </c>
      <c r="E15" s="28" t="n">
        <v>1</v>
      </c>
      <c r="F15" s="27" t="inlineStr">
        <is>
          <t>pç</t>
        </is>
      </c>
      <c r="G15" s="27" t="inlineStr">
        <is>
          <t>VERIFICAR DIAGRAMA</t>
        </is>
      </c>
      <c r="H15" s="15" t="inlineStr">
        <is>
          <t>01° PV. TÉRREO - TORRE B</t>
        </is>
      </c>
      <c r="I15" s="29" t="n">
        <v>150</v>
      </c>
      <c r="J15" s="29">
        <f>E15*I15</f>
        <v/>
      </c>
      <c r="K15" s="15" t="inlineStr">
        <is>
          <t>fallback (dim VERIFICAR DIAGRAMA)</t>
        </is>
      </c>
    </row>
    <row r="16">
      <c r="A16" s="15" t="inlineStr">
        <is>
          <t>01º Térreo</t>
        </is>
      </c>
      <c r="B16" s="27" t="inlineStr">
        <is>
          <t>B</t>
        </is>
      </c>
      <c r="C16" s="27" t="inlineStr">
        <is>
          <t>Exec</t>
        </is>
      </c>
      <c r="D16" s="27" t="n">
        <v>6</v>
      </c>
      <c r="E16" s="28" t="n">
        <v>1</v>
      </c>
      <c r="F16" s="27" t="inlineStr">
        <is>
          <t>pç</t>
        </is>
      </c>
      <c r="G16" s="27" t="inlineStr">
        <is>
          <t>VERIFICAR DIAGRAMA</t>
        </is>
      </c>
      <c r="H16" s="15" t="inlineStr">
        <is>
          <t>01° PV. TÉRREO - TORRE B</t>
        </is>
      </c>
      <c r="I16" s="29" t="n">
        <v>150</v>
      </c>
      <c r="J16" s="29">
        <f>E16*I16</f>
        <v/>
      </c>
      <c r="K16" s="15" t="inlineStr">
        <is>
          <t>fallback (dim VERIFICAR DIAGRAMA)</t>
        </is>
      </c>
    </row>
    <row r="17">
      <c r="A17" s="15" t="inlineStr">
        <is>
          <t>01º Térreo</t>
        </is>
      </c>
      <c r="B17" s="27" t="inlineStr">
        <is>
          <t>B</t>
        </is>
      </c>
      <c r="C17" s="27" t="inlineStr">
        <is>
          <t>Exec</t>
        </is>
      </c>
      <c r="D17" s="27" t="n">
        <v>8</v>
      </c>
      <c r="E17" s="28" t="n">
        <v>4</v>
      </c>
      <c r="F17" s="27" t="inlineStr">
        <is>
          <t>pç</t>
        </is>
      </c>
      <c r="G17" s="27" t="inlineStr">
        <is>
          <t>VERIFICAR DIAGRAMA</t>
        </is>
      </c>
      <c r="H17" s="15" t="inlineStr">
        <is>
          <t>01° PV. TÉRREO - TORRE B</t>
        </is>
      </c>
      <c r="I17" s="29" t="n">
        <v>150</v>
      </c>
      <c r="J17" s="29">
        <f>E17*I17</f>
        <v/>
      </c>
      <c r="K17" s="15" t="inlineStr">
        <is>
          <t>fallback (dim VERIFICAR DIAGRAMA)</t>
        </is>
      </c>
    </row>
    <row r="18">
      <c r="A18" s="15" t="inlineStr">
        <is>
          <t>01º Térreo</t>
        </is>
      </c>
      <c r="B18" s="27" t="inlineStr">
        <is>
          <t>B</t>
        </is>
      </c>
      <c r="C18" s="27" t="inlineStr">
        <is>
          <t>Exec</t>
        </is>
      </c>
      <c r="D18" s="27" t="n">
        <v>9</v>
      </c>
      <c r="E18" s="28" t="n">
        <v>1</v>
      </c>
      <c r="F18" s="27" t="inlineStr">
        <is>
          <t>pç</t>
        </is>
      </c>
      <c r="G18" s="27" t="inlineStr">
        <is>
          <t>VERIFICAR DIAGRAMA</t>
        </is>
      </c>
      <c r="H18" s="15" t="inlineStr">
        <is>
          <t>01° PV. TÉRREO - TORRE B</t>
        </is>
      </c>
      <c r="I18" s="29" t="n">
        <v>150</v>
      </c>
      <c r="J18" s="29">
        <f>E18*I18</f>
        <v/>
      </c>
      <c r="K18" s="15" t="inlineStr">
        <is>
          <t>fallback (dim VERIFICAR DIAGRAMA)</t>
        </is>
      </c>
    </row>
    <row r="19">
      <c r="A19" s="15" t="inlineStr">
        <is>
          <t>01º Térreo</t>
        </is>
      </c>
      <c r="B19" s="27" t="inlineStr">
        <is>
          <t>B</t>
        </is>
      </c>
      <c r="C19" s="27" t="inlineStr">
        <is>
          <t>Exec</t>
        </is>
      </c>
      <c r="D19" s="27" t="n">
        <v>10</v>
      </c>
      <c r="E19" s="28" t="n">
        <v>1</v>
      </c>
      <c r="F19" s="27" t="inlineStr">
        <is>
          <t>pç</t>
        </is>
      </c>
      <c r="G19" s="27" t="inlineStr">
        <is>
          <t>VER PROJETO APROVAT.</t>
        </is>
      </c>
      <c r="H19" s="15" t="inlineStr">
        <is>
          <t>01° PV. TÉRREO - TORRE B</t>
        </is>
      </c>
      <c r="I19" s="29" t="n">
        <v>150</v>
      </c>
      <c r="J19" s="29">
        <f>E19*I19</f>
        <v/>
      </c>
      <c r="K19" s="15" t="inlineStr">
        <is>
          <t>fallback (dim VERIFICAR DIAGRAMA)</t>
        </is>
      </c>
    </row>
    <row r="20">
      <c r="A20" s="15" t="inlineStr">
        <is>
          <t>01º Térreo</t>
        </is>
      </c>
      <c r="B20" s="27" t="inlineStr">
        <is>
          <t>B</t>
        </is>
      </c>
      <c r="C20" s="27" t="inlineStr">
        <is>
          <t>Exec</t>
        </is>
      </c>
      <c r="D20" s="27" t="n">
        <v>11</v>
      </c>
      <c r="E20" s="28" t="n">
        <v>1</v>
      </c>
      <c r="F20" s="27" t="inlineStr">
        <is>
          <t>pç</t>
        </is>
      </c>
      <c r="G20" s="27" t="inlineStr">
        <is>
          <t>VER PROJETO APROVAT.</t>
        </is>
      </c>
      <c r="H20" s="15" t="inlineStr">
        <is>
          <t>01° PV. TÉRREO - TORRE B</t>
        </is>
      </c>
      <c r="I20" s="29" t="n">
        <v>150</v>
      </c>
      <c r="J20" s="29">
        <f>E20*I20</f>
        <v/>
      </c>
      <c r="K20" s="15" t="inlineStr">
        <is>
          <t>fallback (dim VERIFICAR DIAGRAMA)</t>
        </is>
      </c>
    </row>
    <row r="21">
      <c r="A21" s="15" t="inlineStr">
        <is>
          <t>01º Térreo</t>
        </is>
      </c>
      <c r="B21" s="27" t="inlineStr">
        <is>
          <t>B</t>
        </is>
      </c>
      <c r="C21" s="27" t="inlineStr">
        <is>
          <t>Exec</t>
        </is>
      </c>
      <c r="D21" s="27" t="n">
        <v>12</v>
      </c>
      <c r="E21" s="28" t="n">
        <v>1</v>
      </c>
      <c r="F21" s="27" t="inlineStr">
        <is>
          <t>pç</t>
        </is>
      </c>
      <c r="G21" s="27" t="inlineStr">
        <is>
          <t>VER PROJETO APROVAT.</t>
        </is>
      </c>
      <c r="H21" s="15" t="inlineStr">
        <is>
          <t>01° PV. TÉRREO - TORRE B</t>
        </is>
      </c>
      <c r="I21" s="29" t="n">
        <v>150</v>
      </c>
      <c r="J21" s="29">
        <f>E21*I21</f>
        <v/>
      </c>
      <c r="K21" s="15" t="inlineStr">
        <is>
          <t>fallback (dim VERIFICAR DIAGRAMA)</t>
        </is>
      </c>
    </row>
    <row r="22">
      <c r="A22" s="15" t="inlineStr">
        <is>
          <t>01º Térreo</t>
        </is>
      </c>
      <c r="B22" s="27" t="inlineStr">
        <is>
          <t>B</t>
        </is>
      </c>
      <c r="C22" s="27" t="inlineStr">
        <is>
          <t>Exec</t>
        </is>
      </c>
      <c r="D22" s="27" t="n">
        <v>13</v>
      </c>
      <c r="E22" s="28" t="n">
        <v>1</v>
      </c>
      <c r="F22" s="27" t="inlineStr">
        <is>
          <t>pç</t>
        </is>
      </c>
      <c r="G22" s="27" t="inlineStr">
        <is>
          <t>VER PROJETO APROVAT.</t>
        </is>
      </c>
      <c r="H22" s="15" t="inlineStr">
        <is>
          <t>01° PV. TÉRREO - TORRE B</t>
        </is>
      </c>
      <c r="I22" s="29" t="n">
        <v>150</v>
      </c>
      <c r="J22" s="29">
        <f>E22*I22</f>
        <v/>
      </c>
      <c r="K22" s="15" t="inlineStr">
        <is>
          <t>fallback (dim VERIFICAR DIAGRAMA)</t>
        </is>
      </c>
    </row>
    <row r="23">
      <c r="A23" s="15" t="inlineStr">
        <is>
          <t>01º Térreo</t>
        </is>
      </c>
      <c r="B23" s="27" t="inlineStr">
        <is>
          <t>B</t>
        </is>
      </c>
      <c r="C23" s="27" t="inlineStr">
        <is>
          <t>Exec</t>
        </is>
      </c>
      <c r="D23" s="27" t="n">
        <v>14</v>
      </c>
      <c r="E23" s="28" t="n">
        <v>1</v>
      </c>
      <c r="F23" s="27" t="inlineStr">
        <is>
          <t>pç</t>
        </is>
      </c>
      <c r="G23" s="27" t="inlineStr">
        <is>
          <t>VERIFICAR DIAGRAMA</t>
        </is>
      </c>
      <c r="H23" s="15" t="inlineStr">
        <is>
          <t>01° PV. TÉRREO - TORRE B</t>
        </is>
      </c>
      <c r="I23" s="29" t="n">
        <v>150</v>
      </c>
      <c r="J23" s="29">
        <f>E23*I23</f>
        <v/>
      </c>
      <c r="K23" s="15" t="inlineStr">
        <is>
          <t>fallback (dim VERIFICAR DIAGRAMA)</t>
        </is>
      </c>
    </row>
    <row r="24">
      <c r="A24" s="15" t="inlineStr">
        <is>
          <t>01º Térreo</t>
        </is>
      </c>
      <c r="B24" s="27" t="inlineStr">
        <is>
          <t>B</t>
        </is>
      </c>
      <c r="C24" s="27" t="inlineStr">
        <is>
          <t>Exec</t>
        </is>
      </c>
      <c r="D24" s="27" t="n">
        <v>15</v>
      </c>
      <c r="E24" s="28" t="n">
        <v>1</v>
      </c>
      <c r="F24" s="27" t="inlineStr">
        <is>
          <t>pç</t>
        </is>
      </c>
      <c r="G24" s="27" t="inlineStr">
        <is>
          <t>01° PV. TÉRREO - TORRE B</t>
        </is>
      </c>
      <c r="H24" s="15" t="inlineStr">
        <is>
          <t>01° PV. TÉRREO - TORRE B (item 15 dim ausente no PDF)</t>
        </is>
      </c>
      <c r="I24" s="29" t="n">
        <v>150</v>
      </c>
      <c r="J24" s="29">
        <f>E24*I24</f>
        <v/>
      </c>
      <c r="K24" s="15" t="inlineStr">
        <is>
          <t>fallback (dim VERIFICAR DIAGRAMA)</t>
        </is>
      </c>
    </row>
    <row r="25">
      <c r="A25" s="15" t="inlineStr">
        <is>
          <t>01º Térreo</t>
        </is>
      </c>
      <c r="B25" s="27" t="inlineStr">
        <is>
          <t>B</t>
        </is>
      </c>
      <c r="C25" s="27" t="inlineStr">
        <is>
          <t>Exec</t>
        </is>
      </c>
      <c r="D25" s="27" t="n">
        <v>17</v>
      </c>
      <c r="E25" s="28" t="n">
        <v>1</v>
      </c>
      <c r="F25" s="27" t="inlineStr">
        <is>
          <t>pç</t>
        </is>
      </c>
      <c r="G25" s="27" t="inlineStr">
        <is>
          <t>VER PROJ. EQUIPAMENT.</t>
        </is>
      </c>
      <c r="H25" s="15" t="inlineStr">
        <is>
          <t>01° PV. TÉRREO - TORRE B</t>
        </is>
      </c>
      <c r="I25" s="29" t="n">
        <v>150</v>
      </c>
      <c r="J25" s="29">
        <f>E25*I25</f>
        <v/>
      </c>
      <c r="K25" s="15" t="inlineStr">
        <is>
          <t>fallback (dim VERIFICAR DIAGRAMA)</t>
        </is>
      </c>
    </row>
    <row r="26">
      <c r="A26" s="15" t="inlineStr">
        <is>
          <t>01º Térreo</t>
        </is>
      </c>
      <c r="B26" s="27" t="inlineStr">
        <is>
          <t>B</t>
        </is>
      </c>
      <c r="C26" s="27" t="inlineStr">
        <is>
          <t>Exec</t>
        </is>
      </c>
      <c r="D26" s="27" t="n">
        <v>18</v>
      </c>
      <c r="E26" s="28" t="n">
        <v>1</v>
      </c>
      <c r="F26" s="27" t="inlineStr">
        <is>
          <t>pç</t>
        </is>
      </c>
      <c r="G26" s="27" t="inlineStr">
        <is>
          <t>VER PROJ. EQUIPAMENT.</t>
        </is>
      </c>
      <c r="H26" s="15" t="inlineStr">
        <is>
          <t>01° PV. TÉRREO - TORRE B</t>
        </is>
      </c>
      <c r="I26" s="29" t="n">
        <v>150</v>
      </c>
      <c r="J26" s="29">
        <f>E26*I26</f>
        <v/>
      </c>
      <c r="K26" s="15" t="inlineStr">
        <is>
          <t>fallback (dim VERIFICAR DIAGRAMA)</t>
        </is>
      </c>
    </row>
    <row r="27">
      <c r="A27" s="15" t="inlineStr">
        <is>
          <t>01º Térreo</t>
        </is>
      </c>
      <c r="B27" s="27" t="inlineStr">
        <is>
          <t>B</t>
        </is>
      </c>
      <c r="C27" s="27" t="inlineStr">
        <is>
          <t>Exec</t>
        </is>
      </c>
      <c r="D27" s="27" t="n">
        <v>19</v>
      </c>
      <c r="E27" s="28" t="n">
        <v>1</v>
      </c>
      <c r="F27" s="27" t="inlineStr">
        <is>
          <t>pç</t>
        </is>
      </c>
      <c r="G27" s="27" t="inlineStr">
        <is>
          <t>VER PROJ. EQUIPAMENT.</t>
        </is>
      </c>
      <c r="H27" s="15" t="inlineStr">
        <is>
          <t>01° PV. TÉRREO - TORRE B</t>
        </is>
      </c>
      <c r="I27" s="29" t="n">
        <v>150</v>
      </c>
      <c r="J27" s="29">
        <f>E27*I27</f>
        <v/>
      </c>
      <c r="K27" s="15" t="inlineStr">
        <is>
          <t>fallback (dim VERIFICAR DIAGRAMA)</t>
        </is>
      </c>
    </row>
    <row r="28">
      <c r="A28" s="4" t="inlineStr">
        <is>
          <t>01º Térreo</t>
        </is>
      </c>
      <c r="B28" s="6" t="inlineStr">
        <is>
          <t>B</t>
        </is>
      </c>
      <c r="C28" s="6" t="inlineStr">
        <is>
          <t>Prev</t>
        </is>
      </c>
      <c r="D28" s="6" t="n">
        <v>2</v>
      </c>
      <c r="E28" s="22" t="n">
        <v>1</v>
      </c>
      <c r="F28" s="6" t="inlineStr">
        <is>
          <t>pç</t>
        </is>
      </c>
      <c r="G28" s="6" t="inlineStr">
        <is>
          <t>50X60X20CM</t>
        </is>
      </c>
      <c r="H28" s="4" t="inlineStr">
        <is>
          <t>01° PV. TÉRREO - TORRE B</t>
        </is>
      </c>
      <c r="I28" s="23" t="n">
        <v>680</v>
      </c>
      <c r="J28" s="23">
        <f>E28*I28</f>
        <v/>
      </c>
      <c r="K28" s="4" t="inlineStr">
        <is>
          <t>&gt; 40 dm3</t>
        </is>
      </c>
    </row>
    <row r="29">
      <c r="A29" s="24" t="inlineStr">
        <is>
          <t>Subtotal — 01º Térreo</t>
        </is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6">
        <f>SUM(J8:J28)</f>
        <v/>
      </c>
      <c r="K29" s="25" t="n"/>
    </row>
    <row r="30">
      <c r="A30" s="4" t="inlineStr">
        <is>
          <t>02º G1</t>
        </is>
      </c>
      <c r="B30" s="6" t="inlineStr">
        <is>
          <t>A</t>
        </is>
      </c>
      <c r="C30" s="6" t="inlineStr">
        <is>
          <t>Exec</t>
        </is>
      </c>
      <c r="D30" s="6" t="n">
        <v>21</v>
      </c>
      <c r="E30" s="22" t="n">
        <v>1</v>
      </c>
      <c r="F30" s="6" t="inlineStr">
        <is>
          <t>pç</t>
        </is>
      </c>
      <c r="G30" s="6" t="inlineStr">
        <is>
          <t>60x40x20CM</t>
        </is>
      </c>
      <c r="H30" s="4" t="inlineStr">
        <is>
          <t>GARAGEM G1 - TORRE A</t>
        </is>
      </c>
      <c r="I30" s="23" t="n">
        <v>680</v>
      </c>
      <c r="J30" s="23">
        <f>E30*I30</f>
        <v/>
      </c>
      <c r="K30" s="4" t="inlineStr">
        <is>
          <t>&gt; 40 dm3</t>
        </is>
      </c>
    </row>
    <row r="31">
      <c r="A31" s="4" t="inlineStr">
        <is>
          <t>02º G1</t>
        </is>
      </c>
      <c r="B31" s="6" t="inlineStr">
        <is>
          <t>A</t>
        </is>
      </c>
      <c r="C31" s="6" t="inlineStr">
        <is>
          <t>Exec</t>
        </is>
      </c>
      <c r="D31" s="6" t="n">
        <v>22</v>
      </c>
      <c r="E31" s="22" t="n">
        <v>3</v>
      </c>
      <c r="F31" s="6" t="inlineStr">
        <is>
          <t>pç</t>
        </is>
      </c>
      <c r="G31" s="6" t="inlineStr">
        <is>
          <t>20x20x12CM</t>
        </is>
      </c>
      <c r="H31" s="4" t="inlineStr">
        <is>
          <t>GARAGEM G1 - TORRE A</t>
        </is>
      </c>
      <c r="I31" s="23" t="n">
        <v>130</v>
      </c>
      <c r="J31" s="23">
        <f>E31*I31</f>
        <v/>
      </c>
      <c r="K31" s="4" t="inlineStr">
        <is>
          <t>3-8 dm3</t>
        </is>
      </c>
    </row>
    <row r="32">
      <c r="A32" s="15" t="inlineStr">
        <is>
          <t>02º G1</t>
        </is>
      </c>
      <c r="B32" s="27" t="inlineStr">
        <is>
          <t>A</t>
        </is>
      </c>
      <c r="C32" s="27" t="inlineStr">
        <is>
          <t>Exec</t>
        </is>
      </c>
      <c r="D32" s="27" t="n">
        <v>23</v>
      </c>
      <c r="E32" s="28" t="n">
        <v>1</v>
      </c>
      <c r="F32" s="27" t="inlineStr">
        <is>
          <t>pç</t>
        </is>
      </c>
      <c r="G32" s="27" t="inlineStr">
        <is>
          <t>VERIFICAR DIAGRAMA</t>
        </is>
      </c>
      <c r="H32" s="15" t="inlineStr">
        <is>
          <t>GARAGEM G1 - TORRE A</t>
        </is>
      </c>
      <c r="I32" s="29" t="n">
        <v>150</v>
      </c>
      <c r="J32" s="29">
        <f>E32*I32</f>
        <v/>
      </c>
      <c r="K32" s="15" t="inlineStr">
        <is>
          <t>fallback (dim VERIFICAR DIAGRAMA)</t>
        </is>
      </c>
    </row>
    <row r="33">
      <c r="A33" s="15" t="inlineStr">
        <is>
          <t>02º G1</t>
        </is>
      </c>
      <c r="B33" s="27" t="inlineStr">
        <is>
          <t>A</t>
        </is>
      </c>
      <c r="C33" s="27" t="inlineStr">
        <is>
          <t>Exec</t>
        </is>
      </c>
      <c r="D33" s="27" t="n">
        <v>24</v>
      </c>
      <c r="E33" s="28" t="n">
        <v>1</v>
      </c>
      <c r="F33" s="27" t="inlineStr">
        <is>
          <t>pç</t>
        </is>
      </c>
      <c r="G33" s="27" t="inlineStr">
        <is>
          <t>VERIFICAR DIAGRAMA</t>
        </is>
      </c>
      <c r="H33" s="15" t="inlineStr">
        <is>
          <t>GARAGEM G1 - TORRE A</t>
        </is>
      </c>
      <c r="I33" s="29" t="n">
        <v>150</v>
      </c>
      <c r="J33" s="29">
        <f>E33*I33</f>
        <v/>
      </c>
      <c r="K33" s="15" t="inlineStr">
        <is>
          <t>fallback (dim VERIFICAR DIAGRAMA)</t>
        </is>
      </c>
    </row>
    <row r="34">
      <c r="A34" s="4" t="inlineStr">
        <is>
          <t>02º G1</t>
        </is>
      </c>
      <c r="B34" s="6" t="inlineStr">
        <is>
          <t>A</t>
        </is>
      </c>
      <c r="C34" s="6" t="inlineStr">
        <is>
          <t>Exec</t>
        </is>
      </c>
      <c r="D34" s="6" t="n">
        <v>25</v>
      </c>
      <c r="E34" s="22" t="n">
        <v>1</v>
      </c>
      <c r="F34" s="6" t="inlineStr">
        <is>
          <t>pç</t>
        </is>
      </c>
      <c r="G34" s="6" t="inlineStr">
        <is>
          <t>15x15x10CM</t>
        </is>
      </c>
      <c r="H34" s="4" t="inlineStr">
        <is>
          <t>GARAGEM G1 - TORRE A</t>
        </is>
      </c>
      <c r="I34" s="23" t="n">
        <v>75</v>
      </c>
      <c r="J34" s="23">
        <f>E34*I34</f>
        <v/>
      </c>
      <c r="K34" s="4" t="inlineStr">
        <is>
          <t>&lt;= 3 dm3</t>
        </is>
      </c>
    </row>
    <row r="35">
      <c r="A35" s="4" t="inlineStr">
        <is>
          <t>02º G1</t>
        </is>
      </c>
      <c r="B35" s="6" t="inlineStr">
        <is>
          <t>A</t>
        </is>
      </c>
      <c r="C35" s="6" t="inlineStr">
        <is>
          <t>Prev</t>
        </is>
      </c>
      <c r="D35" s="6" t="n">
        <v>3</v>
      </c>
      <c r="E35" s="22" t="n">
        <v>1</v>
      </c>
      <c r="F35" s="6" t="inlineStr">
        <is>
          <t>pç</t>
        </is>
      </c>
      <c r="G35" s="6" t="inlineStr">
        <is>
          <t>15x15x10CM</t>
        </is>
      </c>
      <c r="H35" s="4" t="inlineStr">
        <is>
          <t>GARAGEM G1 - TORRE A</t>
        </is>
      </c>
      <c r="I35" s="23" t="n">
        <v>75</v>
      </c>
      <c r="J35" s="23">
        <f>E35*I35</f>
        <v/>
      </c>
      <c r="K35" s="4" t="inlineStr">
        <is>
          <t>&lt;= 3 dm3</t>
        </is>
      </c>
    </row>
    <row r="36">
      <c r="A36" s="4" t="inlineStr">
        <is>
          <t>02º G1</t>
        </is>
      </c>
      <c r="B36" s="6" t="inlineStr">
        <is>
          <t>A</t>
        </is>
      </c>
      <c r="C36" s="6" t="inlineStr">
        <is>
          <t>Prev</t>
        </is>
      </c>
      <c r="D36" s="6" t="n">
        <v>4</v>
      </c>
      <c r="E36" s="22" t="n">
        <v>1</v>
      </c>
      <c r="F36" s="6" t="inlineStr">
        <is>
          <t>pç</t>
        </is>
      </c>
      <c r="G36" s="6" t="inlineStr">
        <is>
          <t>30x30x20CM</t>
        </is>
      </c>
      <c r="H36" s="4" t="inlineStr">
        <is>
          <t>GARAGEM G1 - TORRE A</t>
        </is>
      </c>
      <c r="I36" s="23" t="n">
        <v>240</v>
      </c>
      <c r="J36" s="23">
        <f>E36*I36</f>
        <v/>
      </c>
      <c r="K36" s="4" t="inlineStr">
        <is>
          <t>8-20 dm3</t>
        </is>
      </c>
    </row>
    <row r="37">
      <c r="A37" s="4" t="inlineStr">
        <is>
          <t>02º G1</t>
        </is>
      </c>
      <c r="B37" s="6" t="inlineStr">
        <is>
          <t>A</t>
        </is>
      </c>
      <c r="C37" s="6" t="inlineStr">
        <is>
          <t>Prev</t>
        </is>
      </c>
      <c r="D37" s="6" t="n">
        <v>5</v>
      </c>
      <c r="E37" s="22" t="n">
        <v>1</v>
      </c>
      <c r="F37" s="6" t="inlineStr">
        <is>
          <t>pç</t>
        </is>
      </c>
      <c r="G37" s="6" t="inlineStr">
        <is>
          <t>50X60X20CM</t>
        </is>
      </c>
      <c r="H37" s="4" t="inlineStr">
        <is>
          <t>GARAGEM G1 - TORRE A</t>
        </is>
      </c>
      <c r="I37" s="23" t="n">
        <v>680</v>
      </c>
      <c r="J37" s="23">
        <f>E37*I37</f>
        <v/>
      </c>
      <c r="K37" s="4" t="inlineStr">
        <is>
          <t>&gt; 40 dm3</t>
        </is>
      </c>
    </row>
    <row r="38">
      <c r="A38" s="4" t="inlineStr">
        <is>
          <t>02º G1</t>
        </is>
      </c>
      <c r="B38" s="6" t="inlineStr">
        <is>
          <t>B</t>
        </is>
      </c>
      <c r="C38" s="6" t="inlineStr">
        <is>
          <t>Exec</t>
        </is>
      </c>
      <c r="D38" s="6" t="n">
        <v>26</v>
      </c>
      <c r="E38" s="22" t="n">
        <v>5</v>
      </c>
      <c r="F38" s="6" t="inlineStr">
        <is>
          <t>pç</t>
        </is>
      </c>
      <c r="G38" s="6" t="inlineStr">
        <is>
          <t>15x15x10CM</t>
        </is>
      </c>
      <c r="H38" s="4" t="inlineStr">
        <is>
          <t>GARAGEM G1 - TORRE B</t>
        </is>
      </c>
      <c r="I38" s="23" t="n">
        <v>75</v>
      </c>
      <c r="J38" s="23">
        <f>E38*I38</f>
        <v/>
      </c>
      <c r="K38" s="4" t="inlineStr">
        <is>
          <t>&lt;= 3 dm3</t>
        </is>
      </c>
    </row>
    <row r="39">
      <c r="A39" s="4" t="inlineStr">
        <is>
          <t>02º G1</t>
        </is>
      </c>
      <c r="B39" s="6" t="inlineStr">
        <is>
          <t>B</t>
        </is>
      </c>
      <c r="C39" s="6" t="inlineStr">
        <is>
          <t>Exec</t>
        </is>
      </c>
      <c r="D39" s="6" t="n">
        <v>27</v>
      </c>
      <c r="E39" s="22" t="n">
        <v>1</v>
      </c>
      <c r="F39" s="6" t="inlineStr">
        <is>
          <t>pç</t>
        </is>
      </c>
      <c r="G39" s="6" t="inlineStr">
        <is>
          <t>20x20x12CM</t>
        </is>
      </c>
      <c r="H39" s="4" t="inlineStr">
        <is>
          <t>GARAGEM G1 - TORRE B</t>
        </is>
      </c>
      <c r="I39" s="23" t="n">
        <v>130</v>
      </c>
      <c r="J39" s="23">
        <f>E39*I39</f>
        <v/>
      </c>
      <c r="K39" s="4" t="inlineStr">
        <is>
          <t>3-8 dm3</t>
        </is>
      </c>
    </row>
    <row r="40">
      <c r="A40" s="15" t="inlineStr">
        <is>
          <t>02º G1</t>
        </is>
      </c>
      <c r="B40" s="27" t="inlineStr">
        <is>
          <t>B</t>
        </is>
      </c>
      <c r="C40" s="27" t="inlineStr">
        <is>
          <t>Exec</t>
        </is>
      </c>
      <c r="D40" s="27" t="n">
        <v>28</v>
      </c>
      <c r="E40" s="28" t="n">
        <v>1</v>
      </c>
      <c r="F40" s="27" t="inlineStr">
        <is>
          <t>pç</t>
        </is>
      </c>
      <c r="G40" s="27" t="inlineStr">
        <is>
          <t>VERIFICAR DIAGRAMA</t>
        </is>
      </c>
      <c r="H40" s="15" t="inlineStr">
        <is>
          <t>GARAGEM G1 - TORRE B</t>
        </is>
      </c>
      <c r="I40" s="29" t="n">
        <v>150</v>
      </c>
      <c r="J40" s="29">
        <f>E40*I40</f>
        <v/>
      </c>
      <c r="K40" s="15" t="inlineStr">
        <is>
          <t>fallback (dim VERIFICAR DIAGRAMA)</t>
        </is>
      </c>
    </row>
    <row r="41">
      <c r="A41" s="15" t="inlineStr">
        <is>
          <t>02º G1</t>
        </is>
      </c>
      <c r="B41" s="27" t="inlineStr">
        <is>
          <t>B</t>
        </is>
      </c>
      <c r="C41" s="27" t="inlineStr">
        <is>
          <t>Exec</t>
        </is>
      </c>
      <c r="D41" s="27" t="n">
        <v>29</v>
      </c>
      <c r="E41" s="28" t="n">
        <v>1</v>
      </c>
      <c r="F41" s="27" t="inlineStr">
        <is>
          <t>pç</t>
        </is>
      </c>
      <c r="G41" s="27" t="inlineStr">
        <is>
          <t>VER PROJETO APROVAT.</t>
        </is>
      </c>
      <c r="H41" s="15" t="inlineStr">
        <is>
          <t>GARAGEM G1 - TORRE B</t>
        </is>
      </c>
      <c r="I41" s="29" t="n">
        <v>150</v>
      </c>
      <c r="J41" s="29">
        <f>E41*I41</f>
        <v/>
      </c>
      <c r="K41" s="15" t="inlineStr">
        <is>
          <t>fallback (dim VERIFICAR DIAGRAMA)</t>
        </is>
      </c>
    </row>
    <row r="42">
      <c r="A42" s="15" t="inlineStr">
        <is>
          <t>02º G1</t>
        </is>
      </c>
      <c r="B42" s="27" t="inlineStr">
        <is>
          <t>B</t>
        </is>
      </c>
      <c r="C42" s="27" t="inlineStr">
        <is>
          <t>Exec</t>
        </is>
      </c>
      <c r="D42" s="27" t="n">
        <v>30</v>
      </c>
      <c r="E42" s="28" t="n">
        <v>1</v>
      </c>
      <c r="F42" s="27" t="inlineStr">
        <is>
          <t>pç</t>
        </is>
      </c>
      <c r="G42" s="27" t="inlineStr">
        <is>
          <t>VERIFICAR DIAGRAMA</t>
        </is>
      </c>
      <c r="H42" s="15" t="inlineStr">
        <is>
          <t>GARAGEM G1 - TORRE B</t>
        </is>
      </c>
      <c r="I42" s="29" t="n">
        <v>150</v>
      </c>
      <c r="J42" s="29">
        <f>E42*I42</f>
        <v/>
      </c>
      <c r="K42" s="15" t="inlineStr">
        <is>
          <t>fallback (dim VERIFICAR DIAGRAMA)</t>
        </is>
      </c>
    </row>
    <row r="43">
      <c r="A43" s="4" t="inlineStr">
        <is>
          <t>02º G1</t>
        </is>
      </c>
      <c r="B43" s="6" t="inlineStr">
        <is>
          <t>B</t>
        </is>
      </c>
      <c r="C43" s="6" t="inlineStr">
        <is>
          <t>Prev</t>
        </is>
      </c>
      <c r="D43" s="6" t="n">
        <v>6</v>
      </c>
      <c r="E43" s="22" t="n">
        <v>1</v>
      </c>
      <c r="F43" s="6" t="inlineStr">
        <is>
          <t>pç</t>
        </is>
      </c>
      <c r="G43" s="6" t="inlineStr">
        <is>
          <t>15x15x10CM</t>
        </is>
      </c>
      <c r="H43" s="4" t="inlineStr">
        <is>
          <t>GARAGEM G1 - TORRE B</t>
        </is>
      </c>
      <c r="I43" s="23" t="n">
        <v>75</v>
      </c>
      <c r="J43" s="23">
        <f>E43*I43</f>
        <v/>
      </c>
      <c r="K43" s="4" t="inlineStr">
        <is>
          <t>&lt;= 3 dm3</t>
        </is>
      </c>
    </row>
    <row r="44">
      <c r="A44" s="4" t="inlineStr">
        <is>
          <t>02º G1</t>
        </is>
      </c>
      <c r="B44" s="6" t="inlineStr">
        <is>
          <t>B</t>
        </is>
      </c>
      <c r="C44" s="6" t="inlineStr">
        <is>
          <t>Prev</t>
        </is>
      </c>
      <c r="D44" s="6" t="n">
        <v>7</v>
      </c>
      <c r="E44" s="22" t="n">
        <v>1</v>
      </c>
      <c r="F44" s="6" t="inlineStr">
        <is>
          <t>pç</t>
        </is>
      </c>
      <c r="G44" s="6" t="inlineStr">
        <is>
          <t>30x30x20CM</t>
        </is>
      </c>
      <c r="H44" s="4" t="inlineStr">
        <is>
          <t>GARAGEM G1 - TORRE B</t>
        </is>
      </c>
      <c r="I44" s="23" t="n">
        <v>240</v>
      </c>
      <c r="J44" s="23">
        <f>E44*I44</f>
        <v/>
      </c>
      <c r="K44" s="4" t="inlineStr">
        <is>
          <t>8-20 dm3</t>
        </is>
      </c>
    </row>
    <row r="45">
      <c r="A45" s="4" t="inlineStr">
        <is>
          <t>02º G1</t>
        </is>
      </c>
      <c r="B45" s="6" t="inlineStr">
        <is>
          <t>B</t>
        </is>
      </c>
      <c r="C45" s="6" t="inlineStr">
        <is>
          <t>Prev</t>
        </is>
      </c>
      <c r="D45" s="6" t="n">
        <v>8</v>
      </c>
      <c r="E45" s="22" t="n">
        <v>2</v>
      </c>
      <c r="F45" s="6" t="inlineStr">
        <is>
          <t>pç</t>
        </is>
      </c>
      <c r="G45" s="6" t="inlineStr">
        <is>
          <t>50X60X20CM</t>
        </is>
      </c>
      <c r="H45" s="4" t="inlineStr">
        <is>
          <t>GARAGEM G1 - TORRE B</t>
        </is>
      </c>
      <c r="I45" s="23" t="n">
        <v>680</v>
      </c>
      <c r="J45" s="23">
        <f>E45*I45</f>
        <v/>
      </c>
      <c r="K45" s="4" t="inlineStr">
        <is>
          <t>&gt; 40 dm3</t>
        </is>
      </c>
    </row>
    <row r="46">
      <c r="A46" s="4" t="inlineStr">
        <is>
          <t>02º G1</t>
        </is>
      </c>
      <c r="B46" s="6" t="inlineStr">
        <is>
          <t>B</t>
        </is>
      </c>
      <c r="C46" s="6" t="inlineStr">
        <is>
          <t>Prev</t>
        </is>
      </c>
      <c r="D46" s="6" t="n">
        <v>9</v>
      </c>
      <c r="E46" s="22" t="n">
        <v>1</v>
      </c>
      <c r="F46" s="6" t="inlineStr">
        <is>
          <t>pç</t>
        </is>
      </c>
      <c r="G46" s="6" t="inlineStr">
        <is>
          <t>30x30x20CM</t>
        </is>
      </c>
      <c r="H46" s="4" t="inlineStr">
        <is>
          <t>GARAGEM G1 - TORRE B</t>
        </is>
      </c>
      <c r="I46" s="23" t="n">
        <v>240</v>
      </c>
      <c r="J46" s="23">
        <f>E46*I46</f>
        <v/>
      </c>
      <c r="K46" s="4" t="inlineStr">
        <is>
          <t>8-20 dm3</t>
        </is>
      </c>
    </row>
    <row r="47">
      <c r="A47" s="24" t="inlineStr">
        <is>
          <t>Subtotal — 02º G1</t>
        </is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6">
        <f>SUM(J30:J46)</f>
        <v/>
      </c>
      <c r="K47" s="25" t="n"/>
    </row>
    <row r="48">
      <c r="A48" s="15" t="inlineStr">
        <is>
          <t>03º G2</t>
        </is>
      </c>
      <c r="B48" s="27" t="inlineStr">
        <is>
          <t>A</t>
        </is>
      </c>
      <c r="C48" s="27" t="inlineStr">
        <is>
          <t>Exec</t>
        </is>
      </c>
      <c r="D48" s="27" t="n">
        <v>31</v>
      </c>
      <c r="E48" s="28" t="n">
        <v>1</v>
      </c>
      <c r="F48" s="27" t="inlineStr">
        <is>
          <t>pç</t>
        </is>
      </c>
      <c r="G48" s="27" t="inlineStr">
        <is>
          <t>VERIFICAR DIAGRAMA</t>
        </is>
      </c>
      <c r="H48" s="15" t="inlineStr">
        <is>
          <t>GARAGEM G2 - TORRE A</t>
        </is>
      </c>
      <c r="I48" s="29" t="n">
        <v>150</v>
      </c>
      <c r="J48" s="29">
        <f>E48*I48</f>
        <v/>
      </c>
      <c r="K48" s="15" t="inlineStr">
        <is>
          <t>fallback (dim VERIFICAR DIAGRAMA)</t>
        </is>
      </c>
    </row>
    <row r="49">
      <c r="A49" s="15" t="inlineStr">
        <is>
          <t>03º G2</t>
        </is>
      </c>
      <c r="B49" s="27" t="inlineStr">
        <is>
          <t>A</t>
        </is>
      </c>
      <c r="C49" s="27" t="inlineStr">
        <is>
          <t>Exec</t>
        </is>
      </c>
      <c r="D49" s="27" t="n">
        <v>32</v>
      </c>
      <c r="E49" s="28" t="n">
        <v>1</v>
      </c>
      <c r="F49" s="27" t="inlineStr">
        <is>
          <t>pç</t>
        </is>
      </c>
      <c r="G49" s="27" t="inlineStr">
        <is>
          <t>VERIFICAR DIAGRAMA</t>
        </is>
      </c>
      <c r="H49" s="15" t="inlineStr">
        <is>
          <t>GARAGEM G2 - TORRE A</t>
        </is>
      </c>
      <c r="I49" s="29" t="n">
        <v>150</v>
      </c>
      <c r="J49" s="29">
        <f>E49*I49</f>
        <v/>
      </c>
      <c r="K49" s="15" t="inlineStr">
        <is>
          <t>fallback (dim VERIFICAR DIAGRAMA)</t>
        </is>
      </c>
    </row>
    <row r="50">
      <c r="A50" s="4" t="inlineStr">
        <is>
          <t>03º G2</t>
        </is>
      </c>
      <c r="B50" s="6" t="inlineStr">
        <is>
          <t>A</t>
        </is>
      </c>
      <c r="C50" s="6" t="inlineStr">
        <is>
          <t>Exec</t>
        </is>
      </c>
      <c r="D50" s="6" t="n">
        <v>33</v>
      </c>
      <c r="E50" s="22" t="n">
        <v>1</v>
      </c>
      <c r="F50" s="6" t="inlineStr">
        <is>
          <t>pç</t>
        </is>
      </c>
      <c r="G50" s="6" t="inlineStr">
        <is>
          <t>15x15x10CM</t>
        </is>
      </c>
      <c r="H50" s="4" t="inlineStr">
        <is>
          <t>GARAGEM G2 - TORRE A</t>
        </is>
      </c>
      <c r="I50" s="23" t="n">
        <v>75</v>
      </c>
      <c r="J50" s="23">
        <f>E50*I50</f>
        <v/>
      </c>
      <c r="K50" s="4" t="inlineStr">
        <is>
          <t>&lt;= 3 dm3</t>
        </is>
      </c>
    </row>
    <row r="51">
      <c r="A51" s="15" t="inlineStr">
        <is>
          <t>03º G2</t>
        </is>
      </c>
      <c r="B51" s="27" t="inlineStr">
        <is>
          <t>A</t>
        </is>
      </c>
      <c r="C51" s="27" t="inlineStr">
        <is>
          <t>Exec</t>
        </is>
      </c>
      <c r="D51" s="27" t="n">
        <v>34</v>
      </c>
      <c r="E51" s="28" t="n">
        <v>1</v>
      </c>
      <c r="F51" s="27" t="inlineStr">
        <is>
          <t>pç</t>
        </is>
      </c>
      <c r="G51" s="27" t="inlineStr">
        <is>
          <t>VERIFICAR DIAGRAMA</t>
        </is>
      </c>
      <c r="H51" s="15" t="inlineStr">
        <is>
          <t>GARAGEM G2 - TORRE A</t>
        </is>
      </c>
      <c r="I51" s="29" t="n">
        <v>150</v>
      </c>
      <c r="J51" s="29">
        <f>E51*I51</f>
        <v/>
      </c>
      <c r="K51" s="15" t="inlineStr">
        <is>
          <t>fallback (dim VERIFICAR DIAGRAMA)</t>
        </is>
      </c>
    </row>
    <row r="52">
      <c r="A52" s="15" t="inlineStr">
        <is>
          <t>03º G2</t>
        </is>
      </c>
      <c r="B52" s="27" t="inlineStr">
        <is>
          <t>A</t>
        </is>
      </c>
      <c r="C52" s="27" t="inlineStr">
        <is>
          <t>Exec</t>
        </is>
      </c>
      <c r="D52" s="27" t="n">
        <v>35</v>
      </c>
      <c r="E52" s="28" t="n">
        <v>1</v>
      </c>
      <c r="F52" s="27" t="inlineStr">
        <is>
          <t>pç</t>
        </is>
      </c>
      <c r="G52" s="27" t="inlineStr">
        <is>
          <t>VERIFICAR DIAGRAMA</t>
        </is>
      </c>
      <c r="H52" s="15" t="inlineStr">
        <is>
          <t>GARAGEM G2 - TORRE A</t>
        </is>
      </c>
      <c r="I52" s="29" t="n">
        <v>150</v>
      </c>
      <c r="J52" s="29">
        <f>E52*I52</f>
        <v/>
      </c>
      <c r="K52" s="15" t="inlineStr">
        <is>
          <t>fallback (dim VERIFICAR DIAGRAMA)</t>
        </is>
      </c>
    </row>
    <row r="53">
      <c r="A53" s="4" t="inlineStr">
        <is>
          <t>03º G2</t>
        </is>
      </c>
      <c r="B53" s="6" t="inlineStr">
        <is>
          <t>A</t>
        </is>
      </c>
      <c r="C53" s="6" t="inlineStr">
        <is>
          <t>Prev</t>
        </is>
      </c>
      <c r="D53" s="6" t="n">
        <v>10</v>
      </c>
      <c r="E53" s="22" t="n">
        <v>1</v>
      </c>
      <c r="F53" s="6" t="inlineStr">
        <is>
          <t>pç</t>
        </is>
      </c>
      <c r="G53" s="6" t="inlineStr">
        <is>
          <t>15x15x10CM</t>
        </is>
      </c>
      <c r="H53" s="4" t="inlineStr">
        <is>
          <t>GARAGEM G2 - TORRE A</t>
        </is>
      </c>
      <c r="I53" s="23" t="n">
        <v>75</v>
      </c>
      <c r="J53" s="23">
        <f>E53*I53</f>
        <v/>
      </c>
      <c r="K53" s="4" t="inlineStr">
        <is>
          <t>&lt;= 3 dm3</t>
        </is>
      </c>
    </row>
    <row r="54">
      <c r="A54" s="4" t="inlineStr">
        <is>
          <t>03º G2</t>
        </is>
      </c>
      <c r="B54" s="6" t="inlineStr">
        <is>
          <t>A</t>
        </is>
      </c>
      <c r="C54" s="6" t="inlineStr">
        <is>
          <t>Prev</t>
        </is>
      </c>
      <c r="D54" s="6" t="n">
        <v>11</v>
      </c>
      <c r="E54" s="22" t="n">
        <v>1</v>
      </c>
      <c r="F54" s="6" t="inlineStr">
        <is>
          <t>pç</t>
        </is>
      </c>
      <c r="G54" s="6" t="inlineStr">
        <is>
          <t>50X60X20CM</t>
        </is>
      </c>
      <c r="H54" s="4" t="inlineStr">
        <is>
          <t>GARAGEM G2 - TORRE A</t>
        </is>
      </c>
      <c r="I54" s="23" t="n">
        <v>680</v>
      </c>
      <c r="J54" s="23">
        <f>E54*I54</f>
        <v/>
      </c>
      <c r="K54" s="4" t="inlineStr">
        <is>
          <t>&gt; 40 dm3</t>
        </is>
      </c>
    </row>
    <row r="55">
      <c r="A55" s="15" t="inlineStr">
        <is>
          <t>03º G2</t>
        </is>
      </c>
      <c r="B55" s="27" t="inlineStr">
        <is>
          <t>B</t>
        </is>
      </c>
      <c r="C55" s="27" t="inlineStr">
        <is>
          <t>Exec</t>
        </is>
      </c>
      <c r="D55" s="27" t="n">
        <v>36</v>
      </c>
      <c r="E55" s="28" t="n">
        <v>1</v>
      </c>
      <c r="F55" s="27" t="inlineStr">
        <is>
          <t>pç</t>
        </is>
      </c>
      <c r="G55" s="27" t="inlineStr">
        <is>
          <t>VERIFICAR DIAGRAMA</t>
        </is>
      </c>
      <c r="H55" s="15" t="inlineStr">
        <is>
          <t>GARAGEM G2 - TORRE B</t>
        </is>
      </c>
      <c r="I55" s="29" t="n">
        <v>150</v>
      </c>
      <c r="J55" s="29">
        <f>E55*I55</f>
        <v/>
      </c>
      <c r="K55" s="15" t="inlineStr">
        <is>
          <t>fallback (dim VERIFICAR DIAGRAMA)</t>
        </is>
      </c>
    </row>
    <row r="56">
      <c r="A56" s="15" t="inlineStr">
        <is>
          <t>03º G2</t>
        </is>
      </c>
      <c r="B56" s="27" t="inlineStr">
        <is>
          <t>B</t>
        </is>
      </c>
      <c r="C56" s="27" t="inlineStr">
        <is>
          <t>Exec</t>
        </is>
      </c>
      <c r="D56" s="27" t="n">
        <v>37</v>
      </c>
      <c r="E56" s="28" t="n">
        <v>1</v>
      </c>
      <c r="F56" s="27" t="inlineStr">
        <is>
          <t>pç</t>
        </is>
      </c>
      <c r="G56" s="27" t="inlineStr">
        <is>
          <t>VERIFICAR DIAGRAMA</t>
        </is>
      </c>
      <c r="H56" s="15" t="inlineStr">
        <is>
          <t>GARAGEM G2 - TORRE B</t>
        </is>
      </c>
      <c r="I56" s="29" t="n">
        <v>150</v>
      </c>
      <c r="J56" s="29">
        <f>E56*I56</f>
        <v/>
      </c>
      <c r="K56" s="15" t="inlineStr">
        <is>
          <t>fallback (dim VERIFICAR DIAGRAMA)</t>
        </is>
      </c>
    </row>
    <row r="57">
      <c r="A57" s="4" t="inlineStr">
        <is>
          <t>03º G2</t>
        </is>
      </c>
      <c r="B57" s="6" t="inlineStr">
        <is>
          <t>B</t>
        </is>
      </c>
      <c r="C57" s="6" t="inlineStr">
        <is>
          <t>Exec</t>
        </is>
      </c>
      <c r="D57" s="6" t="n">
        <v>38</v>
      </c>
      <c r="E57" s="22" t="n">
        <v>1</v>
      </c>
      <c r="F57" s="6" t="inlineStr">
        <is>
          <t>pç</t>
        </is>
      </c>
      <c r="G57" s="6" t="inlineStr">
        <is>
          <t>15x15x10CM</t>
        </is>
      </c>
      <c r="H57" s="4" t="inlineStr">
        <is>
          <t>GARAGEM G2 - TORRE B</t>
        </is>
      </c>
      <c r="I57" s="23" t="n">
        <v>75</v>
      </c>
      <c r="J57" s="23">
        <f>E57*I57</f>
        <v/>
      </c>
      <c r="K57" s="4" t="inlineStr">
        <is>
          <t>&lt;= 3 dm3</t>
        </is>
      </c>
    </row>
    <row r="58">
      <c r="A58" s="15" t="inlineStr">
        <is>
          <t>03º G2</t>
        </is>
      </c>
      <c r="B58" s="27" t="inlineStr">
        <is>
          <t>B</t>
        </is>
      </c>
      <c r="C58" s="27" t="inlineStr">
        <is>
          <t>Exec</t>
        </is>
      </c>
      <c r="D58" s="27" t="n">
        <v>39</v>
      </c>
      <c r="E58" s="28" t="n">
        <v>1</v>
      </c>
      <c r="F58" s="27" t="inlineStr">
        <is>
          <t>pç</t>
        </is>
      </c>
      <c r="G58" s="27" t="inlineStr">
        <is>
          <t>VERIFICAR DIAGRAMA</t>
        </is>
      </c>
      <c r="H58" s="15" t="inlineStr">
        <is>
          <t>GARAGEM G2 - TORRE B</t>
        </is>
      </c>
      <c r="I58" s="29" t="n">
        <v>150</v>
      </c>
      <c r="J58" s="29">
        <f>E58*I58</f>
        <v/>
      </c>
      <c r="K58" s="15" t="inlineStr">
        <is>
          <t>fallback (dim VERIFICAR DIAGRAMA)</t>
        </is>
      </c>
    </row>
    <row r="59">
      <c r="A59" s="15" t="inlineStr">
        <is>
          <t>03º G2</t>
        </is>
      </c>
      <c r="B59" s="27" t="inlineStr">
        <is>
          <t>B</t>
        </is>
      </c>
      <c r="C59" s="27" t="inlineStr">
        <is>
          <t>Exec</t>
        </is>
      </c>
      <c r="D59" s="27" t="n">
        <v>40</v>
      </c>
      <c r="E59" s="28" t="n">
        <v>1</v>
      </c>
      <c r="F59" s="27" t="inlineStr">
        <is>
          <t>pç</t>
        </is>
      </c>
      <c r="G59" s="27" t="inlineStr">
        <is>
          <t>VERIFICAR DIAGRAMA</t>
        </is>
      </c>
      <c r="H59" s="15" t="inlineStr">
        <is>
          <t>GARAGEM G2 - TORRE B</t>
        </is>
      </c>
      <c r="I59" s="29" t="n">
        <v>150</v>
      </c>
      <c r="J59" s="29">
        <f>E59*I59</f>
        <v/>
      </c>
      <c r="K59" s="15" t="inlineStr">
        <is>
          <t>fallback (dim VERIFICAR DIAGRAMA)</t>
        </is>
      </c>
    </row>
    <row r="60">
      <c r="A60" s="4" t="inlineStr">
        <is>
          <t>03º G2</t>
        </is>
      </c>
      <c r="B60" s="6" t="inlineStr">
        <is>
          <t>B</t>
        </is>
      </c>
      <c r="C60" s="6" t="inlineStr">
        <is>
          <t>Prev</t>
        </is>
      </c>
      <c r="D60" s="6" t="n">
        <v>12</v>
      </c>
      <c r="E60" s="22" t="n">
        <v>1</v>
      </c>
      <c r="F60" s="6" t="inlineStr">
        <is>
          <t>pç</t>
        </is>
      </c>
      <c r="G60" s="6" t="inlineStr">
        <is>
          <t>15x15x10CM</t>
        </is>
      </c>
      <c r="H60" s="4" t="inlineStr">
        <is>
          <t>GARAGEM G2 - TORRE B</t>
        </is>
      </c>
      <c r="I60" s="23" t="n">
        <v>75</v>
      </c>
      <c r="J60" s="23">
        <f>E60*I60</f>
        <v/>
      </c>
      <c r="K60" s="4" t="inlineStr">
        <is>
          <t>&lt;= 3 dm3</t>
        </is>
      </c>
    </row>
    <row r="61">
      <c r="A61" s="4" t="inlineStr">
        <is>
          <t>03º G2</t>
        </is>
      </c>
      <c r="B61" s="6" t="inlineStr">
        <is>
          <t>B</t>
        </is>
      </c>
      <c r="C61" s="6" t="inlineStr">
        <is>
          <t>Prev</t>
        </is>
      </c>
      <c r="D61" s="6" t="n">
        <v>13</v>
      </c>
      <c r="E61" s="22" t="n">
        <v>2</v>
      </c>
      <c r="F61" s="6" t="inlineStr">
        <is>
          <t>pç</t>
        </is>
      </c>
      <c r="G61" s="6" t="inlineStr">
        <is>
          <t>50X60X20CM</t>
        </is>
      </c>
      <c r="H61" s="4" t="inlineStr">
        <is>
          <t>GARAGEM G2 - TORRE B</t>
        </is>
      </c>
      <c r="I61" s="23" t="n">
        <v>680</v>
      </c>
      <c r="J61" s="23">
        <f>E61*I61</f>
        <v/>
      </c>
      <c r="K61" s="4" t="inlineStr">
        <is>
          <t>&gt; 40 dm3</t>
        </is>
      </c>
    </row>
    <row r="62">
      <c r="A62" s="24" t="inlineStr">
        <is>
          <t>Subtotal — 03º G2</t>
        </is>
      </c>
      <c r="B62" s="25" t="n"/>
      <c r="C62" s="25" t="n"/>
      <c r="D62" s="25" t="n"/>
      <c r="E62" s="25" t="n"/>
      <c r="F62" s="25" t="n"/>
      <c r="G62" s="25" t="n"/>
      <c r="H62" s="25" t="n"/>
      <c r="I62" s="25" t="n"/>
      <c r="J62" s="26">
        <f>SUM(J48:J61)</f>
        <v/>
      </c>
      <c r="K62" s="25" t="n"/>
    </row>
    <row r="63">
      <c r="A63" s="15" t="inlineStr">
        <is>
          <t>04º G3</t>
        </is>
      </c>
      <c r="B63" s="27" t="inlineStr">
        <is>
          <t>A</t>
        </is>
      </c>
      <c r="C63" s="27" t="inlineStr">
        <is>
          <t>Exec</t>
        </is>
      </c>
      <c r="D63" s="27" t="n">
        <v>41</v>
      </c>
      <c r="E63" s="28" t="n">
        <v>1</v>
      </c>
      <c r="F63" s="27" t="inlineStr">
        <is>
          <t>pç</t>
        </is>
      </c>
      <c r="G63" s="27" t="inlineStr">
        <is>
          <t>VERIFICAR DIAGRAMA</t>
        </is>
      </c>
      <c r="H63" s="15" t="inlineStr">
        <is>
          <t>GARAGEM G3 - TORRE A</t>
        </is>
      </c>
      <c r="I63" s="29" t="n">
        <v>150</v>
      </c>
      <c r="J63" s="29">
        <f>E63*I63</f>
        <v/>
      </c>
      <c r="K63" s="15" t="inlineStr">
        <is>
          <t>fallback (dim VERIFICAR DIAGRAMA)</t>
        </is>
      </c>
    </row>
    <row r="64">
      <c r="A64" s="4" t="inlineStr">
        <is>
          <t>04º G3</t>
        </is>
      </c>
      <c r="B64" s="6" t="inlineStr">
        <is>
          <t>A</t>
        </is>
      </c>
      <c r="C64" s="6" t="inlineStr">
        <is>
          <t>Exec</t>
        </is>
      </c>
      <c r="D64" s="6" t="n">
        <v>42</v>
      </c>
      <c r="E64" s="22" t="n">
        <v>1</v>
      </c>
      <c r="F64" s="6" t="inlineStr">
        <is>
          <t>pç</t>
        </is>
      </c>
      <c r="G64" s="6" t="inlineStr">
        <is>
          <t>15x15x10CM</t>
        </is>
      </c>
      <c r="H64" s="4" t="inlineStr">
        <is>
          <t>GARAGEM G3 - TORRE A</t>
        </is>
      </c>
      <c r="I64" s="23" t="n">
        <v>75</v>
      </c>
      <c r="J64" s="23">
        <f>E64*I64</f>
        <v/>
      </c>
      <c r="K64" s="4" t="inlineStr">
        <is>
          <t>&lt;= 3 dm3</t>
        </is>
      </c>
    </row>
    <row r="65">
      <c r="A65" s="15" t="inlineStr">
        <is>
          <t>04º G3</t>
        </is>
      </c>
      <c r="B65" s="27" t="inlineStr">
        <is>
          <t>A</t>
        </is>
      </c>
      <c r="C65" s="27" t="inlineStr">
        <is>
          <t>Exec</t>
        </is>
      </c>
      <c r="D65" s="27" t="n">
        <v>43</v>
      </c>
      <c r="E65" s="28" t="n">
        <v>1</v>
      </c>
      <c r="F65" s="27" t="inlineStr">
        <is>
          <t>pç</t>
        </is>
      </c>
      <c r="G65" s="27" t="inlineStr">
        <is>
          <t>VERIFICAR DIAGRAMA</t>
        </is>
      </c>
      <c r="H65" s="15" t="inlineStr">
        <is>
          <t>GARAGEM G3 - TORRE A</t>
        </is>
      </c>
      <c r="I65" s="29" t="n">
        <v>150</v>
      </c>
      <c r="J65" s="29">
        <f>E65*I65</f>
        <v/>
      </c>
      <c r="K65" s="15" t="inlineStr">
        <is>
          <t>fallback (dim VERIFICAR DIAGRAMA)</t>
        </is>
      </c>
    </row>
    <row r="66">
      <c r="A66" s="4" t="inlineStr">
        <is>
          <t>04º G3</t>
        </is>
      </c>
      <c r="B66" s="6" t="inlineStr">
        <is>
          <t>A</t>
        </is>
      </c>
      <c r="C66" s="6" t="inlineStr">
        <is>
          <t>Prev</t>
        </is>
      </c>
      <c r="D66" s="6" t="n">
        <v>14</v>
      </c>
      <c r="E66" s="22" t="n">
        <v>1</v>
      </c>
      <c r="F66" s="6" t="inlineStr">
        <is>
          <t>pç</t>
        </is>
      </c>
      <c r="G66" s="6" t="inlineStr">
        <is>
          <t>15x15x10CM</t>
        </is>
      </c>
      <c r="H66" s="4" t="inlineStr">
        <is>
          <t>GARAGEM G3 - TORRE A</t>
        </is>
      </c>
      <c r="I66" s="23" t="n">
        <v>75</v>
      </c>
      <c r="J66" s="23">
        <f>E66*I66</f>
        <v/>
      </c>
      <c r="K66" s="4" t="inlineStr">
        <is>
          <t>&lt;= 3 dm3</t>
        </is>
      </c>
    </row>
    <row r="67">
      <c r="A67" s="4" t="inlineStr">
        <is>
          <t>04º G3</t>
        </is>
      </c>
      <c r="B67" s="6" t="inlineStr">
        <is>
          <t>A</t>
        </is>
      </c>
      <c r="C67" s="6" t="inlineStr">
        <is>
          <t>Prev</t>
        </is>
      </c>
      <c r="D67" s="6" t="n">
        <v>15</v>
      </c>
      <c r="E67" s="22" t="n">
        <v>1</v>
      </c>
      <c r="F67" s="6" t="inlineStr">
        <is>
          <t>pç</t>
        </is>
      </c>
      <c r="G67" s="6" t="inlineStr">
        <is>
          <t>50X60X20CM</t>
        </is>
      </c>
      <c r="H67" s="4" t="inlineStr">
        <is>
          <t>GARAGEM G3 - TORRE A</t>
        </is>
      </c>
      <c r="I67" s="23" t="n">
        <v>680</v>
      </c>
      <c r="J67" s="23">
        <f>E67*I67</f>
        <v/>
      </c>
      <c r="K67" s="4" t="inlineStr">
        <is>
          <t>&gt; 40 dm3</t>
        </is>
      </c>
    </row>
    <row r="68">
      <c r="A68" s="15" t="inlineStr">
        <is>
          <t>04º G3</t>
        </is>
      </c>
      <c r="B68" s="27" t="inlineStr">
        <is>
          <t>B</t>
        </is>
      </c>
      <c r="C68" s="27" t="inlineStr">
        <is>
          <t>Exec</t>
        </is>
      </c>
      <c r="D68" s="27" t="n">
        <v>44</v>
      </c>
      <c r="E68" s="28" t="n">
        <v>1</v>
      </c>
      <c r="F68" s="27" t="inlineStr">
        <is>
          <t>pç</t>
        </is>
      </c>
      <c r="G68" s="27" t="inlineStr">
        <is>
          <t>VERIFICAR DIAGRAMA</t>
        </is>
      </c>
      <c r="H68" s="15" t="inlineStr">
        <is>
          <t>GARAGEM G3 - TORRE B</t>
        </is>
      </c>
      <c r="I68" s="29" t="n">
        <v>150</v>
      </c>
      <c r="J68" s="29">
        <f>E68*I68</f>
        <v/>
      </c>
      <c r="K68" s="15" t="inlineStr">
        <is>
          <t>fallback (dim VERIFICAR DIAGRAMA)</t>
        </is>
      </c>
    </row>
    <row r="69">
      <c r="A69" s="4" t="inlineStr">
        <is>
          <t>04º G3</t>
        </is>
      </c>
      <c r="B69" s="6" t="inlineStr">
        <is>
          <t>B</t>
        </is>
      </c>
      <c r="C69" s="6" t="inlineStr">
        <is>
          <t>Exec</t>
        </is>
      </c>
      <c r="D69" s="6" t="n">
        <v>45</v>
      </c>
      <c r="E69" s="22" t="n">
        <v>1</v>
      </c>
      <c r="F69" s="6" t="inlineStr">
        <is>
          <t>pç</t>
        </is>
      </c>
      <c r="G69" s="6" t="inlineStr">
        <is>
          <t>15x15x10CM</t>
        </is>
      </c>
      <c r="H69" s="4" t="inlineStr">
        <is>
          <t>GARAGEM G3 - TORRE B</t>
        </is>
      </c>
      <c r="I69" s="23" t="n">
        <v>75</v>
      </c>
      <c r="J69" s="23">
        <f>E69*I69</f>
        <v/>
      </c>
      <c r="K69" s="4" t="inlineStr">
        <is>
          <t>&lt;= 3 dm3</t>
        </is>
      </c>
    </row>
    <row r="70">
      <c r="A70" s="15" t="inlineStr">
        <is>
          <t>04º G3</t>
        </is>
      </c>
      <c r="B70" s="27" t="inlineStr">
        <is>
          <t>B</t>
        </is>
      </c>
      <c r="C70" s="27" t="inlineStr">
        <is>
          <t>Exec</t>
        </is>
      </c>
      <c r="D70" s="27" t="n">
        <v>46</v>
      </c>
      <c r="E70" s="28" t="n">
        <v>1</v>
      </c>
      <c r="F70" s="27" t="inlineStr">
        <is>
          <t>pç</t>
        </is>
      </c>
      <c r="G70" s="27" t="inlineStr">
        <is>
          <t>VERIFICAR DIAGRAMA</t>
        </is>
      </c>
      <c r="H70" s="15" t="inlineStr">
        <is>
          <t>GARAGEM G3 - TORRE B</t>
        </is>
      </c>
      <c r="I70" s="29" t="n">
        <v>150</v>
      </c>
      <c r="J70" s="29">
        <f>E70*I70</f>
        <v/>
      </c>
      <c r="K70" s="15" t="inlineStr">
        <is>
          <t>fallback (dim VERIFICAR DIAGRAMA)</t>
        </is>
      </c>
    </row>
    <row r="71">
      <c r="A71" s="4" t="inlineStr">
        <is>
          <t>04º G3</t>
        </is>
      </c>
      <c r="B71" s="6" t="inlineStr">
        <is>
          <t>B</t>
        </is>
      </c>
      <c r="C71" s="6" t="inlineStr">
        <is>
          <t>Prev</t>
        </is>
      </c>
      <c r="D71" s="6" t="n">
        <v>16</v>
      </c>
      <c r="E71" s="22" t="n">
        <v>1</v>
      </c>
      <c r="F71" s="6" t="inlineStr">
        <is>
          <t>pç</t>
        </is>
      </c>
      <c r="G71" s="6" t="inlineStr">
        <is>
          <t>15x15x10CM</t>
        </is>
      </c>
      <c r="H71" s="4" t="inlineStr">
        <is>
          <t>GARAGEM G3 - TORRE B</t>
        </is>
      </c>
      <c r="I71" s="23" t="n">
        <v>75</v>
      </c>
      <c r="J71" s="23">
        <f>E71*I71</f>
        <v/>
      </c>
      <c r="K71" s="4" t="inlineStr">
        <is>
          <t>&lt;= 3 dm3</t>
        </is>
      </c>
    </row>
    <row r="72">
      <c r="A72" s="4" t="inlineStr">
        <is>
          <t>04º G3</t>
        </is>
      </c>
      <c r="B72" s="6" t="inlineStr">
        <is>
          <t>B</t>
        </is>
      </c>
      <c r="C72" s="6" t="inlineStr">
        <is>
          <t>Prev</t>
        </is>
      </c>
      <c r="D72" s="6" t="n">
        <v>17</v>
      </c>
      <c r="E72" s="22" t="n">
        <v>2</v>
      </c>
      <c r="F72" s="6" t="inlineStr">
        <is>
          <t>pç</t>
        </is>
      </c>
      <c r="G72" s="6" t="inlineStr">
        <is>
          <t>50X60X20CM</t>
        </is>
      </c>
      <c r="H72" s="4" t="inlineStr">
        <is>
          <t>GARAGEM G3 - TORRE B</t>
        </is>
      </c>
      <c r="I72" s="23" t="n">
        <v>680</v>
      </c>
      <c r="J72" s="23">
        <f>E72*I72</f>
        <v/>
      </c>
      <c r="K72" s="4" t="inlineStr">
        <is>
          <t>&gt; 40 dm3</t>
        </is>
      </c>
    </row>
    <row r="73">
      <c r="A73" s="24" t="inlineStr">
        <is>
          <t>Subtotal — 04º G3</t>
        </is>
      </c>
      <c r="B73" s="25" t="n"/>
      <c r="C73" s="25" t="n"/>
      <c r="D73" s="25" t="n"/>
      <c r="E73" s="25" t="n"/>
      <c r="F73" s="25" t="n"/>
      <c r="G73" s="25" t="n"/>
      <c r="H73" s="25" t="n"/>
      <c r="I73" s="25" t="n"/>
      <c r="J73" s="26">
        <f>SUM(J63:J72)</f>
        <v/>
      </c>
      <c r="K73" s="25" t="n"/>
    </row>
    <row r="74">
      <c r="A74" s="15" t="inlineStr">
        <is>
          <t>05º G4</t>
        </is>
      </c>
      <c r="B74" s="27" t="inlineStr">
        <is>
          <t>A</t>
        </is>
      </c>
      <c r="C74" s="27" t="inlineStr">
        <is>
          <t>Exec</t>
        </is>
      </c>
      <c r="D74" s="27" t="n">
        <v>47</v>
      </c>
      <c r="E74" s="28" t="n">
        <v>1</v>
      </c>
      <c r="F74" s="27" t="inlineStr">
        <is>
          <t>pç</t>
        </is>
      </c>
      <c r="G74" s="27" t="inlineStr">
        <is>
          <t>VERIFICAR DIAGRAMA</t>
        </is>
      </c>
      <c r="H74" s="15" t="inlineStr">
        <is>
          <t>GARAGEM G4 - TORRE A</t>
        </is>
      </c>
      <c r="I74" s="29" t="n">
        <v>150</v>
      </c>
      <c r="J74" s="29">
        <f>E74*I74</f>
        <v/>
      </c>
      <c r="K74" s="15" t="inlineStr">
        <is>
          <t>fallback (dim VERIFICAR DIAGRAMA)</t>
        </is>
      </c>
    </row>
    <row r="75">
      <c r="A75" s="15" t="inlineStr">
        <is>
          <t>05º G4</t>
        </is>
      </c>
      <c r="B75" s="27" t="inlineStr">
        <is>
          <t>A</t>
        </is>
      </c>
      <c r="C75" s="27" t="inlineStr">
        <is>
          <t>Exec</t>
        </is>
      </c>
      <c r="D75" s="27" t="n">
        <v>48</v>
      </c>
      <c r="E75" s="28" t="n">
        <v>1</v>
      </c>
      <c r="F75" s="27" t="inlineStr">
        <is>
          <t>pç</t>
        </is>
      </c>
      <c r="G75" s="27" t="inlineStr">
        <is>
          <t>VERIFICAR DIAGRAMA</t>
        </is>
      </c>
      <c r="H75" s="15" t="inlineStr">
        <is>
          <t>GARAGEM G4 - TORRE A</t>
        </is>
      </c>
      <c r="I75" s="29" t="n">
        <v>150</v>
      </c>
      <c r="J75" s="29">
        <f>E75*I75</f>
        <v/>
      </c>
      <c r="K75" s="15" t="inlineStr">
        <is>
          <t>fallback (dim VERIFICAR DIAGRAMA)</t>
        </is>
      </c>
    </row>
    <row r="76">
      <c r="A76" s="15" t="inlineStr">
        <is>
          <t>05º G4</t>
        </is>
      </c>
      <c r="B76" s="27" t="inlineStr">
        <is>
          <t>A</t>
        </is>
      </c>
      <c r="C76" s="27" t="inlineStr">
        <is>
          <t>Exec</t>
        </is>
      </c>
      <c r="D76" s="27" t="n">
        <v>49</v>
      </c>
      <c r="E76" s="28" t="n">
        <v>1</v>
      </c>
      <c r="F76" s="27" t="inlineStr">
        <is>
          <t>pç</t>
        </is>
      </c>
      <c r="G76" s="27" t="inlineStr">
        <is>
          <t>VERIFICAR DIAGRAMA</t>
        </is>
      </c>
      <c r="H76" s="15" t="inlineStr">
        <is>
          <t>GARAGEM G4 - TORRE A</t>
        </is>
      </c>
      <c r="I76" s="29" t="n">
        <v>150</v>
      </c>
      <c r="J76" s="29">
        <f>E76*I76</f>
        <v/>
      </c>
      <c r="K76" s="15" t="inlineStr">
        <is>
          <t>fallback (dim VERIFICAR DIAGRAMA)</t>
        </is>
      </c>
    </row>
    <row r="77">
      <c r="A77" s="4" t="inlineStr">
        <is>
          <t>05º G4</t>
        </is>
      </c>
      <c r="B77" s="6" t="inlineStr">
        <is>
          <t>A</t>
        </is>
      </c>
      <c r="C77" s="6" t="inlineStr">
        <is>
          <t>Exec</t>
        </is>
      </c>
      <c r="D77" s="6" t="n">
        <v>50</v>
      </c>
      <c r="E77" s="22" t="n">
        <v>1</v>
      </c>
      <c r="F77" s="6" t="inlineStr">
        <is>
          <t>pç</t>
        </is>
      </c>
      <c r="G77" s="6" t="inlineStr">
        <is>
          <t>15x15x10CM</t>
        </is>
      </c>
      <c r="H77" s="4" t="inlineStr">
        <is>
          <t>GARAGEM G4 - TORRE A</t>
        </is>
      </c>
      <c r="I77" s="23" t="n">
        <v>75</v>
      </c>
      <c r="J77" s="23">
        <f>E77*I77</f>
        <v/>
      </c>
      <c r="K77" s="4" t="inlineStr">
        <is>
          <t>&lt;= 3 dm3</t>
        </is>
      </c>
    </row>
    <row r="78">
      <c r="A78" s="15" t="inlineStr">
        <is>
          <t>05º G4</t>
        </is>
      </c>
      <c r="B78" s="27" t="inlineStr">
        <is>
          <t>A</t>
        </is>
      </c>
      <c r="C78" s="27" t="inlineStr">
        <is>
          <t>Exec</t>
        </is>
      </c>
      <c r="D78" s="27" t="n">
        <v>51</v>
      </c>
      <c r="E78" s="28" t="n">
        <v>1</v>
      </c>
      <c r="F78" s="27" t="inlineStr">
        <is>
          <t>pç</t>
        </is>
      </c>
      <c r="G78" s="27" t="inlineStr">
        <is>
          <t>VERIFICAR DIAGRAMA</t>
        </is>
      </c>
      <c r="H78" s="15" t="inlineStr">
        <is>
          <t>GARAGEM G4 - TORRE A</t>
        </is>
      </c>
      <c r="I78" s="29" t="n">
        <v>150</v>
      </c>
      <c r="J78" s="29">
        <f>E78*I78</f>
        <v/>
      </c>
      <c r="K78" s="15" t="inlineStr">
        <is>
          <t>fallback (dim VERIFICAR DIAGRAMA)</t>
        </is>
      </c>
    </row>
    <row r="79">
      <c r="A79" s="4" t="inlineStr">
        <is>
          <t>05º G4</t>
        </is>
      </c>
      <c r="B79" s="6" t="inlineStr">
        <is>
          <t>A</t>
        </is>
      </c>
      <c r="C79" s="6" t="inlineStr">
        <is>
          <t>Prev</t>
        </is>
      </c>
      <c r="D79" s="6" t="n">
        <v>18</v>
      </c>
      <c r="E79" s="22" t="n">
        <v>1</v>
      </c>
      <c r="F79" s="6" t="inlineStr">
        <is>
          <t>pç</t>
        </is>
      </c>
      <c r="G79" s="6" t="inlineStr">
        <is>
          <t>15x15x10CM</t>
        </is>
      </c>
      <c r="H79" s="4" t="inlineStr">
        <is>
          <t>GARAGEM G4 - TORRE A</t>
        </is>
      </c>
      <c r="I79" s="23" t="n">
        <v>75</v>
      </c>
      <c r="J79" s="23">
        <f>E79*I79</f>
        <v/>
      </c>
      <c r="K79" s="4" t="inlineStr">
        <is>
          <t>&lt;= 3 dm3</t>
        </is>
      </c>
    </row>
    <row r="80">
      <c r="A80" s="4" t="inlineStr">
        <is>
          <t>05º G4</t>
        </is>
      </c>
      <c r="B80" s="6" t="inlineStr">
        <is>
          <t>A</t>
        </is>
      </c>
      <c r="C80" s="6" t="inlineStr">
        <is>
          <t>Prev</t>
        </is>
      </c>
      <c r="D80" s="6" t="n">
        <v>19</v>
      </c>
      <c r="E80" s="22" t="n">
        <v>1</v>
      </c>
      <c r="F80" s="6" t="inlineStr">
        <is>
          <t>pç</t>
        </is>
      </c>
      <c r="G80" s="6" t="inlineStr">
        <is>
          <t>50X60X20CM</t>
        </is>
      </c>
      <c r="H80" s="4" t="inlineStr">
        <is>
          <t>GARAGEM G4 - TORRE A</t>
        </is>
      </c>
      <c r="I80" s="23" t="n">
        <v>680</v>
      </c>
      <c r="J80" s="23">
        <f>E80*I80</f>
        <v/>
      </c>
      <c r="K80" s="4" t="inlineStr">
        <is>
          <t>&gt; 40 dm3</t>
        </is>
      </c>
    </row>
    <row r="81">
      <c r="A81" s="15" t="inlineStr">
        <is>
          <t>05º G4</t>
        </is>
      </c>
      <c r="B81" s="27" t="inlineStr">
        <is>
          <t>B</t>
        </is>
      </c>
      <c r="C81" s="27" t="inlineStr">
        <is>
          <t>Exec</t>
        </is>
      </c>
      <c r="D81" s="27" t="n">
        <v>52</v>
      </c>
      <c r="E81" s="28" t="n">
        <v>1</v>
      </c>
      <c r="F81" s="27" t="inlineStr">
        <is>
          <t>pç</t>
        </is>
      </c>
      <c r="G81" s="27" t="inlineStr">
        <is>
          <t>VERIFICAR DIAGRAMA</t>
        </is>
      </c>
      <c r="H81" s="15" t="inlineStr">
        <is>
          <t>GARAGEM G4 - TORRE B</t>
        </is>
      </c>
      <c r="I81" s="29" t="n">
        <v>150</v>
      </c>
      <c r="J81" s="29">
        <f>E81*I81</f>
        <v/>
      </c>
      <c r="K81" s="15" t="inlineStr">
        <is>
          <t>fallback (dim VERIFICAR DIAGRAMA)</t>
        </is>
      </c>
    </row>
    <row r="82">
      <c r="A82" s="15" t="inlineStr">
        <is>
          <t>05º G4</t>
        </is>
      </c>
      <c r="B82" s="27" t="inlineStr">
        <is>
          <t>B</t>
        </is>
      </c>
      <c r="C82" s="27" t="inlineStr">
        <is>
          <t>Exec</t>
        </is>
      </c>
      <c r="D82" s="27" t="n">
        <v>53</v>
      </c>
      <c r="E82" s="28" t="n">
        <v>1</v>
      </c>
      <c r="F82" s="27" t="inlineStr">
        <is>
          <t>pç</t>
        </is>
      </c>
      <c r="G82" s="27" t="inlineStr">
        <is>
          <t>VERIFICAR DIAGRAMA</t>
        </is>
      </c>
      <c r="H82" s="15" t="inlineStr">
        <is>
          <t>GARAGEM G4 - TORRE B</t>
        </is>
      </c>
      <c r="I82" s="29" t="n">
        <v>150</v>
      </c>
      <c r="J82" s="29">
        <f>E82*I82</f>
        <v/>
      </c>
      <c r="K82" s="15" t="inlineStr">
        <is>
          <t>fallback (dim VERIFICAR DIAGRAMA)</t>
        </is>
      </c>
    </row>
    <row r="83">
      <c r="A83" s="15" t="inlineStr">
        <is>
          <t>05º G4</t>
        </is>
      </c>
      <c r="B83" s="27" t="inlineStr">
        <is>
          <t>B</t>
        </is>
      </c>
      <c r="C83" s="27" t="inlineStr">
        <is>
          <t>Exec</t>
        </is>
      </c>
      <c r="D83" s="27" t="n">
        <v>54</v>
      </c>
      <c r="E83" s="28" t="n">
        <v>1</v>
      </c>
      <c r="F83" s="27" t="inlineStr">
        <is>
          <t>pç</t>
        </is>
      </c>
      <c r="G83" s="27" t="inlineStr">
        <is>
          <t>VERIFICAR DIAGRAMA</t>
        </is>
      </c>
      <c r="H83" s="15" t="inlineStr">
        <is>
          <t>GARAGEM G4 - TORRE B</t>
        </is>
      </c>
      <c r="I83" s="29" t="n">
        <v>150</v>
      </c>
      <c r="J83" s="29">
        <f>E83*I83</f>
        <v/>
      </c>
      <c r="K83" s="15" t="inlineStr">
        <is>
          <t>fallback (dim VERIFICAR DIAGRAMA)</t>
        </is>
      </c>
    </row>
    <row r="84">
      <c r="A84" s="4" t="inlineStr">
        <is>
          <t>05º G4</t>
        </is>
      </c>
      <c r="B84" s="6" t="inlineStr">
        <is>
          <t>B</t>
        </is>
      </c>
      <c r="C84" s="6" t="inlineStr">
        <is>
          <t>Exec</t>
        </is>
      </c>
      <c r="D84" s="6" t="n">
        <v>55</v>
      </c>
      <c r="E84" s="22" t="n">
        <v>1</v>
      </c>
      <c r="F84" s="6" t="inlineStr">
        <is>
          <t>pç</t>
        </is>
      </c>
      <c r="G84" s="6" t="inlineStr">
        <is>
          <t>15x15x10CM</t>
        </is>
      </c>
      <c r="H84" s="4" t="inlineStr">
        <is>
          <t>GARAGEM G4 - TORRE B</t>
        </is>
      </c>
      <c r="I84" s="23" t="n">
        <v>75</v>
      </c>
      <c r="J84" s="23">
        <f>E84*I84</f>
        <v/>
      </c>
      <c r="K84" s="4" t="inlineStr">
        <is>
          <t>&lt;= 3 dm3</t>
        </is>
      </c>
    </row>
    <row r="85">
      <c r="A85" s="15" t="inlineStr">
        <is>
          <t>05º G4</t>
        </is>
      </c>
      <c r="B85" s="27" t="inlineStr">
        <is>
          <t>B</t>
        </is>
      </c>
      <c r="C85" s="27" t="inlineStr">
        <is>
          <t>Exec</t>
        </is>
      </c>
      <c r="D85" s="27" t="n">
        <v>56</v>
      </c>
      <c r="E85" s="28" t="n">
        <v>1</v>
      </c>
      <c r="F85" s="27" t="inlineStr">
        <is>
          <t>pç</t>
        </is>
      </c>
      <c r="G85" s="27" t="inlineStr">
        <is>
          <t>VERIFICAR DIAGRAMA</t>
        </is>
      </c>
      <c r="H85" s="15" t="inlineStr">
        <is>
          <t>GARAGEM G4 - TORRE B</t>
        </is>
      </c>
      <c r="I85" s="29" t="n">
        <v>150</v>
      </c>
      <c r="J85" s="29">
        <f>E85*I85</f>
        <v/>
      </c>
      <c r="K85" s="15" t="inlineStr">
        <is>
          <t>fallback (dim VERIFICAR DIAGRAMA)</t>
        </is>
      </c>
    </row>
    <row r="86">
      <c r="A86" s="4" t="inlineStr">
        <is>
          <t>05º G4</t>
        </is>
      </c>
      <c r="B86" s="6" t="inlineStr">
        <is>
          <t>B</t>
        </is>
      </c>
      <c r="C86" s="6" t="inlineStr">
        <is>
          <t>Prev</t>
        </is>
      </c>
      <c r="D86" s="6" t="n">
        <v>20</v>
      </c>
      <c r="E86" s="22" t="n">
        <v>1</v>
      </c>
      <c r="F86" s="6" t="inlineStr">
        <is>
          <t>pç</t>
        </is>
      </c>
      <c r="G86" s="6" t="inlineStr">
        <is>
          <t>15x15x10CM</t>
        </is>
      </c>
      <c r="H86" s="4" t="inlineStr">
        <is>
          <t>GARAGEM G4 - TORRE B</t>
        </is>
      </c>
      <c r="I86" s="23" t="n">
        <v>75</v>
      </c>
      <c r="J86" s="23">
        <f>E86*I86</f>
        <v/>
      </c>
      <c r="K86" s="4" t="inlineStr">
        <is>
          <t>&lt;= 3 dm3</t>
        </is>
      </c>
    </row>
    <row r="87">
      <c r="A87" s="4" t="inlineStr">
        <is>
          <t>05º G4</t>
        </is>
      </c>
      <c r="B87" s="6" t="inlineStr">
        <is>
          <t>B</t>
        </is>
      </c>
      <c r="C87" s="6" t="inlineStr">
        <is>
          <t>Prev</t>
        </is>
      </c>
      <c r="D87" s="6" t="n">
        <v>21</v>
      </c>
      <c r="E87" s="22" t="n">
        <v>2</v>
      </c>
      <c r="F87" s="6" t="inlineStr">
        <is>
          <t>pç</t>
        </is>
      </c>
      <c r="G87" s="6" t="inlineStr">
        <is>
          <t>50X60X20CM</t>
        </is>
      </c>
      <c r="H87" s="4" t="inlineStr">
        <is>
          <t>GARAGEM G4 - TORRE B</t>
        </is>
      </c>
      <c r="I87" s="23" t="n">
        <v>680</v>
      </c>
      <c r="J87" s="23">
        <f>E87*I87</f>
        <v/>
      </c>
      <c r="K87" s="4" t="inlineStr">
        <is>
          <t>&gt; 40 dm3</t>
        </is>
      </c>
    </row>
    <row r="88">
      <c r="A88" s="24" t="inlineStr">
        <is>
          <t>Subtotal — 05º G4</t>
        </is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26">
        <f>SUM(J74:J87)</f>
        <v/>
      </c>
      <c r="K88" s="25" t="n"/>
    </row>
    <row r="89">
      <c r="A89" s="15" t="inlineStr">
        <is>
          <t>06º G5</t>
        </is>
      </c>
      <c r="B89" s="27" t="inlineStr">
        <is>
          <t>A</t>
        </is>
      </c>
      <c r="C89" s="27" t="inlineStr">
        <is>
          <t>Exec</t>
        </is>
      </c>
      <c r="D89" s="27" t="n">
        <v>57</v>
      </c>
      <c r="E89" s="28" t="n">
        <v>1</v>
      </c>
      <c r="F89" s="27" t="inlineStr">
        <is>
          <t>pç</t>
        </is>
      </c>
      <c r="G89" s="27" t="inlineStr">
        <is>
          <t>VERIFICAR DIAGRAMA</t>
        </is>
      </c>
      <c r="H89" s="15" t="inlineStr">
        <is>
          <t>GARAGEM G5 - TORRE A</t>
        </is>
      </c>
      <c r="I89" s="29" t="n">
        <v>150</v>
      </c>
      <c r="J89" s="29">
        <f>E89*I89</f>
        <v/>
      </c>
      <c r="K89" s="15" t="inlineStr">
        <is>
          <t>fallback (dim VERIFICAR DIAGRAMA)</t>
        </is>
      </c>
    </row>
    <row r="90">
      <c r="A90" s="15" t="inlineStr">
        <is>
          <t>06º G5</t>
        </is>
      </c>
      <c r="B90" s="27" t="inlineStr">
        <is>
          <t>A</t>
        </is>
      </c>
      <c r="C90" s="27" t="inlineStr">
        <is>
          <t>Exec</t>
        </is>
      </c>
      <c r="D90" s="27" t="n">
        <v>58</v>
      </c>
      <c r="E90" s="28" t="n">
        <v>1</v>
      </c>
      <c r="F90" s="27" t="inlineStr">
        <is>
          <t>pç</t>
        </is>
      </c>
      <c r="G90" s="27" t="inlineStr">
        <is>
          <t>VERIFICAR DIAGRAMA</t>
        </is>
      </c>
      <c r="H90" s="15" t="inlineStr">
        <is>
          <t>GARAGEM G5 - TORRE A</t>
        </is>
      </c>
      <c r="I90" s="29" t="n">
        <v>150</v>
      </c>
      <c r="J90" s="29">
        <f>E90*I90</f>
        <v/>
      </c>
      <c r="K90" s="15" t="inlineStr">
        <is>
          <t>fallback (dim VERIFICAR DIAGRAMA)</t>
        </is>
      </c>
    </row>
    <row r="91">
      <c r="A91" s="15" t="inlineStr">
        <is>
          <t>06º G5</t>
        </is>
      </c>
      <c r="B91" s="27" t="inlineStr">
        <is>
          <t>A</t>
        </is>
      </c>
      <c r="C91" s="27" t="inlineStr">
        <is>
          <t>Exec</t>
        </is>
      </c>
      <c r="D91" s="27" t="n">
        <v>59</v>
      </c>
      <c r="E91" s="28" t="n">
        <v>1</v>
      </c>
      <c r="F91" s="27" t="inlineStr">
        <is>
          <t>pç</t>
        </is>
      </c>
      <c r="G91" s="27" t="inlineStr">
        <is>
          <t>VERIFICAR DIAGRAMA</t>
        </is>
      </c>
      <c r="H91" s="15" t="inlineStr">
        <is>
          <t>GARAGEM G5 - TORRE A</t>
        </is>
      </c>
      <c r="I91" s="29" t="n">
        <v>150</v>
      </c>
      <c r="J91" s="29">
        <f>E91*I91</f>
        <v/>
      </c>
      <c r="K91" s="15" t="inlineStr">
        <is>
          <t>fallback (dim VERIFICAR DIAGRAMA)</t>
        </is>
      </c>
    </row>
    <row r="92">
      <c r="A92" s="4" t="inlineStr">
        <is>
          <t>06º G5</t>
        </is>
      </c>
      <c r="B92" s="6" t="inlineStr">
        <is>
          <t>A</t>
        </is>
      </c>
      <c r="C92" s="6" t="inlineStr">
        <is>
          <t>Exec</t>
        </is>
      </c>
      <c r="D92" s="6" t="n">
        <v>60</v>
      </c>
      <c r="E92" s="22" t="n">
        <v>1</v>
      </c>
      <c r="F92" s="6" t="inlineStr">
        <is>
          <t>pç</t>
        </is>
      </c>
      <c r="G92" s="6" t="inlineStr">
        <is>
          <t>15x15x10CM</t>
        </is>
      </c>
      <c r="H92" s="4" t="inlineStr">
        <is>
          <t>GARAGEM G5 - TORRE A</t>
        </is>
      </c>
      <c r="I92" s="23" t="n">
        <v>75</v>
      </c>
      <c r="J92" s="23">
        <f>E92*I92</f>
        <v/>
      </c>
      <c r="K92" s="4" t="inlineStr">
        <is>
          <t>&lt;= 3 dm3</t>
        </is>
      </c>
    </row>
    <row r="93">
      <c r="A93" s="15" t="inlineStr">
        <is>
          <t>06º G5</t>
        </is>
      </c>
      <c r="B93" s="27" t="inlineStr">
        <is>
          <t>A</t>
        </is>
      </c>
      <c r="C93" s="27" t="inlineStr">
        <is>
          <t>Exec</t>
        </is>
      </c>
      <c r="D93" s="27" t="n">
        <v>61</v>
      </c>
      <c r="E93" s="28" t="n">
        <v>1</v>
      </c>
      <c r="F93" s="27" t="inlineStr">
        <is>
          <t>pç</t>
        </is>
      </c>
      <c r="G93" s="27" t="inlineStr">
        <is>
          <t>VERIFICAR DIAGRAMA</t>
        </is>
      </c>
      <c r="H93" s="15" t="inlineStr">
        <is>
          <t>GARAGEM G5 - TORRE A</t>
        </is>
      </c>
      <c r="I93" s="29" t="n">
        <v>150</v>
      </c>
      <c r="J93" s="29">
        <f>E93*I93</f>
        <v/>
      </c>
      <c r="K93" s="15" t="inlineStr">
        <is>
          <t>fallback (dim VERIFICAR DIAGRAMA)</t>
        </is>
      </c>
    </row>
    <row r="94">
      <c r="A94" s="4" t="inlineStr">
        <is>
          <t>06º G5</t>
        </is>
      </c>
      <c r="B94" s="6" t="inlineStr">
        <is>
          <t>A</t>
        </is>
      </c>
      <c r="C94" s="6" t="inlineStr">
        <is>
          <t>Prev</t>
        </is>
      </c>
      <c r="D94" s="6" t="n">
        <v>22</v>
      </c>
      <c r="E94" s="22" t="n">
        <v>1</v>
      </c>
      <c r="F94" s="6" t="inlineStr">
        <is>
          <t>pç</t>
        </is>
      </c>
      <c r="G94" s="6" t="inlineStr">
        <is>
          <t>15x15x10CM</t>
        </is>
      </c>
      <c r="H94" s="4" t="inlineStr">
        <is>
          <t>GARAGEM G5 - TORRE A</t>
        </is>
      </c>
      <c r="I94" s="23" t="n">
        <v>75</v>
      </c>
      <c r="J94" s="23">
        <f>E94*I94</f>
        <v/>
      </c>
      <c r="K94" s="4" t="inlineStr">
        <is>
          <t>&lt;= 3 dm3</t>
        </is>
      </c>
    </row>
    <row r="95">
      <c r="A95" s="4" t="inlineStr">
        <is>
          <t>06º G5</t>
        </is>
      </c>
      <c r="B95" s="6" t="inlineStr">
        <is>
          <t>A</t>
        </is>
      </c>
      <c r="C95" s="6" t="inlineStr">
        <is>
          <t>Prev</t>
        </is>
      </c>
      <c r="D95" s="6" t="n">
        <v>23</v>
      </c>
      <c r="E95" s="22" t="n">
        <v>1</v>
      </c>
      <c r="F95" s="6" t="inlineStr">
        <is>
          <t>pç</t>
        </is>
      </c>
      <c r="G95" s="6" t="inlineStr">
        <is>
          <t>30x30x20CM</t>
        </is>
      </c>
      <c r="H95" s="4" t="inlineStr">
        <is>
          <t>GARAGEM G5 - TORRE A</t>
        </is>
      </c>
      <c r="I95" s="23" t="n">
        <v>240</v>
      </c>
      <c r="J95" s="23">
        <f>E95*I95</f>
        <v/>
      </c>
      <c r="K95" s="4" t="inlineStr">
        <is>
          <t>8-20 dm3</t>
        </is>
      </c>
    </row>
    <row r="96">
      <c r="A96" s="4" t="inlineStr">
        <is>
          <t>06º G5</t>
        </is>
      </c>
      <c r="B96" s="6" t="inlineStr">
        <is>
          <t>A</t>
        </is>
      </c>
      <c r="C96" s="6" t="inlineStr">
        <is>
          <t>Prev</t>
        </is>
      </c>
      <c r="D96" s="6" t="n">
        <v>24</v>
      </c>
      <c r="E96" s="22" t="n">
        <v>1</v>
      </c>
      <c r="F96" s="6" t="inlineStr">
        <is>
          <t>pç</t>
        </is>
      </c>
      <c r="G96" s="6" t="inlineStr">
        <is>
          <t>30x30x15CM</t>
        </is>
      </c>
      <c r="H96" s="4" t="inlineStr">
        <is>
          <t>GARAGEM G5 - TORRE A</t>
        </is>
      </c>
      <c r="I96" s="23" t="n">
        <v>240</v>
      </c>
      <c r="J96" s="23">
        <f>E96*I96</f>
        <v/>
      </c>
      <c r="K96" s="4" t="inlineStr">
        <is>
          <t>8-20 dm3</t>
        </is>
      </c>
    </row>
    <row r="97">
      <c r="A97" s="4" t="inlineStr">
        <is>
          <t>06º G5</t>
        </is>
      </c>
      <c r="B97" s="6" t="inlineStr">
        <is>
          <t>A</t>
        </is>
      </c>
      <c r="C97" s="6" t="inlineStr">
        <is>
          <t>Prev</t>
        </is>
      </c>
      <c r="D97" s="6" t="n">
        <v>25</v>
      </c>
      <c r="E97" s="22" t="n">
        <v>1</v>
      </c>
      <c r="F97" s="6" t="inlineStr">
        <is>
          <t>pç</t>
        </is>
      </c>
      <c r="G97" s="6" t="inlineStr">
        <is>
          <t>50X60X20CM</t>
        </is>
      </c>
      <c r="H97" s="4" t="inlineStr">
        <is>
          <t>GARAGEM G5 - TORRE A</t>
        </is>
      </c>
      <c r="I97" s="23" t="n">
        <v>680</v>
      </c>
      <c r="J97" s="23">
        <f>E97*I97</f>
        <v/>
      </c>
      <c r="K97" s="4" t="inlineStr">
        <is>
          <t>&gt; 40 dm3</t>
        </is>
      </c>
    </row>
    <row r="98">
      <c r="A98" s="15" t="inlineStr">
        <is>
          <t>06º G5</t>
        </is>
      </c>
      <c r="B98" s="27" t="inlineStr">
        <is>
          <t>B</t>
        </is>
      </c>
      <c r="C98" s="27" t="inlineStr">
        <is>
          <t>Exec</t>
        </is>
      </c>
      <c r="D98" s="27" t="n">
        <v>62</v>
      </c>
      <c r="E98" s="28" t="n">
        <v>1</v>
      </c>
      <c r="F98" s="27" t="inlineStr">
        <is>
          <t>pç</t>
        </is>
      </c>
      <c r="G98" s="27" t="inlineStr">
        <is>
          <t>VERIFICAR DIAGRAMA</t>
        </is>
      </c>
      <c r="H98" s="15" t="inlineStr">
        <is>
          <t>GARAGEM G5 - TORRE B</t>
        </is>
      </c>
      <c r="I98" s="29" t="n">
        <v>150</v>
      </c>
      <c r="J98" s="29">
        <f>E98*I98</f>
        <v/>
      </c>
      <c r="K98" s="15" t="inlineStr">
        <is>
          <t>fallback (dim VERIFICAR DIAGRAMA)</t>
        </is>
      </c>
    </row>
    <row r="99">
      <c r="A99" s="15" t="inlineStr">
        <is>
          <t>06º G5</t>
        </is>
      </c>
      <c r="B99" s="27" t="inlineStr">
        <is>
          <t>B</t>
        </is>
      </c>
      <c r="C99" s="27" t="inlineStr">
        <is>
          <t>Exec</t>
        </is>
      </c>
      <c r="D99" s="27" t="n">
        <v>63</v>
      </c>
      <c r="E99" s="28" t="n">
        <v>1</v>
      </c>
      <c r="F99" s="27" t="inlineStr">
        <is>
          <t>pç</t>
        </is>
      </c>
      <c r="G99" s="27" t="inlineStr">
        <is>
          <t>VERIFICAR DIAGRAMA</t>
        </is>
      </c>
      <c r="H99" s="15" t="inlineStr">
        <is>
          <t>GARAGEM G5 - TORRE B</t>
        </is>
      </c>
      <c r="I99" s="29" t="n">
        <v>150</v>
      </c>
      <c r="J99" s="29">
        <f>E99*I99</f>
        <v/>
      </c>
      <c r="K99" s="15" t="inlineStr">
        <is>
          <t>fallback (dim VERIFICAR DIAGRAMA)</t>
        </is>
      </c>
    </row>
    <row r="100">
      <c r="A100" s="15" t="inlineStr">
        <is>
          <t>06º G5</t>
        </is>
      </c>
      <c r="B100" s="27" t="inlineStr">
        <is>
          <t>B</t>
        </is>
      </c>
      <c r="C100" s="27" t="inlineStr">
        <is>
          <t>Exec</t>
        </is>
      </c>
      <c r="D100" s="27" t="n">
        <v>64</v>
      </c>
      <c r="E100" s="28" t="n">
        <v>1</v>
      </c>
      <c r="F100" s="27" t="inlineStr">
        <is>
          <t>pç</t>
        </is>
      </c>
      <c r="G100" s="27" t="inlineStr">
        <is>
          <t>VERIFICAR DIAGRAMA</t>
        </is>
      </c>
      <c r="H100" s="15" t="inlineStr">
        <is>
          <t>GARAGEM G5 - TORRE B</t>
        </is>
      </c>
      <c r="I100" s="29" t="n">
        <v>150</v>
      </c>
      <c r="J100" s="29">
        <f>E100*I100</f>
        <v/>
      </c>
      <c r="K100" s="15" t="inlineStr">
        <is>
          <t>fallback (dim VERIFICAR DIAGRAMA)</t>
        </is>
      </c>
    </row>
    <row r="101">
      <c r="A101" s="4" t="inlineStr">
        <is>
          <t>06º G5</t>
        </is>
      </c>
      <c r="B101" s="6" t="inlineStr">
        <is>
          <t>B</t>
        </is>
      </c>
      <c r="C101" s="6" t="inlineStr">
        <is>
          <t>Exec</t>
        </is>
      </c>
      <c r="D101" s="6" t="n">
        <v>65</v>
      </c>
      <c r="E101" s="22" t="n">
        <v>1</v>
      </c>
      <c r="F101" s="6" t="inlineStr">
        <is>
          <t>pç</t>
        </is>
      </c>
      <c r="G101" s="6" t="inlineStr">
        <is>
          <t>15x15x10CM</t>
        </is>
      </c>
      <c r="H101" s="4" t="inlineStr">
        <is>
          <t>GARAGEM G5 - TORRE B</t>
        </is>
      </c>
      <c r="I101" s="23" t="n">
        <v>75</v>
      </c>
      <c r="J101" s="23">
        <f>E101*I101</f>
        <v/>
      </c>
      <c r="K101" s="4" t="inlineStr">
        <is>
          <t>&lt;= 3 dm3</t>
        </is>
      </c>
    </row>
    <row r="102">
      <c r="A102" s="15" t="inlineStr">
        <is>
          <t>06º G5</t>
        </is>
      </c>
      <c r="B102" s="27" t="inlineStr">
        <is>
          <t>B</t>
        </is>
      </c>
      <c r="C102" s="27" t="inlineStr">
        <is>
          <t>Exec</t>
        </is>
      </c>
      <c r="D102" s="27" t="n">
        <v>66</v>
      </c>
      <c r="E102" s="28" t="n">
        <v>1</v>
      </c>
      <c r="F102" s="27" t="inlineStr">
        <is>
          <t>pç</t>
        </is>
      </c>
      <c r="G102" s="27" t="inlineStr">
        <is>
          <t>VERIFICAR DIAGRAMA</t>
        </is>
      </c>
      <c r="H102" s="15" t="inlineStr">
        <is>
          <t>GARAGEM G5 - TORRE B</t>
        </is>
      </c>
      <c r="I102" s="29" t="n">
        <v>150</v>
      </c>
      <c r="J102" s="29">
        <f>E102*I102</f>
        <v/>
      </c>
      <c r="K102" s="15" t="inlineStr">
        <is>
          <t>fallback (dim VERIFICAR DIAGRAMA)</t>
        </is>
      </c>
    </row>
    <row r="103">
      <c r="A103" s="4" t="inlineStr">
        <is>
          <t>06º G5</t>
        </is>
      </c>
      <c r="B103" s="6" t="inlineStr">
        <is>
          <t>B</t>
        </is>
      </c>
      <c r="C103" s="6" t="inlineStr">
        <is>
          <t>Prev</t>
        </is>
      </c>
      <c r="D103" s="6" t="n">
        <v>26</v>
      </c>
      <c r="E103" s="22" t="n">
        <v>1</v>
      </c>
      <c r="F103" s="6" t="inlineStr">
        <is>
          <t>pç</t>
        </is>
      </c>
      <c r="G103" s="6" t="inlineStr">
        <is>
          <t>15x15x10CM</t>
        </is>
      </c>
      <c r="H103" s="4" t="inlineStr">
        <is>
          <t>GARAGEM G5 - TORRE B</t>
        </is>
      </c>
      <c r="I103" s="23" t="n">
        <v>75</v>
      </c>
      <c r="J103" s="23">
        <f>E103*I103</f>
        <v/>
      </c>
      <c r="K103" s="4" t="inlineStr">
        <is>
          <t>&lt;= 3 dm3</t>
        </is>
      </c>
    </row>
    <row r="104">
      <c r="A104" s="4" t="inlineStr">
        <is>
          <t>06º G5</t>
        </is>
      </c>
      <c r="B104" s="6" t="inlineStr">
        <is>
          <t>B</t>
        </is>
      </c>
      <c r="C104" s="6" t="inlineStr">
        <is>
          <t>Prev</t>
        </is>
      </c>
      <c r="D104" s="6" t="n">
        <v>27</v>
      </c>
      <c r="E104" s="22" t="n">
        <v>2</v>
      </c>
      <c r="F104" s="6" t="inlineStr">
        <is>
          <t>pç</t>
        </is>
      </c>
      <c r="G104" s="6" t="inlineStr">
        <is>
          <t>50X60X20CM</t>
        </is>
      </c>
      <c r="H104" s="4" t="inlineStr">
        <is>
          <t>GARAGEM G5 - TORRE B</t>
        </is>
      </c>
      <c r="I104" s="23" t="n">
        <v>680</v>
      </c>
      <c r="J104" s="23">
        <f>E104*I104</f>
        <v/>
      </c>
      <c r="K104" s="4" t="inlineStr">
        <is>
          <t>&gt; 40 dm3</t>
        </is>
      </c>
    </row>
    <row r="105">
      <c r="A105" s="4" t="inlineStr">
        <is>
          <t>06º G5</t>
        </is>
      </c>
      <c r="B105" s="6" t="inlineStr">
        <is>
          <t>B</t>
        </is>
      </c>
      <c r="C105" s="6" t="inlineStr">
        <is>
          <t>Prev</t>
        </is>
      </c>
      <c r="D105" s="6" t="n">
        <v>28</v>
      </c>
      <c r="E105" s="22" t="n">
        <v>1</v>
      </c>
      <c r="F105" s="6" t="inlineStr">
        <is>
          <t>pç</t>
        </is>
      </c>
      <c r="G105" s="6" t="inlineStr">
        <is>
          <t>30x30x15CM</t>
        </is>
      </c>
      <c r="H105" s="4" t="inlineStr">
        <is>
          <t>GARAGEM G5 - TORRE B</t>
        </is>
      </c>
      <c r="I105" s="23" t="n">
        <v>240</v>
      </c>
      <c r="J105" s="23">
        <f>E105*I105</f>
        <v/>
      </c>
      <c r="K105" s="4" t="inlineStr">
        <is>
          <t>8-20 dm3</t>
        </is>
      </c>
    </row>
    <row r="106">
      <c r="A106" s="24" t="inlineStr">
        <is>
          <t>Subtotal — 06º G5</t>
        </is>
      </c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6">
        <f>SUM(J89:J105)</f>
        <v/>
      </c>
      <c r="K106" s="25" t="n"/>
    </row>
    <row r="107">
      <c r="A107" s="4" t="inlineStr">
        <is>
          <t>07º Lazer</t>
        </is>
      </c>
      <c r="B107" s="6" t="inlineStr">
        <is>
          <t>A</t>
        </is>
      </c>
      <c r="C107" s="6" t="inlineStr">
        <is>
          <t>Exec</t>
        </is>
      </c>
      <c r="D107" s="6" t="n">
        <v>67</v>
      </c>
      <c r="E107" s="22" t="n">
        <v>1</v>
      </c>
      <c r="F107" s="6" t="inlineStr">
        <is>
          <t>pç</t>
        </is>
      </c>
      <c r="G107" s="6" t="inlineStr">
        <is>
          <t>60x40x12CM</t>
        </is>
      </c>
      <c r="H107" s="4" t="inlineStr">
        <is>
          <t>LAZER - TORRE A</t>
        </is>
      </c>
      <c r="I107" s="23" t="n">
        <v>420</v>
      </c>
      <c r="J107" s="23">
        <f>E107*I107</f>
        <v/>
      </c>
      <c r="K107" s="4" t="inlineStr">
        <is>
          <t>20-40 dm3</t>
        </is>
      </c>
    </row>
    <row r="108">
      <c r="A108" s="4" t="inlineStr">
        <is>
          <t>07º Lazer</t>
        </is>
      </c>
      <c r="B108" s="6" t="inlineStr">
        <is>
          <t>A</t>
        </is>
      </c>
      <c r="C108" s="6" t="inlineStr">
        <is>
          <t>Exec</t>
        </is>
      </c>
      <c r="D108" s="6" t="n">
        <v>68</v>
      </c>
      <c r="E108" s="22" t="n">
        <v>1</v>
      </c>
      <c r="F108" s="6" t="inlineStr">
        <is>
          <t>pç</t>
        </is>
      </c>
      <c r="G108" s="6" t="inlineStr">
        <is>
          <t>15x15x10CM</t>
        </is>
      </c>
      <c r="H108" s="4" t="inlineStr">
        <is>
          <t>LAZER - TORRE A</t>
        </is>
      </c>
      <c r="I108" s="23" t="n">
        <v>75</v>
      </c>
      <c r="J108" s="23">
        <f>E108*I108</f>
        <v/>
      </c>
      <c r="K108" s="4" t="inlineStr">
        <is>
          <t>&lt;= 3 dm3</t>
        </is>
      </c>
    </row>
    <row r="109">
      <c r="A109" s="4" t="inlineStr">
        <is>
          <t>07º Lazer</t>
        </is>
      </c>
      <c r="B109" s="6" t="inlineStr">
        <is>
          <t>A</t>
        </is>
      </c>
      <c r="C109" s="6" t="inlineStr">
        <is>
          <t>Exec</t>
        </is>
      </c>
      <c r="D109" s="6" t="n">
        <v>69</v>
      </c>
      <c r="E109" s="22" t="n">
        <v>1</v>
      </c>
      <c r="F109" s="6" t="inlineStr">
        <is>
          <t>pç</t>
        </is>
      </c>
      <c r="G109" s="6" t="inlineStr">
        <is>
          <t>40x40x12CM</t>
        </is>
      </c>
      <c r="H109" s="4" t="inlineStr">
        <is>
          <t>LAZER - TORRE A</t>
        </is>
      </c>
      <c r="I109" s="23" t="n">
        <v>240</v>
      </c>
      <c r="J109" s="23">
        <f>E109*I109</f>
        <v/>
      </c>
      <c r="K109" s="4" t="inlineStr">
        <is>
          <t>8-20 dm3</t>
        </is>
      </c>
    </row>
    <row r="110">
      <c r="A110" s="15" t="inlineStr">
        <is>
          <t>07º Lazer</t>
        </is>
      </c>
      <c r="B110" s="27" t="inlineStr">
        <is>
          <t>A</t>
        </is>
      </c>
      <c r="C110" s="27" t="inlineStr">
        <is>
          <t>Exec</t>
        </is>
      </c>
      <c r="D110" s="27" t="n">
        <v>70</v>
      </c>
      <c r="E110" s="28" t="n">
        <v>1</v>
      </c>
      <c r="F110" s="27" t="inlineStr">
        <is>
          <t>pç</t>
        </is>
      </c>
      <c r="G110" s="27" t="inlineStr">
        <is>
          <t>VER PROJ. EQUIPAMENT.</t>
        </is>
      </c>
      <c r="H110" s="15" t="inlineStr">
        <is>
          <t>LAZER - TORRE A</t>
        </is>
      </c>
      <c r="I110" s="29" t="n">
        <v>150</v>
      </c>
      <c r="J110" s="29">
        <f>E110*I110</f>
        <v/>
      </c>
      <c r="K110" s="15" t="inlineStr">
        <is>
          <t>fallback (dim VERIFICAR DIAGRAMA)</t>
        </is>
      </c>
    </row>
    <row r="111">
      <c r="A111" s="15" t="inlineStr">
        <is>
          <t>07º Lazer</t>
        </is>
      </c>
      <c r="B111" s="27" t="inlineStr">
        <is>
          <t>A</t>
        </is>
      </c>
      <c r="C111" s="27" t="inlineStr">
        <is>
          <t>Exec</t>
        </is>
      </c>
      <c r="D111" s="27" t="n">
        <v>71</v>
      </c>
      <c r="E111" s="28" t="n">
        <v>1</v>
      </c>
      <c r="F111" s="27" t="inlineStr">
        <is>
          <t>pç</t>
        </is>
      </c>
      <c r="G111" s="27" t="inlineStr">
        <is>
          <t>VER PROJ. EQUIPAMENT.</t>
        </is>
      </c>
      <c r="H111" s="15" t="inlineStr">
        <is>
          <t>LAZER - TORRE A</t>
        </is>
      </c>
      <c r="I111" s="29" t="n">
        <v>150</v>
      </c>
      <c r="J111" s="29">
        <f>E111*I111</f>
        <v/>
      </c>
      <c r="K111" s="15" t="inlineStr">
        <is>
          <t>fallback (dim VERIFICAR DIAGRAMA)</t>
        </is>
      </c>
    </row>
    <row r="112">
      <c r="A112" s="15" t="inlineStr">
        <is>
          <t>07º Lazer</t>
        </is>
      </c>
      <c r="B112" s="27" t="inlineStr">
        <is>
          <t>A</t>
        </is>
      </c>
      <c r="C112" s="27" t="inlineStr">
        <is>
          <t>Exec</t>
        </is>
      </c>
      <c r="D112" s="27" t="n">
        <v>72</v>
      </c>
      <c r="E112" s="28" t="n">
        <v>1</v>
      </c>
      <c r="F112" s="27" t="inlineStr">
        <is>
          <t>pç</t>
        </is>
      </c>
      <c r="G112" s="27" t="inlineStr">
        <is>
          <t>VERIFICAR DIAGRAMA</t>
        </is>
      </c>
      <c r="H112" s="15" t="inlineStr">
        <is>
          <t>LAZER - TORRE A</t>
        </is>
      </c>
      <c r="I112" s="29" t="n">
        <v>150</v>
      </c>
      <c r="J112" s="29">
        <f>E112*I112</f>
        <v/>
      </c>
      <c r="K112" s="15" t="inlineStr">
        <is>
          <t>fallback (dim VERIFICAR DIAGRAMA)</t>
        </is>
      </c>
    </row>
    <row r="113">
      <c r="A113" s="15" t="inlineStr">
        <is>
          <t>07º Lazer</t>
        </is>
      </c>
      <c r="B113" s="27" t="inlineStr">
        <is>
          <t>A</t>
        </is>
      </c>
      <c r="C113" s="27" t="inlineStr">
        <is>
          <t>Exec</t>
        </is>
      </c>
      <c r="D113" s="27" t="n">
        <v>73</v>
      </c>
      <c r="E113" s="28" t="n">
        <v>1</v>
      </c>
      <c r="F113" s="27" t="inlineStr">
        <is>
          <t>pç</t>
        </is>
      </c>
      <c r="G113" s="27" t="inlineStr">
        <is>
          <t>VERIFICAR DIAGRAMA</t>
        </is>
      </c>
      <c r="H113" s="15" t="inlineStr">
        <is>
          <t>LAZER - TORRE A</t>
        </is>
      </c>
      <c r="I113" s="29" t="n">
        <v>150</v>
      </c>
      <c r="J113" s="29">
        <f>E113*I113</f>
        <v/>
      </c>
      <c r="K113" s="15" t="inlineStr">
        <is>
          <t>fallback (dim VERIFICAR DIAGRAMA)</t>
        </is>
      </c>
    </row>
    <row r="114">
      <c r="A114" s="15" t="inlineStr">
        <is>
          <t>07º Lazer</t>
        </is>
      </c>
      <c r="B114" s="27" t="inlineStr">
        <is>
          <t>A</t>
        </is>
      </c>
      <c r="C114" s="27" t="inlineStr">
        <is>
          <t>Exec</t>
        </is>
      </c>
      <c r="D114" s="27" t="n">
        <v>74</v>
      </c>
      <c r="E114" s="28" t="n">
        <v>1</v>
      </c>
      <c r="F114" s="27" t="inlineStr">
        <is>
          <t>pç</t>
        </is>
      </c>
      <c r="G114" s="27" t="inlineStr">
        <is>
          <t>VERIFICAR DIAGRAMA</t>
        </is>
      </c>
      <c r="H114" s="15" t="inlineStr">
        <is>
          <t>LAZER - TORRE A</t>
        </is>
      </c>
      <c r="I114" s="29" t="n">
        <v>150</v>
      </c>
      <c r="J114" s="29">
        <f>E114*I114</f>
        <v/>
      </c>
      <c r="K114" s="15" t="inlineStr">
        <is>
          <t>fallback (dim VERIFICAR DIAGRAMA)</t>
        </is>
      </c>
    </row>
    <row r="115">
      <c r="A115" s="15" t="inlineStr">
        <is>
          <t>07º Lazer</t>
        </is>
      </c>
      <c r="B115" s="27" t="inlineStr">
        <is>
          <t>A</t>
        </is>
      </c>
      <c r="C115" s="27" t="inlineStr">
        <is>
          <t>Exec</t>
        </is>
      </c>
      <c r="D115" s="27" t="n">
        <v>75</v>
      </c>
      <c r="E115" s="28" t="n">
        <v>1</v>
      </c>
      <c r="F115" s="27" t="inlineStr">
        <is>
          <t>pç</t>
        </is>
      </c>
      <c r="G115" s="27" t="inlineStr">
        <is>
          <t>VERIFICAR DIAGRAMA</t>
        </is>
      </c>
      <c r="H115" s="15" t="inlineStr">
        <is>
          <t>LAZER - TORRE A</t>
        </is>
      </c>
      <c r="I115" s="29" t="n">
        <v>150</v>
      </c>
      <c r="J115" s="29">
        <f>E115*I115</f>
        <v/>
      </c>
      <c r="K115" s="15" t="inlineStr">
        <is>
          <t>fallback (dim VERIFICAR DIAGRAMA)</t>
        </is>
      </c>
    </row>
    <row r="116">
      <c r="A116" s="4" t="inlineStr">
        <is>
          <t>07º Lazer</t>
        </is>
      </c>
      <c r="B116" s="6" t="inlineStr">
        <is>
          <t>A</t>
        </is>
      </c>
      <c r="C116" s="6" t="inlineStr">
        <is>
          <t>Prev</t>
        </is>
      </c>
      <c r="D116" s="6" t="n">
        <v>29</v>
      </c>
      <c r="E116" s="22" t="n">
        <v>1</v>
      </c>
      <c r="F116" s="6" t="inlineStr">
        <is>
          <t>pç</t>
        </is>
      </c>
      <c r="G116" s="6" t="inlineStr">
        <is>
          <t>30x30x15CM</t>
        </is>
      </c>
      <c r="H116" s="4" t="inlineStr">
        <is>
          <t>LAZER - TORRE A</t>
        </is>
      </c>
      <c r="I116" s="23" t="n">
        <v>240</v>
      </c>
      <c r="J116" s="23">
        <f>E116*I116</f>
        <v/>
      </c>
      <c r="K116" s="4" t="inlineStr">
        <is>
          <t>8-20 dm3</t>
        </is>
      </c>
    </row>
    <row r="117">
      <c r="A117" s="4" t="inlineStr">
        <is>
          <t>07º Lazer</t>
        </is>
      </c>
      <c r="B117" s="6" t="inlineStr">
        <is>
          <t>A</t>
        </is>
      </c>
      <c r="C117" s="6" t="inlineStr">
        <is>
          <t>Prev</t>
        </is>
      </c>
      <c r="D117" s="6" t="n">
        <v>30</v>
      </c>
      <c r="E117" s="22" t="n">
        <v>1</v>
      </c>
      <c r="F117" s="6" t="inlineStr">
        <is>
          <t>pç</t>
        </is>
      </c>
      <c r="G117" s="6" t="inlineStr">
        <is>
          <t>15x15x10CM</t>
        </is>
      </c>
      <c r="H117" s="4" t="inlineStr">
        <is>
          <t>LAZER - TORRE A</t>
        </is>
      </c>
      <c r="I117" s="23" t="n">
        <v>75</v>
      </c>
      <c r="J117" s="23">
        <f>E117*I117</f>
        <v/>
      </c>
      <c r="K117" s="4" t="inlineStr">
        <is>
          <t>&lt;= 3 dm3</t>
        </is>
      </c>
    </row>
    <row r="118">
      <c r="A118" s="4" t="inlineStr">
        <is>
          <t>07º Lazer</t>
        </is>
      </c>
      <c r="B118" s="6" t="inlineStr">
        <is>
          <t>A</t>
        </is>
      </c>
      <c r="C118" s="6" t="inlineStr">
        <is>
          <t>Prev</t>
        </is>
      </c>
      <c r="D118" s="6" t="n">
        <v>31</v>
      </c>
      <c r="E118" s="22" t="n">
        <v>1</v>
      </c>
      <c r="F118" s="6" t="inlineStr">
        <is>
          <t>pç</t>
        </is>
      </c>
      <c r="G118" s="6" t="inlineStr">
        <is>
          <t>30x30x20CM</t>
        </is>
      </c>
      <c r="H118" s="4" t="inlineStr">
        <is>
          <t>LAZER - TORRE A</t>
        </is>
      </c>
      <c r="I118" s="23" t="n">
        <v>240</v>
      </c>
      <c r="J118" s="23">
        <f>E118*I118</f>
        <v/>
      </c>
      <c r="K118" s="4" t="inlineStr">
        <is>
          <t>8-20 dm3</t>
        </is>
      </c>
    </row>
    <row r="119">
      <c r="A119" s="4" t="inlineStr">
        <is>
          <t>07º Lazer</t>
        </is>
      </c>
      <c r="B119" s="6" t="inlineStr">
        <is>
          <t>A</t>
        </is>
      </c>
      <c r="C119" s="6" t="inlineStr">
        <is>
          <t>Prev</t>
        </is>
      </c>
      <c r="D119" s="6" t="n">
        <v>32</v>
      </c>
      <c r="E119" s="22" t="n">
        <v>1</v>
      </c>
      <c r="F119" s="6" t="inlineStr">
        <is>
          <t>pç</t>
        </is>
      </c>
      <c r="G119" s="6" t="inlineStr">
        <is>
          <t>50X60X20CM</t>
        </is>
      </c>
      <c r="H119" s="4" t="inlineStr">
        <is>
          <t>LAZER - TORRE A</t>
        </is>
      </c>
      <c r="I119" s="23" t="n">
        <v>680</v>
      </c>
      <c r="J119" s="23">
        <f>E119*I119</f>
        <v/>
      </c>
      <c r="K119" s="4" t="inlineStr">
        <is>
          <t>&gt; 40 dm3</t>
        </is>
      </c>
    </row>
    <row r="120">
      <c r="A120" s="4" t="inlineStr">
        <is>
          <t>07º Lazer</t>
        </is>
      </c>
      <c r="B120" s="6" t="inlineStr">
        <is>
          <t>B</t>
        </is>
      </c>
      <c r="C120" s="6" t="inlineStr">
        <is>
          <t>Exec</t>
        </is>
      </c>
      <c r="D120" s="6" t="n">
        <v>76</v>
      </c>
      <c r="E120" s="22" t="n">
        <v>2</v>
      </c>
      <c r="F120" s="6" t="inlineStr">
        <is>
          <t>pç</t>
        </is>
      </c>
      <c r="G120" s="6" t="inlineStr">
        <is>
          <t>40x40x12CM</t>
        </is>
      </c>
      <c r="H120" s="4" t="inlineStr">
        <is>
          <t>LAZER - TORRE B</t>
        </is>
      </c>
      <c r="I120" s="23" t="n">
        <v>240</v>
      </c>
      <c r="J120" s="23">
        <f>E120*I120</f>
        <v/>
      </c>
      <c r="K120" s="4" t="inlineStr">
        <is>
          <t>8-20 dm3</t>
        </is>
      </c>
    </row>
    <row r="121">
      <c r="A121" s="4" t="inlineStr">
        <is>
          <t>07º Lazer</t>
        </is>
      </c>
      <c r="B121" s="6" t="inlineStr">
        <is>
          <t>B</t>
        </is>
      </c>
      <c r="C121" s="6" t="inlineStr">
        <is>
          <t>Exec</t>
        </is>
      </c>
      <c r="D121" s="6" t="n">
        <v>77</v>
      </c>
      <c r="E121" s="22" t="n">
        <v>1</v>
      </c>
      <c r="F121" s="6" t="inlineStr">
        <is>
          <t>pç</t>
        </is>
      </c>
      <c r="G121" s="6" t="inlineStr">
        <is>
          <t>15x15x10CM</t>
        </is>
      </c>
      <c r="H121" s="4" t="inlineStr">
        <is>
          <t>LAZER - TORRE B</t>
        </is>
      </c>
      <c r="I121" s="23" t="n">
        <v>75</v>
      </c>
      <c r="J121" s="23">
        <f>E121*I121</f>
        <v/>
      </c>
      <c r="K121" s="4" t="inlineStr">
        <is>
          <t>&lt;= 3 dm3</t>
        </is>
      </c>
    </row>
    <row r="122">
      <c r="A122" s="15" t="inlineStr">
        <is>
          <t>07º Lazer</t>
        </is>
      </c>
      <c r="B122" s="27" t="inlineStr">
        <is>
          <t>B</t>
        </is>
      </c>
      <c r="C122" s="27" t="inlineStr">
        <is>
          <t>Exec</t>
        </is>
      </c>
      <c r="D122" s="27" t="n">
        <v>78</v>
      </c>
      <c r="E122" s="28" t="n">
        <v>1</v>
      </c>
      <c r="F122" s="27" t="inlineStr">
        <is>
          <t>pç</t>
        </is>
      </c>
      <c r="G122" s="27" t="inlineStr">
        <is>
          <t>VER PROJ. EQUIPAMENT.</t>
        </is>
      </c>
      <c r="H122" s="15" t="inlineStr">
        <is>
          <t>LAZER - TORRE B</t>
        </is>
      </c>
      <c r="I122" s="29" t="n">
        <v>150</v>
      </c>
      <c r="J122" s="29">
        <f>E122*I122</f>
        <v/>
      </c>
      <c r="K122" s="15" t="inlineStr">
        <is>
          <t>fallback (dim VERIFICAR DIAGRAMA)</t>
        </is>
      </c>
    </row>
    <row r="123">
      <c r="A123" s="15" t="inlineStr">
        <is>
          <t>07º Lazer</t>
        </is>
      </c>
      <c r="B123" s="27" t="inlineStr">
        <is>
          <t>B</t>
        </is>
      </c>
      <c r="C123" s="27" t="inlineStr">
        <is>
          <t>Exec</t>
        </is>
      </c>
      <c r="D123" s="27" t="n">
        <v>79</v>
      </c>
      <c r="E123" s="28" t="n">
        <v>1</v>
      </c>
      <c r="F123" s="27" t="inlineStr">
        <is>
          <t>pç</t>
        </is>
      </c>
      <c r="G123" s="27" t="inlineStr">
        <is>
          <t>VER PROJ. EQUIPAMENT.</t>
        </is>
      </c>
      <c r="H123" s="15" t="inlineStr">
        <is>
          <t>LAZER - TORRE B</t>
        </is>
      </c>
      <c r="I123" s="29" t="n">
        <v>150</v>
      </c>
      <c r="J123" s="29">
        <f>E123*I123</f>
        <v/>
      </c>
      <c r="K123" s="15" t="inlineStr">
        <is>
          <t>fallback (dim VERIFICAR DIAGRAMA)</t>
        </is>
      </c>
    </row>
    <row r="124">
      <c r="A124" s="15" t="inlineStr">
        <is>
          <t>07º Lazer</t>
        </is>
      </c>
      <c r="B124" s="27" t="inlineStr">
        <is>
          <t>B</t>
        </is>
      </c>
      <c r="C124" s="27" t="inlineStr">
        <is>
          <t>Exec</t>
        </is>
      </c>
      <c r="D124" s="27" t="n">
        <v>80</v>
      </c>
      <c r="E124" s="28" t="n">
        <v>1</v>
      </c>
      <c r="F124" s="27" t="inlineStr">
        <is>
          <t>pç</t>
        </is>
      </c>
      <c r="G124" s="27" t="inlineStr">
        <is>
          <t>VERIFICAR DIAGRAMA</t>
        </is>
      </c>
      <c r="H124" s="15" t="inlineStr">
        <is>
          <t>LAZER - TORRE B</t>
        </is>
      </c>
      <c r="I124" s="29" t="n">
        <v>150</v>
      </c>
      <c r="J124" s="29">
        <f>E124*I124</f>
        <v/>
      </c>
      <c r="K124" s="15" t="inlineStr">
        <is>
          <t>fallback (dim VERIFICAR DIAGRAMA)</t>
        </is>
      </c>
    </row>
    <row r="125">
      <c r="A125" s="15" t="inlineStr">
        <is>
          <t>07º Lazer</t>
        </is>
      </c>
      <c r="B125" s="27" t="inlineStr">
        <is>
          <t>B</t>
        </is>
      </c>
      <c r="C125" s="27" t="inlineStr">
        <is>
          <t>Exec</t>
        </is>
      </c>
      <c r="D125" s="27" t="n">
        <v>81</v>
      </c>
      <c r="E125" s="28" t="n">
        <v>1</v>
      </c>
      <c r="F125" s="27" t="inlineStr">
        <is>
          <t>pç</t>
        </is>
      </c>
      <c r="G125" s="27" t="inlineStr">
        <is>
          <t>VERIFICAR DIAGRAMA</t>
        </is>
      </c>
      <c r="H125" s="15" t="inlineStr">
        <is>
          <t>LAZER - TORRE B</t>
        </is>
      </c>
      <c r="I125" s="29" t="n">
        <v>150</v>
      </c>
      <c r="J125" s="29">
        <f>E125*I125</f>
        <v/>
      </c>
      <c r="K125" s="15" t="inlineStr">
        <is>
          <t>fallback (dim VERIFICAR DIAGRAMA)</t>
        </is>
      </c>
    </row>
    <row r="126">
      <c r="A126" s="4" t="inlineStr">
        <is>
          <t>07º Lazer</t>
        </is>
      </c>
      <c r="B126" s="6" t="inlineStr">
        <is>
          <t>B</t>
        </is>
      </c>
      <c r="C126" s="6" t="inlineStr">
        <is>
          <t>Prev</t>
        </is>
      </c>
      <c r="D126" s="6" t="n">
        <v>33</v>
      </c>
      <c r="E126" s="22" t="n">
        <v>1</v>
      </c>
      <c r="F126" s="6" t="inlineStr">
        <is>
          <t>pç</t>
        </is>
      </c>
      <c r="G126" s="6" t="inlineStr">
        <is>
          <t>15x15x10CM</t>
        </is>
      </c>
      <c r="H126" s="4" t="inlineStr">
        <is>
          <t>LAZER - TORRE B</t>
        </is>
      </c>
      <c r="I126" s="23" t="n">
        <v>75</v>
      </c>
      <c r="J126" s="23">
        <f>E126*I126</f>
        <v/>
      </c>
      <c r="K126" s="4" t="inlineStr">
        <is>
          <t>&lt;= 3 dm3</t>
        </is>
      </c>
    </row>
    <row r="127">
      <c r="A127" s="4" t="inlineStr">
        <is>
          <t>07º Lazer</t>
        </is>
      </c>
      <c r="B127" s="6" t="inlineStr">
        <is>
          <t>B</t>
        </is>
      </c>
      <c r="C127" s="6" t="inlineStr">
        <is>
          <t>Prev</t>
        </is>
      </c>
      <c r="D127" s="6" t="n">
        <v>34</v>
      </c>
      <c r="E127" s="22" t="n">
        <v>1</v>
      </c>
      <c r="F127" s="6" t="inlineStr">
        <is>
          <t>pç</t>
        </is>
      </c>
      <c r="G127" s="6" t="inlineStr">
        <is>
          <t>30x30x20CM</t>
        </is>
      </c>
      <c r="H127" s="4" t="inlineStr">
        <is>
          <t>LAZER - TORRE B</t>
        </is>
      </c>
      <c r="I127" s="23" t="n">
        <v>240</v>
      </c>
      <c r="J127" s="23">
        <f>E127*I127</f>
        <v/>
      </c>
      <c r="K127" s="4" t="inlineStr">
        <is>
          <t>8-20 dm3</t>
        </is>
      </c>
    </row>
    <row r="128">
      <c r="A128" s="4" t="inlineStr">
        <is>
          <t>07º Lazer</t>
        </is>
      </c>
      <c r="B128" s="6" t="inlineStr">
        <is>
          <t>B</t>
        </is>
      </c>
      <c r="C128" s="6" t="inlineStr">
        <is>
          <t>Prev</t>
        </is>
      </c>
      <c r="D128" s="6" t="n">
        <v>34</v>
      </c>
      <c r="E128" s="22" t="n">
        <v>1</v>
      </c>
      <c r="F128" s="6" t="inlineStr">
        <is>
          <t>pç</t>
        </is>
      </c>
      <c r="G128" s="6" t="inlineStr">
        <is>
          <t>50X60X20CM</t>
        </is>
      </c>
      <c r="H128" s="4" t="inlineStr">
        <is>
          <t>LAZER - TORRE B</t>
        </is>
      </c>
      <c r="I128" s="23" t="n">
        <v>680</v>
      </c>
      <c r="J128" s="23">
        <f>E128*I128</f>
        <v/>
      </c>
      <c r="K128" s="4" t="inlineStr">
        <is>
          <t>&gt; 40 dm3</t>
        </is>
      </c>
    </row>
    <row r="129">
      <c r="A129" s="24" t="inlineStr">
        <is>
          <t>Subtotal — 07º Lazer</t>
        </is>
      </c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6">
        <f>SUM(J107:J128)</f>
        <v/>
      </c>
      <c r="K129" s="25" t="n"/>
    </row>
    <row r="130">
      <c r="A130" s="15" t="inlineStr">
        <is>
          <t>08º-31º Tipo (×24)</t>
        </is>
      </c>
      <c r="B130" s="27" t="inlineStr">
        <is>
          <t>A</t>
        </is>
      </c>
      <c r="C130" s="27" t="inlineStr">
        <is>
          <t>Exec</t>
        </is>
      </c>
      <c r="D130" s="27" t="n">
        <v>82</v>
      </c>
      <c r="E130" s="28" t="n">
        <v>48</v>
      </c>
      <c r="F130" s="27" t="inlineStr">
        <is>
          <t>pç</t>
        </is>
      </c>
      <c r="G130" s="27" t="inlineStr">
        <is>
          <t>VERIFICAR DIAGRAMA</t>
        </is>
      </c>
      <c r="H130" s="15" t="inlineStr">
        <is>
          <t>APTOS 01 &amp; 02 - TORRE A</t>
        </is>
      </c>
      <c r="I130" s="29" t="n">
        <v>150</v>
      </c>
      <c r="J130" s="29">
        <f>E130*I130</f>
        <v/>
      </c>
      <c r="K130" s="15" t="inlineStr">
        <is>
          <t>fallback (dim VERIFICAR DIAGRAMA)</t>
        </is>
      </c>
    </row>
    <row r="131">
      <c r="A131" s="15" t="inlineStr">
        <is>
          <t>08º-31º Tipo (×24)</t>
        </is>
      </c>
      <c r="B131" s="27" t="inlineStr">
        <is>
          <t>A</t>
        </is>
      </c>
      <c r="C131" s="27" t="inlineStr">
        <is>
          <t>Exec</t>
        </is>
      </c>
      <c r="D131" s="27" t="n">
        <v>83</v>
      </c>
      <c r="E131" s="28" t="n">
        <v>48</v>
      </c>
      <c r="F131" s="27" t="inlineStr">
        <is>
          <t>pç</t>
        </is>
      </c>
      <c r="G131" s="27" t="inlineStr">
        <is>
          <t>VERIFICAR DIAGRAMA</t>
        </is>
      </c>
      <c r="H131" s="15" t="inlineStr">
        <is>
          <t>APTOS 03 &amp; 04 - TORRE A</t>
        </is>
      </c>
      <c r="I131" s="29" t="n">
        <v>150</v>
      </c>
      <c r="J131" s="29">
        <f>E131*I131</f>
        <v/>
      </c>
      <c r="K131" s="15" t="inlineStr">
        <is>
          <t>fallback (dim VERIFICAR DIAGRAMA)</t>
        </is>
      </c>
    </row>
    <row r="132">
      <c r="A132" s="4" t="inlineStr">
        <is>
          <t>08º-31º Tipo (×24)</t>
        </is>
      </c>
      <c r="B132" s="6" t="inlineStr">
        <is>
          <t>A</t>
        </is>
      </c>
      <c r="C132" s="6" t="inlineStr">
        <is>
          <t>Exec</t>
        </is>
      </c>
      <c r="D132" s="6" t="n">
        <v>84</v>
      </c>
      <c r="E132" s="22" t="n">
        <v>24</v>
      </c>
      <c r="F132" s="6" t="inlineStr">
        <is>
          <t>pç</t>
        </is>
      </c>
      <c r="G132" s="6" t="inlineStr">
        <is>
          <t>30x30x12CM</t>
        </is>
      </c>
      <c r="H132" s="4" t="inlineStr">
        <is>
          <t>PAVTO. TIPOS - TORRE A</t>
        </is>
      </c>
      <c r="I132" s="23" t="n">
        <v>240</v>
      </c>
      <c r="J132" s="23">
        <f>E132*I132</f>
        <v/>
      </c>
      <c r="K132" s="4" t="inlineStr">
        <is>
          <t>8-20 dm3</t>
        </is>
      </c>
    </row>
    <row r="133">
      <c r="A133" s="4" t="inlineStr">
        <is>
          <t>08º-31º Tipo (×24)</t>
        </is>
      </c>
      <c r="B133" s="6" t="inlineStr">
        <is>
          <t>A</t>
        </is>
      </c>
      <c r="C133" s="6" t="inlineStr">
        <is>
          <t>Exec</t>
        </is>
      </c>
      <c r="D133" s="6" t="n">
        <v>85</v>
      </c>
      <c r="E133" s="22" t="n">
        <v>24</v>
      </c>
      <c r="F133" s="6" t="inlineStr">
        <is>
          <t>pç</t>
        </is>
      </c>
      <c r="G133" s="6" t="inlineStr">
        <is>
          <t>15x15x10CM</t>
        </is>
      </c>
      <c r="H133" s="4" t="inlineStr">
        <is>
          <t>PAVTO. TIPOS - TORRE A</t>
        </is>
      </c>
      <c r="I133" s="23" t="n">
        <v>75</v>
      </c>
      <c r="J133" s="23">
        <f>E133*I133</f>
        <v/>
      </c>
      <c r="K133" s="4" t="inlineStr">
        <is>
          <t>&lt;= 3 dm3</t>
        </is>
      </c>
    </row>
    <row r="134">
      <c r="A134" s="15" t="inlineStr">
        <is>
          <t>08º-31º Tipo (×24)</t>
        </is>
      </c>
      <c r="B134" s="27" t="inlineStr">
        <is>
          <t>A</t>
        </is>
      </c>
      <c r="C134" s="27" t="inlineStr">
        <is>
          <t>Exec</t>
        </is>
      </c>
      <c r="D134" s="27" t="n">
        <v>86</v>
      </c>
      <c r="E134" s="28" t="n">
        <v>13</v>
      </c>
      <c r="F134" s="27" t="inlineStr">
        <is>
          <t>pç</t>
        </is>
      </c>
      <c r="G134" s="27" t="inlineStr">
        <is>
          <t>VERIFICAR DIAGRAMA</t>
        </is>
      </c>
      <c r="H134" s="15" t="inlineStr">
        <is>
          <t>PAVTO. TIPOS - TORRE A</t>
        </is>
      </c>
      <c r="I134" s="29" t="n">
        <v>150</v>
      </c>
      <c r="J134" s="29">
        <f>E134*I134</f>
        <v/>
      </c>
      <c r="K134" s="15" t="inlineStr">
        <is>
          <t>fallback (dim VERIFICAR DIAGRAMA)</t>
        </is>
      </c>
    </row>
    <row r="135">
      <c r="A135" s="15" t="inlineStr">
        <is>
          <t>08º-31º Tipo (×24)</t>
        </is>
      </c>
      <c r="B135" s="27" t="inlineStr">
        <is>
          <t>A</t>
        </is>
      </c>
      <c r="C135" s="27" t="inlineStr">
        <is>
          <t>Exec</t>
        </is>
      </c>
      <c r="D135" s="27" t="n">
        <v>87</v>
      </c>
      <c r="E135" s="28" t="n">
        <v>13</v>
      </c>
      <c r="F135" s="27" t="inlineStr">
        <is>
          <t>pç</t>
        </is>
      </c>
      <c r="G135" s="27" t="inlineStr">
        <is>
          <t>VERIFICAR DIAGRAMA</t>
        </is>
      </c>
      <c r="H135" s="15" t="inlineStr">
        <is>
          <t>PAVTO. TIPOS - TORRE A</t>
        </is>
      </c>
      <c r="I135" s="29" t="n">
        <v>150</v>
      </c>
      <c r="J135" s="29">
        <f>E135*I135</f>
        <v/>
      </c>
      <c r="K135" s="15" t="inlineStr">
        <is>
          <t>fallback (dim VERIFICAR DIAGRAMA)</t>
        </is>
      </c>
    </row>
    <row r="136">
      <c r="A136" s="4" t="inlineStr">
        <is>
          <t>08º-31º Tipo (×24)</t>
        </is>
      </c>
      <c r="B136" s="6" t="inlineStr">
        <is>
          <t>A</t>
        </is>
      </c>
      <c r="C136" s="6" t="inlineStr">
        <is>
          <t>Prev</t>
        </is>
      </c>
      <c r="D136" s="6" t="n">
        <v>35</v>
      </c>
      <c r="E136" s="22" t="n">
        <v>3</v>
      </c>
      <c r="F136" s="6" t="inlineStr">
        <is>
          <t>pç</t>
        </is>
      </c>
      <c r="G136" s="6" t="inlineStr">
        <is>
          <t>30x30x15CM</t>
        </is>
      </c>
      <c r="H136" s="4" t="inlineStr">
        <is>
          <t>PAVTO. TIPOS - TORRE A</t>
        </is>
      </c>
      <c r="I136" s="23" t="n">
        <v>240</v>
      </c>
      <c r="J136" s="23">
        <f>E136*I136</f>
        <v/>
      </c>
      <c r="K136" s="4" t="inlineStr">
        <is>
          <t>8-20 dm3</t>
        </is>
      </c>
    </row>
    <row r="137">
      <c r="A137" s="4" t="inlineStr">
        <is>
          <t>08º-31º Tipo (×24)</t>
        </is>
      </c>
      <c r="B137" s="6" t="inlineStr">
        <is>
          <t>A</t>
        </is>
      </c>
      <c r="C137" s="6" t="inlineStr">
        <is>
          <t>Prev</t>
        </is>
      </c>
      <c r="D137" s="6" t="n">
        <v>36</v>
      </c>
      <c r="E137" s="22" t="n">
        <v>24</v>
      </c>
      <c r="F137" s="6" t="inlineStr">
        <is>
          <t>pç</t>
        </is>
      </c>
      <c r="G137" s="6" t="inlineStr">
        <is>
          <t>15x15x10CM</t>
        </is>
      </c>
      <c r="H137" s="4" t="inlineStr">
        <is>
          <t>PAVTO. TIPOS - TORRE A</t>
        </is>
      </c>
      <c r="I137" s="23" t="n">
        <v>75</v>
      </c>
      <c r="J137" s="23">
        <f>E137*I137</f>
        <v/>
      </c>
      <c r="K137" s="4" t="inlineStr">
        <is>
          <t>&lt;= 3 dm3</t>
        </is>
      </c>
    </row>
    <row r="138">
      <c r="A138" s="4" t="inlineStr">
        <is>
          <t>08º-31º Tipo (×24)</t>
        </is>
      </c>
      <c r="B138" s="6" t="inlineStr">
        <is>
          <t>A</t>
        </is>
      </c>
      <c r="C138" s="6" t="inlineStr">
        <is>
          <t>Prev</t>
        </is>
      </c>
      <c r="D138" s="6" t="n">
        <v>37</v>
      </c>
      <c r="E138" s="22" t="n">
        <v>3</v>
      </c>
      <c r="F138" s="6" t="inlineStr">
        <is>
          <t>pç</t>
        </is>
      </c>
      <c r="G138" s="6" t="inlineStr">
        <is>
          <t>30x30x20CM</t>
        </is>
      </c>
      <c r="H138" s="4" t="inlineStr">
        <is>
          <t>PAVTO. TIPOS - TORRE A</t>
        </is>
      </c>
      <c r="I138" s="23" t="n">
        <v>240</v>
      </c>
      <c r="J138" s="23">
        <f>E138*I138</f>
        <v/>
      </c>
      <c r="K138" s="4" t="inlineStr">
        <is>
          <t>8-20 dm3</t>
        </is>
      </c>
    </row>
    <row r="139">
      <c r="A139" s="4" t="inlineStr">
        <is>
          <t>08º-31º Tipo (×24)</t>
        </is>
      </c>
      <c r="B139" s="6" t="inlineStr">
        <is>
          <t>A</t>
        </is>
      </c>
      <c r="C139" s="6" t="inlineStr">
        <is>
          <t>Prev</t>
        </is>
      </c>
      <c r="D139" s="6" t="n">
        <v>38</v>
      </c>
      <c r="E139" s="22" t="n">
        <v>24</v>
      </c>
      <c r="F139" s="6" t="inlineStr">
        <is>
          <t>pç</t>
        </is>
      </c>
      <c r="G139" s="6" t="inlineStr">
        <is>
          <t>50X60X20CM</t>
        </is>
      </c>
      <c r="H139" s="4" t="inlineStr">
        <is>
          <t>PAVTO. TIPOS - TORRE A</t>
        </is>
      </c>
      <c r="I139" s="23" t="n">
        <v>680</v>
      </c>
      <c r="J139" s="23">
        <f>E139*I139</f>
        <v/>
      </c>
      <c r="K139" s="4" t="inlineStr">
        <is>
          <t>&gt; 40 dm3</t>
        </is>
      </c>
    </row>
    <row r="140">
      <c r="A140" s="15" t="inlineStr">
        <is>
          <t>08º-31º Tipo (×24)</t>
        </is>
      </c>
      <c r="B140" s="27" t="inlineStr">
        <is>
          <t>B</t>
        </is>
      </c>
      <c r="C140" s="27" t="inlineStr">
        <is>
          <t>Exec</t>
        </is>
      </c>
      <c r="D140" s="27" t="n">
        <v>88</v>
      </c>
      <c r="E140" s="28" t="n">
        <v>48</v>
      </c>
      <c r="F140" s="27" t="inlineStr">
        <is>
          <t>pç</t>
        </is>
      </c>
      <c r="G140" s="27" t="inlineStr">
        <is>
          <t>VERIFICAR DIAGRAMA</t>
        </is>
      </c>
      <c r="H140" s="15" t="inlineStr">
        <is>
          <t>PAVTO. TIPOS - TORRE B</t>
        </is>
      </c>
      <c r="I140" s="29" t="n">
        <v>150</v>
      </c>
      <c r="J140" s="29">
        <f>E140*I140</f>
        <v/>
      </c>
      <c r="K140" s="15" t="inlineStr">
        <is>
          <t>fallback (dim VERIFICAR DIAGRAMA)</t>
        </is>
      </c>
    </row>
    <row r="141">
      <c r="A141" s="15" t="inlineStr">
        <is>
          <t>08º-31º Tipo (×24)</t>
        </is>
      </c>
      <c r="B141" s="27" t="inlineStr">
        <is>
          <t>B</t>
        </is>
      </c>
      <c r="C141" s="27" t="inlineStr">
        <is>
          <t>Exec</t>
        </is>
      </c>
      <c r="D141" s="27" t="n">
        <v>89</v>
      </c>
      <c r="E141" s="28" t="n">
        <v>48</v>
      </c>
      <c r="F141" s="27" t="inlineStr">
        <is>
          <t>pç</t>
        </is>
      </c>
      <c r="G141" s="27" t="inlineStr">
        <is>
          <t>VERIFICAR DIAGRAMA</t>
        </is>
      </c>
      <c r="H141" s="15" t="inlineStr">
        <is>
          <t>PAVTO. TIPOS - TORRE B</t>
        </is>
      </c>
      <c r="I141" s="29" t="n">
        <v>150</v>
      </c>
      <c r="J141" s="29">
        <f>E141*I141</f>
        <v/>
      </c>
      <c r="K141" s="15" t="inlineStr">
        <is>
          <t>fallback (dim VERIFICAR DIAGRAMA)</t>
        </is>
      </c>
    </row>
    <row r="142">
      <c r="A142" s="15" t="inlineStr">
        <is>
          <t>08º-31º Tipo (×24)</t>
        </is>
      </c>
      <c r="B142" s="27" t="inlineStr">
        <is>
          <t>B</t>
        </is>
      </c>
      <c r="C142" s="27" t="inlineStr">
        <is>
          <t>Exec</t>
        </is>
      </c>
      <c r="D142" s="27" t="n">
        <v>90</v>
      </c>
      <c r="E142" s="28" t="n">
        <v>24</v>
      </c>
      <c r="F142" s="27" t="inlineStr">
        <is>
          <t>pç</t>
        </is>
      </c>
      <c r="G142" s="27" t="inlineStr">
        <is>
          <t>VERIFICAR DIAGRAMA</t>
        </is>
      </c>
      <c r="H142" s="15" t="inlineStr">
        <is>
          <t>PAVTO. TIPOS - TORRE B</t>
        </is>
      </c>
      <c r="I142" s="29" t="n">
        <v>150</v>
      </c>
      <c r="J142" s="29">
        <f>E142*I142</f>
        <v/>
      </c>
      <c r="K142" s="15" t="inlineStr">
        <is>
          <t>fallback (dim VERIFICAR DIAGRAMA)</t>
        </is>
      </c>
    </row>
    <row r="143">
      <c r="A143" s="15" t="inlineStr">
        <is>
          <t>08º-31º Tipo (×24)</t>
        </is>
      </c>
      <c r="B143" s="27" t="inlineStr">
        <is>
          <t>B</t>
        </is>
      </c>
      <c r="C143" s="27" t="inlineStr">
        <is>
          <t>Exec</t>
        </is>
      </c>
      <c r="D143" s="27" t="n">
        <v>91</v>
      </c>
      <c r="E143" s="28" t="n">
        <v>24</v>
      </c>
      <c r="F143" s="27" t="inlineStr">
        <is>
          <t>pç</t>
        </is>
      </c>
      <c r="G143" s="27" t="inlineStr">
        <is>
          <t>VERIFICAR DIAGRAMA</t>
        </is>
      </c>
      <c r="H143" s="15" t="inlineStr">
        <is>
          <t>PAVTO. TIPOS - TORRE B</t>
        </is>
      </c>
      <c r="I143" s="29" t="n">
        <v>150</v>
      </c>
      <c r="J143" s="29">
        <f>E143*I143</f>
        <v/>
      </c>
      <c r="K143" s="15" t="inlineStr">
        <is>
          <t>fallback (dim VERIFICAR DIAGRAMA)</t>
        </is>
      </c>
    </row>
    <row r="144">
      <c r="A144" s="4" t="inlineStr">
        <is>
          <t>08º-31º Tipo (×24)</t>
        </is>
      </c>
      <c r="B144" s="6" t="inlineStr">
        <is>
          <t>B</t>
        </is>
      </c>
      <c r="C144" s="6" t="inlineStr">
        <is>
          <t>Exec</t>
        </is>
      </c>
      <c r="D144" s="6" t="n">
        <v>92</v>
      </c>
      <c r="E144" s="22" t="n">
        <v>24</v>
      </c>
      <c r="F144" s="6" t="inlineStr">
        <is>
          <t>pç</t>
        </is>
      </c>
      <c r="G144" s="6" t="inlineStr">
        <is>
          <t>15x15x10CM</t>
        </is>
      </c>
      <c r="H144" s="4" t="inlineStr">
        <is>
          <t>PAVTO. TIPOS - TORRE B</t>
        </is>
      </c>
      <c r="I144" s="23" t="n">
        <v>75</v>
      </c>
      <c r="J144" s="23">
        <f>E144*I144</f>
        <v/>
      </c>
      <c r="K144" s="4" t="inlineStr">
        <is>
          <t>&lt;= 3 dm3</t>
        </is>
      </c>
    </row>
    <row r="145">
      <c r="A145" s="4" t="inlineStr">
        <is>
          <t>08º-31º Tipo (×24)</t>
        </is>
      </c>
      <c r="B145" s="6" t="inlineStr">
        <is>
          <t>B</t>
        </is>
      </c>
      <c r="C145" s="6" t="inlineStr">
        <is>
          <t>Prev</t>
        </is>
      </c>
      <c r="D145" s="6" t="n">
        <v>39</v>
      </c>
      <c r="E145" s="22" t="n">
        <v>24</v>
      </c>
      <c r="F145" s="6" t="inlineStr">
        <is>
          <t>pç</t>
        </is>
      </c>
      <c r="G145" s="6" t="inlineStr">
        <is>
          <t>15x15x10CM</t>
        </is>
      </c>
      <c r="H145" s="4" t="inlineStr">
        <is>
          <t>PAVTO. TIPOS - TORRE B</t>
        </is>
      </c>
      <c r="I145" s="23" t="n">
        <v>75</v>
      </c>
      <c r="J145" s="23">
        <f>E145*I145</f>
        <v/>
      </c>
      <c r="K145" s="4" t="inlineStr">
        <is>
          <t>&lt;= 3 dm3</t>
        </is>
      </c>
    </row>
    <row r="146">
      <c r="A146" s="4" t="inlineStr">
        <is>
          <t>08º-31º Tipo (×24)</t>
        </is>
      </c>
      <c r="B146" s="6" t="inlineStr">
        <is>
          <t>B</t>
        </is>
      </c>
      <c r="C146" s="6" t="inlineStr">
        <is>
          <t>Prev</t>
        </is>
      </c>
      <c r="D146" s="6" t="n">
        <v>40</v>
      </c>
      <c r="E146" s="22" t="n">
        <v>24</v>
      </c>
      <c r="F146" s="6" t="inlineStr">
        <is>
          <t>pç</t>
        </is>
      </c>
      <c r="G146" s="6" t="inlineStr">
        <is>
          <t>30x30x20CM</t>
        </is>
      </c>
      <c r="H146" s="4" t="inlineStr">
        <is>
          <t>PAVTO. TIPOS - TORRE B</t>
        </is>
      </c>
      <c r="I146" s="23" t="n">
        <v>240</v>
      </c>
      <c r="J146" s="23">
        <f>E146*I146</f>
        <v/>
      </c>
      <c r="K146" s="4" t="inlineStr">
        <is>
          <t>8-20 dm3</t>
        </is>
      </c>
    </row>
    <row r="147">
      <c r="A147" s="4" t="inlineStr">
        <is>
          <t>08º-31º Tipo (×24)</t>
        </is>
      </c>
      <c r="B147" s="6" t="inlineStr">
        <is>
          <t>B</t>
        </is>
      </c>
      <c r="C147" s="6" t="inlineStr">
        <is>
          <t>Prev</t>
        </is>
      </c>
      <c r="D147" s="6" t="n">
        <v>41</v>
      </c>
      <c r="E147" s="22" t="n">
        <v>3</v>
      </c>
      <c r="F147" s="6" t="inlineStr">
        <is>
          <t>pç</t>
        </is>
      </c>
      <c r="G147" s="6" t="inlineStr">
        <is>
          <t>30x30x15CM</t>
        </is>
      </c>
      <c r="H147" s="4" t="inlineStr">
        <is>
          <t>PAVTO. TIPOS - TORRE B</t>
        </is>
      </c>
      <c r="I147" s="23" t="n">
        <v>240</v>
      </c>
      <c r="J147" s="23">
        <f>E147*I147</f>
        <v/>
      </c>
      <c r="K147" s="4" t="inlineStr">
        <is>
          <t>8-20 dm3</t>
        </is>
      </c>
    </row>
    <row r="148">
      <c r="A148" s="4" t="inlineStr">
        <is>
          <t>08º-31º Tipo (×24)</t>
        </is>
      </c>
      <c r="B148" s="6" t="inlineStr">
        <is>
          <t>B</t>
        </is>
      </c>
      <c r="C148" s="6" t="inlineStr">
        <is>
          <t>Prev</t>
        </is>
      </c>
      <c r="D148" s="6" t="n">
        <v>42</v>
      </c>
      <c r="E148" s="22" t="n">
        <v>24</v>
      </c>
      <c r="F148" s="6" t="inlineStr">
        <is>
          <t>pç</t>
        </is>
      </c>
      <c r="G148" s="6" t="inlineStr">
        <is>
          <t>50X60X20CM</t>
        </is>
      </c>
      <c r="H148" s="4" t="inlineStr">
        <is>
          <t>PAVTO. TIPOS - TORRE B</t>
        </is>
      </c>
      <c r="I148" s="23" t="n">
        <v>680</v>
      </c>
      <c r="J148" s="23">
        <f>E148*I148</f>
        <v/>
      </c>
      <c r="K148" s="4" t="inlineStr">
        <is>
          <t>&gt; 40 dm3</t>
        </is>
      </c>
    </row>
    <row r="149">
      <c r="A149" s="24" t="inlineStr">
        <is>
          <t>Subtotal — 08º-31º Tipo (×24)</t>
        </is>
      </c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6">
        <f>SUM(J130:J148)</f>
        <v/>
      </c>
      <c r="K149" s="25" t="n"/>
    </row>
    <row r="150">
      <c r="A150" s="15" t="inlineStr">
        <is>
          <t>Casa de Máquinas</t>
        </is>
      </c>
      <c r="B150" s="27" t="inlineStr">
        <is>
          <t>A</t>
        </is>
      </c>
      <c r="C150" s="27" t="inlineStr">
        <is>
          <t>Exec</t>
        </is>
      </c>
      <c r="D150" s="27" t="n">
        <v>93</v>
      </c>
      <c r="E150" s="28" t="n">
        <v>1</v>
      </c>
      <c r="F150" s="27" t="inlineStr">
        <is>
          <t>pç</t>
        </is>
      </c>
      <c r="G150" s="27" t="inlineStr">
        <is>
          <t>VER PROJ. EQUIPAMENT.</t>
        </is>
      </c>
      <c r="H150" s="15" t="inlineStr">
        <is>
          <t>C. MÁQUINAS - TORRE A</t>
        </is>
      </c>
      <c r="I150" s="29" t="n">
        <v>150</v>
      </c>
      <c r="J150" s="29">
        <f>E150*I150</f>
        <v/>
      </c>
      <c r="K150" s="15" t="inlineStr">
        <is>
          <t>fallback (dim VERIFICAR DIAGRAMA)</t>
        </is>
      </c>
    </row>
    <row r="151">
      <c r="A151" s="15" t="inlineStr">
        <is>
          <t>Casa de Máquinas</t>
        </is>
      </c>
      <c r="B151" s="27" t="inlineStr">
        <is>
          <t>A</t>
        </is>
      </c>
      <c r="C151" s="27" t="inlineStr">
        <is>
          <t>Exec</t>
        </is>
      </c>
      <c r="D151" s="27" t="n">
        <v>94</v>
      </c>
      <c r="E151" s="28" t="n">
        <v>1</v>
      </c>
      <c r="F151" s="27" t="inlineStr">
        <is>
          <t>pç</t>
        </is>
      </c>
      <c r="G151" s="27" t="inlineStr">
        <is>
          <t>VER PROJ. EQUIPAMENT.</t>
        </is>
      </c>
      <c r="H151" s="15" t="inlineStr">
        <is>
          <t>C. MÁQUINAS - TORRE A</t>
        </is>
      </c>
      <c r="I151" s="29" t="n">
        <v>150</v>
      </c>
      <c r="J151" s="29">
        <f>E151*I151</f>
        <v/>
      </c>
      <c r="K151" s="15" t="inlineStr">
        <is>
          <t>fallback (dim VERIFICAR DIAGRAMA)</t>
        </is>
      </c>
    </row>
    <row r="152">
      <c r="A152" s="15" t="inlineStr">
        <is>
          <t>Casa de Máquinas</t>
        </is>
      </c>
      <c r="B152" s="27" t="inlineStr">
        <is>
          <t>A</t>
        </is>
      </c>
      <c r="C152" s="27" t="inlineStr">
        <is>
          <t>Exec</t>
        </is>
      </c>
      <c r="D152" s="27" t="n">
        <v>95</v>
      </c>
      <c r="E152" s="28" t="n">
        <v>1</v>
      </c>
      <c r="F152" s="27" t="inlineStr">
        <is>
          <t>pç</t>
        </is>
      </c>
      <c r="G152" s="27" t="inlineStr">
        <is>
          <t>VERIFICAR PLANTA BAIX.</t>
        </is>
      </c>
      <c r="H152" s="15" t="inlineStr">
        <is>
          <t>C. MÁQUINAS - TORRE A</t>
        </is>
      </c>
      <c r="I152" s="29" t="n">
        <v>150</v>
      </c>
      <c r="J152" s="29">
        <f>E152*I152</f>
        <v/>
      </c>
      <c r="K152" s="15" t="inlineStr">
        <is>
          <t>fallback (dim VERIFICAR DIAGRAMA)</t>
        </is>
      </c>
    </row>
    <row r="153">
      <c r="A153" s="15" t="inlineStr">
        <is>
          <t>Casa de Máquinas</t>
        </is>
      </c>
      <c r="B153" s="27" t="inlineStr">
        <is>
          <t>A</t>
        </is>
      </c>
      <c r="C153" s="27" t="inlineStr">
        <is>
          <t>Exec</t>
        </is>
      </c>
      <c r="D153" s="27" t="n">
        <v>96</v>
      </c>
      <c r="E153" s="28" t="n">
        <v>1</v>
      </c>
      <c r="F153" s="27" t="inlineStr">
        <is>
          <t>pç</t>
        </is>
      </c>
      <c r="G153" s="27" t="inlineStr">
        <is>
          <t>VERIFICAR PLANTA BAIX.</t>
        </is>
      </c>
      <c r="H153" s="15" t="inlineStr">
        <is>
          <t>C. MÁQUINAS - TORRE A</t>
        </is>
      </c>
      <c r="I153" s="29" t="n">
        <v>150</v>
      </c>
      <c r="J153" s="29">
        <f>E153*I153</f>
        <v/>
      </c>
      <c r="K153" s="15" t="inlineStr">
        <is>
          <t>fallback (dim VERIFICAR DIAGRAMA)</t>
        </is>
      </c>
    </row>
    <row r="154">
      <c r="A154" s="15" t="inlineStr">
        <is>
          <t>Casa de Máquinas</t>
        </is>
      </c>
      <c r="B154" s="27" t="inlineStr">
        <is>
          <t>A</t>
        </is>
      </c>
      <c r="C154" s="27" t="inlineStr">
        <is>
          <t>Exec</t>
        </is>
      </c>
      <c r="D154" s="27" t="n">
        <v>97</v>
      </c>
      <c r="E154" s="28" t="n">
        <v>1</v>
      </c>
      <c r="F154" s="27" t="inlineStr">
        <is>
          <t>pç</t>
        </is>
      </c>
      <c r="G154" s="27" t="inlineStr">
        <is>
          <t>VER PROJ. EQUIPAMENT.</t>
        </is>
      </c>
      <c r="H154" s="15" t="inlineStr">
        <is>
          <t>C. MÁQUINAS - TORRE A</t>
        </is>
      </c>
      <c r="I154" s="29" t="n">
        <v>150</v>
      </c>
      <c r="J154" s="29">
        <f>E154*I154</f>
        <v/>
      </c>
      <c r="K154" s="15" t="inlineStr">
        <is>
          <t>fallback (dim VERIFICAR DIAGRAMA)</t>
        </is>
      </c>
    </row>
    <row r="155">
      <c r="A155" s="15" t="inlineStr">
        <is>
          <t>Casa de Máquinas</t>
        </is>
      </c>
      <c r="B155" s="27" t="inlineStr">
        <is>
          <t>A</t>
        </is>
      </c>
      <c r="C155" s="27" t="inlineStr">
        <is>
          <t>Exec</t>
        </is>
      </c>
      <c r="D155" s="27" t="n">
        <v>98</v>
      </c>
      <c r="E155" s="28" t="n">
        <v>1</v>
      </c>
      <c r="F155" s="27" t="inlineStr">
        <is>
          <t>pç</t>
        </is>
      </c>
      <c r="G155" s="27" t="inlineStr">
        <is>
          <t>VER PROJ. EQUIPAMENT.</t>
        </is>
      </c>
      <c r="H155" s="15" t="inlineStr">
        <is>
          <t>C. MÁQUINAS - TORRE A</t>
        </is>
      </c>
      <c r="I155" s="29" t="n">
        <v>150</v>
      </c>
      <c r="J155" s="29">
        <f>E155*I155</f>
        <v/>
      </c>
      <c r="K155" s="15" t="inlineStr">
        <is>
          <t>fallback (dim VERIFICAR DIAGRAMA)</t>
        </is>
      </c>
    </row>
    <row r="156">
      <c r="A156" s="15" t="inlineStr">
        <is>
          <t>Casa de Máquinas</t>
        </is>
      </c>
      <c r="B156" s="27" t="inlineStr">
        <is>
          <t>A</t>
        </is>
      </c>
      <c r="C156" s="27" t="inlineStr">
        <is>
          <t>Exec</t>
        </is>
      </c>
      <c r="D156" s="27" t="n">
        <v>99</v>
      </c>
      <c r="E156" s="28" t="n">
        <v>1</v>
      </c>
      <c r="F156" s="27" t="inlineStr">
        <is>
          <t>pç</t>
        </is>
      </c>
      <c r="G156" s="27" t="inlineStr">
        <is>
          <t>VER PROJ. EQUIPAMENT.</t>
        </is>
      </c>
      <c r="H156" s="15" t="inlineStr">
        <is>
          <t>C. MÁQUINAS - TORRE A</t>
        </is>
      </c>
      <c r="I156" s="29" t="n">
        <v>150</v>
      </c>
      <c r="J156" s="29">
        <f>E156*I156</f>
        <v/>
      </c>
      <c r="K156" s="15" t="inlineStr">
        <is>
          <t>fallback (dim VERIFICAR DIAGRAMA)</t>
        </is>
      </c>
    </row>
    <row r="157">
      <c r="A157" s="15" t="inlineStr">
        <is>
          <t>Casa de Máquinas</t>
        </is>
      </c>
      <c r="B157" s="27" t="inlineStr">
        <is>
          <t>A</t>
        </is>
      </c>
      <c r="C157" s="27" t="inlineStr">
        <is>
          <t>Exec</t>
        </is>
      </c>
      <c r="D157" s="27" t="n">
        <v>100</v>
      </c>
      <c r="E157" s="28" t="n">
        <v>1</v>
      </c>
      <c r="F157" s="27" t="inlineStr">
        <is>
          <t>pç</t>
        </is>
      </c>
      <c r="G157" s="27" t="inlineStr">
        <is>
          <t>VER PROJ. EQUIPAMENT.</t>
        </is>
      </c>
      <c r="H157" s="15" t="inlineStr">
        <is>
          <t>C. MÁQUINAS - TORRE A</t>
        </is>
      </c>
      <c r="I157" s="29" t="n">
        <v>150</v>
      </c>
      <c r="J157" s="29">
        <f>E157*I157</f>
        <v/>
      </c>
      <c r="K157" s="15" t="inlineStr">
        <is>
          <t>fallback (dim VERIFICAR DIAGRAMA)</t>
        </is>
      </c>
    </row>
    <row r="158">
      <c r="A158" s="15" t="inlineStr">
        <is>
          <t>Casa de Máquinas</t>
        </is>
      </c>
      <c r="B158" s="27" t="inlineStr">
        <is>
          <t>A</t>
        </is>
      </c>
      <c r="C158" s="27" t="inlineStr">
        <is>
          <t>Exec</t>
        </is>
      </c>
      <c r="D158" s="27" t="n">
        <v>101</v>
      </c>
      <c r="E158" s="28" t="n">
        <v>1</v>
      </c>
      <c r="F158" s="27" t="inlineStr">
        <is>
          <t>pç</t>
        </is>
      </c>
      <c r="G158" s="27" t="inlineStr">
        <is>
          <t>VERIFICAR PLANTA BAIX.</t>
        </is>
      </c>
      <c r="H158" s="15" t="inlineStr">
        <is>
          <t>C. MÁQUINAS - TORRE A</t>
        </is>
      </c>
      <c r="I158" s="29" t="n">
        <v>150</v>
      </c>
      <c r="J158" s="29">
        <f>E158*I158</f>
        <v/>
      </c>
      <c r="K158" s="15" t="inlineStr">
        <is>
          <t>fallback (dim VERIFICAR DIAGRAMA)</t>
        </is>
      </c>
    </row>
    <row r="159">
      <c r="A159" s="15" t="inlineStr">
        <is>
          <t>Casa de Máquinas</t>
        </is>
      </c>
      <c r="B159" s="27" t="inlineStr">
        <is>
          <t>A</t>
        </is>
      </c>
      <c r="C159" s="27" t="inlineStr">
        <is>
          <t>Exec</t>
        </is>
      </c>
      <c r="D159" s="27" t="n">
        <v>102</v>
      </c>
      <c r="E159" s="28" t="n">
        <v>1</v>
      </c>
      <c r="F159" s="27" t="inlineStr">
        <is>
          <t>pç</t>
        </is>
      </c>
      <c r="G159" s="27" t="inlineStr">
        <is>
          <t>VER PROJ. EQUIPAMENT.</t>
        </is>
      </c>
      <c r="H159" s="15" t="inlineStr">
        <is>
          <t>C. MÁQUINAS - TORRE A</t>
        </is>
      </c>
      <c r="I159" s="29" t="n">
        <v>150</v>
      </c>
      <c r="J159" s="29">
        <f>E159*I159</f>
        <v/>
      </c>
      <c r="K159" s="15" t="inlineStr">
        <is>
          <t>fallback (dim VERIFICAR DIAGRAMA)</t>
        </is>
      </c>
    </row>
    <row r="160">
      <c r="A160" s="4" t="inlineStr">
        <is>
          <t>Casa de Máquinas</t>
        </is>
      </c>
      <c r="B160" s="6" t="inlineStr">
        <is>
          <t>A</t>
        </is>
      </c>
      <c r="C160" s="6" t="inlineStr">
        <is>
          <t>Exec</t>
        </is>
      </c>
      <c r="D160" s="6" t="n">
        <v>103</v>
      </c>
      <c r="E160" s="22" t="n">
        <v>1</v>
      </c>
      <c r="F160" s="6" t="inlineStr">
        <is>
          <t>pç</t>
        </is>
      </c>
      <c r="G160" s="6" t="inlineStr">
        <is>
          <t>40x40x15CM</t>
        </is>
      </c>
      <c r="H160" s="4" t="inlineStr">
        <is>
          <t>C. MÁQUINAS - TORRE A</t>
        </is>
      </c>
      <c r="I160" s="23" t="n">
        <v>420</v>
      </c>
      <c r="J160" s="23">
        <f>E160*I160</f>
        <v/>
      </c>
      <c r="K160" s="4" t="inlineStr">
        <is>
          <t>20-40 dm3</t>
        </is>
      </c>
    </row>
    <row r="161">
      <c r="A161" s="4" t="inlineStr">
        <is>
          <t>Casa de Máquinas</t>
        </is>
      </c>
      <c r="B161" s="6" t="inlineStr">
        <is>
          <t>A</t>
        </is>
      </c>
      <c r="C161" s="6" t="inlineStr">
        <is>
          <t>Prev</t>
        </is>
      </c>
      <c r="D161" s="6" t="n">
        <v>43</v>
      </c>
      <c r="E161" s="22" t="n">
        <v>1</v>
      </c>
      <c r="F161" s="6" t="inlineStr">
        <is>
          <t>pç</t>
        </is>
      </c>
      <c r="G161" s="6" t="inlineStr">
        <is>
          <t>30x30x20CM</t>
        </is>
      </c>
      <c r="H161" s="4" t="inlineStr">
        <is>
          <t>C. MÁQUINAS - TORRE A</t>
        </is>
      </c>
      <c r="I161" s="23" t="n">
        <v>240</v>
      </c>
      <c r="J161" s="23">
        <f>E161*I161</f>
        <v/>
      </c>
      <c r="K161" s="4" t="inlineStr">
        <is>
          <t>8-20 dm3</t>
        </is>
      </c>
    </row>
    <row r="162">
      <c r="A162" s="4" t="inlineStr">
        <is>
          <t>Casa de Máquinas</t>
        </is>
      </c>
      <c r="B162" s="6" t="inlineStr">
        <is>
          <t>A</t>
        </is>
      </c>
      <c r="C162" s="6" t="inlineStr">
        <is>
          <t>Prev</t>
        </is>
      </c>
      <c r="D162" s="6" t="n">
        <v>44</v>
      </c>
      <c r="E162" s="22" t="n">
        <v>1</v>
      </c>
      <c r="F162" s="6" t="inlineStr">
        <is>
          <t>pç</t>
        </is>
      </c>
      <c r="G162" s="6" t="inlineStr">
        <is>
          <t>15x15x10CM</t>
        </is>
      </c>
      <c r="H162" s="4" t="inlineStr">
        <is>
          <t>C. MÁQUINAS - TORRE A</t>
        </is>
      </c>
      <c r="I162" s="23" t="n">
        <v>75</v>
      </c>
      <c r="J162" s="23">
        <f>E162*I162</f>
        <v/>
      </c>
      <c r="K162" s="4" t="inlineStr">
        <is>
          <t>&lt;= 3 dm3</t>
        </is>
      </c>
    </row>
    <row r="163">
      <c r="A163" s="4" t="inlineStr">
        <is>
          <t>Casa de Máquinas</t>
        </is>
      </c>
      <c r="B163" s="6" t="inlineStr">
        <is>
          <t>A</t>
        </is>
      </c>
      <c r="C163" s="6" t="inlineStr">
        <is>
          <t>Prev</t>
        </is>
      </c>
      <c r="D163" s="6" t="n">
        <v>45</v>
      </c>
      <c r="E163" s="22" t="n">
        <v>1</v>
      </c>
      <c r="F163" s="6" t="inlineStr">
        <is>
          <t>pç</t>
        </is>
      </c>
      <c r="G163" s="6" t="inlineStr">
        <is>
          <t>50X60X20CM</t>
        </is>
      </c>
      <c r="H163" s="4" t="inlineStr">
        <is>
          <t>C. MÁQUINAS - TORRE A</t>
        </is>
      </c>
      <c r="I163" s="23" t="n">
        <v>680</v>
      </c>
      <c r="J163" s="23">
        <f>E163*I163</f>
        <v/>
      </c>
      <c r="K163" s="4" t="inlineStr">
        <is>
          <t>&gt; 40 dm3</t>
        </is>
      </c>
    </row>
    <row r="164">
      <c r="A164" s="15" t="inlineStr">
        <is>
          <t>Casa de Máquinas</t>
        </is>
      </c>
      <c r="B164" s="27" t="inlineStr">
        <is>
          <t>B</t>
        </is>
      </c>
      <c r="C164" s="27" t="inlineStr">
        <is>
          <t>Exec</t>
        </is>
      </c>
      <c r="D164" s="27" t="n">
        <v>104</v>
      </c>
      <c r="E164" s="28" t="n">
        <v>1</v>
      </c>
      <c r="F164" s="27" t="inlineStr">
        <is>
          <t>pç</t>
        </is>
      </c>
      <c r="G164" s="27" t="inlineStr">
        <is>
          <t>VER PROJ. EQUIPAMENT.</t>
        </is>
      </c>
      <c r="H164" s="15" t="inlineStr">
        <is>
          <t>C. MÁQUINAS - TORRE B</t>
        </is>
      </c>
      <c r="I164" s="29" t="n">
        <v>150</v>
      </c>
      <c r="J164" s="29">
        <f>E164*I164</f>
        <v/>
      </c>
      <c r="K164" s="15" t="inlineStr">
        <is>
          <t>fallback (dim VERIFICAR DIAGRAMA)</t>
        </is>
      </c>
    </row>
    <row r="165">
      <c r="A165" s="15" t="inlineStr">
        <is>
          <t>Casa de Máquinas</t>
        </is>
      </c>
      <c r="B165" s="27" t="inlineStr">
        <is>
          <t>B</t>
        </is>
      </c>
      <c r="C165" s="27" t="inlineStr">
        <is>
          <t>Exec</t>
        </is>
      </c>
      <c r="D165" s="27" t="n">
        <v>105</v>
      </c>
      <c r="E165" s="28" t="n">
        <v>1</v>
      </c>
      <c r="F165" s="27" t="inlineStr">
        <is>
          <t>pç</t>
        </is>
      </c>
      <c r="G165" s="27" t="inlineStr">
        <is>
          <t>VER PROJ. EQUIPAMENT.</t>
        </is>
      </c>
      <c r="H165" s="15" t="inlineStr">
        <is>
          <t>C. MÁQUINAS - TORRE B</t>
        </is>
      </c>
      <c r="I165" s="29" t="n">
        <v>150</v>
      </c>
      <c r="J165" s="29">
        <f>E165*I165</f>
        <v/>
      </c>
      <c r="K165" s="15" t="inlineStr">
        <is>
          <t>fallback (dim VERIFICAR DIAGRAMA)</t>
        </is>
      </c>
    </row>
    <row r="166">
      <c r="A166" s="15" t="inlineStr">
        <is>
          <t>Casa de Máquinas</t>
        </is>
      </c>
      <c r="B166" s="27" t="inlineStr">
        <is>
          <t>B</t>
        </is>
      </c>
      <c r="C166" s="27" t="inlineStr">
        <is>
          <t>Exec</t>
        </is>
      </c>
      <c r="D166" s="27" t="n">
        <v>106</v>
      </c>
      <c r="E166" s="28" t="n">
        <v>1</v>
      </c>
      <c r="F166" s="27" t="inlineStr">
        <is>
          <t>pç</t>
        </is>
      </c>
      <c r="G166" s="27" t="inlineStr">
        <is>
          <t>VERIFICAR PLANTA BAIX.</t>
        </is>
      </c>
      <c r="H166" s="15" t="inlineStr">
        <is>
          <t>C. MÁQUINAS - TORRE B</t>
        </is>
      </c>
      <c r="I166" s="29" t="n">
        <v>150</v>
      </c>
      <c r="J166" s="29">
        <f>E166*I166</f>
        <v/>
      </c>
      <c r="K166" s="15" t="inlineStr">
        <is>
          <t>fallback (dim VERIFICAR DIAGRAMA)</t>
        </is>
      </c>
    </row>
    <row r="167">
      <c r="A167" s="15" t="inlineStr">
        <is>
          <t>Casa de Máquinas</t>
        </is>
      </c>
      <c r="B167" s="27" t="inlineStr">
        <is>
          <t>B</t>
        </is>
      </c>
      <c r="C167" s="27" t="inlineStr">
        <is>
          <t>Exec</t>
        </is>
      </c>
      <c r="D167" s="27" t="n">
        <v>107</v>
      </c>
      <c r="E167" s="28" t="n">
        <v>1</v>
      </c>
      <c r="F167" s="27" t="inlineStr">
        <is>
          <t>pç</t>
        </is>
      </c>
      <c r="G167" s="27" t="inlineStr">
        <is>
          <t>VERIFICAR PLANTA BAIX.</t>
        </is>
      </c>
      <c r="H167" s="15" t="inlineStr">
        <is>
          <t>C. MÁQUINAS - TORRE B</t>
        </is>
      </c>
      <c r="I167" s="29" t="n">
        <v>150</v>
      </c>
      <c r="J167" s="29">
        <f>E167*I167</f>
        <v/>
      </c>
      <c r="K167" s="15" t="inlineStr">
        <is>
          <t>fallback (dim VERIFICAR DIAGRAMA)</t>
        </is>
      </c>
    </row>
    <row r="168">
      <c r="A168" s="15" t="inlineStr">
        <is>
          <t>Casa de Máquinas</t>
        </is>
      </c>
      <c r="B168" s="27" t="inlineStr">
        <is>
          <t>B</t>
        </is>
      </c>
      <c r="C168" s="27" t="inlineStr">
        <is>
          <t>Exec</t>
        </is>
      </c>
      <c r="D168" s="27" t="n">
        <v>108</v>
      </c>
      <c r="E168" s="28" t="n">
        <v>1</v>
      </c>
      <c r="F168" s="27" t="inlineStr">
        <is>
          <t>pç</t>
        </is>
      </c>
      <c r="G168" s="27" t="inlineStr">
        <is>
          <t>VER PROJ. EQUIPAMENT.</t>
        </is>
      </c>
      <c r="H168" s="15" t="inlineStr">
        <is>
          <t>C. MÁQUINAS - TORRE B</t>
        </is>
      </c>
      <c r="I168" s="29" t="n">
        <v>150</v>
      </c>
      <c r="J168" s="29">
        <f>E168*I168</f>
        <v/>
      </c>
      <c r="K168" s="15" t="inlineStr">
        <is>
          <t>fallback (dim VERIFICAR DIAGRAMA)</t>
        </is>
      </c>
    </row>
    <row r="169">
      <c r="A169" s="15" t="inlineStr">
        <is>
          <t>Casa de Máquinas</t>
        </is>
      </c>
      <c r="B169" s="27" t="inlineStr">
        <is>
          <t>B</t>
        </is>
      </c>
      <c r="C169" s="27" t="inlineStr">
        <is>
          <t>Exec</t>
        </is>
      </c>
      <c r="D169" s="27" t="n">
        <v>109</v>
      </c>
      <c r="E169" s="28" t="n">
        <v>1</v>
      </c>
      <c r="F169" s="27" t="inlineStr">
        <is>
          <t>pç</t>
        </is>
      </c>
      <c r="G169" s="27" t="inlineStr">
        <is>
          <t>VER PROJ. EQUIPAMENT.</t>
        </is>
      </c>
      <c r="H169" s="15" t="inlineStr">
        <is>
          <t>C. MÁQUINAS - TORRE B</t>
        </is>
      </c>
      <c r="I169" s="29" t="n">
        <v>150</v>
      </c>
      <c r="J169" s="29">
        <f>E169*I169</f>
        <v/>
      </c>
      <c r="K169" s="15" t="inlineStr">
        <is>
          <t>fallback (dim VERIFICAR DIAGRAMA)</t>
        </is>
      </c>
    </row>
    <row r="170">
      <c r="A170" s="15" t="inlineStr">
        <is>
          <t>Casa de Máquinas</t>
        </is>
      </c>
      <c r="B170" s="27" t="inlineStr">
        <is>
          <t>B</t>
        </is>
      </c>
      <c r="C170" s="27" t="inlineStr">
        <is>
          <t>Exec</t>
        </is>
      </c>
      <c r="D170" s="27" t="n">
        <v>110</v>
      </c>
      <c r="E170" s="28" t="n">
        <v>1</v>
      </c>
      <c r="F170" s="27" t="inlineStr">
        <is>
          <t>pç</t>
        </is>
      </c>
      <c r="G170" s="27" t="inlineStr">
        <is>
          <t>VER PROJ. EQUIPAMENT.</t>
        </is>
      </c>
      <c r="H170" s="15" t="inlineStr">
        <is>
          <t>C. MÁQUINAS - TORRE B</t>
        </is>
      </c>
      <c r="I170" s="29" t="n">
        <v>150</v>
      </c>
      <c r="J170" s="29">
        <f>E170*I170</f>
        <v/>
      </c>
      <c r="K170" s="15" t="inlineStr">
        <is>
          <t>fallback (dim VERIFICAR DIAGRAMA)</t>
        </is>
      </c>
    </row>
    <row r="171">
      <c r="A171" s="15" t="inlineStr">
        <is>
          <t>Casa de Máquinas</t>
        </is>
      </c>
      <c r="B171" s="27" t="inlineStr">
        <is>
          <t>B</t>
        </is>
      </c>
      <c r="C171" s="27" t="inlineStr">
        <is>
          <t>Exec</t>
        </is>
      </c>
      <c r="D171" s="27" t="n">
        <v>111</v>
      </c>
      <c r="E171" s="28" t="n">
        <v>1</v>
      </c>
      <c r="F171" s="27" t="inlineStr">
        <is>
          <t>pç</t>
        </is>
      </c>
      <c r="G171" s="27" t="inlineStr">
        <is>
          <t>VER PROJ. EQUIPAMENT.</t>
        </is>
      </c>
      <c r="H171" s="15" t="inlineStr">
        <is>
          <t>C. MÁQUINAS - TORRE B</t>
        </is>
      </c>
      <c r="I171" s="29" t="n">
        <v>150</v>
      </c>
      <c r="J171" s="29">
        <f>E171*I171</f>
        <v/>
      </c>
      <c r="K171" s="15" t="inlineStr">
        <is>
          <t>fallback (dim VERIFICAR DIAGRAMA)</t>
        </is>
      </c>
    </row>
    <row r="172">
      <c r="A172" s="15" t="inlineStr">
        <is>
          <t>Casa de Máquinas</t>
        </is>
      </c>
      <c r="B172" s="27" t="inlineStr">
        <is>
          <t>B</t>
        </is>
      </c>
      <c r="C172" s="27" t="inlineStr">
        <is>
          <t>Exec</t>
        </is>
      </c>
      <c r="D172" s="27" t="n">
        <v>112</v>
      </c>
      <c r="E172" s="28" t="n">
        <v>1</v>
      </c>
      <c r="F172" s="27" t="inlineStr">
        <is>
          <t>pç</t>
        </is>
      </c>
      <c r="G172" s="27" t="inlineStr">
        <is>
          <t>VERIFICAR PLANTA BAIX.</t>
        </is>
      </c>
      <c r="H172" s="15" t="inlineStr">
        <is>
          <t>C. MÁQUINAS - TORRE B</t>
        </is>
      </c>
      <c r="I172" s="29" t="n">
        <v>150</v>
      </c>
      <c r="J172" s="29">
        <f>E172*I172</f>
        <v/>
      </c>
      <c r="K172" s="15" t="inlineStr">
        <is>
          <t>fallback (dim VERIFICAR DIAGRAMA)</t>
        </is>
      </c>
    </row>
    <row r="173">
      <c r="A173" s="15" t="inlineStr">
        <is>
          <t>Casa de Máquinas</t>
        </is>
      </c>
      <c r="B173" s="27" t="inlineStr">
        <is>
          <t>B</t>
        </is>
      </c>
      <c r="C173" s="27" t="inlineStr">
        <is>
          <t>Exec</t>
        </is>
      </c>
      <c r="D173" s="27" t="n">
        <v>113</v>
      </c>
      <c r="E173" s="28" t="n">
        <v>1</v>
      </c>
      <c r="F173" s="27" t="inlineStr">
        <is>
          <t>pç</t>
        </is>
      </c>
      <c r="G173" s="27" t="inlineStr">
        <is>
          <t>VER PROJ. EQUIPAMENT.</t>
        </is>
      </c>
      <c r="H173" s="15" t="inlineStr">
        <is>
          <t>C. MÁQUINAS - TORRE B</t>
        </is>
      </c>
      <c r="I173" s="29" t="n">
        <v>150</v>
      </c>
      <c r="J173" s="29">
        <f>E173*I173</f>
        <v/>
      </c>
      <c r="K173" s="15" t="inlineStr">
        <is>
          <t>fallback (dim VERIFICAR DIAGRAMA)</t>
        </is>
      </c>
    </row>
    <row r="174">
      <c r="A174" s="4" t="inlineStr">
        <is>
          <t>Casa de Máquinas</t>
        </is>
      </c>
      <c r="B174" s="6" t="inlineStr">
        <is>
          <t>B</t>
        </is>
      </c>
      <c r="C174" s="6" t="inlineStr">
        <is>
          <t>Exec</t>
        </is>
      </c>
      <c r="D174" s="6" t="n">
        <v>114</v>
      </c>
      <c r="E174" s="22" t="n">
        <v>1</v>
      </c>
      <c r="F174" s="6" t="inlineStr">
        <is>
          <t>pç</t>
        </is>
      </c>
      <c r="G174" s="6" t="inlineStr">
        <is>
          <t>40x40x15CM</t>
        </is>
      </c>
      <c r="H174" s="4" t="inlineStr">
        <is>
          <t>C. MÁQUINAS - TORRE B</t>
        </is>
      </c>
      <c r="I174" s="23" t="n">
        <v>420</v>
      </c>
      <c r="J174" s="23">
        <f>E174*I174</f>
        <v/>
      </c>
      <c r="K174" s="4" t="inlineStr">
        <is>
          <t>20-40 dm3</t>
        </is>
      </c>
    </row>
    <row r="175">
      <c r="A175" s="4" t="inlineStr">
        <is>
          <t>Casa de Máquinas</t>
        </is>
      </c>
      <c r="B175" s="6" t="inlineStr">
        <is>
          <t>B</t>
        </is>
      </c>
      <c r="C175" s="6" t="inlineStr">
        <is>
          <t>Prev</t>
        </is>
      </c>
      <c r="D175" s="6" t="n">
        <v>46</v>
      </c>
      <c r="E175" s="22" t="n">
        <v>1</v>
      </c>
      <c r="F175" s="6" t="inlineStr">
        <is>
          <t>pç</t>
        </is>
      </c>
      <c r="G175" s="6" t="inlineStr">
        <is>
          <t>30x30x20CM</t>
        </is>
      </c>
      <c r="H175" s="4" t="inlineStr">
        <is>
          <t>C. MÁQUINAS - TORRE B</t>
        </is>
      </c>
      <c r="I175" s="23" t="n">
        <v>240</v>
      </c>
      <c r="J175" s="23">
        <f>E175*I175</f>
        <v/>
      </c>
      <c r="K175" s="4" t="inlineStr">
        <is>
          <t>8-20 dm3</t>
        </is>
      </c>
    </row>
    <row r="176">
      <c r="A176" s="4" t="inlineStr">
        <is>
          <t>Casa de Máquinas</t>
        </is>
      </c>
      <c r="B176" s="6" t="inlineStr">
        <is>
          <t>B</t>
        </is>
      </c>
      <c r="C176" s="6" t="inlineStr">
        <is>
          <t>Prev</t>
        </is>
      </c>
      <c r="D176" s="6" t="n">
        <v>47</v>
      </c>
      <c r="E176" s="22" t="n">
        <v>1</v>
      </c>
      <c r="F176" s="6" t="inlineStr">
        <is>
          <t>pç</t>
        </is>
      </c>
      <c r="G176" s="6" t="inlineStr">
        <is>
          <t>15x15x10CM</t>
        </is>
      </c>
      <c r="H176" s="4" t="inlineStr">
        <is>
          <t>C. MÁQUINAS - TORRE B</t>
        </is>
      </c>
      <c r="I176" s="23" t="n">
        <v>75</v>
      </c>
      <c r="J176" s="23">
        <f>E176*I176</f>
        <v/>
      </c>
      <c r="K176" s="4" t="inlineStr">
        <is>
          <t>&lt;= 3 dm3</t>
        </is>
      </c>
    </row>
    <row r="177">
      <c r="A177" s="4" t="inlineStr">
        <is>
          <t>Casa de Máquinas</t>
        </is>
      </c>
      <c r="B177" s="6" t="inlineStr">
        <is>
          <t>B</t>
        </is>
      </c>
      <c r="C177" s="6" t="inlineStr">
        <is>
          <t>Prev</t>
        </is>
      </c>
      <c r="D177" s="6" t="n">
        <v>48</v>
      </c>
      <c r="E177" s="22" t="n">
        <v>1</v>
      </c>
      <c r="F177" s="6" t="inlineStr">
        <is>
          <t>pç</t>
        </is>
      </c>
      <c r="G177" s="6" t="inlineStr">
        <is>
          <t>50X60X20CM</t>
        </is>
      </c>
      <c r="H177" s="4" t="inlineStr">
        <is>
          <t>C. MÁQUINAS - TORRE B</t>
        </is>
      </c>
      <c r="I177" s="23" t="n">
        <v>680</v>
      </c>
      <c r="J177" s="23">
        <f>E177*I177</f>
        <v/>
      </c>
      <c r="K177" s="4" t="inlineStr">
        <is>
          <t>&gt; 40 dm3</t>
        </is>
      </c>
    </row>
    <row r="178">
      <c r="A178" s="24" t="inlineStr">
        <is>
          <t>Subtotal — Casa de Máquinas</t>
        </is>
      </c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6">
        <f>SUM(J150:J177)</f>
        <v/>
      </c>
      <c r="K178" s="25" t="n"/>
    </row>
    <row r="180">
      <c r="A180" s="7" t="inlineStr">
        <is>
          <t>TOTAL CAIXAS PASSAGEM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8">
        <f>J29+J47+J62+J73+J88+J106+J129+J149+J178</f>
        <v/>
      </c>
      <c r="K180" s="10" t="n"/>
    </row>
  </sheetData>
  <mergeCells count="10">
    <mergeCell ref="A29:I29"/>
    <mergeCell ref="A180:I180"/>
    <mergeCell ref="A73:I73"/>
    <mergeCell ref="A129:I129"/>
    <mergeCell ref="A47:I47"/>
    <mergeCell ref="A178:I178"/>
    <mergeCell ref="A88:I88"/>
    <mergeCell ref="A149:I149"/>
    <mergeCell ref="A106:I106"/>
    <mergeCell ref="A62:I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0" customWidth="1" min="3" max="3"/>
    <col width="4" customWidth="1" min="4" max="4"/>
    <col width="14" customWidth="1" min="5" max="5"/>
    <col width="6" customWidth="1" min="6" max="6"/>
    <col width="5" customWidth="1" min="7" max="7"/>
    <col width="52" customWidth="1" min="8" max="8"/>
    <col width="12" customWidth="1" min="9" max="9"/>
    <col width="14" customWidth="1" min="10" max="10"/>
    <col width="2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Disciplina: 06 Eletrico - Material Interno CD (QT-MAT-1940/1941/1950)</t>
        </is>
      </c>
    </row>
    <row r="3">
      <c r="A3" t="inlineStr">
        <is>
          <t>Revisao: R03 | Data: 2026-04-14 | AC: 36.092 m2 | Organizado por pavimento</t>
        </is>
      </c>
    </row>
    <row r="4">
      <c r="A4" s="20" t="inlineStr">
        <is>
          <t>Fonte: PDFs Eletrowatts 07/04/2026</t>
        </is>
      </c>
    </row>
    <row r="5">
      <c r="A5" s="21" t="inlineStr">
        <is>
          <t>Suplemento ao eletrico-r02-completo.xlsx (25/mar/2026)</t>
        </is>
      </c>
    </row>
    <row r="7" ht="22" customHeight="1">
      <c r="A7" s="3" t="inlineStr">
        <is>
          <t>Pavimento</t>
        </is>
      </c>
      <c r="B7" s="3" t="inlineStr">
        <is>
          <t>Torre</t>
        </is>
      </c>
      <c r="C7" s="3" t="inlineStr">
        <is>
          <t>Doc (referente)</t>
        </is>
      </c>
      <c r="D7" s="3" t="inlineStr">
        <is>
          <t>#</t>
        </is>
      </c>
      <c r="E7" s="3" t="inlineStr">
        <is>
          <t>Codigo</t>
        </is>
      </c>
      <c r="F7" s="3" t="inlineStr">
        <is>
          <t>Qtd</t>
        </is>
      </c>
      <c r="G7" s="3" t="inlineStr">
        <is>
          <t>Unid</t>
        </is>
      </c>
      <c r="H7" s="3" t="inlineStr">
        <is>
          <t>Descricao</t>
        </is>
      </c>
      <c r="I7" s="3" t="inlineStr">
        <is>
          <t>PU (R$)</t>
        </is>
      </c>
      <c r="J7" s="3" t="inlineStr">
        <is>
          <t>Total (R$)</t>
        </is>
      </c>
      <c r="K7" s="3" t="inlineStr">
        <is>
          <t>Fonte PU</t>
        </is>
      </c>
    </row>
    <row r="8">
      <c r="A8" s="4" t="inlineStr">
        <is>
          <t>01º Térreo</t>
        </is>
      </c>
      <c r="B8" s="6" t="inlineStr">
        <is>
          <t>NA</t>
        </is>
      </c>
      <c r="C8" s="4" t="inlineStr">
        <is>
          <t>QT-MAT-1940 - MAT. MONT. CD SALA COMERCIAL</t>
        </is>
      </c>
      <c r="D8" s="6" t="n">
        <v>1</v>
      </c>
      <c r="E8" s="6" t="inlineStr">
        <is>
          <t>6508 00 000</t>
        </is>
      </c>
      <c r="F8" s="22" t="n">
        <v>7</v>
      </c>
      <c r="G8" s="6" t="inlineStr">
        <is>
          <t>uni</t>
        </is>
      </c>
      <c r="H8" s="4" t="inlineStr">
        <is>
          <t>BARRAMENTO NEUTRO COM BASE AZUL P/ FIXAÇÃO COM PARAFUSO 12 FUROS 2X16MM² 10X10MM² 80A</t>
        </is>
      </c>
      <c r="I8" s="23" t="n">
        <v>48</v>
      </c>
      <c r="J8" s="23">
        <f>F8*I8</f>
        <v/>
      </c>
      <c r="K8" s="4" t="inlineStr">
        <is>
          <t>Barr neutro c/ base</t>
        </is>
      </c>
    </row>
    <row r="9">
      <c r="A9" s="4" t="inlineStr">
        <is>
          <t>01º Térreo</t>
        </is>
      </c>
      <c r="B9" s="6" t="inlineStr">
        <is>
          <t>NA</t>
        </is>
      </c>
      <c r="C9" s="4" t="inlineStr">
        <is>
          <t>QT-MAT-1940 - MAT. MONT. CD SALA COMERCIAL</t>
        </is>
      </c>
      <c r="D9" s="6" t="n">
        <v>2</v>
      </c>
      <c r="E9" s="6" t="inlineStr">
        <is>
          <t>6683 00 000</t>
        </is>
      </c>
      <c r="F9" s="22" t="n">
        <v>7</v>
      </c>
      <c r="G9" s="6" t="inlineStr">
        <is>
          <t>uni</t>
        </is>
      </c>
      <c r="H9" s="4" t="inlineStr">
        <is>
          <t>BARRAMENTO TERRA BASE VERDE P/ FIXAÇÃO COM PARAFUSO 16 FUROS 2X16MM² 16X10MM² 80A</t>
        </is>
      </c>
      <c r="I9" s="23" t="n">
        <v>52</v>
      </c>
      <c r="J9" s="23">
        <f>F9*I9</f>
        <v/>
      </c>
      <c r="K9" s="4" t="inlineStr">
        <is>
          <t>Barr terra c/ base</t>
        </is>
      </c>
    </row>
    <row r="10">
      <c r="A10" s="4" t="inlineStr">
        <is>
          <t>01º Térreo</t>
        </is>
      </c>
      <c r="B10" s="6" t="inlineStr">
        <is>
          <t>NA</t>
        </is>
      </c>
      <c r="C10" s="4" t="inlineStr">
        <is>
          <t>QT-MAT-1940 - MAT. MONT. CD SALA COMERCIAL</t>
        </is>
      </c>
      <c r="D10" s="6" t="n">
        <v>3</v>
      </c>
      <c r="E10" s="6" t="inlineStr">
        <is>
          <t>6507 00 000</t>
        </is>
      </c>
      <c r="F10" s="22" t="n">
        <v>7</v>
      </c>
      <c r="G10" s="6" t="inlineStr">
        <is>
          <t>uni</t>
        </is>
      </c>
      <c r="H10" s="4" t="inlineStr">
        <is>
          <t>BARRAMENTO NEUTRO COM BASE AZUL P/ FIXAÇÃO COM PARAFUSO 8 FUROS 2X16MM² 6X10MM² 80A</t>
        </is>
      </c>
      <c r="I10" s="23" t="n">
        <v>48</v>
      </c>
      <c r="J10" s="23">
        <f>F10*I10</f>
        <v/>
      </c>
      <c r="K10" s="4" t="inlineStr">
        <is>
          <t>Barr neutro c/ base</t>
        </is>
      </c>
    </row>
    <row r="11">
      <c r="A11" s="4" t="inlineStr">
        <is>
          <t>01º Térreo</t>
        </is>
      </c>
      <c r="B11" s="6" t="inlineStr">
        <is>
          <t>NA</t>
        </is>
      </c>
      <c r="C11" s="4" t="inlineStr">
        <is>
          <t>QT-MAT-1940 - MAT. MONT. CD SALA COMERCIAL</t>
        </is>
      </c>
      <c r="D11" s="6" t="n">
        <v>4</v>
      </c>
      <c r="E11" s="6" t="inlineStr">
        <is>
          <t>6369 00 000</t>
        </is>
      </c>
      <c r="F11" s="22" t="n">
        <v>7</v>
      </c>
      <c r="G11" s="6" t="inlineStr">
        <is>
          <t>uni</t>
        </is>
      </c>
      <c r="H11" s="4" t="inlineStr">
        <is>
          <t>BARRAMENTO PENTE TRIFASICO 18P P/ DISJUNTORES DIN 63A</t>
        </is>
      </c>
      <c r="I11" s="23" t="n">
        <v>85</v>
      </c>
      <c r="J11" s="23">
        <f>F11*I11</f>
        <v/>
      </c>
      <c r="K11" s="4" t="inlineStr">
        <is>
          <t>Barr pente 18P 63A</t>
        </is>
      </c>
    </row>
    <row r="12">
      <c r="A12" s="4" t="inlineStr">
        <is>
          <t>01º Térreo</t>
        </is>
      </c>
      <c r="B12" s="6" t="inlineStr">
        <is>
          <t>NA</t>
        </is>
      </c>
      <c r="C12" s="4" t="inlineStr">
        <is>
          <t>QT-MAT-1940 - MAT. MONT. CD SALA COMERCIAL</t>
        </is>
      </c>
      <c r="D12" s="6" t="n">
        <v>5</v>
      </c>
      <c r="E12" s="6" t="inlineStr">
        <is>
          <t>2618 00 000</t>
        </is>
      </c>
      <c r="F12" s="22" t="n">
        <v>42</v>
      </c>
      <c r="G12" s="6" t="inlineStr">
        <is>
          <t>uni</t>
        </is>
      </c>
      <c r="H12" s="4" t="inlineStr">
        <is>
          <t>TERMINAL PRÉ ISOLADO TIPO TUBO ( ILHÓS) - 10MM²</t>
        </is>
      </c>
      <c r="I12" s="23" t="n">
        <v>0.65</v>
      </c>
      <c r="J12" s="23">
        <f>F12*I12</f>
        <v/>
      </c>
      <c r="K12" s="4" t="inlineStr">
        <is>
          <t>Ilhos 10mm²</t>
        </is>
      </c>
    </row>
    <row r="13">
      <c r="A13" s="4" t="inlineStr">
        <is>
          <t>01º Térreo</t>
        </is>
      </c>
      <c r="B13" s="6" t="inlineStr">
        <is>
          <t>NA</t>
        </is>
      </c>
      <c r="C13" s="4" t="inlineStr">
        <is>
          <t>QT-MAT-1940 - MAT. MONT. CD SALA COMERCIAL</t>
        </is>
      </c>
      <c r="D13" s="6" t="n">
        <v>6</v>
      </c>
      <c r="E13" s="6" t="inlineStr">
        <is>
          <t>2617 00 000</t>
        </is>
      </c>
      <c r="F13" s="22" t="n">
        <v>70</v>
      </c>
      <c r="G13" s="6" t="inlineStr">
        <is>
          <t>uni</t>
        </is>
      </c>
      <c r="H13" s="4" t="inlineStr">
        <is>
          <t>TERMINAL PRÉ ISOLADO TIPO TUBO ( ILHÓS) - 6MM²</t>
        </is>
      </c>
      <c r="I13" s="23" t="n">
        <v>0.45</v>
      </c>
      <c r="J13" s="23">
        <f>F13*I13</f>
        <v/>
      </c>
      <c r="K13" s="4" t="inlineStr">
        <is>
          <t>Ilhos 6mm²</t>
        </is>
      </c>
    </row>
    <row r="14">
      <c r="A14" s="4" t="inlineStr">
        <is>
          <t>01º Térreo</t>
        </is>
      </c>
      <c r="B14" s="6" t="inlineStr">
        <is>
          <t>NA</t>
        </is>
      </c>
      <c r="C14" s="4" t="inlineStr">
        <is>
          <t>QT-MAT-1940 - MAT. MONT. CD SALA COMERCIAL</t>
        </is>
      </c>
      <c r="D14" s="6" t="n">
        <v>7</v>
      </c>
      <c r="E14" s="6" t="inlineStr">
        <is>
          <t>2868 00 000</t>
        </is>
      </c>
      <c r="F14" s="22" t="n">
        <v>4</v>
      </c>
      <c r="G14" s="6" t="inlineStr">
        <is>
          <t>m</t>
        </is>
      </c>
      <c r="H14" s="4" t="inlineStr">
        <is>
          <t>CABO 10MM² FLEXÍVEL (750V) AZUL CLARO</t>
        </is>
      </c>
      <c r="I14" s="23" t="n">
        <v>12.5</v>
      </c>
      <c r="J14" s="23">
        <f>F14*I14</f>
        <v/>
      </c>
      <c r="K14" s="4" t="inlineStr">
        <is>
          <t>Cabo 10mm² flex</t>
        </is>
      </c>
    </row>
    <row r="15">
      <c r="A15" s="4" t="inlineStr">
        <is>
          <t>01º Térreo</t>
        </is>
      </c>
      <c r="B15" s="6" t="inlineStr">
        <is>
          <t>NA</t>
        </is>
      </c>
      <c r="C15" s="4" t="inlineStr">
        <is>
          <t>QT-MAT-1940 - MAT. MONT. CD SALA COMERCIAL</t>
        </is>
      </c>
      <c r="D15" s="6" t="n">
        <v>8</v>
      </c>
      <c r="E15" s="6" t="inlineStr">
        <is>
          <t>2860 00 000</t>
        </is>
      </c>
      <c r="F15" s="22" t="n">
        <v>4</v>
      </c>
      <c r="G15" s="6" t="inlineStr">
        <is>
          <t>m</t>
        </is>
      </c>
      <c r="H15" s="4" t="inlineStr">
        <is>
          <t>CABO 10MM² FLEXÍVEL (750V) BRANCO</t>
        </is>
      </c>
      <c r="I15" s="23" t="n">
        <v>12.5</v>
      </c>
      <c r="J15" s="23">
        <f>F15*I15</f>
        <v/>
      </c>
      <c r="K15" s="4" t="inlineStr">
        <is>
          <t>Cabo 10mm² flex</t>
        </is>
      </c>
    </row>
    <row r="16">
      <c r="A16" s="4" t="inlineStr">
        <is>
          <t>01º Térreo</t>
        </is>
      </c>
      <c r="B16" s="6" t="inlineStr">
        <is>
          <t>NA</t>
        </is>
      </c>
      <c r="C16" s="4" t="inlineStr">
        <is>
          <t>QT-MAT-1940 - MAT. MONT. CD SALA COMERCIAL</t>
        </is>
      </c>
      <c r="D16" s="6" t="n">
        <v>9</v>
      </c>
      <c r="E16" s="6" t="inlineStr">
        <is>
          <t>2859 00 000</t>
        </is>
      </c>
      <c r="F16" s="22" t="n">
        <v>4</v>
      </c>
      <c r="G16" s="6" t="inlineStr">
        <is>
          <t>m</t>
        </is>
      </c>
      <c r="H16" s="4" t="inlineStr">
        <is>
          <t>CABO 10MM² FLEXÍVEL (750V) PRETO</t>
        </is>
      </c>
      <c r="I16" s="23" t="n">
        <v>12.5</v>
      </c>
      <c r="J16" s="23">
        <f>F16*I16</f>
        <v/>
      </c>
      <c r="K16" s="4" t="inlineStr">
        <is>
          <t>Cabo 10mm² flex</t>
        </is>
      </c>
    </row>
    <row r="17">
      <c r="A17" s="4" t="inlineStr">
        <is>
          <t>01º Térreo</t>
        </is>
      </c>
      <c r="B17" s="6" t="inlineStr">
        <is>
          <t>NA</t>
        </is>
      </c>
      <c r="C17" s="4" t="inlineStr">
        <is>
          <t>QT-MAT-1940 - MAT. MONT. CD SALA COMERCIAL</t>
        </is>
      </c>
      <c r="D17" s="6" t="n">
        <v>10</v>
      </c>
      <c r="E17" s="6" t="inlineStr">
        <is>
          <t>2861 00 000</t>
        </is>
      </c>
      <c r="F17" s="22" t="n">
        <v>4</v>
      </c>
      <c r="G17" s="6" t="inlineStr">
        <is>
          <t>m</t>
        </is>
      </c>
      <c r="H17" s="4" t="inlineStr">
        <is>
          <t>CABO 10MM² FLEXÍVEL (750V) VERMELHO</t>
        </is>
      </c>
      <c r="I17" s="23" t="n">
        <v>12.5</v>
      </c>
      <c r="J17" s="23">
        <f>F17*I17</f>
        <v/>
      </c>
      <c r="K17" s="4" t="inlineStr">
        <is>
          <t>Cabo 10mm² flex</t>
        </is>
      </c>
    </row>
    <row r="18">
      <c r="A18" s="15" t="inlineStr">
        <is>
          <t>01º Térreo</t>
        </is>
      </c>
      <c r="B18" s="27" t="inlineStr">
        <is>
          <t>NA</t>
        </is>
      </c>
      <c r="C18" s="15" t="inlineStr">
        <is>
          <t>QT-MAT-1940 - MAT. MONT. CD SALA COMERCIAL</t>
        </is>
      </c>
      <c r="D18" s="27" t="n">
        <v>11</v>
      </c>
      <c r="E18" s="27" t="inlineStr">
        <is>
          <t>2854 00 000</t>
        </is>
      </c>
      <c r="F18" s="28" t="n">
        <v>4</v>
      </c>
      <c r="G18" s="27" t="inlineStr">
        <is>
          <t>m</t>
        </is>
      </c>
      <c r="H18" s="15" t="inlineStr">
        <is>
          <t>CABO 6.0MM² FLEXÍVEL (750V) VERDE</t>
        </is>
      </c>
      <c r="I18" s="29" t="n">
        <v>15</v>
      </c>
      <c r="J18" s="29">
        <f>F18*I18</f>
        <v/>
      </c>
      <c r="K18" s="15" t="inlineStr">
        <is>
          <t>fallback</t>
        </is>
      </c>
    </row>
    <row r="19">
      <c r="A19" s="24" t="inlineStr">
        <is>
          <t>Subtotal — 01º Térreo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>
        <f>SUM(J8:J18)</f>
        <v/>
      </c>
      <c r="K19" s="25" t="n"/>
    </row>
    <row r="20">
      <c r="A20" s="4" t="inlineStr">
        <is>
          <t>08º-31º Tipo (×24)</t>
        </is>
      </c>
      <c r="B20" s="6" t="inlineStr">
        <is>
          <t>A</t>
        </is>
      </c>
      <c r="C20" s="4" t="inlineStr">
        <is>
          <t>QT-MAT-1941 - MAT.MONT. CD APTO (BLOCO A)</t>
        </is>
      </c>
      <c r="D20" s="6" t="n">
        <v>1</v>
      </c>
      <c r="E20" s="6" t="inlineStr">
        <is>
          <t>6508 00 000</t>
        </is>
      </c>
      <c r="F20" s="22" t="n">
        <v>96</v>
      </c>
      <c r="G20" s="6" t="inlineStr">
        <is>
          <t>uni</t>
        </is>
      </c>
      <c r="H20" s="4" t="inlineStr">
        <is>
          <t>BARRAMENTO NEUTRO COM BASE AZUL P/ FIXAÇÃO COM PARAFUSO 12 FUROS 2X16MM² 10X10MM² 80A</t>
        </is>
      </c>
      <c r="I20" s="23" t="n">
        <v>48</v>
      </c>
      <c r="J20" s="23">
        <f>F20*I20</f>
        <v/>
      </c>
      <c r="K20" s="4" t="inlineStr">
        <is>
          <t>Barr neutro c/ base</t>
        </is>
      </c>
    </row>
    <row r="21">
      <c r="A21" s="4" t="inlineStr">
        <is>
          <t>08º-31º Tipo (×24)</t>
        </is>
      </c>
      <c r="B21" s="6" t="inlineStr">
        <is>
          <t>A</t>
        </is>
      </c>
      <c r="C21" s="4" t="inlineStr">
        <is>
          <t>QT-MAT-1941 - MAT.MONT. CD APTO (BLOCO A)</t>
        </is>
      </c>
      <c r="D21" s="6" t="n">
        <v>2</v>
      </c>
      <c r="E21" s="6" t="inlineStr">
        <is>
          <t>6507 00 000</t>
        </is>
      </c>
      <c r="F21" s="22" t="n">
        <v>192</v>
      </c>
      <c r="G21" s="6" t="inlineStr">
        <is>
          <t>uni</t>
        </is>
      </c>
      <c r="H21" s="4" t="inlineStr">
        <is>
          <t>BARRAMENTO NEUTRO COM BASE AZUL P/ FIXAÇÃO COM PARAFUSO 8 FUROS 2X16MM² 6X10MM² 80A</t>
        </is>
      </c>
      <c r="I21" s="23" t="n">
        <v>48</v>
      </c>
      <c r="J21" s="23">
        <f>F21*I21</f>
        <v/>
      </c>
      <c r="K21" s="4" t="inlineStr">
        <is>
          <t>Barr neutro c/ base</t>
        </is>
      </c>
    </row>
    <row r="22">
      <c r="A22" s="4" t="inlineStr">
        <is>
          <t>08º-31º Tipo (×24)</t>
        </is>
      </c>
      <c r="B22" s="6" t="inlineStr">
        <is>
          <t>A</t>
        </is>
      </c>
      <c r="C22" s="4" t="inlineStr">
        <is>
          <t>QT-MAT-1941 - MAT.MONT. CD APTO (BLOCO A)</t>
        </is>
      </c>
      <c r="D22" s="6" t="n">
        <v>3</v>
      </c>
      <c r="E22" s="6" t="inlineStr">
        <is>
          <t>6685 00 000</t>
        </is>
      </c>
      <c r="F22" s="22" t="n">
        <v>96</v>
      </c>
      <c r="G22" s="6" t="inlineStr">
        <is>
          <t>uni</t>
        </is>
      </c>
      <c r="H22" s="4" t="inlineStr">
        <is>
          <t>BARRAMENTO TERRA BASE VERDE P/ FIXAÇÃO COM PARAFUSO 24 FUROS 2X16MM² 22X10MM² 80A</t>
        </is>
      </c>
      <c r="I22" s="23" t="n">
        <v>52</v>
      </c>
      <c r="J22" s="23">
        <f>F22*I22</f>
        <v/>
      </c>
      <c r="K22" s="4" t="inlineStr">
        <is>
          <t>Barr terra c/ base</t>
        </is>
      </c>
    </row>
    <row r="23">
      <c r="A23" s="4" t="inlineStr">
        <is>
          <t>08º-31º Tipo (×24)</t>
        </is>
      </c>
      <c r="B23" s="6" t="inlineStr">
        <is>
          <t>A</t>
        </is>
      </c>
      <c r="C23" s="4" t="inlineStr">
        <is>
          <t>QT-MAT-1941 - MAT.MONT. CD APTO (BLOCO A)</t>
        </is>
      </c>
      <c r="D23" s="6" t="n">
        <v>4</v>
      </c>
      <c r="E23" s="6" t="inlineStr">
        <is>
          <t>6369 00 000</t>
        </is>
      </c>
      <c r="F23" s="22" t="n">
        <v>96</v>
      </c>
      <c r="G23" s="6" t="inlineStr">
        <is>
          <t>uni</t>
        </is>
      </c>
      <c r="H23" s="4" t="inlineStr">
        <is>
          <t>BARRAMENTO PENTE TRIFASICO 18P P/ DISJUNTORES DIN 63A</t>
        </is>
      </c>
      <c r="I23" s="23" t="n">
        <v>85</v>
      </c>
      <c r="J23" s="23">
        <f>F23*I23</f>
        <v/>
      </c>
      <c r="K23" s="4" t="inlineStr">
        <is>
          <t>Barr pente 18P 63A</t>
        </is>
      </c>
    </row>
    <row r="24">
      <c r="A24" s="4" t="inlineStr">
        <is>
          <t>08º-31º Tipo (×24)</t>
        </is>
      </c>
      <c r="B24" s="6" t="inlineStr">
        <is>
          <t>A</t>
        </is>
      </c>
      <c r="C24" s="4" t="inlineStr">
        <is>
          <t>QT-MAT-1941 - MAT.MONT. CD APTO (BLOCO A)</t>
        </is>
      </c>
      <c r="D24" s="6" t="n">
        <v>5</v>
      </c>
      <c r="E24" s="6" t="inlineStr">
        <is>
          <t>6492 00 000</t>
        </is>
      </c>
      <c r="F24" s="22" t="n">
        <v>96</v>
      </c>
      <c r="G24" s="6" t="inlineStr">
        <is>
          <t>uni</t>
        </is>
      </c>
      <c r="H24" s="4" t="inlineStr">
        <is>
          <t>BARRAMENTO PENTE TRIFÁSICO 12P 80A P/ DISJUNTORES DIN 22CM</t>
        </is>
      </c>
      <c r="I24" s="23" t="n">
        <v>68</v>
      </c>
      <c r="J24" s="23">
        <f>F24*I24</f>
        <v/>
      </c>
      <c r="K24" s="4" t="inlineStr">
        <is>
          <t>Barr pente 12P 80A</t>
        </is>
      </c>
    </row>
    <row r="25">
      <c r="A25" s="4" t="inlineStr">
        <is>
          <t>08º-31º Tipo (×24)</t>
        </is>
      </c>
      <c r="B25" s="6" t="inlineStr">
        <is>
          <t>A</t>
        </is>
      </c>
      <c r="C25" s="4" t="inlineStr">
        <is>
          <t>QT-MAT-1941 - MAT.MONT. CD APTO (BLOCO A)</t>
        </is>
      </c>
      <c r="D25" s="6" t="n">
        <v>6</v>
      </c>
      <c r="E25" s="6" t="inlineStr">
        <is>
          <t>2631 00 000</t>
        </is>
      </c>
      <c r="F25" s="22" t="n">
        <v>480</v>
      </c>
      <c r="G25" s="6" t="inlineStr">
        <is>
          <t>uni</t>
        </is>
      </c>
      <c r="H25" s="4" t="inlineStr">
        <is>
          <t>TERMINAL PRÉ ISOLADO TIPO TUBO ( ILHÓS) DUPLO - 10MM²</t>
        </is>
      </c>
      <c r="I25" s="23" t="n">
        <v>0.9</v>
      </c>
      <c r="J25" s="23">
        <f>F25*I25</f>
        <v/>
      </c>
      <c r="K25" s="4" t="inlineStr">
        <is>
          <t>Ilhos duplo 10mm²</t>
        </is>
      </c>
    </row>
    <row r="26">
      <c r="A26" s="4" t="inlineStr">
        <is>
          <t>08º-31º Tipo (×24)</t>
        </is>
      </c>
      <c r="B26" s="6" t="inlineStr">
        <is>
          <t>A</t>
        </is>
      </c>
      <c r="C26" s="4" t="inlineStr">
        <is>
          <t>QT-MAT-1941 - MAT.MONT. CD APTO (BLOCO A)</t>
        </is>
      </c>
      <c r="D26" s="6" t="n">
        <v>7</v>
      </c>
      <c r="E26" s="6" t="inlineStr">
        <is>
          <t>2618 00 000</t>
        </is>
      </c>
      <c r="F26" s="22" t="n">
        <v>960</v>
      </c>
      <c r="G26" s="6" t="inlineStr">
        <is>
          <t>uni</t>
        </is>
      </c>
      <c r="H26" s="4" t="inlineStr">
        <is>
          <t>TERMINAL PRÉ ISOLADO TIPO TUBO ( ILHÓS) - 10MM²</t>
        </is>
      </c>
      <c r="I26" s="23" t="n">
        <v>0.65</v>
      </c>
      <c r="J26" s="23">
        <f>F26*I26</f>
        <v/>
      </c>
      <c r="K26" s="4" t="inlineStr">
        <is>
          <t>Ilhos 10mm²</t>
        </is>
      </c>
    </row>
    <row r="27">
      <c r="A27" s="4" t="inlineStr">
        <is>
          <t>08º-31º Tipo (×24)</t>
        </is>
      </c>
      <c r="B27" s="6" t="inlineStr">
        <is>
          <t>A</t>
        </is>
      </c>
      <c r="C27" s="4" t="inlineStr">
        <is>
          <t>QT-MAT-1941 - MAT.MONT. CD APTO (BLOCO A)</t>
        </is>
      </c>
      <c r="D27" s="6" t="n">
        <v>8</v>
      </c>
      <c r="E27" s="6" t="inlineStr">
        <is>
          <t>2617 00 000</t>
        </is>
      </c>
      <c r="F27" s="22" t="n">
        <v>960</v>
      </c>
      <c r="G27" s="6" t="inlineStr">
        <is>
          <t>uni</t>
        </is>
      </c>
      <c r="H27" s="4" t="inlineStr">
        <is>
          <t>TERMINAL PRÉ ISOLADO TIPO TUBO ( ILHÓS) - 6MM²</t>
        </is>
      </c>
      <c r="I27" s="23" t="n">
        <v>0.45</v>
      </c>
      <c r="J27" s="23">
        <f>F27*I27</f>
        <v/>
      </c>
      <c r="K27" s="4" t="inlineStr">
        <is>
          <t>Ilhos 6mm²</t>
        </is>
      </c>
    </row>
    <row r="28">
      <c r="A28" s="4" t="inlineStr">
        <is>
          <t>08º-31º Tipo (×24)</t>
        </is>
      </c>
      <c r="B28" s="6" t="inlineStr">
        <is>
          <t>A</t>
        </is>
      </c>
      <c r="C28" s="4" t="inlineStr">
        <is>
          <t>QT-MAT-1941 - MAT.MONT. CD APTO (BLOCO A)</t>
        </is>
      </c>
      <c r="D28" s="6" t="n">
        <v>9</v>
      </c>
      <c r="E28" s="6" t="inlineStr">
        <is>
          <t>2868 00 000</t>
        </is>
      </c>
      <c r="F28" s="22" t="n">
        <v>48</v>
      </c>
      <c r="G28" s="6" t="inlineStr">
        <is>
          <t>m</t>
        </is>
      </c>
      <c r="H28" s="4" t="inlineStr">
        <is>
          <t>CABO 10MM² FLEXÍVEL (750V) AZUL CLARO</t>
        </is>
      </c>
      <c r="I28" s="23" t="n">
        <v>12.5</v>
      </c>
      <c r="J28" s="23">
        <f>F28*I28</f>
        <v/>
      </c>
      <c r="K28" s="4" t="inlineStr">
        <is>
          <t>Cabo 10mm² flex</t>
        </is>
      </c>
    </row>
    <row r="29">
      <c r="A29" s="4" t="inlineStr">
        <is>
          <t>08º-31º Tipo (×24)</t>
        </is>
      </c>
      <c r="B29" s="6" t="inlineStr">
        <is>
          <t>A</t>
        </is>
      </c>
      <c r="C29" s="4" t="inlineStr">
        <is>
          <t>QT-MAT-1941 - MAT.MONT. CD APTO (BLOCO A)</t>
        </is>
      </c>
      <c r="D29" s="6" t="n">
        <v>10</v>
      </c>
      <c r="E29" s="6" t="inlineStr">
        <is>
          <t>2860 00 000</t>
        </is>
      </c>
      <c r="F29" s="22" t="n">
        <v>48</v>
      </c>
      <c r="G29" s="6" t="inlineStr">
        <is>
          <t>m</t>
        </is>
      </c>
      <c r="H29" s="4" t="inlineStr">
        <is>
          <t>CABO 10MM² FLEXÍVEL (750V) BRANCO</t>
        </is>
      </c>
      <c r="I29" s="23" t="n">
        <v>12.5</v>
      </c>
      <c r="J29" s="23">
        <f>F29*I29</f>
        <v/>
      </c>
      <c r="K29" s="4" t="inlineStr">
        <is>
          <t>Cabo 10mm² flex</t>
        </is>
      </c>
    </row>
    <row r="30">
      <c r="A30" s="4" t="inlineStr">
        <is>
          <t>08º-31º Tipo (×24)</t>
        </is>
      </c>
      <c r="B30" s="6" t="inlineStr">
        <is>
          <t>A</t>
        </is>
      </c>
      <c r="C30" s="4" t="inlineStr">
        <is>
          <t>QT-MAT-1941 - MAT.MONT. CD APTO (BLOCO A)</t>
        </is>
      </c>
      <c r="D30" s="6" t="n">
        <v>11</v>
      </c>
      <c r="E30" s="6" t="inlineStr">
        <is>
          <t>2859 00 000</t>
        </is>
      </c>
      <c r="F30" s="22" t="n">
        <v>48</v>
      </c>
      <c r="G30" s="6" t="inlineStr">
        <is>
          <t>m</t>
        </is>
      </c>
      <c r="H30" s="4" t="inlineStr">
        <is>
          <t>CABO 10MM² FLEXÍVEL (750V) PRETO</t>
        </is>
      </c>
      <c r="I30" s="23" t="n">
        <v>12.5</v>
      </c>
      <c r="J30" s="23">
        <f>F30*I30</f>
        <v/>
      </c>
      <c r="K30" s="4" t="inlineStr">
        <is>
          <t>Cabo 10mm² flex</t>
        </is>
      </c>
    </row>
    <row r="31">
      <c r="A31" s="4" t="inlineStr">
        <is>
          <t>08º-31º Tipo (×24)</t>
        </is>
      </c>
      <c r="B31" s="6" t="inlineStr">
        <is>
          <t>A</t>
        </is>
      </c>
      <c r="C31" s="4" t="inlineStr">
        <is>
          <t>QT-MAT-1941 - MAT.MONT. CD APTO (BLOCO A)</t>
        </is>
      </c>
      <c r="D31" s="6" t="n">
        <v>12</v>
      </c>
      <c r="E31" s="6" t="inlineStr">
        <is>
          <t>2861 00 000</t>
        </is>
      </c>
      <c r="F31" s="22" t="n">
        <v>48</v>
      </c>
      <c r="G31" s="6" t="inlineStr">
        <is>
          <t>m</t>
        </is>
      </c>
      <c r="H31" s="4" t="inlineStr">
        <is>
          <t>CABO 10MM² FLEXÍVEL (750V) VERMELHO</t>
        </is>
      </c>
      <c r="I31" s="23" t="n">
        <v>12.5</v>
      </c>
      <c r="J31" s="23">
        <f>F31*I31</f>
        <v/>
      </c>
      <c r="K31" s="4" t="inlineStr">
        <is>
          <t>Cabo 10mm² flex</t>
        </is>
      </c>
    </row>
    <row r="32">
      <c r="A32" s="15" t="inlineStr">
        <is>
          <t>08º-31º Tipo (×24)</t>
        </is>
      </c>
      <c r="B32" s="27" t="inlineStr">
        <is>
          <t>A</t>
        </is>
      </c>
      <c r="C32" s="15" t="inlineStr">
        <is>
          <t>QT-MAT-1941 - MAT.MONT. CD APTO (BLOCO A)</t>
        </is>
      </c>
      <c r="D32" s="27" t="n">
        <v>13</v>
      </c>
      <c r="E32" s="27" t="inlineStr">
        <is>
          <t>2854 00 000</t>
        </is>
      </c>
      <c r="F32" s="28" t="n">
        <v>48</v>
      </c>
      <c r="G32" s="27" t="inlineStr">
        <is>
          <t>m</t>
        </is>
      </c>
      <c r="H32" s="15" t="inlineStr">
        <is>
          <t>CABO 6.0MM² FLEXÍVEL (750V) VERDE</t>
        </is>
      </c>
      <c r="I32" s="29" t="n">
        <v>15</v>
      </c>
      <c r="J32" s="29">
        <f>F32*I32</f>
        <v/>
      </c>
      <c r="K32" s="15" t="inlineStr">
        <is>
          <t>fallback</t>
        </is>
      </c>
    </row>
    <row r="33">
      <c r="A33" s="15" t="inlineStr">
        <is>
          <t>08º-31º Tipo (×24)</t>
        </is>
      </c>
      <c r="B33" s="27" t="inlineStr">
        <is>
          <t>A</t>
        </is>
      </c>
      <c r="C33" s="15" t="inlineStr">
        <is>
          <t>QT-MAT-1941 - MAT.MONT. CD APTO (BLOCO A)</t>
        </is>
      </c>
      <c r="D33" s="27" t="n">
        <v>14</v>
      </c>
      <c r="E33" s="27" t="inlineStr">
        <is>
          <t>6491 00 000</t>
        </is>
      </c>
      <c r="F33" s="28" t="n">
        <v>32</v>
      </c>
      <c r="G33" s="27" t="inlineStr">
        <is>
          <t>uni</t>
        </is>
      </c>
      <c r="H33" s="15" t="inlineStr">
        <is>
          <t>BARRAMENTO PENTE MONOFÁSICO 12P 63A P/ DISJUNTORES DIN 22CM</t>
        </is>
      </c>
      <c r="I33" s="29" t="n">
        <v>15</v>
      </c>
      <c r="J33" s="29">
        <f>F33*I33</f>
        <v/>
      </c>
      <c r="K33" s="15" t="inlineStr">
        <is>
          <t>fallback</t>
        </is>
      </c>
    </row>
    <row r="34">
      <c r="A34" s="4" t="inlineStr">
        <is>
          <t>08º-31º Tipo (×24)</t>
        </is>
      </c>
      <c r="B34" s="6" t="inlineStr">
        <is>
          <t>B</t>
        </is>
      </c>
      <c r="C34" s="4" t="inlineStr">
        <is>
          <t>QT-MAT-1950 - MAT.MONT. CD APTO (BLOCO B)</t>
        </is>
      </c>
      <c r="D34" s="6" t="n">
        <v>1</v>
      </c>
      <c r="E34" s="6" t="inlineStr">
        <is>
          <t>6508 00 000</t>
        </is>
      </c>
      <c r="F34" s="22" t="n">
        <v>96</v>
      </c>
      <c r="G34" s="6" t="inlineStr">
        <is>
          <t>uni</t>
        </is>
      </c>
      <c r="H34" s="4" t="inlineStr">
        <is>
          <t>BARRAMENTO NEUTRO COM BASE AZUL P/ FIXAÇÃO COM PARAFUSO 12 FUROS 2X16MM² 10X10MM² 80A</t>
        </is>
      </c>
      <c r="I34" s="23" t="n">
        <v>48</v>
      </c>
      <c r="J34" s="23">
        <f>F34*I34</f>
        <v/>
      </c>
      <c r="K34" s="4" t="inlineStr">
        <is>
          <t>Barr neutro c/ base</t>
        </is>
      </c>
    </row>
    <row r="35">
      <c r="A35" s="4" t="inlineStr">
        <is>
          <t>08º-31º Tipo (×24)</t>
        </is>
      </c>
      <c r="B35" s="6" t="inlineStr">
        <is>
          <t>B</t>
        </is>
      </c>
      <c r="C35" s="4" t="inlineStr">
        <is>
          <t>QT-MAT-1950 - MAT.MONT. CD APTO (BLOCO B)</t>
        </is>
      </c>
      <c r="D35" s="6" t="n">
        <v>2</v>
      </c>
      <c r="E35" s="6" t="inlineStr">
        <is>
          <t>6507 00 000</t>
        </is>
      </c>
      <c r="F35" s="22" t="n">
        <v>192</v>
      </c>
      <c r="G35" s="6" t="inlineStr">
        <is>
          <t>uni</t>
        </is>
      </c>
      <c r="H35" s="4" t="inlineStr">
        <is>
          <t>BARRAMENTO NEUTRO COM BASE AZUL P/ FIXAÇÃO COM PARAFUSO 8 FUROS 2X16MM² 6X10MM² 80A</t>
        </is>
      </c>
      <c r="I35" s="23" t="n">
        <v>48</v>
      </c>
      <c r="J35" s="23">
        <f>F35*I35</f>
        <v/>
      </c>
      <c r="K35" s="4" t="inlineStr">
        <is>
          <t>Barr neutro c/ base</t>
        </is>
      </c>
    </row>
    <row r="36">
      <c r="A36" s="4" t="inlineStr">
        <is>
          <t>08º-31º Tipo (×24)</t>
        </is>
      </c>
      <c r="B36" s="6" t="inlineStr">
        <is>
          <t>B</t>
        </is>
      </c>
      <c r="C36" s="4" t="inlineStr">
        <is>
          <t>QT-MAT-1950 - MAT.MONT. CD APTO (BLOCO B)</t>
        </is>
      </c>
      <c r="D36" s="6" t="n">
        <v>3</v>
      </c>
      <c r="E36" s="6" t="inlineStr">
        <is>
          <t>6685 00 000</t>
        </is>
      </c>
      <c r="F36" s="22" t="n">
        <v>96</v>
      </c>
      <c r="G36" s="6" t="inlineStr">
        <is>
          <t>uni</t>
        </is>
      </c>
      <c r="H36" s="4" t="inlineStr">
        <is>
          <t>BARRAMENTO TERRA BASE VERDE P/ FIXAÇÃO COM PARAFUSO 24 FUROS 2X16MM² 22X10MM² 80A</t>
        </is>
      </c>
      <c r="I36" s="23" t="n">
        <v>52</v>
      </c>
      <c r="J36" s="23">
        <f>F36*I36</f>
        <v/>
      </c>
      <c r="K36" s="4" t="inlineStr">
        <is>
          <t>Barr terra c/ base</t>
        </is>
      </c>
    </row>
    <row r="37">
      <c r="A37" s="4" t="inlineStr">
        <is>
          <t>08º-31º Tipo (×24)</t>
        </is>
      </c>
      <c r="B37" s="6" t="inlineStr">
        <is>
          <t>B</t>
        </is>
      </c>
      <c r="C37" s="4" t="inlineStr">
        <is>
          <t>QT-MAT-1950 - MAT.MONT. CD APTO (BLOCO B)</t>
        </is>
      </c>
      <c r="D37" s="6" t="n">
        <v>4</v>
      </c>
      <c r="E37" s="6" t="inlineStr">
        <is>
          <t>6369 00 000</t>
        </is>
      </c>
      <c r="F37" s="22" t="n">
        <v>96</v>
      </c>
      <c r="G37" s="6" t="inlineStr">
        <is>
          <t>uni</t>
        </is>
      </c>
      <c r="H37" s="4" t="inlineStr">
        <is>
          <t>BARRAMENTO PENTE TRIFASICO 18P P/ DISJUNTORES DIN 63A</t>
        </is>
      </c>
      <c r="I37" s="23" t="n">
        <v>85</v>
      </c>
      <c r="J37" s="23">
        <f>F37*I37</f>
        <v/>
      </c>
      <c r="K37" s="4" t="inlineStr">
        <is>
          <t>Barr pente 18P 63A</t>
        </is>
      </c>
    </row>
    <row r="38">
      <c r="A38" s="4" t="inlineStr">
        <is>
          <t>08º-31º Tipo (×24)</t>
        </is>
      </c>
      <c r="B38" s="6" t="inlineStr">
        <is>
          <t>B</t>
        </is>
      </c>
      <c r="C38" s="4" t="inlineStr">
        <is>
          <t>QT-MAT-1950 - MAT.MONT. CD APTO (BLOCO B)</t>
        </is>
      </c>
      <c r="D38" s="6" t="n">
        <v>5</v>
      </c>
      <c r="E38" s="6" t="inlineStr">
        <is>
          <t>6492 00 000</t>
        </is>
      </c>
      <c r="F38" s="22" t="n">
        <v>96</v>
      </c>
      <c r="G38" s="6" t="inlineStr">
        <is>
          <t>uni</t>
        </is>
      </c>
      <c r="H38" s="4" t="inlineStr">
        <is>
          <t>BARRAMENTO PENTE TRIFÁSICO 12P 80A P/ DISJUNTORES DIN 22CM</t>
        </is>
      </c>
      <c r="I38" s="23" t="n">
        <v>68</v>
      </c>
      <c r="J38" s="23">
        <f>F38*I38</f>
        <v/>
      </c>
      <c r="K38" s="4" t="inlineStr">
        <is>
          <t>Barr pente 12P 80A</t>
        </is>
      </c>
    </row>
    <row r="39">
      <c r="A39" s="4" t="inlineStr">
        <is>
          <t>08º-31º Tipo (×24)</t>
        </is>
      </c>
      <c r="B39" s="6" t="inlineStr">
        <is>
          <t>B</t>
        </is>
      </c>
      <c r="C39" s="4" t="inlineStr">
        <is>
          <t>QT-MAT-1950 - MAT.MONT. CD APTO (BLOCO B)</t>
        </is>
      </c>
      <c r="D39" s="6" t="n">
        <v>6</v>
      </c>
      <c r="E39" s="6" t="inlineStr">
        <is>
          <t>2631 00 000</t>
        </is>
      </c>
      <c r="F39" s="22" t="n">
        <v>480</v>
      </c>
      <c r="G39" s="6" t="inlineStr">
        <is>
          <t>uni</t>
        </is>
      </c>
      <c r="H39" s="4" t="inlineStr">
        <is>
          <t>TERMINAL PRÉ ISOLADO TIPO TUBO ( ILHÓS) DUPLO - 10MM²</t>
        </is>
      </c>
      <c r="I39" s="23" t="n">
        <v>0.9</v>
      </c>
      <c r="J39" s="23">
        <f>F39*I39</f>
        <v/>
      </c>
      <c r="K39" s="4" t="inlineStr">
        <is>
          <t>Ilhos duplo 10mm²</t>
        </is>
      </c>
    </row>
    <row r="40">
      <c r="A40" s="4" t="inlineStr">
        <is>
          <t>08º-31º Tipo (×24)</t>
        </is>
      </c>
      <c r="B40" s="6" t="inlineStr">
        <is>
          <t>B</t>
        </is>
      </c>
      <c r="C40" s="4" t="inlineStr">
        <is>
          <t>QT-MAT-1950 - MAT.MONT. CD APTO (BLOCO B)</t>
        </is>
      </c>
      <c r="D40" s="6" t="n">
        <v>7</v>
      </c>
      <c r="E40" s="6" t="inlineStr">
        <is>
          <t>2618 00 000</t>
        </is>
      </c>
      <c r="F40" s="22" t="n">
        <v>960</v>
      </c>
      <c r="G40" s="6" t="inlineStr">
        <is>
          <t>uni</t>
        </is>
      </c>
      <c r="H40" s="4" t="inlineStr">
        <is>
          <t>TERMINAL PRÉ ISOLADO TIPO TUBO ( ILHÓS) - 10MM²</t>
        </is>
      </c>
      <c r="I40" s="23" t="n">
        <v>0.65</v>
      </c>
      <c r="J40" s="23">
        <f>F40*I40</f>
        <v/>
      </c>
      <c r="K40" s="4" t="inlineStr">
        <is>
          <t>Ilhos 10mm²</t>
        </is>
      </c>
    </row>
    <row r="41">
      <c r="A41" s="4" t="inlineStr">
        <is>
          <t>08º-31º Tipo (×24)</t>
        </is>
      </c>
      <c r="B41" s="6" t="inlineStr">
        <is>
          <t>B</t>
        </is>
      </c>
      <c r="C41" s="4" t="inlineStr">
        <is>
          <t>QT-MAT-1950 - MAT.MONT. CD APTO (BLOCO B)</t>
        </is>
      </c>
      <c r="D41" s="6" t="n">
        <v>8</v>
      </c>
      <c r="E41" s="6" t="inlineStr">
        <is>
          <t>2617 00 000</t>
        </is>
      </c>
      <c r="F41" s="22" t="n">
        <v>960</v>
      </c>
      <c r="G41" s="6" t="inlineStr">
        <is>
          <t>uni</t>
        </is>
      </c>
      <c r="H41" s="4" t="inlineStr">
        <is>
          <t>TERMINAL PRÉ ISOLADO TIPO TUBO ( ILHÓS) - 6MM²</t>
        </is>
      </c>
      <c r="I41" s="23" t="n">
        <v>0.45</v>
      </c>
      <c r="J41" s="23">
        <f>F41*I41</f>
        <v/>
      </c>
      <c r="K41" s="4" t="inlineStr">
        <is>
          <t>Ilhos 6mm²</t>
        </is>
      </c>
    </row>
    <row r="42">
      <c r="A42" s="4" t="inlineStr">
        <is>
          <t>08º-31º Tipo (×24)</t>
        </is>
      </c>
      <c r="B42" s="6" t="inlineStr">
        <is>
          <t>B</t>
        </is>
      </c>
      <c r="C42" s="4" t="inlineStr">
        <is>
          <t>QT-MAT-1950 - MAT.MONT. CD APTO (BLOCO B)</t>
        </is>
      </c>
      <c r="D42" s="6" t="n">
        <v>9</v>
      </c>
      <c r="E42" s="6" t="inlineStr">
        <is>
          <t>2868 00 000</t>
        </is>
      </c>
      <c r="F42" s="22" t="n">
        <v>48</v>
      </c>
      <c r="G42" s="6" t="inlineStr">
        <is>
          <t>m</t>
        </is>
      </c>
      <c r="H42" s="4" t="inlineStr">
        <is>
          <t>CABO 10MM² FLEXÍVEL (750V) AZUL CLARO</t>
        </is>
      </c>
      <c r="I42" s="23" t="n">
        <v>12.5</v>
      </c>
      <c r="J42" s="23">
        <f>F42*I42</f>
        <v/>
      </c>
      <c r="K42" s="4" t="inlineStr">
        <is>
          <t>Cabo 10mm² flex</t>
        </is>
      </c>
    </row>
    <row r="43">
      <c r="A43" s="4" t="inlineStr">
        <is>
          <t>08º-31º Tipo (×24)</t>
        </is>
      </c>
      <c r="B43" s="6" t="inlineStr">
        <is>
          <t>B</t>
        </is>
      </c>
      <c r="C43" s="4" t="inlineStr">
        <is>
          <t>QT-MAT-1950 - MAT.MONT. CD APTO (BLOCO B)</t>
        </is>
      </c>
      <c r="D43" s="6" t="n">
        <v>10</v>
      </c>
      <c r="E43" s="6" t="inlineStr">
        <is>
          <t>2860 00 000</t>
        </is>
      </c>
      <c r="F43" s="22" t="n">
        <v>48</v>
      </c>
      <c r="G43" s="6" t="inlineStr">
        <is>
          <t>m</t>
        </is>
      </c>
      <c r="H43" s="4" t="inlineStr">
        <is>
          <t>CABO 10MM² FLEXÍVEL (750V) BRANCO</t>
        </is>
      </c>
      <c r="I43" s="23" t="n">
        <v>12.5</v>
      </c>
      <c r="J43" s="23">
        <f>F43*I43</f>
        <v/>
      </c>
      <c r="K43" s="4" t="inlineStr">
        <is>
          <t>Cabo 10mm² flex</t>
        </is>
      </c>
    </row>
    <row r="44">
      <c r="A44" s="4" t="inlineStr">
        <is>
          <t>08º-31º Tipo (×24)</t>
        </is>
      </c>
      <c r="B44" s="6" t="inlineStr">
        <is>
          <t>B</t>
        </is>
      </c>
      <c r="C44" s="4" t="inlineStr">
        <is>
          <t>QT-MAT-1950 - MAT.MONT. CD APTO (BLOCO B)</t>
        </is>
      </c>
      <c r="D44" s="6" t="n">
        <v>11</v>
      </c>
      <c r="E44" s="6" t="inlineStr">
        <is>
          <t>2859 00 000</t>
        </is>
      </c>
      <c r="F44" s="22" t="n">
        <v>48</v>
      </c>
      <c r="G44" s="6" t="inlineStr">
        <is>
          <t>m</t>
        </is>
      </c>
      <c r="H44" s="4" t="inlineStr">
        <is>
          <t>CABO 10MM² FLEXÍVEL (750V) PRETO</t>
        </is>
      </c>
      <c r="I44" s="23" t="n">
        <v>12.5</v>
      </c>
      <c r="J44" s="23">
        <f>F44*I44</f>
        <v/>
      </c>
      <c r="K44" s="4" t="inlineStr">
        <is>
          <t>Cabo 10mm² flex</t>
        </is>
      </c>
    </row>
    <row r="45">
      <c r="A45" s="4" t="inlineStr">
        <is>
          <t>08º-31º Tipo (×24)</t>
        </is>
      </c>
      <c r="B45" s="6" t="inlineStr">
        <is>
          <t>B</t>
        </is>
      </c>
      <c r="C45" s="4" t="inlineStr">
        <is>
          <t>QT-MAT-1950 - MAT.MONT. CD APTO (BLOCO B)</t>
        </is>
      </c>
      <c r="D45" s="6" t="n">
        <v>12</v>
      </c>
      <c r="E45" s="6" t="inlineStr">
        <is>
          <t>2861 00 000</t>
        </is>
      </c>
      <c r="F45" s="22" t="n">
        <v>48</v>
      </c>
      <c r="G45" s="6" t="inlineStr">
        <is>
          <t>m</t>
        </is>
      </c>
      <c r="H45" s="4" t="inlineStr">
        <is>
          <t>CABO 10MM² FLEXÍVEL (750V) VERMELHO</t>
        </is>
      </c>
      <c r="I45" s="23" t="n">
        <v>12.5</v>
      </c>
      <c r="J45" s="23">
        <f>F45*I45</f>
        <v/>
      </c>
      <c r="K45" s="4" t="inlineStr">
        <is>
          <t>Cabo 10mm² flex</t>
        </is>
      </c>
    </row>
    <row r="46">
      <c r="A46" s="15" t="inlineStr">
        <is>
          <t>08º-31º Tipo (×24)</t>
        </is>
      </c>
      <c r="B46" s="27" t="inlineStr">
        <is>
          <t>B</t>
        </is>
      </c>
      <c r="C46" s="15" t="inlineStr">
        <is>
          <t>QT-MAT-1950 - MAT.MONT. CD APTO (BLOCO B)</t>
        </is>
      </c>
      <c r="D46" s="27" t="n">
        <v>13</v>
      </c>
      <c r="E46" s="27" t="inlineStr">
        <is>
          <t>2854 00 000</t>
        </is>
      </c>
      <c r="F46" s="28" t="n">
        <v>48</v>
      </c>
      <c r="G46" s="27" t="inlineStr">
        <is>
          <t>m</t>
        </is>
      </c>
      <c r="H46" s="15" t="inlineStr">
        <is>
          <t>CABO 6.0MM² FLEXÍVEL (750V) VERDE</t>
        </is>
      </c>
      <c r="I46" s="29" t="n">
        <v>15</v>
      </c>
      <c r="J46" s="29">
        <f>F46*I46</f>
        <v/>
      </c>
      <c r="K46" s="15" t="inlineStr">
        <is>
          <t>fallback</t>
        </is>
      </c>
    </row>
    <row r="47">
      <c r="A47" s="15" t="inlineStr">
        <is>
          <t>08º-31º Tipo (×24)</t>
        </is>
      </c>
      <c r="B47" s="27" t="inlineStr">
        <is>
          <t>B</t>
        </is>
      </c>
      <c r="C47" s="15" t="inlineStr">
        <is>
          <t>QT-MAT-1950 - MAT.MONT. CD APTO (BLOCO B)</t>
        </is>
      </c>
      <c r="D47" s="27" t="n">
        <v>14</v>
      </c>
      <c r="E47" s="27" t="inlineStr">
        <is>
          <t>6491 00 000</t>
        </is>
      </c>
      <c r="F47" s="28" t="n">
        <v>32</v>
      </c>
      <c r="G47" s="27" t="inlineStr">
        <is>
          <t>uni</t>
        </is>
      </c>
      <c r="H47" s="15" t="inlineStr">
        <is>
          <t>BARRAMENTO PENTE MONOFÁSICO 12P 63A P/ DISJUNTORES DIN 22CM</t>
        </is>
      </c>
      <c r="I47" s="29" t="n">
        <v>15</v>
      </c>
      <c r="J47" s="29">
        <f>F47*I47</f>
        <v/>
      </c>
      <c r="K47" s="15" t="inlineStr">
        <is>
          <t>fallback</t>
        </is>
      </c>
    </row>
    <row r="48">
      <c r="A48" s="24" t="inlineStr">
        <is>
          <t>Subtotal — 08º-31º Tipo (×24)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6">
        <f>SUM(J20:J47)</f>
        <v/>
      </c>
      <c r="K48" s="25" t="n"/>
    </row>
    <row r="50">
      <c r="A50" s="7" t="inlineStr">
        <is>
          <t>TOTAL MATERIAL INTERNO CD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8">
        <f>J19+J48</f>
        <v/>
      </c>
      <c r="K50" s="10" t="n"/>
    </row>
  </sheetData>
  <mergeCells count="3">
    <mergeCell ref="A50:I50"/>
    <mergeCell ref="A48:I48"/>
    <mergeCell ref="A19:I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45" customWidth="1" min="4" max="4"/>
    <col width="4" customWidth="1" min="5" max="5"/>
    <col width="14" customWidth="1" min="6" max="6"/>
    <col width="6" customWidth="1" min="7" max="7"/>
    <col width="5" customWidth="1" min="8" max="8"/>
    <col width="50" customWidth="1" min="9" max="9"/>
    <col width="12" customWidth="1" min="10" max="10"/>
    <col width="14" customWidth="1" min="11" max="11"/>
    <col width="22" customWidth="1" min="12" max="12"/>
  </cols>
  <sheetData>
    <row r="1">
      <c r="A1" s="1" t="inlineStr">
        <is>
          <t>THOZEN - RES. ELECTRA TOWERS</t>
        </is>
      </c>
    </row>
    <row r="2">
      <c r="A2" s="2" t="inlineStr">
        <is>
          <t>Disciplina: 06 Eletrico - Disjuntores/IDR/DPS (18 CDs por pavimento)</t>
        </is>
      </c>
    </row>
    <row r="3">
      <c r="A3" t="inlineStr">
        <is>
          <t>Revisao: R03 | Data: 2026-04-14 | AC: 36.092 m2 | Organizado por pavimento</t>
        </is>
      </c>
    </row>
    <row r="4">
      <c r="A4" s="20" t="inlineStr">
        <is>
          <t>Fonte: PDFs Eletrowatts 07/04/2026</t>
        </is>
      </c>
    </row>
    <row r="5">
      <c r="A5" s="21" t="inlineStr">
        <is>
          <t>Suplemento ao eletrico-r02-completo.xlsx (25/mar/2026)</t>
        </is>
      </c>
    </row>
    <row r="7" ht="22" customHeight="1">
      <c r="A7" s="3" t="inlineStr">
        <is>
          <t>Pavimento</t>
        </is>
      </c>
      <c r="B7" s="3" t="inlineStr">
        <is>
          <t>Torre</t>
        </is>
      </c>
      <c r="C7" s="3" t="inlineStr">
        <is>
          <t>CD (QT-MAT)</t>
        </is>
      </c>
      <c r="D7" s="3" t="inlineStr">
        <is>
          <t>Referente</t>
        </is>
      </c>
      <c r="E7" s="3" t="inlineStr">
        <is>
          <t>#</t>
        </is>
      </c>
      <c r="F7" s="3" t="inlineStr">
        <is>
          <t>Codigo</t>
        </is>
      </c>
      <c r="G7" s="3" t="inlineStr">
        <is>
          <t>Qtd</t>
        </is>
      </c>
      <c r="H7" s="3" t="inlineStr">
        <is>
          <t>Unid</t>
        </is>
      </c>
      <c r="I7" s="3" t="inlineStr">
        <is>
          <t>Descricao</t>
        </is>
      </c>
      <c r="J7" s="3" t="inlineStr">
        <is>
          <t>PU (R$)</t>
        </is>
      </c>
      <c r="K7" s="3" t="inlineStr">
        <is>
          <t>Total (R$)</t>
        </is>
      </c>
      <c r="L7" s="3" t="inlineStr">
        <is>
          <t>Fonte PU</t>
        </is>
      </c>
    </row>
    <row r="8">
      <c r="A8" s="4" t="inlineStr">
        <is>
          <t>01º Térreo</t>
        </is>
      </c>
      <c r="B8" s="6" t="inlineStr">
        <is>
          <t>A</t>
        </is>
      </c>
      <c r="C8" s="6" t="inlineStr">
        <is>
          <t>QT-MAT-1932</t>
        </is>
      </c>
      <c r="D8" s="4" t="inlineStr">
        <is>
          <t>DISJUNTORES CD COND. (FORA GERADOR, BLOCO A)</t>
        </is>
      </c>
      <c r="E8" s="6" t="n">
        <v>1</v>
      </c>
      <c r="F8" s="6" t="inlineStr">
        <is>
          <t>2523 00 000</t>
        </is>
      </c>
      <c r="G8" s="22" t="n">
        <v>2</v>
      </c>
      <c r="H8" s="6" t="inlineStr">
        <is>
          <t>uni</t>
        </is>
      </c>
      <c r="I8" s="4" t="inlineStr">
        <is>
          <t>MINIDISJUNTOR - MONOFÁSICO - 6A - CURVA C - 3KA</t>
        </is>
      </c>
      <c r="J8" s="23" t="n">
        <v>24</v>
      </c>
      <c r="K8" s="23">
        <f>G8*J8</f>
        <v/>
      </c>
      <c r="L8" s="4" t="inlineStr">
        <is>
          <t>Mini mono 6A</t>
        </is>
      </c>
    </row>
    <row r="9">
      <c r="A9" s="4" t="inlineStr">
        <is>
          <t>01º Térreo</t>
        </is>
      </c>
      <c r="B9" s="6" t="inlineStr">
        <is>
          <t>A</t>
        </is>
      </c>
      <c r="C9" s="6" t="inlineStr">
        <is>
          <t>QT-MAT-1932</t>
        </is>
      </c>
      <c r="D9" s="4" t="inlineStr">
        <is>
          <t>DISJUNTORES CD COND. (FORA GERADOR, BLOCO A)</t>
        </is>
      </c>
      <c r="E9" s="6" t="n">
        <v>2</v>
      </c>
      <c r="F9" s="6" t="inlineStr">
        <is>
          <t>2524 00 000</t>
        </is>
      </c>
      <c r="G9" s="22" t="n">
        <v>10</v>
      </c>
      <c r="H9" s="6" t="inlineStr">
        <is>
          <t>uni</t>
        </is>
      </c>
      <c r="I9" s="4" t="inlineStr">
        <is>
          <t>MINIDISJUNTOR - MONOFÁSICO - 10A - CURVA C - 3KA</t>
        </is>
      </c>
      <c r="J9" s="23" t="n">
        <v>24</v>
      </c>
      <c r="K9" s="23">
        <f>G9*J9</f>
        <v/>
      </c>
      <c r="L9" s="4" t="inlineStr">
        <is>
          <t>Mini mono 10A</t>
        </is>
      </c>
    </row>
    <row r="10">
      <c r="A10" s="4" t="inlineStr">
        <is>
          <t>01º Térreo</t>
        </is>
      </c>
      <c r="B10" s="6" t="inlineStr">
        <is>
          <t>A</t>
        </is>
      </c>
      <c r="C10" s="6" t="inlineStr">
        <is>
          <t>QT-MAT-1932</t>
        </is>
      </c>
      <c r="D10" s="4" t="inlineStr">
        <is>
          <t>DISJUNTORES CD COND. (FORA GERADOR, BLOCO A)</t>
        </is>
      </c>
      <c r="E10" s="6" t="n">
        <v>3</v>
      </c>
      <c r="F10" s="6" t="inlineStr">
        <is>
          <t>2525 00 000</t>
        </is>
      </c>
      <c r="G10" s="22" t="n">
        <v>1</v>
      </c>
      <c r="H10" s="6" t="inlineStr">
        <is>
          <t>uni</t>
        </is>
      </c>
      <c r="I10" s="4" t="inlineStr">
        <is>
          <t>MINIDISJUNTOR - MONOFÁSICO - 16A - CURVA C - 3KA</t>
        </is>
      </c>
      <c r="J10" s="23" t="n">
        <v>24</v>
      </c>
      <c r="K10" s="23">
        <f>G10*J10</f>
        <v/>
      </c>
      <c r="L10" s="4" t="inlineStr">
        <is>
          <t>Mini mono 6A</t>
        </is>
      </c>
    </row>
    <row r="11">
      <c r="A11" s="4" t="inlineStr">
        <is>
          <t>01º Térreo</t>
        </is>
      </c>
      <c r="B11" s="6" t="inlineStr">
        <is>
          <t>A</t>
        </is>
      </c>
      <c r="C11" s="6" t="inlineStr">
        <is>
          <t>QT-MAT-1932</t>
        </is>
      </c>
      <c r="D11" s="4" t="inlineStr">
        <is>
          <t>DISJUNTORES CD COND. (FORA GERADOR, BLOCO A)</t>
        </is>
      </c>
      <c r="E11" s="6" t="n">
        <v>4</v>
      </c>
      <c r="F11" s="6" t="inlineStr">
        <is>
          <t>2526 00 000</t>
        </is>
      </c>
      <c r="G11" s="22" t="n">
        <v>15</v>
      </c>
      <c r="H11" s="6" t="inlineStr">
        <is>
          <t>uni</t>
        </is>
      </c>
      <c r="I11" s="4" t="inlineStr">
        <is>
          <t>MINIDISJUNTOR - MONOFÁSICO - 20A - CURVA C - 3KA</t>
        </is>
      </c>
      <c r="J11" s="23" t="n">
        <v>28</v>
      </c>
      <c r="K11" s="23">
        <f>G11*J11</f>
        <v/>
      </c>
      <c r="L11" s="4" t="inlineStr">
        <is>
          <t>Mini mono 20A</t>
        </is>
      </c>
    </row>
    <row r="12">
      <c r="A12" s="4" t="inlineStr">
        <is>
          <t>01º Térreo</t>
        </is>
      </c>
      <c r="B12" s="6" t="inlineStr">
        <is>
          <t>A</t>
        </is>
      </c>
      <c r="C12" s="6" t="inlineStr">
        <is>
          <t>QT-MAT-1932</t>
        </is>
      </c>
      <c r="D12" s="4" t="inlineStr">
        <is>
          <t>DISJUNTORES CD COND. (FORA GERADOR, BLOCO A)</t>
        </is>
      </c>
      <c r="E12" s="6" t="n">
        <v>5</v>
      </c>
      <c r="F12" s="6" t="inlineStr">
        <is>
          <t>2528 00 000</t>
        </is>
      </c>
      <c r="G12" s="22" t="n">
        <v>5</v>
      </c>
      <c r="H12" s="6" t="inlineStr">
        <is>
          <t>uni</t>
        </is>
      </c>
      <c r="I12" s="4" t="inlineStr">
        <is>
          <t>MINIDISJUNTOR - MONOFÁSICO - 32A - CURVA C - 3KA</t>
        </is>
      </c>
      <c r="J12" s="23" t="n">
        <v>34</v>
      </c>
      <c r="K12" s="23">
        <f>G12*J12</f>
        <v/>
      </c>
      <c r="L12" s="4" t="inlineStr">
        <is>
          <t>Mini mono 32A</t>
        </is>
      </c>
    </row>
    <row r="13">
      <c r="A13" s="4" t="inlineStr">
        <is>
          <t>01º Térreo</t>
        </is>
      </c>
      <c r="B13" s="6" t="inlineStr">
        <is>
          <t>A</t>
        </is>
      </c>
      <c r="C13" s="6" t="inlineStr">
        <is>
          <t>QT-MAT-1932</t>
        </is>
      </c>
      <c r="D13" s="4" t="inlineStr">
        <is>
          <t>DISJUNTORES CD COND. (FORA GERADOR, BLOCO A)</t>
        </is>
      </c>
      <c r="E13" s="6" t="n">
        <v>6</v>
      </c>
      <c r="F13" s="6" t="inlineStr">
        <is>
          <t>2571 00 000</t>
        </is>
      </c>
      <c r="G13" s="22" t="n">
        <v>1</v>
      </c>
      <c r="H13" s="6" t="inlineStr">
        <is>
          <t>uni</t>
        </is>
      </c>
      <c r="I13" s="4" t="inlineStr">
        <is>
          <t>MINIDISJUNTOR - TRIFÁSICO - 6A - CURVA C - 3KA</t>
        </is>
      </c>
      <c r="J13" s="23" t="n">
        <v>120</v>
      </c>
      <c r="K13" s="23">
        <f>G13*J13</f>
        <v/>
      </c>
      <c r="L13" s="4" t="inlineStr">
        <is>
          <t>Mini trif 6A</t>
        </is>
      </c>
    </row>
    <row r="14">
      <c r="A14" s="4" t="inlineStr">
        <is>
          <t>01º Térreo</t>
        </is>
      </c>
      <c r="B14" s="6" t="inlineStr">
        <is>
          <t>A</t>
        </is>
      </c>
      <c r="C14" s="6" t="inlineStr">
        <is>
          <t>QT-MAT-1932</t>
        </is>
      </c>
      <c r="D14" s="4" t="inlineStr">
        <is>
          <t>DISJUNTORES CD COND. (FORA GERADOR, BLOCO A)</t>
        </is>
      </c>
      <c r="E14" s="6" t="n">
        <v>7</v>
      </c>
      <c r="F14" s="6" t="inlineStr">
        <is>
          <t>2578 00 000</t>
        </is>
      </c>
      <c r="G14" s="22" t="n">
        <v>1</v>
      </c>
      <c r="H14" s="6" t="inlineStr">
        <is>
          <t>uni</t>
        </is>
      </c>
      <c r="I14" s="4" t="inlineStr">
        <is>
          <t>MINIDISJUNTOR - TRIFÁSICO - 50A - CURVA C - 3KA</t>
        </is>
      </c>
      <c r="J14" s="23" t="n">
        <v>190</v>
      </c>
      <c r="K14" s="23">
        <f>G14*J14</f>
        <v/>
      </c>
      <c r="L14" s="4" t="inlineStr">
        <is>
          <t>Mini trif 50A</t>
        </is>
      </c>
    </row>
    <row r="15">
      <c r="A15" s="4" t="inlineStr">
        <is>
          <t>01º Térreo</t>
        </is>
      </c>
      <c r="B15" s="6" t="inlineStr">
        <is>
          <t>A</t>
        </is>
      </c>
      <c r="C15" s="6" t="inlineStr">
        <is>
          <t>QT-MAT-1932</t>
        </is>
      </c>
      <c r="D15" s="4" t="inlineStr">
        <is>
          <t>DISJUNTORES CD COND. (FORA GERADOR, BLOCO A)</t>
        </is>
      </c>
      <c r="E15" s="6" t="n">
        <v>8</v>
      </c>
      <c r="F15" s="6" t="inlineStr">
        <is>
          <t>6411 00 000</t>
        </is>
      </c>
      <c r="G15" s="22" t="n">
        <v>1</v>
      </c>
      <c r="H15" s="6" t="inlineStr">
        <is>
          <t>uni</t>
        </is>
      </c>
      <c r="I15" s="4" t="inlineStr">
        <is>
          <t>DISJUNTOR - TRIFÁSICO - CAIXA MOLDADA - 150A - 10KA</t>
        </is>
      </c>
      <c r="J15" s="23" t="n">
        <v>1280</v>
      </c>
      <c r="K15" s="23">
        <f>G15*J15</f>
        <v/>
      </c>
      <c r="L15" s="4" t="inlineStr">
        <is>
          <t>Disj cx mold 150A</t>
        </is>
      </c>
    </row>
    <row r="16">
      <c r="A16" s="4" t="inlineStr">
        <is>
          <t>01º Térreo</t>
        </is>
      </c>
      <c r="B16" s="6" t="inlineStr">
        <is>
          <t>A</t>
        </is>
      </c>
      <c r="C16" s="6" t="inlineStr">
        <is>
          <t>QT-MAT-1932</t>
        </is>
      </c>
      <c r="D16" s="4" t="inlineStr">
        <is>
          <t>DISJUNTORES CD COND. (FORA GERADOR, BLOCO A)</t>
        </is>
      </c>
      <c r="E16" s="6" t="n">
        <v>9</v>
      </c>
      <c r="F16" s="6" t="inlineStr">
        <is>
          <t>6452 00 000</t>
        </is>
      </c>
      <c r="G16" s="22" t="n">
        <v>1</v>
      </c>
      <c r="H16" s="6" t="inlineStr">
        <is>
          <t>uni</t>
        </is>
      </c>
      <c r="I16" s="4" t="inlineStr">
        <is>
          <t>IDR - INTERRUPTOR DIFERENCIAL RESIDUAL - TETRAPOLAR - 63A - 30MA - TIPO AC</t>
        </is>
      </c>
      <c r="J16" s="23" t="n">
        <v>560</v>
      </c>
      <c r="K16" s="23">
        <f>G16*J16</f>
        <v/>
      </c>
      <c r="L16" s="4" t="inlineStr">
        <is>
          <t>IDR tetra 63A</t>
        </is>
      </c>
    </row>
    <row r="17">
      <c r="A17" s="15" t="inlineStr">
        <is>
          <t>01º Térreo</t>
        </is>
      </c>
      <c r="B17" s="27" t="inlineStr">
        <is>
          <t>A</t>
        </is>
      </c>
      <c r="C17" s="27" t="inlineStr">
        <is>
          <t>QT-MAT-1932</t>
        </is>
      </c>
      <c r="D17" s="15" t="inlineStr">
        <is>
          <t>DISJUNTORES CD COND. (FORA GERADOR, BLOCO A)</t>
        </is>
      </c>
      <c r="E17" s="27" t="n">
        <v>10</v>
      </c>
      <c r="F17" s="27" t="inlineStr">
        <is>
          <t>6450 00 000</t>
        </is>
      </c>
      <c r="G17" s="28" t="n">
        <v>1</v>
      </c>
      <c r="H17" s="27" t="inlineStr">
        <is>
          <t>uni</t>
        </is>
      </c>
      <c r="I17" s="15" t="inlineStr">
        <is>
          <t>IDR - INTERRUPTOR DIFERENCIAL RESIDUAL - TETRAPOLAR - 25A - 30MA - TIPO AC</t>
        </is>
      </c>
      <c r="J17" s="29" t="n">
        <v>50</v>
      </c>
      <c r="K17" s="29">
        <f>G17*J17</f>
        <v/>
      </c>
      <c r="L17" s="15" t="inlineStr">
        <is>
          <t>fallback</t>
        </is>
      </c>
    </row>
    <row r="18">
      <c r="A18" s="4" t="inlineStr">
        <is>
          <t>01º Térreo</t>
        </is>
      </c>
      <c r="B18" s="6" t="inlineStr">
        <is>
          <t>A</t>
        </is>
      </c>
      <c r="C18" s="6" t="inlineStr">
        <is>
          <t>QT-MAT-1932</t>
        </is>
      </c>
      <c r="D18" s="4" t="inlineStr">
        <is>
          <t>DISJUNTORES CD COND. (FORA GERADOR, BLOCO A)</t>
        </is>
      </c>
      <c r="E18" s="6" t="n">
        <v>11</v>
      </c>
      <c r="F18" s="6" t="inlineStr">
        <is>
          <t>6438 00 000</t>
        </is>
      </c>
      <c r="G18" s="22" t="n">
        <v>1</v>
      </c>
      <c r="H18" s="6" t="inlineStr">
        <is>
          <t>uni</t>
        </is>
      </c>
      <c r="I18" s="4" t="inlineStr">
        <is>
          <t>IDR - INTERRUPTOR DIFERENCIAL RESIDUAL - BIPOLAR - 25A - 30MA - TIPO AC</t>
        </is>
      </c>
      <c r="J18" s="23" t="n">
        <v>195</v>
      </c>
      <c r="K18" s="23">
        <f>G18*J18</f>
        <v/>
      </c>
      <c r="L18" s="4" t="inlineStr">
        <is>
          <t>IDR bi 25A</t>
        </is>
      </c>
    </row>
    <row r="19">
      <c r="A19" s="4" t="inlineStr">
        <is>
          <t>01º Térreo</t>
        </is>
      </c>
      <c r="B19" s="6" t="inlineStr">
        <is>
          <t>A</t>
        </is>
      </c>
      <c r="C19" s="6" t="inlineStr">
        <is>
          <t>QT-MAT-1932</t>
        </is>
      </c>
      <c r="D19" s="4" t="inlineStr">
        <is>
          <t>DISJUNTORES CD COND. (FORA GERADOR, BLOCO A)</t>
        </is>
      </c>
      <c r="E19" s="6" t="n">
        <v>12</v>
      </c>
      <c r="F19" s="6" t="inlineStr">
        <is>
          <t>6409 00 000</t>
        </is>
      </c>
      <c r="G19" s="22" t="n">
        <v>1</v>
      </c>
      <c r="H19" s="6" t="inlineStr">
        <is>
          <t>uni</t>
        </is>
      </c>
      <c r="I19" s="4" t="inlineStr">
        <is>
          <t>DISJUNTOR - TRIFÁSICO - CAIXA MOLDADA - 100A - 10KA</t>
        </is>
      </c>
      <c r="J19" s="23" t="n">
        <v>880</v>
      </c>
      <c r="K19" s="23">
        <f>G19*J19</f>
        <v/>
      </c>
      <c r="L19" s="4" t="inlineStr">
        <is>
          <t>Disj cx mold 100A</t>
        </is>
      </c>
    </row>
    <row r="20">
      <c r="A20" s="4" t="inlineStr">
        <is>
          <t>01º Térreo</t>
        </is>
      </c>
      <c r="B20" s="6" t="inlineStr">
        <is>
          <t>A</t>
        </is>
      </c>
      <c r="C20" s="6" t="inlineStr">
        <is>
          <t>QT-MAT-1932</t>
        </is>
      </c>
      <c r="D20" s="4" t="inlineStr">
        <is>
          <t>DISJUNTORES CD COND. (FORA GERADOR, BLOCO A)</t>
        </is>
      </c>
      <c r="E20" s="6" t="n">
        <v>13</v>
      </c>
      <c r="F20" s="6" t="inlineStr">
        <is>
          <t>6416 00 000</t>
        </is>
      </c>
      <c r="G20" s="22" t="n">
        <v>1</v>
      </c>
      <c r="H20" s="6" t="inlineStr">
        <is>
          <t>uni</t>
        </is>
      </c>
      <c r="I20" s="4" t="inlineStr">
        <is>
          <t>DISJUNTOR - TRIFÁSICO - CAIXA MOLDADA - 250A - 10KA</t>
        </is>
      </c>
      <c r="J20" s="23" t="n">
        <v>2180</v>
      </c>
      <c r="K20" s="23">
        <f>G20*J20</f>
        <v/>
      </c>
      <c r="L20" s="4" t="inlineStr">
        <is>
          <t>Disj cx mold 250A</t>
        </is>
      </c>
    </row>
    <row r="21">
      <c r="A21" s="4" t="inlineStr">
        <is>
          <t>01º Térreo</t>
        </is>
      </c>
      <c r="B21" s="6" t="inlineStr">
        <is>
          <t>A</t>
        </is>
      </c>
      <c r="C21" s="6" t="inlineStr">
        <is>
          <t>QT-MAT-1932</t>
        </is>
      </c>
      <c r="D21" s="4" t="inlineStr">
        <is>
          <t>DISJUNTORES CD COND. (FORA GERADOR, BLOCO A)</t>
        </is>
      </c>
      <c r="E21" s="6" t="n">
        <v>14</v>
      </c>
      <c r="F21" s="6" t="inlineStr">
        <is>
          <t>6463 00 000</t>
        </is>
      </c>
      <c r="G21" s="22" t="n">
        <v>4</v>
      </c>
      <c r="H21" s="6" t="inlineStr">
        <is>
          <t>uni</t>
        </is>
      </c>
      <c r="I21" s="4" t="inlineStr">
        <is>
          <t>DPS - DISPOSITIVO DE PROTEÇÃO CONTRA SURTOS - MONOPOLAR - 275V - CLASSE II</t>
        </is>
      </c>
      <c r="J21" s="23" t="n">
        <v>130</v>
      </c>
      <c r="K21" s="23">
        <f>G21*J21</f>
        <v/>
      </c>
      <c r="L21" s="4" t="inlineStr">
        <is>
          <t>DPS mono 275V</t>
        </is>
      </c>
    </row>
    <row r="22">
      <c r="A22" s="4" t="inlineStr">
        <is>
          <t>01º Térreo</t>
        </is>
      </c>
      <c r="B22" s="6" t="inlineStr">
        <is>
          <t>A</t>
        </is>
      </c>
      <c r="C22" s="6" t="inlineStr">
        <is>
          <t>QT-MAT-1932</t>
        </is>
      </c>
      <c r="D22" s="4" t="inlineStr">
        <is>
          <t>DISJUNTORES CD COND. (FORA GERADOR, BLOCO A)</t>
        </is>
      </c>
      <c r="E22" s="6" t="n">
        <v>15</v>
      </c>
      <c r="F22" s="6" t="inlineStr">
        <is>
          <t>6391 00 000</t>
        </is>
      </c>
      <c r="G22" s="22" t="n">
        <v>1</v>
      </c>
      <c r="H22" s="6" t="inlineStr">
        <is>
          <t>uni</t>
        </is>
      </c>
      <c r="I22" s="4" t="inlineStr">
        <is>
          <t>MINIDISJUNTOR - TRIFÁSICO - 32A - CURVA C - 6KA</t>
        </is>
      </c>
      <c r="J22" s="23" t="n">
        <v>180</v>
      </c>
      <c r="K22" s="23">
        <f>G22*J22</f>
        <v/>
      </c>
      <c r="L22" s="4" t="inlineStr">
        <is>
          <t>Mini trif 32A 6kA</t>
        </is>
      </c>
    </row>
    <row r="23">
      <c r="A23" s="4" t="inlineStr">
        <is>
          <t>01º Térreo</t>
        </is>
      </c>
      <c r="B23" s="6" t="inlineStr">
        <is>
          <t>A</t>
        </is>
      </c>
      <c r="C23" s="6" t="inlineStr">
        <is>
          <t>QT-MAT-1932</t>
        </is>
      </c>
      <c r="D23" s="4" t="inlineStr">
        <is>
          <t>DISJUNTORES CD COND. (FORA GERADOR, BLOCO A)</t>
        </is>
      </c>
      <c r="E23" s="6" t="n">
        <v>16</v>
      </c>
      <c r="F23" s="6" t="inlineStr">
        <is>
          <t>2586 00 000</t>
        </is>
      </c>
      <c r="G23" s="22" t="n">
        <v>1</v>
      </c>
      <c r="H23" s="6" t="inlineStr">
        <is>
          <t>uni</t>
        </is>
      </c>
      <c r="I23" s="4" t="inlineStr">
        <is>
          <t>TEMPORIZADOR (TIMER) DIGITAL - HORÁRIO - P/ TRILHO DIN - 220V</t>
        </is>
      </c>
      <c r="J23" s="23" t="n">
        <v>215</v>
      </c>
      <c r="K23" s="23">
        <f>G23*J23</f>
        <v/>
      </c>
      <c r="L23" s="4" t="inlineStr">
        <is>
          <t>Timer digital</t>
        </is>
      </c>
    </row>
    <row r="24">
      <c r="A24" s="4" t="inlineStr">
        <is>
          <t>01º Térreo</t>
        </is>
      </c>
      <c r="B24" s="6" t="inlineStr">
        <is>
          <t>A</t>
        </is>
      </c>
      <c r="C24" s="6" t="inlineStr">
        <is>
          <t>QT-MAT-1932</t>
        </is>
      </c>
      <c r="D24" s="4" t="inlineStr">
        <is>
          <t>DISJUNTORES CD COND. (FORA GERADOR, BLOCO A)</t>
        </is>
      </c>
      <c r="E24" s="6" t="n">
        <v>17</v>
      </c>
      <c r="F24" s="6" t="inlineStr">
        <is>
          <t>2313 00 000</t>
        </is>
      </c>
      <c r="G24" s="22" t="n">
        <v>4</v>
      </c>
      <c r="H24" s="6" t="inlineStr">
        <is>
          <t>uni</t>
        </is>
      </c>
      <c r="I24" s="4" t="inlineStr">
        <is>
          <t>CONTATOR 10A - BOBINA 220V - (TRIFASICO)</t>
        </is>
      </c>
      <c r="J24" s="23" t="n">
        <v>185</v>
      </c>
      <c r="K24" s="23">
        <f>G24*J24</f>
        <v/>
      </c>
      <c r="L24" s="4" t="inlineStr">
        <is>
          <t>Contator 10A tri</t>
        </is>
      </c>
    </row>
    <row r="25">
      <c r="A25" s="4" t="inlineStr">
        <is>
          <t>01º Térreo</t>
        </is>
      </c>
      <c r="B25" s="6" t="inlineStr">
        <is>
          <t>A</t>
        </is>
      </c>
      <c r="C25" s="6" t="inlineStr">
        <is>
          <t>QT-MAT-1933</t>
        </is>
      </c>
      <c r="D25" s="4" t="inlineStr">
        <is>
          <t>DISJUNTORES CD COND. (NO GERADOR, BLOCO A)</t>
        </is>
      </c>
      <c r="E25" s="6" t="n">
        <v>1</v>
      </c>
      <c r="F25" s="6" t="inlineStr">
        <is>
          <t>2523 00 000</t>
        </is>
      </c>
      <c r="G25" s="22" t="n">
        <v>2</v>
      </c>
      <c r="H25" s="6" t="inlineStr">
        <is>
          <t>uni</t>
        </is>
      </c>
      <c r="I25" s="4" t="inlineStr">
        <is>
          <t>MINIDISJUNTOR - MONOFÁSICO - 6A - CURVA C - 3KA</t>
        </is>
      </c>
      <c r="J25" s="23" t="n">
        <v>24</v>
      </c>
      <c r="K25" s="23">
        <f>G25*J25</f>
        <v/>
      </c>
      <c r="L25" s="4" t="inlineStr">
        <is>
          <t>Mini mono 6A</t>
        </is>
      </c>
    </row>
    <row r="26">
      <c r="A26" s="4" t="inlineStr">
        <is>
          <t>01º Térreo</t>
        </is>
      </c>
      <c r="B26" s="6" t="inlineStr">
        <is>
          <t>A</t>
        </is>
      </c>
      <c r="C26" s="6" t="inlineStr">
        <is>
          <t>QT-MAT-1933</t>
        </is>
      </c>
      <c r="D26" s="4" t="inlineStr">
        <is>
          <t>DISJUNTORES CD COND. (NO GERADOR, BLOCO A)</t>
        </is>
      </c>
      <c r="E26" s="6" t="n">
        <v>2</v>
      </c>
      <c r="F26" s="6" t="inlineStr">
        <is>
          <t>2524 00 000</t>
        </is>
      </c>
      <c r="G26" s="22" t="n">
        <v>5</v>
      </c>
      <c r="H26" s="6" t="inlineStr">
        <is>
          <t>uni</t>
        </is>
      </c>
      <c r="I26" s="4" t="inlineStr">
        <is>
          <t>MINIDISJUNTOR - MONOFÁSICO - 10A - CURVA C - 3KA</t>
        </is>
      </c>
      <c r="J26" s="23" t="n">
        <v>24</v>
      </c>
      <c r="K26" s="23">
        <f>G26*J26</f>
        <v/>
      </c>
      <c r="L26" s="4" t="inlineStr">
        <is>
          <t>Mini mono 10A</t>
        </is>
      </c>
    </row>
    <row r="27">
      <c r="A27" s="4" t="inlineStr">
        <is>
          <t>01º Térreo</t>
        </is>
      </c>
      <c r="B27" s="6" t="inlineStr">
        <is>
          <t>A</t>
        </is>
      </c>
      <c r="C27" s="6" t="inlineStr">
        <is>
          <t>QT-MAT-1933</t>
        </is>
      </c>
      <c r="D27" s="4" t="inlineStr">
        <is>
          <t>DISJUNTORES CD COND. (NO GERADOR, BLOCO A)</t>
        </is>
      </c>
      <c r="E27" s="6" t="n">
        <v>3</v>
      </c>
      <c r="F27" s="6" t="inlineStr">
        <is>
          <t>2525 00 000</t>
        </is>
      </c>
      <c r="G27" s="22" t="n">
        <v>1</v>
      </c>
      <c r="H27" s="6" t="inlineStr">
        <is>
          <t>uni</t>
        </is>
      </c>
      <c r="I27" s="4" t="inlineStr">
        <is>
          <t>MINIDISJUNTOR - MONOFÁSICO - 16A - CURVA C - 3KA</t>
        </is>
      </c>
      <c r="J27" s="23" t="n">
        <v>24</v>
      </c>
      <c r="K27" s="23">
        <f>G27*J27</f>
        <v/>
      </c>
      <c r="L27" s="4" t="inlineStr">
        <is>
          <t>Mini mono 6A</t>
        </is>
      </c>
    </row>
    <row r="28">
      <c r="A28" s="4" t="inlineStr">
        <is>
          <t>01º Térreo</t>
        </is>
      </c>
      <c r="B28" s="6" t="inlineStr">
        <is>
          <t>A</t>
        </is>
      </c>
      <c r="C28" s="6" t="inlineStr">
        <is>
          <t>QT-MAT-1933</t>
        </is>
      </c>
      <c r="D28" s="4" t="inlineStr">
        <is>
          <t>DISJUNTORES CD COND. (NO GERADOR, BLOCO A)</t>
        </is>
      </c>
      <c r="E28" s="6" t="n">
        <v>4</v>
      </c>
      <c r="F28" s="6" t="inlineStr">
        <is>
          <t>2526 00 000</t>
        </is>
      </c>
      <c r="G28" s="22" t="n">
        <v>7</v>
      </c>
      <c r="H28" s="6" t="inlineStr">
        <is>
          <t>uni</t>
        </is>
      </c>
      <c r="I28" s="4" t="inlineStr">
        <is>
          <t>MINIDISJUNTOR - MONOFÁSICO - 20A - CURVA C - 3KA</t>
        </is>
      </c>
      <c r="J28" s="23" t="n">
        <v>28</v>
      </c>
      <c r="K28" s="23">
        <f>G28*J28</f>
        <v/>
      </c>
      <c r="L28" s="4" t="inlineStr">
        <is>
          <t>Mini mono 20A</t>
        </is>
      </c>
    </row>
    <row r="29">
      <c r="A29" s="4" t="inlineStr">
        <is>
          <t>01º Térreo</t>
        </is>
      </c>
      <c r="B29" s="6" t="inlineStr">
        <is>
          <t>A</t>
        </is>
      </c>
      <c r="C29" s="6" t="inlineStr">
        <is>
          <t>QT-MAT-1933</t>
        </is>
      </c>
      <c r="D29" s="4" t="inlineStr">
        <is>
          <t>DISJUNTORES CD COND. (NO GERADOR, BLOCO A)</t>
        </is>
      </c>
      <c r="E29" s="6" t="n">
        <v>5</v>
      </c>
      <c r="F29" s="6" t="inlineStr">
        <is>
          <t>2571 00 000</t>
        </is>
      </c>
      <c r="G29" s="22" t="n">
        <v>1</v>
      </c>
      <c r="H29" s="6" t="inlineStr">
        <is>
          <t>uni</t>
        </is>
      </c>
      <c r="I29" s="4" t="inlineStr">
        <is>
          <t>MINIDISJUNTOR - TRIFÁSICO - 6A - CURVA C - 3KA</t>
        </is>
      </c>
      <c r="J29" s="23" t="n">
        <v>120</v>
      </c>
      <c r="K29" s="23">
        <f>G29*J29</f>
        <v/>
      </c>
      <c r="L29" s="4" t="inlineStr">
        <is>
          <t>Mini trif 6A</t>
        </is>
      </c>
    </row>
    <row r="30">
      <c r="A30" s="4" t="inlineStr">
        <is>
          <t>01º Térreo</t>
        </is>
      </c>
      <c r="B30" s="6" t="inlineStr">
        <is>
          <t>A</t>
        </is>
      </c>
      <c r="C30" s="6" t="inlineStr">
        <is>
          <t>QT-MAT-1933</t>
        </is>
      </c>
      <c r="D30" s="4" t="inlineStr">
        <is>
          <t>DISJUNTORES CD COND. (NO GERADOR, BLOCO A)</t>
        </is>
      </c>
      <c r="E30" s="6" t="n">
        <v>6</v>
      </c>
      <c r="F30" s="6" t="inlineStr">
        <is>
          <t>2575 00 000</t>
        </is>
      </c>
      <c r="G30" s="22" t="n">
        <v>1</v>
      </c>
      <c r="H30" s="6" t="inlineStr">
        <is>
          <t>uni</t>
        </is>
      </c>
      <c r="I30" s="4" t="inlineStr">
        <is>
          <t>MINIDISJUNTOR - TRIFÁSICO - 25A - CURVA C - 3KA</t>
        </is>
      </c>
      <c r="J30" s="23" t="n">
        <v>140</v>
      </c>
      <c r="K30" s="23">
        <f>G30*J30</f>
        <v/>
      </c>
      <c r="L30" s="4" t="inlineStr">
        <is>
          <t>Mini trif 25A</t>
        </is>
      </c>
    </row>
    <row r="31">
      <c r="A31" s="4" t="inlineStr">
        <is>
          <t>01º Térreo</t>
        </is>
      </c>
      <c r="B31" s="6" t="inlineStr">
        <is>
          <t>A</t>
        </is>
      </c>
      <c r="C31" s="6" t="inlineStr">
        <is>
          <t>QT-MAT-1933</t>
        </is>
      </c>
      <c r="D31" s="4" t="inlineStr">
        <is>
          <t>DISJUNTORES CD COND. (NO GERADOR, BLOCO A)</t>
        </is>
      </c>
      <c r="E31" s="6" t="n">
        <v>7</v>
      </c>
      <c r="F31" s="6" t="inlineStr">
        <is>
          <t>2576 00 000</t>
        </is>
      </c>
      <c r="G31" s="22" t="n">
        <v>1</v>
      </c>
      <c r="H31" s="6" t="inlineStr">
        <is>
          <t>uni</t>
        </is>
      </c>
      <c r="I31" s="4" t="inlineStr">
        <is>
          <t>MINIDISJUNTOR - TRIFÁSICO - 32A - CURVA C - 3KA</t>
        </is>
      </c>
      <c r="J31" s="23" t="n">
        <v>155</v>
      </c>
      <c r="K31" s="23">
        <f>G31*J31</f>
        <v/>
      </c>
      <c r="L31" s="4" t="inlineStr">
        <is>
          <t>Mini trif 32A</t>
        </is>
      </c>
    </row>
    <row r="32">
      <c r="A32" s="4" t="inlineStr">
        <is>
          <t>01º Térreo</t>
        </is>
      </c>
      <c r="B32" s="6" t="inlineStr">
        <is>
          <t>A</t>
        </is>
      </c>
      <c r="C32" s="6" t="inlineStr">
        <is>
          <t>QT-MAT-1933</t>
        </is>
      </c>
      <c r="D32" s="4" t="inlineStr">
        <is>
          <t>DISJUNTORES CD COND. (NO GERADOR, BLOCO A)</t>
        </is>
      </c>
      <c r="E32" s="6" t="n">
        <v>8</v>
      </c>
      <c r="F32" s="6" t="inlineStr">
        <is>
          <t>2578 00 000</t>
        </is>
      </c>
      <c r="G32" s="22" t="n">
        <v>1</v>
      </c>
      <c r="H32" s="6" t="inlineStr">
        <is>
          <t>uni</t>
        </is>
      </c>
      <c r="I32" s="4" t="inlineStr">
        <is>
          <t>MINIDISJUNTOR - TRIFÁSICO - 50A - CURVA C - 3KA</t>
        </is>
      </c>
      <c r="J32" s="23" t="n">
        <v>190</v>
      </c>
      <c r="K32" s="23">
        <f>G32*J32</f>
        <v/>
      </c>
      <c r="L32" s="4" t="inlineStr">
        <is>
          <t>Mini trif 50A</t>
        </is>
      </c>
    </row>
    <row r="33">
      <c r="A33" s="15" t="inlineStr">
        <is>
          <t>01º Térreo</t>
        </is>
      </c>
      <c r="B33" s="27" t="inlineStr">
        <is>
          <t>A</t>
        </is>
      </c>
      <c r="C33" s="27" t="inlineStr">
        <is>
          <t>QT-MAT-1933</t>
        </is>
      </c>
      <c r="D33" s="15" t="inlineStr">
        <is>
          <t>DISJUNTORES CD COND. (NO GERADOR, BLOCO A)</t>
        </is>
      </c>
      <c r="E33" s="27" t="n">
        <v>9</v>
      </c>
      <c r="F33" s="27" t="inlineStr">
        <is>
          <t>6408 00 000</t>
        </is>
      </c>
      <c r="G33" s="28" t="n">
        <v>1</v>
      </c>
      <c r="H33" s="27" t="inlineStr">
        <is>
          <t>uni</t>
        </is>
      </c>
      <c r="I33" s="15" t="inlineStr">
        <is>
          <t>DISJUNTOR - TRIFÁSICO - CAIXA MOLDADA - 90A - 10KA</t>
        </is>
      </c>
      <c r="J33" s="29" t="n">
        <v>50</v>
      </c>
      <c r="K33" s="29">
        <f>G33*J33</f>
        <v/>
      </c>
      <c r="L33" s="15" t="inlineStr">
        <is>
          <t>fallback</t>
        </is>
      </c>
    </row>
    <row r="34">
      <c r="A34" s="4" t="inlineStr">
        <is>
          <t>01º Térreo</t>
        </is>
      </c>
      <c r="B34" s="6" t="inlineStr">
        <is>
          <t>A</t>
        </is>
      </c>
      <c r="C34" s="6" t="inlineStr">
        <is>
          <t>QT-MAT-1933</t>
        </is>
      </c>
      <c r="D34" s="4" t="inlineStr">
        <is>
          <t>DISJUNTORES CD COND. (NO GERADOR, BLOCO A)</t>
        </is>
      </c>
      <c r="E34" s="6" t="n">
        <v>10</v>
      </c>
      <c r="F34" s="6" t="inlineStr">
        <is>
          <t>6411 00 000</t>
        </is>
      </c>
      <c r="G34" s="22" t="n">
        <v>1</v>
      </c>
      <c r="H34" s="6" t="inlineStr">
        <is>
          <t>uni</t>
        </is>
      </c>
      <c r="I34" s="4" t="inlineStr">
        <is>
          <t>DISJUNTOR - TRIFÁSICO - CAIXA MOLDADA - 150A - 10KA</t>
        </is>
      </c>
      <c r="J34" s="23" t="n">
        <v>1280</v>
      </c>
      <c r="K34" s="23">
        <f>G34*J34</f>
        <v/>
      </c>
      <c r="L34" s="4" t="inlineStr">
        <is>
          <t>Disj cx mold 150A</t>
        </is>
      </c>
    </row>
    <row r="35">
      <c r="A35" s="4" t="inlineStr">
        <is>
          <t>01º Térreo</t>
        </is>
      </c>
      <c r="B35" s="6" t="inlineStr">
        <is>
          <t>A</t>
        </is>
      </c>
      <c r="C35" s="6" t="inlineStr">
        <is>
          <t>QT-MAT-1933</t>
        </is>
      </c>
      <c r="D35" s="4" t="inlineStr">
        <is>
          <t>DISJUNTORES CD COND. (NO GERADOR, BLOCO A)</t>
        </is>
      </c>
      <c r="E35" s="6" t="n">
        <v>11</v>
      </c>
      <c r="F35" s="6" t="inlineStr">
        <is>
          <t>6439 00 000</t>
        </is>
      </c>
      <c r="G35" s="22" t="n">
        <v>1</v>
      </c>
      <c r="H35" s="6" t="inlineStr">
        <is>
          <t>uni</t>
        </is>
      </c>
      <c r="I35" s="4" t="inlineStr">
        <is>
          <t>IDR - INTERRUPTOR DIFERENCIAL RESIDUAL - BIPOLAR - 40A - 30MA - TIPO AC</t>
        </is>
      </c>
      <c r="J35" s="23" t="n">
        <v>240</v>
      </c>
      <c r="K35" s="23">
        <f>G35*J35</f>
        <v/>
      </c>
      <c r="L35" s="4" t="inlineStr">
        <is>
          <t>IDR bi 40A</t>
        </is>
      </c>
    </row>
    <row r="36">
      <c r="A36" s="4" t="inlineStr">
        <is>
          <t>01º Térreo</t>
        </is>
      </c>
      <c r="B36" s="6" t="inlineStr">
        <is>
          <t>A</t>
        </is>
      </c>
      <c r="C36" s="6" t="inlineStr">
        <is>
          <t>QT-MAT-1933</t>
        </is>
      </c>
      <c r="D36" s="4" t="inlineStr">
        <is>
          <t>DISJUNTORES CD COND. (NO GERADOR, BLOCO A)</t>
        </is>
      </c>
      <c r="E36" s="6" t="n">
        <v>12</v>
      </c>
      <c r="F36" s="6" t="inlineStr">
        <is>
          <t>6438 00 000</t>
        </is>
      </c>
      <c r="G36" s="22" t="n">
        <v>1</v>
      </c>
      <c r="H36" s="6" t="inlineStr">
        <is>
          <t>uni</t>
        </is>
      </c>
      <c r="I36" s="4" t="inlineStr">
        <is>
          <t>IDR - INTERRUPTOR DIFERENCIAL RESIDUAL - BIPOLAR - 25A - 30MA - TIPO AC</t>
        </is>
      </c>
      <c r="J36" s="23" t="n">
        <v>195</v>
      </c>
      <c r="K36" s="23">
        <f>G36*J36</f>
        <v/>
      </c>
      <c r="L36" s="4" t="inlineStr">
        <is>
          <t>IDR bi 25A</t>
        </is>
      </c>
    </row>
    <row r="37">
      <c r="A37" s="4" t="inlineStr">
        <is>
          <t>01º Térreo</t>
        </is>
      </c>
      <c r="B37" s="6" t="inlineStr">
        <is>
          <t>A</t>
        </is>
      </c>
      <c r="C37" s="6" t="inlineStr">
        <is>
          <t>QT-MAT-1933</t>
        </is>
      </c>
      <c r="D37" s="4" t="inlineStr">
        <is>
          <t>DISJUNTORES CD COND. (NO GERADOR, BLOCO A)</t>
        </is>
      </c>
      <c r="E37" s="6" t="n">
        <v>13</v>
      </c>
      <c r="F37" s="6" t="inlineStr">
        <is>
          <t>2586 00 000</t>
        </is>
      </c>
      <c r="G37" s="22" t="n">
        <v>1</v>
      </c>
      <c r="H37" s="6" t="inlineStr">
        <is>
          <t>uni</t>
        </is>
      </c>
      <c r="I37" s="4" t="inlineStr">
        <is>
          <t>TEMPORIZADOR (TIMER) DIGITAL - HORÁRIO - P/ TRILHO DIN - 220V</t>
        </is>
      </c>
      <c r="J37" s="23" t="n">
        <v>215</v>
      </c>
      <c r="K37" s="23">
        <f>G37*J37</f>
        <v/>
      </c>
      <c r="L37" s="4" t="inlineStr">
        <is>
          <t>Timer digital</t>
        </is>
      </c>
    </row>
    <row r="38">
      <c r="A38" s="4" t="inlineStr">
        <is>
          <t>01º Térreo</t>
        </is>
      </c>
      <c r="B38" s="6" t="inlineStr">
        <is>
          <t>A</t>
        </is>
      </c>
      <c r="C38" s="6" t="inlineStr">
        <is>
          <t>QT-MAT-1933</t>
        </is>
      </c>
      <c r="D38" s="4" t="inlineStr">
        <is>
          <t>DISJUNTORES CD COND. (NO GERADOR, BLOCO A)</t>
        </is>
      </c>
      <c r="E38" s="6" t="n">
        <v>14</v>
      </c>
      <c r="F38" s="6" t="inlineStr">
        <is>
          <t>2313 00 000</t>
        </is>
      </c>
      <c r="G38" s="22" t="n">
        <v>2</v>
      </c>
      <c r="H38" s="6" t="inlineStr">
        <is>
          <t>uni</t>
        </is>
      </c>
      <c r="I38" s="4" t="inlineStr">
        <is>
          <t>CONTATOR 10A - BOBINA 220V - (TRIFASICO)</t>
        </is>
      </c>
      <c r="J38" s="23" t="n">
        <v>185</v>
      </c>
      <c r="K38" s="23">
        <f>G38*J38</f>
        <v/>
      </c>
      <c r="L38" s="4" t="inlineStr">
        <is>
          <t>Contator 10A tri</t>
        </is>
      </c>
    </row>
    <row r="39">
      <c r="A39" s="4" t="inlineStr">
        <is>
          <t>01º Térreo</t>
        </is>
      </c>
      <c r="B39" s="6" t="inlineStr">
        <is>
          <t>A</t>
        </is>
      </c>
      <c r="C39" s="6" t="inlineStr">
        <is>
          <t>QT-MAT-1933</t>
        </is>
      </c>
      <c r="D39" s="4" t="inlineStr">
        <is>
          <t>DISJUNTORES CD COND. (NO GERADOR, BLOCO A)</t>
        </is>
      </c>
      <c r="E39" s="6" t="n">
        <v>15</v>
      </c>
      <c r="F39" s="6" t="inlineStr">
        <is>
          <t>6463 00 000</t>
        </is>
      </c>
      <c r="G39" s="22" t="n">
        <v>4</v>
      </c>
      <c r="H39" s="6" t="inlineStr">
        <is>
          <t>uni</t>
        </is>
      </c>
      <c r="I39" s="4" t="inlineStr">
        <is>
          <t>DPS - DISPOSITIVO DE PROTEÇÃO CONTRA SURTOS - MONOPOLAR - 275V - CLASSE II</t>
        </is>
      </c>
      <c r="J39" s="23" t="n">
        <v>130</v>
      </c>
      <c r="K39" s="23">
        <f>G39*J39</f>
        <v/>
      </c>
      <c r="L39" s="4" t="inlineStr">
        <is>
          <t>DPS mono 275V</t>
        </is>
      </c>
    </row>
    <row r="40">
      <c r="A40" s="4" t="inlineStr">
        <is>
          <t>01º Térreo</t>
        </is>
      </c>
      <c r="B40" s="6" t="inlineStr">
        <is>
          <t>A</t>
        </is>
      </c>
      <c r="C40" s="6" t="inlineStr">
        <is>
          <t>QT-MAT-1933</t>
        </is>
      </c>
      <c r="D40" s="4" t="inlineStr">
        <is>
          <t>DISJUNTORES CD COND. (NO GERADOR, BLOCO A)</t>
        </is>
      </c>
      <c r="E40" s="6" t="n">
        <v>16</v>
      </c>
      <c r="F40" s="6" t="inlineStr">
        <is>
          <t>6391 00 000</t>
        </is>
      </c>
      <c r="G40" s="22" t="n">
        <v>1</v>
      </c>
      <c r="H40" s="6" t="inlineStr">
        <is>
          <t>uni</t>
        </is>
      </c>
      <c r="I40" s="4" t="inlineStr">
        <is>
          <t>MINIDISJUNTOR - TRIFÁSICO - 32A - CURVA C - 6KA</t>
        </is>
      </c>
      <c r="J40" s="23" t="n">
        <v>180</v>
      </c>
      <c r="K40" s="23">
        <f>G40*J40</f>
        <v/>
      </c>
      <c r="L40" s="4" t="inlineStr">
        <is>
          <t>Mini trif 32A 6kA</t>
        </is>
      </c>
    </row>
    <row r="41">
      <c r="A41" s="4" t="inlineStr">
        <is>
          <t>01º Térreo</t>
        </is>
      </c>
      <c r="B41" s="6" t="inlineStr">
        <is>
          <t>A</t>
        </is>
      </c>
      <c r="C41" s="6" t="inlineStr">
        <is>
          <t>QT-MAT-1934</t>
        </is>
      </c>
      <c r="D41" s="4" t="inlineStr">
        <is>
          <t>DISJUNTORES CD 01-EMER. (NO GERADOR, BLOCO A)</t>
        </is>
      </c>
      <c r="E41" s="6" t="n">
        <v>1</v>
      </c>
      <c r="F41" s="6" t="inlineStr">
        <is>
          <t>6463 00 000</t>
        </is>
      </c>
      <c r="G41" s="22" t="n">
        <v>4</v>
      </c>
      <c r="H41" s="6" t="inlineStr">
        <is>
          <t>uni</t>
        </is>
      </c>
      <c r="I41" s="4" t="inlineStr">
        <is>
          <t>DPS - DISPOSITIVO DE PROTEÇÃO CONTRA SURTOS - MONOPOLAR - 275V - CLASSE II</t>
        </is>
      </c>
      <c r="J41" s="23" t="n">
        <v>130</v>
      </c>
      <c r="K41" s="23">
        <f>G41*J41</f>
        <v/>
      </c>
      <c r="L41" s="4" t="inlineStr">
        <is>
          <t>DPS mono 275V</t>
        </is>
      </c>
    </row>
    <row r="42">
      <c r="A42" s="4" t="inlineStr">
        <is>
          <t>01º Térreo</t>
        </is>
      </c>
      <c r="B42" s="6" t="inlineStr">
        <is>
          <t>A</t>
        </is>
      </c>
      <c r="C42" s="6" t="inlineStr">
        <is>
          <t>QT-MAT-1934</t>
        </is>
      </c>
      <c r="D42" s="4" t="inlineStr">
        <is>
          <t>DISJUNTORES CD 01-EMER. (NO GERADOR, BLOCO A)</t>
        </is>
      </c>
      <c r="E42" s="6" t="n">
        <v>2</v>
      </c>
      <c r="F42" s="6" t="inlineStr">
        <is>
          <t>2523 00 000</t>
        </is>
      </c>
      <c r="G42" s="22" t="n">
        <v>1</v>
      </c>
      <c r="H42" s="6" t="inlineStr">
        <is>
          <t>uni</t>
        </is>
      </c>
      <c r="I42" s="4" t="inlineStr">
        <is>
          <t>MINIDISJUNTOR - MONOFÁSICO - 6A - CURVA C - 3KA</t>
        </is>
      </c>
      <c r="J42" s="23" t="n">
        <v>24</v>
      </c>
      <c r="K42" s="23">
        <f>G42*J42</f>
        <v/>
      </c>
      <c r="L42" s="4" t="inlineStr">
        <is>
          <t>Mini mono 6A</t>
        </is>
      </c>
    </row>
    <row r="43">
      <c r="A43" s="4" t="inlineStr">
        <is>
          <t>01º Térreo</t>
        </is>
      </c>
      <c r="B43" s="6" t="inlineStr">
        <is>
          <t>A</t>
        </is>
      </c>
      <c r="C43" s="6" t="inlineStr">
        <is>
          <t>QT-MAT-1934</t>
        </is>
      </c>
      <c r="D43" s="4" t="inlineStr">
        <is>
          <t>DISJUNTORES CD 01-EMER. (NO GERADOR, BLOCO A)</t>
        </is>
      </c>
      <c r="E43" s="6" t="n">
        <v>3</v>
      </c>
      <c r="F43" s="6" t="inlineStr">
        <is>
          <t>2525 00 000</t>
        </is>
      </c>
      <c r="G43" s="22" t="n">
        <v>1</v>
      </c>
      <c r="H43" s="6" t="inlineStr">
        <is>
          <t>uni</t>
        </is>
      </c>
      <c r="I43" s="4" t="inlineStr">
        <is>
          <t>MINIDISJUNTOR - MONOFÁSICO - 16A - CURVA C - 3KA</t>
        </is>
      </c>
      <c r="J43" s="23" t="n">
        <v>24</v>
      </c>
      <c r="K43" s="23">
        <f>G43*J43</f>
        <v/>
      </c>
      <c r="L43" s="4" t="inlineStr">
        <is>
          <t>Mini mono 6A</t>
        </is>
      </c>
    </row>
    <row r="44">
      <c r="A44" s="4" t="inlineStr">
        <is>
          <t>01º Térreo</t>
        </is>
      </c>
      <c r="B44" s="6" t="inlineStr">
        <is>
          <t>A</t>
        </is>
      </c>
      <c r="C44" s="6" t="inlineStr">
        <is>
          <t>QT-MAT-1934</t>
        </is>
      </c>
      <c r="D44" s="4" t="inlineStr">
        <is>
          <t>DISJUNTORES CD 01-EMER. (NO GERADOR, BLOCO A)</t>
        </is>
      </c>
      <c r="E44" s="6" t="n">
        <v>4</v>
      </c>
      <c r="F44" s="6" t="inlineStr">
        <is>
          <t>2526 00 000</t>
        </is>
      </c>
      <c r="G44" s="22" t="n">
        <v>2</v>
      </c>
      <c r="H44" s="6" t="inlineStr">
        <is>
          <t>uni</t>
        </is>
      </c>
      <c r="I44" s="4" t="inlineStr">
        <is>
          <t>MINIDISJUNTOR - MONOFÁSICO - 20A - CURVA C - 3KA</t>
        </is>
      </c>
      <c r="J44" s="23" t="n">
        <v>28</v>
      </c>
      <c r="K44" s="23">
        <f>G44*J44</f>
        <v/>
      </c>
      <c r="L44" s="4" t="inlineStr">
        <is>
          <t>Mini mono 20A</t>
        </is>
      </c>
    </row>
    <row r="45">
      <c r="A45" s="4" t="inlineStr">
        <is>
          <t>01º Térreo</t>
        </is>
      </c>
      <c r="B45" s="6" t="inlineStr">
        <is>
          <t>A</t>
        </is>
      </c>
      <c r="C45" s="6" t="inlineStr">
        <is>
          <t>QT-MAT-1934</t>
        </is>
      </c>
      <c r="D45" s="4" t="inlineStr">
        <is>
          <t>DISJUNTORES CD 01-EMER. (NO GERADOR, BLOCO A)</t>
        </is>
      </c>
      <c r="E45" s="6" t="n">
        <v>5</v>
      </c>
      <c r="F45" s="6" t="inlineStr">
        <is>
          <t>6438 00 000</t>
        </is>
      </c>
      <c r="G45" s="22" t="n">
        <v>1</v>
      </c>
      <c r="H45" s="6" t="inlineStr">
        <is>
          <t>uni</t>
        </is>
      </c>
      <c r="I45" s="4" t="inlineStr">
        <is>
          <t>IDR - INTERRUPTOR DIFERENCIAL RESIDUAL - BIPOLAR - 25A - 30MA - TIPO AC</t>
        </is>
      </c>
      <c r="J45" s="23" t="n">
        <v>195</v>
      </c>
      <c r="K45" s="23">
        <f>G45*J45</f>
        <v/>
      </c>
      <c r="L45" s="4" t="inlineStr">
        <is>
          <t>IDR bi 25A</t>
        </is>
      </c>
    </row>
    <row r="46">
      <c r="A46" s="4" t="inlineStr">
        <is>
          <t>01º Térreo</t>
        </is>
      </c>
      <c r="B46" s="6" t="inlineStr">
        <is>
          <t>A</t>
        </is>
      </c>
      <c r="C46" s="6" t="inlineStr">
        <is>
          <t>QT-MAT-1934</t>
        </is>
      </c>
      <c r="D46" s="4" t="inlineStr">
        <is>
          <t>DISJUNTORES CD 01-EMER. (NO GERADOR, BLOCO A)</t>
        </is>
      </c>
      <c r="E46" s="6" t="n">
        <v>6</v>
      </c>
      <c r="F46" s="6" t="inlineStr">
        <is>
          <t>2571 00 000</t>
        </is>
      </c>
      <c r="G46" s="22" t="n">
        <v>1</v>
      </c>
      <c r="H46" s="6" t="inlineStr">
        <is>
          <t>uni</t>
        </is>
      </c>
      <c r="I46" s="4" t="inlineStr">
        <is>
          <t>MINIDISJUNTOR - TRIFÁSICO - 6A - CURVA C - 3KA</t>
        </is>
      </c>
      <c r="J46" s="23" t="n">
        <v>120</v>
      </c>
      <c r="K46" s="23">
        <f>G46*J46</f>
        <v/>
      </c>
      <c r="L46" s="4" t="inlineStr">
        <is>
          <t>Mini trif 6A</t>
        </is>
      </c>
    </row>
    <row r="47">
      <c r="A47" s="4" t="inlineStr">
        <is>
          <t>01º Térreo</t>
        </is>
      </c>
      <c r="B47" s="6" t="inlineStr">
        <is>
          <t>A</t>
        </is>
      </c>
      <c r="C47" s="6" t="inlineStr">
        <is>
          <t>QT-MAT-1934</t>
        </is>
      </c>
      <c r="D47" s="4" t="inlineStr">
        <is>
          <t>DISJUNTORES CD 01-EMER. (NO GERADOR, BLOCO A)</t>
        </is>
      </c>
      <c r="E47" s="6" t="n">
        <v>7</v>
      </c>
      <c r="F47" s="6" t="inlineStr">
        <is>
          <t>2575 00 000</t>
        </is>
      </c>
      <c r="G47" s="22" t="n">
        <v>1</v>
      </c>
      <c r="H47" s="6" t="inlineStr">
        <is>
          <t>uni</t>
        </is>
      </c>
      <c r="I47" s="4" t="inlineStr">
        <is>
          <t>MINIDISJUNTOR - TRIFÁSICO - 25A - CURVA C - 3KA</t>
        </is>
      </c>
      <c r="J47" s="23" t="n">
        <v>140</v>
      </c>
      <c r="K47" s="23">
        <f>G47*J47</f>
        <v/>
      </c>
      <c r="L47" s="4" t="inlineStr">
        <is>
          <t>Mini trif 25A</t>
        </is>
      </c>
    </row>
    <row r="48">
      <c r="A48" s="4" t="inlineStr">
        <is>
          <t>01º Térreo</t>
        </is>
      </c>
      <c r="B48" s="6" t="inlineStr">
        <is>
          <t>A</t>
        </is>
      </c>
      <c r="C48" s="6" t="inlineStr">
        <is>
          <t>QT-MAT-1934</t>
        </is>
      </c>
      <c r="D48" s="4" t="inlineStr">
        <is>
          <t>DISJUNTORES CD 01-EMER. (NO GERADOR, BLOCO A)</t>
        </is>
      </c>
      <c r="E48" s="6" t="n">
        <v>8</v>
      </c>
      <c r="F48" s="6" t="inlineStr">
        <is>
          <t>2576 00 000</t>
        </is>
      </c>
      <c r="G48" s="22" t="n">
        <v>2</v>
      </c>
      <c r="H48" s="6" t="inlineStr">
        <is>
          <t>uni</t>
        </is>
      </c>
      <c r="I48" s="4" t="inlineStr">
        <is>
          <t>MINIDISJUNTOR - TRIFÁSICO - 32A - CURVA C - 3KA</t>
        </is>
      </c>
      <c r="J48" s="23" t="n">
        <v>155</v>
      </c>
      <c r="K48" s="23">
        <f>G48*J48</f>
        <v/>
      </c>
      <c r="L48" s="4" t="inlineStr">
        <is>
          <t>Mini trif 32A</t>
        </is>
      </c>
    </row>
    <row r="49">
      <c r="A49" s="4" t="inlineStr">
        <is>
          <t>01º Térreo</t>
        </is>
      </c>
      <c r="B49" s="6" t="inlineStr">
        <is>
          <t>A</t>
        </is>
      </c>
      <c r="C49" s="6" t="inlineStr">
        <is>
          <t>QT-MAT-1934</t>
        </is>
      </c>
      <c r="D49" s="4" t="inlineStr">
        <is>
          <t>DISJUNTORES CD 01-EMER. (NO GERADOR, BLOCO A)</t>
        </is>
      </c>
      <c r="E49" s="6" t="n">
        <v>9</v>
      </c>
      <c r="F49" s="6" t="inlineStr">
        <is>
          <t>2578 00 000</t>
        </is>
      </c>
      <c r="G49" s="22" t="n">
        <v>1</v>
      </c>
      <c r="H49" s="6" t="inlineStr">
        <is>
          <t>uni</t>
        </is>
      </c>
      <c r="I49" s="4" t="inlineStr">
        <is>
          <t>MINIDISJUNTOR - TRIFÁSICO - 50A - CURVA C - 3KA</t>
        </is>
      </c>
      <c r="J49" s="23" t="n">
        <v>190</v>
      </c>
      <c r="K49" s="23">
        <f>G49*J49</f>
        <v/>
      </c>
      <c r="L49" s="4" t="inlineStr">
        <is>
          <t>Mini trif 50A</t>
        </is>
      </c>
    </row>
    <row r="50">
      <c r="A50" s="4" t="inlineStr">
        <is>
          <t>01º Térreo</t>
        </is>
      </c>
      <c r="B50" s="6" t="inlineStr">
        <is>
          <t>A</t>
        </is>
      </c>
      <c r="C50" s="6" t="inlineStr">
        <is>
          <t>QT-MAT-1934</t>
        </is>
      </c>
      <c r="D50" s="4" t="inlineStr">
        <is>
          <t>DISJUNTORES CD 01-EMER. (NO GERADOR, BLOCO A)</t>
        </is>
      </c>
      <c r="E50" s="6" t="n">
        <v>10</v>
      </c>
      <c r="F50" s="6" t="inlineStr">
        <is>
          <t>6391 00 000</t>
        </is>
      </c>
      <c r="G50" s="22" t="n">
        <v>1</v>
      </c>
      <c r="H50" s="6" t="inlineStr">
        <is>
          <t>uni</t>
        </is>
      </c>
      <c r="I50" s="4" t="inlineStr">
        <is>
          <t>MINIDISJUNTOR - TRIFÁSICO - 32A - CURVA C - 6KA</t>
        </is>
      </c>
      <c r="J50" s="23" t="n">
        <v>180</v>
      </c>
      <c r="K50" s="23">
        <f>G50*J50</f>
        <v/>
      </c>
      <c r="L50" s="4" t="inlineStr">
        <is>
          <t>Mini trif 32A 6kA</t>
        </is>
      </c>
    </row>
    <row r="51">
      <c r="A51" s="15" t="inlineStr">
        <is>
          <t>01º Térreo</t>
        </is>
      </c>
      <c r="B51" s="27" t="inlineStr">
        <is>
          <t>A</t>
        </is>
      </c>
      <c r="C51" s="27" t="inlineStr">
        <is>
          <t>QT-MAT-1934</t>
        </is>
      </c>
      <c r="D51" s="15" t="inlineStr">
        <is>
          <t>DISJUNTORES CD 01-EMER. (NO GERADOR, BLOCO A)</t>
        </is>
      </c>
      <c r="E51" s="27" t="n">
        <v>11</v>
      </c>
      <c r="F51" s="27" t="inlineStr">
        <is>
          <t>6407 00 000</t>
        </is>
      </c>
      <c r="G51" s="28" t="n">
        <v>1</v>
      </c>
      <c r="H51" s="27" t="inlineStr">
        <is>
          <t>uni</t>
        </is>
      </c>
      <c r="I51" s="15" t="inlineStr">
        <is>
          <t>DISJUNTOR - TRIFÁSICO - CAIXA MOLDADA - 80A - 10KA</t>
        </is>
      </c>
      <c r="J51" s="29" t="n">
        <v>50</v>
      </c>
      <c r="K51" s="29">
        <f>G51*J51</f>
        <v/>
      </c>
      <c r="L51" s="15" t="inlineStr">
        <is>
          <t>fallback</t>
        </is>
      </c>
    </row>
    <row r="52">
      <c r="A52" s="4" t="inlineStr">
        <is>
          <t>01º Térreo</t>
        </is>
      </c>
      <c r="B52" s="6" t="inlineStr">
        <is>
          <t>B</t>
        </is>
      </c>
      <c r="C52" s="6" t="inlineStr">
        <is>
          <t>QT-MAT-1942</t>
        </is>
      </c>
      <c r="D52" s="4" t="inlineStr">
        <is>
          <t>DISJUNTORES CD COND. (FORA GERADOR, BLOCO B)</t>
        </is>
      </c>
      <c r="E52" s="6" t="n">
        <v>1</v>
      </c>
      <c r="F52" s="6" t="inlineStr">
        <is>
          <t>2523 00 000</t>
        </is>
      </c>
      <c r="G52" s="22" t="n">
        <v>2</v>
      </c>
      <c r="H52" s="6" t="inlineStr">
        <is>
          <t>uni</t>
        </is>
      </c>
      <c r="I52" s="4" t="inlineStr">
        <is>
          <t>MINIDISJUNTOR - MONOFÁSICO - 6A - CURVA C - 3KA</t>
        </is>
      </c>
      <c r="J52" s="23" t="n">
        <v>24</v>
      </c>
      <c r="K52" s="23">
        <f>G52*J52</f>
        <v/>
      </c>
      <c r="L52" s="4" t="inlineStr">
        <is>
          <t>Mini mono 6A</t>
        </is>
      </c>
    </row>
    <row r="53">
      <c r="A53" s="4" t="inlineStr">
        <is>
          <t>01º Térreo</t>
        </is>
      </c>
      <c r="B53" s="6" t="inlineStr">
        <is>
          <t>B</t>
        </is>
      </c>
      <c r="C53" s="6" t="inlineStr">
        <is>
          <t>QT-MAT-1942</t>
        </is>
      </c>
      <c r="D53" s="4" t="inlineStr">
        <is>
          <t>DISJUNTORES CD COND. (FORA GERADOR, BLOCO B)</t>
        </is>
      </c>
      <c r="E53" s="6" t="n">
        <v>2</v>
      </c>
      <c r="F53" s="6" t="inlineStr">
        <is>
          <t>2524 00 000</t>
        </is>
      </c>
      <c r="G53" s="22" t="n">
        <v>10</v>
      </c>
      <c r="H53" s="6" t="inlineStr">
        <is>
          <t>uni</t>
        </is>
      </c>
      <c r="I53" s="4" t="inlineStr">
        <is>
          <t>MINIDISJUNTOR - MONOFÁSICO - 10A - CURVA C - 3KA</t>
        </is>
      </c>
      <c r="J53" s="23" t="n">
        <v>24</v>
      </c>
      <c r="K53" s="23">
        <f>G53*J53</f>
        <v/>
      </c>
      <c r="L53" s="4" t="inlineStr">
        <is>
          <t>Mini mono 10A</t>
        </is>
      </c>
    </row>
    <row r="54">
      <c r="A54" s="4" t="inlineStr">
        <is>
          <t>01º Térreo</t>
        </is>
      </c>
      <c r="B54" s="6" t="inlineStr">
        <is>
          <t>B</t>
        </is>
      </c>
      <c r="C54" s="6" t="inlineStr">
        <is>
          <t>QT-MAT-1942</t>
        </is>
      </c>
      <c r="D54" s="4" t="inlineStr">
        <is>
          <t>DISJUNTORES CD COND. (FORA GERADOR, BLOCO B)</t>
        </is>
      </c>
      <c r="E54" s="6" t="n">
        <v>3</v>
      </c>
      <c r="F54" s="6" t="inlineStr">
        <is>
          <t>2525 00 000</t>
        </is>
      </c>
      <c r="G54" s="22" t="n">
        <v>1</v>
      </c>
      <c r="H54" s="6" t="inlineStr">
        <is>
          <t>uni</t>
        </is>
      </c>
      <c r="I54" s="4" t="inlineStr">
        <is>
          <t>MINIDISJUNTOR - MONOFÁSICO - 16A - CURVA C - 3KA</t>
        </is>
      </c>
      <c r="J54" s="23" t="n">
        <v>24</v>
      </c>
      <c r="K54" s="23">
        <f>G54*J54</f>
        <v/>
      </c>
      <c r="L54" s="4" t="inlineStr">
        <is>
          <t>Mini mono 6A</t>
        </is>
      </c>
    </row>
    <row r="55">
      <c r="A55" s="4" t="inlineStr">
        <is>
          <t>01º Térreo</t>
        </is>
      </c>
      <c r="B55" s="6" t="inlineStr">
        <is>
          <t>B</t>
        </is>
      </c>
      <c r="C55" s="6" t="inlineStr">
        <is>
          <t>QT-MAT-1942</t>
        </is>
      </c>
      <c r="D55" s="4" t="inlineStr">
        <is>
          <t>DISJUNTORES CD COND. (FORA GERADOR, BLOCO B)</t>
        </is>
      </c>
      <c r="E55" s="6" t="n">
        <v>4</v>
      </c>
      <c r="F55" s="6" t="inlineStr">
        <is>
          <t>2526 00 000</t>
        </is>
      </c>
      <c r="G55" s="22" t="n">
        <v>14</v>
      </c>
      <c r="H55" s="6" t="inlineStr">
        <is>
          <t>uni</t>
        </is>
      </c>
      <c r="I55" s="4" t="inlineStr">
        <is>
          <t>MINIDISJUNTOR - MONOFÁSICO - 20A - CURVA C - 3KA</t>
        </is>
      </c>
      <c r="J55" s="23" t="n">
        <v>28</v>
      </c>
      <c r="K55" s="23">
        <f>G55*J55</f>
        <v/>
      </c>
      <c r="L55" s="4" t="inlineStr">
        <is>
          <t>Mini mono 20A</t>
        </is>
      </c>
    </row>
    <row r="56">
      <c r="A56" s="4" t="inlineStr">
        <is>
          <t>01º Térreo</t>
        </is>
      </c>
      <c r="B56" s="6" t="inlineStr">
        <is>
          <t>B</t>
        </is>
      </c>
      <c r="C56" s="6" t="inlineStr">
        <is>
          <t>QT-MAT-1942</t>
        </is>
      </c>
      <c r="D56" s="4" t="inlineStr">
        <is>
          <t>DISJUNTORES CD COND. (FORA GERADOR, BLOCO B)</t>
        </is>
      </c>
      <c r="E56" s="6" t="n">
        <v>5</v>
      </c>
      <c r="F56" s="6" t="inlineStr">
        <is>
          <t>2527 00 000</t>
        </is>
      </c>
      <c r="G56" s="22" t="n">
        <v>1</v>
      </c>
      <c r="H56" s="6" t="inlineStr">
        <is>
          <t>uni</t>
        </is>
      </c>
      <c r="I56" s="4" t="inlineStr">
        <is>
          <t>MINIDISJUNTOR - MONOFÁSICO - 25A - CURVA C - 3KA</t>
        </is>
      </c>
      <c r="J56" s="23" t="n">
        <v>30</v>
      </c>
      <c r="K56" s="23">
        <f>G56*J56</f>
        <v/>
      </c>
      <c r="L56" s="4" t="inlineStr">
        <is>
          <t>Mini mono 25A</t>
        </is>
      </c>
    </row>
    <row r="57">
      <c r="A57" s="4" t="inlineStr">
        <is>
          <t>01º Térreo</t>
        </is>
      </c>
      <c r="B57" s="6" t="inlineStr">
        <is>
          <t>B</t>
        </is>
      </c>
      <c r="C57" s="6" t="inlineStr">
        <is>
          <t>QT-MAT-1942</t>
        </is>
      </c>
      <c r="D57" s="4" t="inlineStr">
        <is>
          <t>DISJUNTORES CD COND. (FORA GERADOR, BLOCO B)</t>
        </is>
      </c>
      <c r="E57" s="6" t="n">
        <v>6</v>
      </c>
      <c r="F57" s="6" t="inlineStr">
        <is>
          <t>2528 00 000</t>
        </is>
      </c>
      <c r="G57" s="22" t="n">
        <v>4</v>
      </c>
      <c r="H57" s="6" t="inlineStr">
        <is>
          <t>uni</t>
        </is>
      </c>
      <c r="I57" s="4" t="inlineStr">
        <is>
          <t>MINIDISJUNTOR - MONOFÁSICO - 32A - CURVA C - 3KA</t>
        </is>
      </c>
      <c r="J57" s="23" t="n">
        <v>34</v>
      </c>
      <c r="K57" s="23">
        <f>G57*J57</f>
        <v/>
      </c>
      <c r="L57" s="4" t="inlineStr">
        <is>
          <t>Mini mono 32A</t>
        </is>
      </c>
    </row>
    <row r="58">
      <c r="A58" s="4" t="inlineStr">
        <is>
          <t>01º Térreo</t>
        </is>
      </c>
      <c r="B58" s="6" t="inlineStr">
        <is>
          <t>B</t>
        </is>
      </c>
      <c r="C58" s="6" t="inlineStr">
        <is>
          <t>QT-MAT-1942</t>
        </is>
      </c>
      <c r="D58" s="4" t="inlineStr">
        <is>
          <t>DISJUNTORES CD COND. (FORA GERADOR, BLOCO B)</t>
        </is>
      </c>
      <c r="E58" s="6" t="n">
        <v>7</v>
      </c>
      <c r="F58" s="6" t="inlineStr">
        <is>
          <t>2529 00 000</t>
        </is>
      </c>
      <c r="G58" s="22" t="n">
        <v>1</v>
      </c>
      <c r="H58" s="6" t="inlineStr">
        <is>
          <t>uni</t>
        </is>
      </c>
      <c r="I58" s="4" t="inlineStr">
        <is>
          <t>MINIDISJUNTOR - MONOFÁSICO - 40A - CURVA C - 3KA</t>
        </is>
      </c>
      <c r="J58" s="23" t="n">
        <v>42</v>
      </c>
      <c r="K58" s="23">
        <f>G58*J58</f>
        <v/>
      </c>
      <c r="L58" s="4" t="inlineStr">
        <is>
          <t>Mini mono 40A</t>
        </is>
      </c>
    </row>
    <row r="59">
      <c r="A59" s="4" t="inlineStr">
        <is>
          <t>01º Térreo</t>
        </is>
      </c>
      <c r="B59" s="6" t="inlineStr">
        <is>
          <t>B</t>
        </is>
      </c>
      <c r="C59" s="6" t="inlineStr">
        <is>
          <t>QT-MAT-1942</t>
        </is>
      </c>
      <c r="D59" s="4" t="inlineStr">
        <is>
          <t>DISJUNTORES CD COND. (FORA GERADOR, BLOCO B)</t>
        </is>
      </c>
      <c r="E59" s="6" t="n">
        <v>8</v>
      </c>
      <c r="F59" s="6" t="inlineStr">
        <is>
          <t>6694 00 000</t>
        </is>
      </c>
      <c r="G59" s="22" t="n">
        <v>1</v>
      </c>
      <c r="H59" s="6" t="inlineStr">
        <is>
          <t>uni</t>
        </is>
      </c>
      <c r="I59" s="4" t="inlineStr">
        <is>
          <t>MINIDISJUNTOR - MONOFÁSICO - 40A - CURVA B - 3KA</t>
        </is>
      </c>
      <c r="J59" s="23" t="n">
        <v>42</v>
      </c>
      <c r="K59" s="23">
        <f>G59*J59</f>
        <v/>
      </c>
      <c r="L59" s="4" t="inlineStr">
        <is>
          <t>Mini mono 40A</t>
        </is>
      </c>
    </row>
    <row r="60">
      <c r="A60" s="4" t="inlineStr">
        <is>
          <t>01º Térreo</t>
        </is>
      </c>
      <c r="B60" s="6" t="inlineStr">
        <is>
          <t>B</t>
        </is>
      </c>
      <c r="C60" s="6" t="inlineStr">
        <is>
          <t>QT-MAT-1942</t>
        </is>
      </c>
      <c r="D60" s="4" t="inlineStr">
        <is>
          <t>DISJUNTORES CD COND. (FORA GERADOR, BLOCO B)</t>
        </is>
      </c>
      <c r="E60" s="6" t="n">
        <v>9</v>
      </c>
      <c r="F60" s="6" t="inlineStr">
        <is>
          <t>2571 00 000</t>
        </is>
      </c>
      <c r="G60" s="22" t="n">
        <v>1</v>
      </c>
      <c r="H60" s="6" t="inlineStr">
        <is>
          <t>uni</t>
        </is>
      </c>
      <c r="I60" s="4" t="inlineStr">
        <is>
          <t>MINIDISJUNTOR - TRIFÁSICO - 6A - CURVA C - 3KA</t>
        </is>
      </c>
      <c r="J60" s="23" t="n">
        <v>120</v>
      </c>
      <c r="K60" s="23">
        <f>G60*J60</f>
        <v/>
      </c>
      <c r="L60" s="4" t="inlineStr">
        <is>
          <t>Mini trif 6A</t>
        </is>
      </c>
    </row>
    <row r="61">
      <c r="A61" s="4" t="inlineStr">
        <is>
          <t>01º Térreo</t>
        </is>
      </c>
      <c r="B61" s="6" t="inlineStr">
        <is>
          <t>B</t>
        </is>
      </c>
      <c r="C61" s="6" t="inlineStr">
        <is>
          <t>QT-MAT-1942</t>
        </is>
      </c>
      <c r="D61" s="4" t="inlineStr">
        <is>
          <t>DISJUNTORES CD COND. (FORA GERADOR, BLOCO B)</t>
        </is>
      </c>
      <c r="E61" s="6" t="n">
        <v>10</v>
      </c>
      <c r="F61" s="6" t="inlineStr">
        <is>
          <t>2578 00 000</t>
        </is>
      </c>
      <c r="G61" s="22" t="n">
        <v>1</v>
      </c>
      <c r="H61" s="6" t="inlineStr">
        <is>
          <t>uni</t>
        </is>
      </c>
      <c r="I61" s="4" t="inlineStr">
        <is>
          <t>MINIDISJUNTOR - TRIFÁSICO - 50A - CURVA C - 3KA</t>
        </is>
      </c>
      <c r="J61" s="23" t="n">
        <v>190</v>
      </c>
      <c r="K61" s="23">
        <f>G61*J61</f>
        <v/>
      </c>
      <c r="L61" s="4" t="inlineStr">
        <is>
          <t>Mini trif 50A</t>
        </is>
      </c>
    </row>
    <row r="62">
      <c r="A62" s="4" t="inlineStr">
        <is>
          <t>01º Térreo</t>
        </is>
      </c>
      <c r="B62" s="6" t="inlineStr">
        <is>
          <t>B</t>
        </is>
      </c>
      <c r="C62" s="6" t="inlineStr">
        <is>
          <t>QT-MAT-1942</t>
        </is>
      </c>
      <c r="D62" s="4" t="inlineStr">
        <is>
          <t>DISJUNTORES CD COND. (FORA GERADOR, BLOCO B)</t>
        </is>
      </c>
      <c r="E62" s="6" t="n">
        <v>11</v>
      </c>
      <c r="F62" s="6" t="inlineStr">
        <is>
          <t>2579 00 000</t>
        </is>
      </c>
      <c r="G62" s="22" t="n">
        <v>1</v>
      </c>
      <c r="H62" s="6" t="inlineStr">
        <is>
          <t>uni</t>
        </is>
      </c>
      <c r="I62" s="4" t="inlineStr">
        <is>
          <t>MINIDISJUNTOR - TRIFÁSICO - 63A - CURVA C - 3KA</t>
        </is>
      </c>
      <c r="J62" s="23" t="n">
        <v>220</v>
      </c>
      <c r="K62" s="23">
        <f>G62*J62</f>
        <v/>
      </c>
      <c r="L62" s="4" t="inlineStr">
        <is>
          <t>Mini trif 63A</t>
        </is>
      </c>
    </row>
    <row r="63">
      <c r="A63" s="4" t="inlineStr">
        <is>
          <t>01º Térreo</t>
        </is>
      </c>
      <c r="B63" s="6" t="inlineStr">
        <is>
          <t>B</t>
        </is>
      </c>
      <c r="C63" s="6" t="inlineStr">
        <is>
          <t>QT-MAT-1942</t>
        </is>
      </c>
      <c r="D63" s="4" t="inlineStr">
        <is>
          <t>DISJUNTORES CD COND. (FORA GERADOR, BLOCO B)</t>
        </is>
      </c>
      <c r="E63" s="6" t="n">
        <v>12</v>
      </c>
      <c r="F63" s="6" t="inlineStr">
        <is>
          <t>6391 00 000</t>
        </is>
      </c>
      <c r="G63" s="22" t="n">
        <v>1</v>
      </c>
      <c r="H63" s="6" t="inlineStr">
        <is>
          <t>uni</t>
        </is>
      </c>
      <c r="I63" s="4" t="inlineStr">
        <is>
          <t>MINIDISJUNTOR - TRIFÁSICO - 32A - CURVA C - 6KA</t>
        </is>
      </c>
      <c r="J63" s="23" t="n">
        <v>180</v>
      </c>
      <c r="K63" s="23">
        <f>G63*J63</f>
        <v/>
      </c>
      <c r="L63" s="4" t="inlineStr">
        <is>
          <t>Mini trif 32A 6kA</t>
        </is>
      </c>
    </row>
    <row r="64">
      <c r="A64" s="4" t="inlineStr">
        <is>
          <t>01º Térreo</t>
        </is>
      </c>
      <c r="B64" s="6" t="inlineStr">
        <is>
          <t>B</t>
        </is>
      </c>
      <c r="C64" s="6" t="inlineStr">
        <is>
          <t>QT-MAT-1942</t>
        </is>
      </c>
      <c r="D64" s="4" t="inlineStr">
        <is>
          <t>DISJUNTORES CD COND. (FORA GERADOR, BLOCO B)</t>
        </is>
      </c>
      <c r="E64" s="6" t="n">
        <v>13</v>
      </c>
      <c r="F64" s="6" t="inlineStr">
        <is>
          <t>6452 00 000</t>
        </is>
      </c>
      <c r="G64" s="22" t="n">
        <v>1</v>
      </c>
      <c r="H64" s="6" t="inlineStr">
        <is>
          <t>uni</t>
        </is>
      </c>
      <c r="I64" s="4" t="inlineStr">
        <is>
          <t>IDR - INTERRUPTOR DIFERENCIAL RESIDUAL - TETRAPOLAR - 63A - 30MA - TIPO AC</t>
        </is>
      </c>
      <c r="J64" s="23" t="n">
        <v>560</v>
      </c>
      <c r="K64" s="23">
        <f>G64*J64</f>
        <v/>
      </c>
      <c r="L64" s="4" t="inlineStr">
        <is>
          <t>IDR tetra 63A</t>
        </is>
      </c>
    </row>
    <row r="65">
      <c r="A65" s="15" t="inlineStr">
        <is>
          <t>01º Térreo</t>
        </is>
      </c>
      <c r="B65" s="27" t="inlineStr">
        <is>
          <t>B</t>
        </is>
      </c>
      <c r="C65" s="27" t="inlineStr">
        <is>
          <t>QT-MAT-1942</t>
        </is>
      </c>
      <c r="D65" s="15" t="inlineStr">
        <is>
          <t>DISJUNTORES CD COND. (FORA GERADOR, BLOCO B)</t>
        </is>
      </c>
      <c r="E65" s="27" t="n">
        <v>14</v>
      </c>
      <c r="F65" s="27" t="inlineStr">
        <is>
          <t>6450 00 000</t>
        </is>
      </c>
      <c r="G65" s="28" t="n">
        <v>1</v>
      </c>
      <c r="H65" s="27" t="inlineStr">
        <is>
          <t>uni</t>
        </is>
      </c>
      <c r="I65" s="15" t="inlineStr">
        <is>
          <t>IDR - INTERRUPTOR DIFERENCIAL RESIDUAL - TETRAPOLAR - 25A - 30MA - TIPO AC</t>
        </is>
      </c>
      <c r="J65" s="29" t="n">
        <v>50</v>
      </c>
      <c r="K65" s="29">
        <f>G65*J65</f>
        <v/>
      </c>
      <c r="L65" s="15" t="inlineStr">
        <is>
          <t>fallback</t>
        </is>
      </c>
    </row>
    <row r="66">
      <c r="A66" s="4" t="inlineStr">
        <is>
          <t>01º Térreo</t>
        </is>
      </c>
      <c r="B66" s="6" t="inlineStr">
        <is>
          <t>B</t>
        </is>
      </c>
      <c r="C66" s="6" t="inlineStr">
        <is>
          <t>QT-MAT-1942</t>
        </is>
      </c>
      <c r="D66" s="4" t="inlineStr">
        <is>
          <t>DISJUNTORES CD COND. (FORA GERADOR, BLOCO B)</t>
        </is>
      </c>
      <c r="E66" s="6" t="n">
        <v>15</v>
      </c>
      <c r="F66" s="6" t="inlineStr">
        <is>
          <t>6439 00 000</t>
        </is>
      </c>
      <c r="G66" s="22" t="n">
        <v>1</v>
      </c>
      <c r="H66" s="6" t="inlineStr">
        <is>
          <t>uni</t>
        </is>
      </c>
      <c r="I66" s="4" t="inlineStr">
        <is>
          <t>IDR - INTERRUPTOR DIFERENCIAL RESIDUAL - BIPOLAR - 40A - 30MA - TIPO AC</t>
        </is>
      </c>
      <c r="J66" s="23" t="n">
        <v>240</v>
      </c>
      <c r="K66" s="23">
        <f>G66*J66</f>
        <v/>
      </c>
      <c r="L66" s="4" t="inlineStr">
        <is>
          <t>IDR bi 40A</t>
        </is>
      </c>
    </row>
    <row r="67">
      <c r="A67" s="4" t="inlineStr">
        <is>
          <t>01º Térreo</t>
        </is>
      </c>
      <c r="B67" s="6" t="inlineStr">
        <is>
          <t>B</t>
        </is>
      </c>
      <c r="C67" s="6" t="inlineStr">
        <is>
          <t>QT-MAT-1942</t>
        </is>
      </c>
      <c r="D67" s="4" t="inlineStr">
        <is>
          <t>DISJUNTORES CD COND. (FORA GERADOR, BLOCO B)</t>
        </is>
      </c>
      <c r="E67" s="6" t="n">
        <v>16</v>
      </c>
      <c r="F67" s="6" t="inlineStr">
        <is>
          <t>6438 00 000</t>
        </is>
      </c>
      <c r="G67" s="22" t="n">
        <v>1</v>
      </c>
      <c r="H67" s="6" t="inlineStr">
        <is>
          <t>uni</t>
        </is>
      </c>
      <c r="I67" s="4" t="inlineStr">
        <is>
          <t>IDR - INTERRUPTOR DIFERENCIAL RESIDUAL - BIPOLAR - 25A - 30MA - TIPO AC</t>
        </is>
      </c>
      <c r="J67" s="23" t="n">
        <v>195</v>
      </c>
      <c r="K67" s="23">
        <f>G67*J67</f>
        <v/>
      </c>
      <c r="L67" s="4" t="inlineStr">
        <is>
          <t>IDR bi 25A</t>
        </is>
      </c>
    </row>
    <row r="68">
      <c r="A68" s="4" t="inlineStr">
        <is>
          <t>01º Térreo</t>
        </is>
      </c>
      <c r="B68" s="6" t="inlineStr">
        <is>
          <t>B</t>
        </is>
      </c>
      <c r="C68" s="6" t="inlineStr">
        <is>
          <t>QT-MAT-1942</t>
        </is>
      </c>
      <c r="D68" s="4" t="inlineStr">
        <is>
          <t>DISJUNTORES CD COND. (FORA GERADOR, BLOCO B)</t>
        </is>
      </c>
      <c r="E68" s="6" t="n">
        <v>17</v>
      </c>
      <c r="F68" s="6" t="inlineStr">
        <is>
          <t>6463 00 000</t>
        </is>
      </c>
      <c r="G68" s="22" t="n">
        <v>4</v>
      </c>
      <c r="H68" s="6" t="inlineStr">
        <is>
          <t>uni</t>
        </is>
      </c>
      <c r="I68" s="4" t="inlineStr">
        <is>
          <t>DPS - DISPOSITIVO DE PROTEÇÃO CONTRA SURTOS - MONOPOLAR - 275V - CLASSE II</t>
        </is>
      </c>
      <c r="J68" s="23" t="n">
        <v>130</v>
      </c>
      <c r="K68" s="23">
        <f>G68*J68</f>
        <v/>
      </c>
      <c r="L68" s="4" t="inlineStr">
        <is>
          <t>DPS mono 275V</t>
        </is>
      </c>
    </row>
    <row r="69">
      <c r="A69" s="4" t="inlineStr">
        <is>
          <t>01º Térreo</t>
        </is>
      </c>
      <c r="B69" s="6" t="inlineStr">
        <is>
          <t>B</t>
        </is>
      </c>
      <c r="C69" s="6" t="inlineStr">
        <is>
          <t>QT-MAT-1942</t>
        </is>
      </c>
      <c r="D69" s="4" t="inlineStr">
        <is>
          <t>DISJUNTORES CD COND. (FORA GERADOR, BLOCO B)</t>
        </is>
      </c>
      <c r="E69" s="6" t="n">
        <v>18</v>
      </c>
      <c r="F69" s="6" t="inlineStr">
        <is>
          <t>6414 00 000</t>
        </is>
      </c>
      <c r="G69" s="22" t="n">
        <v>1</v>
      </c>
      <c r="H69" s="6" t="inlineStr">
        <is>
          <t>uni</t>
        </is>
      </c>
      <c r="I69" s="4" t="inlineStr">
        <is>
          <t>DISJUNTOR - TRIFÁSICO - CAIXA MOLDADA - 200A - 10KA</t>
        </is>
      </c>
      <c r="J69" s="23" t="n">
        <v>1680</v>
      </c>
      <c r="K69" s="23">
        <f>G69*J69</f>
        <v/>
      </c>
      <c r="L69" s="4" t="inlineStr">
        <is>
          <t>Disj cx mold 200A</t>
        </is>
      </c>
    </row>
    <row r="70">
      <c r="A70" s="4" t="inlineStr">
        <is>
          <t>01º Térreo</t>
        </is>
      </c>
      <c r="B70" s="6" t="inlineStr">
        <is>
          <t>B</t>
        </is>
      </c>
      <c r="C70" s="6" t="inlineStr">
        <is>
          <t>QT-MAT-1943</t>
        </is>
      </c>
      <c r="D70" s="4" t="inlineStr">
        <is>
          <t>DISJUNTORES CD COND. (NO GERADOR, BLOCO B)</t>
        </is>
      </c>
      <c r="E70" s="6" t="n">
        <v>1</v>
      </c>
      <c r="F70" s="6" t="inlineStr">
        <is>
          <t>2523 00 000</t>
        </is>
      </c>
      <c r="G70" s="22" t="n">
        <v>2</v>
      </c>
      <c r="H70" s="6" t="inlineStr">
        <is>
          <t>uni</t>
        </is>
      </c>
      <c r="I70" s="4" t="inlineStr">
        <is>
          <t>MINIDISJUNTOR - MONOFÁSICO - 6A - CURVA C - 3KA</t>
        </is>
      </c>
      <c r="J70" s="23" t="n">
        <v>24</v>
      </c>
      <c r="K70" s="23">
        <f>G70*J70</f>
        <v/>
      </c>
      <c r="L70" s="4" t="inlineStr">
        <is>
          <t>Mini mono 6A</t>
        </is>
      </c>
    </row>
    <row r="71">
      <c r="A71" s="4" t="inlineStr">
        <is>
          <t>01º Térreo</t>
        </is>
      </c>
      <c r="B71" s="6" t="inlineStr">
        <is>
          <t>B</t>
        </is>
      </c>
      <c r="C71" s="6" t="inlineStr">
        <is>
          <t>QT-MAT-1943</t>
        </is>
      </c>
      <c r="D71" s="4" t="inlineStr">
        <is>
          <t>DISJUNTORES CD COND. (NO GERADOR, BLOCO B)</t>
        </is>
      </c>
      <c r="E71" s="6" t="n">
        <v>2</v>
      </c>
      <c r="F71" s="6" t="inlineStr">
        <is>
          <t>2524 00 000</t>
        </is>
      </c>
      <c r="G71" s="22" t="n">
        <v>4</v>
      </c>
      <c r="H71" s="6" t="inlineStr">
        <is>
          <t>uni</t>
        </is>
      </c>
      <c r="I71" s="4" t="inlineStr">
        <is>
          <t>MINIDISJUNTOR - MONOFÁSICO - 10A - CURVA C - 3KA</t>
        </is>
      </c>
      <c r="J71" s="23" t="n">
        <v>24</v>
      </c>
      <c r="K71" s="23">
        <f>G71*J71</f>
        <v/>
      </c>
      <c r="L71" s="4" t="inlineStr">
        <is>
          <t>Mini mono 10A</t>
        </is>
      </c>
    </row>
    <row r="72">
      <c r="A72" s="4" t="inlineStr">
        <is>
          <t>01º Térreo</t>
        </is>
      </c>
      <c r="B72" s="6" t="inlineStr">
        <is>
          <t>B</t>
        </is>
      </c>
      <c r="C72" s="6" t="inlineStr">
        <is>
          <t>QT-MAT-1943</t>
        </is>
      </c>
      <c r="D72" s="4" t="inlineStr">
        <is>
          <t>DISJUNTORES CD COND. (NO GERADOR, BLOCO B)</t>
        </is>
      </c>
      <c r="E72" s="6" t="n">
        <v>3</v>
      </c>
      <c r="F72" s="6" t="inlineStr">
        <is>
          <t>2525 00 000</t>
        </is>
      </c>
      <c r="G72" s="22" t="n">
        <v>1</v>
      </c>
      <c r="H72" s="6" t="inlineStr">
        <is>
          <t>uni</t>
        </is>
      </c>
      <c r="I72" s="4" t="inlineStr">
        <is>
          <t>MINIDISJUNTOR - MONOFÁSICO - 16A - CURVA C - 3KA</t>
        </is>
      </c>
      <c r="J72" s="23" t="n">
        <v>24</v>
      </c>
      <c r="K72" s="23">
        <f>G72*J72</f>
        <v/>
      </c>
      <c r="L72" s="4" t="inlineStr">
        <is>
          <t>Mini mono 6A</t>
        </is>
      </c>
    </row>
    <row r="73">
      <c r="A73" s="4" t="inlineStr">
        <is>
          <t>01º Térreo</t>
        </is>
      </c>
      <c r="B73" s="6" t="inlineStr">
        <is>
          <t>B</t>
        </is>
      </c>
      <c r="C73" s="6" t="inlineStr">
        <is>
          <t>QT-MAT-1943</t>
        </is>
      </c>
      <c r="D73" s="4" t="inlineStr">
        <is>
          <t>DISJUNTORES CD COND. (NO GERADOR, BLOCO B)</t>
        </is>
      </c>
      <c r="E73" s="6" t="n">
        <v>4</v>
      </c>
      <c r="F73" s="6" t="inlineStr">
        <is>
          <t>2526 00 000</t>
        </is>
      </c>
      <c r="G73" s="22" t="n">
        <v>5</v>
      </c>
      <c r="H73" s="6" t="inlineStr">
        <is>
          <t>uni</t>
        </is>
      </c>
      <c r="I73" s="4" t="inlineStr">
        <is>
          <t>MINIDISJUNTOR - MONOFÁSICO - 20A - CURVA C - 3KA</t>
        </is>
      </c>
      <c r="J73" s="23" t="n">
        <v>28</v>
      </c>
      <c r="K73" s="23">
        <f>G73*J73</f>
        <v/>
      </c>
      <c r="L73" s="4" t="inlineStr">
        <is>
          <t>Mini mono 20A</t>
        </is>
      </c>
    </row>
    <row r="74">
      <c r="A74" s="4" t="inlineStr">
        <is>
          <t>01º Térreo</t>
        </is>
      </c>
      <c r="B74" s="6" t="inlineStr">
        <is>
          <t>B</t>
        </is>
      </c>
      <c r="C74" s="6" t="inlineStr">
        <is>
          <t>QT-MAT-1943</t>
        </is>
      </c>
      <c r="D74" s="4" t="inlineStr">
        <is>
          <t>DISJUNTORES CD COND. (NO GERADOR, BLOCO B)</t>
        </is>
      </c>
      <c r="E74" s="6" t="n">
        <v>5</v>
      </c>
      <c r="F74" s="6" t="inlineStr">
        <is>
          <t>2571 00 000</t>
        </is>
      </c>
      <c r="G74" s="22" t="n">
        <v>1</v>
      </c>
      <c r="H74" s="6" t="inlineStr">
        <is>
          <t>uni</t>
        </is>
      </c>
      <c r="I74" s="4" t="inlineStr">
        <is>
          <t>MINIDISJUNTOR - TRIFÁSICO - 6A - CURVA C - 3KA</t>
        </is>
      </c>
      <c r="J74" s="23" t="n">
        <v>120</v>
      </c>
      <c r="K74" s="23">
        <f>G74*J74</f>
        <v/>
      </c>
      <c r="L74" s="4" t="inlineStr">
        <is>
          <t>Mini trif 6A</t>
        </is>
      </c>
    </row>
    <row r="75">
      <c r="A75" s="4" t="inlineStr">
        <is>
          <t>01º Térreo</t>
        </is>
      </c>
      <c r="B75" s="6" t="inlineStr">
        <is>
          <t>B</t>
        </is>
      </c>
      <c r="C75" s="6" t="inlineStr">
        <is>
          <t>QT-MAT-1943</t>
        </is>
      </c>
      <c r="D75" s="4" t="inlineStr">
        <is>
          <t>DISJUNTORES CD COND. (NO GERADOR, BLOCO B)</t>
        </is>
      </c>
      <c r="E75" s="6" t="n">
        <v>6</v>
      </c>
      <c r="F75" s="6" t="inlineStr">
        <is>
          <t>2575 00 000</t>
        </is>
      </c>
      <c r="G75" s="22" t="n">
        <v>1</v>
      </c>
      <c r="H75" s="6" t="inlineStr">
        <is>
          <t>uni</t>
        </is>
      </c>
      <c r="I75" s="4" t="inlineStr">
        <is>
          <t>MINIDISJUNTOR - TRIFÁSICO - 25A - CURVA C - 3KA</t>
        </is>
      </c>
      <c r="J75" s="23" t="n">
        <v>140</v>
      </c>
      <c r="K75" s="23">
        <f>G75*J75</f>
        <v/>
      </c>
      <c r="L75" s="4" t="inlineStr">
        <is>
          <t>Mini trif 25A</t>
        </is>
      </c>
    </row>
    <row r="76">
      <c r="A76" s="4" t="inlineStr">
        <is>
          <t>01º Térreo</t>
        </is>
      </c>
      <c r="B76" s="6" t="inlineStr">
        <is>
          <t>B</t>
        </is>
      </c>
      <c r="C76" s="6" t="inlineStr">
        <is>
          <t>QT-MAT-1943</t>
        </is>
      </c>
      <c r="D76" s="4" t="inlineStr">
        <is>
          <t>DISJUNTORES CD COND. (NO GERADOR, BLOCO B)</t>
        </is>
      </c>
      <c r="E76" s="6" t="n">
        <v>7</v>
      </c>
      <c r="F76" s="6" t="inlineStr">
        <is>
          <t>2576 00 000</t>
        </is>
      </c>
      <c r="G76" s="22" t="n">
        <v>1</v>
      </c>
      <c r="H76" s="6" t="inlineStr">
        <is>
          <t>uni</t>
        </is>
      </c>
      <c r="I76" s="4" t="inlineStr">
        <is>
          <t>MINIDISJUNTOR - TRIFÁSICO - 32A - CURVA C - 3KA</t>
        </is>
      </c>
      <c r="J76" s="23" t="n">
        <v>155</v>
      </c>
      <c r="K76" s="23">
        <f>G76*J76</f>
        <v/>
      </c>
      <c r="L76" s="4" t="inlineStr">
        <is>
          <t>Mini trif 32A</t>
        </is>
      </c>
    </row>
    <row r="77">
      <c r="A77" s="4" t="inlineStr">
        <is>
          <t>01º Térreo</t>
        </is>
      </c>
      <c r="B77" s="6" t="inlineStr">
        <is>
          <t>B</t>
        </is>
      </c>
      <c r="C77" s="6" t="inlineStr">
        <is>
          <t>QT-MAT-1943</t>
        </is>
      </c>
      <c r="D77" s="4" t="inlineStr">
        <is>
          <t>DISJUNTORES CD COND. (NO GERADOR, BLOCO B)</t>
        </is>
      </c>
      <c r="E77" s="6" t="n">
        <v>8</v>
      </c>
      <c r="F77" s="6" t="inlineStr">
        <is>
          <t>2578 00 000</t>
        </is>
      </c>
      <c r="G77" s="22" t="n">
        <v>1</v>
      </c>
      <c r="H77" s="6" t="inlineStr">
        <is>
          <t>uni</t>
        </is>
      </c>
      <c r="I77" s="4" t="inlineStr">
        <is>
          <t>MINIDISJUNTOR - TRIFÁSICO - 50A - CURVA C - 3KA</t>
        </is>
      </c>
      <c r="J77" s="23" t="n">
        <v>190</v>
      </c>
      <c r="K77" s="23">
        <f>G77*J77</f>
        <v/>
      </c>
      <c r="L77" s="4" t="inlineStr">
        <is>
          <t>Mini trif 50A</t>
        </is>
      </c>
    </row>
    <row r="78">
      <c r="A78" s="4" t="inlineStr">
        <is>
          <t>01º Térreo</t>
        </is>
      </c>
      <c r="B78" s="6" t="inlineStr">
        <is>
          <t>B</t>
        </is>
      </c>
      <c r="C78" s="6" t="inlineStr">
        <is>
          <t>QT-MAT-1943</t>
        </is>
      </c>
      <c r="D78" s="4" t="inlineStr">
        <is>
          <t>DISJUNTORES CD COND. (NO GERADOR, BLOCO B)</t>
        </is>
      </c>
      <c r="E78" s="6" t="n">
        <v>9</v>
      </c>
      <c r="F78" s="6" t="inlineStr">
        <is>
          <t>6391 00 000</t>
        </is>
      </c>
      <c r="G78" s="22" t="n">
        <v>1</v>
      </c>
      <c r="H78" s="6" t="inlineStr">
        <is>
          <t>uni</t>
        </is>
      </c>
      <c r="I78" s="4" t="inlineStr">
        <is>
          <t>MINIDISJUNTOR - TRIFÁSICO - 32A - CURVA C - 6KA</t>
        </is>
      </c>
      <c r="J78" s="23" t="n">
        <v>180</v>
      </c>
      <c r="K78" s="23">
        <f>G78*J78</f>
        <v/>
      </c>
      <c r="L78" s="4" t="inlineStr">
        <is>
          <t>Mini trif 32A 6kA</t>
        </is>
      </c>
    </row>
    <row r="79">
      <c r="A79" s="4" t="inlineStr">
        <is>
          <t>01º Térreo</t>
        </is>
      </c>
      <c r="B79" s="6" t="inlineStr">
        <is>
          <t>B</t>
        </is>
      </c>
      <c r="C79" s="6" t="inlineStr">
        <is>
          <t>QT-MAT-1943</t>
        </is>
      </c>
      <c r="D79" s="4" t="inlineStr">
        <is>
          <t>DISJUNTORES CD COND. (NO GERADOR, BLOCO B)</t>
        </is>
      </c>
      <c r="E79" s="6" t="n">
        <v>10</v>
      </c>
      <c r="F79" s="6" t="inlineStr">
        <is>
          <t>6439 00 000</t>
        </is>
      </c>
      <c r="G79" s="22" t="n">
        <v>1</v>
      </c>
      <c r="H79" s="6" t="inlineStr">
        <is>
          <t>uni</t>
        </is>
      </c>
      <c r="I79" s="4" t="inlineStr">
        <is>
          <t>IDR - INTERRUPTOR DIFERENCIAL RESIDUAL - BIPOLAR - 40A - 30MA - TIPO AC</t>
        </is>
      </c>
      <c r="J79" s="23" t="n">
        <v>240</v>
      </c>
      <c r="K79" s="23">
        <f>G79*J79</f>
        <v/>
      </c>
      <c r="L79" s="4" t="inlineStr">
        <is>
          <t>IDR bi 40A</t>
        </is>
      </c>
    </row>
    <row r="80">
      <c r="A80" s="4" t="inlineStr">
        <is>
          <t>01º Térreo</t>
        </is>
      </c>
      <c r="B80" s="6" t="inlineStr">
        <is>
          <t>B</t>
        </is>
      </c>
      <c r="C80" s="6" t="inlineStr">
        <is>
          <t>QT-MAT-1943</t>
        </is>
      </c>
      <c r="D80" s="4" t="inlineStr">
        <is>
          <t>DISJUNTORES CD COND. (NO GERADOR, BLOCO B)</t>
        </is>
      </c>
      <c r="E80" s="6" t="n">
        <v>11</v>
      </c>
      <c r="F80" s="6" t="inlineStr">
        <is>
          <t>6438 00 000</t>
        </is>
      </c>
      <c r="G80" s="22" t="n">
        <v>1</v>
      </c>
      <c r="H80" s="6" t="inlineStr">
        <is>
          <t>uni</t>
        </is>
      </c>
      <c r="I80" s="4" t="inlineStr">
        <is>
          <t>IDR - INTERRUPTOR DIFERENCIAL RESIDUAL - BIPOLAR - 25A - 30MA - TIPO AC</t>
        </is>
      </c>
      <c r="J80" s="23" t="n">
        <v>195</v>
      </c>
      <c r="K80" s="23">
        <f>G80*J80</f>
        <v/>
      </c>
      <c r="L80" s="4" t="inlineStr">
        <is>
          <t>IDR bi 25A</t>
        </is>
      </c>
    </row>
    <row r="81">
      <c r="A81" s="4" t="inlineStr">
        <is>
          <t>01º Térreo</t>
        </is>
      </c>
      <c r="B81" s="6" t="inlineStr">
        <is>
          <t>B</t>
        </is>
      </c>
      <c r="C81" s="6" t="inlineStr">
        <is>
          <t>QT-MAT-1943</t>
        </is>
      </c>
      <c r="D81" s="4" t="inlineStr">
        <is>
          <t>DISJUNTORES CD COND. (NO GERADOR, BLOCO B)</t>
        </is>
      </c>
      <c r="E81" s="6" t="n">
        <v>12</v>
      </c>
      <c r="F81" s="6" t="inlineStr">
        <is>
          <t>6463 00 000</t>
        </is>
      </c>
      <c r="G81" s="22" t="n">
        <v>4</v>
      </c>
      <c r="H81" s="6" t="inlineStr">
        <is>
          <t>uni</t>
        </is>
      </c>
      <c r="I81" s="4" t="inlineStr">
        <is>
          <t>DPS - DISPOSITIVO DE PROTEÇÃO CONTRA SURTOS - MONOPOLAR - 275V - CLASSE II</t>
        </is>
      </c>
      <c r="J81" s="23" t="n">
        <v>130</v>
      </c>
      <c r="K81" s="23">
        <f>G81*J81</f>
        <v/>
      </c>
      <c r="L81" s="4" t="inlineStr">
        <is>
          <t>DPS mono 275V</t>
        </is>
      </c>
    </row>
    <row r="82">
      <c r="A82" s="4" t="inlineStr">
        <is>
          <t>01º Térreo</t>
        </is>
      </c>
      <c r="B82" s="6" t="inlineStr">
        <is>
          <t>B</t>
        </is>
      </c>
      <c r="C82" s="6" t="inlineStr">
        <is>
          <t>QT-MAT-1943</t>
        </is>
      </c>
      <c r="D82" s="4" t="inlineStr">
        <is>
          <t>DISJUNTORES CD COND. (NO GERADOR, BLOCO B)</t>
        </is>
      </c>
      <c r="E82" s="6" t="n">
        <v>13</v>
      </c>
      <c r="F82" s="6" t="inlineStr">
        <is>
          <t>6406 00 000</t>
        </is>
      </c>
      <c r="G82" s="22" t="n">
        <v>1</v>
      </c>
      <c r="H82" s="6" t="inlineStr">
        <is>
          <t>uni</t>
        </is>
      </c>
      <c r="I82" s="4" t="inlineStr">
        <is>
          <t>DISJUNTOR - TRIFÁSICO - CAIXA MOLDADA - 70A - 10KA</t>
        </is>
      </c>
      <c r="J82" s="23" t="n">
        <v>720</v>
      </c>
      <c r="K82" s="23">
        <f>G82*J82</f>
        <v/>
      </c>
      <c r="L82" s="4" t="inlineStr">
        <is>
          <t>Disj cx mold 70A</t>
        </is>
      </c>
    </row>
    <row r="83">
      <c r="A83" s="4" t="inlineStr">
        <is>
          <t>01º Térreo</t>
        </is>
      </c>
      <c r="B83" s="6" t="inlineStr">
        <is>
          <t>B</t>
        </is>
      </c>
      <c r="C83" s="6" t="inlineStr">
        <is>
          <t>QT-MAT-1943</t>
        </is>
      </c>
      <c r="D83" s="4" t="inlineStr">
        <is>
          <t>DISJUNTORES CD COND. (NO GERADOR, BLOCO B)</t>
        </is>
      </c>
      <c r="E83" s="6" t="n">
        <v>14</v>
      </c>
      <c r="F83" s="6" t="inlineStr">
        <is>
          <t>6410 00 000</t>
        </is>
      </c>
      <c r="G83" s="22" t="n">
        <v>1</v>
      </c>
      <c r="H83" s="6" t="inlineStr">
        <is>
          <t>uni</t>
        </is>
      </c>
      <c r="I83" s="4" t="inlineStr">
        <is>
          <t>DISJUNTOR - TRIFÁSICO - CAIXA MOLDADA - 125A - 10KA</t>
        </is>
      </c>
      <c r="J83" s="23" t="n">
        <v>1050</v>
      </c>
      <c r="K83" s="23">
        <f>G83*J83</f>
        <v/>
      </c>
      <c r="L83" s="4" t="inlineStr">
        <is>
          <t>Disj cx mold 125A</t>
        </is>
      </c>
    </row>
    <row r="84">
      <c r="A84" s="4" t="inlineStr">
        <is>
          <t>01º Térreo</t>
        </is>
      </c>
      <c r="B84" s="6" t="inlineStr">
        <is>
          <t>B</t>
        </is>
      </c>
      <c r="C84" s="6" t="inlineStr">
        <is>
          <t>QT-MAT-1943</t>
        </is>
      </c>
      <c r="D84" s="4" t="inlineStr">
        <is>
          <t>DISJUNTORES CD COND. (NO GERADOR, BLOCO B)</t>
        </is>
      </c>
      <c r="E84" s="6" t="n">
        <v>15</v>
      </c>
      <c r="F84" s="6" t="inlineStr">
        <is>
          <t>2586 00 000</t>
        </is>
      </c>
      <c r="G84" s="22" t="n">
        <v>1</v>
      </c>
      <c r="H84" s="6" t="inlineStr">
        <is>
          <t>uni</t>
        </is>
      </c>
      <c r="I84" s="4" t="inlineStr">
        <is>
          <t>TEMPORIZADOR (TIMER) DIGITAL - HORÁRIO - P/ TRILHO DIN - 220V</t>
        </is>
      </c>
      <c r="J84" s="23" t="n">
        <v>215</v>
      </c>
      <c r="K84" s="23">
        <f>G84*J84</f>
        <v/>
      </c>
      <c r="L84" s="4" t="inlineStr">
        <is>
          <t>Timer digital</t>
        </is>
      </c>
    </row>
    <row r="85">
      <c r="A85" s="4" t="inlineStr">
        <is>
          <t>01º Térreo</t>
        </is>
      </c>
      <c r="B85" s="6" t="inlineStr">
        <is>
          <t>B</t>
        </is>
      </c>
      <c r="C85" s="6" t="inlineStr">
        <is>
          <t>QT-MAT-1943</t>
        </is>
      </c>
      <c r="D85" s="4" t="inlineStr">
        <is>
          <t>DISJUNTORES CD COND. (NO GERADOR, BLOCO B)</t>
        </is>
      </c>
      <c r="E85" s="6" t="n">
        <v>16</v>
      </c>
      <c r="F85" s="6" t="inlineStr">
        <is>
          <t>2313 00 000</t>
        </is>
      </c>
      <c r="G85" s="22" t="n">
        <v>2</v>
      </c>
      <c r="H85" s="6" t="inlineStr">
        <is>
          <t>uni</t>
        </is>
      </c>
      <c r="I85" s="4" t="inlineStr">
        <is>
          <t>CONTATOR 10A - BOBINA 220V - (TRIFASICO)</t>
        </is>
      </c>
      <c r="J85" s="23" t="n">
        <v>185</v>
      </c>
      <c r="K85" s="23">
        <f>G85*J85</f>
        <v/>
      </c>
      <c r="L85" s="4" t="inlineStr">
        <is>
          <t>Contator 10A tri</t>
        </is>
      </c>
    </row>
    <row r="86">
      <c r="A86" s="4" t="inlineStr">
        <is>
          <t>01º Térreo</t>
        </is>
      </c>
      <c r="B86" s="6" t="inlineStr">
        <is>
          <t>B</t>
        </is>
      </c>
      <c r="C86" s="6" t="inlineStr">
        <is>
          <t>QT-MAT-1944</t>
        </is>
      </c>
      <c r="D86" s="4" t="inlineStr">
        <is>
          <t>DISJUNTORES CD 01-EMER. (NO GERADOR, BLOCO B)</t>
        </is>
      </c>
      <c r="E86" s="6" t="n">
        <v>1</v>
      </c>
      <c r="F86" s="6" t="inlineStr">
        <is>
          <t>2523 00 000</t>
        </is>
      </c>
      <c r="G86" s="22" t="n">
        <v>1</v>
      </c>
      <c r="H86" s="6" t="inlineStr">
        <is>
          <t>uni</t>
        </is>
      </c>
      <c r="I86" s="4" t="inlineStr">
        <is>
          <t>MINIDISJUNTOR - MONOFÁSICO - 6A - CURVA C - 3KA</t>
        </is>
      </c>
      <c r="J86" s="23" t="n">
        <v>24</v>
      </c>
      <c r="K86" s="23">
        <f>G86*J86</f>
        <v/>
      </c>
      <c r="L86" s="4" t="inlineStr">
        <is>
          <t>Mini mono 6A</t>
        </is>
      </c>
    </row>
    <row r="87">
      <c r="A87" s="4" t="inlineStr">
        <is>
          <t>01º Térreo</t>
        </is>
      </c>
      <c r="B87" s="6" t="inlineStr">
        <is>
          <t>B</t>
        </is>
      </c>
      <c r="C87" s="6" t="inlineStr">
        <is>
          <t>QT-MAT-1944</t>
        </is>
      </c>
      <c r="D87" s="4" t="inlineStr">
        <is>
          <t>DISJUNTORES CD 01-EMER. (NO GERADOR, BLOCO B)</t>
        </is>
      </c>
      <c r="E87" s="6" t="n">
        <v>2</v>
      </c>
      <c r="F87" s="6" t="inlineStr">
        <is>
          <t>2525 00 000</t>
        </is>
      </c>
      <c r="G87" s="22" t="n">
        <v>1</v>
      </c>
      <c r="H87" s="6" t="inlineStr">
        <is>
          <t>uni</t>
        </is>
      </c>
      <c r="I87" s="4" t="inlineStr">
        <is>
          <t>MINIDISJUNTOR - MONOFÁSICO - 16A - CURVA C - 3KA</t>
        </is>
      </c>
      <c r="J87" s="23" t="n">
        <v>24</v>
      </c>
      <c r="K87" s="23">
        <f>G87*J87</f>
        <v/>
      </c>
      <c r="L87" s="4" t="inlineStr">
        <is>
          <t>Mini mono 6A</t>
        </is>
      </c>
    </row>
    <row r="88">
      <c r="A88" s="4" t="inlineStr">
        <is>
          <t>01º Térreo</t>
        </is>
      </c>
      <c r="B88" s="6" t="inlineStr">
        <is>
          <t>B</t>
        </is>
      </c>
      <c r="C88" s="6" t="inlineStr">
        <is>
          <t>QT-MAT-1944</t>
        </is>
      </c>
      <c r="D88" s="4" t="inlineStr">
        <is>
          <t>DISJUNTORES CD 01-EMER. (NO GERADOR, BLOCO B)</t>
        </is>
      </c>
      <c r="E88" s="6" t="n">
        <v>3</v>
      </c>
      <c r="F88" s="6" t="inlineStr">
        <is>
          <t>2526 00 000</t>
        </is>
      </c>
      <c r="G88" s="22" t="n">
        <v>2</v>
      </c>
      <c r="H88" s="6" t="inlineStr">
        <is>
          <t>uni</t>
        </is>
      </c>
      <c r="I88" s="4" t="inlineStr">
        <is>
          <t>MINIDISJUNTOR - MONOFÁSICO - 20A - CURVA C - 3KA</t>
        </is>
      </c>
      <c r="J88" s="23" t="n">
        <v>28</v>
      </c>
      <c r="K88" s="23">
        <f>G88*J88</f>
        <v/>
      </c>
      <c r="L88" s="4" t="inlineStr">
        <is>
          <t>Mini mono 20A</t>
        </is>
      </c>
    </row>
    <row r="89">
      <c r="A89" s="4" t="inlineStr">
        <is>
          <t>01º Térreo</t>
        </is>
      </c>
      <c r="B89" s="6" t="inlineStr">
        <is>
          <t>B</t>
        </is>
      </c>
      <c r="C89" s="6" t="inlineStr">
        <is>
          <t>QT-MAT-1944</t>
        </is>
      </c>
      <c r="D89" s="4" t="inlineStr">
        <is>
          <t>DISJUNTORES CD 01-EMER. (NO GERADOR, BLOCO B)</t>
        </is>
      </c>
      <c r="E89" s="6" t="n">
        <v>4</v>
      </c>
      <c r="F89" s="6" t="inlineStr">
        <is>
          <t>6438 00 000</t>
        </is>
      </c>
      <c r="G89" s="22" t="n">
        <v>1</v>
      </c>
      <c r="H89" s="6" t="inlineStr">
        <is>
          <t>uni</t>
        </is>
      </c>
      <c r="I89" s="4" t="inlineStr">
        <is>
          <t>IDR - INTERRUPTOR DIFERENCIAL RESIDUAL - BIPOLAR - 25A - 30MA - TIPO AC</t>
        </is>
      </c>
      <c r="J89" s="23" t="n">
        <v>195</v>
      </c>
      <c r="K89" s="23">
        <f>G89*J89</f>
        <v/>
      </c>
      <c r="L89" s="4" t="inlineStr">
        <is>
          <t>IDR bi 25A</t>
        </is>
      </c>
    </row>
    <row r="90">
      <c r="A90" s="4" t="inlineStr">
        <is>
          <t>01º Térreo</t>
        </is>
      </c>
      <c r="B90" s="6" t="inlineStr">
        <is>
          <t>B</t>
        </is>
      </c>
      <c r="C90" s="6" t="inlineStr">
        <is>
          <t>QT-MAT-1944</t>
        </is>
      </c>
      <c r="D90" s="4" t="inlineStr">
        <is>
          <t>DISJUNTORES CD 01-EMER. (NO GERADOR, BLOCO B)</t>
        </is>
      </c>
      <c r="E90" s="6" t="n">
        <v>5</v>
      </c>
      <c r="F90" s="6" t="inlineStr">
        <is>
          <t>2577 00 000</t>
        </is>
      </c>
      <c r="G90" s="22" t="n">
        <v>2</v>
      </c>
      <c r="H90" s="6" t="inlineStr">
        <is>
          <t>uni</t>
        </is>
      </c>
      <c r="I90" s="4" t="inlineStr">
        <is>
          <t>MINIDISJUNTOR - TRIFÁSICO - 40A - CURVA C - 3KA</t>
        </is>
      </c>
      <c r="J90" s="23" t="n">
        <v>170</v>
      </c>
      <c r="K90" s="23">
        <f>G90*J90</f>
        <v/>
      </c>
      <c r="L90" s="4" t="inlineStr">
        <is>
          <t>Mini trif 40A</t>
        </is>
      </c>
    </row>
    <row r="91">
      <c r="A91" s="4" t="inlineStr">
        <is>
          <t>01º Térreo</t>
        </is>
      </c>
      <c r="B91" s="6" t="inlineStr">
        <is>
          <t>B</t>
        </is>
      </c>
      <c r="C91" s="6" t="inlineStr">
        <is>
          <t>QT-MAT-1944</t>
        </is>
      </c>
      <c r="D91" s="4" t="inlineStr">
        <is>
          <t>DISJUNTORES CD 01-EMER. (NO GERADOR, BLOCO B)</t>
        </is>
      </c>
      <c r="E91" s="6" t="n">
        <v>6</v>
      </c>
      <c r="F91" s="6" t="inlineStr">
        <is>
          <t>2576 00 000</t>
        </is>
      </c>
      <c r="G91" s="22" t="n">
        <v>2</v>
      </c>
      <c r="H91" s="6" t="inlineStr">
        <is>
          <t>uni</t>
        </is>
      </c>
      <c r="I91" s="4" t="inlineStr">
        <is>
          <t>MINIDISJUNTOR - TRIFÁSICO - 32A - CURVA C - 3KA</t>
        </is>
      </c>
      <c r="J91" s="23" t="n">
        <v>155</v>
      </c>
      <c r="K91" s="23">
        <f>G91*J91</f>
        <v/>
      </c>
      <c r="L91" s="4" t="inlineStr">
        <is>
          <t>Mini trif 32A</t>
        </is>
      </c>
    </row>
    <row r="92">
      <c r="A92" s="4" t="inlineStr">
        <is>
          <t>01º Térreo</t>
        </is>
      </c>
      <c r="B92" s="6" t="inlineStr">
        <is>
          <t>B</t>
        </is>
      </c>
      <c r="C92" s="6" t="inlineStr">
        <is>
          <t>QT-MAT-1944</t>
        </is>
      </c>
      <c r="D92" s="4" t="inlineStr">
        <is>
          <t>DISJUNTORES CD 01-EMER. (NO GERADOR, BLOCO B)</t>
        </is>
      </c>
      <c r="E92" s="6" t="n">
        <v>7</v>
      </c>
      <c r="F92" s="6" t="inlineStr">
        <is>
          <t>2575 00 000</t>
        </is>
      </c>
      <c r="G92" s="22" t="n">
        <v>1</v>
      </c>
      <c r="H92" s="6" t="inlineStr">
        <is>
          <t>uni</t>
        </is>
      </c>
      <c r="I92" s="4" t="inlineStr">
        <is>
          <t>MINIDISJUNTOR - TRIFÁSICO - 25A - CURVA C - 3KA</t>
        </is>
      </c>
      <c r="J92" s="23" t="n">
        <v>140</v>
      </c>
      <c r="K92" s="23">
        <f>G92*J92</f>
        <v/>
      </c>
      <c r="L92" s="4" t="inlineStr">
        <is>
          <t>Mini trif 25A</t>
        </is>
      </c>
    </row>
    <row r="93">
      <c r="A93" s="4" t="inlineStr">
        <is>
          <t>01º Térreo</t>
        </is>
      </c>
      <c r="B93" s="6" t="inlineStr">
        <is>
          <t>B</t>
        </is>
      </c>
      <c r="C93" s="6" t="inlineStr">
        <is>
          <t>QT-MAT-1944</t>
        </is>
      </c>
      <c r="D93" s="4" t="inlineStr">
        <is>
          <t>DISJUNTORES CD 01-EMER. (NO GERADOR, BLOCO B)</t>
        </is>
      </c>
      <c r="E93" s="6" t="n">
        <v>8</v>
      </c>
      <c r="F93" s="6" t="inlineStr">
        <is>
          <t>2571 00 000</t>
        </is>
      </c>
      <c r="G93" s="22" t="n">
        <v>1</v>
      </c>
      <c r="H93" s="6" t="inlineStr">
        <is>
          <t>uni</t>
        </is>
      </c>
      <c r="I93" s="4" t="inlineStr">
        <is>
          <t>MINIDISJUNTOR - TRIFÁSICO - 6A - CURVA C - 3KA</t>
        </is>
      </c>
      <c r="J93" s="23" t="n">
        <v>120</v>
      </c>
      <c r="K93" s="23">
        <f>G93*J93</f>
        <v/>
      </c>
      <c r="L93" s="4" t="inlineStr">
        <is>
          <t>Mini trif 6A</t>
        </is>
      </c>
    </row>
    <row r="94">
      <c r="A94" s="4" t="inlineStr">
        <is>
          <t>01º Térreo</t>
        </is>
      </c>
      <c r="B94" s="6" t="inlineStr">
        <is>
          <t>B</t>
        </is>
      </c>
      <c r="C94" s="6" t="inlineStr">
        <is>
          <t>QT-MAT-1944</t>
        </is>
      </c>
      <c r="D94" s="4" t="inlineStr">
        <is>
          <t>DISJUNTORES CD 01-EMER. (NO GERADOR, BLOCO B)</t>
        </is>
      </c>
      <c r="E94" s="6" t="n">
        <v>9</v>
      </c>
      <c r="F94" s="6" t="inlineStr">
        <is>
          <t>2578 00 000</t>
        </is>
      </c>
      <c r="G94" s="22" t="n">
        <v>1</v>
      </c>
      <c r="H94" s="6" t="inlineStr">
        <is>
          <t>uni</t>
        </is>
      </c>
      <c r="I94" s="4" t="inlineStr">
        <is>
          <t>MINIDISJUNTOR - TRIFÁSICO - 50A - CURVA C - 3KA</t>
        </is>
      </c>
      <c r="J94" s="23" t="n">
        <v>190</v>
      </c>
      <c r="K94" s="23">
        <f>G94*J94</f>
        <v/>
      </c>
      <c r="L94" s="4" t="inlineStr">
        <is>
          <t>Mini trif 50A</t>
        </is>
      </c>
    </row>
    <row r="95">
      <c r="A95" s="4" t="inlineStr">
        <is>
          <t>01º Térreo</t>
        </is>
      </c>
      <c r="B95" s="6" t="inlineStr">
        <is>
          <t>B</t>
        </is>
      </c>
      <c r="C95" s="6" t="inlineStr">
        <is>
          <t>QT-MAT-1944</t>
        </is>
      </c>
      <c r="D95" s="4" t="inlineStr">
        <is>
          <t>DISJUNTORES CD 01-EMER. (NO GERADOR, BLOCO B)</t>
        </is>
      </c>
      <c r="E95" s="6" t="n">
        <v>10</v>
      </c>
      <c r="F95" s="6" t="inlineStr">
        <is>
          <t>6391 00 000</t>
        </is>
      </c>
      <c r="G95" s="22" t="n">
        <v>1</v>
      </c>
      <c r="H95" s="6" t="inlineStr">
        <is>
          <t>uni</t>
        </is>
      </c>
      <c r="I95" s="4" t="inlineStr">
        <is>
          <t>MINIDISJUNTOR - TRIFÁSICO - 32A - CURVA C - 6KA</t>
        </is>
      </c>
      <c r="J95" s="23" t="n">
        <v>180</v>
      </c>
      <c r="K95" s="23">
        <f>G95*J95</f>
        <v/>
      </c>
      <c r="L95" s="4" t="inlineStr">
        <is>
          <t>Mini trif 32A 6kA</t>
        </is>
      </c>
    </row>
    <row r="96">
      <c r="A96" s="4" t="inlineStr">
        <is>
          <t>01º Térreo</t>
        </is>
      </c>
      <c r="B96" s="6" t="inlineStr">
        <is>
          <t>B</t>
        </is>
      </c>
      <c r="C96" s="6" t="inlineStr">
        <is>
          <t>QT-MAT-1944</t>
        </is>
      </c>
      <c r="D96" s="4" t="inlineStr">
        <is>
          <t>DISJUNTORES CD 01-EMER. (NO GERADOR, BLOCO B)</t>
        </is>
      </c>
      <c r="E96" s="6" t="n">
        <v>11</v>
      </c>
      <c r="F96" s="6" t="inlineStr">
        <is>
          <t>6463 00 000</t>
        </is>
      </c>
      <c r="G96" s="22" t="n">
        <v>4</v>
      </c>
      <c r="H96" s="6" t="inlineStr">
        <is>
          <t>uni</t>
        </is>
      </c>
      <c r="I96" s="4" t="inlineStr">
        <is>
          <t>DPS - DISPOSITIVO DE PROTEÇÃO CONTRA SURTOS - MONOPOLAR - 275V - CLASSE II</t>
        </is>
      </c>
      <c r="J96" s="23" t="n">
        <v>130</v>
      </c>
      <c r="K96" s="23">
        <f>G96*J96</f>
        <v/>
      </c>
      <c r="L96" s="4" t="inlineStr">
        <is>
          <t>DPS mono 275V</t>
        </is>
      </c>
    </row>
    <row r="97">
      <c r="A97" s="4" t="inlineStr">
        <is>
          <t>01º Térreo</t>
        </is>
      </c>
      <c r="B97" s="6" t="inlineStr">
        <is>
          <t>B</t>
        </is>
      </c>
      <c r="C97" s="6" t="inlineStr">
        <is>
          <t>QT-MAT-1944</t>
        </is>
      </c>
      <c r="D97" s="4" t="inlineStr">
        <is>
          <t>DISJUNTORES CD 01-EMER. (NO GERADOR, BLOCO B)</t>
        </is>
      </c>
      <c r="E97" s="6" t="n">
        <v>12</v>
      </c>
      <c r="F97" s="6" t="inlineStr">
        <is>
          <t>6411 00 000</t>
        </is>
      </c>
      <c r="G97" s="22" t="n">
        <v>1</v>
      </c>
      <c r="H97" s="6" t="inlineStr">
        <is>
          <t>uni</t>
        </is>
      </c>
      <c r="I97" s="4" t="inlineStr">
        <is>
          <t>DISJUNTOR - TRIFÁSICO - CAIXA MOLDADA - 150A - 10KA</t>
        </is>
      </c>
      <c r="J97" s="23" t="n">
        <v>1280</v>
      </c>
      <c r="K97" s="23">
        <f>G97*J97</f>
        <v/>
      </c>
      <c r="L97" s="4" t="inlineStr">
        <is>
          <t>Disj cx mold 150A</t>
        </is>
      </c>
    </row>
    <row r="98">
      <c r="A98" s="4" t="inlineStr">
        <is>
          <t>01º Térreo</t>
        </is>
      </c>
      <c r="B98" s="6" t="inlineStr">
        <is>
          <t>NA</t>
        </is>
      </c>
      <c r="C98" s="6" t="inlineStr">
        <is>
          <t>QT-MAT-1937</t>
        </is>
      </c>
      <c r="D98" s="4" t="inlineStr">
        <is>
          <t>DISJUNTORES SALA COMERCIAL (01,02,03,04,05,07)</t>
        </is>
      </c>
      <c r="E98" s="6" t="n">
        <v>1</v>
      </c>
      <c r="F98" s="6" t="inlineStr">
        <is>
          <t>2524 00 000</t>
        </is>
      </c>
      <c r="G98" s="22" t="n">
        <v>18</v>
      </c>
      <c r="H98" s="6" t="inlineStr">
        <is>
          <t>uni</t>
        </is>
      </c>
      <c r="I98" s="4" t="inlineStr">
        <is>
          <t>MINIDISJUNTOR - MONOFÁSICO - 10A - CURVA C - 3KA</t>
        </is>
      </c>
      <c r="J98" s="23" t="n">
        <v>24</v>
      </c>
      <c r="K98" s="23">
        <f>G98*J98</f>
        <v/>
      </c>
      <c r="L98" s="4" t="inlineStr">
        <is>
          <t>Mini mono 10A</t>
        </is>
      </c>
    </row>
    <row r="99">
      <c r="A99" s="4" t="inlineStr">
        <is>
          <t>01º Térreo</t>
        </is>
      </c>
      <c r="B99" s="6" t="inlineStr">
        <is>
          <t>NA</t>
        </is>
      </c>
      <c r="C99" s="6" t="inlineStr">
        <is>
          <t>QT-MAT-1937</t>
        </is>
      </c>
      <c r="D99" s="4" t="inlineStr">
        <is>
          <t>DISJUNTORES SALA COMERCIAL (01,02,03,04,05,07)</t>
        </is>
      </c>
      <c r="E99" s="6" t="n">
        <v>2</v>
      </c>
      <c r="F99" s="6" t="inlineStr">
        <is>
          <t>2526 00 000</t>
        </is>
      </c>
      <c r="G99" s="22" t="n">
        <v>48</v>
      </c>
      <c r="H99" s="6" t="inlineStr">
        <is>
          <t>uni</t>
        </is>
      </c>
      <c r="I99" s="4" t="inlineStr">
        <is>
          <t>MINIDISJUNTOR - MONOFÁSICO - 20A - CURVA C - 3KA</t>
        </is>
      </c>
      <c r="J99" s="23" t="n">
        <v>28</v>
      </c>
      <c r="K99" s="23">
        <f>G99*J99</f>
        <v/>
      </c>
      <c r="L99" s="4" t="inlineStr">
        <is>
          <t>Mini mono 20A</t>
        </is>
      </c>
    </row>
    <row r="100">
      <c r="A100" s="4" t="inlineStr">
        <is>
          <t>01º Térreo</t>
        </is>
      </c>
      <c r="B100" s="6" t="inlineStr">
        <is>
          <t>NA</t>
        </is>
      </c>
      <c r="C100" s="6" t="inlineStr">
        <is>
          <t>QT-MAT-1937</t>
        </is>
      </c>
      <c r="D100" s="4" t="inlineStr">
        <is>
          <t>DISJUNTORES SALA COMERCIAL (01,02,03,04,05,07)</t>
        </is>
      </c>
      <c r="E100" s="6" t="n">
        <v>3</v>
      </c>
      <c r="F100" s="6" t="inlineStr">
        <is>
          <t>6451 00 000</t>
        </is>
      </c>
      <c r="G100" s="22" t="n">
        <v>6</v>
      </c>
      <c r="H100" s="6" t="inlineStr">
        <is>
          <t>uni</t>
        </is>
      </c>
      <c r="I100" s="4" t="inlineStr">
        <is>
          <t>IDR - INTERRUPTOR DIFERENCIAL RESIDUAL - TETRAPOLAR - 40A - 30MA - TIPO AC</t>
        </is>
      </c>
      <c r="J100" s="23" t="n">
        <v>480</v>
      </c>
      <c r="K100" s="23">
        <f>G100*J100</f>
        <v/>
      </c>
      <c r="L100" s="4" t="inlineStr">
        <is>
          <t>IDR tetra 40A</t>
        </is>
      </c>
    </row>
    <row r="101">
      <c r="A101" s="4" t="inlineStr">
        <is>
          <t>01º Térreo</t>
        </is>
      </c>
      <c r="B101" s="6" t="inlineStr">
        <is>
          <t>NA</t>
        </is>
      </c>
      <c r="C101" s="6" t="inlineStr">
        <is>
          <t>QT-MAT-1937</t>
        </is>
      </c>
      <c r="D101" s="4" t="inlineStr">
        <is>
          <t>DISJUNTORES SALA COMERCIAL (01,02,03,04,05,07)</t>
        </is>
      </c>
      <c r="E101" s="6" t="n">
        <v>4</v>
      </c>
      <c r="F101" s="6" t="inlineStr">
        <is>
          <t>6463 00 000</t>
        </is>
      </c>
      <c r="G101" s="22" t="n">
        <v>24</v>
      </c>
      <c r="H101" s="6" t="inlineStr">
        <is>
          <t>uni</t>
        </is>
      </c>
      <c r="I101" s="4" t="inlineStr">
        <is>
          <t>DPS - DISPOSITIVO DE PROTEÇÃO CONTRA SURTOS - MONOPOLAR - 275V - CLASSE II</t>
        </is>
      </c>
      <c r="J101" s="23" t="n">
        <v>130</v>
      </c>
      <c r="K101" s="23">
        <f>G101*J101</f>
        <v/>
      </c>
      <c r="L101" s="4" t="inlineStr">
        <is>
          <t>DPS mono 275V</t>
        </is>
      </c>
    </row>
    <row r="102">
      <c r="A102" s="4" t="inlineStr">
        <is>
          <t>01º Térreo</t>
        </is>
      </c>
      <c r="B102" s="6" t="inlineStr">
        <is>
          <t>NA</t>
        </is>
      </c>
      <c r="C102" s="6" t="inlineStr">
        <is>
          <t>QT-MAT-1937</t>
        </is>
      </c>
      <c r="D102" s="4" t="inlineStr">
        <is>
          <t>DISJUNTORES SALA COMERCIAL (01,02,03,04,05,07)</t>
        </is>
      </c>
      <c r="E102" s="6" t="n">
        <v>5</v>
      </c>
      <c r="F102" s="6" t="inlineStr">
        <is>
          <t>2577 00 000</t>
        </is>
      </c>
      <c r="G102" s="22" t="n">
        <v>6</v>
      </c>
      <c r="H102" s="6" t="inlineStr">
        <is>
          <t>uni</t>
        </is>
      </c>
      <c r="I102" s="4" t="inlineStr">
        <is>
          <t>MINIDISJUNTOR - TRIFÁSICO - 40A - CURVA C - 3KA</t>
        </is>
      </c>
      <c r="J102" s="23" t="n">
        <v>170</v>
      </c>
      <c r="K102" s="23">
        <f>G102*J102</f>
        <v/>
      </c>
      <c r="L102" s="4" t="inlineStr">
        <is>
          <t>Mini trif 40A</t>
        </is>
      </c>
    </row>
    <row r="103">
      <c r="A103" s="4" t="inlineStr">
        <is>
          <t>01º Térreo</t>
        </is>
      </c>
      <c r="B103" s="6" t="inlineStr">
        <is>
          <t>NA</t>
        </is>
      </c>
      <c r="C103" s="6" t="inlineStr">
        <is>
          <t>QT-MAT-1938</t>
        </is>
      </c>
      <c r="D103" s="4" t="inlineStr">
        <is>
          <t>DISJUNTORES SALA COMERCIAL (06)</t>
        </is>
      </c>
      <c r="E103" s="6" t="n">
        <v>1</v>
      </c>
      <c r="F103" s="6" t="inlineStr">
        <is>
          <t>2524 00 000</t>
        </is>
      </c>
      <c r="G103" s="22" t="n">
        <v>3</v>
      </c>
      <c r="H103" s="6" t="inlineStr">
        <is>
          <t>uni</t>
        </is>
      </c>
      <c r="I103" s="4" t="inlineStr">
        <is>
          <t>MINIDISJUNTOR - MONOFÁSICO - 10A - CURVA C - 3KA</t>
        </is>
      </c>
      <c r="J103" s="23" t="n">
        <v>24</v>
      </c>
      <c r="K103" s="23">
        <f>G103*J103</f>
        <v/>
      </c>
      <c r="L103" s="4" t="inlineStr">
        <is>
          <t>Mini mono 10A</t>
        </is>
      </c>
    </row>
    <row r="104">
      <c r="A104" s="4" t="inlineStr">
        <is>
          <t>01º Térreo</t>
        </is>
      </c>
      <c r="B104" s="6" t="inlineStr">
        <is>
          <t>NA</t>
        </is>
      </c>
      <c r="C104" s="6" t="inlineStr">
        <is>
          <t>QT-MAT-1938</t>
        </is>
      </c>
      <c r="D104" s="4" t="inlineStr">
        <is>
          <t>DISJUNTORES SALA COMERCIAL (06)</t>
        </is>
      </c>
      <c r="E104" s="6" t="n">
        <v>2</v>
      </c>
      <c r="F104" s="6" t="inlineStr">
        <is>
          <t>2526 00 000</t>
        </is>
      </c>
      <c r="G104" s="22" t="n">
        <v>7</v>
      </c>
      <c r="H104" s="6" t="inlineStr">
        <is>
          <t>uni</t>
        </is>
      </c>
      <c r="I104" s="4" t="inlineStr">
        <is>
          <t>MINIDISJUNTOR - MONOFÁSICO - 20A - CURVA C - 3KA</t>
        </is>
      </c>
      <c r="J104" s="23" t="n">
        <v>28</v>
      </c>
      <c r="K104" s="23">
        <f>G104*J104</f>
        <v/>
      </c>
      <c r="L104" s="4" t="inlineStr">
        <is>
          <t>Mini mono 20A</t>
        </is>
      </c>
    </row>
    <row r="105">
      <c r="A105" s="4" t="inlineStr">
        <is>
          <t>01º Térreo</t>
        </is>
      </c>
      <c r="B105" s="6" t="inlineStr">
        <is>
          <t>NA</t>
        </is>
      </c>
      <c r="C105" s="6" t="inlineStr">
        <is>
          <t>QT-MAT-1938</t>
        </is>
      </c>
      <c r="D105" s="4" t="inlineStr">
        <is>
          <t>DISJUNTORES SALA COMERCIAL (06)</t>
        </is>
      </c>
      <c r="E105" s="6" t="n">
        <v>3</v>
      </c>
      <c r="F105" s="6" t="inlineStr">
        <is>
          <t>2577 00 000</t>
        </is>
      </c>
      <c r="G105" s="22" t="n">
        <v>1</v>
      </c>
      <c r="H105" s="6" t="inlineStr">
        <is>
          <t>uni</t>
        </is>
      </c>
      <c r="I105" s="4" t="inlineStr">
        <is>
          <t>MINIDISJUNTOR - TRIFÁSICO - 40A - CURVA C - 3KA</t>
        </is>
      </c>
      <c r="J105" s="23" t="n">
        <v>170</v>
      </c>
      <c r="K105" s="23">
        <f>G105*J105</f>
        <v/>
      </c>
      <c r="L105" s="4" t="inlineStr">
        <is>
          <t>Mini trif 40A</t>
        </is>
      </c>
    </row>
    <row r="106">
      <c r="A106" s="4" t="inlineStr">
        <is>
          <t>01º Térreo</t>
        </is>
      </c>
      <c r="B106" s="6" t="inlineStr">
        <is>
          <t>NA</t>
        </is>
      </c>
      <c r="C106" s="6" t="inlineStr">
        <is>
          <t>QT-MAT-1938</t>
        </is>
      </c>
      <c r="D106" s="4" t="inlineStr">
        <is>
          <t>DISJUNTORES SALA COMERCIAL (06)</t>
        </is>
      </c>
      <c r="E106" s="6" t="n">
        <v>4</v>
      </c>
      <c r="F106" s="6" t="inlineStr">
        <is>
          <t>6451 00 000</t>
        </is>
      </c>
      <c r="G106" s="22" t="n">
        <v>1</v>
      </c>
      <c r="H106" s="6" t="inlineStr">
        <is>
          <t>uni</t>
        </is>
      </c>
      <c r="I106" s="4" t="inlineStr">
        <is>
          <t>IDR - INTERRUPTOR DIFERENCIAL RESIDUAL - TETRAPOLAR - 40A - 30MA - TIPO AC</t>
        </is>
      </c>
      <c r="J106" s="23" t="n">
        <v>480</v>
      </c>
      <c r="K106" s="23">
        <f>G106*J106</f>
        <v/>
      </c>
      <c r="L106" s="4" t="inlineStr">
        <is>
          <t>IDR tetra 40A</t>
        </is>
      </c>
    </row>
    <row r="107">
      <c r="A107" s="4" t="inlineStr">
        <is>
          <t>01º Térreo</t>
        </is>
      </c>
      <c r="B107" s="6" t="inlineStr">
        <is>
          <t>NA</t>
        </is>
      </c>
      <c r="C107" s="6" t="inlineStr">
        <is>
          <t>QT-MAT-1938</t>
        </is>
      </c>
      <c r="D107" s="4" t="inlineStr">
        <is>
          <t>DISJUNTORES SALA COMERCIAL (06)</t>
        </is>
      </c>
      <c r="E107" s="6" t="n">
        <v>5</v>
      </c>
      <c r="F107" s="6" t="inlineStr">
        <is>
          <t>6463 00 000</t>
        </is>
      </c>
      <c r="G107" s="22" t="n">
        <v>4</v>
      </c>
      <c r="H107" s="6" t="inlineStr">
        <is>
          <t>uni</t>
        </is>
      </c>
      <c r="I107" s="4" t="inlineStr">
        <is>
          <t>DPS - DISPOSITIVO DE PROTEÇÃO CONTRA SURTOS - MONOPOLAR - 275V - CLASSE II</t>
        </is>
      </c>
      <c r="J107" s="23" t="n">
        <v>130</v>
      </c>
      <c r="K107" s="23">
        <f>G107*J107</f>
        <v/>
      </c>
      <c r="L107" s="4" t="inlineStr">
        <is>
          <t>DPS mono 275V</t>
        </is>
      </c>
    </row>
    <row r="108">
      <c r="A108" s="15" t="inlineStr">
        <is>
          <t>01º Térreo</t>
        </is>
      </c>
      <c r="B108" s="27" t="inlineStr">
        <is>
          <t>NA</t>
        </is>
      </c>
      <c r="C108" s="27" t="inlineStr">
        <is>
          <t>QT-MAT-1945</t>
        </is>
      </c>
      <c r="D108" s="15" t="inlineStr">
        <is>
          <t>DISJUNTORES QG EMERGENCIA</t>
        </is>
      </c>
      <c r="E108" s="27" t="n">
        <v>1</v>
      </c>
      <c r="F108" s="27" t="inlineStr">
        <is>
          <t>6407 00 000</t>
        </is>
      </c>
      <c r="G108" s="28" t="n">
        <v>1</v>
      </c>
      <c r="H108" s="27" t="inlineStr">
        <is>
          <t>uni</t>
        </is>
      </c>
      <c r="I108" s="15" t="inlineStr">
        <is>
          <t>DISJUNTOR - TRIFÁSICO - CAIXA MOLDADA - 80A - 10KA</t>
        </is>
      </c>
      <c r="J108" s="29" t="n">
        <v>50</v>
      </c>
      <c r="K108" s="29">
        <f>G108*J108</f>
        <v/>
      </c>
      <c r="L108" s="15" t="inlineStr">
        <is>
          <t>fallback</t>
        </is>
      </c>
    </row>
    <row r="109">
      <c r="A109" s="4" t="inlineStr">
        <is>
          <t>01º Térreo</t>
        </is>
      </c>
      <c r="B109" s="6" t="inlineStr">
        <is>
          <t>NA</t>
        </is>
      </c>
      <c r="C109" s="6" t="inlineStr">
        <is>
          <t>QT-MAT-1945</t>
        </is>
      </c>
      <c r="D109" s="4" t="inlineStr">
        <is>
          <t>DISJUNTORES QG EMERGENCIA</t>
        </is>
      </c>
      <c r="E109" s="6" t="n">
        <v>2</v>
      </c>
      <c r="F109" s="6" t="inlineStr">
        <is>
          <t>6411 00 000</t>
        </is>
      </c>
      <c r="G109" s="22" t="n">
        <v>1</v>
      </c>
      <c r="H109" s="6" t="inlineStr">
        <is>
          <t>uni</t>
        </is>
      </c>
      <c r="I109" s="4" t="inlineStr">
        <is>
          <t>DISJUNTOR - TRIFÁSICO - CAIXA MOLDADA - 150A - 10KA</t>
        </is>
      </c>
      <c r="J109" s="23" t="n">
        <v>1280</v>
      </c>
      <c r="K109" s="23">
        <f>G109*J109</f>
        <v/>
      </c>
      <c r="L109" s="4" t="inlineStr">
        <is>
          <t>Disj cx mold 150A</t>
        </is>
      </c>
    </row>
    <row r="110">
      <c r="A110" s="4" t="inlineStr">
        <is>
          <t>01º Térreo</t>
        </is>
      </c>
      <c r="B110" s="6" t="inlineStr">
        <is>
          <t>NA</t>
        </is>
      </c>
      <c r="C110" s="6" t="inlineStr">
        <is>
          <t>QT-MAT-1945</t>
        </is>
      </c>
      <c r="D110" s="4" t="inlineStr">
        <is>
          <t>DISJUNTORES QG EMERGENCIA</t>
        </is>
      </c>
      <c r="E110" s="6" t="n">
        <v>3</v>
      </c>
      <c r="F110" s="6" t="inlineStr">
        <is>
          <t>6414 00 000</t>
        </is>
      </c>
      <c r="G110" s="22" t="n">
        <v>1</v>
      </c>
      <c r="H110" s="6" t="inlineStr">
        <is>
          <t>uni</t>
        </is>
      </c>
      <c r="I110" s="4" t="inlineStr">
        <is>
          <t>DISJUNTOR - TRIFÁSICO - CAIXA MOLDADA - 200A - 10KA</t>
        </is>
      </c>
      <c r="J110" s="23" t="n">
        <v>1680</v>
      </c>
      <c r="K110" s="23">
        <f>G110*J110</f>
        <v/>
      </c>
      <c r="L110" s="4" t="inlineStr">
        <is>
          <t>Disj cx mold 200A</t>
        </is>
      </c>
    </row>
    <row r="111">
      <c r="A111" s="4" t="inlineStr">
        <is>
          <t>01º Térreo</t>
        </is>
      </c>
      <c r="B111" s="6" t="inlineStr">
        <is>
          <t>NA</t>
        </is>
      </c>
      <c r="C111" s="6" t="inlineStr">
        <is>
          <t>QT-MAT-1951</t>
        </is>
      </c>
      <c r="D111" s="4" t="inlineStr">
        <is>
          <t>DISJUNTORES QGC 01 G. TÉRREO</t>
        </is>
      </c>
      <c r="E111" s="6" t="n">
        <v>1</v>
      </c>
      <c r="F111" s="6" t="inlineStr">
        <is>
          <t>6416 00 000</t>
        </is>
      </c>
      <c r="G111" s="22" t="n">
        <v>1</v>
      </c>
      <c r="H111" s="6" t="inlineStr">
        <is>
          <t>uni</t>
        </is>
      </c>
      <c r="I111" s="4" t="inlineStr">
        <is>
          <t>DISJUNTOR - TRIFÁSICO - CAIXA MOLDADA - 250A - 10KA</t>
        </is>
      </c>
      <c r="J111" s="23" t="n">
        <v>2180</v>
      </c>
      <c r="K111" s="23">
        <f>G111*J111</f>
        <v/>
      </c>
      <c r="L111" s="4" t="inlineStr">
        <is>
          <t>Disj cx mold 250A</t>
        </is>
      </c>
    </row>
    <row r="112">
      <c r="A112" s="4" t="inlineStr">
        <is>
          <t>01º Térreo</t>
        </is>
      </c>
      <c r="B112" s="6" t="inlineStr">
        <is>
          <t>NA</t>
        </is>
      </c>
      <c r="C112" s="6" t="inlineStr">
        <is>
          <t>QT-MAT-1951</t>
        </is>
      </c>
      <c r="D112" s="4" t="inlineStr">
        <is>
          <t>DISJUNTORES QGC 01 G. TÉRREO</t>
        </is>
      </c>
      <c r="E112" s="6" t="n">
        <v>2</v>
      </c>
      <c r="F112" s="6" t="inlineStr">
        <is>
          <t>6391 00 000</t>
        </is>
      </c>
      <c r="G112" s="22" t="n">
        <v>1</v>
      </c>
      <c r="H112" s="6" t="inlineStr">
        <is>
          <t>uni</t>
        </is>
      </c>
      <c r="I112" s="4" t="inlineStr">
        <is>
          <t>MINIDISJUNTOR - TRIFÁSICO - 32A - CURVA C - 6KA</t>
        </is>
      </c>
      <c r="J112" s="23" t="n">
        <v>180</v>
      </c>
      <c r="K112" s="23">
        <f>G112*J112</f>
        <v/>
      </c>
      <c r="L112" s="4" t="inlineStr">
        <is>
          <t>Mini trif 32A 6kA</t>
        </is>
      </c>
    </row>
    <row r="113">
      <c r="A113" s="4" t="inlineStr">
        <is>
          <t>01º Térreo</t>
        </is>
      </c>
      <c r="B113" s="6" t="inlineStr">
        <is>
          <t>NA</t>
        </is>
      </c>
      <c r="C113" s="6" t="inlineStr">
        <is>
          <t>QT-MAT-1951</t>
        </is>
      </c>
      <c r="D113" s="4" t="inlineStr">
        <is>
          <t>DISJUNTORES QGC 01 G. TÉRREO</t>
        </is>
      </c>
      <c r="E113" s="6" t="n">
        <v>3</v>
      </c>
      <c r="F113" s="6" t="inlineStr">
        <is>
          <t>6463 00 000</t>
        </is>
      </c>
      <c r="G113" s="22" t="n">
        <v>4</v>
      </c>
      <c r="H113" s="6" t="inlineStr">
        <is>
          <t>uni</t>
        </is>
      </c>
      <c r="I113" s="4" t="inlineStr">
        <is>
          <t>DPS - DISPOSITIVO DE PROTEÇÃO CONTRA SURTOS - MONOPOLAR - 275V - CLASSE II</t>
        </is>
      </c>
      <c r="J113" s="23" t="n">
        <v>130</v>
      </c>
      <c r="K113" s="23">
        <f>G113*J113</f>
        <v/>
      </c>
      <c r="L113" s="4" t="inlineStr">
        <is>
          <t>DPS mono 275V</t>
        </is>
      </c>
    </row>
    <row r="114">
      <c r="A114" s="4" t="inlineStr">
        <is>
          <t>01º Térreo</t>
        </is>
      </c>
      <c r="B114" s="6" t="inlineStr">
        <is>
          <t>NA</t>
        </is>
      </c>
      <c r="C114" s="6" t="inlineStr">
        <is>
          <t>QT-MAT-1951</t>
        </is>
      </c>
      <c r="D114" s="4" t="inlineStr">
        <is>
          <t>DISJUNTORES QGC 01 G. TÉRREO</t>
        </is>
      </c>
      <c r="E114" s="6" t="n">
        <v>4</v>
      </c>
      <c r="F114" s="6" t="inlineStr">
        <is>
          <t>6411 00 000</t>
        </is>
      </c>
      <c r="G114" s="22" t="n">
        <v>2</v>
      </c>
      <c r="H114" s="6" t="inlineStr">
        <is>
          <t>uni</t>
        </is>
      </c>
      <c r="I114" s="4" t="inlineStr">
        <is>
          <t>DISJUNTOR - TRIFÁSICO - CAIXA MOLDADA - 150A - 10KA</t>
        </is>
      </c>
      <c r="J114" s="23" t="n">
        <v>1280</v>
      </c>
      <c r="K114" s="23">
        <f>G114*J114</f>
        <v/>
      </c>
      <c r="L114" s="4" t="inlineStr">
        <is>
          <t>Disj cx mold 150A</t>
        </is>
      </c>
    </row>
    <row r="115">
      <c r="A115" s="24" t="inlineStr">
        <is>
          <t>Subtotal — 01º Térreo</t>
        </is>
      </c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6">
        <f>SUM(K8:K114)</f>
        <v/>
      </c>
      <c r="L115" s="25" t="n"/>
    </row>
    <row r="116">
      <c r="A116" s="4" t="inlineStr">
        <is>
          <t>02º G1</t>
        </is>
      </c>
      <c r="B116" s="6" t="inlineStr">
        <is>
          <t>A</t>
        </is>
      </c>
      <c r="C116" s="6" t="inlineStr">
        <is>
          <t>QT-MAT-1935</t>
        </is>
      </c>
      <c r="D116" s="4" t="inlineStr">
        <is>
          <t>DISJUNTORES CD G1~G5 (BLOCO A)</t>
        </is>
      </c>
      <c r="E116" s="6" t="n">
        <v>1</v>
      </c>
      <c r="F116" s="6" t="inlineStr">
        <is>
          <t>2524 00 000</t>
        </is>
      </c>
      <c r="G116" s="22" t="n">
        <v>10</v>
      </c>
      <c r="H116" s="6" t="inlineStr">
        <is>
          <t>uni</t>
        </is>
      </c>
      <c r="I116" s="4" t="inlineStr">
        <is>
          <t>MINIDISJUNTOR - MONOFÁSICO - 10A - CURVA C - 3KA</t>
        </is>
      </c>
      <c r="J116" s="23" t="n">
        <v>24</v>
      </c>
      <c r="K116" s="23">
        <f>G116*J116</f>
        <v/>
      </c>
      <c r="L116" s="4" t="inlineStr">
        <is>
          <t>Mini mono 10A</t>
        </is>
      </c>
    </row>
    <row r="117">
      <c r="A117" s="4" t="inlineStr">
        <is>
          <t>02º G1</t>
        </is>
      </c>
      <c r="B117" s="6" t="inlineStr">
        <is>
          <t>A</t>
        </is>
      </c>
      <c r="C117" s="6" t="inlineStr">
        <is>
          <t>QT-MAT-1935</t>
        </is>
      </c>
      <c r="D117" s="4" t="inlineStr">
        <is>
          <t>DISJUNTORES CD G1~G5 (BLOCO A)</t>
        </is>
      </c>
      <c r="E117" s="6" t="n">
        <v>2</v>
      </c>
      <c r="F117" s="6" t="inlineStr">
        <is>
          <t>2526 00 000</t>
        </is>
      </c>
      <c r="G117" s="22" t="n">
        <v>5</v>
      </c>
      <c r="H117" s="6" t="inlineStr">
        <is>
          <t>uni</t>
        </is>
      </c>
      <c r="I117" s="4" t="inlineStr">
        <is>
          <t>MINIDISJUNTOR - MONOFÁSICO - 20A - CURVA C - 3KA</t>
        </is>
      </c>
      <c r="J117" s="23" t="n">
        <v>28</v>
      </c>
      <c r="K117" s="23">
        <f>G117*J117</f>
        <v/>
      </c>
      <c r="L117" s="4" t="inlineStr">
        <is>
          <t>Mini mono 20A</t>
        </is>
      </c>
    </row>
    <row r="118">
      <c r="A118" s="4" t="inlineStr">
        <is>
          <t>02º G1</t>
        </is>
      </c>
      <c r="B118" s="6" t="inlineStr">
        <is>
          <t>A</t>
        </is>
      </c>
      <c r="C118" s="6" t="inlineStr">
        <is>
          <t>QT-MAT-1935</t>
        </is>
      </c>
      <c r="D118" s="4" t="inlineStr">
        <is>
          <t>DISJUNTORES CD G1~G5 (BLOCO A)</t>
        </is>
      </c>
      <c r="E118" s="6" t="n">
        <v>3</v>
      </c>
      <c r="F118" s="6" t="inlineStr">
        <is>
          <t>2528 00 000</t>
        </is>
      </c>
      <c r="G118" s="22" t="n">
        <v>5</v>
      </c>
      <c r="H118" s="6" t="inlineStr">
        <is>
          <t>uni</t>
        </is>
      </c>
      <c r="I118" s="4" t="inlineStr">
        <is>
          <t>MINIDISJUNTOR - MONOFÁSICO - 32A - CURVA C - 3KA</t>
        </is>
      </c>
      <c r="J118" s="23" t="n">
        <v>34</v>
      </c>
      <c r="K118" s="23">
        <f>G118*J118</f>
        <v/>
      </c>
      <c r="L118" s="4" t="inlineStr">
        <is>
          <t>Mini mono 32A</t>
        </is>
      </c>
    </row>
    <row r="119">
      <c r="A119" s="4" t="inlineStr">
        <is>
          <t>02º G1</t>
        </is>
      </c>
      <c r="B119" s="6" t="inlineStr">
        <is>
          <t>A</t>
        </is>
      </c>
      <c r="C119" s="6" t="inlineStr">
        <is>
          <t>QT-MAT-1935</t>
        </is>
      </c>
      <c r="D119" s="4" t="inlineStr">
        <is>
          <t>DISJUNTORES CD G1~G5 (BLOCO A)</t>
        </is>
      </c>
      <c r="E119" s="6" t="n">
        <v>4</v>
      </c>
      <c r="F119" s="6" t="inlineStr">
        <is>
          <t>6439 00 000</t>
        </is>
      </c>
      <c r="G119" s="22" t="n">
        <v>5</v>
      </c>
      <c r="H119" s="6" t="inlineStr">
        <is>
          <t>uni</t>
        </is>
      </c>
      <c r="I119" s="4" t="inlineStr">
        <is>
          <t>IDR - INTERRUPTOR DIFERENCIAL RESIDUAL - BIPOLAR - 40A - 30MA - TIPO AC</t>
        </is>
      </c>
      <c r="J119" s="23" t="n">
        <v>240</v>
      </c>
      <c r="K119" s="23">
        <f>G119*J119</f>
        <v/>
      </c>
      <c r="L119" s="4" t="inlineStr">
        <is>
          <t>IDR bi 40A</t>
        </is>
      </c>
    </row>
    <row r="120">
      <c r="A120" s="4" t="inlineStr">
        <is>
          <t>02º G1</t>
        </is>
      </c>
      <c r="B120" s="6" t="inlineStr">
        <is>
          <t>A</t>
        </is>
      </c>
      <c r="C120" s="6" t="inlineStr">
        <is>
          <t>QT-MAT-1952</t>
        </is>
      </c>
      <c r="D120" s="4" t="inlineStr">
        <is>
          <t>DISJUNTORES QGC G1 (BLOCA A)</t>
        </is>
      </c>
      <c r="E120" s="6" t="n">
        <v>1</v>
      </c>
      <c r="F120" s="6" t="inlineStr">
        <is>
          <t>6411 00 000</t>
        </is>
      </c>
      <c r="G120" s="22" t="n">
        <v>1</v>
      </c>
      <c r="H120" s="6" t="inlineStr">
        <is>
          <t>uni</t>
        </is>
      </c>
      <c r="I120" s="4" t="inlineStr">
        <is>
          <t>DISJUNTOR - TRIFÁSICO - CAIXA MOLDADA - 150A - 10KA</t>
        </is>
      </c>
      <c r="J120" s="23" t="n">
        <v>1280</v>
      </c>
      <c r="K120" s="23">
        <f>G120*J120</f>
        <v/>
      </c>
      <c r="L120" s="4" t="inlineStr">
        <is>
          <t>Disj cx mold 150A</t>
        </is>
      </c>
    </row>
    <row r="121">
      <c r="A121" s="4" t="inlineStr">
        <is>
          <t>02º G1</t>
        </is>
      </c>
      <c r="B121" s="6" t="inlineStr">
        <is>
          <t>A</t>
        </is>
      </c>
      <c r="C121" s="6" t="inlineStr">
        <is>
          <t>QT-MAT-1952</t>
        </is>
      </c>
      <c r="D121" s="4" t="inlineStr">
        <is>
          <t>DISJUNTORES QGC G1 (BLOCA A)</t>
        </is>
      </c>
      <c r="E121" s="6" t="n">
        <v>2</v>
      </c>
      <c r="F121" s="6" t="inlineStr">
        <is>
          <t>6406 00 000</t>
        </is>
      </c>
      <c r="G121" s="22" t="n">
        <v>1</v>
      </c>
      <c r="H121" s="6" t="inlineStr">
        <is>
          <t>uni</t>
        </is>
      </c>
      <c r="I121" s="4" t="inlineStr">
        <is>
          <t>DISJUNTOR - TRIFÁSICO - CAIXA MOLDADA - 70A - 10KA</t>
        </is>
      </c>
      <c r="J121" s="23" t="n">
        <v>720</v>
      </c>
      <c r="K121" s="23">
        <f>G121*J121</f>
        <v/>
      </c>
      <c r="L121" s="4" t="inlineStr">
        <is>
          <t>Disj cx mold 70A</t>
        </is>
      </c>
    </row>
    <row r="122">
      <c r="A122" s="4" t="inlineStr">
        <is>
          <t>02º G1</t>
        </is>
      </c>
      <c r="B122" s="6" t="inlineStr">
        <is>
          <t>B</t>
        </is>
      </c>
      <c r="C122" s="6" t="inlineStr">
        <is>
          <t>QT-MAT-1946</t>
        </is>
      </c>
      <c r="D122" s="4" t="inlineStr">
        <is>
          <t>DISJUNTORES CD G1~G4 (BLOCO B)</t>
        </is>
      </c>
      <c r="E122" s="6" t="n">
        <v>1</v>
      </c>
      <c r="F122" s="6" t="inlineStr">
        <is>
          <t>2524 00 000</t>
        </is>
      </c>
      <c r="G122" s="22" t="n">
        <v>8</v>
      </c>
      <c r="H122" s="6" t="inlineStr">
        <is>
          <t>uni</t>
        </is>
      </c>
      <c r="I122" s="4" t="inlineStr">
        <is>
          <t>MINIDISJUNTOR - MONOFÁSICO - 10A - CURVA C - 3KA</t>
        </is>
      </c>
      <c r="J122" s="23" t="n">
        <v>24</v>
      </c>
      <c r="K122" s="23">
        <f>G122*J122</f>
        <v/>
      </c>
      <c r="L122" s="4" t="inlineStr">
        <is>
          <t>Mini mono 10A</t>
        </is>
      </c>
    </row>
    <row r="123">
      <c r="A123" s="4" t="inlineStr">
        <is>
          <t>02º G1</t>
        </is>
      </c>
      <c r="B123" s="6" t="inlineStr">
        <is>
          <t>B</t>
        </is>
      </c>
      <c r="C123" s="6" t="inlineStr">
        <is>
          <t>QT-MAT-1946</t>
        </is>
      </c>
      <c r="D123" s="4" t="inlineStr">
        <is>
          <t>DISJUNTORES CD G1~G4 (BLOCO B)</t>
        </is>
      </c>
      <c r="E123" s="6" t="n">
        <v>2</v>
      </c>
      <c r="F123" s="6" t="inlineStr">
        <is>
          <t>2526 00 000</t>
        </is>
      </c>
      <c r="G123" s="22" t="n">
        <v>4</v>
      </c>
      <c r="H123" s="6" t="inlineStr">
        <is>
          <t>uni</t>
        </is>
      </c>
      <c r="I123" s="4" t="inlineStr">
        <is>
          <t>MINIDISJUNTOR - MONOFÁSICO - 20A - CURVA C - 3KA</t>
        </is>
      </c>
      <c r="J123" s="23" t="n">
        <v>28</v>
      </c>
      <c r="K123" s="23">
        <f>G123*J123</f>
        <v/>
      </c>
      <c r="L123" s="4" t="inlineStr">
        <is>
          <t>Mini mono 20A</t>
        </is>
      </c>
    </row>
    <row r="124">
      <c r="A124" s="4" t="inlineStr">
        <is>
          <t>02º G1</t>
        </is>
      </c>
      <c r="B124" s="6" t="inlineStr">
        <is>
          <t>B</t>
        </is>
      </c>
      <c r="C124" s="6" t="inlineStr">
        <is>
          <t>QT-MAT-1946</t>
        </is>
      </c>
      <c r="D124" s="4" t="inlineStr">
        <is>
          <t>DISJUNTORES CD G1~G4 (BLOCO B)</t>
        </is>
      </c>
      <c r="E124" s="6" t="n">
        <v>3</v>
      </c>
      <c r="F124" s="6" t="inlineStr">
        <is>
          <t>6439 00 000</t>
        </is>
      </c>
      <c r="G124" s="22" t="n">
        <v>4</v>
      </c>
      <c r="H124" s="6" t="inlineStr">
        <is>
          <t>uni</t>
        </is>
      </c>
      <c r="I124" s="4" t="inlineStr">
        <is>
          <t>IDR - INTERRUPTOR DIFERENCIAL RESIDUAL - BIPOLAR - 40A - 30MA - TIPO AC</t>
        </is>
      </c>
      <c r="J124" s="23" t="n">
        <v>240</v>
      </c>
      <c r="K124" s="23">
        <f>G124*J124</f>
        <v/>
      </c>
      <c r="L124" s="4" t="inlineStr">
        <is>
          <t>IDR bi 40A</t>
        </is>
      </c>
    </row>
    <row r="125">
      <c r="A125" s="4" t="inlineStr">
        <is>
          <t>02º G1</t>
        </is>
      </c>
      <c r="B125" s="6" t="inlineStr">
        <is>
          <t>B</t>
        </is>
      </c>
      <c r="C125" s="6" t="inlineStr">
        <is>
          <t>QT-MAT-1946</t>
        </is>
      </c>
      <c r="D125" s="4" t="inlineStr">
        <is>
          <t>DISJUNTORES CD G1~G4 (BLOCO B)</t>
        </is>
      </c>
      <c r="E125" s="6" t="n">
        <v>4</v>
      </c>
      <c r="F125" s="6" t="inlineStr">
        <is>
          <t>2528 00 000</t>
        </is>
      </c>
      <c r="G125" s="22" t="n">
        <v>4</v>
      </c>
      <c r="H125" s="6" t="inlineStr">
        <is>
          <t>uni</t>
        </is>
      </c>
      <c r="I125" s="4" t="inlineStr">
        <is>
          <t>MINIDISJUNTOR - MONOFÁSICO - 32A - CURVA C - 3KA</t>
        </is>
      </c>
      <c r="J125" s="23" t="n">
        <v>34</v>
      </c>
      <c r="K125" s="23">
        <f>G125*J125</f>
        <v/>
      </c>
      <c r="L125" s="4" t="inlineStr">
        <is>
          <t>Mini mono 32A</t>
        </is>
      </c>
    </row>
    <row r="126">
      <c r="A126" s="24" t="inlineStr">
        <is>
          <t>Subtotal — 02º G1</t>
        </is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6">
        <f>SUM(K116:K125)</f>
        <v/>
      </c>
      <c r="L126" s="25" t="n"/>
    </row>
    <row r="127">
      <c r="A127" s="4" t="inlineStr">
        <is>
          <t>06º G5</t>
        </is>
      </c>
      <c r="B127" s="6" t="inlineStr">
        <is>
          <t>B</t>
        </is>
      </c>
      <c r="C127" s="6" t="inlineStr">
        <is>
          <t>QT-MAT-1947</t>
        </is>
      </c>
      <c r="D127" s="4" t="inlineStr">
        <is>
          <t>DISJUNTORES CD G5 (BLOCO B)</t>
        </is>
      </c>
      <c r="E127" s="6" t="n">
        <v>1</v>
      </c>
      <c r="F127" s="6" t="inlineStr">
        <is>
          <t>2524 00 000</t>
        </is>
      </c>
      <c r="G127" s="22" t="n">
        <v>2</v>
      </c>
      <c r="H127" s="6" t="inlineStr">
        <is>
          <t>uni</t>
        </is>
      </c>
      <c r="I127" s="4" t="inlineStr">
        <is>
          <t>MINIDISJUNTOR - MONOFÁSICO - 10A - CURVA C - 3KA</t>
        </is>
      </c>
      <c r="J127" s="23" t="n">
        <v>24</v>
      </c>
      <c r="K127" s="23">
        <f>G127*J127</f>
        <v/>
      </c>
      <c r="L127" s="4" t="inlineStr">
        <is>
          <t>Mini mono 10A</t>
        </is>
      </c>
    </row>
    <row r="128">
      <c r="A128" s="4" t="inlineStr">
        <is>
          <t>06º G5</t>
        </is>
      </c>
      <c r="B128" s="6" t="inlineStr">
        <is>
          <t>B</t>
        </is>
      </c>
      <c r="C128" s="6" t="inlineStr">
        <is>
          <t>QT-MAT-1947</t>
        </is>
      </c>
      <c r="D128" s="4" t="inlineStr">
        <is>
          <t>DISJUNTORES CD G5 (BLOCO B)</t>
        </is>
      </c>
      <c r="E128" s="6" t="n">
        <v>2</v>
      </c>
      <c r="F128" s="6" t="inlineStr">
        <is>
          <t>2526 00 000</t>
        </is>
      </c>
      <c r="G128" s="22" t="n">
        <v>1</v>
      </c>
      <c r="H128" s="6" t="inlineStr">
        <is>
          <t>uni</t>
        </is>
      </c>
      <c r="I128" s="4" t="inlineStr">
        <is>
          <t>MINIDISJUNTOR - MONOFÁSICO - 20A - CURVA C - 3KA</t>
        </is>
      </c>
      <c r="J128" s="23" t="n">
        <v>28</v>
      </c>
      <c r="K128" s="23">
        <f>G128*J128</f>
        <v/>
      </c>
      <c r="L128" s="4" t="inlineStr">
        <is>
          <t>Mini mono 20A</t>
        </is>
      </c>
    </row>
    <row r="129">
      <c r="A129" s="4" t="inlineStr">
        <is>
          <t>06º G5</t>
        </is>
      </c>
      <c r="B129" s="6" t="inlineStr">
        <is>
          <t>B</t>
        </is>
      </c>
      <c r="C129" s="6" t="inlineStr">
        <is>
          <t>QT-MAT-1947</t>
        </is>
      </c>
      <c r="D129" s="4" t="inlineStr">
        <is>
          <t>DISJUNTORES CD G5 (BLOCO B)</t>
        </is>
      </c>
      <c r="E129" s="6" t="n">
        <v>3</v>
      </c>
      <c r="F129" s="6" t="inlineStr">
        <is>
          <t>2527 00 000</t>
        </is>
      </c>
      <c r="G129" s="22" t="n">
        <v>1</v>
      </c>
      <c r="H129" s="6" t="inlineStr">
        <is>
          <t>uni</t>
        </is>
      </c>
      <c r="I129" s="4" t="inlineStr">
        <is>
          <t>MINIDISJUNTOR - MONOFÁSICO - 25A - CURVA C - 3KA</t>
        </is>
      </c>
      <c r="J129" s="23" t="n">
        <v>30</v>
      </c>
      <c r="K129" s="23">
        <f>G129*J129</f>
        <v/>
      </c>
      <c r="L129" s="4" t="inlineStr">
        <is>
          <t>Mini mono 25A</t>
        </is>
      </c>
    </row>
    <row r="130">
      <c r="A130" s="4" t="inlineStr">
        <is>
          <t>06º G5</t>
        </is>
      </c>
      <c r="B130" s="6" t="inlineStr">
        <is>
          <t>B</t>
        </is>
      </c>
      <c r="C130" s="6" t="inlineStr">
        <is>
          <t>QT-MAT-1947</t>
        </is>
      </c>
      <c r="D130" s="4" t="inlineStr">
        <is>
          <t>DISJUNTORES CD G5 (BLOCO B)</t>
        </is>
      </c>
      <c r="E130" s="6" t="n">
        <v>4</v>
      </c>
      <c r="F130" s="6" t="inlineStr">
        <is>
          <t>2529 00 000</t>
        </is>
      </c>
      <c r="G130" s="22" t="n">
        <v>1</v>
      </c>
      <c r="H130" s="6" t="inlineStr">
        <is>
          <t>uni</t>
        </is>
      </c>
      <c r="I130" s="4" t="inlineStr">
        <is>
          <t>MINIDISJUNTOR - MONOFÁSICO - 40A - CURVA C - 3KA</t>
        </is>
      </c>
      <c r="J130" s="23" t="n">
        <v>42</v>
      </c>
      <c r="K130" s="23">
        <f>G130*J130</f>
        <v/>
      </c>
      <c r="L130" s="4" t="inlineStr">
        <is>
          <t>Mini mono 40A</t>
        </is>
      </c>
    </row>
    <row r="131">
      <c r="A131" s="4" t="inlineStr">
        <is>
          <t>06º G5</t>
        </is>
      </c>
      <c r="B131" s="6" t="inlineStr">
        <is>
          <t>B</t>
        </is>
      </c>
      <c r="C131" s="6" t="inlineStr">
        <is>
          <t>QT-MAT-1947</t>
        </is>
      </c>
      <c r="D131" s="4" t="inlineStr">
        <is>
          <t>DISJUNTORES CD G5 (BLOCO B)</t>
        </is>
      </c>
      <c r="E131" s="6" t="n">
        <v>5</v>
      </c>
      <c r="F131" s="6" t="inlineStr">
        <is>
          <t>6439 00 000</t>
        </is>
      </c>
      <c r="G131" s="22" t="n">
        <v>1</v>
      </c>
      <c r="H131" s="6" t="inlineStr">
        <is>
          <t>uni</t>
        </is>
      </c>
      <c r="I131" s="4" t="inlineStr">
        <is>
          <t>IDR - INTERRUPTOR DIFERENCIAL RESIDUAL - BIPOLAR - 40A - 30MA - TIPO AC</t>
        </is>
      </c>
      <c r="J131" s="23" t="n">
        <v>240</v>
      </c>
      <c r="K131" s="23">
        <f>G131*J131</f>
        <v/>
      </c>
      <c r="L131" s="4" t="inlineStr">
        <is>
          <t>IDR bi 40A</t>
        </is>
      </c>
    </row>
    <row r="132">
      <c r="A132" s="24" t="inlineStr">
        <is>
          <t>Subtotal — 06º G5</t>
        </is>
      </c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6">
        <f>SUM(K127:K131)</f>
        <v/>
      </c>
      <c r="L132" s="25" t="n"/>
    </row>
    <row r="133">
      <c r="A133" s="4" t="inlineStr">
        <is>
          <t>07º Lazer</t>
        </is>
      </c>
      <c r="B133" s="6" t="inlineStr">
        <is>
          <t>A</t>
        </is>
      </c>
      <c r="C133" s="6" t="inlineStr">
        <is>
          <t>QT-MAT-1936</t>
        </is>
      </c>
      <c r="D133" s="4" t="inlineStr">
        <is>
          <t>DISJUNTORES CD LAZER (BLOCO A)</t>
        </is>
      </c>
      <c r="E133" s="6" t="n">
        <v>1</v>
      </c>
      <c r="F133" s="6" t="inlineStr">
        <is>
          <t>2524 00 000</t>
        </is>
      </c>
      <c r="G133" s="22" t="n">
        <v>16</v>
      </c>
      <c r="H133" s="6" t="inlineStr">
        <is>
          <t>uni</t>
        </is>
      </c>
      <c r="I133" s="4" t="inlineStr">
        <is>
          <t>MINIDISJUNTOR - MONOFÁSICO - 10A - CURVA C - 3KA</t>
        </is>
      </c>
      <c r="J133" s="23" t="n">
        <v>24</v>
      </c>
      <c r="K133" s="23">
        <f>G133*J133</f>
        <v/>
      </c>
      <c r="L133" s="4" t="inlineStr">
        <is>
          <t>Mini mono 10A</t>
        </is>
      </c>
    </row>
    <row r="134">
      <c r="A134" s="4" t="inlineStr">
        <is>
          <t>07º Lazer</t>
        </is>
      </c>
      <c r="B134" s="6" t="inlineStr">
        <is>
          <t>A</t>
        </is>
      </c>
      <c r="C134" s="6" t="inlineStr">
        <is>
          <t>QT-MAT-1936</t>
        </is>
      </c>
      <c r="D134" s="4" t="inlineStr">
        <is>
          <t>DISJUNTORES CD LAZER (BLOCO A)</t>
        </is>
      </c>
      <c r="E134" s="6" t="n">
        <v>2</v>
      </c>
      <c r="F134" s="6" t="inlineStr">
        <is>
          <t>2526 00 000</t>
        </is>
      </c>
      <c r="G134" s="22" t="n">
        <v>27</v>
      </c>
      <c r="H134" s="6" t="inlineStr">
        <is>
          <t>uni</t>
        </is>
      </c>
      <c r="I134" s="4" t="inlineStr">
        <is>
          <t>MINIDISJUNTOR - MONOFÁSICO - 20A - CURVA C - 3KA</t>
        </is>
      </c>
      <c r="J134" s="23" t="n">
        <v>28</v>
      </c>
      <c r="K134" s="23">
        <f>G134*J134</f>
        <v/>
      </c>
      <c r="L134" s="4" t="inlineStr">
        <is>
          <t>Mini mono 20A</t>
        </is>
      </c>
    </row>
    <row r="135">
      <c r="A135" s="4" t="inlineStr">
        <is>
          <t>07º Lazer</t>
        </is>
      </c>
      <c r="B135" s="6" t="inlineStr">
        <is>
          <t>A</t>
        </is>
      </c>
      <c r="C135" s="6" t="inlineStr">
        <is>
          <t>QT-MAT-1936</t>
        </is>
      </c>
      <c r="D135" s="4" t="inlineStr">
        <is>
          <t>DISJUNTORES CD LAZER (BLOCO A)</t>
        </is>
      </c>
      <c r="E135" s="6" t="n">
        <v>3</v>
      </c>
      <c r="F135" s="6" t="inlineStr">
        <is>
          <t>2527 00 000</t>
        </is>
      </c>
      <c r="G135" s="22" t="n">
        <v>5</v>
      </c>
      <c r="H135" s="6" t="inlineStr">
        <is>
          <t>uni</t>
        </is>
      </c>
      <c r="I135" s="4" t="inlineStr">
        <is>
          <t>MINIDISJUNTOR - MONOFÁSICO - 25A - CURVA C - 3KA</t>
        </is>
      </c>
      <c r="J135" s="23" t="n">
        <v>30</v>
      </c>
      <c r="K135" s="23">
        <f>G135*J135</f>
        <v/>
      </c>
      <c r="L135" s="4" t="inlineStr">
        <is>
          <t>Mini mono 25A</t>
        </is>
      </c>
    </row>
    <row r="136">
      <c r="A136" s="4" t="inlineStr">
        <is>
          <t>07º Lazer</t>
        </is>
      </c>
      <c r="B136" s="6" t="inlineStr">
        <is>
          <t>A</t>
        </is>
      </c>
      <c r="C136" s="6" t="inlineStr">
        <is>
          <t>QT-MAT-1936</t>
        </is>
      </c>
      <c r="D136" s="4" t="inlineStr">
        <is>
          <t>DISJUNTORES CD LAZER (BLOCO A)</t>
        </is>
      </c>
      <c r="E136" s="6" t="n">
        <v>4</v>
      </c>
      <c r="F136" s="6" t="inlineStr">
        <is>
          <t>2575 00 000</t>
        </is>
      </c>
      <c r="G136" s="22" t="n">
        <v>2</v>
      </c>
      <c r="H136" s="6" t="inlineStr">
        <is>
          <t>uni</t>
        </is>
      </c>
      <c r="I136" s="4" t="inlineStr">
        <is>
          <t>MINIDISJUNTOR - TRIFÁSICO - 25A - CURVA C - 3KA</t>
        </is>
      </c>
      <c r="J136" s="23" t="n">
        <v>140</v>
      </c>
      <c r="K136" s="23">
        <f>G136*J136</f>
        <v/>
      </c>
      <c r="L136" s="4" t="inlineStr">
        <is>
          <t>Mini trif 25A</t>
        </is>
      </c>
    </row>
    <row r="137">
      <c r="A137" s="4" t="inlineStr">
        <is>
          <t>07º Lazer</t>
        </is>
      </c>
      <c r="B137" s="6" t="inlineStr">
        <is>
          <t>A</t>
        </is>
      </c>
      <c r="C137" s="6" t="inlineStr">
        <is>
          <t>QT-MAT-1936</t>
        </is>
      </c>
      <c r="D137" s="4" t="inlineStr">
        <is>
          <t>DISJUNTORES CD LAZER (BLOCO A)</t>
        </is>
      </c>
      <c r="E137" s="6" t="n">
        <v>5</v>
      </c>
      <c r="F137" s="6" t="inlineStr">
        <is>
          <t>6480 00 000</t>
        </is>
      </c>
      <c r="G137" s="22" t="n">
        <v>1</v>
      </c>
      <c r="H137" s="6" t="inlineStr">
        <is>
          <t>uni</t>
        </is>
      </c>
      <c r="I137" s="4" t="inlineStr">
        <is>
          <t>MINIDISJUNTOR - MONOFÁSICO - 32A - CURVA B - 3KA</t>
        </is>
      </c>
      <c r="J137" s="23" t="n">
        <v>34</v>
      </c>
      <c r="K137" s="23">
        <f>G137*J137</f>
        <v/>
      </c>
      <c r="L137" s="4" t="inlineStr">
        <is>
          <t>Mini mono 32A</t>
        </is>
      </c>
    </row>
    <row r="138">
      <c r="A138" s="4" t="inlineStr">
        <is>
          <t>07º Lazer</t>
        </is>
      </c>
      <c r="B138" s="6" t="inlineStr">
        <is>
          <t>A</t>
        </is>
      </c>
      <c r="C138" s="6" t="inlineStr">
        <is>
          <t>QT-MAT-1936</t>
        </is>
      </c>
      <c r="D138" s="4" t="inlineStr">
        <is>
          <t>DISJUNTORES CD LAZER (BLOCO A)</t>
        </is>
      </c>
      <c r="E138" s="6" t="n">
        <v>6</v>
      </c>
      <c r="F138" s="6" t="inlineStr">
        <is>
          <t>6692 00 000</t>
        </is>
      </c>
      <c r="G138" s="22" t="n">
        <v>3</v>
      </c>
      <c r="H138" s="6" t="inlineStr">
        <is>
          <t>uni</t>
        </is>
      </c>
      <c r="I138" s="4" t="inlineStr">
        <is>
          <t>MINIDISJUNTOR - TRIFÁSICO - 40A - CURVA B - 3KA</t>
        </is>
      </c>
      <c r="J138" s="23" t="n">
        <v>170</v>
      </c>
      <c r="K138" s="23">
        <f>G138*J138</f>
        <v/>
      </c>
      <c r="L138" s="4" t="inlineStr">
        <is>
          <t>Mini trif 40A</t>
        </is>
      </c>
    </row>
    <row r="139">
      <c r="A139" s="4" t="inlineStr">
        <is>
          <t>07º Lazer</t>
        </is>
      </c>
      <c r="B139" s="6" t="inlineStr">
        <is>
          <t>A</t>
        </is>
      </c>
      <c r="C139" s="6" t="inlineStr">
        <is>
          <t>QT-MAT-1936</t>
        </is>
      </c>
      <c r="D139" s="4" t="inlineStr">
        <is>
          <t>DISJUNTORES CD LAZER (BLOCO A)</t>
        </is>
      </c>
      <c r="E139" s="6" t="n">
        <v>7</v>
      </c>
      <c r="F139" s="6" t="inlineStr">
        <is>
          <t>2578 00 000</t>
        </is>
      </c>
      <c r="G139" s="22" t="n">
        <v>1</v>
      </c>
      <c r="H139" s="6" t="inlineStr">
        <is>
          <t>uni</t>
        </is>
      </c>
      <c r="I139" s="4" t="inlineStr">
        <is>
          <t>MINIDISJUNTOR - TRIFÁSICO - 50A - CURVA C - 3KA</t>
        </is>
      </c>
      <c r="J139" s="23" t="n">
        <v>190</v>
      </c>
      <c r="K139" s="23">
        <f>G139*J139</f>
        <v/>
      </c>
      <c r="L139" s="4" t="inlineStr">
        <is>
          <t>Mini trif 50A</t>
        </is>
      </c>
    </row>
    <row r="140">
      <c r="A140" s="4" t="inlineStr">
        <is>
          <t>07º Lazer</t>
        </is>
      </c>
      <c r="B140" s="6" t="inlineStr">
        <is>
          <t>A</t>
        </is>
      </c>
      <c r="C140" s="6" t="inlineStr">
        <is>
          <t>QT-MAT-1936</t>
        </is>
      </c>
      <c r="D140" s="4" t="inlineStr">
        <is>
          <t>DISJUNTORES CD LAZER (BLOCO A)</t>
        </is>
      </c>
      <c r="E140" s="6" t="n">
        <v>8</v>
      </c>
      <c r="F140" s="6" t="inlineStr">
        <is>
          <t>6452 00 000</t>
        </is>
      </c>
      <c r="G140" s="22" t="n">
        <v>3</v>
      </c>
      <c r="H140" s="6" t="inlineStr">
        <is>
          <t>uni</t>
        </is>
      </c>
      <c r="I140" s="4" t="inlineStr">
        <is>
          <t>IDR - INTERRUPTOR DIFERENCIAL RESIDUAL - TETRAPOLAR - 63A - 30MA - TIPO AC</t>
        </is>
      </c>
      <c r="J140" s="23" t="n">
        <v>560</v>
      </c>
      <c r="K140" s="23">
        <f>G140*J140</f>
        <v/>
      </c>
      <c r="L140" s="4" t="inlineStr">
        <is>
          <t>IDR tetra 63A</t>
        </is>
      </c>
    </row>
    <row r="141">
      <c r="A141" s="4" t="inlineStr">
        <is>
          <t>07º Lazer</t>
        </is>
      </c>
      <c r="B141" s="6" t="inlineStr">
        <is>
          <t>A</t>
        </is>
      </c>
      <c r="C141" s="6" t="inlineStr">
        <is>
          <t>QT-MAT-1936</t>
        </is>
      </c>
      <c r="D141" s="4" t="inlineStr">
        <is>
          <t>DISJUNTORES CD LAZER (BLOCO A)</t>
        </is>
      </c>
      <c r="E141" s="6" t="n">
        <v>9</v>
      </c>
      <c r="F141" s="6" t="inlineStr">
        <is>
          <t>6451 00 000</t>
        </is>
      </c>
      <c r="G141" s="22" t="n">
        <v>3</v>
      </c>
      <c r="H141" s="6" t="inlineStr">
        <is>
          <t>uni</t>
        </is>
      </c>
      <c r="I141" s="4" t="inlineStr">
        <is>
          <t>IDR - INTERRUPTOR DIFERENCIAL RESIDUAL - TETRAPOLAR - 40A - 30MA - TIPO AC</t>
        </is>
      </c>
      <c r="J141" s="23" t="n">
        <v>480</v>
      </c>
      <c r="K141" s="23">
        <f>G141*J141</f>
        <v/>
      </c>
      <c r="L141" s="4" t="inlineStr">
        <is>
          <t>IDR tetra 40A</t>
        </is>
      </c>
    </row>
    <row r="142">
      <c r="A142" s="15" t="inlineStr">
        <is>
          <t>07º Lazer</t>
        </is>
      </c>
      <c r="B142" s="27" t="inlineStr">
        <is>
          <t>A</t>
        </is>
      </c>
      <c r="C142" s="27" t="inlineStr">
        <is>
          <t>QT-MAT-1936</t>
        </is>
      </c>
      <c r="D142" s="15" t="inlineStr">
        <is>
          <t>DISJUNTORES CD LAZER (BLOCO A)</t>
        </is>
      </c>
      <c r="E142" s="27" t="n">
        <v>10</v>
      </c>
      <c r="F142" s="27" t="inlineStr">
        <is>
          <t>6450 00 000</t>
        </is>
      </c>
      <c r="G142" s="28" t="n">
        <v>2</v>
      </c>
      <c r="H142" s="27" t="inlineStr">
        <is>
          <t>uni</t>
        </is>
      </c>
      <c r="I142" s="15" t="inlineStr">
        <is>
          <t>IDR - INTERRUPTOR DIFERENCIAL RESIDUAL - TETRAPOLAR - 25A - 30MA - TIPO AC</t>
        </is>
      </c>
      <c r="J142" s="29" t="n">
        <v>50</v>
      </c>
      <c r="K142" s="29">
        <f>G142*J142</f>
        <v/>
      </c>
      <c r="L142" s="15" t="inlineStr">
        <is>
          <t>fallback</t>
        </is>
      </c>
    </row>
    <row r="143">
      <c r="A143" s="4" t="inlineStr">
        <is>
          <t>07º Lazer</t>
        </is>
      </c>
      <c r="B143" s="6" t="inlineStr">
        <is>
          <t>A</t>
        </is>
      </c>
      <c r="C143" s="6" t="inlineStr">
        <is>
          <t>QT-MAT-1936</t>
        </is>
      </c>
      <c r="D143" s="4" t="inlineStr">
        <is>
          <t>DISJUNTORES CD LAZER (BLOCO A)</t>
        </is>
      </c>
      <c r="E143" s="6" t="n">
        <v>11</v>
      </c>
      <c r="F143" s="6" t="inlineStr">
        <is>
          <t>6439 00 000</t>
        </is>
      </c>
      <c r="G143" s="22" t="n">
        <v>6</v>
      </c>
      <c r="H143" s="6" t="inlineStr">
        <is>
          <t>uni</t>
        </is>
      </c>
      <c r="I143" s="4" t="inlineStr">
        <is>
          <t>IDR - INTERRUPTOR DIFERENCIAL RESIDUAL - BIPOLAR - 40A - 30MA - TIPO AC</t>
        </is>
      </c>
      <c r="J143" s="23" t="n">
        <v>240</v>
      </c>
      <c r="K143" s="23">
        <f>G143*J143</f>
        <v/>
      </c>
      <c r="L143" s="4" t="inlineStr">
        <is>
          <t>IDR bi 40A</t>
        </is>
      </c>
    </row>
    <row r="144">
      <c r="A144" s="15" t="inlineStr">
        <is>
          <t>07º Lazer</t>
        </is>
      </c>
      <c r="B144" s="27" t="inlineStr">
        <is>
          <t>A</t>
        </is>
      </c>
      <c r="C144" s="27" t="inlineStr">
        <is>
          <t>QT-MAT-1936</t>
        </is>
      </c>
      <c r="D144" s="15" t="inlineStr">
        <is>
          <t>DISJUNTORES CD LAZER (BLOCO A)</t>
        </is>
      </c>
      <c r="E144" s="27" t="n">
        <v>12</v>
      </c>
      <c r="F144" s="27" t="inlineStr">
        <is>
          <t>6408 00 000</t>
        </is>
      </c>
      <c r="G144" s="28" t="n">
        <v>1</v>
      </c>
      <c r="H144" s="27" t="inlineStr">
        <is>
          <t>uni</t>
        </is>
      </c>
      <c r="I144" s="15" t="inlineStr">
        <is>
          <t>DISJUNTOR - TRIFÁSICO - CAIXA MOLDADA - 90A - 10KA</t>
        </is>
      </c>
      <c r="J144" s="29" t="n">
        <v>50</v>
      </c>
      <c r="K144" s="29">
        <f>G144*J144</f>
        <v/>
      </c>
      <c r="L144" s="15" t="inlineStr">
        <is>
          <t>fallback</t>
        </is>
      </c>
    </row>
    <row r="145">
      <c r="A145" s="4" t="inlineStr">
        <is>
          <t>07º Lazer</t>
        </is>
      </c>
      <c r="B145" s="6" t="inlineStr">
        <is>
          <t>A</t>
        </is>
      </c>
      <c r="C145" s="6" t="inlineStr">
        <is>
          <t>QT-MAT-1936</t>
        </is>
      </c>
      <c r="D145" s="4" t="inlineStr">
        <is>
          <t>DISJUNTORES CD LAZER (BLOCO A)</t>
        </is>
      </c>
      <c r="E145" s="6" t="n">
        <v>13</v>
      </c>
      <c r="F145" s="6" t="inlineStr">
        <is>
          <t>6409 00 000</t>
        </is>
      </c>
      <c r="G145" s="22" t="n">
        <v>1</v>
      </c>
      <c r="H145" s="6" t="inlineStr">
        <is>
          <t>uni</t>
        </is>
      </c>
      <c r="I145" s="4" t="inlineStr">
        <is>
          <t>DISJUNTOR - TRIFÁSICO - CAIXA MOLDADA - 100A - 10KA</t>
        </is>
      </c>
      <c r="J145" s="23" t="n">
        <v>880</v>
      </c>
      <c r="K145" s="23">
        <f>G145*J145</f>
        <v/>
      </c>
      <c r="L145" s="4" t="inlineStr">
        <is>
          <t>Disj cx mold 100A</t>
        </is>
      </c>
    </row>
    <row r="146">
      <c r="A146" s="4" t="inlineStr">
        <is>
          <t>07º Lazer</t>
        </is>
      </c>
      <c r="B146" s="6" t="inlineStr">
        <is>
          <t>A</t>
        </is>
      </c>
      <c r="C146" s="6" t="inlineStr">
        <is>
          <t>QT-MAT-1936</t>
        </is>
      </c>
      <c r="D146" s="4" t="inlineStr">
        <is>
          <t>DISJUNTORES CD LAZER (BLOCO A)</t>
        </is>
      </c>
      <c r="E146" s="6" t="n">
        <v>14</v>
      </c>
      <c r="F146" s="6" t="inlineStr">
        <is>
          <t>6463 00 000</t>
        </is>
      </c>
      <c r="G146" s="22" t="n">
        <v>8</v>
      </c>
      <c r="H146" s="6" t="inlineStr">
        <is>
          <t>uni</t>
        </is>
      </c>
      <c r="I146" s="4" t="inlineStr">
        <is>
          <t>DPS - DISPOSITIVO DE PROTEÇÃO CONTRA SURTOS - MONOPOLAR - 275V - CLASSE II</t>
        </is>
      </c>
      <c r="J146" s="23" t="n">
        <v>130</v>
      </c>
      <c r="K146" s="23">
        <f>G146*J146</f>
        <v/>
      </c>
      <c r="L146" s="4" t="inlineStr">
        <is>
          <t>DPS mono 275V</t>
        </is>
      </c>
    </row>
    <row r="147">
      <c r="A147" s="4" t="inlineStr">
        <is>
          <t>07º Lazer</t>
        </is>
      </c>
      <c r="B147" s="6" t="inlineStr">
        <is>
          <t>A</t>
        </is>
      </c>
      <c r="C147" s="6" t="inlineStr">
        <is>
          <t>QT-MAT-1936</t>
        </is>
      </c>
      <c r="D147" s="4" t="inlineStr">
        <is>
          <t>DISJUNTORES CD LAZER (BLOCO A)</t>
        </is>
      </c>
      <c r="E147" s="6" t="n">
        <v>15</v>
      </c>
      <c r="F147" s="6" t="inlineStr">
        <is>
          <t>6391 00 000</t>
        </is>
      </c>
      <c r="G147" s="22" t="n">
        <v>2</v>
      </c>
      <c r="H147" s="6" t="inlineStr">
        <is>
          <t>uni</t>
        </is>
      </c>
      <c r="I147" s="4" t="inlineStr">
        <is>
          <t>MINIDISJUNTOR - TRIFÁSICO - 32A - CURVA C - 6KA</t>
        </is>
      </c>
      <c r="J147" s="23" t="n">
        <v>180</v>
      </c>
      <c r="K147" s="23">
        <f>G147*J147</f>
        <v/>
      </c>
      <c r="L147" s="4" t="inlineStr">
        <is>
          <t>Mini trif 32A 6kA</t>
        </is>
      </c>
    </row>
    <row r="148">
      <c r="A148" s="4" t="inlineStr">
        <is>
          <t>07º Lazer</t>
        </is>
      </c>
      <c r="B148" s="6" t="inlineStr">
        <is>
          <t>B</t>
        </is>
      </c>
      <c r="C148" s="6" t="inlineStr">
        <is>
          <t>QT-MAT-1948</t>
        </is>
      </c>
      <c r="D148" s="4" t="inlineStr">
        <is>
          <t>DISJUNTORES CD LAZER (BLOCO B)</t>
        </is>
      </c>
      <c r="E148" s="6" t="n">
        <v>1</v>
      </c>
      <c r="F148" s="6" t="inlineStr">
        <is>
          <t>2524 00 000</t>
        </is>
      </c>
      <c r="G148" s="22" t="n">
        <v>15</v>
      </c>
      <c r="H148" s="6" t="inlineStr">
        <is>
          <t>uni</t>
        </is>
      </c>
      <c r="I148" s="4" t="inlineStr">
        <is>
          <t>MINIDISJUNTOR - MONOFÁSICO - 10A - CURVA C - 3KA</t>
        </is>
      </c>
      <c r="J148" s="23" t="n">
        <v>24</v>
      </c>
      <c r="K148" s="23">
        <f>G148*J148</f>
        <v/>
      </c>
      <c r="L148" s="4" t="inlineStr">
        <is>
          <t>Mini mono 10A</t>
        </is>
      </c>
    </row>
    <row r="149">
      <c r="A149" s="4" t="inlineStr">
        <is>
          <t>07º Lazer</t>
        </is>
      </c>
      <c r="B149" s="6" t="inlineStr">
        <is>
          <t>B</t>
        </is>
      </c>
      <c r="C149" s="6" t="inlineStr">
        <is>
          <t>QT-MAT-1948</t>
        </is>
      </c>
      <c r="D149" s="4" t="inlineStr">
        <is>
          <t>DISJUNTORES CD LAZER (BLOCO B)</t>
        </is>
      </c>
      <c r="E149" s="6" t="n">
        <v>2</v>
      </c>
      <c r="F149" s="6" t="inlineStr">
        <is>
          <t>2526 00 000</t>
        </is>
      </c>
      <c r="G149" s="22" t="n">
        <v>22</v>
      </c>
      <c r="H149" s="6" t="inlineStr">
        <is>
          <t>uni</t>
        </is>
      </c>
      <c r="I149" s="4" t="inlineStr">
        <is>
          <t>MINIDISJUNTOR - MONOFÁSICO - 20A - CURVA C - 3KA</t>
        </is>
      </c>
      <c r="J149" s="23" t="n">
        <v>28</v>
      </c>
      <c r="K149" s="23">
        <f>G149*J149</f>
        <v/>
      </c>
      <c r="L149" s="4" t="inlineStr">
        <is>
          <t>Mini mono 20A</t>
        </is>
      </c>
    </row>
    <row r="150">
      <c r="A150" s="4" t="inlineStr">
        <is>
          <t>07º Lazer</t>
        </is>
      </c>
      <c r="B150" s="6" t="inlineStr">
        <is>
          <t>B</t>
        </is>
      </c>
      <c r="C150" s="6" t="inlineStr">
        <is>
          <t>QT-MAT-1948</t>
        </is>
      </c>
      <c r="D150" s="4" t="inlineStr">
        <is>
          <t>DISJUNTORES CD LAZER (BLOCO B)</t>
        </is>
      </c>
      <c r="E150" s="6" t="n">
        <v>3</v>
      </c>
      <c r="F150" s="6" t="inlineStr">
        <is>
          <t>2527 00 000</t>
        </is>
      </c>
      <c r="G150" s="22" t="n">
        <v>2</v>
      </c>
      <c r="H150" s="6" t="inlineStr">
        <is>
          <t>uni</t>
        </is>
      </c>
      <c r="I150" s="4" t="inlineStr">
        <is>
          <t>MINIDISJUNTOR - MONOFÁSICO - 25A - CURVA C - 3KA</t>
        </is>
      </c>
      <c r="J150" s="23" t="n">
        <v>30</v>
      </c>
      <c r="K150" s="23">
        <f>G150*J150</f>
        <v/>
      </c>
      <c r="L150" s="4" t="inlineStr">
        <is>
          <t>Mini mono 25A</t>
        </is>
      </c>
    </row>
    <row r="151">
      <c r="A151" s="4" t="inlineStr">
        <is>
          <t>07º Lazer</t>
        </is>
      </c>
      <c r="B151" s="6" t="inlineStr">
        <is>
          <t>B</t>
        </is>
      </c>
      <c r="C151" s="6" t="inlineStr">
        <is>
          <t>QT-MAT-1948</t>
        </is>
      </c>
      <c r="D151" s="4" t="inlineStr">
        <is>
          <t>DISJUNTORES CD LAZER (BLOCO B)</t>
        </is>
      </c>
      <c r="E151" s="6" t="n">
        <v>4</v>
      </c>
      <c r="F151" s="6" t="inlineStr">
        <is>
          <t>6692 00 000</t>
        </is>
      </c>
      <c r="G151" s="22" t="n">
        <v>2</v>
      </c>
      <c r="H151" s="6" t="inlineStr">
        <is>
          <t>uni</t>
        </is>
      </c>
      <c r="I151" s="4" t="inlineStr">
        <is>
          <t>MINIDISJUNTOR - TRIFÁSICO - 40A - CURVA B - 3KA</t>
        </is>
      </c>
      <c r="J151" s="23" t="n">
        <v>170</v>
      </c>
      <c r="K151" s="23">
        <f>G151*J151</f>
        <v/>
      </c>
      <c r="L151" s="4" t="inlineStr">
        <is>
          <t>Mini trif 40A</t>
        </is>
      </c>
    </row>
    <row r="152">
      <c r="A152" s="4" t="inlineStr">
        <is>
          <t>07º Lazer</t>
        </is>
      </c>
      <c r="B152" s="6" t="inlineStr">
        <is>
          <t>B</t>
        </is>
      </c>
      <c r="C152" s="6" t="inlineStr">
        <is>
          <t>QT-MAT-1948</t>
        </is>
      </c>
      <c r="D152" s="4" t="inlineStr">
        <is>
          <t>DISJUNTORES CD LAZER (BLOCO B)</t>
        </is>
      </c>
      <c r="E152" s="6" t="n">
        <v>5</v>
      </c>
      <c r="F152" s="6" t="inlineStr">
        <is>
          <t>2577 00 000</t>
        </is>
      </c>
      <c r="G152" s="22" t="n">
        <v>1</v>
      </c>
      <c r="H152" s="6" t="inlineStr">
        <is>
          <t>uni</t>
        </is>
      </c>
      <c r="I152" s="4" t="inlineStr">
        <is>
          <t>MINIDISJUNTOR - TRIFÁSICO - 40A - CURVA C - 3KA</t>
        </is>
      </c>
      <c r="J152" s="23" t="n">
        <v>170</v>
      </c>
      <c r="K152" s="23">
        <f>G152*J152</f>
        <v/>
      </c>
      <c r="L152" s="4" t="inlineStr">
        <is>
          <t>Mini trif 40A</t>
        </is>
      </c>
    </row>
    <row r="153">
      <c r="A153" s="4" t="inlineStr">
        <is>
          <t>07º Lazer</t>
        </is>
      </c>
      <c r="B153" s="6" t="inlineStr">
        <is>
          <t>B</t>
        </is>
      </c>
      <c r="C153" s="6" t="inlineStr">
        <is>
          <t>QT-MAT-1948</t>
        </is>
      </c>
      <c r="D153" s="4" t="inlineStr">
        <is>
          <t>DISJUNTORES CD LAZER (BLOCO B)</t>
        </is>
      </c>
      <c r="E153" s="6" t="n">
        <v>6</v>
      </c>
      <c r="F153" s="6" t="inlineStr">
        <is>
          <t>2579 00 000</t>
        </is>
      </c>
      <c r="G153" s="22" t="n">
        <v>1</v>
      </c>
      <c r="H153" s="6" t="inlineStr">
        <is>
          <t>uni</t>
        </is>
      </c>
      <c r="I153" s="4" t="inlineStr">
        <is>
          <t>MINIDISJUNTOR - TRIFÁSICO - 63A - CURVA C - 3KA</t>
        </is>
      </c>
      <c r="J153" s="23" t="n">
        <v>220</v>
      </c>
      <c r="K153" s="23">
        <f>G153*J153</f>
        <v/>
      </c>
      <c r="L153" s="4" t="inlineStr">
        <is>
          <t>Mini trif 63A</t>
        </is>
      </c>
    </row>
    <row r="154">
      <c r="A154" s="4" t="inlineStr">
        <is>
          <t>07º Lazer</t>
        </is>
      </c>
      <c r="B154" s="6" t="inlineStr">
        <is>
          <t>B</t>
        </is>
      </c>
      <c r="C154" s="6" t="inlineStr">
        <is>
          <t>QT-MAT-1948</t>
        </is>
      </c>
      <c r="D154" s="4" t="inlineStr">
        <is>
          <t>DISJUNTORES CD LAZER (BLOCO B)</t>
        </is>
      </c>
      <c r="E154" s="6" t="n">
        <v>7</v>
      </c>
      <c r="F154" s="6" t="inlineStr">
        <is>
          <t>6391 00 000</t>
        </is>
      </c>
      <c r="G154" s="22" t="n">
        <v>2</v>
      </c>
      <c r="H154" s="6" t="inlineStr">
        <is>
          <t>uni</t>
        </is>
      </c>
      <c r="I154" s="4" t="inlineStr">
        <is>
          <t>MINIDISJUNTOR - TRIFÁSICO - 32A - CURVA C - 6KA</t>
        </is>
      </c>
      <c r="J154" s="23" t="n">
        <v>180</v>
      </c>
      <c r="K154" s="23">
        <f>G154*J154</f>
        <v/>
      </c>
      <c r="L154" s="4" t="inlineStr">
        <is>
          <t>Mini trif 32A 6kA</t>
        </is>
      </c>
    </row>
    <row r="155">
      <c r="A155" s="4" t="inlineStr">
        <is>
          <t>07º Lazer</t>
        </is>
      </c>
      <c r="B155" s="6" t="inlineStr">
        <is>
          <t>B</t>
        </is>
      </c>
      <c r="C155" s="6" t="inlineStr">
        <is>
          <t>QT-MAT-1948</t>
        </is>
      </c>
      <c r="D155" s="4" t="inlineStr">
        <is>
          <t>DISJUNTORES CD LAZER (BLOCO B)</t>
        </is>
      </c>
      <c r="E155" s="6" t="n">
        <v>8</v>
      </c>
      <c r="F155" s="6" t="inlineStr">
        <is>
          <t>6439 00 000</t>
        </is>
      </c>
      <c r="G155" s="22" t="n">
        <v>2</v>
      </c>
      <c r="H155" s="6" t="inlineStr">
        <is>
          <t>uni</t>
        </is>
      </c>
      <c r="I155" s="4" t="inlineStr">
        <is>
          <t>IDR - INTERRUPTOR DIFERENCIAL RESIDUAL - BIPOLAR - 40A - 30MA - TIPO AC</t>
        </is>
      </c>
      <c r="J155" s="23" t="n">
        <v>240</v>
      </c>
      <c r="K155" s="23">
        <f>G155*J155</f>
        <v/>
      </c>
      <c r="L155" s="4" t="inlineStr">
        <is>
          <t>IDR bi 40A</t>
        </is>
      </c>
    </row>
    <row r="156">
      <c r="A156" s="4" t="inlineStr">
        <is>
          <t>07º Lazer</t>
        </is>
      </c>
      <c r="B156" s="6" t="inlineStr">
        <is>
          <t>B</t>
        </is>
      </c>
      <c r="C156" s="6" t="inlineStr">
        <is>
          <t>QT-MAT-1948</t>
        </is>
      </c>
      <c r="D156" s="4" t="inlineStr">
        <is>
          <t>DISJUNTORES CD LAZER (BLOCO B)</t>
        </is>
      </c>
      <c r="E156" s="6" t="n">
        <v>9</v>
      </c>
      <c r="F156" s="6" t="inlineStr">
        <is>
          <t>6438 00 000</t>
        </is>
      </c>
      <c r="G156" s="22" t="n">
        <v>1</v>
      </c>
      <c r="H156" s="6" t="inlineStr">
        <is>
          <t>uni</t>
        </is>
      </c>
      <c r="I156" s="4" t="inlineStr">
        <is>
          <t>IDR - INTERRUPTOR DIFERENCIAL RESIDUAL - BIPOLAR - 25A - 30MA - TIPO AC</t>
        </is>
      </c>
      <c r="J156" s="23" t="n">
        <v>195</v>
      </c>
      <c r="K156" s="23">
        <f>G156*J156</f>
        <v/>
      </c>
      <c r="L156" s="4" t="inlineStr">
        <is>
          <t>IDR bi 25A</t>
        </is>
      </c>
    </row>
    <row r="157">
      <c r="A157" s="4" t="inlineStr">
        <is>
          <t>07º Lazer</t>
        </is>
      </c>
      <c r="B157" s="6" t="inlineStr">
        <is>
          <t>B</t>
        </is>
      </c>
      <c r="C157" s="6" t="inlineStr">
        <is>
          <t>QT-MAT-1948</t>
        </is>
      </c>
      <c r="D157" s="4" t="inlineStr">
        <is>
          <t>DISJUNTORES CD LAZER (BLOCO B)</t>
        </is>
      </c>
      <c r="E157" s="6" t="n">
        <v>10</v>
      </c>
      <c r="F157" s="6" t="inlineStr">
        <is>
          <t>6440 00 000</t>
        </is>
      </c>
      <c r="G157" s="22" t="n">
        <v>2</v>
      </c>
      <c r="H157" s="6" t="inlineStr">
        <is>
          <t>uni</t>
        </is>
      </c>
      <c r="I157" s="4" t="inlineStr">
        <is>
          <t>IDR - INTERRUPTOR DIFERENCIAL RESIDUAL - BIPOLAR - 63A - 30MA - TIPO AC</t>
        </is>
      </c>
      <c r="J157" s="23" t="n">
        <v>320</v>
      </c>
      <c r="K157" s="23">
        <f>G157*J157</f>
        <v/>
      </c>
      <c r="L157" s="4" t="inlineStr">
        <is>
          <t>IDR bi 63A</t>
        </is>
      </c>
    </row>
    <row r="158">
      <c r="A158" s="4" t="inlineStr">
        <is>
          <t>07º Lazer</t>
        </is>
      </c>
      <c r="B158" s="6" t="inlineStr">
        <is>
          <t>B</t>
        </is>
      </c>
      <c r="C158" s="6" t="inlineStr">
        <is>
          <t>QT-MAT-1948</t>
        </is>
      </c>
      <c r="D158" s="4" t="inlineStr">
        <is>
          <t>DISJUNTORES CD LAZER (BLOCO B)</t>
        </is>
      </c>
      <c r="E158" s="6" t="n">
        <v>11</v>
      </c>
      <c r="F158" s="6" t="inlineStr">
        <is>
          <t>6452 00 000</t>
        </is>
      </c>
      <c r="G158" s="22" t="n">
        <v>2</v>
      </c>
      <c r="H158" s="6" t="inlineStr">
        <is>
          <t>uni</t>
        </is>
      </c>
      <c r="I158" s="4" t="inlineStr">
        <is>
          <t>IDR - INTERRUPTOR DIFERENCIAL RESIDUAL - TETRAPOLAR - 63A - 30MA - TIPO AC</t>
        </is>
      </c>
      <c r="J158" s="23" t="n">
        <v>560</v>
      </c>
      <c r="K158" s="23">
        <f>G158*J158</f>
        <v/>
      </c>
      <c r="L158" s="4" t="inlineStr">
        <is>
          <t>IDR tetra 63A</t>
        </is>
      </c>
    </row>
    <row r="159">
      <c r="A159" s="4" t="inlineStr">
        <is>
          <t>07º Lazer</t>
        </is>
      </c>
      <c r="B159" s="6" t="inlineStr">
        <is>
          <t>B</t>
        </is>
      </c>
      <c r="C159" s="6" t="inlineStr">
        <is>
          <t>QT-MAT-1948</t>
        </is>
      </c>
      <c r="D159" s="4" t="inlineStr">
        <is>
          <t>DISJUNTORES CD LAZER (BLOCO B)</t>
        </is>
      </c>
      <c r="E159" s="6" t="n">
        <v>12</v>
      </c>
      <c r="F159" s="6" t="inlineStr">
        <is>
          <t>6451 00 000</t>
        </is>
      </c>
      <c r="G159" s="22" t="n">
        <v>2</v>
      </c>
      <c r="H159" s="6" t="inlineStr">
        <is>
          <t>uni</t>
        </is>
      </c>
      <c r="I159" s="4" t="inlineStr">
        <is>
          <t>IDR - INTERRUPTOR DIFERENCIAL RESIDUAL - TETRAPOLAR - 40A - 30MA - TIPO AC</t>
        </is>
      </c>
      <c r="J159" s="23" t="n">
        <v>480</v>
      </c>
      <c r="K159" s="23">
        <f>G159*J159</f>
        <v/>
      </c>
      <c r="L159" s="4" t="inlineStr">
        <is>
          <t>IDR tetra 40A</t>
        </is>
      </c>
    </row>
    <row r="160">
      <c r="A160" s="4" t="inlineStr">
        <is>
          <t>07º Lazer</t>
        </is>
      </c>
      <c r="B160" s="6" t="inlineStr">
        <is>
          <t>B</t>
        </is>
      </c>
      <c r="C160" s="6" t="inlineStr">
        <is>
          <t>QT-MAT-1948</t>
        </is>
      </c>
      <c r="D160" s="4" t="inlineStr">
        <is>
          <t>DISJUNTORES CD LAZER (BLOCO B)</t>
        </is>
      </c>
      <c r="E160" s="6" t="n">
        <v>13</v>
      </c>
      <c r="F160" s="6" t="inlineStr">
        <is>
          <t>6463 00 000</t>
        </is>
      </c>
      <c r="G160" s="22" t="n">
        <v>8</v>
      </c>
      <c r="H160" s="6" t="inlineStr">
        <is>
          <t>uni</t>
        </is>
      </c>
      <c r="I160" s="4" t="inlineStr">
        <is>
          <t>DPS - DISPOSITIVO DE PROTEÇÃO CONTRA SURTOS - MONOPOLAR - 275V - CLASSE II</t>
        </is>
      </c>
      <c r="J160" s="23" t="n">
        <v>130</v>
      </c>
      <c r="K160" s="23">
        <f>G160*J160</f>
        <v/>
      </c>
      <c r="L160" s="4" t="inlineStr">
        <is>
          <t>DPS mono 275V</t>
        </is>
      </c>
    </row>
    <row r="161">
      <c r="A161" s="4" t="inlineStr">
        <is>
          <t>07º Lazer</t>
        </is>
      </c>
      <c r="B161" s="6" t="inlineStr">
        <is>
          <t>B</t>
        </is>
      </c>
      <c r="C161" s="6" t="inlineStr">
        <is>
          <t>QT-MAT-1948</t>
        </is>
      </c>
      <c r="D161" s="4" t="inlineStr">
        <is>
          <t>DISJUNTORES CD LAZER (BLOCO B)</t>
        </is>
      </c>
      <c r="E161" s="6" t="n">
        <v>14</v>
      </c>
      <c r="F161" s="6" t="inlineStr">
        <is>
          <t>6406 00 000</t>
        </is>
      </c>
      <c r="G161" s="22" t="n">
        <v>1</v>
      </c>
      <c r="H161" s="6" t="inlineStr">
        <is>
          <t>uni</t>
        </is>
      </c>
      <c r="I161" s="4" t="inlineStr">
        <is>
          <t>DISJUNTOR - TRIFÁSICO - CAIXA MOLDADA - 70A - 10KA</t>
        </is>
      </c>
      <c r="J161" s="23" t="n">
        <v>720</v>
      </c>
      <c r="K161" s="23">
        <f>G161*J161</f>
        <v/>
      </c>
      <c r="L161" s="4" t="inlineStr">
        <is>
          <t>Disj cx mold 70A</t>
        </is>
      </c>
    </row>
    <row r="162">
      <c r="A162" s="24" t="inlineStr">
        <is>
          <t>Subtotal — 07º Lazer</t>
        </is>
      </c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6">
        <f>SUM(K133:K161)</f>
        <v/>
      </c>
      <c r="L162" s="25" t="n"/>
    </row>
    <row r="163">
      <c r="A163" s="4" t="inlineStr">
        <is>
          <t>08º-31º Tipo (×24)</t>
        </is>
      </c>
      <c r="B163" s="6" t="inlineStr">
        <is>
          <t>A</t>
        </is>
      </c>
      <c r="C163" s="6" t="inlineStr">
        <is>
          <t>QT-MAT-1939</t>
        </is>
      </c>
      <c r="D163" s="4" t="inlineStr">
        <is>
          <t>DISJUNTORES CD APTOS (BLOCO A) TIPO 01,02,03,04</t>
        </is>
      </c>
      <c r="E163" s="6" t="n">
        <v>1</v>
      </c>
      <c r="F163" s="6" t="inlineStr">
        <is>
          <t>2524 00 000</t>
        </is>
      </c>
      <c r="G163" s="22" t="n">
        <v>384</v>
      </c>
      <c r="H163" s="6" t="inlineStr">
        <is>
          <t>uni</t>
        </is>
      </c>
      <c r="I163" s="4" t="inlineStr">
        <is>
          <t>MINIDISJUNTOR - MONOFÁSICO - 10A - CURVA C - 3KA</t>
        </is>
      </c>
      <c r="J163" s="23" t="n">
        <v>24</v>
      </c>
      <c r="K163" s="23">
        <f>G163*J163</f>
        <v/>
      </c>
      <c r="L163" s="4" t="inlineStr">
        <is>
          <t>Mini mono 10A</t>
        </is>
      </c>
    </row>
    <row r="164">
      <c r="A164" s="4" t="inlineStr">
        <is>
          <t>08º-31º Tipo (×24)</t>
        </is>
      </c>
      <c r="B164" s="6" t="inlineStr">
        <is>
          <t>A</t>
        </is>
      </c>
      <c r="C164" s="6" t="inlineStr">
        <is>
          <t>QT-MAT-1939</t>
        </is>
      </c>
      <c r="D164" s="4" t="inlineStr">
        <is>
          <t>DISJUNTORES CD APTOS (BLOCO A) TIPO 01,02,03,04</t>
        </is>
      </c>
      <c r="E164" s="6" t="n">
        <v>2</v>
      </c>
      <c r="F164" s="6" t="inlineStr">
        <is>
          <t>2526 00 000</t>
        </is>
      </c>
      <c r="G164" s="22" t="n">
        <v>864</v>
      </c>
      <c r="H164" s="6" t="inlineStr">
        <is>
          <t>uni</t>
        </is>
      </c>
      <c r="I164" s="4" t="inlineStr">
        <is>
          <t>MINIDISJUNTOR - MONOFÁSICO - 20A - CURVA C - 3KA</t>
        </is>
      </c>
      <c r="J164" s="23" t="n">
        <v>28</v>
      </c>
      <c r="K164" s="23">
        <f>G164*J164</f>
        <v/>
      </c>
      <c r="L164" s="4" t="inlineStr">
        <is>
          <t>Mini mono 20A</t>
        </is>
      </c>
    </row>
    <row r="165">
      <c r="A165" s="4" t="inlineStr">
        <is>
          <t>08º-31º Tipo (×24)</t>
        </is>
      </c>
      <c r="B165" s="6" t="inlineStr">
        <is>
          <t>A</t>
        </is>
      </c>
      <c r="C165" s="6" t="inlineStr">
        <is>
          <t>QT-MAT-1939</t>
        </is>
      </c>
      <c r="D165" s="4" t="inlineStr">
        <is>
          <t>DISJUNTORES CD APTOS (BLOCO A) TIPO 01,02,03,04</t>
        </is>
      </c>
      <c r="E165" s="6" t="n">
        <v>3</v>
      </c>
      <c r="F165" s="6" t="inlineStr">
        <is>
          <t>2527 00 000</t>
        </is>
      </c>
      <c r="G165" s="22" t="n">
        <v>288</v>
      </c>
      <c r="H165" s="6" t="inlineStr">
        <is>
          <t>uni</t>
        </is>
      </c>
      <c r="I165" s="4" t="inlineStr">
        <is>
          <t>MINIDISJUNTOR - MONOFÁSICO - 25A - CURVA C - 3KA</t>
        </is>
      </c>
      <c r="J165" s="23" t="n">
        <v>30</v>
      </c>
      <c r="K165" s="23">
        <f>G165*J165</f>
        <v/>
      </c>
      <c r="L165" s="4" t="inlineStr">
        <is>
          <t>Mini mono 25A</t>
        </is>
      </c>
    </row>
    <row r="166">
      <c r="A166" s="4" t="inlineStr">
        <is>
          <t>08º-31º Tipo (×24)</t>
        </is>
      </c>
      <c r="B166" s="6" t="inlineStr">
        <is>
          <t>A</t>
        </is>
      </c>
      <c r="C166" s="6" t="inlineStr">
        <is>
          <t>QT-MAT-1939</t>
        </is>
      </c>
      <c r="D166" s="4" t="inlineStr">
        <is>
          <t>DISJUNTORES CD APTOS (BLOCO A) TIPO 01,02,03,04</t>
        </is>
      </c>
      <c r="E166" s="6" t="n">
        <v>4</v>
      </c>
      <c r="F166" s="6" t="inlineStr">
        <is>
          <t>6452 00 000</t>
        </is>
      </c>
      <c r="G166" s="22" t="n">
        <v>96</v>
      </c>
      <c r="H166" s="6" t="inlineStr">
        <is>
          <t>uni</t>
        </is>
      </c>
      <c r="I166" s="4" t="inlineStr">
        <is>
          <t>IDR - INTERRUPTOR DIFERENCIAL RESIDUAL - TETRAPOLAR - 63A - 30MA - TIPO AC</t>
        </is>
      </c>
      <c r="J166" s="23" t="n">
        <v>560</v>
      </c>
      <c r="K166" s="23">
        <f>G166*J166</f>
        <v/>
      </c>
      <c r="L166" s="4" t="inlineStr">
        <is>
          <t>IDR tetra 63A</t>
        </is>
      </c>
    </row>
    <row r="167">
      <c r="A167" s="15" t="inlineStr">
        <is>
          <t>08º-31º Tipo (×24)</t>
        </is>
      </c>
      <c r="B167" s="27" t="inlineStr">
        <is>
          <t>A</t>
        </is>
      </c>
      <c r="C167" s="27" t="inlineStr">
        <is>
          <t>QT-MAT-1939</t>
        </is>
      </c>
      <c r="D167" s="15" t="inlineStr">
        <is>
          <t>DISJUNTORES CD APTOS (BLOCO A) TIPO 01,02,03,04</t>
        </is>
      </c>
      <c r="E167" s="27" t="n">
        <v>5</v>
      </c>
      <c r="F167" s="27" t="inlineStr">
        <is>
          <t>6450 00 000</t>
        </is>
      </c>
      <c r="G167" s="28" t="n">
        <v>96</v>
      </c>
      <c r="H167" s="27" t="inlineStr">
        <is>
          <t>uni</t>
        </is>
      </c>
      <c r="I167" s="15" t="inlineStr">
        <is>
          <t>IDR - INTERRUPTOR DIFERENCIAL RESIDUAL - TETRAPOLAR - 25A - 30MA - TIPO AC</t>
        </is>
      </c>
      <c r="J167" s="29" t="n">
        <v>50</v>
      </c>
      <c r="K167" s="29">
        <f>G167*J167</f>
        <v/>
      </c>
      <c r="L167" s="15" t="inlineStr">
        <is>
          <t>fallback</t>
        </is>
      </c>
    </row>
    <row r="168">
      <c r="A168" s="4" t="inlineStr">
        <is>
          <t>08º-31º Tipo (×24)</t>
        </is>
      </c>
      <c r="B168" s="6" t="inlineStr">
        <is>
          <t>A</t>
        </is>
      </c>
      <c r="C168" s="6" t="inlineStr">
        <is>
          <t>QT-MAT-1939</t>
        </is>
      </c>
      <c r="D168" s="4" t="inlineStr">
        <is>
          <t>DISJUNTORES CD APTOS (BLOCO A) TIPO 01,02,03,04</t>
        </is>
      </c>
      <c r="E168" s="6" t="n">
        <v>6</v>
      </c>
      <c r="F168" s="6" t="inlineStr">
        <is>
          <t>6439 00 000</t>
        </is>
      </c>
      <c r="G168" s="22" t="n">
        <v>192</v>
      </c>
      <c r="H168" s="6" t="inlineStr">
        <is>
          <t>uni</t>
        </is>
      </c>
      <c r="I168" s="4" t="inlineStr">
        <is>
          <t>IDR - INTERRUPTOR DIFERENCIAL RESIDUAL - BIPOLAR - 40A - 30MA - TIPO AC</t>
        </is>
      </c>
      <c r="J168" s="23" t="n">
        <v>240</v>
      </c>
      <c r="K168" s="23">
        <f>G168*J168</f>
        <v/>
      </c>
      <c r="L168" s="4" t="inlineStr">
        <is>
          <t>IDR bi 40A</t>
        </is>
      </c>
    </row>
    <row r="169">
      <c r="A169" s="4" t="inlineStr">
        <is>
          <t>08º-31º Tipo (×24)</t>
        </is>
      </c>
      <c r="B169" s="6" t="inlineStr">
        <is>
          <t>A</t>
        </is>
      </c>
      <c r="C169" s="6" t="inlineStr">
        <is>
          <t>QT-MAT-1939</t>
        </is>
      </c>
      <c r="D169" s="4" t="inlineStr">
        <is>
          <t>DISJUNTORES CD APTOS (BLOCO A) TIPO 01,02,03,04</t>
        </is>
      </c>
      <c r="E169" s="6" t="n">
        <v>7</v>
      </c>
      <c r="F169" s="6" t="inlineStr">
        <is>
          <t>6463 00 000</t>
        </is>
      </c>
      <c r="G169" s="22" t="n">
        <v>384</v>
      </c>
      <c r="H169" s="6" t="inlineStr">
        <is>
          <t>uni</t>
        </is>
      </c>
      <c r="I169" s="4" t="inlineStr">
        <is>
          <t>DPS - DISPOSITIVO DE PROTEÇÃO CONTRA SURTOS - MONOPOLAR - 275V - CLASSE II</t>
        </is>
      </c>
      <c r="J169" s="23" t="n">
        <v>130</v>
      </c>
      <c r="K169" s="23">
        <f>G169*J169</f>
        <v/>
      </c>
      <c r="L169" s="4" t="inlineStr">
        <is>
          <t>DPS mono 275V</t>
        </is>
      </c>
    </row>
    <row r="170">
      <c r="A170" s="4" t="inlineStr">
        <is>
          <t>08º-31º Tipo (×24)</t>
        </is>
      </c>
      <c r="B170" s="6" t="inlineStr">
        <is>
          <t>A</t>
        </is>
      </c>
      <c r="C170" s="6" t="inlineStr">
        <is>
          <t>QT-MAT-1939</t>
        </is>
      </c>
      <c r="D170" s="4" t="inlineStr">
        <is>
          <t>DISJUNTORES CD APTOS (BLOCO A) TIPO 01,02,03,04</t>
        </is>
      </c>
      <c r="E170" s="6" t="n">
        <v>8</v>
      </c>
      <c r="F170" s="6" t="inlineStr">
        <is>
          <t>2578 00 000</t>
        </is>
      </c>
      <c r="G170" s="22" t="n">
        <v>96</v>
      </c>
      <c r="H170" s="6" t="inlineStr">
        <is>
          <t>uni</t>
        </is>
      </c>
      <c r="I170" s="4" t="inlineStr">
        <is>
          <t>MINIDISJUNTOR - TRIFÁSICO - 50A - CURVA C - 3KA</t>
        </is>
      </c>
      <c r="J170" s="23" t="n">
        <v>190</v>
      </c>
      <c r="K170" s="23">
        <f>G170*J170</f>
        <v/>
      </c>
      <c r="L170" s="4" t="inlineStr">
        <is>
          <t>Mini trif 50A</t>
        </is>
      </c>
    </row>
    <row r="171">
      <c r="A171" s="4" t="inlineStr">
        <is>
          <t>08º-31º Tipo (×24)</t>
        </is>
      </c>
      <c r="B171" s="6" t="inlineStr">
        <is>
          <t>B</t>
        </is>
      </c>
      <c r="C171" s="6" t="inlineStr">
        <is>
          <t>QT-MAT-1949</t>
        </is>
      </c>
      <c r="D171" s="4" t="inlineStr">
        <is>
          <t>DISJUNTORES CD APTOS (BLOCO B) TIPO 01,02,03,04</t>
        </is>
      </c>
      <c r="E171" s="6" t="n">
        <v>1</v>
      </c>
      <c r="F171" s="6" t="inlineStr">
        <is>
          <t>2524 00 000</t>
        </is>
      </c>
      <c r="G171" s="22" t="n">
        <v>384</v>
      </c>
      <c r="H171" s="6" t="inlineStr">
        <is>
          <t>uni</t>
        </is>
      </c>
      <c r="I171" s="4" t="inlineStr">
        <is>
          <t>MINIDISJUNTOR - MONOFÁSICO - 10A - CURVA C - 3KA</t>
        </is>
      </c>
      <c r="J171" s="23" t="n">
        <v>24</v>
      </c>
      <c r="K171" s="23">
        <f>G171*J171</f>
        <v/>
      </c>
      <c r="L171" s="4" t="inlineStr">
        <is>
          <t>Mini mono 10A</t>
        </is>
      </c>
    </row>
    <row r="172">
      <c r="A172" s="4" t="inlineStr">
        <is>
          <t>08º-31º Tipo (×24)</t>
        </is>
      </c>
      <c r="B172" s="6" t="inlineStr">
        <is>
          <t>B</t>
        </is>
      </c>
      <c r="C172" s="6" t="inlineStr">
        <is>
          <t>QT-MAT-1949</t>
        </is>
      </c>
      <c r="D172" s="4" t="inlineStr">
        <is>
          <t>DISJUNTORES CD APTOS (BLOCO B) TIPO 01,02,03,04</t>
        </is>
      </c>
      <c r="E172" s="6" t="n">
        <v>2</v>
      </c>
      <c r="F172" s="6" t="inlineStr">
        <is>
          <t>2526 00 000</t>
        </is>
      </c>
      <c r="G172" s="22" t="n">
        <v>864</v>
      </c>
      <c r="H172" s="6" t="inlineStr">
        <is>
          <t>uni</t>
        </is>
      </c>
      <c r="I172" s="4" t="inlineStr">
        <is>
          <t>MINIDISJUNTOR - MONOFÁSICO - 20A - CURVA C - 3KA</t>
        </is>
      </c>
      <c r="J172" s="23" t="n">
        <v>28</v>
      </c>
      <c r="K172" s="23">
        <f>G172*J172</f>
        <v/>
      </c>
      <c r="L172" s="4" t="inlineStr">
        <is>
          <t>Mini mono 20A</t>
        </is>
      </c>
    </row>
    <row r="173">
      <c r="A173" s="4" t="inlineStr">
        <is>
          <t>08º-31º Tipo (×24)</t>
        </is>
      </c>
      <c r="B173" s="6" t="inlineStr">
        <is>
          <t>B</t>
        </is>
      </c>
      <c r="C173" s="6" t="inlineStr">
        <is>
          <t>QT-MAT-1949</t>
        </is>
      </c>
      <c r="D173" s="4" t="inlineStr">
        <is>
          <t>DISJUNTORES CD APTOS (BLOCO B) TIPO 01,02,03,04</t>
        </is>
      </c>
      <c r="E173" s="6" t="n">
        <v>3</v>
      </c>
      <c r="F173" s="6" t="inlineStr">
        <is>
          <t>2527 00 000</t>
        </is>
      </c>
      <c r="G173" s="22" t="n">
        <v>288</v>
      </c>
      <c r="H173" s="6" t="inlineStr">
        <is>
          <t>uni</t>
        </is>
      </c>
      <c r="I173" s="4" t="inlineStr">
        <is>
          <t>MINIDISJUNTOR - MONOFÁSICO - 25A - CURVA C - 3KA</t>
        </is>
      </c>
      <c r="J173" s="23" t="n">
        <v>30</v>
      </c>
      <c r="K173" s="23">
        <f>G173*J173</f>
        <v/>
      </c>
      <c r="L173" s="4" t="inlineStr">
        <is>
          <t>Mini mono 25A</t>
        </is>
      </c>
    </row>
    <row r="174">
      <c r="A174" s="4" t="inlineStr">
        <is>
          <t>08º-31º Tipo (×24)</t>
        </is>
      </c>
      <c r="B174" s="6" t="inlineStr">
        <is>
          <t>B</t>
        </is>
      </c>
      <c r="C174" s="6" t="inlineStr">
        <is>
          <t>QT-MAT-1949</t>
        </is>
      </c>
      <c r="D174" s="4" t="inlineStr">
        <is>
          <t>DISJUNTORES CD APTOS (BLOCO B) TIPO 01,02,03,04</t>
        </is>
      </c>
      <c r="E174" s="6" t="n">
        <v>4</v>
      </c>
      <c r="F174" s="6" t="inlineStr">
        <is>
          <t>6452 00 000</t>
        </is>
      </c>
      <c r="G174" s="22" t="n">
        <v>96</v>
      </c>
      <c r="H174" s="6" t="inlineStr">
        <is>
          <t>uni</t>
        </is>
      </c>
      <c r="I174" s="4" t="inlineStr">
        <is>
          <t>IDR - INTERRUPTOR DIFERENCIAL RESIDUAL - TETRAPOLAR - 63A - 30MA - TIPO AC</t>
        </is>
      </c>
      <c r="J174" s="23" t="n">
        <v>560</v>
      </c>
      <c r="K174" s="23">
        <f>G174*J174</f>
        <v/>
      </c>
      <c r="L174" s="4" t="inlineStr">
        <is>
          <t>IDR tetra 63A</t>
        </is>
      </c>
    </row>
    <row r="175">
      <c r="A175" s="15" t="inlineStr">
        <is>
          <t>08º-31º Tipo (×24)</t>
        </is>
      </c>
      <c r="B175" s="27" t="inlineStr">
        <is>
          <t>B</t>
        </is>
      </c>
      <c r="C175" s="27" t="inlineStr">
        <is>
          <t>QT-MAT-1949</t>
        </is>
      </c>
      <c r="D175" s="15" t="inlineStr">
        <is>
          <t>DISJUNTORES CD APTOS (BLOCO B) TIPO 01,02,03,04</t>
        </is>
      </c>
      <c r="E175" s="27" t="n">
        <v>5</v>
      </c>
      <c r="F175" s="27" t="inlineStr">
        <is>
          <t>6450 00 000</t>
        </is>
      </c>
      <c r="G175" s="28" t="n">
        <v>96</v>
      </c>
      <c r="H175" s="27" t="inlineStr">
        <is>
          <t>uni</t>
        </is>
      </c>
      <c r="I175" s="15" t="inlineStr">
        <is>
          <t>IDR - INTERRUPTOR DIFERENCIAL RESIDUAL - TETRAPOLAR - 25A - 30MA - TIPO AC</t>
        </is>
      </c>
      <c r="J175" s="29" t="n">
        <v>50</v>
      </c>
      <c r="K175" s="29">
        <f>G175*J175</f>
        <v/>
      </c>
      <c r="L175" s="15" t="inlineStr">
        <is>
          <t>fallback</t>
        </is>
      </c>
    </row>
    <row r="176">
      <c r="A176" s="4" t="inlineStr">
        <is>
          <t>08º-31º Tipo (×24)</t>
        </is>
      </c>
      <c r="B176" s="6" t="inlineStr">
        <is>
          <t>B</t>
        </is>
      </c>
      <c r="C176" s="6" t="inlineStr">
        <is>
          <t>QT-MAT-1949</t>
        </is>
      </c>
      <c r="D176" s="4" t="inlineStr">
        <is>
          <t>DISJUNTORES CD APTOS (BLOCO B) TIPO 01,02,03,04</t>
        </is>
      </c>
      <c r="E176" s="6" t="n">
        <v>6</v>
      </c>
      <c r="F176" s="6" t="inlineStr">
        <is>
          <t>6439 00 000</t>
        </is>
      </c>
      <c r="G176" s="22" t="n">
        <v>192</v>
      </c>
      <c r="H176" s="6" t="inlineStr">
        <is>
          <t>uni</t>
        </is>
      </c>
      <c r="I176" s="4" t="inlineStr">
        <is>
          <t>IDR - INTERRUPTOR DIFERENCIAL RESIDUAL - BIPOLAR - 40A - 30MA - TIPO AC</t>
        </is>
      </c>
      <c r="J176" s="23" t="n">
        <v>240</v>
      </c>
      <c r="K176" s="23">
        <f>G176*J176</f>
        <v/>
      </c>
      <c r="L176" s="4" t="inlineStr">
        <is>
          <t>IDR bi 40A</t>
        </is>
      </c>
    </row>
    <row r="177">
      <c r="A177" s="4" t="inlineStr">
        <is>
          <t>08º-31º Tipo (×24)</t>
        </is>
      </c>
      <c r="B177" s="6" t="inlineStr">
        <is>
          <t>B</t>
        </is>
      </c>
      <c r="C177" s="6" t="inlineStr">
        <is>
          <t>QT-MAT-1949</t>
        </is>
      </c>
      <c r="D177" s="4" t="inlineStr">
        <is>
          <t>DISJUNTORES CD APTOS (BLOCO B) TIPO 01,02,03,04</t>
        </is>
      </c>
      <c r="E177" s="6" t="n">
        <v>7</v>
      </c>
      <c r="F177" s="6" t="inlineStr">
        <is>
          <t>6463 00 000</t>
        </is>
      </c>
      <c r="G177" s="22" t="n">
        <v>384</v>
      </c>
      <c r="H177" s="6" t="inlineStr">
        <is>
          <t>uni</t>
        </is>
      </c>
      <c r="I177" s="4" t="inlineStr">
        <is>
          <t>DPS - DISPOSITIVO DE PROTEÇÃO CONTRA SURTOS - MONOPOLAR - 275V - CLASSE II</t>
        </is>
      </c>
      <c r="J177" s="23" t="n">
        <v>130</v>
      </c>
      <c r="K177" s="23">
        <f>G177*J177</f>
        <v/>
      </c>
      <c r="L177" s="4" t="inlineStr">
        <is>
          <t>DPS mono 275V</t>
        </is>
      </c>
    </row>
    <row r="178">
      <c r="A178" s="4" t="inlineStr">
        <is>
          <t>08º-31º Tipo (×24)</t>
        </is>
      </c>
      <c r="B178" s="6" t="inlineStr">
        <is>
          <t>B</t>
        </is>
      </c>
      <c r="C178" s="6" t="inlineStr">
        <is>
          <t>QT-MAT-1949</t>
        </is>
      </c>
      <c r="D178" s="4" t="inlineStr">
        <is>
          <t>DISJUNTORES CD APTOS (BLOCO B) TIPO 01,02,03,04</t>
        </is>
      </c>
      <c r="E178" s="6" t="n">
        <v>8</v>
      </c>
      <c r="F178" s="6" t="inlineStr">
        <is>
          <t>2578 00 000</t>
        </is>
      </c>
      <c r="G178" s="22" t="n">
        <v>96</v>
      </c>
      <c r="H178" s="6" t="inlineStr">
        <is>
          <t>uni</t>
        </is>
      </c>
      <c r="I178" s="4" t="inlineStr">
        <is>
          <t>MINIDISJUNTOR - TRIFÁSICO - 50A - CURVA C - 3KA</t>
        </is>
      </c>
      <c r="J178" s="23" t="n">
        <v>190</v>
      </c>
      <c r="K178" s="23">
        <f>G178*J178</f>
        <v/>
      </c>
      <c r="L178" s="4" t="inlineStr">
        <is>
          <t>Mini trif 50A</t>
        </is>
      </c>
    </row>
    <row r="179">
      <c r="A179" s="24" t="inlineStr">
        <is>
          <t>Subtotal — 08º-31º Tipo (×24)</t>
        </is>
      </c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6">
        <f>SUM(K163:K178)</f>
        <v/>
      </c>
      <c r="L179" s="25" t="n"/>
    </row>
    <row r="181">
      <c r="A181" s="7" t="inlineStr">
        <is>
          <t>TOTAL DISJUNTORES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8">
        <f>K115+K126+K132+K162+K179</f>
        <v/>
      </c>
      <c r="L181" s="10" t="n"/>
    </row>
  </sheetData>
  <mergeCells count="6">
    <mergeCell ref="A115:J115"/>
    <mergeCell ref="A132:J132"/>
    <mergeCell ref="A181:J181"/>
    <mergeCell ref="A126:J126"/>
    <mergeCell ref="A162:J162"/>
    <mergeCell ref="A179:J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2026-04-14T19:36:21Z</dcterms:created>
  <dcterms:modified xmlns:dcterms="http://purl.org/dc/terms/" xmlns:xsi="http://www.w3.org/2001/XMLSchema-instance" xsi:type="dcterms:W3CDTF">2026-04-14T19:36:21Z</dcterms:modified>
</cp:coreProperties>
</file>