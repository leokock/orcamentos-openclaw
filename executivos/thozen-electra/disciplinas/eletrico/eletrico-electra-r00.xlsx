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ÉT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&quot;R$&quot;\ * #,##0.00_-;\-&quot;R$&quot;\ * #,##0.00_-;_-&quot;R$&quot;\ * &quot;-&quot;??_-;_-@_-"/>
  </numFmts>
  <fonts count="10">
    <font>
      <name val="Calibri"/>
      <family val="2"/>
      <color theme="1"/>
      <sz val="11"/>
      <scheme val="minor"/>
    </font>
    <font>
      <name val="Arial"/>
      <family val="2"/>
      <color theme="8" tint="-0.499984740745262"/>
      <sz val="10"/>
      <scheme val="minor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Arial"/>
      <family val="2"/>
      <sz val="9.5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0"/>
      <sz val="12"/>
      <scheme val="minor"/>
    </font>
    <font>
      <name val="Poppins"/>
      <b val="1"/>
      <color theme="0"/>
      <sz val="10"/>
    </font>
    <font>
      <name val="Calibri"/>
      <b val="1"/>
      <color rgb="00FFFFFF"/>
      <sz val="11"/>
    </font>
    <font>
      <name val="Arial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002F5496"/>
        <bgColor rgb="002F5496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 wrapText="1"/>
    </xf>
    <xf numFmtId="0" fontId="5" fillId="0" borderId="7" pivotButton="0" quotePrefix="0" xfId="0"/>
    <xf numFmtId="0" fontId="3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6" fillId="2" borderId="9" applyAlignment="1" pivotButton="0" quotePrefix="0" xfId="0">
      <alignment horizontal="center" vertical="center"/>
    </xf>
    <xf numFmtId="0" fontId="5" fillId="0" borderId="10" pivotButton="0" quotePrefix="0" xfId="0"/>
    <xf numFmtId="0" fontId="7" fillId="3" borderId="11" applyAlignment="1" pivotButton="0" quotePrefix="0" xfId="0">
      <alignment horizontal="center" vertical="center"/>
    </xf>
    <xf numFmtId="0" fontId="8" fillId="4" borderId="0" pivotButton="0" quotePrefix="0" xfId="0"/>
    <xf numFmtId="0" fontId="5" fillId="0" borderId="12" applyAlignment="1" pivotButton="0" quotePrefix="0" xfId="0">
      <alignment vertical="center"/>
    </xf>
    <xf numFmtId="164" fontId="5" fillId="0" borderId="12" applyAlignment="1" pivotButton="0" quotePrefix="0" xfId="0">
      <alignment vertical="center"/>
    </xf>
    <xf numFmtId="164" fontId="5" fillId="0" borderId="13" applyAlignment="1" pivotButton="0" quotePrefix="0" xfId="0">
      <alignment vertical="center"/>
    </xf>
    <xf numFmtId="164" fontId="9" fillId="0" borderId="12" applyAlignment="1" pivotButton="0" quotePrefix="0" xfId="0">
      <alignment vertical="center"/>
    </xf>
    <xf numFmtId="165" fontId="5" fillId="0" borderId="12" applyAlignment="1" pivotButton="0" quotePrefix="0" xfId="0">
      <alignment vertical="center"/>
    </xf>
    <xf numFmtId="164" fontId="5" fillId="5" borderId="1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.125" customWidth="1" min="1" max="1"/>
    <col width="21.5" customWidth="1" min="2" max="2"/>
    <col width="20.375" customWidth="1" min="3" max="3"/>
    <col width="123.875" customWidth="1" min="5" max="5"/>
    <col width="13.5" customWidth="1" min="6" max="6"/>
    <col width="16.375" customWidth="1" min="7" max="7"/>
    <col width="8.375" customWidth="1" min="8" max="8"/>
    <col width="13.25" customWidth="1" min="9" max="9"/>
    <col width="11.625" customWidth="1" min="10" max="10"/>
    <col width="13.25" customWidth="1" min="11" max="11"/>
    <col width="21.875" customWidth="1" min="12" max="12"/>
  </cols>
  <sheetData>
    <row r="1">
      <c r="A1" s="1" t="inlineStr">
        <is>
          <t>Projeto</t>
        </is>
      </c>
      <c r="B1" s="2" t="n"/>
      <c r="C1" s="3" t="n"/>
      <c r="D1" s="4" t="inlineStr">
        <is>
          <t>Electra Towers</t>
        </is>
      </c>
      <c r="E1" s="4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Empresa</t>
        </is>
      </c>
      <c r="B2" s="7" t="n"/>
      <c r="C2" s="3" t="n"/>
      <c r="D2" s="8" t="inlineStr">
        <is>
          <t>Thozen</t>
        </is>
      </c>
      <c r="E2" s="8" t="n"/>
      <c r="F2" s="4" t="n"/>
      <c r="G2" s="4" t="n"/>
      <c r="H2" s="4" t="n"/>
      <c r="I2" s="4" t="n"/>
      <c r="J2" s="4" t="n"/>
      <c r="K2" s="4" t="n"/>
      <c r="L2" s="4" t="n"/>
    </row>
    <row r="3">
      <c r="A3" s="6" t="inlineStr">
        <is>
          <t>Origem</t>
        </is>
      </c>
      <c r="B3" s="7" t="n"/>
      <c r="C3" s="3" t="n"/>
      <c r="D3" s="9" t="inlineStr">
        <is>
          <t>CTN-TZN_ELT-ELE-R00</t>
        </is>
      </c>
      <c r="E3" s="10" t="n"/>
      <c r="F3" s="4" t="n"/>
      <c r="G3" s="4" t="n"/>
      <c r="H3" s="4" t="n"/>
      <c r="I3" s="4" t="n"/>
      <c r="J3" s="4" t="n"/>
      <c r="K3" s="4" t="n"/>
      <c r="L3" s="4" t="n"/>
    </row>
    <row r="4">
      <c r="A4" s="11" t="inlineStr">
        <is>
          <t>Revisão</t>
        </is>
      </c>
      <c r="B4" s="12" t="n"/>
      <c r="C4" s="3" t="n"/>
      <c r="D4" s="4" t="inlineStr">
        <is>
          <t>R00 — IFC + DXF, separado T.A / T.B — 25/mar/2026</t>
        </is>
      </c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13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5" t="inlineStr">
        <is>
          <t>TORRE</t>
        </is>
      </c>
      <c r="B6" s="15" t="inlineStr">
        <is>
          <t>PAVIMENTO</t>
        </is>
      </c>
      <c r="C6" s="15" t="inlineStr">
        <is>
          <t>GRUPO/EAP</t>
        </is>
      </c>
      <c r="D6" s="15" t="inlineStr">
        <is>
          <t>SUBGRUPO</t>
        </is>
      </c>
      <c r="E6" s="15" t="inlineStr">
        <is>
          <t>Descrição</t>
        </is>
      </c>
      <c r="F6" s="15" t="inlineStr">
        <is>
          <t>Quantidade</t>
        </is>
      </c>
      <c r="G6" s="15" t="inlineStr">
        <is>
          <t>Repetição</t>
        </is>
      </c>
      <c r="H6" s="15" t="inlineStr">
        <is>
          <t>Perda</t>
        </is>
      </c>
      <c r="I6" s="15" t="inlineStr">
        <is>
          <t>Qte com perda</t>
        </is>
      </c>
      <c r="J6" s="15" t="inlineStr">
        <is>
          <t>Unidade</t>
        </is>
      </c>
      <c r="K6" s="15" t="inlineStr">
        <is>
          <t>Custo unitário</t>
        </is>
      </c>
      <c r="L6" s="15" t="inlineStr">
        <is>
          <t>Custo Total</t>
        </is>
      </c>
    </row>
    <row r="7">
      <c r="A7" s="16" t="inlineStr">
        <is>
          <t>EMBASAMENTO</t>
        </is>
      </c>
      <c r="B7" s="16" t="inlineStr">
        <is>
          <t>COMPARTILHADO (T.A + T.B)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</row>
    <row r="8">
      <c r="A8" s="17" t="inlineStr">
        <is>
          <t>EMBASAMENTO</t>
        </is>
      </c>
      <c r="B8" s="17" t="inlineStr">
        <is>
          <t>GERAL</t>
        </is>
      </c>
      <c r="C8" s="17" t="inlineStr">
        <is>
          <t>INST. ELETRICAS</t>
        </is>
      </c>
      <c r="D8" s="17" t="inlineStr">
        <is>
          <t>SUBESTACAO</t>
        </is>
      </c>
      <c r="E8" s="17" t="n"/>
      <c r="F8" s="18" t="n"/>
      <c r="G8" s="18" t="n"/>
      <c r="H8" s="19" t="n"/>
      <c r="I8" s="20" t="n"/>
      <c r="J8" s="18" t="n"/>
      <c r="K8" s="21" t="n"/>
      <c r="L8" s="22">
        <f>SUMIFS($L$7:$L$189,$A$7:$A$189,A8,$B$7:$B$189,B8,$D$7:$D$189,D8,$E$7:$E$189,"&lt;&gt;"&amp;"")</f>
        <v/>
      </c>
    </row>
    <row r="9">
      <c r="A9" s="17" t="inlineStr">
        <is>
          <t>EMBASAMENTO</t>
        </is>
      </c>
      <c r="B9" s="17" t="inlineStr">
        <is>
          <t>GERAL</t>
        </is>
      </c>
      <c r="C9" s="17" t="inlineStr">
        <is>
          <t>INST. ELETRICAS</t>
        </is>
      </c>
      <c r="D9" s="17" t="inlineStr">
        <is>
          <t>SUBESTACAO</t>
        </is>
      </c>
      <c r="E9" s="17" t="inlineStr">
        <is>
          <t>Transformador trifasico seco 500kVA 13.800/380-220V</t>
        </is>
      </c>
      <c r="F9" s="18" t="n">
        <v>1</v>
      </c>
      <c r="G9" s="18" t="n">
        <v>1</v>
      </c>
      <c r="H9" s="19" t="n">
        <v>0</v>
      </c>
      <c r="I9" s="20">
        <f>(F9+H9*F9)*G9</f>
        <v/>
      </c>
      <c r="J9" s="18" t="inlineStr">
        <is>
          <t>pc</t>
        </is>
      </c>
      <c r="K9" s="21" t="n">
        <v>79000</v>
      </c>
      <c r="L9" s="22">
        <f>I9*K9</f>
        <v/>
      </c>
    </row>
    <row r="10">
      <c r="A10" s="17" t="inlineStr">
        <is>
          <t>EMBASAMENTO</t>
        </is>
      </c>
      <c r="B10" s="17" t="inlineStr">
        <is>
          <t>GERAL</t>
        </is>
      </c>
      <c r="C10" s="17" t="inlineStr">
        <is>
          <t>INST. ELETRICAS</t>
        </is>
      </c>
      <c r="D10" s="17" t="inlineStr">
        <is>
          <t>SUBESTACAO</t>
        </is>
      </c>
      <c r="E10" s="17" t="inlineStr">
        <is>
          <t>Transformador trifasico seco 300kVA 13.800/380-220V</t>
        </is>
      </c>
      <c r="F10" s="18" t="n">
        <v>1</v>
      </c>
      <c r="G10" s="18" t="n">
        <v>1</v>
      </c>
      <c r="H10" s="19" t="n">
        <v>0</v>
      </c>
      <c r="I10" s="20">
        <f>(F10+H10*F10)*G10</f>
        <v/>
      </c>
      <c r="J10" s="18" t="inlineStr">
        <is>
          <t>pc</t>
        </is>
      </c>
      <c r="K10" s="21" t="n">
        <v>47000</v>
      </c>
      <c r="L10" s="22">
        <f>I10*K10</f>
        <v/>
      </c>
    </row>
    <row r="11">
      <c r="A11" s="17" t="inlineStr">
        <is>
          <t>EMBASAMENTO</t>
        </is>
      </c>
      <c r="B11" s="17" t="inlineStr">
        <is>
          <t>GERAL</t>
        </is>
      </c>
      <c r="C11" s="17" t="inlineStr">
        <is>
          <t>INST. ELETRICAS</t>
        </is>
      </c>
      <c r="D11" s="17" t="inlineStr">
        <is>
          <t>SUBESTACAO</t>
        </is>
      </c>
      <c r="E11" s="17" t="inlineStr">
        <is>
          <t>Religador trifasico 15kV padrao CELESC</t>
        </is>
      </c>
      <c r="F11" s="18" t="n">
        <v>1</v>
      </c>
      <c r="G11" s="18" t="n">
        <v>1</v>
      </c>
      <c r="H11" s="19" t="n">
        <v>0</v>
      </c>
      <c r="I11" s="20">
        <f>(F11+H11*F11)*G11</f>
        <v/>
      </c>
      <c r="J11" s="18" t="inlineStr">
        <is>
          <t>pc</t>
        </is>
      </c>
      <c r="K11" s="21" t="n">
        <v>127057</v>
      </c>
      <c r="L11" s="22">
        <f>I11*K11</f>
        <v/>
      </c>
    </row>
    <row r="12">
      <c r="A12" s="17" t="inlineStr">
        <is>
          <t>EMBASAMENTO</t>
        </is>
      </c>
      <c r="B12" s="17" t="inlineStr">
        <is>
          <t>GERAL</t>
        </is>
      </c>
      <c r="C12" s="17" t="inlineStr">
        <is>
          <t>INST. ELETRICAS</t>
        </is>
      </c>
      <c r="D12" s="17" t="inlineStr">
        <is>
          <t>SUBESTACAO</t>
        </is>
      </c>
      <c r="E12" s="17" t="inlineStr">
        <is>
          <t>Chave seccionadora tripolar 400A 15kV</t>
        </is>
      </c>
      <c r="F12" s="18" t="n">
        <v>3</v>
      </c>
      <c r="G12" s="18" t="n">
        <v>1</v>
      </c>
      <c r="H12" s="19" t="n">
        <v>0</v>
      </c>
      <c r="I12" s="20">
        <f>(F12+H12*F12)*G12</f>
        <v/>
      </c>
      <c r="J12" s="18" t="inlineStr">
        <is>
          <t>pc</t>
        </is>
      </c>
      <c r="K12" s="21" t="n">
        <v>1910</v>
      </c>
      <c r="L12" s="22">
        <f>I12*K12</f>
        <v/>
      </c>
    </row>
    <row r="13">
      <c r="A13" s="17" t="inlineStr">
        <is>
          <t>EMBASAMENTO</t>
        </is>
      </c>
      <c r="B13" s="17" t="inlineStr">
        <is>
          <t>GERAL</t>
        </is>
      </c>
      <c r="C13" s="17" t="inlineStr">
        <is>
          <t>INST. ELETRICAS</t>
        </is>
      </c>
      <c r="D13" s="17" t="inlineStr">
        <is>
          <t>SUBESTACAO</t>
        </is>
      </c>
      <c r="E13" s="17" t="inlineStr">
        <is>
          <t>Mufla unipolar contratil 15kV</t>
        </is>
      </c>
      <c r="F13" s="18" t="n">
        <v>4</v>
      </c>
      <c r="G13" s="18" t="n">
        <v>1</v>
      </c>
      <c r="H13" s="19" t="n">
        <v>0</v>
      </c>
      <c r="I13" s="20">
        <f>(F13+H13*F13)*G13</f>
        <v/>
      </c>
      <c r="J13" s="18" t="inlineStr">
        <is>
          <t>pc</t>
        </is>
      </c>
      <c r="K13" s="21" t="n">
        <v>250</v>
      </c>
      <c r="L13" s="22">
        <f>I13*K13</f>
        <v/>
      </c>
    </row>
    <row r="14">
      <c r="A14" s="17" t="inlineStr">
        <is>
          <t>EMBASAMENTO</t>
        </is>
      </c>
      <c r="B14" s="17" t="inlineStr">
        <is>
          <t>GERAL</t>
        </is>
      </c>
      <c r="C14" s="17" t="inlineStr">
        <is>
          <t>INST. ELETRICAS</t>
        </is>
      </c>
      <c r="D14" s="17" t="inlineStr">
        <is>
          <t>SUBESTACAO</t>
        </is>
      </c>
      <c r="E14" s="17" t="inlineStr">
        <is>
          <t>Conjunto TC media tensao 250/5A</t>
        </is>
      </c>
      <c r="F14" s="18" t="n">
        <v>1</v>
      </c>
      <c r="G14" s="18" t="n">
        <v>1</v>
      </c>
      <c r="H14" s="19" t="n">
        <v>0</v>
      </c>
      <c r="I14" s="20">
        <f>(F14+H14*F14)*G14</f>
        <v/>
      </c>
      <c r="J14" s="18" t="inlineStr">
        <is>
          <t>pc</t>
        </is>
      </c>
      <c r="K14" s="21" t="n">
        <v>136192</v>
      </c>
      <c r="L14" s="22">
        <f>I14*K14</f>
        <v/>
      </c>
    </row>
    <row r="15">
      <c r="A15" s="17" t="inlineStr">
        <is>
          <t>EMBASAMENTO</t>
        </is>
      </c>
      <c r="B15" s="17" t="inlineStr">
        <is>
          <t>GERAL</t>
        </is>
      </c>
      <c r="C15" s="17" t="inlineStr">
        <is>
          <t>INST. ELETRICAS</t>
        </is>
      </c>
      <c r="D15" s="17" t="inlineStr">
        <is>
          <t>SUBESTACAO</t>
        </is>
      </c>
      <c r="E15" s="17" t="inlineStr">
        <is>
          <t>Conjunto TP media tensao 13.800/115V</t>
        </is>
      </c>
      <c r="F15" s="18" t="n">
        <v>1</v>
      </c>
      <c r="G15" s="18" t="n">
        <v>1</v>
      </c>
      <c r="H15" s="19" t="n">
        <v>0</v>
      </c>
      <c r="I15" s="20">
        <f>(F15+H15*F15)*G15</f>
        <v/>
      </c>
      <c r="J15" s="18" t="inlineStr">
        <is>
          <t>pc</t>
        </is>
      </c>
      <c r="K15" s="21" t="n">
        <v>155906</v>
      </c>
      <c r="L15" s="22">
        <f>I15*K15</f>
        <v/>
      </c>
    </row>
    <row r="16">
      <c r="A16" s="17" t="inlineStr">
        <is>
          <t>EMBASAMENTO</t>
        </is>
      </c>
      <c r="B16" s="17" t="inlineStr">
        <is>
          <t>GERAL</t>
        </is>
      </c>
      <c r="C16" s="17" t="inlineStr">
        <is>
          <t>INST. ELETRICAS</t>
        </is>
      </c>
      <c r="D16" s="17" t="inlineStr">
        <is>
          <t>SUBESTACAO</t>
        </is>
      </c>
      <c r="E16" s="17" t="inlineStr">
        <is>
          <t>Cabos EPR 15kV 35mm2 (4 vias)</t>
        </is>
      </c>
      <c r="F16" s="18" t="n">
        <v>160</v>
      </c>
      <c r="G16" s="18" t="n">
        <v>1</v>
      </c>
      <c r="H16" s="19" t="n">
        <v>0</v>
      </c>
      <c r="I16" s="20">
        <f>(F16+H16*F16)*G16</f>
        <v/>
      </c>
      <c r="J16" s="18" t="inlineStr">
        <is>
          <t>m</t>
        </is>
      </c>
      <c r="K16" s="21" t="n">
        <v>56.64</v>
      </c>
      <c r="L16" s="22">
        <f>I16*K16</f>
        <v/>
      </c>
    </row>
    <row r="17">
      <c r="A17" s="17" t="inlineStr">
        <is>
          <t>EMBASAMENTO</t>
        </is>
      </c>
      <c r="B17" s="17" t="inlineStr">
        <is>
          <t>GERAL</t>
        </is>
      </c>
      <c r="C17" s="17" t="inlineStr">
        <is>
          <t>INST. ELETRICAS</t>
        </is>
      </c>
      <c r="D17" s="17" t="inlineStr">
        <is>
          <t>SUBESTACAO</t>
        </is>
      </c>
      <c r="E17" s="17" t="inlineStr">
        <is>
          <t>Vergalhao de cobre 3/8"</t>
        </is>
      </c>
      <c r="F17" s="18" t="n">
        <v>50</v>
      </c>
      <c r="G17" s="18" t="n">
        <v>1</v>
      </c>
      <c r="H17" s="19" t="n">
        <v>0</v>
      </c>
      <c r="I17" s="20">
        <f>(F17+H17*F17)*G17</f>
        <v/>
      </c>
      <c r="J17" s="18" t="inlineStr">
        <is>
          <t>m</t>
        </is>
      </c>
      <c r="K17" s="21" t="n">
        <v>127</v>
      </c>
      <c r="L17" s="22">
        <f>I17*K17</f>
        <v/>
      </c>
    </row>
    <row r="18">
      <c r="A18" s="17" t="inlineStr">
        <is>
          <t>EMBASAMENTO</t>
        </is>
      </c>
      <c r="B18" s="17" t="inlineStr">
        <is>
          <t>GERAL</t>
        </is>
      </c>
      <c r="C18" s="17" t="inlineStr">
        <is>
          <t>INST. ELETRICAS</t>
        </is>
      </c>
      <c r="D18" s="17" t="inlineStr">
        <is>
          <t>SUBESTACAO</t>
        </is>
      </c>
      <c r="E18" s="17" t="inlineStr">
        <is>
          <t>Demais componentes subestacao</t>
        </is>
      </c>
      <c r="F18" s="18" t="n">
        <v>1</v>
      </c>
      <c r="G18" s="18" t="n">
        <v>1</v>
      </c>
      <c r="H18" s="19" t="n">
        <v>0</v>
      </c>
      <c r="I18" s="20">
        <f>(F18+H18*F18)*G18</f>
        <v/>
      </c>
      <c r="J18" s="18" t="inlineStr">
        <is>
          <t>vb</t>
        </is>
      </c>
      <c r="K18" s="21" t="n">
        <v>50000</v>
      </c>
      <c r="L18" s="22">
        <f>I18*K18</f>
        <v/>
      </c>
    </row>
    <row r="19">
      <c r="A19" s="17" t="inlineStr">
        <is>
          <t>EMBASAMENTO</t>
        </is>
      </c>
      <c r="B19" s="17" t="inlineStr">
        <is>
          <t>GERAL</t>
        </is>
      </c>
      <c r="C19" s="17" t="inlineStr">
        <is>
          <t>INST. ELETRICAS</t>
        </is>
      </c>
      <c r="D19" s="17" t="inlineStr">
        <is>
          <t>GERADOR</t>
        </is>
      </c>
      <c r="E19" s="17" t="n"/>
      <c r="F19" s="18" t="n"/>
      <c r="G19" s="18" t="n"/>
      <c r="H19" s="19" t="n"/>
      <c r="I19" s="20" t="n"/>
      <c r="J19" s="18" t="n"/>
      <c r="K19" s="21" t="n"/>
      <c r="L19" s="22">
        <f>SUMIFS($L$7:$L$189,$A$7:$A$189,A19,$B$7:$B$189,B19,$D$7:$D$189,D19,$E$7:$E$189,"&lt;&gt;"&amp;"")</f>
        <v/>
      </c>
    </row>
    <row r="20">
      <c r="A20" s="17" t="inlineStr">
        <is>
          <t>EMBASAMENTO</t>
        </is>
      </c>
      <c r="B20" s="17" t="inlineStr">
        <is>
          <t>GERAL</t>
        </is>
      </c>
      <c r="C20" s="17" t="inlineStr">
        <is>
          <t>INST. ELETRICAS</t>
        </is>
      </c>
      <c r="D20" s="17" t="inlineStr">
        <is>
          <t>GERADOR</t>
        </is>
      </c>
      <c r="E20" s="17" t="inlineStr">
        <is>
          <t>Grupo gerador diesel ~500kVA (estimado)</t>
        </is>
      </c>
      <c r="F20" s="18" t="n">
        <v>1</v>
      </c>
      <c r="G20" s="18" t="n">
        <v>1</v>
      </c>
      <c r="H20" s="19" t="n">
        <v>0</v>
      </c>
      <c r="I20" s="20">
        <f>(F20+H20*F20)*G20</f>
        <v/>
      </c>
      <c r="J20" s="18" t="inlineStr">
        <is>
          <t>pc</t>
        </is>
      </c>
      <c r="K20" s="21" t="n">
        <v>350000</v>
      </c>
      <c r="L20" s="22">
        <f>I20*K20</f>
        <v/>
      </c>
    </row>
    <row r="21">
      <c r="A21" s="17" t="inlineStr">
        <is>
          <t>EMBASAMENTO</t>
        </is>
      </c>
      <c r="B21" s="17" t="inlineStr">
        <is>
          <t>GERAL</t>
        </is>
      </c>
      <c r="C21" s="17" t="inlineStr">
        <is>
          <t>INST. ELETRICAS</t>
        </is>
      </c>
      <c r="D21" s="17" t="inlineStr">
        <is>
          <t>GERADOR</t>
        </is>
      </c>
      <c r="E21" s="17" t="inlineStr">
        <is>
          <t>QTA quadro transferencia automatica</t>
        </is>
      </c>
      <c r="F21" s="18" t="n">
        <v>1</v>
      </c>
      <c r="G21" s="18" t="n">
        <v>1</v>
      </c>
      <c r="H21" s="19" t="n">
        <v>0</v>
      </c>
      <c r="I21" s="20">
        <f>(F21+H21*F21)*G21</f>
        <v/>
      </c>
      <c r="J21" s="18" t="inlineStr">
        <is>
          <t>pc</t>
        </is>
      </c>
      <c r="K21" s="21" t="n">
        <v>45000</v>
      </c>
      <c r="L21" s="22">
        <f>I21*K21</f>
        <v/>
      </c>
    </row>
    <row r="22">
      <c r="A22" s="17" t="inlineStr">
        <is>
          <t>EMBASAMENTO</t>
        </is>
      </c>
      <c r="B22" s="17" t="inlineStr">
        <is>
          <t>GERAL</t>
        </is>
      </c>
      <c r="C22" s="17" t="inlineStr">
        <is>
          <t>INST. ELETRICAS</t>
        </is>
      </c>
      <c r="D22" s="17" t="inlineStr">
        <is>
          <t>GERADOR</t>
        </is>
      </c>
      <c r="E22" s="17" t="inlineStr">
        <is>
          <t>Tanque combustivel + infraestrutura</t>
        </is>
      </c>
      <c r="F22" s="18" t="n">
        <v>1</v>
      </c>
      <c r="G22" s="18" t="n">
        <v>1</v>
      </c>
      <c r="H22" s="19" t="n">
        <v>0</v>
      </c>
      <c r="I22" s="20">
        <f>(F22+H22*F22)*G22</f>
        <v/>
      </c>
      <c r="J22" s="18" t="inlineStr">
        <is>
          <t>vb</t>
        </is>
      </c>
      <c r="K22" s="21" t="n">
        <v>55000</v>
      </c>
      <c r="L22" s="22">
        <f>I22*K22</f>
        <v/>
      </c>
    </row>
    <row r="23">
      <c r="A23" s="17" t="inlineStr">
        <is>
          <t>EMBASAMENTO</t>
        </is>
      </c>
      <c r="B23" s="17" t="inlineStr">
        <is>
          <t>GERAL</t>
        </is>
      </c>
      <c r="C23" s="17" t="inlineStr">
        <is>
          <t>INST. ELETRICAS</t>
        </is>
      </c>
      <c r="D23" s="17" t="inlineStr">
        <is>
          <t>BARRAMENTO</t>
        </is>
      </c>
      <c r="E23" s="17" t="n"/>
      <c r="F23" s="18" t="n"/>
      <c r="G23" s="18" t="n"/>
      <c r="H23" s="19" t="n"/>
      <c r="I23" s="20" t="n"/>
      <c r="J23" s="18" t="n"/>
      <c r="K23" s="21" t="n"/>
      <c r="L23" s="22">
        <f>SUMIFS($L$7:$L$189,$A$7:$A$189,A23,$B$7:$B$189,B23,$D$7:$D$189,D23,$E$7:$E$189,"&lt;&gt;"&amp;"")</f>
        <v/>
      </c>
    </row>
    <row r="24">
      <c r="A24" s="17" t="inlineStr">
        <is>
          <t>EMBASAMENTO</t>
        </is>
      </c>
      <c r="B24" s="17" t="inlineStr">
        <is>
          <t>GERAL</t>
        </is>
      </c>
      <c r="C24" s="17" t="inlineStr">
        <is>
          <t>INST. ELETRICAS</t>
        </is>
      </c>
      <c r="D24" s="17" t="inlineStr">
        <is>
          <t>BARRAMENTO</t>
        </is>
      </c>
      <c r="E24" s="17" t="inlineStr">
        <is>
          <t>Barramento blindado aluminio (~150m)</t>
        </is>
      </c>
      <c r="F24" s="18" t="n">
        <v>150</v>
      </c>
      <c r="G24" s="18" t="n">
        <v>1</v>
      </c>
      <c r="H24" s="19" t="n">
        <v>0</v>
      </c>
      <c r="I24" s="20">
        <f>(F24+H24*F24)*G24</f>
        <v/>
      </c>
      <c r="J24" s="18" t="inlineStr">
        <is>
          <t>m</t>
        </is>
      </c>
      <c r="K24" s="21" t="n">
        <v>1600</v>
      </c>
      <c r="L24" s="22">
        <f>I24*K24</f>
        <v/>
      </c>
    </row>
    <row r="25">
      <c r="A25" s="17" t="inlineStr">
        <is>
          <t>EMBASAMENTO</t>
        </is>
      </c>
      <c r="B25" s="17" t="inlineStr">
        <is>
          <t>GERAL</t>
        </is>
      </c>
      <c r="C25" s="17" t="inlineStr">
        <is>
          <t>INST. ELETRICAS</t>
        </is>
      </c>
      <c r="D25" s="17" t="inlineStr">
        <is>
          <t>BARRAMENTO</t>
        </is>
      </c>
      <c r="E25" s="17" t="inlineStr">
        <is>
          <t>Conexoes e derivacoes</t>
        </is>
      </c>
      <c r="F25" s="18" t="n">
        <v>1</v>
      </c>
      <c r="G25" s="18" t="n">
        <v>1</v>
      </c>
      <c r="H25" s="19" t="n">
        <v>0</v>
      </c>
      <c r="I25" s="20">
        <f>(F25+H25*F25)*G25</f>
        <v/>
      </c>
      <c r="J25" s="18" t="inlineStr">
        <is>
          <t>vb</t>
        </is>
      </c>
      <c r="K25" s="21" t="n">
        <v>20000</v>
      </c>
      <c r="L25" s="22">
        <f>I25*K25</f>
        <v/>
      </c>
    </row>
    <row r="26">
      <c r="A26" s="17" t="inlineStr">
        <is>
          <t>EMBASAMENTO</t>
        </is>
      </c>
      <c r="B26" s="17" t="inlineStr">
        <is>
          <t>GERAL</t>
        </is>
      </c>
      <c r="C26" s="17" t="inlineStr">
        <is>
          <t>INST. ELETRICAS</t>
        </is>
      </c>
      <c r="D26" s="17" t="inlineStr">
        <is>
          <t>ENTRADA DE ENERGIA</t>
        </is>
      </c>
      <c r="E26" s="17" t="n"/>
      <c r="F26" s="18" t="n"/>
      <c r="G26" s="18" t="n"/>
      <c r="H26" s="19" t="n"/>
      <c r="I26" s="20" t="n"/>
      <c r="J26" s="18" t="n"/>
      <c r="K26" s="21" t="n"/>
      <c r="L26" s="22">
        <f>SUMIFS($L$7:$L$189,$A$7:$A$189,A26,$B$7:$B$189,B26,$D$7:$D$189,D26,$E$7:$E$189,"&lt;&gt;"&amp;"")</f>
        <v/>
      </c>
    </row>
    <row r="27">
      <c r="A27" s="17" t="inlineStr">
        <is>
          <t>EMBASAMENTO</t>
        </is>
      </c>
      <c r="B27" s="17" t="inlineStr">
        <is>
          <t>GERAL</t>
        </is>
      </c>
      <c r="C27" s="17" t="inlineStr">
        <is>
          <t>INST. ELETRICAS</t>
        </is>
      </c>
      <c r="D27" s="17" t="inlineStr">
        <is>
          <t>ENTRADA DE ENERGIA</t>
        </is>
      </c>
      <c r="E27" s="17" t="inlineStr">
        <is>
          <t>Quadro medicao coletiva 6 med</t>
        </is>
      </c>
      <c r="F27" s="18" t="n">
        <v>1</v>
      </c>
      <c r="G27" s="18" t="n">
        <v>1</v>
      </c>
      <c r="H27" s="19" t="n">
        <v>0</v>
      </c>
      <c r="I27" s="20">
        <f>(F27+H27*F27)*G27</f>
        <v/>
      </c>
      <c r="J27" s="18" t="inlineStr">
        <is>
          <t>pc</t>
        </is>
      </c>
      <c r="K27" s="21" t="n">
        <v>1587</v>
      </c>
      <c r="L27" s="22">
        <f>I27*K27</f>
        <v/>
      </c>
    </row>
    <row r="28">
      <c r="A28" s="17" t="inlineStr">
        <is>
          <t>EMBASAMENTO</t>
        </is>
      </c>
      <c r="B28" s="17" t="inlineStr">
        <is>
          <t>GERAL</t>
        </is>
      </c>
      <c r="C28" s="17" t="inlineStr">
        <is>
          <t>INST. ELETRICAS</t>
        </is>
      </c>
      <c r="D28" s="17" t="inlineStr">
        <is>
          <t>ENTRADA DE ENERGIA</t>
        </is>
      </c>
      <c r="E28" s="17" t="inlineStr">
        <is>
          <t>Quadro medicao coletiva 4 med</t>
        </is>
      </c>
      <c r="F28" s="18" t="n">
        <v>5</v>
      </c>
      <c r="G28" s="18" t="n">
        <v>1</v>
      </c>
      <c r="H28" s="19" t="n">
        <v>0</v>
      </c>
      <c r="I28" s="20">
        <f>(F28+H28*F28)*G28</f>
        <v/>
      </c>
      <c r="J28" s="18" t="inlineStr">
        <is>
          <t>pc</t>
        </is>
      </c>
      <c r="K28" s="21" t="n">
        <v>1100</v>
      </c>
      <c r="L28" s="22">
        <f>I28*K28</f>
        <v/>
      </c>
    </row>
    <row r="29">
      <c r="A29" s="17" t="inlineStr">
        <is>
          <t>EMBASAMENTO</t>
        </is>
      </c>
      <c r="B29" s="17" t="inlineStr">
        <is>
          <t>GERAL</t>
        </is>
      </c>
      <c r="C29" s="17" t="inlineStr">
        <is>
          <t>INST. ELETRICAS</t>
        </is>
      </c>
      <c r="D29" s="17" t="inlineStr">
        <is>
          <t>ENTRADA DE ENERGIA</t>
        </is>
      </c>
      <c r="E29" s="17" t="inlineStr">
        <is>
          <t>Quadro medicao coletiva 2 med</t>
        </is>
      </c>
      <c r="F29" s="18" t="n">
        <v>11</v>
      </c>
      <c r="G29" s="18" t="n">
        <v>1</v>
      </c>
      <c r="H29" s="19" t="n">
        <v>0</v>
      </c>
      <c r="I29" s="20">
        <f>(F29+H29*F29)*G29</f>
        <v/>
      </c>
      <c r="J29" s="18" t="inlineStr">
        <is>
          <t>pc</t>
        </is>
      </c>
      <c r="K29" s="21" t="n">
        <v>920</v>
      </c>
      <c r="L29" s="22">
        <f>I29*K29</f>
        <v/>
      </c>
    </row>
    <row r="30">
      <c r="A30" s="17" t="inlineStr">
        <is>
          <t>EMBASAMENTO</t>
        </is>
      </c>
      <c r="B30" s="17" t="inlineStr">
        <is>
          <t>GERAL</t>
        </is>
      </c>
      <c r="C30" s="17" t="inlineStr">
        <is>
          <t>INST. ELETRICAS</t>
        </is>
      </c>
      <c r="D30" s="17" t="inlineStr">
        <is>
          <t>ENTRADA DE ENERGIA</t>
        </is>
      </c>
      <c r="E30" s="17" t="inlineStr">
        <is>
          <t>Cabos EPR 185mm2 alimentadores</t>
        </is>
      </c>
      <c r="F30" s="18" t="n">
        <v>120</v>
      </c>
      <c r="G30" s="18" t="n">
        <v>1</v>
      </c>
      <c r="H30" s="19" t="n">
        <v>0</v>
      </c>
      <c r="I30" s="20">
        <f>(F30+H30*F30)*G30</f>
        <v/>
      </c>
      <c r="J30" s="18" t="inlineStr">
        <is>
          <t>m</t>
        </is>
      </c>
      <c r="K30" s="21" t="n">
        <v>139.4</v>
      </c>
      <c r="L30" s="22">
        <f>I30*K30</f>
        <v/>
      </c>
    </row>
    <row r="31">
      <c r="A31" s="17" t="inlineStr">
        <is>
          <t>EMBASAMENTO</t>
        </is>
      </c>
      <c r="B31" s="17" t="inlineStr">
        <is>
          <t>GERAL</t>
        </is>
      </c>
      <c r="C31" s="17" t="inlineStr">
        <is>
          <t>INST. ELETRICAS</t>
        </is>
      </c>
      <c r="D31" s="17" t="inlineStr">
        <is>
          <t>ENTRADA DE ENERGIA</t>
        </is>
      </c>
      <c r="E31" s="17" t="inlineStr">
        <is>
          <t>Cabos EPR 120mm2 alimentadores</t>
        </is>
      </c>
      <c r="F31" s="18" t="n">
        <v>360</v>
      </c>
      <c r="G31" s="18" t="n">
        <v>1</v>
      </c>
      <c r="H31" s="19" t="n">
        <v>0</v>
      </c>
      <c r="I31" s="20">
        <f>(F31+H31*F31)*G31</f>
        <v/>
      </c>
      <c r="J31" s="18" t="inlineStr">
        <is>
          <t>m</t>
        </is>
      </c>
      <c r="K31" s="21" t="n">
        <v>92.69</v>
      </c>
      <c r="L31" s="22">
        <f>I31*K31</f>
        <v/>
      </c>
    </row>
    <row r="32">
      <c r="A32" s="17" t="inlineStr">
        <is>
          <t>EMBASAMENTO</t>
        </is>
      </c>
      <c r="B32" s="17" t="inlineStr">
        <is>
          <t>GERAL</t>
        </is>
      </c>
      <c r="C32" s="17" t="inlineStr">
        <is>
          <t>INST. ELETRICAS</t>
        </is>
      </c>
      <c r="D32" s="17" t="inlineStr">
        <is>
          <t>ENTRADA DE ENERGIA</t>
        </is>
      </c>
      <c r="E32" s="17" t="inlineStr">
        <is>
          <t>Cabos EPR 70mm2 alimentadores</t>
        </is>
      </c>
      <c r="F32" s="18" t="n">
        <v>200</v>
      </c>
      <c r="G32" s="18" t="n">
        <v>1</v>
      </c>
      <c r="H32" s="19" t="n">
        <v>0</v>
      </c>
      <c r="I32" s="20">
        <f>(F32+H32*F32)*G32</f>
        <v/>
      </c>
      <c r="J32" s="18" t="inlineStr">
        <is>
          <t>m</t>
        </is>
      </c>
      <c r="K32" s="21" t="n">
        <v>55</v>
      </c>
      <c r="L32" s="22">
        <f>I32*K32</f>
        <v/>
      </c>
    </row>
    <row r="33">
      <c r="A33" s="17" t="inlineStr">
        <is>
          <t>EMBASAMENTO</t>
        </is>
      </c>
      <c r="B33" s="17" t="inlineStr">
        <is>
          <t>GERAL</t>
        </is>
      </c>
      <c r="C33" s="17" t="inlineStr">
        <is>
          <t>INST. ELETRICAS</t>
        </is>
      </c>
      <c r="D33" s="17" t="inlineStr">
        <is>
          <t>ENTRADA DE ENERGIA</t>
        </is>
      </c>
      <c r="E33" s="17" t="inlineStr">
        <is>
          <t>Eletroduto aco galv 100mm</t>
        </is>
      </c>
      <c r="F33" s="18" t="n">
        <v>35</v>
      </c>
      <c r="G33" s="18" t="n">
        <v>1</v>
      </c>
      <c r="H33" s="19" t="n">
        <v>0</v>
      </c>
      <c r="I33" s="20">
        <f>(F33+H33*F33)*G33</f>
        <v/>
      </c>
      <c r="J33" s="18" t="inlineStr">
        <is>
          <t>m</t>
        </is>
      </c>
      <c r="K33" s="21" t="n">
        <v>58.33</v>
      </c>
      <c r="L33" s="22">
        <f>I33*K33</f>
        <v/>
      </c>
    </row>
    <row r="34">
      <c r="A34" s="17" t="inlineStr">
        <is>
          <t>EMBASAMENTO</t>
        </is>
      </c>
      <c r="B34" s="17" t="inlineStr">
        <is>
          <t>GERAL</t>
        </is>
      </c>
      <c r="C34" s="17" t="inlineStr">
        <is>
          <t>INST. ELETRICAS</t>
        </is>
      </c>
      <c r="D34" s="17" t="inlineStr">
        <is>
          <t>ENTRADA DE ENERGIA</t>
        </is>
      </c>
      <c r="E34" s="17" t="inlineStr">
        <is>
          <t>Eletroduto aco galv 50mm</t>
        </is>
      </c>
      <c r="F34" s="18" t="n">
        <v>65</v>
      </c>
      <c r="G34" s="18" t="n">
        <v>1</v>
      </c>
      <c r="H34" s="19" t="n">
        <v>0</v>
      </c>
      <c r="I34" s="20">
        <f>(F34+H34*F34)*G34</f>
        <v/>
      </c>
      <c r="J34" s="18" t="inlineStr">
        <is>
          <t>m</t>
        </is>
      </c>
      <c r="K34" s="21" t="n">
        <v>41.5</v>
      </c>
      <c r="L34" s="22">
        <f>I34*K34</f>
        <v/>
      </c>
    </row>
    <row r="35">
      <c r="A35" s="17" t="inlineStr">
        <is>
          <t>EMBASAMENTO</t>
        </is>
      </c>
      <c r="B35" s="17" t="inlineStr">
        <is>
          <t>GERAL</t>
        </is>
      </c>
      <c r="C35" s="17" t="inlineStr">
        <is>
          <t>INST. ELETRICAS</t>
        </is>
      </c>
      <c r="D35" s="17" t="inlineStr">
        <is>
          <t>ENTRADA DE ENERGIA</t>
        </is>
      </c>
      <c r="E35" s="17" t="inlineStr">
        <is>
          <t>Demais materiais entrada</t>
        </is>
      </c>
      <c r="F35" s="18" t="n">
        <v>1</v>
      </c>
      <c r="G35" s="18" t="n">
        <v>1</v>
      </c>
      <c r="H35" s="19" t="n">
        <v>0</v>
      </c>
      <c r="I35" s="20">
        <f>(F35+H35*F35)*G35</f>
        <v/>
      </c>
      <c r="J35" s="18" t="inlineStr">
        <is>
          <t>vb</t>
        </is>
      </c>
      <c r="K35" s="21" t="n">
        <v>80000</v>
      </c>
      <c r="L35" s="22">
        <f>I35*K35</f>
        <v/>
      </c>
    </row>
    <row r="36">
      <c r="A36" s="17" t="inlineStr">
        <is>
          <t>EMBASAMENTO</t>
        </is>
      </c>
      <c r="B36" s="17" t="inlineStr">
        <is>
          <t>TÉRREO</t>
        </is>
      </c>
      <c r="C36" s="17" t="inlineStr">
        <is>
          <t>INST. ELETRICAS</t>
        </is>
      </c>
      <c r="D36" s="17" t="n"/>
      <c r="E36" s="17" t="n"/>
      <c r="F36" s="18" t="n"/>
      <c r="G36" s="18" t="n"/>
      <c r="H36" s="19" t="n"/>
      <c r="I36" s="20" t="n"/>
      <c r="J36" s="18" t="n"/>
      <c r="K36" s="21" t="n"/>
      <c r="L36" s="22" t="n"/>
    </row>
    <row r="37">
      <c r="A37" s="17" t="inlineStr">
        <is>
          <t>EMBASAMENTO</t>
        </is>
      </c>
      <c r="B37" s="17" t="inlineStr">
        <is>
          <t>TÉRREO</t>
        </is>
      </c>
      <c r="C37" s="17" t="inlineStr">
        <is>
          <t>INST. ELETRICAS</t>
        </is>
      </c>
      <c r="D37" s="17" t="inlineStr">
        <is>
          <t>TOMADAS</t>
        </is>
      </c>
      <c r="E37" s="17" t="inlineStr">
        <is>
          <t>Tomada 10A (TUG) — DXF</t>
        </is>
      </c>
      <c r="F37" s="18" t="n">
        <v>80</v>
      </c>
      <c r="G37" s="18" t="n">
        <v>1</v>
      </c>
      <c r="H37" s="19" t="n">
        <v>0</v>
      </c>
      <c r="I37" s="20">
        <f>(F37+H37*F37)*G37</f>
        <v/>
      </c>
      <c r="J37" s="18" t="inlineStr">
        <is>
          <t>un</t>
        </is>
      </c>
      <c r="K37" s="21" t="n">
        <v>28.5</v>
      </c>
      <c r="L37" s="22">
        <f>I37*K37</f>
        <v/>
      </c>
    </row>
    <row r="38">
      <c r="A38" s="17" t="inlineStr">
        <is>
          <t>EMBASAMENTO</t>
        </is>
      </c>
      <c r="B38" s="17" t="inlineStr">
        <is>
          <t>TÉRREO</t>
        </is>
      </c>
      <c r="C38" s="17" t="inlineStr">
        <is>
          <t>INST. ELETRICAS</t>
        </is>
      </c>
      <c r="D38" s="17" t="inlineStr">
        <is>
          <t>QUADROS</t>
        </is>
      </c>
      <c r="E38" s="17" t="inlineStr">
        <is>
          <t>Quadro Distribuição — DXF</t>
        </is>
      </c>
      <c r="F38" s="18" t="n">
        <v>22</v>
      </c>
      <c r="G38" s="18" t="n">
        <v>1</v>
      </c>
      <c r="H38" s="19" t="n">
        <v>0</v>
      </c>
      <c r="I38" s="20">
        <f>(F38+H38*F38)*G38</f>
        <v/>
      </c>
      <c r="J38" s="18" t="inlineStr">
        <is>
          <t>un</t>
        </is>
      </c>
      <c r="K38" s="21" t="n">
        <v>450</v>
      </c>
      <c r="L38" s="22">
        <f>I38*K38</f>
        <v/>
      </c>
    </row>
    <row r="39">
      <c r="A39" s="17" t="inlineStr">
        <is>
          <t>EMBASAMENTO</t>
        </is>
      </c>
      <c r="B39" s="17" t="inlineStr">
        <is>
          <t>TÉRREO</t>
        </is>
      </c>
      <c r="C39" s="17" t="inlineStr">
        <is>
          <t>INST. ELETRICAS</t>
        </is>
      </c>
      <c r="D39" s="17" t="inlineStr">
        <is>
          <t>INTERRUPTORES</t>
        </is>
      </c>
      <c r="E39" s="17" t="inlineStr">
        <is>
          <t>Interruptor 2 Teclas — DXF</t>
        </is>
      </c>
      <c r="F39" s="18" t="n">
        <v>11</v>
      </c>
      <c r="G39" s="18" t="n">
        <v>1</v>
      </c>
      <c r="H39" s="19" t="n">
        <v>0</v>
      </c>
      <c r="I39" s="20">
        <f>(F39+H39*F39)*G39</f>
        <v/>
      </c>
      <c r="J39" s="18" t="inlineStr">
        <is>
          <t>un</t>
        </is>
      </c>
      <c r="K39" s="21" t="n">
        <v>28</v>
      </c>
      <c r="L39" s="22">
        <f>I39*K39</f>
        <v/>
      </c>
    </row>
    <row r="40">
      <c r="A40" s="17" t="inlineStr">
        <is>
          <t>EMBASAMENTO</t>
        </is>
      </c>
      <c r="B40" s="17" t="inlineStr">
        <is>
          <t>TÉRREO</t>
        </is>
      </c>
      <c r="C40" s="17" t="inlineStr">
        <is>
          <t>INST. ELETRICAS</t>
        </is>
      </c>
      <c r="D40" s="17" t="inlineStr">
        <is>
          <t>LUMINARIAS</t>
        </is>
      </c>
      <c r="E40" s="17" t="inlineStr">
        <is>
          <t>Arandela — DXF</t>
        </is>
      </c>
      <c r="F40" s="18" t="n">
        <v>8</v>
      </c>
      <c r="G40" s="18" t="n">
        <v>1</v>
      </c>
      <c r="H40" s="19" t="n">
        <v>0</v>
      </c>
      <c r="I40" s="20">
        <f>(F40+H40*F40)*G40</f>
        <v/>
      </c>
      <c r="J40" s="18" t="inlineStr">
        <is>
          <t>un</t>
        </is>
      </c>
      <c r="K40" s="21" t="n">
        <v>95</v>
      </c>
      <c r="L40" s="22">
        <f>I40*K40</f>
        <v/>
      </c>
    </row>
    <row r="41">
      <c r="A41" s="17" t="inlineStr">
        <is>
          <t>EMBASAMENTO</t>
        </is>
      </c>
      <c r="B41" s="17" t="inlineStr">
        <is>
          <t>TÉRREO</t>
        </is>
      </c>
      <c r="C41" s="17" t="inlineStr">
        <is>
          <t>INST. ELETRICAS</t>
        </is>
      </c>
      <c r="D41" s="17" t="inlineStr">
        <is>
          <t>QUADROS</t>
        </is>
      </c>
      <c r="E41" s="17" t="inlineStr">
        <is>
          <t>Quadro de Comando — DXF</t>
        </is>
      </c>
      <c r="F41" s="18" t="n">
        <v>5</v>
      </c>
      <c r="G41" s="18" t="n">
        <v>1</v>
      </c>
      <c r="H41" s="19" t="n">
        <v>0</v>
      </c>
      <c r="I41" s="20">
        <f>(F41+H41*F41)*G41</f>
        <v/>
      </c>
      <c r="J41" s="18" t="inlineStr">
        <is>
          <t>un</t>
        </is>
      </c>
      <c r="K41" s="21" t="n">
        <v>850</v>
      </c>
      <c r="L41" s="22">
        <f>I41*K41</f>
        <v/>
      </c>
    </row>
    <row r="42">
      <c r="A42" s="17" t="inlineStr">
        <is>
          <t>EMBASAMENTO</t>
        </is>
      </c>
      <c r="B42" s="17" t="inlineStr">
        <is>
          <t>TÉRREO</t>
        </is>
      </c>
      <c r="C42" s="17" t="inlineStr">
        <is>
          <t>INST. ELETRICAS</t>
        </is>
      </c>
      <c r="D42" s="17" t="inlineStr">
        <is>
          <t>INTERRUPTORES</t>
        </is>
      </c>
      <c r="E42" s="17" t="inlineStr">
        <is>
          <t>Interruptor 1 Tecla — DXF</t>
        </is>
      </c>
      <c r="F42" s="18" t="n">
        <v>4</v>
      </c>
      <c r="G42" s="18" t="n">
        <v>1</v>
      </c>
      <c r="H42" s="19" t="n">
        <v>0</v>
      </c>
      <c r="I42" s="20">
        <f>(F42+H42*F42)*G42</f>
        <v/>
      </c>
      <c r="J42" s="18" t="inlineStr">
        <is>
          <t>un</t>
        </is>
      </c>
      <c r="K42" s="21" t="n">
        <v>22</v>
      </c>
      <c r="L42" s="22">
        <f>I42*K42</f>
        <v/>
      </c>
    </row>
    <row r="43">
      <c r="A43" s="17" t="inlineStr">
        <is>
          <t>EMBASAMENTO</t>
        </is>
      </c>
      <c r="B43" s="17" t="inlineStr">
        <is>
          <t>TÉRREO</t>
        </is>
      </c>
      <c r="C43" s="17" t="inlineStr">
        <is>
          <t>INST. ELETRICAS</t>
        </is>
      </c>
      <c r="D43" s="17" t="inlineStr">
        <is>
          <t>TOMADAS</t>
        </is>
      </c>
      <c r="E43" s="17" t="inlineStr">
        <is>
          <t>Tomada 20A (TUE) — DXF</t>
        </is>
      </c>
      <c r="F43" s="18" t="n">
        <v>4</v>
      </c>
      <c r="G43" s="18" t="n">
        <v>1</v>
      </c>
      <c r="H43" s="19" t="n">
        <v>0</v>
      </c>
      <c r="I43" s="20">
        <f>(F43+H43*F43)*G43</f>
        <v/>
      </c>
      <c r="J43" s="18" t="inlineStr">
        <is>
          <t>un</t>
        </is>
      </c>
      <c r="K43" s="21" t="n">
        <v>35</v>
      </c>
      <c r="L43" s="22">
        <f>I43*K43</f>
        <v/>
      </c>
    </row>
    <row r="44">
      <c r="A44" s="17" t="inlineStr">
        <is>
          <t>EMBASAMENTO</t>
        </is>
      </c>
      <c r="B44" s="17" t="inlineStr">
        <is>
          <t>TÉRREO</t>
        </is>
      </c>
      <c r="C44" s="17" t="inlineStr">
        <is>
          <t>INST. ELETRICAS</t>
        </is>
      </c>
      <c r="D44" s="17" t="inlineStr">
        <is>
          <t>TOMADAS</t>
        </is>
      </c>
      <c r="E44" s="17" t="inlineStr">
        <is>
          <t>Tomada (Genérica) — DXF</t>
        </is>
      </c>
      <c r="F44" s="18" t="n">
        <v>2</v>
      </c>
      <c r="G44" s="18" t="n">
        <v>1</v>
      </c>
      <c r="H44" s="19" t="n">
        <v>0</v>
      </c>
      <c r="I44" s="20">
        <f>(F44+H44*F44)*G44</f>
        <v/>
      </c>
      <c r="J44" s="18" t="inlineStr">
        <is>
          <t>un</t>
        </is>
      </c>
      <c r="K44" s="21" t="n">
        <v>28.5</v>
      </c>
      <c r="L44" s="22">
        <f>I44*K44</f>
        <v/>
      </c>
    </row>
    <row r="45">
      <c r="A45" s="17" t="inlineStr">
        <is>
          <t>EMBASAMENTO</t>
        </is>
      </c>
      <c r="B45" s="17" t="inlineStr">
        <is>
          <t>TÉRREO</t>
        </is>
      </c>
      <c r="C45" s="17" t="inlineStr">
        <is>
          <t>INST. ELETRICAS</t>
        </is>
      </c>
      <c r="D45" s="17" t="inlineStr">
        <is>
          <t>DISPOSITIVOS</t>
        </is>
      </c>
      <c r="E45" s="17" t="inlineStr">
        <is>
          <t>Telemedição — DXF</t>
        </is>
      </c>
      <c r="F45" s="18" t="n">
        <v>2</v>
      </c>
      <c r="G45" s="18" t="n">
        <v>1</v>
      </c>
      <c r="H45" s="19" t="n">
        <v>0</v>
      </c>
      <c r="I45" s="20">
        <f>(F45+H45*F45)*G45</f>
        <v/>
      </c>
      <c r="J45" s="18" t="inlineStr">
        <is>
          <t>un</t>
        </is>
      </c>
      <c r="K45" s="21" t="n">
        <v>1587</v>
      </c>
      <c r="L45" s="22">
        <f>I45*K45</f>
        <v/>
      </c>
    </row>
    <row r="46">
      <c r="A46" s="17" t="inlineStr">
        <is>
          <t>EMBASAMENTO</t>
        </is>
      </c>
      <c r="B46" s="17" t="inlineStr">
        <is>
          <t>TÉRREO</t>
        </is>
      </c>
      <c r="C46" s="17" t="inlineStr">
        <is>
          <t>INST. ELETRICAS</t>
        </is>
      </c>
      <c r="D46" s="17" t="inlineStr">
        <is>
          <t>INTERRUPTORES</t>
        </is>
      </c>
      <c r="E46" s="17" t="inlineStr">
        <is>
          <t>Interruptor 3 Teclas — DXF</t>
        </is>
      </c>
      <c r="F46" s="18" t="n">
        <v>1</v>
      </c>
      <c r="G46" s="18" t="n">
        <v>1</v>
      </c>
      <c r="H46" s="19" t="n">
        <v>0</v>
      </c>
      <c r="I46" s="20">
        <f>(F46+H46*F46)*G46</f>
        <v/>
      </c>
      <c r="J46" s="18" t="inlineStr">
        <is>
          <t>un</t>
        </is>
      </c>
      <c r="K46" s="21" t="n">
        <v>34</v>
      </c>
      <c r="L46" s="22">
        <f>I46*K46</f>
        <v/>
      </c>
    </row>
    <row r="47">
      <c r="A47" s="17" t="inlineStr">
        <is>
          <t>EMBASAMENTO</t>
        </is>
      </c>
      <c r="B47" s="17" t="inlineStr">
        <is>
          <t>TÉRREO</t>
        </is>
      </c>
      <c r="C47" s="17" t="inlineStr">
        <is>
          <t>INST. ELETRICAS</t>
        </is>
      </c>
      <c r="D47" s="17" t="inlineStr">
        <is>
          <t>TOMADAS</t>
        </is>
      </c>
      <c r="E47" s="17" t="inlineStr">
        <is>
          <t>Tomada Chuveiro — DXF</t>
        </is>
      </c>
      <c r="F47" s="18" t="n">
        <v>1</v>
      </c>
      <c r="G47" s="18" t="n">
        <v>1</v>
      </c>
      <c r="H47" s="19" t="n">
        <v>0</v>
      </c>
      <c r="I47" s="20">
        <f>(F47+H47*F47)*G47</f>
        <v/>
      </c>
      <c r="J47" s="18" t="inlineStr">
        <is>
          <t>un</t>
        </is>
      </c>
      <c r="K47" s="21" t="n">
        <v>42</v>
      </c>
      <c r="L47" s="22">
        <f>I47*K47</f>
        <v/>
      </c>
    </row>
    <row r="48">
      <c r="A48" s="17" t="inlineStr">
        <is>
          <t>EMBASAMENTO</t>
        </is>
      </c>
      <c r="B48" s="17" t="inlineStr">
        <is>
          <t>TÉRREO</t>
        </is>
      </c>
      <c r="C48" s="17" t="inlineStr">
        <is>
          <t>INST. ELETRICAS</t>
        </is>
      </c>
      <c r="D48" s="17" t="inlineStr">
        <is>
          <t>LUMINARIAS</t>
        </is>
      </c>
      <c r="E48" s="17" t="inlineStr">
        <is>
          <t>Luminária (DXF) — DXF</t>
        </is>
      </c>
      <c r="F48" s="18" t="n">
        <v>1</v>
      </c>
      <c r="G48" s="18" t="n">
        <v>1</v>
      </c>
      <c r="H48" s="19" t="n">
        <v>0</v>
      </c>
      <c r="I48" s="20">
        <f>(F48+H48*F48)*G48</f>
        <v/>
      </c>
      <c r="J48" s="18" t="inlineStr">
        <is>
          <t>un</t>
        </is>
      </c>
      <c r="K48" s="21" t="n">
        <v>85</v>
      </c>
      <c r="L48" s="22">
        <f>I48*K48</f>
        <v/>
      </c>
    </row>
    <row r="49">
      <c r="A49" s="17" t="inlineStr">
        <is>
          <t>EMBASAMENTO</t>
        </is>
      </c>
      <c r="B49" s="17" t="inlineStr">
        <is>
          <t>GARAGEM 01</t>
        </is>
      </c>
      <c r="C49" s="17" t="inlineStr">
        <is>
          <t>INST. ELETRICAS</t>
        </is>
      </c>
      <c r="D49" s="17" t="n"/>
      <c r="E49" s="17" t="n"/>
      <c r="F49" s="18" t="n"/>
      <c r="G49" s="18" t="n"/>
      <c r="H49" s="19" t="n"/>
      <c r="I49" s="20" t="n"/>
      <c r="J49" s="18" t="n"/>
      <c r="K49" s="21" t="n"/>
      <c r="L49" s="22" t="n"/>
    </row>
    <row r="50">
      <c r="A50" s="17" t="inlineStr">
        <is>
          <t>EMBASAMENTO</t>
        </is>
      </c>
      <c r="B50" s="17" t="inlineStr">
        <is>
          <t>GARAGEM 01</t>
        </is>
      </c>
      <c r="C50" s="17" t="inlineStr">
        <is>
          <t>INST. ELETRICAS</t>
        </is>
      </c>
      <c r="D50" s="17" t="inlineStr">
        <is>
          <t>LUMINARIAS</t>
        </is>
      </c>
      <c r="E50" s="17" t="inlineStr">
        <is>
          <t>Ponto de iluminacao (luminaria LED) — IFC</t>
        </is>
      </c>
      <c r="F50" s="18" t="n">
        <v>77</v>
      </c>
      <c r="G50" s="18" t="n">
        <v>1</v>
      </c>
      <c r="H50" s="19" t="n">
        <v>0</v>
      </c>
      <c r="I50" s="20">
        <f>(F50+H50*F50)*G50</f>
        <v/>
      </c>
      <c r="J50" s="18" t="inlineStr">
        <is>
          <t>pt</t>
        </is>
      </c>
      <c r="K50" s="21" t="n">
        <v>85</v>
      </c>
      <c r="L50" s="22">
        <f>I50*K50</f>
        <v/>
      </c>
    </row>
    <row r="51">
      <c r="A51" s="17" t="inlineStr">
        <is>
          <t>EMBASAMENTO</t>
        </is>
      </c>
      <c r="B51" s="17" t="inlineStr">
        <is>
          <t>GARAGEM 01</t>
        </is>
      </c>
      <c r="C51" s="17" t="inlineStr">
        <is>
          <t>INST. ELETRICAS</t>
        </is>
      </c>
      <c r="D51" s="17" t="inlineStr">
        <is>
          <t>ELETRODUTOS</t>
        </is>
      </c>
      <c r="E51" s="17" t="inlineStr">
        <is>
          <t>Eletroduto PVC Corrugado 3/4" (20mm) — Iluminacao — IFC</t>
        </is>
      </c>
      <c r="F51" s="18" t="n">
        <v>604</v>
      </c>
      <c r="G51" s="18" t="n">
        <v>1</v>
      </c>
      <c r="H51" s="19" t="n">
        <v>0</v>
      </c>
      <c r="I51" s="20">
        <f>(F51+H51*F51)*G51</f>
        <v/>
      </c>
      <c r="J51" s="18" t="inlineStr">
        <is>
          <t>trecho</t>
        </is>
      </c>
      <c r="K51" s="21" t="n">
        <v>5.5</v>
      </c>
      <c r="L51" s="22">
        <f>I51*K51</f>
        <v/>
      </c>
    </row>
    <row r="52">
      <c r="A52" s="17" t="inlineStr">
        <is>
          <t>EMBASAMENTO</t>
        </is>
      </c>
      <c r="B52" s="17" t="inlineStr">
        <is>
          <t>GARAGEM 01</t>
        </is>
      </c>
      <c r="C52" s="17" t="inlineStr">
        <is>
          <t>INST. ELETRICAS</t>
        </is>
      </c>
      <c r="D52" s="17" t="inlineStr">
        <is>
          <t>ELETRODUTOS</t>
        </is>
      </c>
      <c r="E52" s="17" t="inlineStr">
        <is>
          <t>Eletroduto PVC Corrugado 1" (25mm) — Forca — IFC</t>
        </is>
      </c>
      <c r="F52" s="18" t="n">
        <v>35</v>
      </c>
      <c r="G52" s="18" t="n">
        <v>1</v>
      </c>
      <c r="H52" s="19" t="n">
        <v>0</v>
      </c>
      <c r="I52" s="20">
        <f>(F52+H52*F52)*G52</f>
        <v/>
      </c>
      <c r="J52" s="18" t="inlineStr">
        <is>
          <t>trecho</t>
        </is>
      </c>
      <c r="K52" s="21" t="n">
        <v>8.9</v>
      </c>
      <c r="L52" s="22">
        <f>I52*K52</f>
        <v/>
      </c>
    </row>
    <row r="53">
      <c r="A53" s="17" t="inlineStr">
        <is>
          <t>EMBASAMENTO</t>
        </is>
      </c>
      <c r="B53" s="17" t="inlineStr">
        <is>
          <t>GARAGEM 01</t>
        </is>
      </c>
      <c r="C53" s="17" t="inlineStr">
        <is>
          <t>INST. ELETRICAS</t>
        </is>
      </c>
      <c r="D53" s="17" t="inlineStr">
        <is>
          <t>ELETRODUTOS</t>
        </is>
      </c>
      <c r="E53" s="17" t="inlineStr">
        <is>
          <t>Eletroduto PVC Corrugado 1" (25mm) — Forca — IFC</t>
        </is>
      </c>
      <c r="F53" s="18" t="n">
        <v>295</v>
      </c>
      <c r="G53" s="18" t="n">
        <v>1</v>
      </c>
      <c r="H53" s="19" t="n">
        <v>0</v>
      </c>
      <c r="I53" s="20">
        <f>(F53+H53*F53)*G53</f>
        <v/>
      </c>
      <c r="J53" s="18" t="inlineStr">
        <is>
          <t>trecho</t>
        </is>
      </c>
      <c r="K53" s="21" t="n">
        <v>8.9</v>
      </c>
      <c r="L53" s="22">
        <f>I53*K53</f>
        <v/>
      </c>
    </row>
    <row r="54">
      <c r="A54" s="17" t="inlineStr">
        <is>
          <t>EMBASAMENTO</t>
        </is>
      </c>
      <c r="B54" s="17" t="inlineStr">
        <is>
          <t>GARAGEM 01</t>
        </is>
      </c>
      <c r="C54" s="17" t="inlineStr">
        <is>
          <t>INST. ELETRICAS</t>
        </is>
      </c>
      <c r="D54" s="17" t="inlineStr">
        <is>
          <t>ELETRODUTOS</t>
        </is>
      </c>
      <c r="E54" s="17" t="inlineStr">
        <is>
          <t>Eletroduto PVC Espiralado 1 1/4" (32mm) — Alimentadores — IFC</t>
        </is>
      </c>
      <c r="F54" s="18" t="n">
        <v>11</v>
      </c>
      <c r="G54" s="18" t="n">
        <v>1</v>
      </c>
      <c r="H54" s="19" t="n">
        <v>0</v>
      </c>
      <c r="I54" s="20">
        <f>(F54+H54*F54)*G54</f>
        <v/>
      </c>
      <c r="J54" s="18" t="inlineStr">
        <is>
          <t>trecho</t>
        </is>
      </c>
      <c r="K54" s="21" t="n">
        <v>12.5</v>
      </c>
      <c r="L54" s="22">
        <f>I54*K54</f>
        <v/>
      </c>
    </row>
    <row r="55">
      <c r="A55" s="17" t="inlineStr">
        <is>
          <t>EMBASAMENTO</t>
        </is>
      </c>
      <c r="B55" s="17" t="inlineStr">
        <is>
          <t>GARAGEM 01</t>
        </is>
      </c>
      <c r="C55" s="17" t="inlineStr">
        <is>
          <t>INST. ELETRICAS</t>
        </is>
      </c>
      <c r="D55" s="17" t="inlineStr">
        <is>
          <t>ELETRODUTOS</t>
        </is>
      </c>
      <c r="E55" s="17" t="inlineStr">
        <is>
          <t>Eletroduto PVC Espiralado 1 1/4" (32mm) — Alimentadores — IFC</t>
        </is>
      </c>
      <c r="F55" s="18" t="n">
        <v>137</v>
      </c>
      <c r="G55" s="18" t="n">
        <v>1</v>
      </c>
      <c r="H55" s="19" t="n">
        <v>0</v>
      </c>
      <c r="I55" s="20">
        <f>(F55+H55*F55)*G55</f>
        <v/>
      </c>
      <c r="J55" s="18" t="inlineStr">
        <is>
          <t>trecho</t>
        </is>
      </c>
      <c r="K55" s="21" t="n">
        <v>12.5</v>
      </c>
      <c r="L55" s="22">
        <f>I55*K55</f>
        <v/>
      </c>
    </row>
    <row r="56">
      <c r="A56" s="17" t="inlineStr">
        <is>
          <t>EMBASAMENTO</t>
        </is>
      </c>
      <c r="B56" s="17" t="inlineStr">
        <is>
          <t>GARAGEM 01</t>
        </is>
      </c>
      <c r="C56" s="17" t="inlineStr">
        <is>
          <t>INST. ELETRICAS</t>
        </is>
      </c>
      <c r="D56" s="17" t="inlineStr">
        <is>
          <t>ELETRODUTOS</t>
        </is>
      </c>
      <c r="E56" s="17" t="inlineStr">
        <is>
          <t>Eletroduto Aco galvanizado 3" (75mm) — Entrada — IFC</t>
        </is>
      </c>
      <c r="F56" s="18" t="n">
        <v>27</v>
      </c>
      <c r="G56" s="18" t="n">
        <v>1</v>
      </c>
      <c r="H56" s="19" t="n">
        <v>0</v>
      </c>
      <c r="I56" s="20">
        <f>(F56+H56*F56)*G56</f>
        <v/>
      </c>
      <c r="J56" s="18" t="inlineStr">
        <is>
          <t>trecho</t>
        </is>
      </c>
      <c r="K56" s="21" t="n">
        <v>58.33</v>
      </c>
      <c r="L56" s="22">
        <f>I56*K56</f>
        <v/>
      </c>
    </row>
    <row r="57">
      <c r="A57" s="17" t="inlineStr">
        <is>
          <t>EMBASAMENTO</t>
        </is>
      </c>
      <c r="B57" s="17" t="inlineStr">
        <is>
          <t>GARAGEM 01</t>
        </is>
      </c>
      <c r="C57" s="17" t="inlineStr">
        <is>
          <t>INST. ELETRICAS</t>
        </is>
      </c>
      <c r="D57" s="17" t="inlineStr">
        <is>
          <t>ELETRODUTOS</t>
        </is>
      </c>
      <c r="E57" s="17" t="inlineStr">
        <is>
          <t>Eletroduto Aco galvanizado 4" (100mm) — Infraestrutura — IFC</t>
        </is>
      </c>
      <c r="F57" s="18" t="n">
        <v>8</v>
      </c>
      <c r="G57" s="18" t="n">
        <v>1</v>
      </c>
      <c r="H57" s="19" t="n">
        <v>0</v>
      </c>
      <c r="I57" s="20">
        <f>(F57+H57*F57)*G57</f>
        <v/>
      </c>
      <c r="J57" s="18" t="inlineStr">
        <is>
          <t>trecho</t>
        </is>
      </c>
      <c r="K57" s="21" t="n">
        <v>85</v>
      </c>
      <c r="L57" s="22">
        <f>I57*K57</f>
        <v/>
      </c>
    </row>
    <row r="58">
      <c r="A58" s="17" t="inlineStr">
        <is>
          <t>EMBASAMENTO</t>
        </is>
      </c>
      <c r="B58" s="17" t="inlineStr">
        <is>
          <t>GARAGEM 01</t>
        </is>
      </c>
      <c r="C58" s="17" t="inlineStr">
        <is>
          <t>INST. ELETRICAS</t>
        </is>
      </c>
      <c r="D58" s="17" t="inlineStr">
        <is>
          <t>TOMADAS</t>
        </is>
      </c>
      <c r="E58" s="17" t="inlineStr">
        <is>
          <t>Tomada 10A (TUG) — DXF</t>
        </is>
      </c>
      <c r="F58" s="18" t="n">
        <v>13</v>
      </c>
      <c r="G58" s="18" t="n">
        <v>1</v>
      </c>
      <c r="H58" s="19" t="n">
        <v>0</v>
      </c>
      <c r="I58" s="20">
        <f>(F58+H58*F58)*G58</f>
        <v/>
      </c>
      <c r="J58" s="18" t="inlineStr">
        <is>
          <t>un</t>
        </is>
      </c>
      <c r="K58" s="21" t="n">
        <v>28.5</v>
      </c>
      <c r="L58" s="22">
        <f>I58*K58</f>
        <v/>
      </c>
    </row>
    <row r="59">
      <c r="A59" s="17" t="inlineStr">
        <is>
          <t>EMBASAMENTO</t>
        </is>
      </c>
      <c r="B59" s="17" t="inlineStr">
        <is>
          <t>GARAGEM 01</t>
        </is>
      </c>
      <c r="C59" s="17" t="inlineStr">
        <is>
          <t>INST. ELETRICAS</t>
        </is>
      </c>
      <c r="D59" s="17" t="inlineStr">
        <is>
          <t>TOMADAS</t>
        </is>
      </c>
      <c r="E59" s="17" t="inlineStr">
        <is>
          <t>Tomada Ar-Condicionado — DXF</t>
        </is>
      </c>
      <c r="F59" s="18" t="n">
        <v>9</v>
      </c>
      <c r="G59" s="18" t="n">
        <v>1</v>
      </c>
      <c r="H59" s="19" t="n">
        <v>0</v>
      </c>
      <c r="I59" s="20">
        <f>(F59+H59*F59)*G59</f>
        <v/>
      </c>
      <c r="J59" s="18" t="inlineStr">
        <is>
          <t>un</t>
        </is>
      </c>
      <c r="K59" s="21" t="n">
        <v>38</v>
      </c>
      <c r="L59" s="22">
        <f>I59*K59</f>
        <v/>
      </c>
    </row>
    <row r="60">
      <c r="A60" s="17" t="inlineStr">
        <is>
          <t>EMBASAMENTO</t>
        </is>
      </c>
      <c r="B60" s="17" t="inlineStr">
        <is>
          <t>GARAGEM 01</t>
        </is>
      </c>
      <c r="C60" s="17" t="inlineStr">
        <is>
          <t>INST. ELETRICAS</t>
        </is>
      </c>
      <c r="D60" s="17" t="inlineStr">
        <is>
          <t>QUADROS</t>
        </is>
      </c>
      <c r="E60" s="17" t="inlineStr">
        <is>
          <t>Quadro Distribuição — DXF</t>
        </is>
      </c>
      <c r="F60" s="18" t="n">
        <v>5</v>
      </c>
      <c r="G60" s="18" t="n">
        <v>1</v>
      </c>
      <c r="H60" s="19" t="n">
        <v>0</v>
      </c>
      <c r="I60" s="20">
        <f>(F60+H60*F60)*G60</f>
        <v/>
      </c>
      <c r="J60" s="18" t="inlineStr">
        <is>
          <t>un</t>
        </is>
      </c>
      <c r="K60" s="21" t="n">
        <v>450</v>
      </c>
      <c r="L60" s="22">
        <f>I60*K60</f>
        <v/>
      </c>
    </row>
    <row r="61">
      <c r="A61" s="17" t="inlineStr">
        <is>
          <t>EMBASAMENTO</t>
        </is>
      </c>
      <c r="B61" s="17" t="inlineStr">
        <is>
          <t>GARAGEM 01</t>
        </is>
      </c>
      <c r="C61" s="17" t="inlineStr">
        <is>
          <t>INST. ELETRICAS</t>
        </is>
      </c>
      <c r="D61" s="17" t="inlineStr">
        <is>
          <t>QUADROS</t>
        </is>
      </c>
      <c r="E61" s="17" t="inlineStr">
        <is>
          <t>Quadro de Comando — DXF</t>
        </is>
      </c>
      <c r="F61" s="18" t="n">
        <v>4</v>
      </c>
      <c r="G61" s="18" t="n">
        <v>1</v>
      </c>
      <c r="H61" s="19" t="n">
        <v>0</v>
      </c>
      <c r="I61" s="20">
        <f>(F61+H61*F61)*G61</f>
        <v/>
      </c>
      <c r="J61" s="18" t="inlineStr">
        <is>
          <t>un</t>
        </is>
      </c>
      <c r="K61" s="21" t="n">
        <v>850</v>
      </c>
      <c r="L61" s="22">
        <f>I61*K61</f>
        <v/>
      </c>
    </row>
    <row r="62">
      <c r="A62" s="17" t="inlineStr">
        <is>
          <t>EMBASAMENTO</t>
        </is>
      </c>
      <c r="B62" s="17" t="inlineStr">
        <is>
          <t>GARAGEM 01</t>
        </is>
      </c>
      <c r="C62" s="17" t="inlineStr">
        <is>
          <t>INST. ELETRICAS</t>
        </is>
      </c>
      <c r="D62" s="17" t="inlineStr">
        <is>
          <t>LUMINARIAS</t>
        </is>
      </c>
      <c r="E62" s="17" t="inlineStr">
        <is>
          <t>Luminária (DXF) — DXF</t>
        </is>
      </c>
      <c r="F62" s="18" t="n">
        <v>2</v>
      </c>
      <c r="G62" s="18" t="n">
        <v>1</v>
      </c>
      <c r="H62" s="19" t="n">
        <v>0</v>
      </c>
      <c r="I62" s="20">
        <f>(F62+H62*F62)*G62</f>
        <v/>
      </c>
      <c r="J62" s="18" t="inlineStr">
        <is>
          <t>un</t>
        </is>
      </c>
      <c r="K62" s="21" t="n">
        <v>85</v>
      </c>
      <c r="L62" s="22">
        <f>I62*K62</f>
        <v/>
      </c>
    </row>
    <row r="63">
      <c r="A63" s="17" t="inlineStr">
        <is>
          <t>EMBASAMENTO</t>
        </is>
      </c>
      <c r="B63" s="17" t="inlineStr">
        <is>
          <t>GARAGEM 01</t>
        </is>
      </c>
      <c r="C63" s="17" t="inlineStr">
        <is>
          <t>INST. ELETRICAS</t>
        </is>
      </c>
      <c r="D63" s="17" t="inlineStr">
        <is>
          <t>QUADROS</t>
        </is>
      </c>
      <c r="E63" s="17" t="inlineStr">
        <is>
          <t>Quadro de Medição — DXF</t>
        </is>
      </c>
      <c r="F63" s="18" t="n">
        <v>1</v>
      </c>
      <c r="G63" s="18" t="n">
        <v>1</v>
      </c>
      <c r="H63" s="19" t="n">
        <v>0</v>
      </c>
      <c r="I63" s="20">
        <f>(F63+H63*F63)*G63</f>
        <v/>
      </c>
      <c r="J63" s="18" t="inlineStr">
        <is>
          <t>un</t>
        </is>
      </c>
      <c r="K63" s="21" t="n">
        <v>1100</v>
      </c>
      <c r="L63" s="22">
        <f>I63*K63</f>
        <v/>
      </c>
    </row>
    <row r="64">
      <c r="A64" s="17" t="inlineStr">
        <is>
          <t>EMBASAMENTO</t>
        </is>
      </c>
      <c r="B64" s="17" t="inlineStr">
        <is>
          <t>GARAGEM 01</t>
        </is>
      </c>
      <c r="C64" s="17" t="inlineStr">
        <is>
          <t>INST. ELETRICAS</t>
        </is>
      </c>
      <c r="D64" s="17" t="inlineStr">
        <is>
          <t>INTERRUPTORES</t>
        </is>
      </c>
      <c r="E64" s="17" t="inlineStr">
        <is>
          <t>Interruptor 1 Tecla — DXF</t>
        </is>
      </c>
      <c r="F64" s="18" t="n">
        <v>1</v>
      </c>
      <c r="G64" s="18" t="n">
        <v>1</v>
      </c>
      <c r="H64" s="19" t="n">
        <v>0</v>
      </c>
      <c r="I64" s="20">
        <f>(F64+H64*F64)*G64</f>
        <v/>
      </c>
      <c r="J64" s="18" t="inlineStr">
        <is>
          <t>un</t>
        </is>
      </c>
      <c r="K64" s="21" t="n">
        <v>22</v>
      </c>
      <c r="L64" s="22">
        <f>I64*K64</f>
        <v/>
      </c>
    </row>
    <row r="65">
      <c r="A65" s="17" t="inlineStr">
        <is>
          <t>EMBASAMENTO</t>
        </is>
      </c>
      <c r="B65" s="17" t="inlineStr">
        <is>
          <t>GARAGEM 02</t>
        </is>
      </c>
      <c r="C65" s="17" t="inlineStr">
        <is>
          <t>INST. ELETRICAS</t>
        </is>
      </c>
      <c r="D65" s="17" t="n"/>
      <c r="E65" s="17" t="n"/>
      <c r="F65" s="18" t="n"/>
      <c r="G65" s="18" t="n"/>
      <c r="H65" s="19" t="n"/>
      <c r="I65" s="20" t="n"/>
      <c r="J65" s="18" t="n"/>
      <c r="K65" s="21" t="n"/>
      <c r="L65" s="22" t="n"/>
    </row>
    <row r="66">
      <c r="A66" s="17" t="inlineStr">
        <is>
          <t>EMBASAMENTO</t>
        </is>
      </c>
      <c r="B66" s="17" t="inlineStr">
        <is>
          <t>GARAGEM 02</t>
        </is>
      </c>
      <c r="C66" s="17" t="inlineStr">
        <is>
          <t>INST. ELETRICAS</t>
        </is>
      </c>
      <c r="D66" s="17" t="inlineStr">
        <is>
          <t>LUMINARIAS</t>
        </is>
      </c>
      <c r="E66" s="17" t="inlineStr">
        <is>
          <t>Ponto de iluminacao (luminaria LED) — IFC</t>
        </is>
      </c>
      <c r="F66" s="18" t="n">
        <v>80</v>
      </c>
      <c r="G66" s="18" t="n">
        <v>1</v>
      </c>
      <c r="H66" s="19" t="n">
        <v>0</v>
      </c>
      <c r="I66" s="20">
        <f>(F66+H66*F66)*G66</f>
        <v/>
      </c>
      <c r="J66" s="18" t="inlineStr">
        <is>
          <t>pt</t>
        </is>
      </c>
      <c r="K66" s="21" t="n">
        <v>85</v>
      </c>
      <c r="L66" s="22">
        <f>I66*K66</f>
        <v/>
      </c>
    </row>
    <row r="67">
      <c r="A67" s="17" t="inlineStr">
        <is>
          <t>EMBASAMENTO</t>
        </is>
      </c>
      <c r="B67" s="17" t="inlineStr">
        <is>
          <t>GARAGEM 02</t>
        </is>
      </c>
      <c r="C67" s="17" t="inlineStr">
        <is>
          <t>INST. ELETRICAS</t>
        </is>
      </c>
      <c r="D67" s="17" t="inlineStr">
        <is>
          <t>ELETRODUTOS</t>
        </is>
      </c>
      <c r="E67" s="17" t="inlineStr">
        <is>
          <t>Eletroduto PVC Corrugado 3/4" (20mm) — Iluminacao — IFC</t>
        </is>
      </c>
      <c r="F67" s="18" t="n">
        <v>698</v>
      </c>
      <c r="G67" s="18" t="n">
        <v>1</v>
      </c>
      <c r="H67" s="19" t="n">
        <v>0</v>
      </c>
      <c r="I67" s="20">
        <f>(F67+H67*F67)*G67</f>
        <v/>
      </c>
      <c r="J67" s="18" t="inlineStr">
        <is>
          <t>trecho</t>
        </is>
      </c>
      <c r="K67" s="21" t="n">
        <v>5.5</v>
      </c>
      <c r="L67" s="22">
        <f>I67*K67</f>
        <v/>
      </c>
    </row>
    <row r="68">
      <c r="A68" s="17" t="inlineStr">
        <is>
          <t>EMBASAMENTO</t>
        </is>
      </c>
      <c r="B68" s="17" t="inlineStr">
        <is>
          <t>GARAGEM 02</t>
        </is>
      </c>
      <c r="C68" s="17" t="inlineStr">
        <is>
          <t>INST. ELETRICAS</t>
        </is>
      </c>
      <c r="D68" s="17" t="inlineStr">
        <is>
          <t>ELETRODUTOS</t>
        </is>
      </c>
      <c r="E68" s="17" t="inlineStr">
        <is>
          <t>Eletroduto PVC Corrugado 1" (25mm) — Forca — IFC</t>
        </is>
      </c>
      <c r="F68" s="18" t="n">
        <v>1</v>
      </c>
      <c r="G68" s="18" t="n">
        <v>1</v>
      </c>
      <c r="H68" s="19" t="n">
        <v>0</v>
      </c>
      <c r="I68" s="20">
        <f>(F68+H68*F68)*G68</f>
        <v/>
      </c>
      <c r="J68" s="18" t="inlineStr">
        <is>
          <t>trecho</t>
        </is>
      </c>
      <c r="K68" s="21" t="n">
        <v>8.9</v>
      </c>
      <c r="L68" s="22">
        <f>I68*K68</f>
        <v/>
      </c>
    </row>
    <row r="69">
      <c r="A69" s="17" t="inlineStr">
        <is>
          <t>EMBASAMENTO</t>
        </is>
      </c>
      <c r="B69" s="17" t="inlineStr">
        <is>
          <t>GARAGEM 02</t>
        </is>
      </c>
      <c r="C69" s="17" t="inlineStr">
        <is>
          <t>INST. ELETRICAS</t>
        </is>
      </c>
      <c r="D69" s="17" t="inlineStr">
        <is>
          <t>ELETRODUTOS</t>
        </is>
      </c>
      <c r="E69" s="17" t="inlineStr">
        <is>
          <t>Eletroduto PVC Corrugado 1" (25mm) — Forca — IFC</t>
        </is>
      </c>
      <c r="F69" s="18" t="n">
        <v>196</v>
      </c>
      <c r="G69" s="18" t="n">
        <v>1</v>
      </c>
      <c r="H69" s="19" t="n">
        <v>0</v>
      </c>
      <c r="I69" s="20">
        <f>(F69+H69*F69)*G69</f>
        <v/>
      </c>
      <c r="J69" s="18" t="inlineStr">
        <is>
          <t>trecho</t>
        </is>
      </c>
      <c r="K69" s="21" t="n">
        <v>8.9</v>
      </c>
      <c r="L69" s="22">
        <f>I69*K69</f>
        <v/>
      </c>
    </row>
    <row r="70">
      <c r="A70" s="17" t="inlineStr">
        <is>
          <t>EMBASAMENTO</t>
        </is>
      </c>
      <c r="B70" s="17" t="inlineStr">
        <is>
          <t>GARAGEM 02</t>
        </is>
      </c>
      <c r="C70" s="17" t="inlineStr">
        <is>
          <t>INST. ELETRICAS</t>
        </is>
      </c>
      <c r="D70" s="17" t="inlineStr">
        <is>
          <t>ELETRODUTOS</t>
        </is>
      </c>
      <c r="E70" s="17" t="inlineStr">
        <is>
          <t>Eletroduto PVC Espiralado 1 1/4" (32mm) — Alimentadores — IFC</t>
        </is>
      </c>
      <c r="F70" s="18" t="n">
        <v>5</v>
      </c>
      <c r="G70" s="18" t="n">
        <v>1</v>
      </c>
      <c r="H70" s="19" t="n">
        <v>0</v>
      </c>
      <c r="I70" s="20">
        <f>(F70+H70*F70)*G70</f>
        <v/>
      </c>
      <c r="J70" s="18" t="inlineStr">
        <is>
          <t>trecho</t>
        </is>
      </c>
      <c r="K70" s="21" t="n">
        <v>12.5</v>
      </c>
      <c r="L70" s="22">
        <f>I70*K70</f>
        <v/>
      </c>
    </row>
    <row r="71">
      <c r="A71" s="17" t="inlineStr">
        <is>
          <t>EMBASAMENTO</t>
        </is>
      </c>
      <c r="B71" s="17" t="inlineStr">
        <is>
          <t>GARAGEM 02</t>
        </is>
      </c>
      <c r="C71" s="17" t="inlineStr">
        <is>
          <t>INST. ELETRICAS</t>
        </is>
      </c>
      <c r="D71" s="17" t="inlineStr">
        <is>
          <t>TOMADAS</t>
        </is>
      </c>
      <c r="E71" s="17" t="inlineStr">
        <is>
          <t>Tomada 10A (TUG) — DXF</t>
        </is>
      </c>
      <c r="F71" s="18" t="n">
        <v>14</v>
      </c>
      <c r="G71" s="18" t="n">
        <v>1</v>
      </c>
      <c r="H71" s="19" t="n">
        <v>0</v>
      </c>
      <c r="I71" s="20">
        <f>(F71+H71*F71)*G71</f>
        <v/>
      </c>
      <c r="J71" s="18" t="inlineStr">
        <is>
          <t>un</t>
        </is>
      </c>
      <c r="K71" s="21" t="n">
        <v>28.5</v>
      </c>
      <c r="L71" s="22">
        <f>I71*K71</f>
        <v/>
      </c>
    </row>
    <row r="72">
      <c r="A72" s="17" t="inlineStr">
        <is>
          <t>EMBASAMENTO</t>
        </is>
      </c>
      <c r="B72" s="17" t="inlineStr">
        <is>
          <t>GARAGEM 02</t>
        </is>
      </c>
      <c r="C72" s="17" t="inlineStr">
        <is>
          <t>INST. ELETRICAS</t>
        </is>
      </c>
      <c r="D72" s="17" t="inlineStr">
        <is>
          <t>QUADROS</t>
        </is>
      </c>
      <c r="E72" s="17" t="inlineStr">
        <is>
          <t>Quadro de Comando — DXF</t>
        </is>
      </c>
      <c r="F72" s="18" t="n">
        <v>6</v>
      </c>
      <c r="G72" s="18" t="n">
        <v>1</v>
      </c>
      <c r="H72" s="19" t="n">
        <v>0</v>
      </c>
      <c r="I72" s="20">
        <f>(F72+H72*F72)*G72</f>
        <v/>
      </c>
      <c r="J72" s="18" t="inlineStr">
        <is>
          <t>un</t>
        </is>
      </c>
      <c r="K72" s="21" t="n">
        <v>850</v>
      </c>
      <c r="L72" s="22">
        <f>I72*K72</f>
        <v/>
      </c>
    </row>
    <row r="73">
      <c r="A73" s="17" t="inlineStr">
        <is>
          <t>EMBASAMENTO</t>
        </is>
      </c>
      <c r="B73" s="17" t="inlineStr">
        <is>
          <t>GARAGEM 02</t>
        </is>
      </c>
      <c r="C73" s="17" t="inlineStr">
        <is>
          <t>INST. ELETRICAS</t>
        </is>
      </c>
      <c r="D73" s="17" t="inlineStr">
        <is>
          <t>QUADROS</t>
        </is>
      </c>
      <c r="E73" s="17" t="inlineStr">
        <is>
          <t>Quadro Distribuição — DXF</t>
        </is>
      </c>
      <c r="F73" s="18" t="n">
        <v>4</v>
      </c>
      <c r="G73" s="18" t="n">
        <v>1</v>
      </c>
      <c r="H73" s="19" t="n">
        <v>0</v>
      </c>
      <c r="I73" s="20">
        <f>(F73+H73*F73)*G73</f>
        <v/>
      </c>
      <c r="J73" s="18" t="inlineStr">
        <is>
          <t>un</t>
        </is>
      </c>
      <c r="K73" s="21" t="n">
        <v>450</v>
      </c>
      <c r="L73" s="22">
        <f>I73*K73</f>
        <v/>
      </c>
    </row>
    <row r="74">
      <c r="A74" s="17" t="inlineStr">
        <is>
          <t>EMBASAMENTO</t>
        </is>
      </c>
      <c r="B74" s="17" t="inlineStr">
        <is>
          <t>GARAGEM 02</t>
        </is>
      </c>
      <c r="C74" s="17" t="inlineStr">
        <is>
          <t>INST. ELETRICAS</t>
        </is>
      </c>
      <c r="D74" s="17" t="inlineStr">
        <is>
          <t>LUMINARIAS</t>
        </is>
      </c>
      <c r="E74" s="17" t="inlineStr">
        <is>
          <t>Luminária (DXF) — DXF</t>
        </is>
      </c>
      <c r="F74" s="18" t="n">
        <v>2</v>
      </c>
      <c r="G74" s="18" t="n">
        <v>1</v>
      </c>
      <c r="H74" s="19" t="n">
        <v>0</v>
      </c>
      <c r="I74" s="20">
        <f>(F74+H74*F74)*G74</f>
        <v/>
      </c>
      <c r="J74" s="18" t="inlineStr">
        <is>
          <t>un</t>
        </is>
      </c>
      <c r="K74" s="21" t="n">
        <v>85</v>
      </c>
      <c r="L74" s="22">
        <f>I74*K74</f>
        <v/>
      </c>
    </row>
    <row r="75">
      <c r="A75" s="17" t="inlineStr">
        <is>
          <t>EMBASAMENTO</t>
        </is>
      </c>
      <c r="B75" s="17" t="inlineStr">
        <is>
          <t>GARAGEM 03</t>
        </is>
      </c>
      <c r="C75" s="17" t="inlineStr">
        <is>
          <t>INST. ELETRICAS</t>
        </is>
      </c>
      <c r="D75" s="17" t="n"/>
      <c r="E75" s="17" t="n"/>
      <c r="F75" s="18" t="n"/>
      <c r="G75" s="18" t="n"/>
      <c r="H75" s="19" t="n"/>
      <c r="I75" s="20" t="n"/>
      <c r="J75" s="18" t="n"/>
      <c r="K75" s="21" t="n"/>
      <c r="L75" s="22" t="n"/>
    </row>
    <row r="76">
      <c r="A76" s="17" t="inlineStr">
        <is>
          <t>EMBASAMENTO</t>
        </is>
      </c>
      <c r="B76" s="17" t="inlineStr">
        <is>
          <t>GARAGEM 03</t>
        </is>
      </c>
      <c r="C76" s="17" t="inlineStr">
        <is>
          <t>INST. ELETRICAS</t>
        </is>
      </c>
      <c r="D76" s="17" t="inlineStr">
        <is>
          <t>LUMINARIAS</t>
        </is>
      </c>
      <c r="E76" s="17" t="inlineStr">
        <is>
          <t>Ponto de iluminacao (luminaria LED) — IFC</t>
        </is>
      </c>
      <c r="F76" s="18" t="n">
        <v>80</v>
      </c>
      <c r="G76" s="18" t="n">
        <v>1</v>
      </c>
      <c r="H76" s="19" t="n">
        <v>0</v>
      </c>
      <c r="I76" s="20">
        <f>(F76+H76*F76)*G76</f>
        <v/>
      </c>
      <c r="J76" s="18" t="inlineStr">
        <is>
          <t>pt</t>
        </is>
      </c>
      <c r="K76" s="21" t="n">
        <v>85</v>
      </c>
      <c r="L76" s="22">
        <f>I76*K76</f>
        <v/>
      </c>
    </row>
    <row r="77">
      <c r="A77" s="17" t="inlineStr">
        <is>
          <t>EMBASAMENTO</t>
        </is>
      </c>
      <c r="B77" s="17" t="inlineStr">
        <is>
          <t>GARAGEM 03</t>
        </is>
      </c>
      <c r="C77" s="17" t="inlineStr">
        <is>
          <t>INST. ELETRICAS</t>
        </is>
      </c>
      <c r="D77" s="17" t="inlineStr">
        <is>
          <t>ELETRODUTOS</t>
        </is>
      </c>
      <c r="E77" s="17" t="inlineStr">
        <is>
          <t>Eletroduto PVC Corrugado 3/4" (20mm) — Iluminacao — IFC</t>
        </is>
      </c>
      <c r="F77" s="18" t="n">
        <v>539</v>
      </c>
      <c r="G77" s="18" t="n">
        <v>1</v>
      </c>
      <c r="H77" s="19" t="n">
        <v>0</v>
      </c>
      <c r="I77" s="20">
        <f>(F77+H77*F77)*G77</f>
        <v/>
      </c>
      <c r="J77" s="18" t="inlineStr">
        <is>
          <t>trecho</t>
        </is>
      </c>
      <c r="K77" s="21" t="n">
        <v>5.5</v>
      </c>
      <c r="L77" s="22">
        <f>I77*K77</f>
        <v/>
      </c>
    </row>
    <row r="78">
      <c r="A78" s="17" t="inlineStr">
        <is>
          <t>EMBASAMENTO</t>
        </is>
      </c>
      <c r="B78" s="17" t="inlineStr">
        <is>
          <t>GARAGEM 03</t>
        </is>
      </c>
      <c r="C78" s="17" t="inlineStr">
        <is>
          <t>INST. ELETRICAS</t>
        </is>
      </c>
      <c r="D78" s="17" t="inlineStr">
        <is>
          <t>ELETRODUTOS</t>
        </is>
      </c>
      <c r="E78" s="17" t="inlineStr">
        <is>
          <t>Eletroduto PVC Corrugado 1" (25mm) — Forca — IFC</t>
        </is>
      </c>
      <c r="F78" s="18" t="n">
        <v>1</v>
      </c>
      <c r="G78" s="18" t="n">
        <v>1</v>
      </c>
      <c r="H78" s="19" t="n">
        <v>0</v>
      </c>
      <c r="I78" s="20">
        <f>(F78+H78*F78)*G78</f>
        <v/>
      </c>
      <c r="J78" s="18" t="inlineStr">
        <is>
          <t>trecho</t>
        </is>
      </c>
      <c r="K78" s="21" t="n">
        <v>8.9</v>
      </c>
      <c r="L78" s="22">
        <f>I78*K78</f>
        <v/>
      </c>
    </row>
    <row r="79">
      <c r="A79" s="17" t="inlineStr">
        <is>
          <t>EMBASAMENTO</t>
        </is>
      </c>
      <c r="B79" s="17" t="inlineStr">
        <is>
          <t>GARAGEM 03</t>
        </is>
      </c>
      <c r="C79" s="17" t="inlineStr">
        <is>
          <t>INST. ELETRICAS</t>
        </is>
      </c>
      <c r="D79" s="17" t="inlineStr">
        <is>
          <t>ELETRODUTOS</t>
        </is>
      </c>
      <c r="E79" s="17" t="inlineStr">
        <is>
          <t>Eletroduto PVC Corrugado 1" (25mm) — Forca — IFC</t>
        </is>
      </c>
      <c r="F79" s="18" t="n">
        <v>196</v>
      </c>
      <c r="G79" s="18" t="n">
        <v>1</v>
      </c>
      <c r="H79" s="19" t="n">
        <v>0</v>
      </c>
      <c r="I79" s="20">
        <f>(F79+H79*F79)*G79</f>
        <v/>
      </c>
      <c r="J79" s="18" t="inlineStr">
        <is>
          <t>trecho</t>
        </is>
      </c>
      <c r="K79" s="21" t="n">
        <v>8.9</v>
      </c>
      <c r="L79" s="22">
        <f>I79*K79</f>
        <v/>
      </c>
    </row>
    <row r="80">
      <c r="A80" s="17" t="inlineStr">
        <is>
          <t>EMBASAMENTO</t>
        </is>
      </c>
      <c r="B80" s="17" t="inlineStr">
        <is>
          <t>GARAGEM 03</t>
        </is>
      </c>
      <c r="C80" s="17" t="inlineStr">
        <is>
          <t>INST. ELETRICAS</t>
        </is>
      </c>
      <c r="D80" s="17" t="inlineStr">
        <is>
          <t>ELETRODUTOS</t>
        </is>
      </c>
      <c r="E80" s="17" t="inlineStr">
        <is>
          <t>Eletroduto PVC Espiralado 1 1/4" (32mm) — Alimentadores — IFC</t>
        </is>
      </c>
      <c r="F80" s="18" t="n">
        <v>5</v>
      </c>
      <c r="G80" s="18" t="n">
        <v>1</v>
      </c>
      <c r="H80" s="19" t="n">
        <v>0</v>
      </c>
      <c r="I80" s="20">
        <f>(F80+H80*F80)*G80</f>
        <v/>
      </c>
      <c r="J80" s="18" t="inlineStr">
        <is>
          <t>trecho</t>
        </is>
      </c>
      <c r="K80" s="21" t="n">
        <v>12.5</v>
      </c>
      <c r="L80" s="22">
        <f>I80*K80</f>
        <v/>
      </c>
    </row>
    <row r="81">
      <c r="A81" s="17" t="inlineStr">
        <is>
          <t>EMBASAMENTO</t>
        </is>
      </c>
      <c r="B81" s="17" t="inlineStr">
        <is>
          <t>GARAGEM 03</t>
        </is>
      </c>
      <c r="C81" s="17" t="inlineStr">
        <is>
          <t>INST. ELETRICAS</t>
        </is>
      </c>
      <c r="D81" s="17" t="inlineStr">
        <is>
          <t>TOMADAS</t>
        </is>
      </c>
      <c r="E81" s="17" t="inlineStr">
        <is>
          <t>Tomada 10A (TUG) — DXF</t>
        </is>
      </c>
      <c r="F81" s="18" t="n">
        <v>14</v>
      </c>
      <c r="G81" s="18" t="n">
        <v>1</v>
      </c>
      <c r="H81" s="19" t="n">
        <v>0</v>
      </c>
      <c r="I81" s="20">
        <f>(F81+H81*F81)*G81</f>
        <v/>
      </c>
      <c r="J81" s="18" t="inlineStr">
        <is>
          <t>un</t>
        </is>
      </c>
      <c r="K81" s="21" t="n">
        <v>28.5</v>
      </c>
      <c r="L81" s="22">
        <f>I81*K81</f>
        <v/>
      </c>
    </row>
    <row r="82">
      <c r="A82" s="17" t="inlineStr">
        <is>
          <t>EMBASAMENTO</t>
        </is>
      </c>
      <c r="B82" s="17" t="inlineStr">
        <is>
          <t>GARAGEM 03</t>
        </is>
      </c>
      <c r="C82" s="17" t="inlineStr">
        <is>
          <t>INST. ELETRICAS</t>
        </is>
      </c>
      <c r="D82" s="17" t="inlineStr">
        <is>
          <t>QUADROS</t>
        </is>
      </c>
      <c r="E82" s="17" t="inlineStr">
        <is>
          <t>Quadro Distribuição — DXF</t>
        </is>
      </c>
      <c r="F82" s="18" t="n">
        <v>4</v>
      </c>
      <c r="G82" s="18" t="n">
        <v>1</v>
      </c>
      <c r="H82" s="19" t="n">
        <v>0</v>
      </c>
      <c r="I82" s="20">
        <f>(F82+H82*F82)*G82</f>
        <v/>
      </c>
      <c r="J82" s="18" t="inlineStr">
        <is>
          <t>un</t>
        </is>
      </c>
      <c r="K82" s="21" t="n">
        <v>450</v>
      </c>
      <c r="L82" s="22">
        <f>I82*K82</f>
        <v/>
      </c>
    </row>
    <row r="83">
      <c r="A83" s="17" t="inlineStr">
        <is>
          <t>EMBASAMENTO</t>
        </is>
      </c>
      <c r="B83" s="17" t="inlineStr">
        <is>
          <t>GARAGEM 03</t>
        </is>
      </c>
      <c r="C83" s="17" t="inlineStr">
        <is>
          <t>INST. ELETRICAS</t>
        </is>
      </c>
      <c r="D83" s="17" t="inlineStr">
        <is>
          <t>QUADROS</t>
        </is>
      </c>
      <c r="E83" s="17" t="inlineStr">
        <is>
          <t>Quadro de Comando — DXF</t>
        </is>
      </c>
      <c r="F83" s="18" t="n">
        <v>2</v>
      </c>
      <c r="G83" s="18" t="n">
        <v>1</v>
      </c>
      <c r="H83" s="19" t="n">
        <v>0</v>
      </c>
      <c r="I83" s="20">
        <f>(F83+H83*F83)*G83</f>
        <v/>
      </c>
      <c r="J83" s="18" t="inlineStr">
        <is>
          <t>un</t>
        </is>
      </c>
      <c r="K83" s="21" t="n">
        <v>850</v>
      </c>
      <c r="L83" s="22">
        <f>I83*K83</f>
        <v/>
      </c>
    </row>
    <row r="84">
      <c r="A84" s="17" t="inlineStr">
        <is>
          <t>EMBASAMENTO</t>
        </is>
      </c>
      <c r="B84" s="17" t="inlineStr">
        <is>
          <t>GARAGEM 03</t>
        </is>
      </c>
      <c r="C84" s="17" t="inlineStr">
        <is>
          <t>INST. ELETRICAS</t>
        </is>
      </c>
      <c r="D84" s="17" t="inlineStr">
        <is>
          <t>LUMINARIAS</t>
        </is>
      </c>
      <c r="E84" s="17" t="inlineStr">
        <is>
          <t>Luminária (DXF) — DXF</t>
        </is>
      </c>
      <c r="F84" s="18" t="n">
        <v>2</v>
      </c>
      <c r="G84" s="18" t="n">
        <v>1</v>
      </c>
      <c r="H84" s="19" t="n">
        <v>0</v>
      </c>
      <c r="I84" s="20">
        <f>(F84+H84*F84)*G84</f>
        <v/>
      </c>
      <c r="J84" s="18" t="inlineStr">
        <is>
          <t>un</t>
        </is>
      </c>
      <c r="K84" s="21" t="n">
        <v>85</v>
      </c>
      <c r="L84" s="22">
        <f>I84*K84</f>
        <v/>
      </c>
    </row>
    <row r="85">
      <c r="A85" s="17" t="inlineStr">
        <is>
          <t>EMBASAMENTO</t>
        </is>
      </c>
      <c r="B85" s="17" t="inlineStr">
        <is>
          <t>GARAGEM 04</t>
        </is>
      </c>
      <c r="C85" s="17" t="inlineStr">
        <is>
          <t>INST. ELETRICAS</t>
        </is>
      </c>
      <c r="D85" s="17" t="n"/>
      <c r="E85" s="17" t="n"/>
      <c r="F85" s="18" t="n"/>
      <c r="G85" s="18" t="n"/>
      <c r="H85" s="19" t="n"/>
      <c r="I85" s="20" t="n"/>
      <c r="J85" s="18" t="n"/>
      <c r="K85" s="21" t="n"/>
      <c r="L85" s="22" t="n"/>
    </row>
    <row r="86">
      <c r="A86" s="17" t="inlineStr">
        <is>
          <t>EMBASAMENTO</t>
        </is>
      </c>
      <c r="B86" s="17" t="inlineStr">
        <is>
          <t>GARAGEM 04</t>
        </is>
      </c>
      <c r="C86" s="17" t="inlineStr">
        <is>
          <t>INST. ELETRICAS</t>
        </is>
      </c>
      <c r="D86" s="17" t="inlineStr">
        <is>
          <t>LUMINARIAS</t>
        </is>
      </c>
      <c r="E86" s="17" t="inlineStr">
        <is>
          <t>Ponto de iluminacao (luminaria LED) — IFC</t>
        </is>
      </c>
      <c r="F86" s="18" t="n">
        <v>78</v>
      </c>
      <c r="G86" s="18" t="n">
        <v>1</v>
      </c>
      <c r="H86" s="19" t="n">
        <v>0</v>
      </c>
      <c r="I86" s="20">
        <f>(F86+H86*F86)*G86</f>
        <v/>
      </c>
      <c r="J86" s="18" t="inlineStr">
        <is>
          <t>pt</t>
        </is>
      </c>
      <c r="K86" s="21" t="n">
        <v>85</v>
      </c>
      <c r="L86" s="22">
        <f>I86*K86</f>
        <v/>
      </c>
    </row>
    <row r="87">
      <c r="A87" s="17" t="inlineStr">
        <is>
          <t>EMBASAMENTO</t>
        </is>
      </c>
      <c r="B87" s="17" t="inlineStr">
        <is>
          <t>GARAGEM 04</t>
        </is>
      </c>
      <c r="C87" s="17" t="inlineStr">
        <is>
          <t>INST. ELETRICAS</t>
        </is>
      </c>
      <c r="D87" s="17" t="inlineStr">
        <is>
          <t>ELETRODUTOS</t>
        </is>
      </c>
      <c r="E87" s="17" t="inlineStr">
        <is>
          <t>Eletroduto PVC Corrugado 3/4" (20mm) — Iluminacao — IFC</t>
        </is>
      </c>
      <c r="F87" s="18" t="n">
        <v>745</v>
      </c>
      <c r="G87" s="18" t="n">
        <v>1</v>
      </c>
      <c r="H87" s="19" t="n">
        <v>0</v>
      </c>
      <c r="I87" s="20">
        <f>(F87+H87*F87)*G87</f>
        <v/>
      </c>
      <c r="J87" s="18" t="inlineStr">
        <is>
          <t>trecho</t>
        </is>
      </c>
      <c r="K87" s="21" t="n">
        <v>5.5</v>
      </c>
      <c r="L87" s="22">
        <f>I87*K87</f>
        <v/>
      </c>
    </row>
    <row r="88">
      <c r="A88" s="17" t="inlineStr">
        <is>
          <t>EMBASAMENTO</t>
        </is>
      </c>
      <c r="B88" s="17" t="inlineStr">
        <is>
          <t>GARAGEM 04</t>
        </is>
      </c>
      <c r="C88" s="17" t="inlineStr">
        <is>
          <t>INST. ELETRICAS</t>
        </is>
      </c>
      <c r="D88" s="17" t="inlineStr">
        <is>
          <t>ELETRODUTOS</t>
        </is>
      </c>
      <c r="E88" s="17" t="inlineStr">
        <is>
          <t>Eletroduto PVC Corrugado 1" (25mm) — Forca — IFC</t>
        </is>
      </c>
      <c r="F88" s="18" t="n">
        <v>1</v>
      </c>
      <c r="G88" s="18" t="n">
        <v>1</v>
      </c>
      <c r="H88" s="19" t="n">
        <v>0</v>
      </c>
      <c r="I88" s="20">
        <f>(F88+H88*F88)*G88</f>
        <v/>
      </c>
      <c r="J88" s="18" t="inlineStr">
        <is>
          <t>trecho</t>
        </is>
      </c>
      <c r="K88" s="21" t="n">
        <v>8.9</v>
      </c>
      <c r="L88" s="22">
        <f>I88*K88</f>
        <v/>
      </c>
    </row>
    <row r="89">
      <c r="A89" s="17" t="inlineStr">
        <is>
          <t>EMBASAMENTO</t>
        </is>
      </c>
      <c r="B89" s="17" t="inlineStr">
        <is>
          <t>GARAGEM 04</t>
        </is>
      </c>
      <c r="C89" s="17" t="inlineStr">
        <is>
          <t>INST. ELETRICAS</t>
        </is>
      </c>
      <c r="D89" s="17" t="inlineStr">
        <is>
          <t>ELETRODUTOS</t>
        </is>
      </c>
      <c r="E89" s="17" t="inlineStr">
        <is>
          <t>Eletroduto PVC Corrugado 1" (25mm) — Forca — IFC</t>
        </is>
      </c>
      <c r="F89" s="18" t="n">
        <v>195</v>
      </c>
      <c r="G89" s="18" t="n">
        <v>1</v>
      </c>
      <c r="H89" s="19" t="n">
        <v>0</v>
      </c>
      <c r="I89" s="20">
        <f>(F89+H89*F89)*G89</f>
        <v/>
      </c>
      <c r="J89" s="18" t="inlineStr">
        <is>
          <t>trecho</t>
        </is>
      </c>
      <c r="K89" s="21" t="n">
        <v>8.9</v>
      </c>
      <c r="L89" s="22">
        <f>I89*K89</f>
        <v/>
      </c>
    </row>
    <row r="90">
      <c r="A90" s="17" t="inlineStr">
        <is>
          <t>EMBASAMENTO</t>
        </is>
      </c>
      <c r="B90" s="17" t="inlineStr">
        <is>
          <t>GARAGEM 04</t>
        </is>
      </c>
      <c r="C90" s="17" t="inlineStr">
        <is>
          <t>INST. ELETRICAS</t>
        </is>
      </c>
      <c r="D90" s="17" t="inlineStr">
        <is>
          <t>ELETRODUTOS</t>
        </is>
      </c>
      <c r="E90" s="17" t="inlineStr">
        <is>
          <t>Eletroduto PVC Espiralado 1 1/4" (32mm) — Alimentadores — IFC</t>
        </is>
      </c>
      <c r="F90" s="18" t="n">
        <v>5</v>
      </c>
      <c r="G90" s="18" t="n">
        <v>1</v>
      </c>
      <c r="H90" s="19" t="n">
        <v>0</v>
      </c>
      <c r="I90" s="20">
        <f>(F90+H90*F90)*G90</f>
        <v/>
      </c>
      <c r="J90" s="18" t="inlineStr">
        <is>
          <t>trecho</t>
        </is>
      </c>
      <c r="K90" s="21" t="n">
        <v>12.5</v>
      </c>
      <c r="L90" s="22">
        <f>I90*K90</f>
        <v/>
      </c>
    </row>
    <row r="91">
      <c r="A91" s="17" t="inlineStr">
        <is>
          <t>EMBASAMENTO</t>
        </is>
      </c>
      <c r="B91" s="17" t="inlineStr">
        <is>
          <t>GARAGEM 04</t>
        </is>
      </c>
      <c r="C91" s="17" t="inlineStr">
        <is>
          <t>INST. ELETRICAS</t>
        </is>
      </c>
      <c r="D91" s="17" t="inlineStr">
        <is>
          <t>TOMADAS</t>
        </is>
      </c>
      <c r="E91" s="17" t="inlineStr">
        <is>
          <t>Tomada 10A (TUG) — DXF</t>
        </is>
      </c>
      <c r="F91" s="18" t="n">
        <v>13</v>
      </c>
      <c r="G91" s="18" t="n">
        <v>1</v>
      </c>
      <c r="H91" s="19" t="n">
        <v>0</v>
      </c>
      <c r="I91" s="20">
        <f>(F91+H91*F91)*G91</f>
        <v/>
      </c>
      <c r="J91" s="18" t="inlineStr">
        <is>
          <t>un</t>
        </is>
      </c>
      <c r="K91" s="21" t="n">
        <v>28.5</v>
      </c>
      <c r="L91" s="22">
        <f>I91*K91</f>
        <v/>
      </c>
    </row>
    <row r="92">
      <c r="A92" s="17" t="inlineStr">
        <is>
          <t>EMBASAMENTO</t>
        </is>
      </c>
      <c r="B92" s="17" t="inlineStr">
        <is>
          <t>GARAGEM 04</t>
        </is>
      </c>
      <c r="C92" s="17" t="inlineStr">
        <is>
          <t>INST. ELETRICAS</t>
        </is>
      </c>
      <c r="D92" s="17" t="inlineStr">
        <is>
          <t>QUADROS</t>
        </is>
      </c>
      <c r="E92" s="17" t="inlineStr">
        <is>
          <t>Quadro de Comando — DXF</t>
        </is>
      </c>
      <c r="F92" s="18" t="n">
        <v>6</v>
      </c>
      <c r="G92" s="18" t="n">
        <v>1</v>
      </c>
      <c r="H92" s="19" t="n">
        <v>0</v>
      </c>
      <c r="I92" s="20">
        <f>(F92+H92*F92)*G92</f>
        <v/>
      </c>
      <c r="J92" s="18" t="inlineStr">
        <is>
          <t>un</t>
        </is>
      </c>
      <c r="K92" s="21" t="n">
        <v>850</v>
      </c>
      <c r="L92" s="22">
        <f>I92*K92</f>
        <v/>
      </c>
    </row>
    <row r="93">
      <c r="A93" s="17" t="inlineStr">
        <is>
          <t>EMBASAMENTO</t>
        </is>
      </c>
      <c r="B93" s="17" t="inlineStr">
        <is>
          <t>GARAGEM 04</t>
        </is>
      </c>
      <c r="C93" s="17" t="inlineStr">
        <is>
          <t>INST. ELETRICAS</t>
        </is>
      </c>
      <c r="D93" s="17" t="inlineStr">
        <is>
          <t>QUADROS</t>
        </is>
      </c>
      <c r="E93" s="17" t="inlineStr">
        <is>
          <t>Quadro Distribuição — DXF</t>
        </is>
      </c>
      <c r="F93" s="18" t="n">
        <v>5</v>
      </c>
      <c r="G93" s="18" t="n">
        <v>1</v>
      </c>
      <c r="H93" s="19" t="n">
        <v>0</v>
      </c>
      <c r="I93" s="20">
        <f>(F93+H93*F93)*G93</f>
        <v/>
      </c>
      <c r="J93" s="18" t="inlineStr">
        <is>
          <t>un</t>
        </is>
      </c>
      <c r="K93" s="21" t="n">
        <v>450</v>
      </c>
      <c r="L93" s="22">
        <f>I93*K93</f>
        <v/>
      </c>
    </row>
    <row r="94">
      <c r="A94" s="17" t="inlineStr">
        <is>
          <t>EMBASAMENTO</t>
        </is>
      </c>
      <c r="B94" s="17" t="inlineStr">
        <is>
          <t>GARAGEM 04</t>
        </is>
      </c>
      <c r="C94" s="17" t="inlineStr">
        <is>
          <t>INST. ELETRICAS</t>
        </is>
      </c>
      <c r="D94" s="17" t="inlineStr">
        <is>
          <t>LUMINARIAS</t>
        </is>
      </c>
      <c r="E94" s="17" t="inlineStr">
        <is>
          <t>Luminária (DXF) — DXF</t>
        </is>
      </c>
      <c r="F94" s="18" t="n">
        <v>1</v>
      </c>
      <c r="G94" s="18" t="n">
        <v>1</v>
      </c>
      <c r="H94" s="19" t="n">
        <v>0</v>
      </c>
      <c r="I94" s="20">
        <f>(F94+H94*F94)*G94</f>
        <v/>
      </c>
      <c r="J94" s="18" t="inlineStr">
        <is>
          <t>un</t>
        </is>
      </c>
      <c r="K94" s="21" t="n">
        <v>85</v>
      </c>
      <c r="L94" s="22">
        <f>I94*K94</f>
        <v/>
      </c>
    </row>
    <row r="95">
      <c r="A95" s="17" t="inlineStr">
        <is>
          <t>EMBASAMENTO</t>
        </is>
      </c>
      <c r="B95" s="17" t="inlineStr">
        <is>
          <t>GARAGEM 05</t>
        </is>
      </c>
      <c r="C95" s="17" t="inlineStr">
        <is>
          <t>INST. ELETRICAS</t>
        </is>
      </c>
      <c r="D95" s="17" t="n"/>
      <c r="E95" s="17" t="n"/>
      <c r="F95" s="18" t="n"/>
      <c r="G95" s="18" t="n"/>
      <c r="H95" s="19" t="n"/>
      <c r="I95" s="20" t="n"/>
      <c r="J95" s="18" t="n"/>
      <c r="K95" s="21" t="n"/>
      <c r="L95" s="22" t="n"/>
    </row>
    <row r="96">
      <c r="A96" s="17" t="inlineStr">
        <is>
          <t>EMBASAMENTO</t>
        </is>
      </c>
      <c r="B96" s="17" t="inlineStr">
        <is>
          <t>GARAGEM 05</t>
        </is>
      </c>
      <c r="C96" s="17" t="inlineStr">
        <is>
          <t>INST. ELETRICAS</t>
        </is>
      </c>
      <c r="D96" s="17" t="inlineStr">
        <is>
          <t>LUMINARIAS</t>
        </is>
      </c>
      <c r="E96" s="17" t="inlineStr">
        <is>
          <t>Ponto de iluminacao (luminaria LED) — IFC</t>
        </is>
      </c>
      <c r="F96" s="18" t="n">
        <v>97</v>
      </c>
      <c r="G96" s="18" t="n">
        <v>1</v>
      </c>
      <c r="H96" s="19" t="n">
        <v>0</v>
      </c>
      <c r="I96" s="20">
        <f>(F96+H96*F96)*G96</f>
        <v/>
      </c>
      <c r="J96" s="18" t="inlineStr">
        <is>
          <t>pt</t>
        </is>
      </c>
      <c r="K96" s="21" t="n">
        <v>85</v>
      </c>
      <c r="L96" s="22">
        <f>I96*K96</f>
        <v/>
      </c>
    </row>
    <row r="97">
      <c r="A97" s="17" t="inlineStr">
        <is>
          <t>EMBASAMENTO</t>
        </is>
      </c>
      <c r="B97" s="17" t="inlineStr">
        <is>
          <t>GARAGEM 05</t>
        </is>
      </c>
      <c r="C97" s="17" t="inlineStr">
        <is>
          <t>INST. ELETRICAS</t>
        </is>
      </c>
      <c r="D97" s="17" t="inlineStr">
        <is>
          <t>ELETRODUTOS</t>
        </is>
      </c>
      <c r="E97" s="17" t="inlineStr">
        <is>
          <t>Eletroduto PVC Corrugado 3/4" (20mm) — Iluminacao — IFC</t>
        </is>
      </c>
      <c r="F97" s="18" t="n">
        <v>833</v>
      </c>
      <c r="G97" s="18" t="n">
        <v>1</v>
      </c>
      <c r="H97" s="19" t="n">
        <v>0</v>
      </c>
      <c r="I97" s="20">
        <f>(F97+H97*F97)*G97</f>
        <v/>
      </c>
      <c r="J97" s="18" t="inlineStr">
        <is>
          <t>trecho</t>
        </is>
      </c>
      <c r="K97" s="21" t="n">
        <v>5.5</v>
      </c>
      <c r="L97" s="22">
        <f>I97*K97</f>
        <v/>
      </c>
    </row>
    <row r="98">
      <c r="A98" s="17" t="inlineStr">
        <is>
          <t>EMBASAMENTO</t>
        </is>
      </c>
      <c r="B98" s="17" t="inlineStr">
        <is>
          <t>GARAGEM 05</t>
        </is>
      </c>
      <c r="C98" s="17" t="inlineStr">
        <is>
          <t>INST. ELETRICAS</t>
        </is>
      </c>
      <c r="D98" s="17" t="inlineStr">
        <is>
          <t>ELETRODUTOS</t>
        </is>
      </c>
      <c r="E98" s="17" t="inlineStr">
        <is>
          <t>Eletroduto PVC Corrugado 1" (25mm) — Forca — IFC</t>
        </is>
      </c>
      <c r="F98" s="18" t="n">
        <v>1</v>
      </c>
      <c r="G98" s="18" t="n">
        <v>1</v>
      </c>
      <c r="H98" s="19" t="n">
        <v>0</v>
      </c>
      <c r="I98" s="20">
        <f>(F98+H98*F98)*G98</f>
        <v/>
      </c>
      <c r="J98" s="18" t="inlineStr">
        <is>
          <t>trecho</t>
        </is>
      </c>
      <c r="K98" s="21" t="n">
        <v>8.9</v>
      </c>
      <c r="L98" s="22">
        <f>I98*K98</f>
        <v/>
      </c>
    </row>
    <row r="99">
      <c r="A99" s="17" t="inlineStr">
        <is>
          <t>EMBASAMENTO</t>
        </is>
      </c>
      <c r="B99" s="17" t="inlineStr">
        <is>
          <t>GARAGEM 05</t>
        </is>
      </c>
      <c r="C99" s="17" t="inlineStr">
        <is>
          <t>INST. ELETRICAS</t>
        </is>
      </c>
      <c r="D99" s="17" t="inlineStr">
        <is>
          <t>ELETRODUTOS</t>
        </is>
      </c>
      <c r="E99" s="17" t="inlineStr">
        <is>
          <t>Eletroduto PVC Corrugado 1" (25mm) — Forca — IFC</t>
        </is>
      </c>
      <c r="F99" s="18" t="n">
        <v>230</v>
      </c>
      <c r="G99" s="18" t="n">
        <v>1</v>
      </c>
      <c r="H99" s="19" t="n">
        <v>0</v>
      </c>
      <c r="I99" s="20">
        <f>(F99+H99*F99)*G99</f>
        <v/>
      </c>
      <c r="J99" s="18" t="inlineStr">
        <is>
          <t>trecho</t>
        </is>
      </c>
      <c r="K99" s="21" t="n">
        <v>8.9</v>
      </c>
      <c r="L99" s="22">
        <f>I99*K99</f>
        <v/>
      </c>
    </row>
    <row r="100">
      <c r="A100" s="17" t="inlineStr">
        <is>
          <t>EMBASAMENTO</t>
        </is>
      </c>
      <c r="B100" s="17" t="inlineStr">
        <is>
          <t>GARAGEM 05</t>
        </is>
      </c>
      <c r="C100" s="17" t="inlineStr">
        <is>
          <t>INST. ELETRICAS</t>
        </is>
      </c>
      <c r="D100" s="17" t="inlineStr">
        <is>
          <t>ELETRODUTOS</t>
        </is>
      </c>
      <c r="E100" s="17" t="inlineStr">
        <is>
          <t>Eletroduto PVC Espiralado 1 1/4" (32mm) — Alimentadores — IFC</t>
        </is>
      </c>
      <c r="F100" s="18" t="n">
        <v>1</v>
      </c>
      <c r="G100" s="18" t="n">
        <v>1</v>
      </c>
      <c r="H100" s="19" t="n">
        <v>0</v>
      </c>
      <c r="I100" s="20">
        <f>(F100+H100*F100)*G100</f>
        <v/>
      </c>
      <c r="J100" s="18" t="inlineStr">
        <is>
          <t>trecho</t>
        </is>
      </c>
      <c r="K100" s="21" t="n">
        <v>12.5</v>
      </c>
      <c r="L100" s="22">
        <f>I100*K100</f>
        <v/>
      </c>
    </row>
    <row r="101">
      <c r="A101" s="17" t="inlineStr">
        <is>
          <t>EMBASAMENTO</t>
        </is>
      </c>
      <c r="B101" s="17" t="inlineStr">
        <is>
          <t>GARAGEM 05</t>
        </is>
      </c>
      <c r="C101" s="17" t="inlineStr">
        <is>
          <t>INST. ELETRICAS</t>
        </is>
      </c>
      <c r="D101" s="17" t="inlineStr">
        <is>
          <t>ELETRODUTOS</t>
        </is>
      </c>
      <c r="E101" s="17" t="inlineStr">
        <is>
          <t>Eletroduto PVC Espiralado 1 1/4" (32mm) — Alimentadores — IFC</t>
        </is>
      </c>
      <c r="F101" s="18" t="n">
        <v>16</v>
      </c>
      <c r="G101" s="18" t="n">
        <v>1</v>
      </c>
      <c r="H101" s="19" t="n">
        <v>0</v>
      </c>
      <c r="I101" s="20">
        <f>(F101+H101*F101)*G101</f>
        <v/>
      </c>
      <c r="J101" s="18" t="inlineStr">
        <is>
          <t>trecho</t>
        </is>
      </c>
      <c r="K101" s="21" t="n">
        <v>12.5</v>
      </c>
      <c r="L101" s="22">
        <f>I101*K101</f>
        <v/>
      </c>
    </row>
    <row r="102">
      <c r="A102" s="17" t="inlineStr">
        <is>
          <t>EMBASAMENTO</t>
        </is>
      </c>
      <c r="B102" s="17" t="inlineStr">
        <is>
          <t>GARAGEM 05</t>
        </is>
      </c>
      <c r="C102" s="17" t="inlineStr">
        <is>
          <t>INST. ELETRICAS</t>
        </is>
      </c>
      <c r="D102" s="17" t="inlineStr">
        <is>
          <t>LUMINARIAS</t>
        </is>
      </c>
      <c r="E102" s="17" t="inlineStr">
        <is>
          <t>Luminária (DXF) — DXF</t>
        </is>
      </c>
      <c r="F102" s="18" t="n">
        <v>96</v>
      </c>
      <c r="G102" s="18" t="n">
        <v>1</v>
      </c>
      <c r="H102" s="19" t="n">
        <v>0</v>
      </c>
      <c r="I102" s="20">
        <f>(F102+H102*F102)*G102</f>
        <v/>
      </c>
      <c r="J102" s="18" t="inlineStr">
        <is>
          <t>un</t>
        </is>
      </c>
      <c r="K102" s="21" t="n">
        <v>85</v>
      </c>
      <c r="L102" s="22">
        <f>I102*K102</f>
        <v/>
      </c>
    </row>
    <row r="103">
      <c r="A103" s="17" t="inlineStr">
        <is>
          <t>EMBASAMENTO</t>
        </is>
      </c>
      <c r="B103" s="17" t="inlineStr">
        <is>
          <t>GARAGEM 05</t>
        </is>
      </c>
      <c r="C103" s="17" t="inlineStr">
        <is>
          <t>INST. ELETRICAS</t>
        </is>
      </c>
      <c r="D103" s="17" t="inlineStr">
        <is>
          <t>SENSORES</t>
        </is>
      </c>
      <c r="E103" s="17" t="inlineStr">
        <is>
          <t>Sensor — DXF</t>
        </is>
      </c>
      <c r="F103" s="18" t="n">
        <v>50</v>
      </c>
      <c r="G103" s="18" t="n">
        <v>1</v>
      </c>
      <c r="H103" s="19" t="n">
        <v>0</v>
      </c>
      <c r="I103" s="20">
        <f>(F103+H103*F103)*G103</f>
        <v/>
      </c>
      <c r="J103" s="18" t="inlineStr">
        <is>
          <t>un</t>
        </is>
      </c>
      <c r="K103" s="21" t="n">
        <v>65</v>
      </c>
      <c r="L103" s="22">
        <f>I103*K103</f>
        <v/>
      </c>
    </row>
    <row r="104">
      <c r="A104" s="17" t="inlineStr">
        <is>
          <t>EMBASAMENTO</t>
        </is>
      </c>
      <c r="B104" s="17" t="inlineStr">
        <is>
          <t>GARAGEM 05</t>
        </is>
      </c>
      <c r="C104" s="17" t="inlineStr">
        <is>
          <t>INST. ELETRICAS</t>
        </is>
      </c>
      <c r="D104" s="17" t="inlineStr">
        <is>
          <t>TOMADAS</t>
        </is>
      </c>
      <c r="E104" s="17" t="inlineStr">
        <is>
          <t>Tomada 10A (TUG) — DXF</t>
        </is>
      </c>
      <c r="F104" s="18" t="n">
        <v>12</v>
      </c>
      <c r="G104" s="18" t="n">
        <v>1</v>
      </c>
      <c r="H104" s="19" t="n">
        <v>0</v>
      </c>
      <c r="I104" s="20">
        <f>(F104+H104*F104)*G104</f>
        <v/>
      </c>
      <c r="J104" s="18" t="inlineStr">
        <is>
          <t>un</t>
        </is>
      </c>
      <c r="K104" s="21" t="n">
        <v>28.5</v>
      </c>
      <c r="L104" s="22">
        <f>I104*K104</f>
        <v/>
      </c>
    </row>
    <row r="105">
      <c r="A105" s="17" t="inlineStr">
        <is>
          <t>EMBASAMENTO</t>
        </is>
      </c>
      <c r="B105" s="17" t="inlineStr">
        <is>
          <t>GARAGEM 05</t>
        </is>
      </c>
      <c r="C105" s="17" t="inlineStr">
        <is>
          <t>INST. ELETRICAS</t>
        </is>
      </c>
      <c r="D105" s="17" t="inlineStr">
        <is>
          <t>QUADROS</t>
        </is>
      </c>
      <c r="E105" s="17" t="inlineStr">
        <is>
          <t>Quadro de Comando — DXF</t>
        </is>
      </c>
      <c r="F105" s="18" t="n">
        <v>6</v>
      </c>
      <c r="G105" s="18" t="n">
        <v>1</v>
      </c>
      <c r="H105" s="19" t="n">
        <v>0</v>
      </c>
      <c r="I105" s="20">
        <f>(F105+H105*F105)*G105</f>
        <v/>
      </c>
      <c r="J105" s="18" t="inlineStr">
        <is>
          <t>un</t>
        </is>
      </c>
      <c r="K105" s="21" t="n">
        <v>850</v>
      </c>
      <c r="L105" s="22">
        <f>I105*K105</f>
        <v/>
      </c>
    </row>
    <row r="106">
      <c r="A106" s="17" t="inlineStr">
        <is>
          <t>EMBASAMENTO</t>
        </is>
      </c>
      <c r="B106" s="17" t="inlineStr">
        <is>
          <t>GARAGEM 05</t>
        </is>
      </c>
      <c r="C106" s="17" t="inlineStr">
        <is>
          <t>INST. ELETRICAS</t>
        </is>
      </c>
      <c r="D106" s="17" t="inlineStr">
        <is>
          <t>QUADROS</t>
        </is>
      </c>
      <c r="E106" s="17" t="inlineStr">
        <is>
          <t>Quadro Distribuição — DXF</t>
        </is>
      </c>
      <c r="F106" s="18" t="n">
        <v>4</v>
      </c>
      <c r="G106" s="18" t="n">
        <v>1</v>
      </c>
      <c r="H106" s="19" t="n">
        <v>0</v>
      </c>
      <c r="I106" s="20">
        <f>(F106+H106*F106)*G106</f>
        <v/>
      </c>
      <c r="J106" s="18" t="inlineStr">
        <is>
          <t>un</t>
        </is>
      </c>
      <c r="K106" s="21" t="n">
        <v>450</v>
      </c>
      <c r="L106" s="22">
        <f>I106*K106</f>
        <v/>
      </c>
    </row>
    <row r="107">
      <c r="A107" s="17" t="inlineStr">
        <is>
          <t>EMBASAMENTO</t>
        </is>
      </c>
      <c r="B107" s="17" t="inlineStr">
        <is>
          <t>GARAGEM 05</t>
        </is>
      </c>
      <c r="C107" s="17" t="inlineStr">
        <is>
          <t>INST. ELETRICAS</t>
        </is>
      </c>
      <c r="D107" s="17" t="inlineStr">
        <is>
          <t>LUMINARIAS</t>
        </is>
      </c>
      <c r="E107" s="17" t="inlineStr">
        <is>
          <t>Arandela — DXF</t>
        </is>
      </c>
      <c r="F107" s="18" t="n">
        <v>1</v>
      </c>
      <c r="G107" s="18" t="n">
        <v>1</v>
      </c>
      <c r="H107" s="19" t="n">
        <v>0</v>
      </c>
      <c r="I107" s="20">
        <f>(F107+H107*F107)*G107</f>
        <v/>
      </c>
      <c r="J107" s="18" t="inlineStr">
        <is>
          <t>un</t>
        </is>
      </c>
      <c r="K107" s="21" t="n">
        <v>95</v>
      </c>
      <c r="L107" s="22">
        <f>I107*K107</f>
        <v/>
      </c>
    </row>
    <row r="108">
      <c r="A108" s="17" t="inlineStr">
        <is>
          <t>EMBASAMENTO</t>
        </is>
      </c>
      <c r="B108" s="17" t="inlineStr">
        <is>
          <t>GARAGEM 05</t>
        </is>
      </c>
      <c r="C108" s="17" t="inlineStr">
        <is>
          <t>INST. ELETRICAS</t>
        </is>
      </c>
      <c r="D108" s="17" t="inlineStr">
        <is>
          <t>INTERRUPTORES</t>
        </is>
      </c>
      <c r="E108" s="17" t="inlineStr">
        <is>
          <t>Interruptor 1 Tecla — DXF</t>
        </is>
      </c>
      <c r="F108" s="18" t="n">
        <v>1</v>
      </c>
      <c r="G108" s="18" t="n">
        <v>1</v>
      </c>
      <c r="H108" s="19" t="n">
        <v>0</v>
      </c>
      <c r="I108" s="20">
        <f>(F108+H108*F108)*G108</f>
        <v/>
      </c>
      <c r="J108" s="18" t="inlineStr">
        <is>
          <t>un</t>
        </is>
      </c>
      <c r="K108" s="21" t="n">
        <v>22</v>
      </c>
      <c r="L108" s="22">
        <f>I108*K108</f>
        <v/>
      </c>
    </row>
    <row r="109">
      <c r="A109" s="17" t="inlineStr">
        <is>
          <t>EMBASAMENTO</t>
        </is>
      </c>
      <c r="B109" s="17" t="inlineStr">
        <is>
          <t>GARAGEM 05</t>
        </is>
      </c>
      <c r="C109" s="17" t="inlineStr">
        <is>
          <t>INST. ELETRICAS</t>
        </is>
      </c>
      <c r="D109" s="17" t="inlineStr">
        <is>
          <t>TOMADAS</t>
        </is>
      </c>
      <c r="E109" s="17" t="inlineStr">
        <is>
          <t>Tomada (Genérica) — DXF</t>
        </is>
      </c>
      <c r="F109" s="18" t="n">
        <v>1</v>
      </c>
      <c r="G109" s="18" t="n">
        <v>1</v>
      </c>
      <c r="H109" s="19" t="n">
        <v>0</v>
      </c>
      <c r="I109" s="20">
        <f>(F109+H109*F109)*G109</f>
        <v/>
      </c>
      <c r="J109" s="18" t="inlineStr">
        <is>
          <t>un</t>
        </is>
      </c>
      <c r="K109" s="21" t="n">
        <v>28.5</v>
      </c>
      <c r="L109" s="22">
        <f>I109*K109</f>
        <v/>
      </c>
    </row>
    <row r="110">
      <c r="A110" s="17" t="inlineStr">
        <is>
          <t>EMBASAMENTO</t>
        </is>
      </c>
      <c r="B110" s="17" t="inlineStr">
        <is>
          <t>LAZER</t>
        </is>
      </c>
      <c r="C110" s="17" t="inlineStr">
        <is>
          <t>INST. ELETRICAS</t>
        </is>
      </c>
      <c r="D110" s="17" t="n"/>
      <c r="E110" s="17" t="n"/>
      <c r="F110" s="18" t="n"/>
      <c r="G110" s="18" t="n"/>
      <c r="H110" s="19" t="n"/>
      <c r="I110" s="20" t="n"/>
      <c r="J110" s="18" t="n"/>
      <c r="K110" s="21" t="n"/>
      <c r="L110" s="22" t="n"/>
    </row>
    <row r="111">
      <c r="A111" s="17" t="inlineStr">
        <is>
          <t>EMBASAMENTO</t>
        </is>
      </c>
      <c r="B111" s="17" t="inlineStr">
        <is>
          <t>LAZER</t>
        </is>
      </c>
      <c r="C111" s="17" t="inlineStr">
        <is>
          <t>INST. ELETRICAS</t>
        </is>
      </c>
      <c r="D111" s="17" t="inlineStr">
        <is>
          <t>LUMINARIAS</t>
        </is>
      </c>
      <c r="E111" s="17" t="inlineStr">
        <is>
          <t>Ponto de iluminacao (luminaria LED) — IFC</t>
        </is>
      </c>
      <c r="F111" s="18" t="n">
        <v>119</v>
      </c>
      <c r="G111" s="18" t="n">
        <v>1</v>
      </c>
      <c r="H111" s="19" t="n">
        <v>0</v>
      </c>
      <c r="I111" s="20">
        <f>(F111+H111*F111)*G111</f>
        <v/>
      </c>
      <c r="J111" s="18" t="inlineStr">
        <is>
          <t>pt</t>
        </is>
      </c>
      <c r="K111" s="21" t="n">
        <v>85</v>
      </c>
      <c r="L111" s="22">
        <f>I111*K111</f>
        <v/>
      </c>
    </row>
    <row r="112">
      <c r="A112" s="17" t="inlineStr">
        <is>
          <t>EMBASAMENTO</t>
        </is>
      </c>
      <c r="B112" s="17" t="inlineStr">
        <is>
          <t>LAZER</t>
        </is>
      </c>
      <c r="C112" s="17" t="inlineStr">
        <is>
          <t>INST. ELETRICAS</t>
        </is>
      </c>
      <c r="D112" s="17" t="inlineStr">
        <is>
          <t>ELETRODUTOS</t>
        </is>
      </c>
      <c r="E112" s="17" t="inlineStr">
        <is>
          <t>Eletroduto PVC Corrugado 3/4" (20mm) — Iluminacao — IFC</t>
        </is>
      </c>
      <c r="F112" s="18" t="n">
        <v>2211</v>
      </c>
      <c r="G112" s="18" t="n">
        <v>1</v>
      </c>
      <c r="H112" s="19" t="n">
        <v>0</v>
      </c>
      <c r="I112" s="20">
        <f>(F112+H112*F112)*G112</f>
        <v/>
      </c>
      <c r="J112" s="18" t="inlineStr">
        <is>
          <t>trecho</t>
        </is>
      </c>
      <c r="K112" s="21" t="n">
        <v>5.5</v>
      </c>
      <c r="L112" s="22">
        <f>I112*K112</f>
        <v/>
      </c>
    </row>
    <row r="113">
      <c r="A113" s="17" t="inlineStr">
        <is>
          <t>EMBASAMENTO</t>
        </is>
      </c>
      <c r="B113" s="17" t="inlineStr">
        <is>
          <t>LAZER</t>
        </is>
      </c>
      <c r="C113" s="17" t="inlineStr">
        <is>
          <t>INST. ELETRICAS</t>
        </is>
      </c>
      <c r="D113" s="17" t="inlineStr">
        <is>
          <t>ELETRODUTOS</t>
        </is>
      </c>
      <c r="E113" s="17" t="inlineStr">
        <is>
          <t>Eletroduto PVC Corrugado 1" (25mm) — Forca — IFC</t>
        </is>
      </c>
      <c r="F113" s="18" t="n">
        <v>73</v>
      </c>
      <c r="G113" s="18" t="n">
        <v>1</v>
      </c>
      <c r="H113" s="19" t="n">
        <v>0</v>
      </c>
      <c r="I113" s="20">
        <f>(F113+H113*F113)*G113</f>
        <v/>
      </c>
      <c r="J113" s="18" t="inlineStr">
        <is>
          <t>trecho</t>
        </is>
      </c>
      <c r="K113" s="21" t="n">
        <v>8.9</v>
      </c>
      <c r="L113" s="22">
        <f>I113*K113</f>
        <v/>
      </c>
    </row>
    <row r="114">
      <c r="A114" s="17" t="inlineStr">
        <is>
          <t>EMBASAMENTO</t>
        </is>
      </c>
      <c r="B114" s="17" t="inlineStr">
        <is>
          <t>LAZER</t>
        </is>
      </c>
      <c r="C114" s="17" t="inlineStr">
        <is>
          <t>INST. ELETRICAS</t>
        </is>
      </c>
      <c r="D114" s="17" t="inlineStr">
        <is>
          <t>ELETRODUTOS</t>
        </is>
      </c>
      <c r="E114" s="17" t="inlineStr">
        <is>
          <t>Eletroduto PVC Corrugado 1" (25mm) — Forca — IFC</t>
        </is>
      </c>
      <c r="F114" s="18" t="n">
        <v>314</v>
      </c>
      <c r="G114" s="18" t="n">
        <v>1</v>
      </c>
      <c r="H114" s="19" t="n">
        <v>0</v>
      </c>
      <c r="I114" s="20">
        <f>(F114+H114*F114)*G114</f>
        <v/>
      </c>
      <c r="J114" s="18" t="inlineStr">
        <is>
          <t>trecho</t>
        </is>
      </c>
      <c r="K114" s="21" t="n">
        <v>8.9</v>
      </c>
      <c r="L114" s="22">
        <f>I114*K114</f>
        <v/>
      </c>
    </row>
    <row r="115">
      <c r="A115" s="17" t="inlineStr">
        <is>
          <t>EMBASAMENTO</t>
        </is>
      </c>
      <c r="B115" s="17" t="inlineStr">
        <is>
          <t>LAZER</t>
        </is>
      </c>
      <c r="C115" s="17" t="inlineStr">
        <is>
          <t>INST. ELETRICAS</t>
        </is>
      </c>
      <c r="D115" s="17" t="inlineStr">
        <is>
          <t>ELETRODUTOS</t>
        </is>
      </c>
      <c r="E115" s="17" t="inlineStr">
        <is>
          <t>Eletroduto PVC Espiralado 1 1/4" (32mm) — Alimentadores — IFC</t>
        </is>
      </c>
      <c r="F115" s="18" t="n">
        <v>3</v>
      </c>
      <c r="G115" s="18" t="n">
        <v>1</v>
      </c>
      <c r="H115" s="19" t="n">
        <v>0</v>
      </c>
      <c r="I115" s="20">
        <f>(F115+H115*F115)*G115</f>
        <v/>
      </c>
      <c r="J115" s="18" t="inlineStr">
        <is>
          <t>trecho</t>
        </is>
      </c>
      <c r="K115" s="21" t="n">
        <v>12.5</v>
      </c>
      <c r="L115" s="22">
        <f>I115*K115</f>
        <v/>
      </c>
    </row>
    <row r="116">
      <c r="A116" s="17" t="inlineStr">
        <is>
          <t>EMBASAMENTO</t>
        </is>
      </c>
      <c r="B116" s="17" t="inlineStr">
        <is>
          <t>LAZER</t>
        </is>
      </c>
      <c r="C116" s="17" t="inlineStr">
        <is>
          <t>INST. ELETRICAS</t>
        </is>
      </c>
      <c r="D116" s="17" t="inlineStr">
        <is>
          <t>ELETRODUTOS</t>
        </is>
      </c>
      <c r="E116" s="17" t="inlineStr">
        <is>
          <t>Eletroduto PVC Espiralado 1 1/4" (32mm) — Alimentadores — IFC</t>
        </is>
      </c>
      <c r="F116" s="18" t="n">
        <v>96</v>
      </c>
      <c r="G116" s="18" t="n">
        <v>1</v>
      </c>
      <c r="H116" s="19" t="n">
        <v>0</v>
      </c>
      <c r="I116" s="20">
        <f>(F116+H116*F116)*G116</f>
        <v/>
      </c>
      <c r="J116" s="18" t="inlineStr">
        <is>
          <t>trecho</t>
        </is>
      </c>
      <c r="K116" s="21" t="n">
        <v>12.5</v>
      </c>
      <c r="L116" s="22">
        <f>I116*K116</f>
        <v/>
      </c>
    </row>
    <row r="117">
      <c r="A117" s="17" t="inlineStr">
        <is>
          <t>EMBASAMENTO</t>
        </is>
      </c>
      <c r="B117" s="17" t="inlineStr">
        <is>
          <t>LAZER</t>
        </is>
      </c>
      <c r="C117" s="17" t="inlineStr">
        <is>
          <t>INST. ELETRICAS</t>
        </is>
      </c>
      <c r="D117" s="17" t="inlineStr">
        <is>
          <t>ELETRODUTOS</t>
        </is>
      </c>
      <c r="E117" s="17" t="inlineStr">
        <is>
          <t>Eletroduto PVC Rigido 2" (50mm) — Alimentacao geral — IFC</t>
        </is>
      </c>
      <c r="F117" s="18" t="n">
        <v>10</v>
      </c>
      <c r="G117" s="18" t="n">
        <v>1</v>
      </c>
      <c r="H117" s="19" t="n">
        <v>0</v>
      </c>
      <c r="I117" s="20">
        <f>(F117+H117*F117)*G117</f>
        <v/>
      </c>
      <c r="J117" s="18" t="inlineStr">
        <is>
          <t>trecho</t>
        </is>
      </c>
      <c r="K117" s="21" t="n">
        <v>28.5</v>
      </c>
      <c r="L117" s="22">
        <f>I117*K117</f>
        <v/>
      </c>
    </row>
    <row r="118">
      <c r="A118" s="17" t="inlineStr">
        <is>
          <t>EMBASAMENTO</t>
        </is>
      </c>
      <c r="B118" s="17" t="inlineStr">
        <is>
          <t>LAZER</t>
        </is>
      </c>
      <c r="C118" s="17" t="inlineStr">
        <is>
          <t>INST. ELETRICAS</t>
        </is>
      </c>
      <c r="D118" s="17" t="inlineStr">
        <is>
          <t>ELETRODUTOS</t>
        </is>
      </c>
      <c r="E118" s="17" t="inlineStr">
        <is>
          <t>Eletroduto Aco galvanizado 3" (75mm) — Entrada — IFC</t>
        </is>
      </c>
      <c r="F118" s="18" t="n">
        <v>7</v>
      </c>
      <c r="G118" s="18" t="n">
        <v>1</v>
      </c>
      <c r="H118" s="19" t="n">
        <v>0</v>
      </c>
      <c r="I118" s="20">
        <f>(F118+H118*F118)*G118</f>
        <v/>
      </c>
      <c r="J118" s="18" t="inlineStr">
        <is>
          <t>trecho</t>
        </is>
      </c>
      <c r="K118" s="21" t="n">
        <v>58.33</v>
      </c>
      <c r="L118" s="22">
        <f>I118*K118</f>
        <v/>
      </c>
    </row>
    <row r="119">
      <c r="A119" s="17" t="inlineStr">
        <is>
          <t>EMBASAMENTO</t>
        </is>
      </c>
      <c r="B119" s="17" t="inlineStr">
        <is>
          <t>LAZER</t>
        </is>
      </c>
      <c r="C119" s="17" t="inlineStr">
        <is>
          <t>INST. ELETRICAS</t>
        </is>
      </c>
      <c r="D119" s="17" t="inlineStr">
        <is>
          <t>TOMADAS</t>
        </is>
      </c>
      <c r="E119" s="17" t="inlineStr">
        <is>
          <t>Tomada 10A (TUG) — DXF</t>
        </is>
      </c>
      <c r="F119" s="18" t="n">
        <v>79</v>
      </c>
      <c r="G119" s="18" t="n">
        <v>1</v>
      </c>
      <c r="H119" s="19" t="n">
        <v>0</v>
      </c>
      <c r="I119" s="20">
        <f>(F119+H119*F119)*G119</f>
        <v/>
      </c>
      <c r="J119" s="18" t="inlineStr">
        <is>
          <t>un</t>
        </is>
      </c>
      <c r="K119" s="21" t="n">
        <v>28.5</v>
      </c>
      <c r="L119" s="22">
        <f>I119*K119</f>
        <v/>
      </c>
    </row>
    <row r="120">
      <c r="A120" s="17" t="inlineStr">
        <is>
          <t>EMBASAMENTO</t>
        </is>
      </c>
      <c r="B120" s="17" t="inlineStr">
        <is>
          <t>LAZER</t>
        </is>
      </c>
      <c r="C120" s="17" t="inlineStr">
        <is>
          <t>INST. ELETRICAS</t>
        </is>
      </c>
      <c r="D120" s="17" t="inlineStr">
        <is>
          <t>TOMADAS</t>
        </is>
      </c>
      <c r="E120" s="17" t="inlineStr">
        <is>
          <t>Tomada 20A (TUE) — DXF</t>
        </is>
      </c>
      <c r="F120" s="18" t="n">
        <v>35</v>
      </c>
      <c r="G120" s="18" t="n">
        <v>1</v>
      </c>
      <c r="H120" s="19" t="n">
        <v>0</v>
      </c>
      <c r="I120" s="20">
        <f>(F120+H120*F120)*G120</f>
        <v/>
      </c>
      <c r="J120" s="18" t="inlineStr">
        <is>
          <t>un</t>
        </is>
      </c>
      <c r="K120" s="21" t="n">
        <v>35</v>
      </c>
      <c r="L120" s="22">
        <f>I120*K120</f>
        <v/>
      </c>
    </row>
    <row r="121">
      <c r="A121" s="17" t="inlineStr">
        <is>
          <t>EMBASAMENTO</t>
        </is>
      </c>
      <c r="B121" s="17" t="inlineStr">
        <is>
          <t>LAZER</t>
        </is>
      </c>
      <c r="C121" s="17" t="inlineStr">
        <is>
          <t>INST. ELETRICAS</t>
        </is>
      </c>
      <c r="D121" s="17" t="inlineStr">
        <is>
          <t>LUMINARIAS</t>
        </is>
      </c>
      <c r="E121" s="17" t="inlineStr">
        <is>
          <t>Arandela — DXF</t>
        </is>
      </c>
      <c r="F121" s="18" t="n">
        <v>29</v>
      </c>
      <c r="G121" s="18" t="n">
        <v>1</v>
      </c>
      <c r="H121" s="19" t="n">
        <v>0</v>
      </c>
      <c r="I121" s="20">
        <f>(F121+H121*F121)*G121</f>
        <v/>
      </c>
      <c r="J121" s="18" t="inlineStr">
        <is>
          <t>un</t>
        </is>
      </c>
      <c r="K121" s="21" t="n">
        <v>95</v>
      </c>
      <c r="L121" s="22">
        <f>I121*K121</f>
        <v/>
      </c>
    </row>
    <row r="122">
      <c r="A122" s="17" t="inlineStr">
        <is>
          <t>EMBASAMENTO</t>
        </is>
      </c>
      <c r="B122" s="17" t="inlineStr">
        <is>
          <t>LAZER</t>
        </is>
      </c>
      <c r="C122" s="17" t="inlineStr">
        <is>
          <t>INST. ELETRICAS</t>
        </is>
      </c>
      <c r="D122" s="17" t="inlineStr">
        <is>
          <t>INTERRUPTORES</t>
        </is>
      </c>
      <c r="E122" s="17" t="inlineStr">
        <is>
          <t>Interruptor 1 Tecla — DXF</t>
        </is>
      </c>
      <c r="F122" s="18" t="n">
        <v>14</v>
      </c>
      <c r="G122" s="18" t="n">
        <v>1</v>
      </c>
      <c r="H122" s="19" t="n">
        <v>0</v>
      </c>
      <c r="I122" s="20">
        <f>(F122+H122*F122)*G122</f>
        <v/>
      </c>
      <c r="J122" s="18" t="inlineStr">
        <is>
          <t>un</t>
        </is>
      </c>
      <c r="K122" s="21" t="n">
        <v>22</v>
      </c>
      <c r="L122" s="22">
        <f>I122*K122</f>
        <v/>
      </c>
    </row>
    <row r="123">
      <c r="A123" s="17" t="inlineStr">
        <is>
          <t>EMBASAMENTO</t>
        </is>
      </c>
      <c r="B123" s="17" t="inlineStr">
        <is>
          <t>LAZER</t>
        </is>
      </c>
      <c r="C123" s="17" t="inlineStr">
        <is>
          <t>INST. ELETRICAS</t>
        </is>
      </c>
      <c r="D123" s="17" t="inlineStr">
        <is>
          <t>QUADROS</t>
        </is>
      </c>
      <c r="E123" s="17" t="inlineStr">
        <is>
          <t>Quadro de Comando — DXF</t>
        </is>
      </c>
      <c r="F123" s="18" t="n">
        <v>12</v>
      </c>
      <c r="G123" s="18" t="n">
        <v>1</v>
      </c>
      <c r="H123" s="19" t="n">
        <v>0</v>
      </c>
      <c r="I123" s="20">
        <f>(F123+H123*F123)*G123</f>
        <v/>
      </c>
      <c r="J123" s="18" t="inlineStr">
        <is>
          <t>un</t>
        </is>
      </c>
      <c r="K123" s="21" t="n">
        <v>850</v>
      </c>
      <c r="L123" s="22">
        <f>I123*K123</f>
        <v/>
      </c>
    </row>
    <row r="124">
      <c r="A124" s="17" t="inlineStr">
        <is>
          <t>EMBASAMENTO</t>
        </is>
      </c>
      <c r="B124" s="17" t="inlineStr">
        <is>
          <t>LAZER</t>
        </is>
      </c>
      <c r="C124" s="17" t="inlineStr">
        <is>
          <t>INST. ELETRICAS</t>
        </is>
      </c>
      <c r="D124" s="17" t="inlineStr">
        <is>
          <t>INTERRUPTORES</t>
        </is>
      </c>
      <c r="E124" s="17" t="inlineStr">
        <is>
          <t>Interruptor 2 Teclas — DXF</t>
        </is>
      </c>
      <c r="F124" s="18" t="n">
        <v>11</v>
      </c>
      <c r="G124" s="18" t="n">
        <v>1</v>
      </c>
      <c r="H124" s="19" t="n">
        <v>0</v>
      </c>
      <c r="I124" s="20">
        <f>(F124+H124*F124)*G124</f>
        <v/>
      </c>
      <c r="J124" s="18" t="inlineStr">
        <is>
          <t>un</t>
        </is>
      </c>
      <c r="K124" s="21" t="n">
        <v>28</v>
      </c>
      <c r="L124" s="22">
        <f>I124*K124</f>
        <v/>
      </c>
    </row>
    <row r="125">
      <c r="A125" s="17" t="inlineStr">
        <is>
          <t>EMBASAMENTO</t>
        </is>
      </c>
      <c r="B125" s="17" t="inlineStr">
        <is>
          <t>LAZER</t>
        </is>
      </c>
      <c r="C125" s="17" t="inlineStr">
        <is>
          <t>INST. ELETRICAS</t>
        </is>
      </c>
      <c r="D125" s="17" t="inlineStr">
        <is>
          <t>LUMINARIAS</t>
        </is>
      </c>
      <c r="E125" s="17" t="inlineStr">
        <is>
          <t>Luminária (DXF) — DXF</t>
        </is>
      </c>
      <c r="F125" s="18" t="n">
        <v>9</v>
      </c>
      <c r="G125" s="18" t="n">
        <v>1</v>
      </c>
      <c r="H125" s="19" t="n">
        <v>0</v>
      </c>
      <c r="I125" s="20">
        <f>(F125+H125*F125)*G125</f>
        <v/>
      </c>
      <c r="J125" s="18" t="inlineStr">
        <is>
          <t>un</t>
        </is>
      </c>
      <c r="K125" s="21" t="n">
        <v>85</v>
      </c>
      <c r="L125" s="22">
        <f>I125*K125</f>
        <v/>
      </c>
    </row>
    <row r="126">
      <c r="A126" s="17" t="inlineStr">
        <is>
          <t>EMBASAMENTO</t>
        </is>
      </c>
      <c r="B126" s="17" t="inlineStr">
        <is>
          <t>LAZER</t>
        </is>
      </c>
      <c r="C126" s="17" t="inlineStr">
        <is>
          <t>INST. ELETRICAS</t>
        </is>
      </c>
      <c r="D126" s="17" t="inlineStr">
        <is>
          <t>QUADROS</t>
        </is>
      </c>
      <c r="E126" s="17" t="inlineStr">
        <is>
          <t>Quadro Distribuição — DXF</t>
        </is>
      </c>
      <c r="F126" s="18" t="n">
        <v>8</v>
      </c>
      <c r="G126" s="18" t="n">
        <v>1</v>
      </c>
      <c r="H126" s="19" t="n">
        <v>0</v>
      </c>
      <c r="I126" s="20">
        <f>(F126+H126*F126)*G126</f>
        <v/>
      </c>
      <c r="J126" s="18" t="inlineStr">
        <is>
          <t>un</t>
        </is>
      </c>
      <c r="K126" s="21" t="n">
        <v>450</v>
      </c>
      <c r="L126" s="22">
        <f>I126*K126</f>
        <v/>
      </c>
    </row>
    <row r="127">
      <c r="A127" s="17" t="inlineStr">
        <is>
          <t>EMBASAMENTO</t>
        </is>
      </c>
      <c r="B127" s="17" t="inlineStr">
        <is>
          <t>LAZER</t>
        </is>
      </c>
      <c r="C127" s="17" t="inlineStr">
        <is>
          <t>INST. ELETRICAS</t>
        </is>
      </c>
      <c r="D127" s="17" t="inlineStr">
        <is>
          <t>TOMADAS</t>
        </is>
      </c>
      <c r="E127" s="17" t="inlineStr">
        <is>
          <t>Tomada (Genérica) — DXF</t>
        </is>
      </c>
      <c r="F127" s="18" t="n">
        <v>4</v>
      </c>
      <c r="G127" s="18" t="n">
        <v>1</v>
      </c>
      <c r="H127" s="19" t="n">
        <v>0</v>
      </c>
      <c r="I127" s="20">
        <f>(F127+H127*F127)*G127</f>
        <v/>
      </c>
      <c r="J127" s="18" t="inlineStr">
        <is>
          <t>un</t>
        </is>
      </c>
      <c r="K127" s="21" t="n">
        <v>28.5</v>
      </c>
      <c r="L127" s="22">
        <f>I127*K127</f>
        <v/>
      </c>
    </row>
    <row r="128">
      <c r="A128" s="17" t="inlineStr">
        <is>
          <t>EMBASAMENTO</t>
        </is>
      </c>
      <c r="B128" s="17" t="inlineStr">
        <is>
          <t>LAZER</t>
        </is>
      </c>
      <c r="C128" s="17" t="inlineStr">
        <is>
          <t>INST. ELETRICAS</t>
        </is>
      </c>
      <c r="D128" s="17" t="inlineStr">
        <is>
          <t>TOMADAS</t>
        </is>
      </c>
      <c r="E128" s="17" t="inlineStr">
        <is>
          <t>Tomada Ar-Condicionado — DXF</t>
        </is>
      </c>
      <c r="F128" s="18" t="n">
        <v>4</v>
      </c>
      <c r="G128" s="18" t="n">
        <v>1</v>
      </c>
      <c r="H128" s="19" t="n">
        <v>0</v>
      </c>
      <c r="I128" s="20">
        <f>(F128+H128*F128)*G128</f>
        <v/>
      </c>
      <c r="J128" s="18" t="inlineStr">
        <is>
          <t>un</t>
        </is>
      </c>
      <c r="K128" s="21" t="n">
        <v>38</v>
      </c>
      <c r="L128" s="22">
        <f>I128*K128</f>
        <v/>
      </c>
    </row>
    <row r="129">
      <c r="A129" s="17" t="inlineStr">
        <is>
          <t>EMBASAMENTO</t>
        </is>
      </c>
      <c r="B129" s="17" t="inlineStr">
        <is>
          <t>LAZER</t>
        </is>
      </c>
      <c r="C129" s="17" t="inlineStr">
        <is>
          <t>INST. ELETRICAS</t>
        </is>
      </c>
      <c r="D129" s="17" t="inlineStr">
        <is>
          <t>INTERRUPTORES</t>
        </is>
      </c>
      <c r="E129" s="17" t="inlineStr">
        <is>
          <t>Interruptor 3 Teclas — DXF</t>
        </is>
      </c>
      <c r="F129" s="18" t="n">
        <v>3</v>
      </c>
      <c r="G129" s="18" t="n">
        <v>1</v>
      </c>
      <c r="H129" s="19" t="n">
        <v>0</v>
      </c>
      <c r="I129" s="20">
        <f>(F129+H129*F129)*G129</f>
        <v/>
      </c>
      <c r="J129" s="18" t="inlineStr">
        <is>
          <t>un</t>
        </is>
      </c>
      <c r="K129" s="21" t="n">
        <v>34</v>
      </c>
      <c r="L129" s="22">
        <f>I129*K129</f>
        <v/>
      </c>
    </row>
    <row r="130">
      <c r="A130" s="17" t="inlineStr">
        <is>
          <t>EMBASAMENTO</t>
        </is>
      </c>
      <c r="B130" s="17" t="inlineStr">
        <is>
          <t>LAZER</t>
        </is>
      </c>
      <c r="C130" s="17" t="inlineStr">
        <is>
          <t>INST. ELETRICAS</t>
        </is>
      </c>
      <c r="D130" s="17" t="inlineStr">
        <is>
          <t>TOMADAS</t>
        </is>
      </c>
      <c r="E130" s="17" t="inlineStr">
        <is>
          <t>Tomada Chuveiro — DXF</t>
        </is>
      </c>
      <c r="F130" s="18" t="n">
        <v>2</v>
      </c>
      <c r="G130" s="18" t="n">
        <v>1</v>
      </c>
      <c r="H130" s="19" t="n">
        <v>0</v>
      </c>
      <c r="I130" s="20">
        <f>(F130+H130*F130)*G130</f>
        <v/>
      </c>
      <c r="J130" s="18" t="inlineStr">
        <is>
          <t>un</t>
        </is>
      </c>
      <c r="K130" s="21" t="n">
        <v>42</v>
      </c>
      <c r="L130" s="22">
        <f>I130*K130</f>
        <v/>
      </c>
    </row>
    <row r="131">
      <c r="A131" s="17" t="inlineStr">
        <is>
          <t>EMBASAMENTO</t>
        </is>
      </c>
      <c r="B131" s="17" t="inlineStr">
        <is>
          <t>CASA DE MÁQUINAS</t>
        </is>
      </c>
      <c r="C131" s="17" t="inlineStr">
        <is>
          <t>INST. ELETRICAS</t>
        </is>
      </c>
      <c r="D131" s="17" t="n"/>
      <c r="E131" s="17" t="n"/>
      <c r="F131" s="18" t="n"/>
      <c r="G131" s="18" t="n"/>
      <c r="H131" s="19" t="n"/>
      <c r="I131" s="20" t="n"/>
      <c r="J131" s="18" t="n"/>
      <c r="K131" s="21" t="n"/>
      <c r="L131" s="22" t="n"/>
    </row>
    <row r="132">
      <c r="A132" s="17" t="inlineStr">
        <is>
          <t>EMBASAMENTO</t>
        </is>
      </c>
      <c r="B132" s="17" t="inlineStr">
        <is>
          <t>CASA DE MÁQUINAS</t>
        </is>
      </c>
      <c r="C132" s="17" t="inlineStr">
        <is>
          <t>INST. ELETRICAS</t>
        </is>
      </c>
      <c r="D132" s="17" t="inlineStr">
        <is>
          <t>QUADROS</t>
        </is>
      </c>
      <c r="E132" s="17" t="inlineStr">
        <is>
          <t>Quadro de Comando — DXF</t>
        </is>
      </c>
      <c r="F132" s="18" t="n">
        <v>38</v>
      </c>
      <c r="G132" s="18" t="n">
        <v>1</v>
      </c>
      <c r="H132" s="19" t="n">
        <v>0</v>
      </c>
      <c r="I132" s="20">
        <f>(F132+H132*F132)*G132</f>
        <v/>
      </c>
      <c r="J132" s="18" t="inlineStr">
        <is>
          <t>un</t>
        </is>
      </c>
      <c r="K132" s="21" t="n">
        <v>850</v>
      </c>
      <c r="L132" s="22">
        <f>I132*K132</f>
        <v/>
      </c>
    </row>
    <row r="133">
      <c r="A133" s="17" t="inlineStr">
        <is>
          <t>EMBASAMENTO</t>
        </is>
      </c>
      <c r="B133" s="17" t="inlineStr">
        <is>
          <t>CASA DE MÁQUINAS</t>
        </is>
      </c>
      <c r="C133" s="17" t="inlineStr">
        <is>
          <t>INST. ELETRICAS</t>
        </is>
      </c>
      <c r="D133" s="17" t="inlineStr">
        <is>
          <t>LUMINARIAS</t>
        </is>
      </c>
      <c r="E133" s="17" t="inlineStr">
        <is>
          <t>Arandela — DXF</t>
        </is>
      </c>
      <c r="F133" s="18" t="n">
        <v>23</v>
      </c>
      <c r="G133" s="18" t="n">
        <v>1</v>
      </c>
      <c r="H133" s="19" t="n">
        <v>0</v>
      </c>
      <c r="I133" s="20">
        <f>(F133+H133*F133)*G133</f>
        <v/>
      </c>
      <c r="J133" s="18" t="inlineStr">
        <is>
          <t>un</t>
        </is>
      </c>
      <c r="K133" s="21" t="n">
        <v>95</v>
      </c>
      <c r="L133" s="22">
        <f>I133*K133</f>
        <v/>
      </c>
    </row>
    <row r="134">
      <c r="A134" s="17" t="inlineStr">
        <is>
          <t>EMBASAMENTO</t>
        </is>
      </c>
      <c r="B134" s="17" t="inlineStr">
        <is>
          <t>CASA DE MÁQUINAS</t>
        </is>
      </c>
      <c r="C134" s="17" t="inlineStr">
        <is>
          <t>INST. ELETRICAS</t>
        </is>
      </c>
      <c r="D134" s="17" t="inlineStr">
        <is>
          <t>TOMADAS</t>
        </is>
      </c>
      <c r="E134" s="17" t="inlineStr">
        <is>
          <t>Tomada (Genérica) — DXF</t>
        </is>
      </c>
      <c r="F134" s="18" t="n">
        <v>11</v>
      </c>
      <c r="G134" s="18" t="n">
        <v>1</v>
      </c>
      <c r="H134" s="19" t="n">
        <v>0</v>
      </c>
      <c r="I134" s="20">
        <f>(F134+H134*F134)*G134</f>
        <v/>
      </c>
      <c r="J134" s="18" t="inlineStr">
        <is>
          <t>un</t>
        </is>
      </c>
      <c r="K134" s="21" t="n">
        <v>28.5</v>
      </c>
      <c r="L134" s="22">
        <f>I134*K134</f>
        <v/>
      </c>
    </row>
    <row r="135">
      <c r="A135" s="17" t="inlineStr">
        <is>
          <t>EMBASAMENTO</t>
        </is>
      </c>
      <c r="B135" s="17" t="inlineStr">
        <is>
          <t>CASA DE MÁQUINAS</t>
        </is>
      </c>
      <c r="C135" s="17" t="inlineStr">
        <is>
          <t>INST. ELETRICAS</t>
        </is>
      </c>
      <c r="D135" s="17" t="inlineStr">
        <is>
          <t>INTERRUPTORES</t>
        </is>
      </c>
      <c r="E135" s="17" t="inlineStr">
        <is>
          <t>Interruptor 1 Tecla — DXF</t>
        </is>
      </c>
      <c r="F135" s="18" t="n">
        <v>7</v>
      </c>
      <c r="G135" s="18" t="n">
        <v>1</v>
      </c>
      <c r="H135" s="19" t="n">
        <v>0</v>
      </c>
      <c r="I135" s="20">
        <f>(F135+H135*F135)*G135</f>
        <v/>
      </c>
      <c r="J135" s="18" t="inlineStr">
        <is>
          <t>un</t>
        </is>
      </c>
      <c r="K135" s="21" t="n">
        <v>22</v>
      </c>
      <c r="L135" s="22">
        <f>I135*K135</f>
        <v/>
      </c>
    </row>
    <row r="136">
      <c r="A136" s="17" t="inlineStr">
        <is>
          <t>EMBASAMENTO</t>
        </is>
      </c>
      <c r="B136" s="17" t="inlineStr">
        <is>
          <t>CASA DE MÁQUINAS</t>
        </is>
      </c>
      <c r="C136" s="17" t="inlineStr">
        <is>
          <t>INST. ELETRICAS</t>
        </is>
      </c>
      <c r="D136" s="17" t="inlineStr">
        <is>
          <t>LUMINARIAS</t>
        </is>
      </c>
      <c r="E136" s="17" t="inlineStr">
        <is>
          <t>Luminária (DXF) — DXF</t>
        </is>
      </c>
      <c r="F136" s="18" t="n">
        <v>2</v>
      </c>
      <c r="G136" s="18" t="n">
        <v>1</v>
      </c>
      <c r="H136" s="19" t="n">
        <v>0</v>
      </c>
      <c r="I136" s="20">
        <f>(F136+H136*F136)*G136</f>
        <v/>
      </c>
      <c r="J136" s="18" t="inlineStr">
        <is>
          <t>un</t>
        </is>
      </c>
      <c r="K136" s="21" t="n">
        <v>85</v>
      </c>
      <c r="L136" s="22">
        <f>I136*K136</f>
        <v/>
      </c>
    </row>
    <row r="137">
      <c r="A137" s="17" t="inlineStr">
        <is>
          <t>EMBASAMENTO</t>
        </is>
      </c>
      <c r="B137" s="17" t="inlineStr">
        <is>
          <t>CASA DE MÁQUINAS</t>
        </is>
      </c>
      <c r="C137" s="17" t="inlineStr">
        <is>
          <t>INST. ELETRICAS</t>
        </is>
      </c>
      <c r="D137" s="17" t="inlineStr">
        <is>
          <t>INTERRUPTORES</t>
        </is>
      </c>
      <c r="E137" s="17" t="inlineStr">
        <is>
          <t>Interruptor 2 Teclas — DXF</t>
        </is>
      </c>
      <c r="F137" s="18" t="n">
        <v>1</v>
      </c>
      <c r="G137" s="18" t="n">
        <v>1</v>
      </c>
      <c r="H137" s="19" t="n">
        <v>0</v>
      </c>
      <c r="I137" s="20">
        <f>(F137+H137*F137)*G137</f>
        <v/>
      </c>
      <c r="J137" s="18" t="inlineStr">
        <is>
          <t>un</t>
        </is>
      </c>
      <c r="K137" s="21" t="n">
        <v>28</v>
      </c>
      <c r="L137" s="22">
        <f>I137*K137</f>
        <v/>
      </c>
    </row>
    <row r="138">
      <c r="A138" s="17" t="inlineStr">
        <is>
          <t>EMBASAMENTO</t>
        </is>
      </c>
      <c r="B138" s="17" t="inlineStr">
        <is>
          <t>CASA DE MÁQUINAS</t>
        </is>
      </c>
      <c r="C138" s="17" t="inlineStr">
        <is>
          <t>INST. ELETRICAS</t>
        </is>
      </c>
      <c r="D138" s="17" t="inlineStr">
        <is>
          <t>SENSORES</t>
        </is>
      </c>
      <c r="E138" s="17" t="inlineStr">
        <is>
          <t>Sensor — DXF</t>
        </is>
      </c>
      <c r="F138" s="18" t="n">
        <v>1</v>
      </c>
      <c r="G138" s="18" t="n">
        <v>1</v>
      </c>
      <c r="H138" s="19" t="n">
        <v>0</v>
      </c>
      <c r="I138" s="20">
        <f>(F138+H138*F138)*G138</f>
        <v/>
      </c>
      <c r="J138" s="18" t="inlineStr">
        <is>
          <t>un</t>
        </is>
      </c>
      <c r="K138" s="21" t="n">
        <v>65</v>
      </c>
      <c r="L138" s="22">
        <f>I138*K138</f>
        <v/>
      </c>
    </row>
    <row r="139">
      <c r="A139" s="17" t="inlineStr">
        <is>
          <t>EMBASAMENTO</t>
        </is>
      </c>
      <c r="B139" s="17" t="inlineStr">
        <is>
          <t>GERAL</t>
        </is>
      </c>
      <c r="C139" s="17" t="inlineStr">
        <is>
          <t>INST. ELETRICAS</t>
        </is>
      </c>
      <c r="D139" s="17" t="inlineStr">
        <is>
          <t>MAO DE OBRA</t>
        </is>
      </c>
      <c r="E139" s="17" t="inlineStr">
        <is>
          <t>Mao de obra inst. eletricas (estimada ~41%)</t>
        </is>
      </c>
      <c r="F139" s="18" t="n">
        <v>1</v>
      </c>
      <c r="G139" s="18" t="n">
        <v>1</v>
      </c>
      <c r="H139" s="19" t="n">
        <v>0</v>
      </c>
      <c r="I139" s="20">
        <f>(F139+H139*F139)*G139</f>
        <v/>
      </c>
      <c r="J139" s="18" t="inlineStr">
        <is>
          <t>vb</t>
        </is>
      </c>
      <c r="K139" s="21" t="n">
        <v>3067726.732033897</v>
      </c>
      <c r="L139" s="22">
        <f>I139*K139</f>
        <v/>
      </c>
    </row>
    <row r="140">
      <c r="A140" s="16" t="inlineStr">
        <is>
          <t>TORRE A</t>
        </is>
      </c>
      <c r="B140" s="16" t="inlineStr">
        <is>
          <t>PAVIMENTO TIPO (x24)</t>
        </is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</row>
    <row r="141">
      <c r="A141" s="17" t="inlineStr">
        <is>
          <t>TORRE A</t>
        </is>
      </c>
      <c r="B141" s="17" t="inlineStr">
        <is>
          <t>PAVIMENTO TIPO</t>
        </is>
      </c>
      <c r="C141" s="17" t="inlineStr">
        <is>
          <t>INST. ELETRICAS</t>
        </is>
      </c>
      <c r="D141" s="17" t="n"/>
      <c r="E141" s="17" t="n"/>
      <c r="F141" s="18" t="n"/>
      <c r="G141" s="18" t="n"/>
      <c r="H141" s="19" t="n"/>
      <c r="I141" s="20" t="n"/>
      <c r="J141" s="18" t="n"/>
      <c r="K141" s="21" t="n"/>
      <c r="L141" s="22" t="n"/>
    </row>
    <row r="142">
      <c r="A142" s="17" t="inlineStr">
        <is>
          <t>TORRE A</t>
        </is>
      </c>
      <c r="B142" s="17" t="inlineStr">
        <is>
          <t>PAVIMENTO TIPO</t>
        </is>
      </c>
      <c r="C142" s="17" t="inlineStr">
        <is>
          <t>INST. ELETRICAS</t>
        </is>
      </c>
      <c r="D142" s="17" t="inlineStr">
        <is>
          <t>LUMINARIAS</t>
        </is>
      </c>
      <c r="E142" s="17" t="inlineStr">
        <is>
          <t>Ponto de iluminacao (luminaria LED) — IFC</t>
        </is>
      </c>
      <c r="F142" s="18" t="n">
        <v>86.5</v>
      </c>
      <c r="G142" s="18" t="n">
        <v>24</v>
      </c>
      <c r="H142" s="19" t="n">
        <v>0</v>
      </c>
      <c r="I142" s="20">
        <f>(F142+H142*F142)*G142</f>
        <v/>
      </c>
      <c r="J142" s="18" t="inlineStr">
        <is>
          <t>pt</t>
        </is>
      </c>
      <c r="K142" s="21" t="n">
        <v>85</v>
      </c>
      <c r="L142" s="22">
        <f>I142*K142</f>
        <v/>
      </c>
    </row>
    <row r="143">
      <c r="A143" s="17" t="inlineStr">
        <is>
          <t>TORRE A</t>
        </is>
      </c>
      <c r="B143" s="17" t="inlineStr">
        <is>
          <t>PAVIMENTO TIPO</t>
        </is>
      </c>
      <c r="C143" s="17" t="inlineStr">
        <is>
          <t>INST. ELETRICAS</t>
        </is>
      </c>
      <c r="D143" s="17" t="inlineStr">
        <is>
          <t>ELETRODUTOS</t>
        </is>
      </c>
      <c r="E143" s="17" t="inlineStr">
        <is>
          <t>Eletroduto PVC Corrugado 3/4" (20mm) — Iluminacao — IFC</t>
        </is>
      </c>
      <c r="F143" s="18" t="n">
        <v>3471.7</v>
      </c>
      <c r="G143" s="18" t="n">
        <v>24</v>
      </c>
      <c r="H143" s="19" t="n">
        <v>0</v>
      </c>
      <c r="I143" s="20">
        <f>(F143+H143*F143)*G143</f>
        <v/>
      </c>
      <c r="J143" s="18" t="inlineStr">
        <is>
          <t>trecho</t>
        </is>
      </c>
      <c r="K143" s="21" t="n">
        <v>5.5</v>
      </c>
      <c r="L143" s="22">
        <f>I143*K143</f>
        <v/>
      </c>
    </row>
    <row r="144">
      <c r="A144" s="17" t="inlineStr">
        <is>
          <t>TORRE A</t>
        </is>
      </c>
      <c r="B144" s="17" t="inlineStr">
        <is>
          <t>PAVIMENTO TIPO</t>
        </is>
      </c>
      <c r="C144" s="17" t="inlineStr">
        <is>
          <t>INST. ELETRICAS</t>
        </is>
      </c>
      <c r="D144" s="17" t="inlineStr">
        <is>
          <t>ELETRODUTOS</t>
        </is>
      </c>
      <c r="E144" s="17" t="inlineStr">
        <is>
          <t>Eletroduto PVC Corrugado 1" (25mm) — Forca — IFC</t>
        </is>
      </c>
      <c r="F144" s="18" t="n">
        <v>24.8</v>
      </c>
      <c r="G144" s="18" t="n">
        <v>24</v>
      </c>
      <c r="H144" s="19" t="n">
        <v>0</v>
      </c>
      <c r="I144" s="20">
        <f>(F144+H144*F144)*G144</f>
        <v/>
      </c>
      <c r="J144" s="18" t="inlineStr">
        <is>
          <t>trecho</t>
        </is>
      </c>
      <c r="K144" s="21" t="n">
        <v>8.9</v>
      </c>
      <c r="L144" s="22">
        <f>I144*K144</f>
        <v/>
      </c>
    </row>
    <row r="145">
      <c r="A145" s="17" t="inlineStr">
        <is>
          <t>TORRE A</t>
        </is>
      </c>
      <c r="B145" s="17" t="inlineStr">
        <is>
          <t>PAVIMENTO TIPO</t>
        </is>
      </c>
      <c r="C145" s="17" t="inlineStr">
        <is>
          <t>INST. ELETRICAS</t>
        </is>
      </c>
      <c r="D145" s="17" t="inlineStr">
        <is>
          <t>ELETRODUTOS</t>
        </is>
      </c>
      <c r="E145" s="17" t="inlineStr">
        <is>
          <t>Eletroduto PVC Corrugado 1" (25mm) — Forca — IFC</t>
        </is>
      </c>
      <c r="F145" s="18" t="n">
        <v>149.5</v>
      </c>
      <c r="G145" s="18" t="n">
        <v>24</v>
      </c>
      <c r="H145" s="19" t="n">
        <v>0</v>
      </c>
      <c r="I145" s="20">
        <f>(F145+H145*F145)*G145</f>
        <v/>
      </c>
      <c r="J145" s="18" t="inlineStr">
        <is>
          <t>trecho</t>
        </is>
      </c>
      <c r="K145" s="21" t="n">
        <v>8.9</v>
      </c>
      <c r="L145" s="22">
        <f>I145*K145</f>
        <v/>
      </c>
    </row>
    <row r="146">
      <c r="A146" s="17" t="inlineStr">
        <is>
          <t>TORRE A</t>
        </is>
      </c>
      <c r="B146" s="17" t="inlineStr">
        <is>
          <t>PAVIMENTO TIPO</t>
        </is>
      </c>
      <c r="C146" s="17" t="inlineStr">
        <is>
          <t>INST. ELETRICAS</t>
        </is>
      </c>
      <c r="D146" s="17" t="inlineStr">
        <is>
          <t>ELETRODUTOS</t>
        </is>
      </c>
      <c r="E146" s="17" t="inlineStr">
        <is>
          <t>Eletroduto PVC Espiralado 1 1/4" (32mm) — Alimentadores — IFC</t>
        </is>
      </c>
      <c r="F146" s="18" t="n">
        <v>77.09999999999999</v>
      </c>
      <c r="G146" s="18" t="n">
        <v>24</v>
      </c>
      <c r="H146" s="19" t="n">
        <v>0</v>
      </c>
      <c r="I146" s="20">
        <f>(F146+H146*F146)*G146</f>
        <v/>
      </c>
      <c r="J146" s="18" t="inlineStr">
        <is>
          <t>trecho</t>
        </is>
      </c>
      <c r="K146" s="21" t="n">
        <v>12.5</v>
      </c>
      <c r="L146" s="22">
        <f>I146*K146</f>
        <v/>
      </c>
    </row>
    <row r="147">
      <c r="A147" s="17" t="inlineStr">
        <is>
          <t>TORRE A</t>
        </is>
      </c>
      <c r="B147" s="17" t="inlineStr">
        <is>
          <t>PAVIMENTO TIPO</t>
        </is>
      </c>
      <c r="C147" s="17" t="inlineStr">
        <is>
          <t>INST. ELETRICAS</t>
        </is>
      </c>
      <c r="D147" s="17" t="inlineStr">
        <is>
          <t>ELETRODUTOS</t>
        </is>
      </c>
      <c r="E147" s="17" t="inlineStr">
        <is>
          <t>Eletroduto PVC Espiralado 1 1/4" (32mm) — Alimentadores — IFC</t>
        </is>
      </c>
      <c r="F147" s="18" t="n">
        <v>151.1</v>
      </c>
      <c r="G147" s="18" t="n">
        <v>24</v>
      </c>
      <c r="H147" s="19" t="n">
        <v>0</v>
      </c>
      <c r="I147" s="20">
        <f>(F147+H147*F147)*G147</f>
        <v/>
      </c>
      <c r="J147" s="18" t="inlineStr">
        <is>
          <t>trecho</t>
        </is>
      </c>
      <c r="K147" s="21" t="n">
        <v>12.5</v>
      </c>
      <c r="L147" s="22">
        <f>I147*K147</f>
        <v/>
      </c>
    </row>
    <row r="148">
      <c r="A148" s="17" t="inlineStr">
        <is>
          <t>TORRE A</t>
        </is>
      </c>
      <c r="B148" s="17" t="inlineStr">
        <is>
          <t>PAVIMENTO TIPO</t>
        </is>
      </c>
      <c r="C148" s="17" t="inlineStr">
        <is>
          <t>INST. ELETRICAS</t>
        </is>
      </c>
      <c r="D148" s="17" t="inlineStr">
        <is>
          <t>ELETRODUTOS</t>
        </is>
      </c>
      <c r="E148" s="17" t="inlineStr">
        <is>
          <t>Eletroduto PVC Espiralado 1 1/2" (40mm) — Prumadas — IFC</t>
        </is>
      </c>
      <c r="F148" s="18" t="n">
        <v>239.5</v>
      </c>
      <c r="G148" s="18" t="n">
        <v>24</v>
      </c>
      <c r="H148" s="19" t="n">
        <v>0</v>
      </c>
      <c r="I148" s="20">
        <f>(F148+H148*F148)*G148</f>
        <v/>
      </c>
      <c r="J148" s="18" t="inlineStr">
        <is>
          <t>trecho</t>
        </is>
      </c>
      <c r="K148" s="21" t="n">
        <v>18.9</v>
      </c>
      <c r="L148" s="22">
        <f>I148*K148</f>
        <v/>
      </c>
    </row>
    <row r="149">
      <c r="A149" s="17" t="inlineStr">
        <is>
          <t>TORRE A</t>
        </is>
      </c>
      <c r="B149" s="17" t="inlineStr">
        <is>
          <t>PAVIMENTO TIPO</t>
        </is>
      </c>
      <c r="C149" s="17" t="inlineStr">
        <is>
          <t>INST. ELETRICAS</t>
        </is>
      </c>
      <c r="D149" s="17" t="inlineStr">
        <is>
          <t>ELETRODUTOS</t>
        </is>
      </c>
      <c r="E149" s="17" t="inlineStr">
        <is>
          <t>Eletroduto PVC Rigido 2" (50mm) — Alimentacao geral — IFC</t>
        </is>
      </c>
      <c r="F149" s="18" t="n">
        <v>4.1</v>
      </c>
      <c r="G149" s="18" t="n">
        <v>24</v>
      </c>
      <c r="H149" s="19" t="n">
        <v>0</v>
      </c>
      <c r="I149" s="20">
        <f>(F149+H149*F149)*G149</f>
        <v/>
      </c>
      <c r="J149" s="18" t="inlineStr">
        <is>
          <t>trecho</t>
        </is>
      </c>
      <c r="K149" s="21" t="n">
        <v>28.5</v>
      </c>
      <c r="L149" s="22">
        <f>I149*K149</f>
        <v/>
      </c>
    </row>
    <row r="150">
      <c r="A150" s="17" t="inlineStr">
        <is>
          <t>TORRE A</t>
        </is>
      </c>
      <c r="B150" s="17" t="inlineStr">
        <is>
          <t>PAVIMENTO TIPO</t>
        </is>
      </c>
      <c r="C150" s="17" t="inlineStr">
        <is>
          <t>INST. ELETRICAS</t>
        </is>
      </c>
      <c r="D150" s="17" t="inlineStr">
        <is>
          <t>ELETRODUTOS</t>
        </is>
      </c>
      <c r="E150" s="17" t="inlineStr">
        <is>
          <t>Eletroduto Aco galvanizado 3" (75mm) — Entrada — IFC</t>
        </is>
      </c>
      <c r="F150" s="18" t="n">
        <v>49.7</v>
      </c>
      <c r="G150" s="18" t="n">
        <v>24</v>
      </c>
      <c r="H150" s="19" t="n">
        <v>0</v>
      </c>
      <c r="I150" s="20">
        <f>(F150+H150*F150)*G150</f>
        <v/>
      </c>
      <c r="J150" s="18" t="inlineStr">
        <is>
          <t>trecho</t>
        </is>
      </c>
      <c r="K150" s="21" t="n">
        <v>58.33</v>
      </c>
      <c r="L150" s="22">
        <f>I150*K150</f>
        <v/>
      </c>
    </row>
    <row r="151">
      <c r="A151" s="17" t="inlineStr">
        <is>
          <t>TORRE A</t>
        </is>
      </c>
      <c r="B151" s="17" t="inlineStr">
        <is>
          <t>PAVIMENTO TIPO</t>
        </is>
      </c>
      <c r="C151" s="17" t="inlineStr">
        <is>
          <t>INST. ELETRICAS</t>
        </is>
      </c>
      <c r="D151" s="17" t="inlineStr">
        <is>
          <t>TOMADAS</t>
        </is>
      </c>
      <c r="E151" s="17" t="inlineStr">
        <is>
          <t>Tomada 10A (TUG) — DXF</t>
        </is>
      </c>
      <c r="F151" s="18" t="n">
        <v>86.5</v>
      </c>
      <c r="G151" s="18" t="n">
        <v>24</v>
      </c>
      <c r="H151" s="19" t="n">
        <v>0</v>
      </c>
      <c r="I151" s="20">
        <f>(F151+H151*F151)*G151</f>
        <v/>
      </c>
      <c r="J151" s="18" t="inlineStr">
        <is>
          <t>un</t>
        </is>
      </c>
      <c r="K151" s="21" t="n">
        <v>28.5</v>
      </c>
      <c r="L151" s="22">
        <f>I151*K151</f>
        <v/>
      </c>
    </row>
    <row r="152">
      <c r="A152" s="17" t="inlineStr">
        <is>
          <t>TORRE A</t>
        </is>
      </c>
      <c r="B152" s="17" t="inlineStr">
        <is>
          <t>PAVIMENTO TIPO</t>
        </is>
      </c>
      <c r="C152" s="17" t="inlineStr">
        <is>
          <t>INST. ELETRICAS</t>
        </is>
      </c>
      <c r="D152" s="17" t="inlineStr">
        <is>
          <t>TOMADAS</t>
        </is>
      </c>
      <c r="E152" s="17" t="inlineStr">
        <is>
          <t>Tomada 20A (TUE) — DXF</t>
        </is>
      </c>
      <c r="F152" s="18" t="n">
        <v>41</v>
      </c>
      <c r="G152" s="18" t="n">
        <v>24</v>
      </c>
      <c r="H152" s="19" t="n">
        <v>0</v>
      </c>
      <c r="I152" s="20">
        <f>(F152+H152*F152)*G152</f>
        <v/>
      </c>
      <c r="J152" s="18" t="inlineStr">
        <is>
          <t>un</t>
        </is>
      </c>
      <c r="K152" s="21" t="n">
        <v>35</v>
      </c>
      <c r="L152" s="22">
        <f>I152*K152</f>
        <v/>
      </c>
    </row>
    <row r="153">
      <c r="A153" s="17" t="inlineStr">
        <is>
          <t>TORRE A</t>
        </is>
      </c>
      <c r="B153" s="17" t="inlineStr">
        <is>
          <t>PAVIMENTO TIPO</t>
        </is>
      </c>
      <c r="C153" s="17" t="inlineStr">
        <is>
          <t>INST. ELETRICAS</t>
        </is>
      </c>
      <c r="D153" s="17" t="inlineStr">
        <is>
          <t>INTERRUPTORES</t>
        </is>
      </c>
      <c r="E153" s="17" t="inlineStr">
        <is>
          <t>Interruptor 1 Tecla — DXF</t>
        </is>
      </c>
      <c r="F153" s="18" t="n">
        <v>25.5</v>
      </c>
      <c r="G153" s="18" t="n">
        <v>24</v>
      </c>
      <c r="H153" s="19" t="n">
        <v>0</v>
      </c>
      <c r="I153" s="20">
        <f>(F153+H153*F153)*G153</f>
        <v/>
      </c>
      <c r="J153" s="18" t="inlineStr">
        <is>
          <t>un</t>
        </is>
      </c>
      <c r="K153" s="21" t="n">
        <v>22</v>
      </c>
      <c r="L153" s="22">
        <f>I153*K153</f>
        <v/>
      </c>
    </row>
    <row r="154">
      <c r="A154" s="17" t="inlineStr">
        <is>
          <t>TORRE A</t>
        </is>
      </c>
      <c r="B154" s="17" t="inlineStr">
        <is>
          <t>PAVIMENTO TIPO</t>
        </is>
      </c>
      <c r="C154" s="17" t="inlineStr">
        <is>
          <t>INST. ELETRICAS</t>
        </is>
      </c>
      <c r="D154" s="17" t="inlineStr">
        <is>
          <t>INTERRUPTORES</t>
        </is>
      </c>
      <c r="E154" s="17" t="inlineStr">
        <is>
          <t>Interruptor Paralelo — DXF</t>
        </is>
      </c>
      <c r="F154" s="18" t="n">
        <v>20.5</v>
      </c>
      <c r="G154" s="18" t="n">
        <v>24</v>
      </c>
      <c r="H154" s="19" t="n">
        <v>0</v>
      </c>
      <c r="I154" s="20">
        <f>(F154+H154*F154)*G154</f>
        <v/>
      </c>
      <c r="J154" s="18" t="inlineStr">
        <is>
          <t>un</t>
        </is>
      </c>
      <c r="K154" s="21" t="n">
        <v>32</v>
      </c>
      <c r="L154" s="22">
        <f>I154*K154</f>
        <v/>
      </c>
    </row>
    <row r="155">
      <c r="A155" s="17" t="inlineStr">
        <is>
          <t>TORRE A</t>
        </is>
      </c>
      <c r="B155" s="17" t="inlineStr">
        <is>
          <t>PAVIMENTO TIPO</t>
        </is>
      </c>
      <c r="C155" s="17" t="inlineStr">
        <is>
          <t>INST. ELETRICAS</t>
        </is>
      </c>
      <c r="D155" s="17" t="inlineStr">
        <is>
          <t>TOMADAS</t>
        </is>
      </c>
      <c r="E155" s="17" t="inlineStr">
        <is>
          <t>Tomada Chuveiro — DXF</t>
        </is>
      </c>
      <c r="F155" s="18" t="n">
        <v>12</v>
      </c>
      <c r="G155" s="18" t="n">
        <v>24</v>
      </c>
      <c r="H155" s="19" t="n">
        <v>0</v>
      </c>
      <c r="I155" s="20">
        <f>(F155+H155*F155)*G155</f>
        <v/>
      </c>
      <c r="J155" s="18" t="inlineStr">
        <is>
          <t>un</t>
        </is>
      </c>
      <c r="K155" s="21" t="n">
        <v>42</v>
      </c>
      <c r="L155" s="22">
        <f>I155*K155</f>
        <v/>
      </c>
    </row>
    <row r="156">
      <c r="A156" s="17" t="inlineStr">
        <is>
          <t>TORRE A</t>
        </is>
      </c>
      <c r="B156" s="17" t="inlineStr">
        <is>
          <t>PAVIMENTO TIPO</t>
        </is>
      </c>
      <c r="C156" s="17" t="inlineStr">
        <is>
          <t>INST. ELETRICAS</t>
        </is>
      </c>
      <c r="D156" s="17" t="inlineStr">
        <is>
          <t>QUADROS</t>
        </is>
      </c>
      <c r="E156" s="17" t="inlineStr">
        <is>
          <t>Quadro Distribuição — DXF</t>
        </is>
      </c>
      <c r="F156" s="18" t="n">
        <v>8</v>
      </c>
      <c r="G156" s="18" t="n">
        <v>24</v>
      </c>
      <c r="H156" s="19" t="n">
        <v>0</v>
      </c>
      <c r="I156" s="20">
        <f>(F156+H156*F156)*G156</f>
        <v/>
      </c>
      <c r="J156" s="18" t="inlineStr">
        <is>
          <t>un</t>
        </is>
      </c>
      <c r="K156" s="21" t="n">
        <v>450</v>
      </c>
      <c r="L156" s="22">
        <f>I156*K156</f>
        <v/>
      </c>
    </row>
    <row r="157">
      <c r="A157" s="17" t="inlineStr">
        <is>
          <t>TORRE A</t>
        </is>
      </c>
      <c r="B157" s="17" t="inlineStr">
        <is>
          <t>PAVIMENTO TIPO</t>
        </is>
      </c>
      <c r="C157" s="17" t="inlineStr">
        <is>
          <t>INST. ELETRICAS</t>
        </is>
      </c>
      <c r="D157" s="17" t="inlineStr">
        <is>
          <t>QUADROS</t>
        </is>
      </c>
      <c r="E157" s="17" t="inlineStr">
        <is>
          <t>Quadro de Comando — DXF</t>
        </is>
      </c>
      <c r="F157" s="18" t="n">
        <v>7</v>
      </c>
      <c r="G157" s="18" t="n">
        <v>24</v>
      </c>
      <c r="H157" s="19" t="n">
        <v>0</v>
      </c>
      <c r="I157" s="20">
        <f>(F157+H157*F157)*G157</f>
        <v/>
      </c>
      <c r="J157" s="18" t="inlineStr">
        <is>
          <t>un</t>
        </is>
      </c>
      <c r="K157" s="21" t="n">
        <v>850</v>
      </c>
      <c r="L157" s="22">
        <f>I157*K157</f>
        <v/>
      </c>
    </row>
    <row r="158">
      <c r="A158" s="17" t="inlineStr">
        <is>
          <t>TORRE A</t>
        </is>
      </c>
      <c r="B158" s="17" t="inlineStr">
        <is>
          <t>PAVIMENTO TIPO</t>
        </is>
      </c>
      <c r="C158" s="17" t="inlineStr">
        <is>
          <t>INST. ELETRICAS</t>
        </is>
      </c>
      <c r="D158" s="17" t="inlineStr">
        <is>
          <t>INTERRUPTORES</t>
        </is>
      </c>
      <c r="E158" s="17" t="inlineStr">
        <is>
          <t>Interruptor 2 Teclas — DXF</t>
        </is>
      </c>
      <c r="F158" s="18" t="n">
        <v>5</v>
      </c>
      <c r="G158" s="18" t="n">
        <v>24</v>
      </c>
      <c r="H158" s="19" t="n">
        <v>0</v>
      </c>
      <c r="I158" s="20">
        <f>(F158+H158*F158)*G158</f>
        <v/>
      </c>
      <c r="J158" s="18" t="inlineStr">
        <is>
          <t>un</t>
        </is>
      </c>
      <c r="K158" s="21" t="n">
        <v>28</v>
      </c>
      <c r="L158" s="22">
        <f>I158*K158</f>
        <v/>
      </c>
    </row>
    <row r="159">
      <c r="A159" s="17" t="inlineStr">
        <is>
          <t>TORRE A</t>
        </is>
      </c>
      <c r="B159" s="17" t="inlineStr">
        <is>
          <t>PAVIMENTO TIPO</t>
        </is>
      </c>
      <c r="C159" s="17" t="inlineStr">
        <is>
          <t>INST. ELETRICAS</t>
        </is>
      </c>
      <c r="D159" s="17" t="inlineStr">
        <is>
          <t>LUMINARIAS</t>
        </is>
      </c>
      <c r="E159" s="17" t="inlineStr">
        <is>
          <t>Arandela — DXF</t>
        </is>
      </c>
      <c r="F159" s="18" t="n">
        <v>5.2</v>
      </c>
      <c r="G159" s="18" t="n">
        <v>24</v>
      </c>
      <c r="H159" s="19" t="n">
        <v>0</v>
      </c>
      <c r="I159" s="20">
        <f>(F159+H159*F159)*G159</f>
        <v/>
      </c>
      <c r="J159" s="18" t="inlineStr">
        <is>
          <t>un</t>
        </is>
      </c>
      <c r="K159" s="21" t="n">
        <v>95</v>
      </c>
      <c r="L159" s="22">
        <f>I159*K159</f>
        <v/>
      </c>
    </row>
    <row r="160">
      <c r="A160" s="17" t="inlineStr">
        <is>
          <t>TORRE A</t>
        </is>
      </c>
      <c r="B160" s="17" t="inlineStr">
        <is>
          <t>PAVIMENTO TIPO</t>
        </is>
      </c>
      <c r="C160" s="17" t="inlineStr">
        <is>
          <t>INST. ELETRICAS</t>
        </is>
      </c>
      <c r="D160" s="17" t="inlineStr">
        <is>
          <t>TOMADAS</t>
        </is>
      </c>
      <c r="E160" s="17" t="inlineStr">
        <is>
          <t>Tomada Ar-Condicionado — DXF</t>
        </is>
      </c>
      <c r="F160" s="18" t="n">
        <v>5</v>
      </c>
      <c r="G160" s="18" t="n">
        <v>24</v>
      </c>
      <c r="H160" s="19" t="n">
        <v>0</v>
      </c>
      <c r="I160" s="20">
        <f>(F160+H160*F160)*G160</f>
        <v/>
      </c>
      <c r="J160" s="18" t="inlineStr">
        <is>
          <t>un</t>
        </is>
      </c>
      <c r="K160" s="21" t="n">
        <v>38</v>
      </c>
      <c r="L160" s="22">
        <f>I160*K160</f>
        <v/>
      </c>
    </row>
    <row r="161">
      <c r="A161" s="17" t="inlineStr">
        <is>
          <t>TORRE A</t>
        </is>
      </c>
      <c r="B161" s="17" t="inlineStr">
        <is>
          <t>PAVIMENTO TIPO</t>
        </is>
      </c>
      <c r="C161" s="17" t="inlineStr">
        <is>
          <t>INST. ELETRICAS</t>
        </is>
      </c>
      <c r="D161" s="17" t="inlineStr">
        <is>
          <t>QUADROS</t>
        </is>
      </c>
      <c r="E161" s="17" t="inlineStr">
        <is>
          <t>Quadro de Medição — DXF</t>
        </is>
      </c>
      <c r="F161" s="18" t="n">
        <v>3</v>
      </c>
      <c r="G161" s="18" t="n">
        <v>24</v>
      </c>
      <c r="H161" s="19" t="n">
        <v>0</v>
      </c>
      <c r="I161" s="20">
        <f>(F161+H161*F161)*G161</f>
        <v/>
      </c>
      <c r="J161" s="18" t="inlineStr">
        <is>
          <t>un</t>
        </is>
      </c>
      <c r="K161" s="21" t="n">
        <v>1100</v>
      </c>
      <c r="L161" s="22">
        <f>I161*K161</f>
        <v/>
      </c>
    </row>
    <row r="162">
      <c r="A162" s="17" t="inlineStr">
        <is>
          <t>TORRE A</t>
        </is>
      </c>
      <c r="B162" s="17" t="inlineStr">
        <is>
          <t>PAVIMENTO TIPO</t>
        </is>
      </c>
      <c r="C162" s="17" t="inlineStr">
        <is>
          <t>INST. ELETRICAS</t>
        </is>
      </c>
      <c r="D162" s="17" t="inlineStr">
        <is>
          <t>LUMINARIAS</t>
        </is>
      </c>
      <c r="E162" s="17" t="inlineStr">
        <is>
          <t>Luminária (DXF) — DXF</t>
        </is>
      </c>
      <c r="F162" s="18" t="n">
        <v>1</v>
      </c>
      <c r="G162" s="18" t="n">
        <v>24</v>
      </c>
      <c r="H162" s="19" t="n">
        <v>0</v>
      </c>
      <c r="I162" s="20">
        <f>(F162+H162*F162)*G162</f>
        <v/>
      </c>
      <c r="J162" s="18" t="inlineStr">
        <is>
          <t>un</t>
        </is>
      </c>
      <c r="K162" s="21" t="n">
        <v>85</v>
      </c>
      <c r="L162" s="22">
        <f>I162*K162</f>
        <v/>
      </c>
    </row>
    <row r="163">
      <c r="A163" s="17" t="inlineStr">
        <is>
          <t>TORRE A</t>
        </is>
      </c>
      <c r="B163" s="17" t="inlineStr">
        <is>
          <t>PAVIMENTO TIPO</t>
        </is>
      </c>
      <c r="C163" s="17" t="inlineStr">
        <is>
          <t>INST. ELETRICAS</t>
        </is>
      </c>
      <c r="D163" s="17" t="inlineStr">
        <is>
          <t>TOMADAS</t>
        </is>
      </c>
      <c r="E163" s="17" t="inlineStr">
        <is>
          <t>Tomada (Genérica) — DXF</t>
        </is>
      </c>
      <c r="F163" s="18" t="n">
        <v>1</v>
      </c>
      <c r="G163" s="18" t="n">
        <v>24</v>
      </c>
      <c r="H163" s="19" t="n">
        <v>0</v>
      </c>
      <c r="I163" s="20">
        <f>(F163+H163*F163)*G163</f>
        <v/>
      </c>
      <c r="J163" s="18" t="inlineStr">
        <is>
          <t>un</t>
        </is>
      </c>
      <c r="K163" s="21" t="n">
        <v>28.5</v>
      </c>
      <c r="L163" s="22">
        <f>I163*K163</f>
        <v/>
      </c>
    </row>
    <row r="164">
      <c r="A164" s="17" t="inlineStr">
        <is>
          <t>TORRE A</t>
        </is>
      </c>
      <c r="B164" s="17" t="inlineStr">
        <is>
          <t>PAVIMENTO TIPO</t>
        </is>
      </c>
      <c r="C164" s="17" t="inlineStr">
        <is>
          <t>INST. ELETRICAS</t>
        </is>
      </c>
      <c r="D164" s="17" t="inlineStr">
        <is>
          <t>INTERRUPTORES</t>
        </is>
      </c>
      <c r="E164" s="17" t="inlineStr">
        <is>
          <t>Interruptor 3 Teclas — DXF</t>
        </is>
      </c>
      <c r="F164" s="18" t="n">
        <v>1</v>
      </c>
      <c r="G164" s="18" t="n">
        <v>24</v>
      </c>
      <c r="H164" s="19" t="n">
        <v>0</v>
      </c>
      <c r="I164" s="20">
        <f>(F164+H164*F164)*G164</f>
        <v/>
      </c>
      <c r="J164" s="18" t="inlineStr">
        <is>
          <t>un</t>
        </is>
      </c>
      <c r="K164" s="21" t="n">
        <v>34</v>
      </c>
      <c r="L164" s="22">
        <f>I164*K164</f>
        <v/>
      </c>
    </row>
    <row r="165">
      <c r="A165" s="16" t="inlineStr">
        <is>
          <t>TORRE B</t>
        </is>
      </c>
      <c r="B165" s="16" t="inlineStr">
        <is>
          <t>PAVIMENTO TIPO (x24)</t>
        </is>
      </c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</row>
    <row r="166">
      <c r="A166" s="17" t="inlineStr">
        <is>
          <t>TORRE B</t>
        </is>
      </c>
      <c r="B166" s="17" t="inlineStr">
        <is>
          <t>PAVIMENTO TIPO</t>
        </is>
      </c>
      <c r="C166" s="17" t="inlineStr">
        <is>
          <t>INST. ELETRICAS</t>
        </is>
      </c>
      <c r="D166" s="17" t="n"/>
      <c r="E166" s="17" t="n"/>
      <c r="F166" s="18" t="n"/>
      <c r="G166" s="18" t="n"/>
      <c r="H166" s="19" t="n"/>
      <c r="I166" s="20" t="n"/>
      <c r="J166" s="18" t="n"/>
      <c r="K166" s="21" t="n"/>
      <c r="L166" s="22" t="n"/>
    </row>
    <row r="167">
      <c r="A167" s="17" t="inlineStr">
        <is>
          <t>TORRE B</t>
        </is>
      </c>
      <c r="B167" s="17" t="inlineStr">
        <is>
          <t>PAVIMENTO TIPO</t>
        </is>
      </c>
      <c r="C167" s="17" t="inlineStr">
        <is>
          <t>INST. ELETRICAS</t>
        </is>
      </c>
      <c r="D167" s="17" t="inlineStr">
        <is>
          <t>LUMINARIAS</t>
        </is>
      </c>
      <c r="E167" s="17" t="inlineStr">
        <is>
          <t>Ponto de iluminacao (luminaria LED) — IFC</t>
        </is>
      </c>
      <c r="F167" s="18" t="n">
        <v>79.5</v>
      </c>
      <c r="G167" s="18" t="n">
        <v>24</v>
      </c>
      <c r="H167" s="19" t="n">
        <v>0</v>
      </c>
      <c r="I167" s="20">
        <f>(F167+H167*F167)*G167</f>
        <v/>
      </c>
      <c r="J167" s="18" t="inlineStr">
        <is>
          <t>pt</t>
        </is>
      </c>
      <c r="K167" s="21" t="n">
        <v>85</v>
      </c>
      <c r="L167" s="22">
        <f>I167*K167</f>
        <v/>
      </c>
    </row>
    <row r="168">
      <c r="A168" s="17" t="inlineStr">
        <is>
          <t>TORRE B</t>
        </is>
      </c>
      <c r="B168" s="17" t="inlineStr">
        <is>
          <t>PAVIMENTO TIPO</t>
        </is>
      </c>
      <c r="C168" s="17" t="inlineStr">
        <is>
          <t>INST. ELETRICAS</t>
        </is>
      </c>
      <c r="D168" s="17" t="inlineStr">
        <is>
          <t>ELETRODUTOS</t>
        </is>
      </c>
      <c r="E168" s="17" t="inlineStr">
        <is>
          <t>Eletroduto PVC Corrugado 3/4" (20mm) — Iluminacao — IFC</t>
        </is>
      </c>
      <c r="F168" s="18" t="n">
        <v>3192.3</v>
      </c>
      <c r="G168" s="18" t="n">
        <v>24</v>
      </c>
      <c r="H168" s="19" t="n">
        <v>0</v>
      </c>
      <c r="I168" s="20">
        <f>(F168+H168*F168)*G168</f>
        <v/>
      </c>
      <c r="J168" s="18" t="inlineStr">
        <is>
          <t>trecho</t>
        </is>
      </c>
      <c r="K168" s="21" t="n">
        <v>5.5</v>
      </c>
      <c r="L168" s="22">
        <f>I168*K168</f>
        <v/>
      </c>
    </row>
    <row r="169">
      <c r="A169" s="17" t="inlineStr">
        <is>
          <t>TORRE B</t>
        </is>
      </c>
      <c r="B169" s="17" t="inlineStr">
        <is>
          <t>PAVIMENTO TIPO</t>
        </is>
      </c>
      <c r="C169" s="17" t="inlineStr">
        <is>
          <t>INST. ELETRICAS</t>
        </is>
      </c>
      <c r="D169" s="17" t="inlineStr">
        <is>
          <t>ELETRODUTOS</t>
        </is>
      </c>
      <c r="E169" s="17" t="inlineStr">
        <is>
          <t>Eletroduto PVC Corrugado 1" (25mm) — Forca — IFC</t>
        </is>
      </c>
      <c r="F169" s="18" t="n">
        <v>23.2</v>
      </c>
      <c r="G169" s="18" t="n">
        <v>24</v>
      </c>
      <c r="H169" s="19" t="n">
        <v>0</v>
      </c>
      <c r="I169" s="20">
        <f>(F169+H169*F169)*G169</f>
        <v/>
      </c>
      <c r="J169" s="18" t="inlineStr">
        <is>
          <t>trecho</t>
        </is>
      </c>
      <c r="K169" s="21" t="n">
        <v>8.9</v>
      </c>
      <c r="L169" s="22">
        <f>I169*K169</f>
        <v/>
      </c>
    </row>
    <row r="170">
      <c r="A170" s="17" t="inlineStr">
        <is>
          <t>TORRE B</t>
        </is>
      </c>
      <c r="B170" s="17" t="inlineStr">
        <is>
          <t>PAVIMENTO TIPO</t>
        </is>
      </c>
      <c r="C170" s="17" t="inlineStr">
        <is>
          <t>INST. ELETRICAS</t>
        </is>
      </c>
      <c r="D170" s="17" t="inlineStr">
        <is>
          <t>ELETRODUTOS</t>
        </is>
      </c>
      <c r="E170" s="17" t="inlineStr">
        <is>
          <t>Eletroduto PVC Corrugado 1" (25mm) — Forca — IFC</t>
        </is>
      </c>
      <c r="F170" s="18" t="n">
        <v>139.5</v>
      </c>
      <c r="G170" s="18" t="n">
        <v>24</v>
      </c>
      <c r="H170" s="19" t="n">
        <v>0</v>
      </c>
      <c r="I170" s="20">
        <f>(F170+H170*F170)*G170</f>
        <v/>
      </c>
      <c r="J170" s="18" t="inlineStr">
        <is>
          <t>trecho</t>
        </is>
      </c>
      <c r="K170" s="21" t="n">
        <v>8.9</v>
      </c>
      <c r="L170" s="22">
        <f>I170*K170</f>
        <v/>
      </c>
    </row>
    <row r="171">
      <c r="A171" s="17" t="inlineStr">
        <is>
          <t>TORRE B</t>
        </is>
      </c>
      <c r="B171" s="17" t="inlineStr">
        <is>
          <t>PAVIMENTO TIPO</t>
        </is>
      </c>
      <c r="C171" s="17" t="inlineStr">
        <is>
          <t>INST. ELETRICAS</t>
        </is>
      </c>
      <c r="D171" s="17" t="inlineStr">
        <is>
          <t>ELETRODUTOS</t>
        </is>
      </c>
      <c r="E171" s="17" t="inlineStr">
        <is>
          <t>Eletroduto PVC Espiralado 1 1/4" (32mm) — Alimentadores — IFC</t>
        </is>
      </c>
      <c r="F171" s="18" t="n">
        <v>71.90000000000001</v>
      </c>
      <c r="G171" s="18" t="n">
        <v>24</v>
      </c>
      <c r="H171" s="19" t="n">
        <v>0</v>
      </c>
      <c r="I171" s="20">
        <f>(F171+H171*F171)*G171</f>
        <v/>
      </c>
      <c r="J171" s="18" t="inlineStr">
        <is>
          <t>trecho</t>
        </is>
      </c>
      <c r="K171" s="21" t="n">
        <v>12.5</v>
      </c>
      <c r="L171" s="22">
        <f>I171*K171</f>
        <v/>
      </c>
    </row>
    <row r="172">
      <c r="A172" s="17" t="inlineStr">
        <is>
          <t>TORRE B</t>
        </is>
      </c>
      <c r="B172" s="17" t="inlineStr">
        <is>
          <t>PAVIMENTO TIPO</t>
        </is>
      </c>
      <c r="C172" s="17" t="inlineStr">
        <is>
          <t>INST. ELETRICAS</t>
        </is>
      </c>
      <c r="D172" s="17" t="inlineStr">
        <is>
          <t>ELETRODUTOS</t>
        </is>
      </c>
      <c r="E172" s="17" t="inlineStr">
        <is>
          <t>Eletroduto PVC Espiralado 1 1/4" (32mm) — Alimentadores — IFC</t>
        </is>
      </c>
      <c r="F172" s="18" t="n">
        <v>140.9</v>
      </c>
      <c r="G172" s="18" t="n">
        <v>24</v>
      </c>
      <c r="H172" s="19" t="n">
        <v>0</v>
      </c>
      <c r="I172" s="20">
        <f>(F172+H172*F172)*G172</f>
        <v/>
      </c>
      <c r="J172" s="18" t="inlineStr">
        <is>
          <t>trecho</t>
        </is>
      </c>
      <c r="K172" s="21" t="n">
        <v>12.5</v>
      </c>
      <c r="L172" s="22">
        <f>I172*K172</f>
        <v/>
      </c>
    </row>
    <row r="173">
      <c r="A173" s="17" t="inlineStr">
        <is>
          <t>TORRE B</t>
        </is>
      </c>
      <c r="B173" s="17" t="inlineStr">
        <is>
          <t>PAVIMENTO TIPO</t>
        </is>
      </c>
      <c r="C173" s="17" t="inlineStr">
        <is>
          <t>INST. ELETRICAS</t>
        </is>
      </c>
      <c r="D173" s="17" t="inlineStr">
        <is>
          <t>ELETRODUTOS</t>
        </is>
      </c>
      <c r="E173" s="17" t="inlineStr">
        <is>
          <t>Eletroduto PVC Espiralado 1 1/2" (40mm) — Prumadas — IFC</t>
        </is>
      </c>
      <c r="F173" s="18" t="n">
        <v>223.5</v>
      </c>
      <c r="G173" s="18" t="n">
        <v>24</v>
      </c>
      <c r="H173" s="19" t="n">
        <v>0</v>
      </c>
      <c r="I173" s="20">
        <f>(F173+H173*F173)*G173</f>
        <v/>
      </c>
      <c r="J173" s="18" t="inlineStr">
        <is>
          <t>trecho</t>
        </is>
      </c>
      <c r="K173" s="21" t="n">
        <v>18.9</v>
      </c>
      <c r="L173" s="22">
        <f>I173*K173</f>
        <v/>
      </c>
    </row>
    <row r="174">
      <c r="A174" s="17" t="inlineStr">
        <is>
          <t>TORRE B</t>
        </is>
      </c>
      <c r="B174" s="17" t="inlineStr">
        <is>
          <t>PAVIMENTO TIPO</t>
        </is>
      </c>
      <c r="C174" s="17" t="inlineStr">
        <is>
          <t>INST. ELETRICAS</t>
        </is>
      </c>
      <c r="D174" s="17" t="inlineStr">
        <is>
          <t>ELETRODUTOS</t>
        </is>
      </c>
      <c r="E174" s="17" t="inlineStr">
        <is>
          <t>Eletroduto PVC Rigido 2" (50mm) — Alimentacao geral — IFC</t>
        </is>
      </c>
      <c r="F174" s="18" t="n">
        <v>3.9</v>
      </c>
      <c r="G174" s="18" t="n">
        <v>24</v>
      </c>
      <c r="H174" s="19" t="n">
        <v>0</v>
      </c>
      <c r="I174" s="20">
        <f>(F174+H174*F174)*G174</f>
        <v/>
      </c>
      <c r="J174" s="18" t="inlineStr">
        <is>
          <t>trecho</t>
        </is>
      </c>
      <c r="K174" s="21" t="n">
        <v>28.5</v>
      </c>
      <c r="L174" s="22">
        <f>I174*K174</f>
        <v/>
      </c>
    </row>
    <row r="175">
      <c r="A175" s="17" t="inlineStr">
        <is>
          <t>TORRE B</t>
        </is>
      </c>
      <c r="B175" s="17" t="inlineStr">
        <is>
          <t>PAVIMENTO TIPO</t>
        </is>
      </c>
      <c r="C175" s="17" t="inlineStr">
        <is>
          <t>INST. ELETRICAS</t>
        </is>
      </c>
      <c r="D175" s="17" t="inlineStr">
        <is>
          <t>ELETRODUTOS</t>
        </is>
      </c>
      <c r="E175" s="17" t="inlineStr">
        <is>
          <t>Eletroduto Aco galvanizado 3" (75mm) — Entrada — IFC</t>
        </is>
      </c>
      <c r="F175" s="18" t="n">
        <v>46.3</v>
      </c>
      <c r="G175" s="18" t="n">
        <v>24</v>
      </c>
      <c r="H175" s="19" t="n">
        <v>0</v>
      </c>
      <c r="I175" s="20">
        <f>(F175+H175*F175)*G175</f>
        <v/>
      </c>
      <c r="J175" s="18" t="inlineStr">
        <is>
          <t>trecho</t>
        </is>
      </c>
      <c r="K175" s="21" t="n">
        <v>58.33</v>
      </c>
      <c r="L175" s="22">
        <f>I175*K175</f>
        <v/>
      </c>
    </row>
    <row r="176">
      <c r="A176" s="17" t="inlineStr">
        <is>
          <t>TORRE B</t>
        </is>
      </c>
      <c r="B176" s="17" t="inlineStr">
        <is>
          <t>PAVIMENTO TIPO</t>
        </is>
      </c>
      <c r="C176" s="17" t="inlineStr">
        <is>
          <t>INST. ELETRICAS</t>
        </is>
      </c>
      <c r="D176" s="17" t="inlineStr">
        <is>
          <t>TOMADAS</t>
        </is>
      </c>
      <c r="E176" s="17" t="inlineStr">
        <is>
          <t>Tomada 10A (TUG) — DXF</t>
        </is>
      </c>
      <c r="F176" s="18" t="n">
        <v>86.5</v>
      </c>
      <c r="G176" s="18" t="n">
        <v>24</v>
      </c>
      <c r="H176" s="19" t="n">
        <v>0</v>
      </c>
      <c r="I176" s="20">
        <f>(F176+H176*F176)*G176</f>
        <v/>
      </c>
      <c r="J176" s="18" t="inlineStr">
        <is>
          <t>un</t>
        </is>
      </c>
      <c r="K176" s="21" t="n">
        <v>28.5</v>
      </c>
      <c r="L176" s="22">
        <f>I176*K176</f>
        <v/>
      </c>
    </row>
    <row r="177">
      <c r="A177" s="17" t="inlineStr">
        <is>
          <t>TORRE B</t>
        </is>
      </c>
      <c r="B177" s="17" t="inlineStr">
        <is>
          <t>PAVIMENTO TIPO</t>
        </is>
      </c>
      <c r="C177" s="17" t="inlineStr">
        <is>
          <t>INST. ELETRICAS</t>
        </is>
      </c>
      <c r="D177" s="17" t="inlineStr">
        <is>
          <t>TOMADAS</t>
        </is>
      </c>
      <c r="E177" s="17" t="inlineStr">
        <is>
          <t>Tomada 20A (TUE) — DXF</t>
        </is>
      </c>
      <c r="F177" s="18" t="n">
        <v>41</v>
      </c>
      <c r="G177" s="18" t="n">
        <v>24</v>
      </c>
      <c r="H177" s="19" t="n">
        <v>0</v>
      </c>
      <c r="I177" s="20">
        <f>(F177+H177*F177)*G177</f>
        <v/>
      </c>
      <c r="J177" s="18" t="inlineStr">
        <is>
          <t>un</t>
        </is>
      </c>
      <c r="K177" s="21" t="n">
        <v>35</v>
      </c>
      <c r="L177" s="22">
        <f>I177*K177</f>
        <v/>
      </c>
    </row>
    <row r="178">
      <c r="A178" s="17" t="inlineStr">
        <is>
          <t>TORRE B</t>
        </is>
      </c>
      <c r="B178" s="17" t="inlineStr">
        <is>
          <t>PAVIMENTO TIPO</t>
        </is>
      </c>
      <c r="C178" s="17" t="inlineStr">
        <is>
          <t>INST. ELETRICAS</t>
        </is>
      </c>
      <c r="D178" s="17" t="inlineStr">
        <is>
          <t>INTERRUPTORES</t>
        </is>
      </c>
      <c r="E178" s="17" t="inlineStr">
        <is>
          <t>Interruptor 1 Tecla — DXF</t>
        </is>
      </c>
      <c r="F178" s="18" t="n">
        <v>25.5</v>
      </c>
      <c r="G178" s="18" t="n">
        <v>24</v>
      </c>
      <c r="H178" s="19" t="n">
        <v>0</v>
      </c>
      <c r="I178" s="20">
        <f>(F178+H178*F178)*G178</f>
        <v/>
      </c>
      <c r="J178" s="18" t="inlineStr">
        <is>
          <t>un</t>
        </is>
      </c>
      <c r="K178" s="21" t="n">
        <v>22</v>
      </c>
      <c r="L178" s="22">
        <f>I178*K178</f>
        <v/>
      </c>
    </row>
    <row r="179">
      <c r="A179" s="17" t="inlineStr">
        <is>
          <t>TORRE B</t>
        </is>
      </c>
      <c r="B179" s="17" t="inlineStr">
        <is>
          <t>PAVIMENTO TIPO</t>
        </is>
      </c>
      <c r="C179" s="17" t="inlineStr">
        <is>
          <t>INST. ELETRICAS</t>
        </is>
      </c>
      <c r="D179" s="17" t="inlineStr">
        <is>
          <t>INTERRUPTORES</t>
        </is>
      </c>
      <c r="E179" s="17" t="inlineStr">
        <is>
          <t>Interruptor Paralelo — DXF</t>
        </is>
      </c>
      <c r="F179" s="18" t="n">
        <v>20.5</v>
      </c>
      <c r="G179" s="18" t="n">
        <v>24</v>
      </c>
      <c r="H179" s="19" t="n">
        <v>0</v>
      </c>
      <c r="I179" s="20">
        <f>(F179+H179*F179)*G179</f>
        <v/>
      </c>
      <c r="J179" s="18" t="inlineStr">
        <is>
          <t>un</t>
        </is>
      </c>
      <c r="K179" s="21" t="n">
        <v>32</v>
      </c>
      <c r="L179" s="22">
        <f>I179*K179</f>
        <v/>
      </c>
    </row>
    <row r="180">
      <c r="A180" s="17" t="inlineStr">
        <is>
          <t>TORRE B</t>
        </is>
      </c>
      <c r="B180" s="17" t="inlineStr">
        <is>
          <t>PAVIMENTO TIPO</t>
        </is>
      </c>
      <c r="C180" s="17" t="inlineStr">
        <is>
          <t>INST. ELETRICAS</t>
        </is>
      </c>
      <c r="D180" s="17" t="inlineStr">
        <is>
          <t>TOMADAS</t>
        </is>
      </c>
      <c r="E180" s="17" t="inlineStr">
        <is>
          <t>Tomada Chuveiro — DXF</t>
        </is>
      </c>
      <c r="F180" s="18" t="n">
        <v>12</v>
      </c>
      <c r="G180" s="18" t="n">
        <v>24</v>
      </c>
      <c r="H180" s="19" t="n">
        <v>0</v>
      </c>
      <c r="I180" s="20">
        <f>(F180+H180*F180)*G180</f>
        <v/>
      </c>
      <c r="J180" s="18" t="inlineStr">
        <is>
          <t>un</t>
        </is>
      </c>
      <c r="K180" s="21" t="n">
        <v>42</v>
      </c>
      <c r="L180" s="22">
        <f>I180*K180</f>
        <v/>
      </c>
    </row>
    <row r="181">
      <c r="A181" s="17" t="inlineStr">
        <is>
          <t>TORRE B</t>
        </is>
      </c>
      <c r="B181" s="17" t="inlineStr">
        <is>
          <t>PAVIMENTO TIPO</t>
        </is>
      </c>
      <c r="C181" s="17" t="inlineStr">
        <is>
          <t>INST. ELETRICAS</t>
        </is>
      </c>
      <c r="D181" s="17" t="inlineStr">
        <is>
          <t>QUADROS</t>
        </is>
      </c>
      <c r="E181" s="17" t="inlineStr">
        <is>
          <t>Quadro Distribuição — DXF</t>
        </is>
      </c>
      <c r="F181" s="18" t="n">
        <v>8</v>
      </c>
      <c r="G181" s="18" t="n">
        <v>24</v>
      </c>
      <c r="H181" s="19" t="n">
        <v>0</v>
      </c>
      <c r="I181" s="20">
        <f>(F181+H181*F181)*G181</f>
        <v/>
      </c>
      <c r="J181" s="18" t="inlineStr">
        <is>
          <t>un</t>
        </is>
      </c>
      <c r="K181" s="21" t="n">
        <v>450</v>
      </c>
      <c r="L181" s="22">
        <f>I181*K181</f>
        <v/>
      </c>
    </row>
    <row r="182">
      <c r="A182" s="17" t="inlineStr">
        <is>
          <t>TORRE B</t>
        </is>
      </c>
      <c r="B182" s="17" t="inlineStr">
        <is>
          <t>PAVIMENTO TIPO</t>
        </is>
      </c>
      <c r="C182" s="17" t="inlineStr">
        <is>
          <t>INST. ELETRICAS</t>
        </is>
      </c>
      <c r="D182" s="17" t="inlineStr">
        <is>
          <t>QUADROS</t>
        </is>
      </c>
      <c r="E182" s="17" t="inlineStr">
        <is>
          <t>Quadro de Comando — DXF</t>
        </is>
      </c>
      <c r="F182" s="18" t="n">
        <v>7</v>
      </c>
      <c r="G182" s="18" t="n">
        <v>24</v>
      </c>
      <c r="H182" s="19" t="n">
        <v>0</v>
      </c>
      <c r="I182" s="20">
        <f>(F182+H182*F182)*G182</f>
        <v/>
      </c>
      <c r="J182" s="18" t="inlineStr">
        <is>
          <t>un</t>
        </is>
      </c>
      <c r="K182" s="21" t="n">
        <v>850</v>
      </c>
      <c r="L182" s="22">
        <f>I182*K182</f>
        <v/>
      </c>
    </row>
    <row r="183">
      <c r="A183" s="17" t="inlineStr">
        <is>
          <t>TORRE B</t>
        </is>
      </c>
      <c r="B183" s="17" t="inlineStr">
        <is>
          <t>PAVIMENTO TIPO</t>
        </is>
      </c>
      <c r="C183" s="17" t="inlineStr">
        <is>
          <t>INST. ELETRICAS</t>
        </is>
      </c>
      <c r="D183" s="17" t="inlineStr">
        <is>
          <t>INTERRUPTORES</t>
        </is>
      </c>
      <c r="E183" s="17" t="inlineStr">
        <is>
          <t>Interruptor 2 Teclas — DXF</t>
        </is>
      </c>
      <c r="F183" s="18" t="n">
        <v>5</v>
      </c>
      <c r="G183" s="18" t="n">
        <v>24</v>
      </c>
      <c r="H183" s="19" t="n">
        <v>0</v>
      </c>
      <c r="I183" s="20">
        <f>(F183+H183*F183)*G183</f>
        <v/>
      </c>
      <c r="J183" s="18" t="inlineStr">
        <is>
          <t>un</t>
        </is>
      </c>
      <c r="K183" s="21" t="n">
        <v>28</v>
      </c>
      <c r="L183" s="22">
        <f>I183*K183</f>
        <v/>
      </c>
    </row>
    <row r="184">
      <c r="A184" s="17" t="inlineStr">
        <is>
          <t>TORRE B</t>
        </is>
      </c>
      <c r="B184" s="17" t="inlineStr">
        <is>
          <t>PAVIMENTO TIPO</t>
        </is>
      </c>
      <c r="C184" s="17" t="inlineStr">
        <is>
          <t>INST. ELETRICAS</t>
        </is>
      </c>
      <c r="D184" s="17" t="inlineStr">
        <is>
          <t>LUMINARIAS</t>
        </is>
      </c>
      <c r="E184" s="17" t="inlineStr">
        <is>
          <t>Arandela — DXF</t>
        </is>
      </c>
      <c r="F184" s="18" t="n">
        <v>4.8</v>
      </c>
      <c r="G184" s="18" t="n">
        <v>24</v>
      </c>
      <c r="H184" s="19" t="n">
        <v>0</v>
      </c>
      <c r="I184" s="20">
        <f>(F184+H184*F184)*G184</f>
        <v/>
      </c>
      <c r="J184" s="18" t="inlineStr">
        <is>
          <t>un</t>
        </is>
      </c>
      <c r="K184" s="21" t="n">
        <v>95</v>
      </c>
      <c r="L184" s="22">
        <f>I184*K184</f>
        <v/>
      </c>
    </row>
    <row r="185">
      <c r="A185" s="17" t="inlineStr">
        <is>
          <t>TORRE B</t>
        </is>
      </c>
      <c r="B185" s="17" t="inlineStr">
        <is>
          <t>PAVIMENTO TIPO</t>
        </is>
      </c>
      <c r="C185" s="17" t="inlineStr">
        <is>
          <t>INST. ELETRICAS</t>
        </is>
      </c>
      <c r="D185" s="17" t="inlineStr">
        <is>
          <t>TOMADAS</t>
        </is>
      </c>
      <c r="E185" s="17" t="inlineStr">
        <is>
          <t>Tomada Ar-Condicionado — DXF</t>
        </is>
      </c>
      <c r="F185" s="18" t="n">
        <v>5</v>
      </c>
      <c r="G185" s="18" t="n">
        <v>24</v>
      </c>
      <c r="H185" s="19" t="n">
        <v>0</v>
      </c>
      <c r="I185" s="20">
        <f>(F185+H185*F185)*G185</f>
        <v/>
      </c>
      <c r="J185" s="18" t="inlineStr">
        <is>
          <t>un</t>
        </is>
      </c>
      <c r="K185" s="21" t="n">
        <v>38</v>
      </c>
      <c r="L185" s="22">
        <f>I185*K185</f>
        <v/>
      </c>
    </row>
    <row r="186">
      <c r="A186" s="17" t="inlineStr">
        <is>
          <t>TORRE B</t>
        </is>
      </c>
      <c r="B186" s="17" t="inlineStr">
        <is>
          <t>PAVIMENTO TIPO</t>
        </is>
      </c>
      <c r="C186" s="17" t="inlineStr">
        <is>
          <t>INST. ELETRICAS</t>
        </is>
      </c>
      <c r="D186" s="17" t="inlineStr">
        <is>
          <t>QUADROS</t>
        </is>
      </c>
      <c r="E186" s="17" t="inlineStr">
        <is>
          <t>Quadro de Medição — DXF</t>
        </is>
      </c>
      <c r="F186" s="18" t="n">
        <v>3</v>
      </c>
      <c r="G186" s="18" t="n">
        <v>24</v>
      </c>
      <c r="H186" s="19" t="n">
        <v>0</v>
      </c>
      <c r="I186" s="20">
        <f>(F186+H186*F186)*G186</f>
        <v/>
      </c>
      <c r="J186" s="18" t="inlineStr">
        <is>
          <t>un</t>
        </is>
      </c>
      <c r="K186" s="21" t="n">
        <v>1100</v>
      </c>
      <c r="L186" s="22">
        <f>I186*K186</f>
        <v/>
      </c>
    </row>
    <row r="187">
      <c r="A187" s="17" t="inlineStr">
        <is>
          <t>TORRE B</t>
        </is>
      </c>
      <c r="B187" s="17" t="inlineStr">
        <is>
          <t>PAVIMENTO TIPO</t>
        </is>
      </c>
      <c r="C187" s="17" t="inlineStr">
        <is>
          <t>INST. ELETRICAS</t>
        </is>
      </c>
      <c r="D187" s="17" t="inlineStr">
        <is>
          <t>LUMINARIAS</t>
        </is>
      </c>
      <c r="E187" s="17" t="inlineStr">
        <is>
          <t>Luminária (DXF) — DXF</t>
        </is>
      </c>
      <c r="F187" s="18" t="n">
        <v>1</v>
      </c>
      <c r="G187" s="18" t="n">
        <v>24</v>
      </c>
      <c r="H187" s="19" t="n">
        <v>0</v>
      </c>
      <c r="I187" s="20">
        <f>(F187+H187*F187)*G187</f>
        <v/>
      </c>
      <c r="J187" s="18" t="inlineStr">
        <is>
          <t>un</t>
        </is>
      </c>
      <c r="K187" s="21" t="n">
        <v>85</v>
      </c>
      <c r="L187" s="22">
        <f>I187*K187</f>
        <v/>
      </c>
    </row>
    <row r="188">
      <c r="A188" s="17" t="inlineStr">
        <is>
          <t>TORRE B</t>
        </is>
      </c>
      <c r="B188" s="17" t="inlineStr">
        <is>
          <t>PAVIMENTO TIPO</t>
        </is>
      </c>
      <c r="C188" s="17" t="inlineStr">
        <is>
          <t>INST. ELETRICAS</t>
        </is>
      </c>
      <c r="D188" s="17" t="inlineStr">
        <is>
          <t>TOMADAS</t>
        </is>
      </c>
      <c r="E188" s="17" t="inlineStr">
        <is>
          <t>Tomada (Genérica) — DXF</t>
        </is>
      </c>
      <c r="F188" s="18" t="n">
        <v>1</v>
      </c>
      <c r="G188" s="18" t="n">
        <v>24</v>
      </c>
      <c r="H188" s="19" t="n">
        <v>0</v>
      </c>
      <c r="I188" s="20">
        <f>(F188+H188*F188)*G188</f>
        <v/>
      </c>
      <c r="J188" s="18" t="inlineStr">
        <is>
          <t>un</t>
        </is>
      </c>
      <c r="K188" s="21" t="n">
        <v>28.5</v>
      </c>
      <c r="L188" s="22">
        <f>I188*K188</f>
        <v/>
      </c>
    </row>
    <row r="189">
      <c r="A189" s="17" t="inlineStr">
        <is>
          <t>TORRE B</t>
        </is>
      </c>
      <c r="B189" s="17" t="inlineStr">
        <is>
          <t>PAVIMENTO TIPO</t>
        </is>
      </c>
      <c r="C189" s="17" t="inlineStr">
        <is>
          <t>INST. ELETRICAS</t>
        </is>
      </c>
      <c r="D189" s="17" t="inlineStr">
        <is>
          <t>INTERRUPTORES</t>
        </is>
      </c>
      <c r="E189" s="17" t="inlineStr">
        <is>
          <t>Interruptor 3 Teclas — DXF</t>
        </is>
      </c>
      <c r="F189" s="18" t="n">
        <v>1</v>
      </c>
      <c r="G189" s="18" t="n">
        <v>24</v>
      </c>
      <c r="H189" s="19" t="n">
        <v>0</v>
      </c>
      <c r="I189" s="20">
        <f>(F189+H189*F189)*G189</f>
        <v/>
      </c>
      <c r="J189" s="18" t="inlineStr">
        <is>
          <t>un</t>
        </is>
      </c>
      <c r="K189" s="21" t="n">
        <v>34</v>
      </c>
      <c r="L189" s="22">
        <f>I189*K189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2026-03-25T03:45:32Z</dcterms:created>
  <dcterms:modified xmlns:dcterms="http://purl.org/dc/terms/" xmlns:xsi="http://www.w3.org/2001/XMLSchema-instance" xsi:type="dcterms:W3CDTF">2026-03-25T03:45:33Z</dcterms:modified>
</cp:coreProperties>
</file>