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UÇAS E MET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0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1F3864"/>
      <sz val="9"/>
    </font>
    <font>
      <name val="Calibri"/>
      <color rgb="00666666"/>
      <sz val="9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i val="1"/>
      <color rgb="00666666"/>
      <sz val="10"/>
    </font>
    <font>
      <name val="Calibri"/>
      <b val="1"/>
      <color rgb="001F3864"/>
      <sz val="12"/>
    </font>
    <font>
      <name val="Calibri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0" fillId="8" borderId="1" pivotButton="0" quotePrefix="0" xfId="0"/>
    <xf numFmtId="3" fontId="9" fillId="3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7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0" borderId="1" pivotButton="0" quotePrefix="0" xfId="0"/>
    <xf numFmtId="3" fontId="2" fillId="5" borderId="1" pivotButton="0" quotePrefix="0" xfId="0"/>
    <xf numFmtId="0" fontId="10" fillId="0" borderId="0" pivotButton="0" quotePrefix="0" xfId="0"/>
    <xf numFmtId="3" fontId="10" fillId="5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4" customWidth="1" min="3" max="3"/>
    <col width="8" customWidth="1" min="4" max="4"/>
    <col width="10" customWidth="1" min="5" max="5"/>
    <col width="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5" customHeight="1">
      <c r="A1" s="1" t="inlineStr">
        <is>
          <t>LEVANTAMENTO DE LOUÇAS E METAIS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Projeto:</t>
        </is>
      </c>
      <c r="B2" s="4" t="inlineStr">
        <is>
          <t>Electra Towers — Thozen</t>
        </is>
      </c>
      <c r="C2" s="5" t="n"/>
      <c r="D2" s="5" t="n"/>
      <c r="E2" s="5" t="n"/>
      <c r="F2" s="5" t="n"/>
      <c r="G2" s="5" t="n"/>
      <c r="H2" s="5" t="n"/>
      <c r="I2" s="5" t="n"/>
      <c r="J2" s="5" t="n"/>
    </row>
    <row r="3" ht="20" customHeight="1">
      <c r="A3" s="3" t="inlineStr">
        <is>
          <t>Fonte:</t>
        </is>
      </c>
      <c r="B3" s="4" t="inlineStr">
        <is>
          <t>IFC Arquitetura R07/R08 (Dallo) + Sanitário R00</t>
        </is>
      </c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3" t="inlineStr">
        <is>
          <t>Revisão:</t>
        </is>
      </c>
      <c r="B4" s="4" t="inlineStr">
        <is>
          <t>R00 — Extração IFC 24/mar/2026</t>
        </is>
      </c>
      <c r="C4" s="5" t="n"/>
      <c r="D4" s="5" t="n"/>
      <c r="E4" s="5" t="n"/>
      <c r="F4" s="5" t="n"/>
      <c r="G4" s="5" t="n"/>
      <c r="H4" s="5" t="n"/>
      <c r="I4" s="5" t="n"/>
      <c r="J4" s="5" t="n"/>
    </row>
    <row r="5" ht="8" customHeight="1"/>
    <row r="6" ht="25" customHeight="1">
      <c r="A6" s="6" t="inlineStr">
        <is>
          <t>#</t>
        </is>
      </c>
      <c r="B6" s="6" t="inlineStr">
        <is>
          <t>Aplicação</t>
        </is>
      </c>
      <c r="C6" s="6" t="inlineStr">
        <is>
          <t>Descrição</t>
        </is>
      </c>
      <c r="D6" s="6" t="inlineStr">
        <is>
          <t>Un.</t>
        </is>
      </c>
      <c r="E6" s="6" t="inlineStr">
        <is>
          <t>Total</t>
        </is>
      </c>
      <c r="F6" s="7" t="n"/>
      <c r="G6" s="6" t="inlineStr">
        <is>
          <t>Qtde / Pavimento</t>
        </is>
      </c>
      <c r="H6" s="8" t="n"/>
      <c r="I6" s="8" t="n"/>
    </row>
    <row r="7" ht="30" customHeight="1">
      <c r="A7" s="9" t="n"/>
      <c r="B7" s="9" t="n"/>
      <c r="C7" s="9" t="n"/>
      <c r="D7" s="9" t="n"/>
      <c r="E7" s="9" t="n"/>
      <c r="F7" s="10" t="n"/>
      <c r="G7" s="11" t="inlineStr">
        <is>
          <t>Térreo
(x1)</t>
        </is>
      </c>
      <c r="H7" s="11" t="inlineStr">
        <is>
          <t>Lazer
(x1)</t>
        </is>
      </c>
      <c r="I7" s="11" t="inlineStr">
        <is>
          <t>Tipo
(x24)</t>
        </is>
      </c>
    </row>
    <row r="8" ht="16" customHeight="1">
      <c r="A8" s="12" t="n"/>
      <c r="B8" s="12" t="n"/>
      <c r="C8" s="12" t="n"/>
      <c r="D8" s="12" t="n"/>
      <c r="E8" s="12" t="n"/>
      <c r="F8" s="13" t="n"/>
      <c r="G8" s="14" t="n">
        <v>1</v>
      </c>
      <c r="H8" s="14" t="n">
        <v>1</v>
      </c>
      <c r="I8" s="14" t="n">
        <v>24</v>
      </c>
    </row>
    <row r="9" ht="22" customHeight="1">
      <c r="A9" s="15" t="inlineStr">
        <is>
          <t>LOUÇAS E APARELHOS SANITÁRIOS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 ht="20" customHeight="1">
      <c r="A10" s="17" t="n">
        <v>1</v>
      </c>
      <c r="B10" s="18" t="inlineStr">
        <is>
          <t>louças e aparelhos sanitários</t>
        </is>
      </c>
      <c r="C10" s="19" t="inlineStr">
        <is>
          <t>Bacia Sanitária c/ Caixa Acoplada</t>
        </is>
      </c>
      <c r="D10" s="17" t="inlineStr">
        <is>
          <t>un</t>
        </is>
      </c>
      <c r="E10" s="20">
        <f>SUMPRODUCT($G$8:$I$8,G10:I10)</f>
        <v/>
      </c>
      <c r="F10" s="21" t="n"/>
      <c r="G10" s="22" t="n"/>
      <c r="H10" s="22" t="n">
        <v>23</v>
      </c>
      <c r="I10" s="22" t="n">
        <v>32</v>
      </c>
      <c r="J10" s="21" t="n"/>
    </row>
    <row r="11" ht="20" customHeight="1">
      <c r="A11" s="23" t="n">
        <v>2</v>
      </c>
      <c r="B11" s="24" t="inlineStr">
        <is>
          <t>louças e aparelhos sanitários</t>
        </is>
      </c>
      <c r="C11" s="25" t="inlineStr">
        <is>
          <t>Bacia Sanitária PNE</t>
        </is>
      </c>
      <c r="D11" s="23" t="inlineStr">
        <is>
          <t>un</t>
        </is>
      </c>
      <c r="E11" s="20">
        <f>SUMPRODUCT($G$8:$I$8,G11:I11)</f>
        <v/>
      </c>
      <c r="F11" s="26" t="n"/>
      <c r="G11" s="27" t="n">
        <v>3</v>
      </c>
      <c r="H11" s="27" t="n"/>
      <c r="I11" s="27" t="n"/>
      <c r="J11" s="26" t="n"/>
    </row>
    <row r="12" ht="20" customHeight="1">
      <c r="A12" s="17" t="n">
        <v>3</v>
      </c>
      <c r="B12" s="18" t="inlineStr">
        <is>
          <t>louças e aparelhos sanitários</t>
        </is>
      </c>
      <c r="C12" s="19" t="inlineStr">
        <is>
          <t>Cuba de Sobrepor Quadrada (Banheiro)</t>
        </is>
      </c>
      <c r="D12" s="17" t="inlineStr">
        <is>
          <t>un</t>
        </is>
      </c>
      <c r="E12" s="20">
        <f>SUMPRODUCT($G$8:$I$8,G12:I12)</f>
        <v/>
      </c>
      <c r="F12" s="21" t="n"/>
      <c r="G12" s="22" t="n"/>
      <c r="H12" s="22" t="n">
        <v>13</v>
      </c>
      <c r="I12" s="22" t="n">
        <v>13</v>
      </c>
      <c r="J12" s="21" t="n"/>
    </row>
    <row r="13" ht="20" customHeight="1">
      <c r="A13" s="23" t="n">
        <v>4</v>
      </c>
      <c r="B13" s="24" t="inlineStr">
        <is>
          <t>louças e aparelhos sanitários</t>
        </is>
      </c>
      <c r="C13" s="25" t="inlineStr">
        <is>
          <t>Cuba Semi-Encaixe c/ Bancada (Banheiro)</t>
        </is>
      </c>
      <c r="D13" s="23" t="inlineStr">
        <is>
          <t>un</t>
        </is>
      </c>
      <c r="E13" s="20">
        <f>SUMPRODUCT($G$8:$I$8,G13:I13)</f>
        <v/>
      </c>
      <c r="F13" s="26" t="n"/>
      <c r="G13" s="27" t="n"/>
      <c r="H13" s="27" t="n">
        <v>1</v>
      </c>
      <c r="I13" s="27" t="n">
        <v>6</v>
      </c>
      <c r="J13" s="26" t="n"/>
    </row>
    <row r="14" ht="20" customHeight="1">
      <c r="A14" s="17" t="n">
        <v>5</v>
      </c>
      <c r="B14" s="18" t="inlineStr">
        <is>
          <t>louças e aparelhos sanitários</t>
        </is>
      </c>
      <c r="C14" s="19" t="inlineStr">
        <is>
          <t>Cuba de Sobrepor PNE</t>
        </is>
      </c>
      <c r="D14" s="17" t="inlineStr">
        <is>
          <t>un</t>
        </is>
      </c>
      <c r="E14" s="20">
        <f>SUMPRODUCT($G$8:$I$8,G14:I14)</f>
        <v/>
      </c>
      <c r="F14" s="21" t="n"/>
      <c r="G14" s="22" t="n">
        <v>9</v>
      </c>
      <c r="H14" s="22" t="n"/>
      <c r="I14" s="22" t="n"/>
      <c r="J14" s="21" t="n"/>
    </row>
    <row r="15" ht="20" customHeight="1">
      <c r="A15" s="23" t="n">
        <v>6</v>
      </c>
      <c r="B15" s="24" t="inlineStr">
        <is>
          <t>louças e aparelhos sanitários</t>
        </is>
      </c>
      <c r="C15" s="25" t="inlineStr">
        <is>
          <t>Cuba Redonda (Lavabo)</t>
        </is>
      </c>
      <c r="D15" s="23" t="inlineStr">
        <is>
          <t>un</t>
        </is>
      </c>
      <c r="E15" s="20">
        <f>SUMPRODUCT($G$8:$I$8,G15:I15)</f>
        <v/>
      </c>
      <c r="F15" s="26" t="n"/>
      <c r="G15" s="27" t="n"/>
      <c r="H15" s="27" t="n">
        <v>2</v>
      </c>
      <c r="I15" s="27" t="n">
        <v>1</v>
      </c>
      <c r="J15" s="26" t="n"/>
    </row>
    <row r="16" ht="20" customHeight="1">
      <c r="A16" s="17" t="n">
        <v>7</v>
      </c>
      <c r="B16" s="18" t="inlineStr">
        <is>
          <t>louças e aparelhos sanitários</t>
        </is>
      </c>
      <c r="C16" s="19" t="inlineStr">
        <is>
          <t>Cuba Inox Cozinha (Apartamento)</t>
        </is>
      </c>
      <c r="D16" s="17" t="inlineStr">
        <is>
          <t>un</t>
        </is>
      </c>
      <c r="E16" s="20">
        <f>SUMPRODUCT($G$8:$I$8,G16:I16)</f>
        <v/>
      </c>
      <c r="F16" s="21" t="n"/>
      <c r="G16" s="22" t="n"/>
      <c r="H16" s="22" t="n"/>
      <c r="I16" s="22" t="n">
        <v>13</v>
      </c>
      <c r="J16" s="21" t="n"/>
    </row>
    <row r="17" ht="20" customHeight="1">
      <c r="A17" s="23" t="n">
        <v>8</v>
      </c>
      <c r="B17" s="24" t="inlineStr">
        <is>
          <t>louças e aparelhos sanitários</t>
        </is>
      </c>
      <c r="C17" s="25" t="inlineStr">
        <is>
          <t>Cuba Inox Cozinha (Lazer/Comum)</t>
        </is>
      </c>
      <c r="D17" s="23" t="inlineStr">
        <is>
          <t>un</t>
        </is>
      </c>
      <c r="E17" s="20">
        <f>SUMPRODUCT($G$8:$I$8,G17:I17)</f>
        <v/>
      </c>
      <c r="F17" s="26" t="n"/>
      <c r="G17" s="27" t="n"/>
      <c r="H17" s="27" t="n">
        <v>16</v>
      </c>
      <c r="I17" s="27" t="n">
        <v>14</v>
      </c>
      <c r="J17" s="26" t="n"/>
    </row>
    <row r="18" ht="20" customHeight="1">
      <c r="A18" s="17" t="n">
        <v>9</v>
      </c>
      <c r="B18" s="18" t="inlineStr">
        <is>
          <t>louças e aparelhos sanitários</t>
        </is>
      </c>
      <c r="C18" s="19" t="inlineStr">
        <is>
          <t>Cuba Dupla Inox Cozinha</t>
        </is>
      </c>
      <c r="D18" s="17" t="inlineStr">
        <is>
          <t>un</t>
        </is>
      </c>
      <c r="E18" s="20">
        <f>SUMPRODUCT($G$8:$I$8,G18:I18)</f>
        <v/>
      </c>
      <c r="F18" s="21" t="n"/>
      <c r="G18" s="22" t="n"/>
      <c r="H18" s="22" t="n">
        <v>1</v>
      </c>
      <c r="I18" s="22" t="n"/>
      <c r="J18" s="21" t="n"/>
    </row>
    <row r="19" ht="20" customHeight="1">
      <c r="A19" s="23" t="n">
        <v>10</v>
      </c>
      <c r="B19" s="24" t="inlineStr">
        <is>
          <t>louças e aparelhos sanitários</t>
        </is>
      </c>
      <c r="C19" s="25" t="inlineStr">
        <is>
          <t>Tanque Simples</t>
        </is>
      </c>
      <c r="D19" s="23" t="inlineStr">
        <is>
          <t>un</t>
        </is>
      </c>
      <c r="E19" s="20">
        <f>SUMPRODUCT($G$8:$I$8,G19:I19)</f>
        <v/>
      </c>
      <c r="F19" s="26" t="n"/>
      <c r="G19" s="27" t="n"/>
      <c r="H19" s="27" t="n">
        <v>1</v>
      </c>
      <c r="I19" s="27" t="n">
        <v>8</v>
      </c>
      <c r="J19" s="26" t="n"/>
    </row>
    <row r="20" ht="20" customHeight="1">
      <c r="A20" s="17" t="n">
        <v>11</v>
      </c>
      <c r="B20" s="18" t="inlineStr">
        <is>
          <t>louças e aparelhos sanitários</t>
        </is>
      </c>
      <c r="C20" s="19" t="inlineStr">
        <is>
          <t>Churrasqueira (Espeto)</t>
        </is>
      </c>
      <c r="D20" s="17" t="inlineStr">
        <is>
          <t>un</t>
        </is>
      </c>
      <c r="E20" s="20">
        <f>SUMPRODUCT($G$8:$I$8,G20:I20)</f>
        <v/>
      </c>
      <c r="F20" s="21" t="n"/>
      <c r="G20" s="22" t="n"/>
      <c r="H20" s="22" t="n">
        <v>7</v>
      </c>
      <c r="I20" s="22" t="n">
        <v>8</v>
      </c>
      <c r="J20" s="21" t="n"/>
    </row>
    <row r="21" ht="20" customHeight="1">
      <c r="A21" s="23" t="n">
        <v>12</v>
      </c>
      <c r="B21" s="24" t="inlineStr">
        <is>
          <t>louças e aparelhos sanitários</t>
        </is>
      </c>
      <c r="C21" s="25" t="inlineStr">
        <is>
          <t>Churrasqueira a Gás</t>
        </is>
      </c>
      <c r="D21" s="23" t="inlineStr">
        <is>
          <t>un</t>
        </is>
      </c>
      <c r="E21" s="20">
        <f>SUMPRODUCT($G$8:$I$8,G21:I21)</f>
        <v/>
      </c>
      <c r="F21" s="26" t="n"/>
      <c r="G21" s="27" t="n"/>
      <c r="H21" s="27" t="n">
        <v>1</v>
      </c>
      <c r="I21" s="27" t="n"/>
      <c r="J21" s="26" t="n"/>
    </row>
    <row r="22" ht="22" customHeight="1">
      <c r="A22" s="28" t="inlineStr">
        <is>
          <t>METAIS PARA ACABAMENTOS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 ht="20" customHeight="1">
      <c r="A23" s="17" t="n">
        <v>13</v>
      </c>
      <c r="B23" s="18" t="inlineStr">
        <is>
          <t>metais para acabamentos</t>
        </is>
      </c>
      <c r="C23" s="19" t="inlineStr">
        <is>
          <t>Chuveiro Quadrado</t>
        </is>
      </c>
      <c r="D23" s="17" t="inlineStr">
        <is>
          <t>un</t>
        </is>
      </c>
      <c r="E23" s="20">
        <f>SUMPRODUCT($G$8:$I$8,G23:I23)</f>
        <v/>
      </c>
      <c r="F23" s="21" t="n"/>
      <c r="G23" s="22" t="n">
        <v>3</v>
      </c>
      <c r="H23" s="22" t="n">
        <v>6</v>
      </c>
      <c r="I23" s="22" t="n">
        <v>24</v>
      </c>
      <c r="J23" s="21" t="n"/>
    </row>
    <row r="24" ht="20" customHeight="1">
      <c r="A24" s="23" t="n">
        <v>14</v>
      </c>
      <c r="B24" s="24" t="inlineStr">
        <is>
          <t>metais para acabamentos</t>
        </is>
      </c>
      <c r="C24" s="25" t="inlineStr">
        <is>
          <t>Aquecedor a Gás</t>
        </is>
      </c>
      <c r="D24" s="23" t="inlineStr">
        <is>
          <t>un</t>
        </is>
      </c>
      <c r="E24" s="20">
        <f>SUMPRODUCT($G$8:$I$8,G24:I24)</f>
        <v/>
      </c>
      <c r="F24" s="26" t="n"/>
      <c r="G24" s="27" t="n"/>
      <c r="H24" s="27" t="n">
        <v>2</v>
      </c>
      <c r="I24" s="27" t="n">
        <v>9</v>
      </c>
      <c r="J24" s="26" t="n"/>
    </row>
    <row r="25" ht="20" customHeight="1">
      <c r="A25" s="17" t="n">
        <v>15</v>
      </c>
      <c r="B25" s="18" t="inlineStr">
        <is>
          <t>metais para acabamentos</t>
        </is>
      </c>
      <c r="C25" s="19" t="inlineStr">
        <is>
          <t>Barra de Apoio PNE</t>
        </is>
      </c>
      <c r="D25" s="17" t="inlineStr">
        <is>
          <t>un</t>
        </is>
      </c>
      <c r="E25" s="20">
        <f>SUMPRODUCT($G$8:$I$8,G25:I25)</f>
        <v/>
      </c>
      <c r="F25" s="21" t="n"/>
      <c r="G25" s="22" t="n">
        <v>18</v>
      </c>
      <c r="H25" s="22" t="n"/>
      <c r="I25" s="22" t="n"/>
      <c r="J25" s="21" t="n"/>
    </row>
    <row r="26" ht="20" customHeight="1">
      <c r="A26" s="23" t="n">
        <v>16</v>
      </c>
      <c r="B26" s="24" t="inlineStr">
        <is>
          <t>metais para acabamentos</t>
        </is>
      </c>
      <c r="C26" s="25" t="inlineStr">
        <is>
          <t>Torneira Misturador Pia Cozinha</t>
        </is>
      </c>
      <c r="D26" s="23" t="inlineStr">
        <is>
          <t>un</t>
        </is>
      </c>
      <c r="E26" s="20">
        <f>SUMPRODUCT($G$8:$I$8,G26:I26)</f>
        <v/>
      </c>
      <c r="F26" s="26" t="n"/>
      <c r="G26" s="30">
        <f>SUM(G16:G18)</f>
        <v/>
      </c>
      <c r="H26" s="30">
        <f>SUM(H16:H18)</f>
        <v/>
      </c>
      <c r="I26" s="30">
        <f>SUM(I16:I18)</f>
        <v/>
      </c>
      <c r="J26" s="26" t="n"/>
    </row>
    <row r="27" ht="20" customHeight="1">
      <c r="A27" s="17" t="n">
        <v>17</v>
      </c>
      <c r="B27" s="18" t="inlineStr">
        <is>
          <t>metais para acabamentos</t>
        </is>
      </c>
      <c r="C27" s="19" t="inlineStr">
        <is>
          <t>Torneira Lavatório Mesa</t>
        </is>
      </c>
      <c r="D27" s="17" t="inlineStr">
        <is>
          <t>un</t>
        </is>
      </c>
      <c r="E27" s="20">
        <f>SUMPRODUCT($G$8:$I$8,G27:I27)</f>
        <v/>
      </c>
      <c r="F27" s="21" t="n"/>
      <c r="G27" s="31">
        <f>SUM(G12:G15)</f>
        <v/>
      </c>
      <c r="H27" s="31">
        <f>SUM(H12:H15)</f>
        <v/>
      </c>
      <c r="I27" s="31">
        <f>SUM(I12:I15)</f>
        <v/>
      </c>
      <c r="J27" s="21" t="n"/>
    </row>
    <row r="28" ht="20" customHeight="1">
      <c r="A28" s="23" t="n">
        <v>18</v>
      </c>
      <c r="B28" s="24" t="inlineStr">
        <is>
          <t>metais para acabamentos</t>
        </is>
      </c>
      <c r="C28" s="25" t="inlineStr">
        <is>
          <t>Acabamento Registro Pressão</t>
        </is>
      </c>
      <c r="D28" s="23" t="inlineStr">
        <is>
          <t>un</t>
        </is>
      </c>
      <c r="E28" s="20">
        <f>SUMPRODUCT($G$8:$I$8,G28:I28)</f>
        <v/>
      </c>
      <c r="F28" s="26" t="n"/>
      <c r="G28" s="27" t="n">
        <v>3</v>
      </c>
      <c r="H28" s="27" t="n">
        <v>6</v>
      </c>
      <c r="I28" s="27" t="n">
        <v>24</v>
      </c>
      <c r="J28" s="26" t="n"/>
    </row>
    <row r="29" ht="20" customHeight="1">
      <c r="A29" s="17" t="n">
        <v>19</v>
      </c>
      <c r="B29" s="18" t="inlineStr">
        <is>
          <t>metais para acabamentos</t>
        </is>
      </c>
      <c r="C29" s="19" t="inlineStr">
        <is>
          <t>Sifão Ajustável Multiuso</t>
        </is>
      </c>
      <c r="D29" s="17" t="inlineStr">
        <is>
          <t>un</t>
        </is>
      </c>
      <c r="E29" s="20">
        <f>SUMPRODUCT($G$8:$I$8,G29:I29)</f>
        <v/>
      </c>
      <c r="F29" s="21" t="n"/>
      <c r="G29" s="31">
        <f>SUM(G12:G19)</f>
        <v/>
      </c>
      <c r="H29" s="31">
        <f>SUM(H12:H19)</f>
        <v/>
      </c>
      <c r="I29" s="31">
        <f>SUM(I12:I19)</f>
        <v/>
      </c>
      <c r="J29" s="21" t="n"/>
    </row>
    <row r="30" ht="20" customHeight="1">
      <c r="A30" s="23" t="n">
        <v>20</v>
      </c>
      <c r="B30" s="24" t="inlineStr">
        <is>
          <t>metais para acabamentos</t>
        </is>
      </c>
      <c r="C30" s="25" t="inlineStr">
        <is>
          <t>Anel de Vedação 100mm (Bacia)</t>
        </is>
      </c>
      <c r="D30" s="23" t="inlineStr">
        <is>
          <t>un</t>
        </is>
      </c>
      <c r="E30" s="20">
        <f>SUMPRODUCT($G$8:$I$8,G30:I30)</f>
        <v/>
      </c>
      <c r="F30" s="26" t="n"/>
      <c r="G30" s="30">
        <f>SUM(G10:G11)</f>
        <v/>
      </c>
      <c r="H30" s="30">
        <f>SUM(H10:H11)</f>
        <v/>
      </c>
      <c r="I30" s="30">
        <f>SUM(I10:I11)</f>
        <v/>
      </c>
      <c r="J30" s="26" t="n"/>
    </row>
    <row r="31" ht="20" customHeight="1">
      <c r="A31" s="17" t="n">
        <v>21</v>
      </c>
      <c r="B31" s="18" t="inlineStr">
        <is>
          <t>metais para acabamentos</t>
        </is>
      </c>
      <c r="C31" s="19" t="inlineStr">
        <is>
          <t>Engate Flexível Inox 1/2"x40mm</t>
        </is>
      </c>
      <c r="D31" s="17" t="inlineStr">
        <is>
          <t>un</t>
        </is>
      </c>
      <c r="E31" s="20">
        <f>SUMPRODUCT($G$8:$I$8,G31:I31)</f>
        <v/>
      </c>
      <c r="F31" s="21" t="n"/>
      <c r="G31" s="31">
        <f>SUM(G10:G11)</f>
        <v/>
      </c>
      <c r="H31" s="31">
        <f>SUM(H10:H11)</f>
        <v/>
      </c>
      <c r="I31" s="31">
        <f>SUM(I10:I11)</f>
        <v/>
      </c>
      <c r="J31" s="21" t="n"/>
    </row>
    <row r="32" ht="20" customHeight="1">
      <c r="A32" s="23" t="n">
        <v>22</v>
      </c>
      <c r="B32" s="24" t="inlineStr">
        <is>
          <t>metais para acabamentos</t>
        </is>
      </c>
      <c r="C32" s="25" t="inlineStr">
        <is>
          <t>Parafuso Niquelado Fixação Bacia (x4)</t>
        </is>
      </c>
      <c r="D32" s="23" t="inlineStr">
        <is>
          <t>un</t>
        </is>
      </c>
      <c r="E32" s="20">
        <f>SUMPRODUCT($G$8:$I$8,G32:I32)</f>
        <v/>
      </c>
      <c r="F32" s="26" t="n"/>
      <c r="G32" s="30">
        <f>SUM(G10:G11)*4</f>
        <v/>
      </c>
      <c r="H32" s="30">
        <f>SUM(H10:H11)*4</f>
        <v/>
      </c>
      <c r="I32" s="30">
        <f>SUM(I10:I11)*4</f>
        <v/>
      </c>
      <c r="J32" s="26" t="n"/>
    </row>
    <row r="33" ht="20" customHeight="1">
      <c r="A33" s="17" t="n">
        <v>23</v>
      </c>
      <c r="B33" s="18" t="inlineStr">
        <is>
          <t>metais para acabamentos</t>
        </is>
      </c>
      <c r="C33" s="19" t="inlineStr">
        <is>
          <t>Válvula Escoamento Lavatório</t>
        </is>
      </c>
      <c r="D33" s="17" t="inlineStr">
        <is>
          <t>un</t>
        </is>
      </c>
      <c r="E33" s="20">
        <f>SUMPRODUCT($G$8:$I$8,G33:I33)</f>
        <v/>
      </c>
      <c r="F33" s="21" t="n"/>
      <c r="G33" s="31">
        <f>SUM(G12:G15)</f>
        <v/>
      </c>
      <c r="H33" s="31">
        <f>SUM(H12:H15)</f>
        <v/>
      </c>
      <c r="I33" s="31">
        <f>SUM(I12:I15)</f>
        <v/>
      </c>
      <c r="J33" s="21" t="n"/>
    </row>
    <row r="34" ht="20" customHeight="1">
      <c r="A34" s="23" t="n">
        <v>24</v>
      </c>
      <c r="B34" s="24" t="inlineStr">
        <is>
          <t>metais para acabamentos</t>
        </is>
      </c>
      <c r="C34" s="25" t="inlineStr">
        <is>
          <t>Válvula Escoamento Pia</t>
        </is>
      </c>
      <c r="D34" s="23" t="inlineStr">
        <is>
          <t>un</t>
        </is>
      </c>
      <c r="E34" s="20">
        <f>SUMPRODUCT($G$8:$I$8,G34:I34)</f>
        <v/>
      </c>
      <c r="F34" s="26" t="n"/>
      <c r="G34" s="30">
        <f>SUM(G16:G18)</f>
        <v/>
      </c>
      <c r="H34" s="30">
        <f>SUM(H16:H18)</f>
        <v/>
      </c>
      <c r="I34" s="30">
        <f>SUM(I16:I18)</f>
        <v/>
      </c>
      <c r="J34" s="26" t="n"/>
    </row>
    <row r="35" ht="20" customHeight="1">
      <c r="A35" s="17" t="n">
        <v>25</v>
      </c>
      <c r="B35" s="18" t="inlineStr">
        <is>
          <t>metais para acabamentos</t>
        </is>
      </c>
      <c r="C35" s="19" t="inlineStr">
        <is>
          <t>Válvula Escoamento Tanque</t>
        </is>
      </c>
      <c r="D35" s="17" t="inlineStr">
        <is>
          <t>un</t>
        </is>
      </c>
      <c r="E35" s="20">
        <f>SUMPRODUCT($G$8:$I$8,G35:I35)</f>
        <v/>
      </c>
      <c r="F35" s="21" t="n"/>
      <c r="G35" s="31">
        <f>G19</f>
        <v/>
      </c>
      <c r="H35" s="31">
        <f>H19</f>
        <v/>
      </c>
      <c r="I35" s="31">
        <f>I19</f>
        <v/>
      </c>
      <c r="J35" s="21" t="n"/>
    </row>
    <row r="36" ht="20" customHeight="1">
      <c r="A36" s="23" t="n">
        <v>26</v>
      </c>
      <c r="B36" s="24" t="inlineStr">
        <is>
          <t>metais para acabamentos</t>
        </is>
      </c>
      <c r="C36" s="25" t="inlineStr">
        <is>
          <t>Ducha Higiênica</t>
        </is>
      </c>
      <c r="D36" s="23" t="inlineStr">
        <is>
          <t>un</t>
        </is>
      </c>
      <c r="E36" s="20">
        <f>SUMPRODUCT($G$8:$I$8,G36:I36)</f>
        <v/>
      </c>
      <c r="F36" s="26" t="n"/>
      <c r="G36" s="27" t="n"/>
      <c r="H36" s="27" t="n"/>
      <c r="I36" s="27" t="n"/>
      <c r="J36" s="26" t="n"/>
    </row>
    <row r="37" ht="22" customHeight="1">
      <c r="A37" s="32" t="inlineStr">
        <is>
          <t>PONTOS ESPECIAIS (ref.)</t>
        </is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</row>
    <row r="38" ht="20" customHeight="1">
      <c r="A38" s="17" t="n">
        <v>27</v>
      </c>
      <c r="B38" s="18" t="inlineStr">
        <is>
          <t>pontos especiais</t>
        </is>
      </c>
      <c r="C38" s="19" t="inlineStr">
        <is>
          <t>Ponto Máq. Lavar</t>
        </is>
      </c>
      <c r="D38" s="17" t="inlineStr">
        <is>
          <t>un</t>
        </is>
      </c>
      <c r="E38" s="20">
        <f>SUMPRODUCT($G$8:$I$8,G38:I38)</f>
        <v/>
      </c>
      <c r="F38" s="21" t="n"/>
      <c r="G38" s="22" t="n"/>
      <c r="H38" s="22" t="n">
        <v>1</v>
      </c>
      <c r="I38" s="22" t="n">
        <v>8</v>
      </c>
      <c r="J38" s="21" t="n"/>
    </row>
    <row r="39" ht="20" customHeight="1">
      <c r="A39" s="23" t="n">
        <v>28</v>
      </c>
      <c r="B39" s="24" t="inlineStr">
        <is>
          <t>pontos especiais</t>
        </is>
      </c>
      <c r="C39" s="25" t="inlineStr">
        <is>
          <t>Ponto Máq. Secar</t>
        </is>
      </c>
      <c r="D39" s="23" t="inlineStr">
        <is>
          <t>un</t>
        </is>
      </c>
      <c r="E39" s="20">
        <f>SUMPRODUCT($G$8:$I$8,G39:I39)</f>
        <v/>
      </c>
      <c r="F39" s="26" t="n"/>
      <c r="G39" s="27" t="n"/>
      <c r="H39" s="27" t="n"/>
      <c r="I39" s="27" t="n">
        <v>8</v>
      </c>
      <c r="J39" s="26" t="n"/>
    </row>
    <row r="40" ht="22" customHeight="1">
      <c r="A40" s="34" t="inlineStr">
        <is>
          <t>AR CONDICIONADO (Condensadoras)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20" customHeight="1">
      <c r="A41" s="17" t="n">
        <v>29</v>
      </c>
      <c r="B41" s="18" t="inlineStr">
        <is>
          <t>ar condicionado</t>
        </is>
      </c>
      <c r="C41" s="19" t="inlineStr">
        <is>
          <t>Split (Condensadora)</t>
        </is>
      </c>
      <c r="D41" s="17" t="inlineStr">
        <is>
          <t>un</t>
        </is>
      </c>
      <c r="E41" s="20">
        <f>SUMPRODUCT($G$8:$I$8,G41:I41)</f>
        <v/>
      </c>
      <c r="F41" s="21" t="n"/>
      <c r="G41" s="22" t="n"/>
      <c r="H41" s="22" t="n">
        <v>31</v>
      </c>
      <c r="I41" s="22" t="n">
        <v>942</v>
      </c>
      <c r="J41" s="21" t="n"/>
    </row>
    <row r="43" ht="20" customHeight="1">
      <c r="C43" s="36" t="inlineStr">
        <is>
          <t>Subtotal Louças E Aparelhos Sanitários</t>
        </is>
      </c>
      <c r="E43" s="37">
        <f>SUM(E10:E21)</f>
        <v/>
      </c>
    </row>
    <row r="44" ht="20" customHeight="1">
      <c r="C44" s="36" t="inlineStr">
        <is>
          <t>Subtotal Metais Para Acabamentos</t>
        </is>
      </c>
      <c r="E44" s="37">
        <f>SUM(E23:E36)</f>
        <v/>
      </c>
    </row>
    <row r="45" ht="20" customHeight="1">
      <c r="C45" s="36" t="inlineStr">
        <is>
          <t>Subtotal Pontos Especiais</t>
        </is>
      </c>
      <c r="E45" s="37">
        <f>SUM(E38:E39)</f>
        <v/>
      </c>
    </row>
    <row r="46" ht="20" customHeight="1">
      <c r="C46" s="36" t="inlineStr">
        <is>
          <t>Subtotal Ar Condicionado</t>
        </is>
      </c>
      <c r="E46" s="37">
        <f>SUM(E41:E41)</f>
        <v/>
      </c>
    </row>
    <row r="48" ht="25" customHeight="1">
      <c r="C48" s="38" t="inlineStr">
        <is>
          <t>TOTAL GERAL</t>
        </is>
      </c>
      <c r="E48" s="39">
        <f>SUM(E43:E46)</f>
        <v/>
      </c>
    </row>
    <row r="50">
      <c r="A50" s="40" t="inlineStr">
        <is>
          <t>⚠️ Nota: Quantitativos extraídos dos IFCs de Arquitetura (R07/R08). "Família2" = Bacia Sanitária. TIPO = qtde por pavimento (multiplicar x24). Validar com DWGs/memorial.</t>
        </is>
      </c>
    </row>
    <row r="51">
      <c r="A51" s="40" t="inlineStr">
        <is>
          <t>⚠️ Condensadoras Split: 942 total no TIPO = ~39 por pavimento (24 pav). Conferir com projeto de climatização.</t>
        </is>
      </c>
    </row>
  </sheetData>
  <mergeCells count="11">
    <mergeCell ref="A1:J1"/>
    <mergeCell ref="A37:J37"/>
    <mergeCell ref="B3:J3"/>
    <mergeCell ref="G6:I6"/>
    <mergeCell ref="A22:J22"/>
    <mergeCell ref="A40:J40"/>
    <mergeCell ref="A9:J9"/>
    <mergeCell ref="A50:J50"/>
    <mergeCell ref="B4:J4"/>
    <mergeCell ref="B2:J2"/>
    <mergeCell ref="A51:J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2026-03-25T02:46:36Z</dcterms:created>
  <dcterms:modified xmlns:dcterms="http://purl.org/dc/terms/" xmlns:xsi="http://www.w3.org/2001/XMLSchema-instance" xsi:type="dcterms:W3CDTF">2026-03-25T02:46:36Z</dcterms:modified>
</cp:coreProperties>
</file>