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K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Calibri"/>
      <b val="1"/>
      <color rgb="002F5496"/>
      <sz val="12"/>
    </font>
    <font>
      <name val="Calibri"/>
      <b val="1"/>
      <color rgb="00FFFFFF"/>
      <sz val="10"/>
    </font>
    <font>
      <name val="Calibri"/>
      <b val="1"/>
      <color rgb="002F5496"/>
      <sz val="10"/>
    </font>
    <font>
      <name val="Calibri"/>
      <b val="1"/>
      <color rgb="002F5496"/>
      <sz val="11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3" borderId="1" pivotButton="0" quotePrefix="0" xfId="0"/>
    <xf numFmtId="0" fontId="2" fillId="0" borderId="1" pivotButton="0" quotePrefix="0" xfId="0"/>
    <xf numFmtId="4" fontId="2" fillId="0" borderId="1" pivotButton="0" quotePrefix="0" xfId="0"/>
    <xf numFmtId="9" fontId="2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42" customWidth="1" min="4" max="4"/>
    <col width="55" customWidth="1" min="5" max="5"/>
    <col width="12" customWidth="1" min="6" max="6"/>
    <col width="12" customWidth="1" min="7" max="7"/>
    <col width="8" customWidth="1" min="8" max="8"/>
    <col width="14" customWidth="1" min="9" max="9"/>
    <col width="10" customWidth="1" min="10" max="10"/>
    <col width="14" customWidth="1" min="11" max="11"/>
    <col width="14" customWidth="1" min="12" max="12"/>
  </cols>
  <sheetData>
    <row r="1">
      <c r="C1" s="1" t="inlineStr">
        <is>
          <t>Projeto</t>
        </is>
      </c>
      <c r="D1" s="2" t="inlineStr">
        <is>
          <t>Electra Towers</t>
        </is>
      </c>
    </row>
    <row r="2">
      <c r="C2" s="1" t="inlineStr">
        <is>
          <t>Empresa</t>
        </is>
      </c>
      <c r="D2" s="2" t="inlineStr">
        <is>
          <t>Thozen</t>
        </is>
      </c>
    </row>
    <row r="3">
      <c r="C3" s="1" t="inlineStr">
        <is>
          <t>Origem</t>
        </is>
      </c>
      <c r="D3" s="2" t="inlineStr">
        <is>
          <t>CTN-TZN_SPK_EX_000_QTD_R00</t>
        </is>
      </c>
    </row>
    <row r="4">
      <c r="C4" s="1" t="inlineStr">
        <is>
          <t>Revisão</t>
        </is>
      </c>
      <c r="D4" s="2" t="inlineStr">
        <is>
          <t>R00 - Jarvis 30/03/2026</t>
        </is>
      </c>
    </row>
    <row r="5">
      <c r="A5" s="3" t="inlineStr">
        <is>
          <t>SPRINKLERS - CHUVEIROS AUTOMÁTICOS</t>
        </is>
      </c>
    </row>
    <row r="6" ht="25" customHeight="1">
      <c r="A6" s="4" t="inlineStr">
        <is>
          <t>UC</t>
        </is>
      </c>
      <c r="B6" s="4" t="inlineStr">
        <is>
          <t>PAVIMENTO</t>
        </is>
      </c>
      <c r="C6" s="4" t="inlineStr">
        <is>
          <t>GRUPO/EAP</t>
        </is>
      </c>
      <c r="D6" s="4" t="inlineStr">
        <is>
          <t>SUBGRUPO</t>
        </is>
      </c>
      <c r="E6" s="4" t="inlineStr">
        <is>
          <t>Descrição</t>
        </is>
      </c>
      <c r="F6" s="4" t="inlineStr">
        <is>
          <t>Quantidade</t>
        </is>
      </c>
      <c r="G6" s="4" t="inlineStr">
        <is>
          <t>Repetição</t>
        </is>
      </c>
      <c r="H6" s="4" t="inlineStr">
        <is>
          <t>Perda</t>
        </is>
      </c>
      <c r="I6" s="4" t="inlineStr">
        <is>
          <t>Qte com perda</t>
        </is>
      </c>
      <c r="J6" s="4" t="inlineStr">
        <is>
          <t>Unidade</t>
        </is>
      </c>
      <c r="K6" s="4" t="inlineStr">
        <is>
          <t>Custo unitário</t>
        </is>
      </c>
      <c r="L6" s="4" t="inlineStr">
        <is>
          <t>Custo Total</t>
        </is>
      </c>
    </row>
    <row r="7">
      <c r="A7" s="5" t="inlineStr">
        <is>
          <t>EMBASAMENTO</t>
        </is>
      </c>
      <c r="B7" s="5" t="inlineStr">
        <is>
          <t>TÉRREO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7" t="inlineStr">
        <is>
          <t>EMBASAMENTO</t>
        </is>
      </c>
      <c r="B8" s="7" t="inlineStr">
        <is>
          <t>TÉRREO</t>
        </is>
      </c>
      <c r="C8" s="7" t="inlineStr">
        <is>
          <t>SPRINKLERS</t>
        </is>
      </c>
      <c r="D8" s="7" t="inlineStr">
        <is>
          <t>Sistema de Chuveiros Automáticos (SPK)</t>
        </is>
      </c>
      <c r="E8" s="7" t="inlineStr">
        <is>
          <t>Bico sprinkler pendente DN 2.1/2" (65mm)</t>
        </is>
      </c>
      <c r="F8" s="8" t="n">
        <v>14</v>
      </c>
      <c r="G8" s="7" t="n">
        <v>1</v>
      </c>
      <c r="H8" s="9" t="n">
        <v>0.05</v>
      </c>
      <c r="I8" s="8">
        <f>(F8+H8*F8)*G8</f>
        <v/>
      </c>
      <c r="J8" s="7" t="inlineStr">
        <is>
          <t>un</t>
        </is>
      </c>
      <c r="K8" s="8" t="n"/>
      <c r="L8" s="8">
        <f>I8*K8</f>
        <v/>
      </c>
    </row>
    <row r="9">
      <c r="A9" s="7" t="inlineStr">
        <is>
          <t>EMBASAMENTO</t>
        </is>
      </c>
      <c r="B9" s="7" t="inlineStr">
        <is>
          <t>TÉRREO</t>
        </is>
      </c>
      <c r="C9" s="7" t="inlineStr">
        <is>
          <t>SPRINKLERS</t>
        </is>
      </c>
      <c r="D9" s="7" t="inlineStr">
        <is>
          <t>Sistema de Chuveiros Automáticos (SPK)</t>
        </is>
      </c>
      <c r="E9" s="7" t="inlineStr">
        <is>
          <t>Tubo ferro galvanizado vermelho BSP DN 2.1/2" (65mm)</t>
        </is>
      </c>
      <c r="F9" s="8" t="n">
        <v>108.96</v>
      </c>
      <c r="G9" s="7" t="n">
        <v>1</v>
      </c>
      <c r="H9" s="9" t="n">
        <v>0.1</v>
      </c>
      <c r="I9" s="8">
        <f>(F9+H9*F9)*G9</f>
        <v/>
      </c>
      <c r="J9" s="7" t="inlineStr">
        <is>
          <t>m</t>
        </is>
      </c>
      <c r="K9" s="8" t="n"/>
      <c r="L9" s="8">
        <f>I9*K9</f>
        <v/>
      </c>
    </row>
    <row r="10">
      <c r="A10" s="7" t="inlineStr">
        <is>
          <t>EMBASAMENTO</t>
        </is>
      </c>
      <c r="B10" s="7" t="inlineStr">
        <is>
          <t>TÉRREO</t>
        </is>
      </c>
      <c r="C10" s="7" t="inlineStr">
        <is>
          <t>SPRINKLERS</t>
        </is>
      </c>
      <c r="D10" s="7" t="inlineStr">
        <is>
          <t>Sistema de Chuveiros Automáticos (SPK)</t>
        </is>
      </c>
      <c r="E10" s="7" t="inlineStr">
        <is>
          <t>Cotovelo ferro galvanizado BSP DN 2.1/2"</t>
        </is>
      </c>
      <c r="F10" s="8" t="n">
        <v>29</v>
      </c>
      <c r="G10" s="7" t="n">
        <v>1</v>
      </c>
      <c r="H10" s="9" t="n">
        <v>0.05</v>
      </c>
      <c r="I10" s="8">
        <f>(F10+H10*F10)*G10</f>
        <v/>
      </c>
      <c r="J10" s="7" t="inlineStr">
        <is>
          <t>un</t>
        </is>
      </c>
      <c r="K10" s="8" t="n"/>
      <c r="L10" s="8">
        <f>I10*K10</f>
        <v/>
      </c>
    </row>
    <row r="11">
      <c r="A11" s="7" t="inlineStr">
        <is>
          <t>EMBASAMENTO</t>
        </is>
      </c>
      <c r="B11" s="7" t="inlineStr">
        <is>
          <t>TÉRREO</t>
        </is>
      </c>
      <c r="C11" s="7" t="inlineStr">
        <is>
          <t>SPRINKLERS</t>
        </is>
      </c>
      <c r="D11" s="7" t="inlineStr">
        <is>
          <t>Sistema de Chuveiros Automáticos (SPK)</t>
        </is>
      </c>
      <c r="E11" s="7" t="inlineStr">
        <is>
          <t>Tê de redução ferro galvanizado BSP DN 2.1/2"</t>
        </is>
      </c>
      <c r="F11" s="8" t="n">
        <v>20</v>
      </c>
      <c r="G11" s="7" t="n">
        <v>1</v>
      </c>
      <c r="H11" s="9" t="n">
        <v>0.05</v>
      </c>
      <c r="I11" s="8">
        <f>(F11+H11*F11)*G11</f>
        <v/>
      </c>
      <c r="J11" s="7" t="inlineStr">
        <is>
          <t>un</t>
        </is>
      </c>
      <c r="K11" s="8" t="n"/>
      <c r="L11" s="8">
        <f>I11*K11</f>
        <v/>
      </c>
    </row>
    <row r="12">
      <c r="A12" s="7" t="inlineStr">
        <is>
          <t>EMBASAMENTO</t>
        </is>
      </c>
      <c r="B12" s="7" t="inlineStr">
        <is>
          <t>TÉRREO</t>
        </is>
      </c>
      <c r="C12" s="7" t="inlineStr">
        <is>
          <t>SPRINKLERS</t>
        </is>
      </c>
      <c r="D12" s="7" t="inlineStr">
        <is>
          <t>Sistema de Chuveiros Automáticos (SPK)</t>
        </is>
      </c>
      <c r="E12" s="7" t="inlineStr">
        <is>
          <t>Válvula de retenção roscar DN 2.1/2"</t>
        </is>
      </c>
      <c r="F12" s="8" t="n">
        <v>2</v>
      </c>
      <c r="G12" s="7" t="n">
        <v>1</v>
      </c>
      <c r="H12" s="9" t="n">
        <v>0</v>
      </c>
      <c r="I12" s="8">
        <f>(F12+H12*F12)*G12</f>
        <v/>
      </c>
      <c r="J12" s="7" t="inlineStr">
        <is>
          <t>un</t>
        </is>
      </c>
      <c r="K12" s="8" t="n"/>
      <c r="L12" s="8">
        <f>I12*K12</f>
        <v/>
      </c>
    </row>
    <row r="13">
      <c r="A13" s="10" t="n"/>
      <c r="B13" s="10" t="n"/>
      <c r="C13" s="10" t="n"/>
      <c r="D13" s="10" t="n"/>
      <c r="E13" s="11" t="inlineStr">
        <is>
          <t>Subtotal TÉRREO</t>
        </is>
      </c>
      <c r="F13" s="10" t="n"/>
      <c r="G13" s="10" t="n"/>
      <c r="H13" s="10" t="n"/>
      <c r="I13" s="10" t="n"/>
      <c r="J13" s="10" t="n"/>
      <c r="K13" s="10" t="n"/>
      <c r="L13" s="10" t="n"/>
    </row>
    <row r="14">
      <c r="A14" s="5" t="inlineStr">
        <is>
          <t>EMBASAMENTO</t>
        </is>
      </c>
      <c r="B14" s="5" t="inlineStr">
        <is>
          <t>GARAGEM 01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7" t="inlineStr">
        <is>
          <t>EMBASAMENTO</t>
        </is>
      </c>
      <c r="B15" s="7" t="inlineStr">
        <is>
          <t>GARAGEM 01</t>
        </is>
      </c>
      <c r="C15" s="7" t="inlineStr">
        <is>
          <t>SPRINKLERS</t>
        </is>
      </c>
      <c r="D15" s="7" t="inlineStr">
        <is>
          <t>Sistema de Chuveiros Automáticos (SPK)</t>
        </is>
      </c>
      <c r="E15" s="7" t="inlineStr">
        <is>
          <t>Bico sprinkler pendente DN 2.1/2" (65mm)</t>
        </is>
      </c>
      <c r="F15" s="8" t="n">
        <v>3</v>
      </c>
      <c r="G15" s="7" t="n">
        <v>1</v>
      </c>
      <c r="H15" s="9" t="n">
        <v>0.05</v>
      </c>
      <c r="I15" s="8">
        <f>(F15+H15*F15)*G15</f>
        <v/>
      </c>
      <c r="J15" s="7" t="inlineStr">
        <is>
          <t>un</t>
        </is>
      </c>
      <c r="K15" s="8" t="n"/>
      <c r="L15" s="8">
        <f>I15*K15</f>
        <v/>
      </c>
    </row>
    <row r="16">
      <c r="A16" s="7" t="inlineStr">
        <is>
          <t>EMBASAMENTO</t>
        </is>
      </c>
      <c r="B16" s="7" t="inlineStr">
        <is>
          <t>GARAGEM 01</t>
        </is>
      </c>
      <c r="C16" s="7" t="inlineStr">
        <is>
          <t>SPRINKLERS</t>
        </is>
      </c>
      <c r="D16" s="7" t="inlineStr">
        <is>
          <t>Sistema de Chuveiros Automáticos (SPK)</t>
        </is>
      </c>
      <c r="E16" s="7" t="inlineStr">
        <is>
          <t>Tubo ferro galvanizado vermelho BSP DN 2.1/2" (65mm)</t>
        </is>
      </c>
      <c r="F16" s="8" t="n">
        <v>31.96</v>
      </c>
      <c r="G16" s="7" t="n">
        <v>1</v>
      </c>
      <c r="H16" s="9" t="n">
        <v>0.1</v>
      </c>
      <c r="I16" s="8">
        <f>(F16+H16*F16)*G16</f>
        <v/>
      </c>
      <c r="J16" s="7" t="inlineStr">
        <is>
          <t>m</t>
        </is>
      </c>
      <c r="K16" s="8" t="n"/>
      <c r="L16" s="8">
        <f>I16*K16</f>
        <v/>
      </c>
    </row>
    <row r="17">
      <c r="A17" s="7" t="inlineStr">
        <is>
          <t>EMBASAMENTO</t>
        </is>
      </c>
      <c r="B17" s="7" t="inlineStr">
        <is>
          <t>GARAGEM 01</t>
        </is>
      </c>
      <c r="C17" s="7" t="inlineStr">
        <is>
          <t>SPRINKLERS</t>
        </is>
      </c>
      <c r="D17" s="7" t="inlineStr">
        <is>
          <t>Sistema de Chuveiros Automáticos (SPK)</t>
        </is>
      </c>
      <c r="E17" s="7" t="inlineStr">
        <is>
          <t>Cotovelo ferro galvanizado BSP DN 2.1/2"</t>
        </is>
      </c>
      <c r="F17" s="8" t="n">
        <v>3</v>
      </c>
      <c r="G17" s="7" t="n">
        <v>1</v>
      </c>
      <c r="H17" s="9" t="n">
        <v>0.05</v>
      </c>
      <c r="I17" s="8">
        <f>(F17+H17*F17)*G17</f>
        <v/>
      </c>
      <c r="J17" s="7" t="inlineStr">
        <is>
          <t>un</t>
        </is>
      </c>
      <c r="K17" s="8" t="n"/>
      <c r="L17" s="8">
        <f>I17*K17</f>
        <v/>
      </c>
    </row>
    <row r="18">
      <c r="A18" s="7" t="inlineStr">
        <is>
          <t>EMBASAMENTO</t>
        </is>
      </c>
      <c r="B18" s="7" t="inlineStr">
        <is>
          <t>GARAGEM 01</t>
        </is>
      </c>
      <c r="C18" s="7" t="inlineStr">
        <is>
          <t>SPRINKLERS</t>
        </is>
      </c>
      <c r="D18" s="7" t="inlineStr">
        <is>
          <t>Sistema de Chuveiros Automáticos (SPK)</t>
        </is>
      </c>
      <c r="E18" s="7" t="inlineStr">
        <is>
          <t>Tê de redução ferro galvanizado BSP DN 2.1/2"</t>
        </is>
      </c>
      <c r="F18" s="8" t="n">
        <v>2</v>
      </c>
      <c r="G18" s="7" t="n">
        <v>1</v>
      </c>
      <c r="H18" s="9" t="n">
        <v>0.05</v>
      </c>
      <c r="I18" s="8">
        <f>(F18+H18*F18)*G18</f>
        <v/>
      </c>
      <c r="J18" s="7" t="inlineStr">
        <is>
          <t>un</t>
        </is>
      </c>
      <c r="K18" s="8" t="n"/>
      <c r="L18" s="8">
        <f>I18*K18</f>
        <v/>
      </c>
    </row>
    <row r="19">
      <c r="A19" s="10" t="n"/>
      <c r="B19" s="10" t="n"/>
      <c r="C19" s="10" t="n"/>
      <c r="D19" s="10" t="n"/>
      <c r="E19" s="11" t="inlineStr">
        <is>
          <t>Subtotal GARAGEM 01</t>
        </is>
      </c>
      <c r="F19" s="10" t="n"/>
      <c r="G19" s="10" t="n"/>
      <c r="H19" s="10" t="n"/>
      <c r="I19" s="10" t="n"/>
      <c r="J19" s="10" t="n"/>
      <c r="K19" s="10" t="n"/>
      <c r="L19" s="10" t="n"/>
    </row>
    <row r="20">
      <c r="A20" s="5" t="inlineStr">
        <is>
          <t>EMBASAMENTO</t>
        </is>
      </c>
      <c r="B20" s="5" t="inlineStr">
        <is>
          <t>GARAGEM 02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7" t="inlineStr">
        <is>
          <t>EMBASAMENTO</t>
        </is>
      </c>
      <c r="B21" s="7" t="inlineStr">
        <is>
          <t>GARAGEM 02</t>
        </is>
      </c>
      <c r="C21" s="7" t="inlineStr">
        <is>
          <t>SPRINKLERS</t>
        </is>
      </c>
      <c r="D21" s="7" t="inlineStr">
        <is>
          <t>Sistema de Chuveiros Automáticos (SPK)</t>
        </is>
      </c>
      <c r="E21" s="7" t="inlineStr">
        <is>
          <t>Bico sprinkler pendente DN 2.1/2" (65mm)</t>
        </is>
      </c>
      <c r="F21" s="8" t="n">
        <v>2</v>
      </c>
      <c r="G21" s="7" t="n">
        <v>1</v>
      </c>
      <c r="H21" s="9" t="n">
        <v>0.05</v>
      </c>
      <c r="I21" s="8">
        <f>(F21+H21*F21)*G21</f>
        <v/>
      </c>
      <c r="J21" s="7" t="inlineStr">
        <is>
          <t>un</t>
        </is>
      </c>
      <c r="K21" s="8" t="n"/>
      <c r="L21" s="8">
        <f>I21*K21</f>
        <v/>
      </c>
    </row>
    <row r="22">
      <c r="A22" s="7" t="inlineStr">
        <is>
          <t>EMBASAMENTO</t>
        </is>
      </c>
      <c r="B22" s="7" t="inlineStr">
        <is>
          <t>GARAGEM 02</t>
        </is>
      </c>
      <c r="C22" s="7" t="inlineStr">
        <is>
          <t>SPRINKLERS</t>
        </is>
      </c>
      <c r="D22" s="7" t="inlineStr">
        <is>
          <t>Sistema de Chuveiros Automáticos (SPK)</t>
        </is>
      </c>
      <c r="E22" s="7" t="inlineStr">
        <is>
          <t>Tubo ferro galvanizado vermelho BSP DN 2.1/2" (65mm)</t>
        </is>
      </c>
      <c r="F22" s="8" t="n">
        <v>3.38</v>
      </c>
      <c r="G22" s="7" t="n">
        <v>1</v>
      </c>
      <c r="H22" s="9" t="n">
        <v>0.1</v>
      </c>
      <c r="I22" s="8">
        <f>(F22+H22*F22)*G22</f>
        <v/>
      </c>
      <c r="J22" s="7" t="inlineStr">
        <is>
          <t>m</t>
        </is>
      </c>
      <c r="K22" s="8" t="n"/>
      <c r="L22" s="8">
        <f>I22*K22</f>
        <v/>
      </c>
    </row>
    <row r="23">
      <c r="A23" s="7" t="inlineStr">
        <is>
          <t>EMBASAMENTO</t>
        </is>
      </c>
      <c r="B23" s="7" t="inlineStr">
        <is>
          <t>GARAGEM 02</t>
        </is>
      </c>
      <c r="C23" s="7" t="inlineStr">
        <is>
          <t>SPRINKLERS</t>
        </is>
      </c>
      <c r="D23" s="7" t="inlineStr">
        <is>
          <t>Sistema de Chuveiros Automáticos (SPK)</t>
        </is>
      </c>
      <c r="E23" s="7" t="inlineStr">
        <is>
          <t>Tê de redução ferro galvanizado BSP DN 2.1/2"</t>
        </is>
      </c>
      <c r="F23" s="8" t="n">
        <v>2</v>
      </c>
      <c r="G23" s="7" t="n">
        <v>1</v>
      </c>
      <c r="H23" s="9" t="n">
        <v>0.05</v>
      </c>
      <c r="I23" s="8">
        <f>(F23+H23*F23)*G23</f>
        <v/>
      </c>
      <c r="J23" s="7" t="inlineStr">
        <is>
          <t>un</t>
        </is>
      </c>
      <c r="K23" s="8" t="n"/>
      <c r="L23" s="8">
        <f>I23*K23</f>
        <v/>
      </c>
    </row>
    <row r="24">
      <c r="A24" s="10" t="n"/>
      <c r="B24" s="10" t="n"/>
      <c r="C24" s="10" t="n"/>
      <c r="D24" s="10" t="n"/>
      <c r="E24" s="11" t="inlineStr">
        <is>
          <t>Subtotal GARAGEM 02</t>
        </is>
      </c>
      <c r="F24" s="10" t="n"/>
      <c r="G24" s="10" t="n"/>
      <c r="H24" s="10" t="n"/>
      <c r="I24" s="10" t="n"/>
      <c r="J24" s="10" t="n"/>
      <c r="K24" s="10" t="n"/>
      <c r="L24" s="10" t="n"/>
    </row>
    <row r="25">
      <c r="A25" s="5" t="inlineStr">
        <is>
          <t>EMBASAMENTO</t>
        </is>
      </c>
      <c r="B25" s="5" t="inlineStr">
        <is>
          <t>GARAGEM 03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7" t="inlineStr">
        <is>
          <t>EMBASAMENTO</t>
        </is>
      </c>
      <c r="B26" s="7" t="inlineStr">
        <is>
          <t>GARAGEM 03</t>
        </is>
      </c>
      <c r="C26" s="7" t="inlineStr">
        <is>
          <t>SPRINKLERS</t>
        </is>
      </c>
      <c r="D26" s="7" t="inlineStr">
        <is>
          <t>Sistema de Chuveiros Automáticos (SPK)</t>
        </is>
      </c>
      <c r="E26" s="7" t="inlineStr">
        <is>
          <t>Bico sprinkler pendente DN 2.1/2" (65mm)</t>
        </is>
      </c>
      <c r="F26" s="8" t="n">
        <v>3</v>
      </c>
      <c r="G26" s="7" t="n">
        <v>1</v>
      </c>
      <c r="H26" s="9" t="n">
        <v>0.05</v>
      </c>
      <c r="I26" s="8">
        <f>(F26+H26*F26)*G26</f>
        <v/>
      </c>
      <c r="J26" s="7" t="inlineStr">
        <is>
          <t>un</t>
        </is>
      </c>
      <c r="K26" s="8" t="n"/>
      <c r="L26" s="8">
        <f>I26*K26</f>
        <v/>
      </c>
    </row>
    <row r="27">
      <c r="A27" s="7" t="inlineStr">
        <is>
          <t>EMBASAMENTO</t>
        </is>
      </c>
      <c r="B27" s="7" t="inlineStr">
        <is>
          <t>GARAGEM 03</t>
        </is>
      </c>
      <c r="C27" s="7" t="inlineStr">
        <is>
          <t>SPRINKLERS</t>
        </is>
      </c>
      <c r="D27" s="7" t="inlineStr">
        <is>
          <t>Sistema de Chuveiros Automáticos (SPK)</t>
        </is>
      </c>
      <c r="E27" s="7" t="inlineStr">
        <is>
          <t>Tubo ferro galvanizado vermelho BSP DN 2.1/2" (65mm)</t>
        </is>
      </c>
      <c r="F27" s="8" t="n">
        <v>3.38</v>
      </c>
      <c r="G27" s="7" t="n">
        <v>1</v>
      </c>
      <c r="H27" s="9" t="n">
        <v>0.1</v>
      </c>
      <c r="I27" s="8">
        <f>(F27+H27*F27)*G27</f>
        <v/>
      </c>
      <c r="J27" s="7" t="inlineStr">
        <is>
          <t>m</t>
        </is>
      </c>
      <c r="K27" s="8" t="n"/>
      <c r="L27" s="8">
        <f>I27*K27</f>
        <v/>
      </c>
    </row>
    <row r="28">
      <c r="A28" s="7" t="inlineStr">
        <is>
          <t>EMBASAMENTO</t>
        </is>
      </c>
      <c r="B28" s="7" t="inlineStr">
        <is>
          <t>GARAGEM 03</t>
        </is>
      </c>
      <c r="C28" s="7" t="inlineStr">
        <is>
          <t>SPRINKLERS</t>
        </is>
      </c>
      <c r="D28" s="7" t="inlineStr">
        <is>
          <t>Sistema de Chuveiros Automáticos (SPK)</t>
        </is>
      </c>
      <c r="E28" s="7" t="inlineStr">
        <is>
          <t>Tê de redução ferro galvanizado BSP DN 2.1/2"</t>
        </is>
      </c>
      <c r="F28" s="8" t="n">
        <v>2</v>
      </c>
      <c r="G28" s="7" t="n">
        <v>1</v>
      </c>
      <c r="H28" s="9" t="n">
        <v>0.05</v>
      </c>
      <c r="I28" s="8">
        <f>(F28+H28*F28)*G28</f>
        <v/>
      </c>
      <c r="J28" s="7" t="inlineStr">
        <is>
          <t>un</t>
        </is>
      </c>
      <c r="K28" s="8" t="n"/>
      <c r="L28" s="8">
        <f>I28*K28</f>
        <v/>
      </c>
    </row>
    <row r="29">
      <c r="A29" s="10" t="n"/>
      <c r="B29" s="10" t="n"/>
      <c r="C29" s="10" t="n"/>
      <c r="D29" s="10" t="n"/>
      <c r="E29" s="11" t="inlineStr">
        <is>
          <t>Subtotal GARAGEM 03</t>
        </is>
      </c>
      <c r="F29" s="10" t="n"/>
      <c r="G29" s="10" t="n"/>
      <c r="H29" s="10" t="n"/>
      <c r="I29" s="10" t="n"/>
      <c r="J29" s="10" t="n"/>
      <c r="K29" s="10" t="n"/>
      <c r="L29" s="10" t="n"/>
    </row>
    <row r="30">
      <c r="A30" s="5" t="inlineStr">
        <is>
          <t>EMBASAMENTO</t>
        </is>
      </c>
      <c r="B30" s="5" t="inlineStr">
        <is>
          <t>GARAGEM 04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7" t="inlineStr">
        <is>
          <t>EMBASAMENTO</t>
        </is>
      </c>
      <c r="B31" s="7" t="inlineStr">
        <is>
          <t>GARAGEM 04</t>
        </is>
      </c>
      <c r="C31" s="7" t="inlineStr">
        <is>
          <t>SPRINKLERS</t>
        </is>
      </c>
      <c r="D31" s="7" t="inlineStr">
        <is>
          <t>Sistema de Chuveiros Automáticos (SPK)</t>
        </is>
      </c>
      <c r="E31" s="7" t="inlineStr">
        <is>
          <t>Bico sprinkler pendente DN 2.1/2" (65mm)</t>
        </is>
      </c>
      <c r="F31" s="8" t="n">
        <v>3</v>
      </c>
      <c r="G31" s="7" t="n">
        <v>1</v>
      </c>
      <c r="H31" s="9" t="n">
        <v>0.05</v>
      </c>
      <c r="I31" s="8">
        <f>(F31+H31*F31)*G31</f>
        <v/>
      </c>
      <c r="J31" s="7" t="inlineStr">
        <is>
          <t>un</t>
        </is>
      </c>
      <c r="K31" s="8" t="n"/>
      <c r="L31" s="8">
        <f>I31*K31</f>
        <v/>
      </c>
    </row>
    <row r="32">
      <c r="A32" s="7" t="inlineStr">
        <is>
          <t>EMBASAMENTO</t>
        </is>
      </c>
      <c r="B32" s="7" t="inlineStr">
        <is>
          <t>GARAGEM 04</t>
        </is>
      </c>
      <c r="C32" s="7" t="inlineStr">
        <is>
          <t>SPRINKLERS</t>
        </is>
      </c>
      <c r="D32" s="7" t="inlineStr">
        <is>
          <t>Sistema de Chuveiros Automáticos (SPK)</t>
        </is>
      </c>
      <c r="E32" s="7" t="inlineStr">
        <is>
          <t>Tubo ferro galvanizado vermelho BSP DN 2.1/2" (65mm)</t>
        </is>
      </c>
      <c r="F32" s="8" t="n">
        <v>3.38</v>
      </c>
      <c r="G32" s="7" t="n">
        <v>1</v>
      </c>
      <c r="H32" s="9" t="n">
        <v>0.1</v>
      </c>
      <c r="I32" s="8">
        <f>(F32+H32*F32)*G32</f>
        <v/>
      </c>
      <c r="J32" s="7" t="inlineStr">
        <is>
          <t>m</t>
        </is>
      </c>
      <c r="K32" s="8" t="n"/>
      <c r="L32" s="8">
        <f>I32*K32</f>
        <v/>
      </c>
    </row>
    <row r="33">
      <c r="A33" s="7" t="inlineStr">
        <is>
          <t>EMBASAMENTO</t>
        </is>
      </c>
      <c r="B33" s="7" t="inlineStr">
        <is>
          <t>GARAGEM 04</t>
        </is>
      </c>
      <c r="C33" s="7" t="inlineStr">
        <is>
          <t>SPRINKLERS</t>
        </is>
      </c>
      <c r="D33" s="7" t="inlineStr">
        <is>
          <t>Sistema de Chuveiros Automáticos (SPK)</t>
        </is>
      </c>
      <c r="E33" s="7" t="inlineStr">
        <is>
          <t>Tê de redução ferro galvanizado BSP DN 2.1/2"</t>
        </is>
      </c>
      <c r="F33" s="8" t="n">
        <v>2</v>
      </c>
      <c r="G33" s="7" t="n">
        <v>1</v>
      </c>
      <c r="H33" s="9" t="n">
        <v>0.05</v>
      </c>
      <c r="I33" s="8">
        <f>(F33+H33*F33)*G33</f>
        <v/>
      </c>
      <c r="J33" s="7" t="inlineStr">
        <is>
          <t>un</t>
        </is>
      </c>
      <c r="K33" s="8" t="n"/>
      <c r="L33" s="8">
        <f>I33*K33</f>
        <v/>
      </c>
    </row>
    <row r="34">
      <c r="A34" s="10" t="n"/>
      <c r="B34" s="10" t="n"/>
      <c r="C34" s="10" t="n"/>
      <c r="D34" s="10" t="n"/>
      <c r="E34" s="11" t="inlineStr">
        <is>
          <t>Subtotal GARAGEM 04</t>
        </is>
      </c>
      <c r="F34" s="10" t="n"/>
      <c r="G34" s="10" t="n"/>
      <c r="H34" s="10" t="n"/>
      <c r="I34" s="10" t="n"/>
      <c r="J34" s="10" t="n"/>
      <c r="K34" s="10" t="n"/>
      <c r="L34" s="10" t="n"/>
    </row>
    <row r="35">
      <c r="A35" s="5" t="inlineStr">
        <is>
          <t>EMBASAMENTO</t>
        </is>
      </c>
      <c r="B35" s="5" t="inlineStr">
        <is>
          <t>GARAGEM 05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7" t="inlineStr">
        <is>
          <t>EMBASAMENTO</t>
        </is>
      </c>
      <c r="B36" s="7" t="inlineStr">
        <is>
          <t>GARAGEM 05</t>
        </is>
      </c>
      <c r="C36" s="7" t="inlineStr">
        <is>
          <t>SPRINKLERS</t>
        </is>
      </c>
      <c r="D36" s="7" t="inlineStr">
        <is>
          <t>Sistema de Chuveiros Automáticos (SPK)</t>
        </is>
      </c>
      <c r="E36" s="7" t="inlineStr">
        <is>
          <t>Bico sprinkler pendente DN 2.1/2" (65mm)</t>
        </is>
      </c>
      <c r="F36" s="8" t="n">
        <v>4</v>
      </c>
      <c r="G36" s="7" t="n">
        <v>1</v>
      </c>
      <c r="H36" s="9" t="n">
        <v>0.05</v>
      </c>
      <c r="I36" s="8">
        <f>(F36+H36*F36)*G36</f>
        <v/>
      </c>
      <c r="J36" s="7" t="inlineStr">
        <is>
          <t>un</t>
        </is>
      </c>
      <c r="K36" s="8" t="n"/>
      <c r="L36" s="8">
        <f>I36*K36</f>
        <v/>
      </c>
    </row>
    <row r="37">
      <c r="A37" s="7" t="inlineStr">
        <is>
          <t>EMBASAMENTO</t>
        </is>
      </c>
      <c r="B37" s="7" t="inlineStr">
        <is>
          <t>GARAGEM 05</t>
        </is>
      </c>
      <c r="C37" s="7" t="inlineStr">
        <is>
          <t>SPRINKLERS</t>
        </is>
      </c>
      <c r="D37" s="7" t="inlineStr">
        <is>
          <t>Sistema de Chuveiros Automáticos (SPK)</t>
        </is>
      </c>
      <c r="E37" s="7" t="inlineStr">
        <is>
          <t>Tubo ferro galvanizado vermelho BSP DN 2.1/2" (65mm)</t>
        </is>
      </c>
      <c r="F37" s="8" t="n">
        <v>82.18000000000001</v>
      </c>
      <c r="G37" s="7" t="n">
        <v>1</v>
      </c>
      <c r="H37" s="9" t="n">
        <v>0.1</v>
      </c>
      <c r="I37" s="8">
        <f>(F37+H37*F37)*G37</f>
        <v/>
      </c>
      <c r="J37" s="7" t="inlineStr">
        <is>
          <t>m</t>
        </is>
      </c>
      <c r="K37" s="8" t="n"/>
      <c r="L37" s="8">
        <f>I37*K37</f>
        <v/>
      </c>
    </row>
    <row r="38">
      <c r="A38" s="7" t="inlineStr">
        <is>
          <t>EMBASAMENTO</t>
        </is>
      </c>
      <c r="B38" s="7" t="inlineStr">
        <is>
          <t>GARAGEM 05</t>
        </is>
      </c>
      <c r="C38" s="7" t="inlineStr">
        <is>
          <t>SPRINKLERS</t>
        </is>
      </c>
      <c r="D38" s="7" t="inlineStr">
        <is>
          <t>Sistema de Chuveiros Automáticos (SPK)</t>
        </is>
      </c>
      <c r="E38" s="7" t="inlineStr">
        <is>
          <t>Cotovelo ferro galvanizado BSP DN 2.1/2"</t>
        </is>
      </c>
      <c r="F38" s="8" t="n">
        <v>5</v>
      </c>
      <c r="G38" s="7" t="n">
        <v>1</v>
      </c>
      <c r="H38" s="9" t="n">
        <v>0.05</v>
      </c>
      <c r="I38" s="8">
        <f>(F38+H38*F38)*G38</f>
        <v/>
      </c>
      <c r="J38" s="7" t="inlineStr">
        <is>
          <t>un</t>
        </is>
      </c>
      <c r="K38" s="8" t="n"/>
      <c r="L38" s="8">
        <f>I38*K38</f>
        <v/>
      </c>
    </row>
    <row r="39">
      <c r="A39" s="7" t="inlineStr">
        <is>
          <t>EMBASAMENTO</t>
        </is>
      </c>
      <c r="B39" s="7" t="inlineStr">
        <is>
          <t>GARAGEM 05</t>
        </is>
      </c>
      <c r="C39" s="7" t="inlineStr">
        <is>
          <t>SPRINKLERS</t>
        </is>
      </c>
      <c r="D39" s="7" t="inlineStr">
        <is>
          <t>Sistema de Chuveiros Automáticos (SPK)</t>
        </is>
      </c>
      <c r="E39" s="7" t="inlineStr">
        <is>
          <t>Tê de redução ferro galvanizado BSP DN 2.1/2"</t>
        </is>
      </c>
      <c r="F39" s="8" t="n">
        <v>5</v>
      </c>
      <c r="G39" s="7" t="n">
        <v>1</v>
      </c>
      <c r="H39" s="9" t="n">
        <v>0.05</v>
      </c>
      <c r="I39" s="8">
        <f>(F39+H39*F39)*G39</f>
        <v/>
      </c>
      <c r="J39" s="7" t="inlineStr">
        <is>
          <t>un</t>
        </is>
      </c>
      <c r="K39" s="8" t="n"/>
      <c r="L39" s="8">
        <f>I39*K39</f>
        <v/>
      </c>
    </row>
    <row r="40">
      <c r="A40" s="7" t="inlineStr">
        <is>
          <t>EMBASAMENTO</t>
        </is>
      </c>
      <c r="B40" s="7" t="inlineStr">
        <is>
          <t>GARAGEM 05</t>
        </is>
      </c>
      <c r="C40" s="7" t="inlineStr">
        <is>
          <t>SPRINKLERS</t>
        </is>
      </c>
      <c r="D40" s="7" t="inlineStr">
        <is>
          <t>Sistema de Chuveiros Automáticos (SPK)</t>
        </is>
      </c>
      <c r="E40" s="7" t="inlineStr">
        <is>
          <t>Válvula de retenção roscar DN 2.1/2"</t>
        </is>
      </c>
      <c r="F40" s="8" t="n">
        <v>1</v>
      </c>
      <c r="G40" s="7" t="n">
        <v>1</v>
      </c>
      <c r="H40" s="9" t="n">
        <v>0</v>
      </c>
      <c r="I40" s="8">
        <f>(F40+H40*F40)*G40</f>
        <v/>
      </c>
      <c r="J40" s="7" t="inlineStr">
        <is>
          <t>un</t>
        </is>
      </c>
      <c r="K40" s="8" t="n"/>
      <c r="L40" s="8">
        <f>I40*K40</f>
        <v/>
      </c>
    </row>
    <row r="41">
      <c r="A41" s="10" t="n"/>
      <c r="B41" s="10" t="n"/>
      <c r="C41" s="10" t="n"/>
      <c r="D41" s="10" t="n"/>
      <c r="E41" s="11" t="inlineStr">
        <is>
          <t>Subtotal GARAGEM 05</t>
        </is>
      </c>
      <c r="F41" s="10" t="n"/>
      <c r="G41" s="10" t="n"/>
      <c r="H41" s="10" t="n"/>
      <c r="I41" s="10" t="n"/>
      <c r="J41" s="10" t="n"/>
      <c r="K41" s="10" t="n"/>
      <c r="L41" s="10" t="n"/>
    </row>
    <row r="42">
      <c r="A42" s="5" t="inlineStr">
        <is>
          <t>EMBASAMENTO</t>
        </is>
      </c>
      <c r="B42" s="5" t="inlineStr">
        <is>
          <t>LAZER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7" t="inlineStr">
        <is>
          <t>EMBASAMENTO</t>
        </is>
      </c>
      <c r="B43" s="7" t="inlineStr">
        <is>
          <t>LAZER</t>
        </is>
      </c>
      <c r="C43" s="7" t="inlineStr">
        <is>
          <t>SPRINKLERS</t>
        </is>
      </c>
      <c r="D43" s="7" t="inlineStr">
        <is>
          <t>Sistema de Chuveiros Automáticos (SPK)</t>
        </is>
      </c>
      <c r="E43" s="7" t="inlineStr">
        <is>
          <t>Bico sprinkler pendente DN 2.1/2" (65mm)</t>
        </is>
      </c>
      <c r="F43" s="8" t="n">
        <v>4</v>
      </c>
      <c r="G43" s="7" t="n">
        <v>1</v>
      </c>
      <c r="H43" s="9" t="n">
        <v>0.05</v>
      </c>
      <c r="I43" s="8">
        <f>(F43+H43*F43)*G43</f>
        <v/>
      </c>
      <c r="J43" s="7" t="inlineStr">
        <is>
          <t>un</t>
        </is>
      </c>
      <c r="K43" s="8" t="n"/>
      <c r="L43" s="8">
        <f>I43*K43</f>
        <v/>
      </c>
    </row>
    <row r="44">
      <c r="A44" s="7" t="inlineStr">
        <is>
          <t>EMBASAMENTO</t>
        </is>
      </c>
      <c r="B44" s="7" t="inlineStr">
        <is>
          <t>LAZER</t>
        </is>
      </c>
      <c r="C44" s="7" t="inlineStr">
        <is>
          <t>SPRINKLERS</t>
        </is>
      </c>
      <c r="D44" s="7" t="inlineStr">
        <is>
          <t>Sistema de Chuveiros Automáticos (SPK)</t>
        </is>
      </c>
      <c r="E44" s="7" t="inlineStr">
        <is>
          <t>Tubo ferro galvanizado vermelho BSP DN 2.1/2" (65mm)</t>
        </is>
      </c>
      <c r="F44" s="8" t="n">
        <v>35.12</v>
      </c>
      <c r="G44" s="7" t="n">
        <v>1</v>
      </c>
      <c r="H44" s="9" t="n">
        <v>0.1</v>
      </c>
      <c r="I44" s="8">
        <f>(F44+H44*F44)*G44</f>
        <v/>
      </c>
      <c r="J44" s="7" t="inlineStr">
        <is>
          <t>m</t>
        </is>
      </c>
      <c r="K44" s="8" t="n"/>
      <c r="L44" s="8">
        <f>I44*K44</f>
        <v/>
      </c>
    </row>
    <row r="45">
      <c r="A45" s="7" t="inlineStr">
        <is>
          <t>EMBASAMENTO</t>
        </is>
      </c>
      <c r="B45" s="7" t="inlineStr">
        <is>
          <t>LAZER</t>
        </is>
      </c>
      <c r="C45" s="7" t="inlineStr">
        <is>
          <t>SPRINKLERS</t>
        </is>
      </c>
      <c r="D45" s="7" t="inlineStr">
        <is>
          <t>Sistema de Chuveiros Automáticos (SPK)</t>
        </is>
      </c>
      <c r="E45" s="7" t="inlineStr">
        <is>
          <t>Cotovelo ferro galvanizado BSP DN 2.1/2"</t>
        </is>
      </c>
      <c r="F45" s="8" t="n">
        <v>10</v>
      </c>
      <c r="G45" s="7" t="n">
        <v>1</v>
      </c>
      <c r="H45" s="9" t="n">
        <v>0.05</v>
      </c>
      <c r="I45" s="8">
        <f>(F45+H45*F45)*G45</f>
        <v/>
      </c>
      <c r="J45" s="7" t="inlineStr">
        <is>
          <t>un</t>
        </is>
      </c>
      <c r="K45" s="8" t="n"/>
      <c r="L45" s="8">
        <f>I45*K45</f>
        <v/>
      </c>
    </row>
    <row r="46">
      <c r="A46" s="7" t="inlineStr">
        <is>
          <t>EMBASAMENTO</t>
        </is>
      </c>
      <c r="B46" s="7" t="inlineStr">
        <is>
          <t>LAZER</t>
        </is>
      </c>
      <c r="C46" s="7" t="inlineStr">
        <is>
          <t>SPRINKLERS</t>
        </is>
      </c>
      <c r="D46" s="7" t="inlineStr">
        <is>
          <t>Sistema de Chuveiros Automáticos (SPK)</t>
        </is>
      </c>
      <c r="E46" s="7" t="inlineStr">
        <is>
          <t>Tê de redução ferro galvanizado BSP DN 2.1/2"</t>
        </is>
      </c>
      <c r="F46" s="8" t="n">
        <v>8</v>
      </c>
      <c r="G46" s="7" t="n">
        <v>1</v>
      </c>
      <c r="H46" s="9" t="n">
        <v>0.05</v>
      </c>
      <c r="I46" s="8">
        <f>(F46+H46*F46)*G46</f>
        <v/>
      </c>
      <c r="J46" s="7" t="inlineStr">
        <is>
          <t>un</t>
        </is>
      </c>
      <c r="K46" s="8" t="n"/>
      <c r="L46" s="8">
        <f>I46*K46</f>
        <v/>
      </c>
    </row>
    <row r="47">
      <c r="A47" s="7" t="inlineStr">
        <is>
          <t>EMBASAMENTO</t>
        </is>
      </c>
      <c r="B47" s="7" t="inlineStr">
        <is>
          <t>LAZER</t>
        </is>
      </c>
      <c r="C47" s="7" t="inlineStr">
        <is>
          <t>SPRINKLERS</t>
        </is>
      </c>
      <c r="D47" s="7" t="inlineStr">
        <is>
          <t>Sistema de Chuveiros Automáticos (SPK)</t>
        </is>
      </c>
      <c r="E47" s="7" t="inlineStr">
        <is>
          <t>Válvula de retenção roscar DN 2.1/2"</t>
        </is>
      </c>
      <c r="F47" s="8" t="n">
        <v>1</v>
      </c>
      <c r="G47" s="7" t="n">
        <v>1</v>
      </c>
      <c r="H47" s="9" t="n">
        <v>0</v>
      </c>
      <c r="I47" s="8">
        <f>(F47+H47*F47)*G47</f>
        <v/>
      </c>
      <c r="J47" s="7" t="inlineStr">
        <is>
          <t>un</t>
        </is>
      </c>
      <c r="K47" s="8" t="n"/>
      <c r="L47" s="8">
        <f>I47*K47</f>
        <v/>
      </c>
    </row>
    <row r="48">
      <c r="A48" s="10" t="n"/>
      <c r="B48" s="10" t="n"/>
      <c r="C48" s="10" t="n"/>
      <c r="D48" s="10" t="n"/>
      <c r="E48" s="11" t="inlineStr">
        <is>
          <t>Subtotal LAZER</t>
        </is>
      </c>
      <c r="F48" s="10" t="n"/>
      <c r="G48" s="10" t="n"/>
      <c r="H48" s="10" t="n"/>
      <c r="I48" s="10" t="n"/>
      <c r="J48" s="10" t="n"/>
      <c r="K48" s="10" t="n"/>
      <c r="L48" s="10" t="n"/>
    </row>
    <row r="49">
      <c r="A49" s="10" t="n"/>
      <c r="B49" s="10" t="n"/>
      <c r="C49" s="10" t="n"/>
      <c r="D49" s="10" t="n"/>
      <c r="E49" s="11" t="inlineStr">
        <is>
          <t>SUBTOTAL EMBASAMENTO</t>
        </is>
      </c>
      <c r="F49" s="10" t="n"/>
      <c r="G49" s="10" t="n"/>
      <c r="H49" s="10" t="n"/>
      <c r="I49" s="10" t="n"/>
      <c r="J49" s="10" t="n"/>
      <c r="K49" s="10" t="n"/>
      <c r="L49" s="10" t="n"/>
    </row>
    <row r="50">
      <c r="A50" s="5" t="inlineStr">
        <is>
          <t>TORRE A</t>
        </is>
      </c>
      <c r="B50" s="5" t="inlineStr">
        <is>
          <t>PAVIMENTO TIPO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7" t="inlineStr">
        <is>
          <t>TORRE A</t>
        </is>
      </c>
      <c r="B51" s="7" t="inlineStr">
        <is>
          <t>PAVIMENTO TIPO</t>
        </is>
      </c>
      <c r="C51" s="7" t="inlineStr">
        <is>
          <t>SPRINKLERS</t>
        </is>
      </c>
      <c r="D51" s="7" t="inlineStr">
        <is>
          <t>Sistema de Chuveiros Automáticos (SPK)</t>
        </is>
      </c>
      <c r="E51" s="7" t="inlineStr">
        <is>
          <t>Bico sprinkler pendente DN 2.1/2" (65mm)</t>
        </is>
      </c>
      <c r="F51" s="8" t="n">
        <v>2.38</v>
      </c>
      <c r="G51" s="7" t="n">
        <v>24</v>
      </c>
      <c r="H51" s="9" t="n">
        <v>0.05</v>
      </c>
      <c r="I51" s="8">
        <f>(F51+H51*F51)*G51</f>
        <v/>
      </c>
      <c r="J51" s="7" t="inlineStr">
        <is>
          <t>un</t>
        </is>
      </c>
      <c r="K51" s="8" t="n"/>
      <c r="L51" s="8">
        <f>I51*K51</f>
        <v/>
      </c>
    </row>
    <row r="52">
      <c r="A52" s="7" t="inlineStr">
        <is>
          <t>TORRE A</t>
        </is>
      </c>
      <c r="B52" s="7" t="inlineStr">
        <is>
          <t>PAVIMENTO TIPO</t>
        </is>
      </c>
      <c r="C52" s="7" t="inlineStr">
        <is>
          <t>SPRINKLERS</t>
        </is>
      </c>
      <c r="D52" s="7" t="inlineStr">
        <is>
          <t>Sistema de Chuveiros Automáticos (SPK)</t>
        </is>
      </c>
      <c r="E52" s="7" t="inlineStr">
        <is>
          <t>Tubo ferro galvanizado vermelho BSP DN 2.1/2" (65mm)</t>
        </is>
      </c>
      <c r="F52" s="8" t="n">
        <v>1.97</v>
      </c>
      <c r="G52" s="7" t="n">
        <v>24</v>
      </c>
      <c r="H52" s="9" t="n">
        <v>0.1</v>
      </c>
      <c r="I52" s="8">
        <f>(F52+H52*F52)*G52</f>
        <v/>
      </c>
      <c r="J52" s="7" t="inlineStr">
        <is>
          <t>m</t>
        </is>
      </c>
      <c r="K52" s="8" t="n"/>
      <c r="L52" s="8">
        <f>I52*K52</f>
        <v/>
      </c>
    </row>
    <row r="53">
      <c r="A53" s="7" t="inlineStr">
        <is>
          <t>TORRE A</t>
        </is>
      </c>
      <c r="B53" s="7" t="inlineStr">
        <is>
          <t>PAVIMENTO TIPO</t>
        </is>
      </c>
      <c r="C53" s="7" t="inlineStr">
        <is>
          <t>SPRINKLERS</t>
        </is>
      </c>
      <c r="D53" s="7" t="inlineStr">
        <is>
          <t>Sistema de Chuveiros Automáticos (SPK)</t>
        </is>
      </c>
      <c r="E53" s="7" t="inlineStr">
        <is>
          <t>Cotovelo ferro galvanizado BSP DN 2.1/2"</t>
        </is>
      </c>
      <c r="F53" s="8" t="n">
        <v>0.54</v>
      </c>
      <c r="G53" s="7" t="n">
        <v>24</v>
      </c>
      <c r="H53" s="9" t="n">
        <v>0.05</v>
      </c>
      <c r="I53" s="8">
        <f>(F53+H53*F53)*G53</f>
        <v/>
      </c>
      <c r="J53" s="7" t="inlineStr">
        <is>
          <t>un</t>
        </is>
      </c>
      <c r="K53" s="8" t="n"/>
      <c r="L53" s="8">
        <f>I53*K53</f>
        <v/>
      </c>
    </row>
    <row r="54">
      <c r="A54" s="7" t="inlineStr">
        <is>
          <t>TORRE A</t>
        </is>
      </c>
      <c r="B54" s="7" t="inlineStr">
        <is>
          <t>PAVIMENTO TIPO</t>
        </is>
      </c>
      <c r="C54" s="7" t="inlineStr">
        <is>
          <t>SPRINKLERS</t>
        </is>
      </c>
      <c r="D54" s="7" t="inlineStr">
        <is>
          <t>Sistema de Chuveiros Automáticos (SPK)</t>
        </is>
      </c>
      <c r="E54" s="7" t="inlineStr">
        <is>
          <t>Tê de redução ferro galvanizado BSP DN 2.1/2"</t>
        </is>
      </c>
      <c r="F54" s="8" t="n">
        <v>1.79</v>
      </c>
      <c r="G54" s="7" t="n">
        <v>24</v>
      </c>
      <c r="H54" s="9" t="n">
        <v>0.05</v>
      </c>
      <c r="I54" s="8">
        <f>(F54+H54*F54)*G54</f>
        <v/>
      </c>
      <c r="J54" s="7" t="inlineStr">
        <is>
          <t>un</t>
        </is>
      </c>
      <c r="K54" s="8" t="n"/>
      <c r="L54" s="8">
        <f>I54*K54</f>
        <v/>
      </c>
    </row>
    <row r="55">
      <c r="A55" s="7" t="inlineStr">
        <is>
          <t>TORRE A</t>
        </is>
      </c>
      <c r="B55" s="7" t="inlineStr">
        <is>
          <t>PAVIMENTO TIPO</t>
        </is>
      </c>
      <c r="C55" s="7" t="inlineStr">
        <is>
          <t>SPRINKLERS</t>
        </is>
      </c>
      <c r="D55" s="7" t="inlineStr">
        <is>
          <t>Sistema de Chuveiros Automáticos (SPK)</t>
        </is>
      </c>
      <c r="E55" s="7" t="inlineStr">
        <is>
          <t>Válvula de retenção roscar DN 2.1/2"</t>
        </is>
      </c>
      <c r="F55" s="8" t="n">
        <v>0.08</v>
      </c>
      <c r="G55" s="7" t="n">
        <v>24</v>
      </c>
      <c r="H55" s="9" t="n">
        <v>0</v>
      </c>
      <c r="I55" s="8">
        <f>(F55+H55*F55)*G55</f>
        <v/>
      </c>
      <c r="J55" s="7" t="inlineStr">
        <is>
          <t>un</t>
        </is>
      </c>
      <c r="K55" s="8" t="n"/>
      <c r="L55" s="8">
        <f>I55*K55</f>
        <v/>
      </c>
    </row>
    <row r="56">
      <c r="A56" s="10" t="n"/>
      <c r="B56" s="10" t="n"/>
      <c r="C56" s="10" t="n"/>
      <c r="D56" s="10" t="n"/>
      <c r="E56" s="11" t="inlineStr">
        <is>
          <t>Subtotal PAVIMENTO TIPO</t>
        </is>
      </c>
      <c r="F56" s="10" t="n"/>
      <c r="G56" s="10" t="n"/>
      <c r="H56" s="10" t="n"/>
      <c r="I56" s="10" t="n"/>
      <c r="J56" s="10" t="n"/>
      <c r="K56" s="10" t="n"/>
      <c r="L56" s="10" t="n"/>
    </row>
    <row r="57">
      <c r="A57" s="5" t="inlineStr">
        <is>
          <t>TORRE A</t>
        </is>
      </c>
      <c r="B57" s="5" t="inlineStr">
        <is>
          <t>CASA DE MÁQUINAS</t>
        </is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>
      <c r="A58" s="7" t="inlineStr">
        <is>
          <t>TORRE A</t>
        </is>
      </c>
      <c r="B58" s="7" t="inlineStr">
        <is>
          <t>CASA DE MÁQUINAS</t>
        </is>
      </c>
      <c r="C58" s="7" t="inlineStr">
        <is>
          <t>SPRINKLERS</t>
        </is>
      </c>
      <c r="D58" s="7" t="inlineStr">
        <is>
          <t>Sistema de Chuveiros Automáticos (SPK)</t>
        </is>
      </c>
      <c r="E58" s="7" t="inlineStr">
        <is>
          <t>Tubo ferro galvanizado vermelho BSP DN 2.1/2" (65mm)</t>
        </is>
      </c>
      <c r="F58" s="8" t="n">
        <v>130.59</v>
      </c>
      <c r="G58" s="7" t="n">
        <v>1</v>
      </c>
      <c r="H58" s="9" t="n">
        <v>0.1</v>
      </c>
      <c r="I58" s="8">
        <f>(F58+H58*F58)*G58</f>
        <v/>
      </c>
      <c r="J58" s="7" t="inlineStr">
        <is>
          <t>m</t>
        </is>
      </c>
      <c r="K58" s="8" t="n"/>
      <c r="L58" s="8">
        <f>I58*K58</f>
        <v/>
      </c>
    </row>
    <row r="59">
      <c r="A59" s="7" t="inlineStr">
        <is>
          <t>TORRE A</t>
        </is>
      </c>
      <c r="B59" s="7" t="inlineStr">
        <is>
          <t>CASA DE MÁQUINAS</t>
        </is>
      </c>
      <c r="C59" s="7" t="inlineStr">
        <is>
          <t>SPRINKLERS</t>
        </is>
      </c>
      <c r="D59" s="7" t="inlineStr">
        <is>
          <t>Sistema de Chuveiros Automáticos (SPK)</t>
        </is>
      </c>
      <c r="E59" s="7" t="inlineStr">
        <is>
          <t>Cotovelo ferro galvanizado BSP DN 2.1/2"</t>
        </is>
      </c>
      <c r="F59" s="8" t="n">
        <v>32</v>
      </c>
      <c r="G59" s="7" t="n">
        <v>1</v>
      </c>
      <c r="H59" s="9" t="n">
        <v>0.05</v>
      </c>
      <c r="I59" s="8">
        <f>(F59+H59*F59)*G59</f>
        <v/>
      </c>
      <c r="J59" s="7" t="inlineStr">
        <is>
          <t>un</t>
        </is>
      </c>
      <c r="K59" s="8" t="n"/>
      <c r="L59" s="8">
        <f>I59*K59</f>
        <v/>
      </c>
    </row>
    <row r="60">
      <c r="A60" s="7" t="inlineStr">
        <is>
          <t>TORRE A</t>
        </is>
      </c>
      <c r="B60" s="7" t="inlineStr">
        <is>
          <t>CASA DE MÁQUINAS</t>
        </is>
      </c>
      <c r="C60" s="7" t="inlineStr">
        <is>
          <t>SPRINKLERS</t>
        </is>
      </c>
      <c r="D60" s="7" t="inlineStr">
        <is>
          <t>Sistema de Chuveiros Automáticos (SPK)</t>
        </is>
      </c>
      <c r="E60" s="7" t="inlineStr">
        <is>
          <t>Tê de redução ferro galvanizado BSP DN 2.1/2"</t>
        </is>
      </c>
      <c r="F60" s="8" t="n">
        <v>7</v>
      </c>
      <c r="G60" s="7" t="n">
        <v>1</v>
      </c>
      <c r="H60" s="9" t="n">
        <v>0.05</v>
      </c>
      <c r="I60" s="8">
        <f>(F60+H60*F60)*G60</f>
        <v/>
      </c>
      <c r="J60" s="7" t="inlineStr">
        <is>
          <t>un</t>
        </is>
      </c>
      <c r="K60" s="8" t="n"/>
      <c r="L60" s="8">
        <f>I60*K60</f>
        <v/>
      </c>
    </row>
    <row r="61">
      <c r="A61" s="7" t="inlineStr">
        <is>
          <t>TORRE A</t>
        </is>
      </c>
      <c r="B61" s="7" t="inlineStr">
        <is>
          <t>CASA DE MÁQUINAS</t>
        </is>
      </c>
      <c r="C61" s="7" t="inlineStr">
        <is>
          <t>SPRINKLERS</t>
        </is>
      </c>
      <c r="D61" s="7" t="inlineStr">
        <is>
          <t>Sistema de Chuveiros Automáticos (SPK)</t>
        </is>
      </c>
      <c r="E61" s="7" t="inlineStr">
        <is>
          <t>Luva de redução ferro galvanizado BSP DN 2.1/2"</t>
        </is>
      </c>
      <c r="F61" s="8" t="n">
        <v>2</v>
      </c>
      <c r="G61" s="7" t="n">
        <v>1</v>
      </c>
      <c r="H61" s="9" t="n">
        <v>0.05</v>
      </c>
      <c r="I61" s="8">
        <f>(F61+H61*F61)*G61</f>
        <v/>
      </c>
      <c r="J61" s="7" t="inlineStr">
        <is>
          <t>un</t>
        </is>
      </c>
      <c r="K61" s="8" t="n"/>
      <c r="L61" s="8">
        <f>I61*K61</f>
        <v/>
      </c>
    </row>
    <row r="62">
      <c r="A62" s="7" t="inlineStr">
        <is>
          <t>TORRE A</t>
        </is>
      </c>
      <c r="B62" s="7" t="inlineStr">
        <is>
          <t>CASA DE MÁQUINAS</t>
        </is>
      </c>
      <c r="C62" s="7" t="inlineStr">
        <is>
          <t>SPRINKLERS</t>
        </is>
      </c>
      <c r="D62" s="7" t="inlineStr">
        <is>
          <t>Sistema de Chuveiros Automáticos (SPK)</t>
        </is>
      </c>
      <c r="E62" s="7" t="inlineStr">
        <is>
          <t>Válvula de retenção roscar DN 2.1/2"</t>
        </is>
      </c>
      <c r="F62" s="8" t="n">
        <v>2</v>
      </c>
      <c r="G62" s="7" t="n">
        <v>1</v>
      </c>
      <c r="H62" s="9" t="n">
        <v>0</v>
      </c>
      <c r="I62" s="8">
        <f>(F62+H62*F62)*G62</f>
        <v/>
      </c>
      <c r="J62" s="7" t="inlineStr">
        <is>
          <t>un</t>
        </is>
      </c>
      <c r="K62" s="8" t="n"/>
      <c r="L62" s="8">
        <f>I62*K62</f>
        <v/>
      </c>
    </row>
    <row r="63">
      <c r="A63" s="7" t="inlineStr">
        <is>
          <t>TORRE A</t>
        </is>
      </c>
      <c r="B63" s="7" t="inlineStr">
        <is>
          <t>CASA DE MÁQUINAS</t>
        </is>
      </c>
      <c r="C63" s="7" t="inlineStr">
        <is>
          <t>SPRINKLERS</t>
        </is>
      </c>
      <c r="D63" s="7" t="inlineStr">
        <is>
          <t>Sistema de Chuveiros Automáticos (SPK)</t>
        </is>
      </c>
      <c r="E63" s="7" t="inlineStr">
        <is>
          <t>Central de bombas (Skid Hydrosystem)</t>
        </is>
      </c>
      <c r="F63" s="8" t="n">
        <v>1</v>
      </c>
      <c r="G63" s="7" t="n">
        <v>1</v>
      </c>
      <c r="H63" s="9" t="n">
        <v>0</v>
      </c>
      <c r="I63" s="8">
        <f>(F63+H63*F63)*G63</f>
        <v/>
      </c>
      <c r="J63" s="7" t="inlineStr">
        <is>
          <t>cj</t>
        </is>
      </c>
      <c r="K63" s="8" t="n"/>
      <c r="L63" s="8">
        <f>I63*K63</f>
        <v/>
      </c>
    </row>
    <row r="64">
      <c r="A64" s="10" t="n"/>
      <c r="B64" s="10" t="n"/>
      <c r="C64" s="10" t="n"/>
      <c r="D64" s="10" t="n"/>
      <c r="E64" s="11" t="inlineStr">
        <is>
          <t>Subtotal CASA DE MÁQUINAS</t>
        </is>
      </c>
      <c r="F64" s="10" t="n"/>
      <c r="G64" s="10" t="n"/>
      <c r="H64" s="10" t="n"/>
      <c r="I64" s="10" t="n"/>
      <c r="J64" s="10" t="n"/>
      <c r="K64" s="10" t="n"/>
      <c r="L64" s="10" t="n"/>
    </row>
    <row r="65">
      <c r="A65" s="5" t="inlineStr">
        <is>
          <t>TORRE A</t>
        </is>
      </c>
      <c r="B65" s="5" t="inlineStr">
        <is>
          <t>PAVIMENTOS TÉCNICOS</t>
        </is>
      </c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</row>
    <row r="66">
      <c r="A66" s="7" t="inlineStr">
        <is>
          <t>TORRE A</t>
        </is>
      </c>
      <c r="B66" s="7" t="inlineStr">
        <is>
          <t>PAVIMENTOS TÉCNICOS</t>
        </is>
      </c>
      <c r="C66" s="7" t="inlineStr">
        <is>
          <t>SPRINKLERS</t>
        </is>
      </c>
      <c r="D66" s="7" t="inlineStr">
        <is>
          <t>Sistema de Chuveiros Automáticos (SPK)</t>
        </is>
      </c>
      <c r="E66" s="7" t="inlineStr">
        <is>
          <t>Tubo ferro galvanizado vermelho BSP DN 2.1/2" (65mm)</t>
        </is>
      </c>
      <c r="F66" s="8" t="n">
        <v>3.59</v>
      </c>
      <c r="G66" s="7" t="n">
        <v>1</v>
      </c>
      <c r="H66" s="9" t="n">
        <v>0.1</v>
      </c>
      <c r="I66" s="8">
        <f>(F66+H66*F66)*G66</f>
        <v/>
      </c>
      <c r="J66" s="7" t="inlineStr">
        <is>
          <t>m</t>
        </is>
      </c>
      <c r="K66" s="8" t="n"/>
      <c r="L66" s="8">
        <f>I66*K66</f>
        <v/>
      </c>
    </row>
    <row r="67">
      <c r="A67" s="7" t="inlineStr">
        <is>
          <t>TORRE A</t>
        </is>
      </c>
      <c r="B67" s="7" t="inlineStr">
        <is>
          <t>PAVIMENTOS TÉCNICOS</t>
        </is>
      </c>
      <c r="C67" s="7" t="inlineStr">
        <is>
          <t>SPRINKLERS</t>
        </is>
      </c>
      <c r="D67" s="7" t="inlineStr">
        <is>
          <t>Sistema de Chuveiros Automáticos (SPK)</t>
        </is>
      </c>
      <c r="E67" s="7" t="inlineStr">
        <is>
          <t>Tê de redução ferro galvanizado BSP DN 2.1/2"</t>
        </is>
      </c>
      <c r="F67" s="8" t="n">
        <v>13</v>
      </c>
      <c r="G67" s="7" t="n">
        <v>1</v>
      </c>
      <c r="H67" s="9" t="n">
        <v>0.05</v>
      </c>
      <c r="I67" s="8">
        <f>(F67+H67*F67)*G67</f>
        <v/>
      </c>
      <c r="J67" s="7" t="inlineStr">
        <is>
          <t>un</t>
        </is>
      </c>
      <c r="K67" s="8" t="n"/>
      <c r="L67" s="8">
        <f>I67*K67</f>
        <v/>
      </c>
    </row>
    <row r="68">
      <c r="A68" s="10" t="n"/>
      <c r="B68" s="10" t="n"/>
      <c r="C68" s="10" t="n"/>
      <c r="D68" s="10" t="n"/>
      <c r="E68" s="11" t="inlineStr">
        <is>
          <t>Subtotal PAVIMENTOS TÉCNICOS</t>
        </is>
      </c>
      <c r="F68" s="10" t="n"/>
      <c r="G68" s="10" t="n"/>
      <c r="H68" s="10" t="n"/>
      <c r="I68" s="10" t="n"/>
      <c r="J68" s="10" t="n"/>
      <c r="K68" s="10" t="n"/>
      <c r="L68" s="10" t="n"/>
    </row>
    <row r="69">
      <c r="A69" s="10" t="n"/>
      <c r="B69" s="10" t="n"/>
      <c r="C69" s="10" t="n"/>
      <c r="D69" s="10" t="n"/>
      <c r="E69" s="11" t="inlineStr">
        <is>
          <t>SUBTOTAL TORRE A</t>
        </is>
      </c>
      <c r="F69" s="10" t="n"/>
      <c r="G69" s="10" t="n"/>
      <c r="H69" s="10" t="n"/>
      <c r="I69" s="10" t="n"/>
      <c r="J69" s="10" t="n"/>
      <c r="K69" s="10" t="n"/>
      <c r="L69" s="10" t="n"/>
    </row>
    <row r="70">
      <c r="A70" s="5" t="inlineStr">
        <is>
          <t>TORRE B</t>
        </is>
      </c>
      <c r="B70" s="5" t="inlineStr">
        <is>
          <t>PAVIMENTO TIPO</t>
        </is>
      </c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>
      <c r="A71" s="7" t="inlineStr">
        <is>
          <t>TORRE B</t>
        </is>
      </c>
      <c r="B71" s="7" t="inlineStr">
        <is>
          <t>PAVIMENTO TIPO</t>
        </is>
      </c>
      <c r="C71" s="7" t="inlineStr">
        <is>
          <t>SPRINKLERS</t>
        </is>
      </c>
      <c r="D71" s="7" t="inlineStr">
        <is>
          <t>Sistema de Chuveiros Automáticos (SPK)</t>
        </is>
      </c>
      <c r="E71" s="7" t="inlineStr">
        <is>
          <t>Bico sprinkler pendente DN 2.1/2" (65mm)</t>
        </is>
      </c>
      <c r="F71" s="8" t="n">
        <v>1.54</v>
      </c>
      <c r="G71" s="7" t="n">
        <v>24</v>
      </c>
      <c r="H71" s="9" t="n">
        <v>0.05</v>
      </c>
      <c r="I71" s="8">
        <f>(F71+H71*F71)*G71</f>
        <v/>
      </c>
      <c r="J71" s="7" t="inlineStr">
        <is>
          <t>un</t>
        </is>
      </c>
      <c r="K71" s="8" t="n"/>
      <c r="L71" s="8">
        <f>I71*K71</f>
        <v/>
      </c>
    </row>
    <row r="72">
      <c r="A72" s="7" t="inlineStr">
        <is>
          <t>TORRE B</t>
        </is>
      </c>
      <c r="B72" s="7" t="inlineStr">
        <is>
          <t>PAVIMENTO TIPO</t>
        </is>
      </c>
      <c r="C72" s="7" t="inlineStr">
        <is>
          <t>SPRINKLERS</t>
        </is>
      </c>
      <c r="D72" s="7" t="inlineStr">
        <is>
          <t>Sistema de Chuveiros Automáticos (SPK)</t>
        </is>
      </c>
      <c r="E72" s="7" t="inlineStr">
        <is>
          <t>Tubo ferro galvanizado vermelho BSP DN 2.1/2" (65mm)</t>
        </is>
      </c>
      <c r="F72" s="8" t="n">
        <v>7.88</v>
      </c>
      <c r="G72" s="7" t="n">
        <v>24</v>
      </c>
      <c r="H72" s="9" t="n">
        <v>0.1</v>
      </c>
      <c r="I72" s="8">
        <f>(F72+H72*F72)*G72</f>
        <v/>
      </c>
      <c r="J72" s="7" t="inlineStr">
        <is>
          <t>m</t>
        </is>
      </c>
      <c r="K72" s="8" t="n"/>
      <c r="L72" s="8">
        <f>I72*K72</f>
        <v/>
      </c>
    </row>
    <row r="73">
      <c r="A73" s="7" t="inlineStr">
        <is>
          <t>TORRE B</t>
        </is>
      </c>
      <c r="B73" s="7" t="inlineStr">
        <is>
          <t>PAVIMENTO TIPO</t>
        </is>
      </c>
      <c r="C73" s="7" t="inlineStr">
        <is>
          <t>SPRINKLERS</t>
        </is>
      </c>
      <c r="D73" s="7" t="inlineStr">
        <is>
          <t>Sistema de Chuveiros Automáticos (SPK)</t>
        </is>
      </c>
      <c r="E73" s="7" t="inlineStr">
        <is>
          <t>Cotovelo ferro galvanizado BSP DN 2.1/2"</t>
        </is>
      </c>
      <c r="F73" s="8" t="n">
        <v>0.46</v>
      </c>
      <c r="G73" s="7" t="n">
        <v>24</v>
      </c>
      <c r="H73" s="9" t="n">
        <v>0.05</v>
      </c>
      <c r="I73" s="8">
        <f>(F73+H73*F73)*G73</f>
        <v/>
      </c>
      <c r="J73" s="7" t="inlineStr">
        <is>
          <t>un</t>
        </is>
      </c>
      <c r="K73" s="8" t="n"/>
      <c r="L73" s="8">
        <f>I73*K73</f>
        <v/>
      </c>
    </row>
    <row r="74">
      <c r="A74" s="7" t="inlineStr">
        <is>
          <t>TORRE B</t>
        </is>
      </c>
      <c r="B74" s="7" t="inlineStr">
        <is>
          <t>PAVIMENTO TIPO</t>
        </is>
      </c>
      <c r="C74" s="7" t="inlineStr">
        <is>
          <t>SPRINKLERS</t>
        </is>
      </c>
      <c r="D74" s="7" t="inlineStr">
        <is>
          <t>Sistema de Chuveiros Automáticos (SPK)</t>
        </is>
      </c>
      <c r="E74" s="7" t="inlineStr">
        <is>
          <t>Tê de redução ferro galvanizado BSP DN 2.1/2"</t>
        </is>
      </c>
      <c r="F74" s="8" t="n">
        <v>1.75</v>
      </c>
      <c r="G74" s="7" t="n">
        <v>24</v>
      </c>
      <c r="H74" s="9" t="n">
        <v>0.05</v>
      </c>
      <c r="I74" s="8">
        <f>(F74+H74*F74)*G74</f>
        <v/>
      </c>
      <c r="J74" s="7" t="inlineStr">
        <is>
          <t>un</t>
        </is>
      </c>
      <c r="K74" s="8" t="n"/>
      <c r="L74" s="8">
        <f>I74*K74</f>
        <v/>
      </c>
    </row>
    <row r="75">
      <c r="A75" s="7" t="inlineStr">
        <is>
          <t>TORRE B</t>
        </is>
      </c>
      <c r="B75" s="7" t="inlineStr">
        <is>
          <t>PAVIMENTO TIPO</t>
        </is>
      </c>
      <c r="C75" s="7" t="inlineStr">
        <is>
          <t>SPRINKLERS</t>
        </is>
      </c>
      <c r="D75" s="7" t="inlineStr">
        <is>
          <t>Sistema de Chuveiros Automáticos (SPK)</t>
        </is>
      </c>
      <c r="E75" s="7" t="inlineStr">
        <is>
          <t>Válvula de retenção roscar DN 2.1/2"</t>
        </is>
      </c>
      <c r="F75" s="8" t="n">
        <v>0.08</v>
      </c>
      <c r="G75" s="7" t="n">
        <v>24</v>
      </c>
      <c r="H75" s="9" t="n">
        <v>0</v>
      </c>
      <c r="I75" s="8">
        <f>(F75+H75*F75)*G75</f>
        <v/>
      </c>
      <c r="J75" s="7" t="inlineStr">
        <is>
          <t>un</t>
        </is>
      </c>
      <c r="K75" s="8" t="n"/>
      <c r="L75" s="8">
        <f>I75*K75</f>
        <v/>
      </c>
    </row>
    <row r="76">
      <c r="A76" s="10" t="n"/>
      <c r="B76" s="10" t="n"/>
      <c r="C76" s="10" t="n"/>
      <c r="D76" s="10" t="n"/>
      <c r="E76" s="11" t="inlineStr">
        <is>
          <t>Subtotal PAVIMENTO TIPO</t>
        </is>
      </c>
      <c r="F76" s="10" t="n"/>
      <c r="G76" s="10" t="n"/>
      <c r="H76" s="10" t="n"/>
      <c r="I76" s="10" t="n"/>
      <c r="J76" s="10" t="n"/>
      <c r="K76" s="10" t="n"/>
      <c r="L76" s="10" t="n"/>
    </row>
    <row r="77">
      <c r="A77" s="5" t="inlineStr">
        <is>
          <t>TORRE B</t>
        </is>
      </c>
      <c r="B77" s="5" t="inlineStr">
        <is>
          <t>CASA DE MÁQUINAS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>
      <c r="A78" s="7" t="inlineStr">
        <is>
          <t>TORRE B</t>
        </is>
      </c>
      <c r="B78" s="7" t="inlineStr">
        <is>
          <t>CASA DE MÁQUINAS</t>
        </is>
      </c>
      <c r="C78" s="7" t="inlineStr">
        <is>
          <t>SPRINKLERS</t>
        </is>
      </c>
      <c r="D78" s="7" t="inlineStr">
        <is>
          <t>Sistema de Chuveiros Automáticos (SPK)</t>
        </is>
      </c>
      <c r="E78" s="7" t="inlineStr">
        <is>
          <t>Tubo ferro galvanizado vermelho BSP DN 2.1/2" (65mm)</t>
        </is>
      </c>
      <c r="F78" s="8" t="n">
        <v>33.63</v>
      </c>
      <c r="G78" s="7" t="n">
        <v>1</v>
      </c>
      <c r="H78" s="9" t="n">
        <v>0.1</v>
      </c>
      <c r="I78" s="8">
        <f>(F78+H78*F78)*G78</f>
        <v/>
      </c>
      <c r="J78" s="7" t="inlineStr">
        <is>
          <t>m</t>
        </is>
      </c>
      <c r="K78" s="8" t="n"/>
      <c r="L78" s="8">
        <f>I78*K78</f>
        <v/>
      </c>
    </row>
    <row r="79">
      <c r="A79" s="7" t="inlineStr">
        <is>
          <t>TORRE B</t>
        </is>
      </c>
      <c r="B79" s="7" t="inlineStr">
        <is>
          <t>CASA DE MÁQUINAS</t>
        </is>
      </c>
      <c r="C79" s="7" t="inlineStr">
        <is>
          <t>SPRINKLERS</t>
        </is>
      </c>
      <c r="D79" s="7" t="inlineStr">
        <is>
          <t>Sistema de Chuveiros Automáticos (SPK)</t>
        </is>
      </c>
      <c r="E79" s="7" t="inlineStr">
        <is>
          <t>Cotovelo ferro galvanizado BSP DN 2.1/2"</t>
        </is>
      </c>
      <c r="F79" s="8" t="n">
        <v>14</v>
      </c>
      <c r="G79" s="7" t="n">
        <v>1</v>
      </c>
      <c r="H79" s="9" t="n">
        <v>0.05</v>
      </c>
      <c r="I79" s="8">
        <f>(F79+H79*F79)*G79</f>
        <v/>
      </c>
      <c r="J79" s="7" t="inlineStr">
        <is>
          <t>un</t>
        </is>
      </c>
      <c r="K79" s="8" t="n"/>
      <c r="L79" s="8">
        <f>I79*K79</f>
        <v/>
      </c>
    </row>
    <row r="80">
      <c r="A80" s="7" t="inlineStr">
        <is>
          <t>TORRE B</t>
        </is>
      </c>
      <c r="B80" s="7" t="inlineStr">
        <is>
          <t>CASA DE MÁQUINAS</t>
        </is>
      </c>
      <c r="C80" s="7" t="inlineStr">
        <is>
          <t>SPRINKLERS</t>
        </is>
      </c>
      <c r="D80" s="7" t="inlineStr">
        <is>
          <t>Sistema de Chuveiros Automáticos (SPK)</t>
        </is>
      </c>
      <c r="E80" s="7" t="inlineStr">
        <is>
          <t>Tê de redução ferro galvanizado BSP DN 2.1/2"</t>
        </is>
      </c>
      <c r="F80" s="8" t="n">
        <v>5</v>
      </c>
      <c r="G80" s="7" t="n">
        <v>1</v>
      </c>
      <c r="H80" s="9" t="n">
        <v>0.05</v>
      </c>
      <c r="I80" s="8">
        <f>(F80+H80*F80)*G80</f>
        <v/>
      </c>
      <c r="J80" s="7" t="inlineStr">
        <is>
          <t>un</t>
        </is>
      </c>
      <c r="K80" s="8" t="n"/>
      <c r="L80" s="8">
        <f>I80*K80</f>
        <v/>
      </c>
    </row>
    <row r="81">
      <c r="A81" s="7" t="inlineStr">
        <is>
          <t>TORRE B</t>
        </is>
      </c>
      <c r="B81" s="7" t="inlineStr">
        <is>
          <t>CASA DE MÁQUINAS</t>
        </is>
      </c>
      <c r="C81" s="7" t="inlineStr">
        <is>
          <t>SPRINKLERS</t>
        </is>
      </c>
      <c r="D81" s="7" t="inlineStr">
        <is>
          <t>Sistema de Chuveiros Automáticos (SPK)</t>
        </is>
      </c>
      <c r="E81" s="7" t="inlineStr">
        <is>
          <t>Luva de redução ferro galvanizado BSP DN 2.1/2"</t>
        </is>
      </c>
      <c r="F81" s="8" t="n">
        <v>2</v>
      </c>
      <c r="G81" s="7" t="n">
        <v>1</v>
      </c>
      <c r="H81" s="9" t="n">
        <v>0.05</v>
      </c>
      <c r="I81" s="8">
        <f>(F81+H81*F81)*G81</f>
        <v/>
      </c>
      <c r="J81" s="7" t="inlineStr">
        <is>
          <t>un</t>
        </is>
      </c>
      <c r="K81" s="8" t="n"/>
      <c r="L81" s="8">
        <f>I81*K81</f>
        <v/>
      </c>
    </row>
    <row r="82">
      <c r="A82" s="7" t="inlineStr">
        <is>
          <t>TORRE B</t>
        </is>
      </c>
      <c r="B82" s="7" t="inlineStr">
        <is>
          <t>CASA DE MÁQUINAS</t>
        </is>
      </c>
      <c r="C82" s="7" t="inlineStr">
        <is>
          <t>SPRINKLERS</t>
        </is>
      </c>
      <c r="D82" s="7" t="inlineStr">
        <is>
          <t>Sistema de Chuveiros Automáticos (SPK)</t>
        </is>
      </c>
      <c r="E82" s="7" t="inlineStr">
        <is>
          <t>Válvula de retenção roscar DN 2.1/2"</t>
        </is>
      </c>
      <c r="F82" s="8" t="n">
        <v>1</v>
      </c>
      <c r="G82" s="7" t="n">
        <v>1</v>
      </c>
      <c r="H82" s="9" t="n">
        <v>0</v>
      </c>
      <c r="I82" s="8">
        <f>(F82+H82*F82)*G82</f>
        <v/>
      </c>
      <c r="J82" s="7" t="inlineStr">
        <is>
          <t>un</t>
        </is>
      </c>
      <c r="K82" s="8" t="n"/>
      <c r="L82" s="8">
        <f>I82*K82</f>
        <v/>
      </c>
    </row>
    <row r="83">
      <c r="A83" s="7" t="inlineStr">
        <is>
          <t>TORRE B</t>
        </is>
      </c>
      <c r="B83" s="7" t="inlineStr">
        <is>
          <t>CASA DE MÁQUINAS</t>
        </is>
      </c>
      <c r="C83" s="7" t="inlineStr">
        <is>
          <t>SPRINKLERS</t>
        </is>
      </c>
      <c r="D83" s="7" t="inlineStr">
        <is>
          <t>Sistema de Chuveiros Automáticos (SPK)</t>
        </is>
      </c>
      <c r="E83" s="7" t="inlineStr">
        <is>
          <t>Central de bombas (Skid Hydrosystem)</t>
        </is>
      </c>
      <c r="F83" s="8" t="n">
        <v>1</v>
      </c>
      <c r="G83" s="7" t="n">
        <v>1</v>
      </c>
      <c r="H83" s="9" t="n">
        <v>0</v>
      </c>
      <c r="I83" s="8">
        <f>(F83+H83*F83)*G83</f>
        <v/>
      </c>
      <c r="J83" s="7" t="inlineStr">
        <is>
          <t>cj</t>
        </is>
      </c>
      <c r="K83" s="8" t="n"/>
      <c r="L83" s="8">
        <f>I83*K83</f>
        <v/>
      </c>
    </row>
    <row r="84">
      <c r="A84" s="10" t="n"/>
      <c r="B84" s="10" t="n"/>
      <c r="C84" s="10" t="n"/>
      <c r="D84" s="10" t="n"/>
      <c r="E84" s="11" t="inlineStr">
        <is>
          <t>Subtotal CASA DE MÁQUINAS</t>
        </is>
      </c>
      <c r="F84" s="10" t="n"/>
      <c r="G84" s="10" t="n"/>
      <c r="H84" s="10" t="n"/>
      <c r="I84" s="10" t="n"/>
      <c r="J84" s="10" t="n"/>
      <c r="K84" s="10" t="n"/>
      <c r="L84" s="10" t="n"/>
    </row>
    <row r="85">
      <c r="A85" s="10" t="n"/>
      <c r="B85" s="10" t="n"/>
      <c r="C85" s="10" t="n"/>
      <c r="D85" s="10" t="n"/>
      <c r="E85" s="11" t="inlineStr">
        <is>
          <t>SUBTOTAL TORRE B</t>
        </is>
      </c>
      <c r="F85" s="10" t="n"/>
      <c r="G85" s="10" t="n"/>
      <c r="H85" s="10" t="n"/>
      <c r="I85" s="10" t="n"/>
      <c r="J85" s="10" t="n"/>
      <c r="K85" s="10" t="n"/>
      <c r="L85" s="10" t="n"/>
    </row>
    <row r="86">
      <c r="A86" s="5" t="inlineStr">
        <is>
          <t>GERAL</t>
        </is>
      </c>
      <c r="B86" s="5" t="inlineStr">
        <is>
          <t>CASA DE BOMBAS</t>
        </is>
      </c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>
      <c r="A87" s="7" t="inlineStr">
        <is>
          <t>GERAL</t>
        </is>
      </c>
      <c r="B87" s="7" t="inlineStr">
        <is>
          <t>CASA DE BOMBAS</t>
        </is>
      </c>
      <c r="C87" s="7" t="inlineStr">
        <is>
          <t>SPRINKLERS</t>
        </is>
      </c>
      <c r="D87" s="7" t="inlineStr">
        <is>
          <t>Sistema de Chuveiros Automáticos (SPK)</t>
        </is>
      </c>
      <c r="E87" s="7" t="inlineStr">
        <is>
          <t>Central de bombas (Skid Hydrosystem) - 2 torres</t>
        </is>
      </c>
      <c r="F87" s="8" t="n">
        <v>2</v>
      </c>
      <c r="G87" s="7" t="n">
        <v>1</v>
      </c>
      <c r="H87" s="9" t="n">
        <v>0</v>
      </c>
      <c r="I87" s="8">
        <f>(F87+H87*F87)*G87</f>
        <v/>
      </c>
      <c r="J87" s="7" t="inlineStr">
        <is>
          <t>cj</t>
        </is>
      </c>
      <c r="K87" s="8" t="n"/>
      <c r="L87" s="8">
        <f>I87*K87</f>
        <v/>
      </c>
    </row>
    <row r="88">
      <c r="A88" s="10" t="n"/>
      <c r="B88" s="10" t="n"/>
      <c r="C88" s="10" t="n"/>
      <c r="D88" s="10" t="n"/>
      <c r="E88" s="11" t="inlineStr">
        <is>
          <t>Subtotal CASA DE BOMBAS</t>
        </is>
      </c>
      <c r="F88" s="10" t="n"/>
      <c r="G88" s="10" t="n"/>
      <c r="H88" s="10" t="n"/>
      <c r="I88" s="10" t="n"/>
      <c r="J88" s="10" t="n"/>
      <c r="K88" s="10" t="n"/>
      <c r="L88" s="10" t="n"/>
    </row>
    <row r="89">
      <c r="A89" s="10" t="n"/>
      <c r="B89" s="10" t="n"/>
      <c r="C89" s="10" t="n"/>
      <c r="D89" s="10" t="n"/>
      <c r="E89" s="11" t="inlineStr">
        <is>
          <t>SUBTOTAL GERAL</t>
        </is>
      </c>
      <c r="F89" s="10" t="n"/>
      <c r="G89" s="10" t="n"/>
      <c r="H89" s="10" t="n"/>
      <c r="I89" s="10" t="n"/>
      <c r="J89" s="10" t="n"/>
      <c r="K89" s="10" t="n"/>
      <c r="L89" s="10" t="n"/>
    </row>
    <row r="91">
      <c r="A91" s="12" t="inlineStr">
        <is>
          <t>TOTAL GERAL</t>
        </is>
      </c>
    </row>
    <row r="93">
      <c r="A93" s="1" t="inlineStr">
        <is>
          <t>⚠️ OBSERVAÇÕES:</t>
        </is>
      </c>
    </row>
    <row r="94">
      <c r="A94" s="13" t="inlineStr">
        <is>
          <t>1. Quantitativos de sprinklers (bicos, tubulação, conexões, válvulas) extraídos dos IFCs PCI rev.01 (Torre A e Torre B)</t>
        </is>
      </c>
    </row>
    <row r="95">
      <c r="A95" s="13" t="inlineStr">
        <is>
          <t>2. Toda tubulação é DN 2.1/2" (65mm) ferro galvanizado vermelho BSP — único diâmetro presente nos IFCs</t>
        </is>
      </c>
    </row>
    <row r="96">
      <c r="A96" s="13" t="inlineStr">
        <is>
          <t>3. Comprimento de tubulação extraído das propriedades "Tabela de tubos" (Diâmetro e Comprimento) do IFC</t>
        </is>
      </c>
    </row>
    <row r="97">
      <c r="A97" s="13" t="inlineStr">
        <is>
          <t>4. Pavimento Tipo = média dos 24 pavimentos tipo modelados no IFC × Repetição 24</t>
        </is>
      </c>
    </row>
    <row r="98">
      <c r="A98" s="13" t="inlineStr">
        <is>
          <t>5. Embasamento (Térreo a Lazer) = soma dos quantitativos Torre A + Torre B por pavimento</t>
        </is>
      </c>
    </row>
    <row r="99">
      <c r="A99" s="13" t="inlineStr">
        <is>
          <t>6. Perda padrão: 5% para conexões/bicos, 10% para tubulação, 0% para válvulas e equipamentos</t>
        </is>
      </c>
    </row>
    <row r="100">
      <c r="A100" s="13" t="inlineStr">
        <is>
          <t>7. Skid Hydrosystem (central de bombas) = 1 por torre, conforme modelado nos IFCs</t>
        </is>
      </c>
    </row>
    <row r="101">
      <c r="A101" s="13" t="inlineStr">
        <is>
          <t>8. Torre A: 63 bicos, 333.9m tubo | Torre B: 64 bicos, 338.6m tubo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2026-03-30T12:53:57Z</dcterms:created>
  <dcterms:modified xmlns:dcterms="http://purl.org/dc/terms/" xmlns:xsi="http://www.w3.org/2001/XMLSchema-instance" xsi:type="dcterms:W3CDTF">2026-03-30T12:53:57Z</dcterms:modified>
</cp:coreProperties>
</file>