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cas r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4" fillId="4" borderId="1" pivotButton="0" quotePrefix="0" xfId="0"/>
    <xf numFmtId="3" fontId="4" fillId="4" borderId="1" pivotButton="0" quotePrefix="0" xfId="0"/>
    <xf numFmtId="164" fontId="4" fillId="4" borderId="1" pivotButton="0" quotePrefix="0" xfId="0"/>
    <xf numFmtId="4" fontId="4" fillId="4" borderId="1" pivotButton="0" quotePrefix="0" xfId="0"/>
    <xf numFmtId="2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30" customWidth="1" min="4" max="4"/>
    <col width="8" customWidth="1" min="5" max="5"/>
    <col width="10" customWidth="1" min="6" max="6"/>
    <col width="10" customWidth="1" min="7" max="7"/>
    <col width="14" customWidth="1" min="8" max="8"/>
    <col width="12" customWidth="1" min="9" max="9"/>
    <col width="12" customWidth="1" min="10" max="10"/>
    <col width="12" customWidth="1" min="11" max="11"/>
    <col width="8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Projeto</t>
        </is>
      </c>
      <c r="B1" t="inlineStr">
        <is>
          <t>Thozen Electra Towers</t>
        </is>
      </c>
      <c r="D1" t="inlineStr">
        <is>
          <t>Fonte:</t>
        </is>
      </c>
      <c r="E1" t="inlineStr">
        <is>
          <t>LIBERTÉ Proposta 1203-2025-R0 + CR projetista 1203 (bloco A + B)</t>
        </is>
      </c>
    </row>
    <row r="2">
      <c r="A2" s="1" t="inlineStr">
        <is>
          <t>Empresa</t>
        </is>
      </c>
      <c r="B2" t="inlineStr">
        <is>
          <t>Thozen</t>
        </is>
      </c>
    </row>
    <row r="3">
      <c r="A3" s="1" t="inlineStr">
        <is>
          <t>Revisão</t>
        </is>
      </c>
      <c r="B3" t="inlineStr">
        <is>
          <t>R01</t>
        </is>
      </c>
    </row>
    <row r="5" ht="22" customHeight="1">
      <c r="A5" s="2" t="inlineStr">
        <is>
          <t>Item</t>
        </is>
      </c>
      <c r="B5" s="2" t="inlineStr">
        <is>
          <t>Item</t>
        </is>
      </c>
      <c r="C5" s="2" t="inlineStr">
        <is>
          <t>Projetos</t>
        </is>
      </c>
      <c r="D5" s="2" t="inlineStr">
        <is>
          <t>Descrição</t>
        </is>
      </c>
      <c r="E5" s="2" t="inlineStr">
        <is>
          <t>Ø peça</t>
        </is>
      </c>
      <c r="F5" s="2" t="inlineStr">
        <is>
          <t>Quantidade</t>
        </is>
      </c>
      <c r="G5" s="2" t="inlineStr">
        <is>
          <t>C. Apoio</t>
        </is>
      </c>
      <c r="H5" s="2" t="inlineStr">
        <is>
          <t>Comprimento total</t>
        </is>
      </c>
      <c r="I5" s="2" t="inlineStr">
        <is>
          <t>Escavação</t>
        </is>
      </c>
      <c r="J5" s="2" t="inlineStr">
        <is>
          <t>Bota-fora</t>
        </is>
      </c>
      <c r="K5" s="2" t="inlineStr">
        <is>
          <t>Concreto</t>
        </is>
      </c>
      <c r="L5" s="2" t="inlineStr">
        <is>
          <t>Tipo</t>
        </is>
      </c>
      <c r="M5" s="2" t="inlineStr">
        <is>
          <t>Aço ø6.3</t>
        </is>
      </c>
      <c r="N5" s="2" t="inlineStr">
        <is>
          <t>Aço ø16</t>
        </is>
      </c>
      <c r="O5" s="2" t="inlineStr">
        <is>
          <t>Taxa aço kg/m³</t>
        </is>
      </c>
    </row>
    <row r="6" ht="18" customHeight="1">
      <c r="A6" s="2" t="inlineStr"/>
      <c r="B6" s="2" t="inlineStr"/>
      <c r="C6" s="2" t="inlineStr"/>
      <c r="D6" s="2" t="inlineStr"/>
      <c r="E6" s="2" t="inlineStr">
        <is>
          <t>m</t>
        </is>
      </c>
      <c r="F6" s="2" t="inlineStr">
        <is>
          <t>und.</t>
        </is>
      </c>
      <c r="G6" s="2" t="inlineStr">
        <is>
          <t>m</t>
        </is>
      </c>
      <c r="H6" s="2" t="inlineStr">
        <is>
          <t>m</t>
        </is>
      </c>
      <c r="I6" s="2" t="inlineStr">
        <is>
          <t>m³</t>
        </is>
      </c>
      <c r="J6" s="2" t="inlineStr">
        <is>
          <t>m³</t>
        </is>
      </c>
      <c r="K6" s="2" t="inlineStr">
        <is>
          <t>m³</t>
        </is>
      </c>
      <c r="L6" s="2" t="inlineStr"/>
      <c r="M6" s="2" t="inlineStr">
        <is>
          <t>kg</t>
        </is>
      </c>
      <c r="N6" s="2" t="inlineStr">
        <is>
          <t>kg</t>
        </is>
      </c>
      <c r="O6" s="2" t="inlineStr"/>
    </row>
    <row r="7">
      <c r="A7" s="3" t="inlineStr">
        <is>
          <t>Empreendimento Electra</t>
        </is>
      </c>
      <c r="B7" s="3" t="inlineStr">
        <is>
          <t>Estaca Hélice Contínua</t>
        </is>
      </c>
    </row>
    <row r="8">
      <c r="A8" s="4">
        <f>A7</f>
        <v/>
      </c>
      <c r="B8" s="4">
        <f>B7</f>
        <v/>
      </c>
      <c r="C8" s="4" t="inlineStr">
        <is>
          <t>LIBERTÉ 1203-2025-R0</t>
        </is>
      </c>
      <c r="D8" s="4">
        <f>A8&amp;" Ø"&amp;E8*100&amp;"cm"</f>
        <v/>
      </c>
      <c r="E8" s="5" t="n">
        <v>0.5</v>
      </c>
      <c r="F8" s="6" t="n">
        <v>17</v>
      </c>
      <c r="G8" s="7" t="n">
        <v>25</v>
      </c>
      <c r="H8" s="7">
        <f>IF(F8="","",F8*G8)</f>
        <v/>
      </c>
      <c r="I8" s="8">
        <f>IF(F8="","",PI()*((E8/2)^2)*H8)</f>
        <v/>
      </c>
      <c r="J8" s="8">
        <f>IF(F8="","",I8*1.3)</f>
        <v/>
      </c>
      <c r="K8" s="8">
        <f>IF(F8="","",I8)</f>
        <v/>
      </c>
      <c r="L8" s="9" t="inlineStr">
        <is>
          <t>C40</t>
        </is>
      </c>
      <c r="M8" s="6" t="n">
        <v>248</v>
      </c>
      <c r="N8" s="6" t="n">
        <v>1666</v>
      </c>
      <c r="O8" s="5">
        <f>IFERROR((M8+N8)/K8,"")</f>
        <v/>
      </c>
    </row>
    <row r="9">
      <c r="A9" s="4">
        <f>A7</f>
        <v/>
      </c>
      <c r="B9" s="4">
        <f>B7</f>
        <v/>
      </c>
      <c r="C9" s="4" t="inlineStr">
        <is>
          <t>LIBERTÉ 1203-2025-R0</t>
        </is>
      </c>
      <c r="D9" s="4">
        <f>A9&amp;" Ø"&amp;E9*100&amp;"cm"</f>
        <v/>
      </c>
      <c r="E9" s="5" t="n">
        <v>0.6</v>
      </c>
      <c r="F9" s="6" t="n">
        <v>406</v>
      </c>
      <c r="G9" s="7" t="n">
        <v>25</v>
      </c>
      <c r="H9" s="7">
        <f>IF(F9="","",F9*G9)</f>
        <v/>
      </c>
      <c r="I9" s="8">
        <f>IF(F9="","",PI()*((E9/2)^2)*H9)</f>
        <v/>
      </c>
      <c r="J9" s="8">
        <f>IF(F9="","",I9*1.3)</f>
        <v/>
      </c>
      <c r="K9" s="8">
        <f>IF(F9="","",I9)</f>
        <v/>
      </c>
      <c r="L9" s="9" t="inlineStr">
        <is>
          <t>C40</t>
        </is>
      </c>
      <c r="M9" s="6" t="n">
        <v>5927</v>
      </c>
      <c r="N9" s="6" t="n">
        <v>39790</v>
      </c>
      <c r="O9" s="5">
        <f>IFERROR((M9+N9)/K9,"")</f>
        <v/>
      </c>
    </row>
    <row r="10">
      <c r="A10" s="10" t="inlineStr">
        <is>
          <t>TOTAL EMPREENDIMENTO</t>
        </is>
      </c>
      <c r="B10" s="10" t="n"/>
      <c r="C10" s="10" t="n"/>
      <c r="D10" s="10" t="n"/>
      <c r="E10" s="10" t="inlineStr"/>
      <c r="F10" s="11">
        <f>SUM(F8:F9)</f>
        <v/>
      </c>
      <c r="G10" s="10" t="inlineStr"/>
      <c r="H10" s="12">
        <f>SUM(H8:H9)</f>
        <v/>
      </c>
      <c r="I10" s="13">
        <f>SUM(I8:I9)</f>
        <v/>
      </c>
      <c r="J10" s="13">
        <f>SUM(J8:J9)</f>
        <v/>
      </c>
      <c r="K10" s="13">
        <f>SUM(K8:K9)</f>
        <v/>
      </c>
      <c r="L10" s="10" t="inlineStr"/>
      <c r="M10" s="11">
        <f>SUM(M8:M9)</f>
        <v/>
      </c>
      <c r="N10" s="11">
        <f>SUM(N8:N9)</f>
        <v/>
      </c>
      <c r="O10" s="14">
        <f>IFERROR((M10+N10)/K10,"")</f>
        <v/>
      </c>
    </row>
    <row r="13">
      <c r="A13" s="1" t="inlineStr">
        <is>
          <t>OBSERVAÇÕES:</t>
        </is>
      </c>
    </row>
    <row r="14">
      <c r="A14" t="inlineStr"/>
    </row>
    <row r="15">
      <c r="A15" t="inlineStr">
        <is>
          <t>• Fonte primária: Proposta Comercial LIBERTÉ 1203-2025-R0 (Estaca Hélice Contínua Monitorada)</t>
        </is>
      </c>
    </row>
    <row r="16">
      <c r="A16" t="inlineStr">
        <is>
          <t>• Cross-check: CONTROLE-REV projetista 1203 (soma Bloco A + B = aço 47.631 kg, bate 100% com LIBERTÉ)</t>
        </is>
      </c>
    </row>
    <row r="17">
      <c r="A17" t="inlineStr">
        <is>
          <t>• C. Apoio = comprimento médio por estaca (25m) — NÃO é cota topográfica</t>
        </is>
      </c>
    </row>
    <row r="18">
      <c r="A18" t="inlineStr">
        <is>
          <t>• Concreto = Escavação (simplificação, sem desconto de armação, margem &lt;1%)</t>
        </is>
      </c>
    </row>
    <row r="19">
      <c r="A19" t="inlineStr">
        <is>
          <t>• Sobreconsumo: Liberté prevê +20% (vol efetivo 3.544 m³). Escavação calculada é teórica (2.953 m³).</t>
        </is>
      </c>
    </row>
    <row r="20">
      <c r="A20" t="inlineStr">
        <is>
          <t xml:space="preserve">  Se precisar registrar sobreconsumo, adicionar linha 'Sobreconsumo estacas +20%' com vol = 591 m³</t>
        </is>
      </c>
    </row>
    <row r="21">
      <c r="A21" t="inlineStr">
        <is>
          <t>• Bitolas reais do projeto: ø6.3mm (6.175 kg) + ø16mm (41.456 kg) — NÃO ø20 (coluna N renomeada)</t>
        </is>
      </c>
    </row>
    <row r="22">
      <c r="A22" t="inlineStr">
        <is>
          <t>• Distribuição aço por ø = proporcional ao comprimento total (4.02% ø500 + 95.98% ø600)</t>
        </is>
      </c>
    </row>
    <row r="23">
      <c r="A23" t="inlineStr">
        <is>
          <t>• Concreto C40 (fck = 40 MPa) conforme Memorial estrutural 1203</t>
        </is>
      </c>
    </row>
    <row r="24">
      <c r="A24" t="inlineStr">
        <is>
          <t>• Geotecnia: Rua Rubens Alves esq. Rua Canoinhas e Rua Wilson Belber, Balneário Perequê, Porto Belo/SC</t>
        </is>
      </c>
    </row>
    <row r="25">
      <c r="A25" t="inlineStr"/>
    </row>
    <row r="26">
      <c r="A26" s="1" t="inlineStr">
        <is>
          <t>COMO COLAR NO MASTER:</t>
        </is>
      </c>
    </row>
    <row r="27">
      <c r="A27" t="inlineStr">
        <is>
          <t>1. Abrir CTN-TZN_ELT - Orçamento Executivo_R00 .xlsx aba Estacas</t>
        </is>
      </c>
    </row>
    <row r="28">
      <c r="A28" t="inlineStr">
        <is>
          <t>2. DELETAR linha 7 (dados do template Gessele — 198×ø60cm de Gessele Elisabeth, não Electra)</t>
        </is>
      </c>
    </row>
    <row r="29">
      <c r="A29" t="inlineStr">
        <is>
          <t>3. Ajustar row 5 coluna N: renomear header de '20' para '16'</t>
        </is>
      </c>
    </row>
    <row r="30">
      <c r="A30" t="inlineStr">
        <is>
          <t>4. Copiar rows 7-10 deste xlsx (grupo + 2 linhas + TOTAL)</t>
        </is>
      </c>
    </row>
    <row r="31">
      <c r="A31" t="inlineStr">
        <is>
          <t>5. Colar a partir da row 6 do master (mantém formatação do master via Colar Especial → Valores)</t>
        </is>
      </c>
    </row>
    <row r="32">
      <c r="A32" t="inlineStr">
        <is>
          <t>6. Fórmulas vão recalcular automaticamente</t>
        </is>
      </c>
    </row>
  </sheetData>
  <mergeCells count="1"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2026-04-20T15:46:57Z</dcterms:created>
  <dcterms:modified xmlns:dcterms="http://purl.org/dc/terms/" xmlns:xsi="http://www.w3.org/2001/XMLSchema-instance" xsi:type="dcterms:W3CDTF">2026-04-20T15:46:57Z</dcterms:modified>
</cp:coreProperties>
</file>