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P Fundação r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9C0006"/>
      <sz val="10"/>
    </font>
    <font>
      <b val="1"/>
      <color rgb="00FFFFFF"/>
      <sz val="10"/>
    </font>
    <font>
      <b val="1"/>
      <sz val="12"/>
    </font>
    <font>
      <b val="1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5" fillId="5" borderId="1" pivotButton="0" quotePrefix="0" xfId="0"/>
    <xf numFmtId="4" fontId="5" fillId="5" borderId="1" pivotButton="0" quotePrefix="0" xfId="0"/>
    <xf numFmtId="164" fontId="5" fillId="5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6" fillId="6" borderId="1" pivotButton="0" quotePrefix="0" xfId="0"/>
    <xf numFmtId="164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8" customWidth="1" min="4" max="4"/>
    <col width="12" customWidth="1" min="5" max="5"/>
    <col width="16" customWidth="1" min="6" max="6"/>
    <col width="50" customWidth="1" min="7" max="7"/>
  </cols>
  <sheetData>
    <row r="1">
      <c r="A1" s="1" t="inlineStr">
        <is>
          <t>Projeto</t>
        </is>
      </c>
      <c r="B1" t="inlineStr">
        <is>
          <t>Thozen Electra Towers</t>
        </is>
      </c>
      <c r="D1" s="1" t="inlineStr">
        <is>
          <t>AC total:</t>
        </is>
      </c>
      <c r="E1" t="inlineStr">
        <is>
          <t>36,097 m²</t>
        </is>
      </c>
    </row>
    <row r="2">
      <c r="A2" s="1" t="inlineStr">
        <is>
          <t>Empresa</t>
        </is>
      </c>
      <c r="B2" t="inlineStr">
        <is>
          <t>Thozen</t>
        </is>
      </c>
      <c r="D2" s="1" t="inlineStr">
        <is>
          <t>Fonte quantit:</t>
        </is>
      </c>
      <c r="E2" t="inlineStr">
        <is>
          <t>Projetista 1203 + LIBERTÉ + IFC R26</t>
        </is>
      </c>
    </row>
    <row r="3">
      <c r="A3" s="1" t="inlineStr">
        <is>
          <t>Revisão</t>
        </is>
      </c>
      <c r="B3" t="inlineStr">
        <is>
          <t>R01</t>
        </is>
      </c>
      <c r="D3" s="1" t="inlineStr">
        <is>
          <t>Fonte PU:</t>
        </is>
      </c>
      <c r="E3" s="2" t="inlineStr">
        <is>
          <t>⚠️ ESTIMATIVA — validar c/ cotação formal + benchmark base Cartesian</t>
        </is>
      </c>
    </row>
    <row r="5" ht="35" customHeight="1">
      <c r="A5" s="3" t="inlineStr">
        <is>
          <t>⚠️ ATENÇÃO: PUs são ESTIMATIVOS (mercado SC 2025 + decomposição LIBERTÉ turnkey). Substituir por cotação formal quando disponível. Quantitativos são REAIS (do projetista 1203 + proposta LIBERTÉ 1203-2025-R0).</t>
        </is>
      </c>
    </row>
    <row r="7" ht="24" customHeight="1">
      <c r="A7" s="4" t="inlineStr">
        <is>
          <t>Código</t>
        </is>
      </c>
      <c r="B7" s="4" t="inlineStr">
        <is>
          <t>Descrição</t>
        </is>
      </c>
      <c r="C7" s="4" t="inlineStr">
        <is>
          <t>Quantidade</t>
        </is>
      </c>
      <c r="D7" s="4" t="inlineStr">
        <is>
          <t>Unid.</t>
        </is>
      </c>
      <c r="E7" s="4" t="inlineStr">
        <is>
          <t>PU (R$)</t>
        </is>
      </c>
      <c r="F7" s="4" t="inlineStr">
        <is>
          <t>Total (R$)</t>
        </is>
      </c>
      <c r="G7" s="4" t="inlineStr">
        <is>
          <t>Fonte / Justificativa</t>
        </is>
      </c>
    </row>
    <row r="8" ht="22" customHeight="1">
      <c r="A8" s="5" t="inlineStr">
        <is>
          <t>01.002 FUNDAÇÃO PROFUNDA — Estacas Hélice Contínua</t>
        </is>
      </c>
    </row>
    <row r="9">
      <c r="A9" s="6" t="inlineStr">
        <is>
          <t>01.002.001</t>
        </is>
      </c>
      <c r="B9" s="6" t="inlineStr">
        <is>
          <t>Perfuração estacas hélice contínua (ø500/600 × 25m)</t>
        </is>
      </c>
      <c r="C9" s="7" t="n">
        <v>10575</v>
      </c>
      <c r="D9" s="6" t="inlineStr">
        <is>
          <t>m</t>
        </is>
      </c>
      <c r="E9" s="8" t="n">
        <v>101.5</v>
      </c>
      <c r="F9" s="8">
        <f>C9*E9</f>
        <v/>
      </c>
      <c r="G9" s="6" t="inlineStr">
        <is>
          <t>Estimativa turnkey LIBERTÉ 35% × R$290/m — validar c/ cotação</t>
        </is>
      </c>
    </row>
    <row r="10">
      <c r="A10" s="6" t="inlineStr">
        <is>
          <t>01.002.002</t>
        </is>
      </c>
      <c r="B10" s="6" t="inlineStr">
        <is>
          <t>Armadura estacas CA-50 (ø6.3 + ø16)</t>
        </is>
      </c>
      <c r="C10" s="7" t="n">
        <v>47631</v>
      </c>
      <c r="D10" s="6" t="inlineStr">
        <is>
          <t>kg</t>
        </is>
      </c>
      <c r="E10" s="8" t="n">
        <v>9.66</v>
      </c>
      <c r="F10" s="8">
        <f>C10*E10</f>
        <v/>
      </c>
      <c r="G10" s="6" t="inlineStr">
        <is>
          <t>Estimativa turnkey LIBERTÉ 15% — validar</t>
        </is>
      </c>
    </row>
    <row r="11">
      <c r="A11" s="6" t="inlineStr">
        <is>
          <t>01.002.003</t>
        </is>
      </c>
      <c r="B11" s="6" t="inlineStr">
        <is>
          <t>Acessórios estacas (gaiolas, espaçadores, tubo NH)</t>
        </is>
      </c>
      <c r="C11" s="7" t="n">
        <v>423</v>
      </c>
      <c r="D11" s="6" t="inlineStr">
        <is>
          <t>un</t>
        </is>
      </c>
      <c r="E11" s="8" t="n">
        <v>362.5</v>
      </c>
      <c r="F11" s="8">
        <f>C11*E11</f>
        <v/>
      </c>
      <c r="G11" s="6" t="inlineStr">
        <is>
          <t>Estimativa R$/estaca — validar</t>
        </is>
      </c>
    </row>
    <row r="12">
      <c r="A12" s="6" t="inlineStr">
        <is>
          <t>01.002.004</t>
        </is>
      </c>
      <c r="B12" s="6" t="inlineStr">
        <is>
          <t>Concreto C40 estacas hélice (c/ 20% sobreconsumo)</t>
        </is>
      </c>
      <c r="C12" s="7" t="n">
        <v>3544</v>
      </c>
      <c r="D12" s="6" t="inlineStr">
        <is>
          <t>m³</t>
        </is>
      </c>
      <c r="E12" s="8" t="n">
        <v>346.3</v>
      </c>
      <c r="F12" s="8">
        <f>C12*E12</f>
        <v/>
      </c>
      <c r="G12" s="6" t="inlineStr">
        <is>
          <t>Estimativa turnkey LIBERTÉ 40% — validar</t>
        </is>
      </c>
    </row>
    <row r="13">
      <c r="A13" s="6" t="inlineStr">
        <is>
          <t>01.002.005</t>
        </is>
      </c>
      <c r="B13" s="6" t="inlineStr">
        <is>
          <t>Mão de obra estacas (execução turnkey)</t>
        </is>
      </c>
      <c r="C13" s="7" t="n">
        <v>10575</v>
      </c>
      <c r="D13" s="6" t="inlineStr">
        <is>
          <t>m</t>
        </is>
      </c>
      <c r="E13" s="8" t="n">
        <v>14.5</v>
      </c>
      <c r="F13" s="8">
        <f>C13*E13</f>
        <v/>
      </c>
      <c r="G13" s="6" t="inlineStr">
        <is>
          <t>Estimativa turnkey LIBERTÉ 5% — R$/m comp</t>
        </is>
      </c>
    </row>
    <row r="14">
      <c r="A14" s="9" t="inlineStr">
        <is>
          <t>SUBTOTAL</t>
        </is>
      </c>
      <c r="B14" s="9" t="n"/>
      <c r="C14" s="9" t="n"/>
      <c r="D14" s="9" t="n"/>
      <c r="E14" s="9" t="n"/>
      <c r="F14" s="10">
        <f>SUM(F9:F13)</f>
        <v/>
      </c>
      <c r="G14" s="9" t="n"/>
    </row>
    <row r="15">
      <c r="A15" s="9" t="inlineStr">
        <is>
          <t>R$/m² AC</t>
        </is>
      </c>
      <c r="B15" s="9" t="n"/>
      <c r="C15" s="9" t="n"/>
      <c r="D15" s="9" t="n"/>
      <c r="E15" s="9" t="n"/>
      <c r="F15" s="11">
        <f>F14/36097</f>
        <v/>
      </c>
      <c r="G15" s="9" t="n"/>
    </row>
    <row r="17" ht="22" customHeight="1">
      <c r="A17" s="5" t="inlineStr">
        <is>
          <t>01.003 FUNDAÇÃO RASA — Blocos + Baldrame + Laje Fund.</t>
        </is>
      </c>
    </row>
    <row r="18">
      <c r="A18" s="6" t="inlineStr">
        <is>
          <t>01.003.001</t>
        </is>
      </c>
      <c r="B18" s="6" t="inlineStr">
        <is>
          <t>Forma blocos de coroamento + vigas baldrame + laje fund</t>
        </is>
      </c>
      <c r="C18" s="7" t="n">
        <v>1900</v>
      </c>
      <c r="D18" s="6" t="inlineStr">
        <is>
          <t>m²</t>
        </is>
      </c>
      <c r="E18" s="8" t="n">
        <v>130</v>
      </c>
      <c r="F18" s="8">
        <f>C18*E18</f>
        <v/>
      </c>
      <c r="G18" s="6" t="inlineStr">
        <is>
          <t>Estimativa: QUANT-B 746 m² + Bloco A ~860 m² + baldrame ~300 m²</t>
        </is>
      </c>
    </row>
    <row r="19">
      <c r="A19" s="6" t="inlineStr">
        <is>
          <t>01.003.002</t>
        </is>
      </c>
      <c r="B19" s="6" t="inlineStr">
        <is>
          <t>Armadura fund. rasa CA-50 (blocos + baldrame + laje)</t>
        </is>
      </c>
      <c r="C19" s="7" t="n">
        <v>213051</v>
      </c>
      <c r="D19" s="6" t="inlineStr">
        <is>
          <t>kg</t>
        </is>
      </c>
      <c r="E19" s="8" t="n">
        <v>13</v>
      </c>
      <c r="F19" s="8">
        <f>C19*E19</f>
        <v/>
      </c>
      <c r="G19" s="6" t="inlineStr">
        <is>
          <t>QUANT-A r246 BLOCOS TOTAL A+B (100.915 + 112.136 kg)</t>
        </is>
      </c>
    </row>
    <row r="20">
      <c r="A20" s="6" t="inlineStr">
        <is>
          <t>01.003.003</t>
        </is>
      </c>
      <c r="B20" s="6" t="inlineStr">
        <is>
          <t>Concreto C30 fund. rasa (blocos + baldrame + laje)</t>
        </is>
      </c>
      <c r="C20" s="7" t="n">
        <v>2066</v>
      </c>
      <c r="D20" s="6" t="inlineStr">
        <is>
          <t>m³</t>
        </is>
      </c>
      <c r="E20" s="8" t="n">
        <v>680</v>
      </c>
      <c r="F20" s="8">
        <f>C20*E20</f>
        <v/>
      </c>
      <c r="G20" s="6" t="inlineStr">
        <is>
          <t>QUANT-A r246 BLOCOS TOTAL A+B (1.044,61 + 1.021,75 m³)</t>
        </is>
      </c>
    </row>
    <row r="21">
      <c r="A21" s="6" t="inlineStr">
        <is>
          <t>01.003.004</t>
        </is>
      </c>
      <c r="B21" s="6" t="inlineStr">
        <is>
          <t>Mão de obra fundação rasa</t>
        </is>
      </c>
      <c r="C21" s="8" t="n">
        <v>1</v>
      </c>
      <c r="D21" s="6" t="inlineStr">
        <is>
          <t>vb</t>
        </is>
      </c>
      <c r="E21" s="8" t="n">
        <v>180000</v>
      </c>
      <c r="F21" s="8">
        <f>C21*E21</f>
        <v/>
      </c>
      <c r="G21" s="6" t="inlineStr">
        <is>
          <t>Estimativa vb ~8-9% do material (mediana mercado SC)</t>
        </is>
      </c>
    </row>
    <row r="22">
      <c r="A22" s="9" t="inlineStr">
        <is>
          <t>SUBTOTAL</t>
        </is>
      </c>
      <c r="B22" s="9" t="n"/>
      <c r="C22" s="9" t="n"/>
      <c r="D22" s="9" t="n"/>
      <c r="E22" s="9" t="n"/>
      <c r="F22" s="10">
        <f>SUM(F18:F21)</f>
        <v/>
      </c>
      <c r="G22" s="9" t="n"/>
    </row>
    <row r="23">
      <c r="A23" s="9" t="inlineStr">
        <is>
          <t>R$/m² AC</t>
        </is>
      </c>
      <c r="B23" s="9" t="n"/>
      <c r="C23" s="9" t="n"/>
      <c r="D23" s="9" t="n"/>
      <c r="E23" s="9" t="n"/>
      <c r="F23" s="11">
        <f>F22/36097</f>
        <v/>
      </c>
      <c r="G23" s="9" t="n"/>
    </row>
    <row r="25">
      <c r="A25" s="12" t="inlineStr">
        <is>
          <t>TOTAL FUNDAÇÃO (01.002 + 01.003)</t>
        </is>
      </c>
      <c r="B25" s="13" t="n"/>
      <c r="C25" s="13" t="n"/>
      <c r="D25" s="13" t="n"/>
      <c r="E25" s="13" t="n"/>
      <c r="F25" s="14">
        <f>F14+F22</f>
        <v/>
      </c>
      <c r="G25" s="13" t="n"/>
    </row>
    <row r="26">
      <c r="A26" s="15" t="inlineStr">
        <is>
          <t>R$/m² AC FUNDAÇÃO TOTAL</t>
        </is>
      </c>
      <c r="B26" s="15" t="n"/>
      <c r="C26" s="15" t="n"/>
      <c r="D26" s="15" t="n"/>
      <c r="E26" s="15" t="n"/>
      <c r="F26" s="16">
        <f>F25/36097</f>
        <v/>
      </c>
      <c r="G26" s="15" t="n"/>
    </row>
    <row r="29">
      <c r="A29" s="1" t="inlineStr">
        <is>
          <t>OBSERVAÇÕES TÉCNICAS:</t>
        </is>
      </c>
    </row>
    <row r="30">
      <c r="A30" t="inlineStr"/>
    </row>
    <row r="31">
      <c r="A31" t="inlineStr">
        <is>
          <t>• QUANTITATIVOS — são REAIS (validados em 3 fontes cruzadas):</t>
        </is>
      </c>
    </row>
    <row r="32">
      <c r="A32" t="inlineStr">
        <is>
          <t xml:space="preserve">  - Estacas: LIBERTÉ 1203-2025-R0 + CONTROLE-REV projetista 1203 (bateu 100%)</t>
        </is>
      </c>
    </row>
    <row r="33">
      <c r="A33" t="inlineStr">
        <is>
          <t xml:space="preserve">  - Fund. Rasa: QUANTIDADES BLOCO A+B projetista 1203 (r246 totalização)</t>
        </is>
      </c>
    </row>
    <row r="34">
      <c r="A34" t="inlineStr"/>
    </row>
    <row r="35">
      <c r="A35" t="inlineStr">
        <is>
          <t>• PUs — são ESTIMATIVAS (base mercado SC + decomposição turnkey LIBERTÉ):</t>
        </is>
      </c>
    </row>
    <row r="36">
      <c r="A36" t="inlineStr">
        <is>
          <t xml:space="preserve">  - Hélice contínua turnkey: R$ 290/m (mediana SC 2025, ø50-60, 20-30m)</t>
        </is>
      </c>
    </row>
    <row r="37">
      <c r="A37" t="inlineStr">
        <is>
          <t xml:space="preserve">  - Decomposição proporcional: 35% perfuração + 40% concreto + 15% aço + 5% acessórios + 5% MO</t>
        </is>
      </c>
    </row>
    <row r="38">
      <c r="A38" t="inlineStr">
        <is>
          <t xml:space="preserve">  - Fund. rasa: PUs típicos Cartesian (concreto R$ 680/m³, aço R$ 13/kg, forma R$ 130/m²)</t>
        </is>
      </c>
    </row>
    <row r="39">
      <c r="A39" t="inlineStr"/>
    </row>
    <row r="40">
      <c r="A40" t="inlineStr">
        <is>
          <t>• SOBRECONSUMO CONCRETO ESTACAS:</t>
        </is>
      </c>
    </row>
    <row r="41">
      <c r="A41" t="inlineStr">
        <is>
          <t xml:space="preserve">  - Volume teórico (escavação): 2.953 m³</t>
        </is>
      </c>
    </row>
    <row r="42">
      <c r="A42" t="inlineStr">
        <is>
          <t xml:space="preserve">  - Volume efetivo (+20% LIBERTÉ): 3.544 m³ — usado no 01.002.004</t>
        </is>
      </c>
    </row>
    <row r="43">
      <c r="A43" t="inlineStr">
        <is>
          <t xml:space="preserve">  - Diferença 591 m³ é esperada pra hélice contínua (expansão lateral do solo)</t>
        </is>
      </c>
    </row>
    <row r="44">
      <c r="A44" t="inlineStr"/>
    </row>
    <row r="45">
      <c r="A45" t="inlineStr">
        <is>
          <t>• PRÓXIMOS PASSOS (Leo):</t>
        </is>
      </c>
    </row>
    <row r="46">
      <c r="A46" t="inlineStr">
        <is>
          <t xml:space="preserve">  1. Validar quantitativos com Rubens Alves (projetista) — principal: 213.051 kg aço total fund. rasa</t>
        </is>
      </c>
    </row>
    <row r="47">
      <c r="A47" t="inlineStr">
        <is>
          <t xml:space="preserve">  2. Solicitar cotação FORMAL à LIBERTÉ — turnkey vs decomposto</t>
        </is>
      </c>
    </row>
    <row r="48">
      <c r="A48" t="inlineStr">
        <is>
          <t xml:space="preserve">  3. Rodar benchmark da base Cartesian (scripts/benchmark_*.py) pra validar PUs</t>
        </is>
      </c>
    </row>
    <row r="49">
      <c r="A49" t="inlineStr">
        <is>
          <t xml:space="preserve">  4. Confrontar R$/m² AC total vs projetos similares (Brasin Redentor, Grandezza, etc.)</t>
        </is>
      </c>
    </row>
    <row r="50">
      <c r="A50" t="inlineStr"/>
    </row>
    <row r="51">
      <c r="A51" t="inlineStr">
        <is>
          <t>• VERIFICAÇÃO DE SANIDADE:</t>
        </is>
      </c>
    </row>
    <row r="52">
      <c r="A52" t="inlineStr">
        <is>
          <t xml:space="preserve">  - Taxa aço estacas: 16,1 kg/m³ (típico hélice: 15-25) ✓</t>
        </is>
      </c>
    </row>
    <row r="53">
      <c r="A53" t="inlineStr">
        <is>
          <t xml:space="preserve">  - Taxa aço fund. rasa: 103 kg/m³ (típico blocos/baldrame: 80-120) ✓</t>
        </is>
      </c>
    </row>
    <row r="54">
      <c r="A54" t="inlineStr">
        <is>
          <t xml:space="preserve">  - R$/m² AC fund. total: se der &gt;R$ 200 — investigar (esperado R$ 80-150 pra prédio alto)</t>
        </is>
      </c>
    </row>
    <row r="55">
      <c r="A55" t="inlineStr"/>
    </row>
    <row r="56">
      <c r="A56" s="1" t="inlineStr">
        <is>
          <t>COMO COLAR NO MASTER:</t>
        </is>
      </c>
    </row>
    <row r="57">
      <c r="A57" t="inlineStr">
        <is>
          <t>1. Abrir CTN-TZN_ELT - Orçamento Executivo_R00 .xlsx aba EAP</t>
        </is>
      </c>
    </row>
    <row r="58">
      <c r="A58" t="inlineStr">
        <is>
          <t>2. Localizar seção 01. INFRAESTRUTURA → 1.002 e 1.003</t>
        </is>
      </c>
    </row>
    <row r="59">
      <c r="A59" t="inlineStr">
        <is>
          <t>3. Copiar os 9 sub-itens deste xlsx com respectivos Qtd + Unid + PU</t>
        </is>
      </c>
    </row>
    <row r="60">
      <c r="A60" t="inlineStr">
        <is>
          <t>4. Colar nas células correspondentes (não colar 'Total' — é fórmula da EAP do master)</t>
        </is>
      </c>
    </row>
    <row r="61">
      <c r="A61" t="inlineStr">
        <is>
          <t>5. Verificar se códigos batem (01.002.001 → 01.002.005 e 01.003.001 → 01.003.004)</t>
        </is>
      </c>
    </row>
  </sheetData>
  <mergeCells count="42">
    <mergeCell ref="A32:G32"/>
    <mergeCell ref="A17:G17"/>
    <mergeCell ref="A8:G8"/>
    <mergeCell ref="A15:E15"/>
    <mergeCell ref="A53:G53"/>
    <mergeCell ref="A35:G35"/>
    <mergeCell ref="A38:G38"/>
    <mergeCell ref="A29:G29"/>
    <mergeCell ref="A42:G42"/>
    <mergeCell ref="A52:G52"/>
    <mergeCell ref="A43:G43"/>
    <mergeCell ref="A44:G44"/>
    <mergeCell ref="A58:G58"/>
    <mergeCell ref="A40:G40"/>
    <mergeCell ref="A31:G31"/>
    <mergeCell ref="A25:E25"/>
    <mergeCell ref="A34:G34"/>
    <mergeCell ref="A39:G39"/>
    <mergeCell ref="A48:G48"/>
    <mergeCell ref="A30:G30"/>
    <mergeCell ref="A59:G59"/>
    <mergeCell ref="A60:G60"/>
    <mergeCell ref="A49:G49"/>
    <mergeCell ref="A51:G51"/>
    <mergeCell ref="A45:G45"/>
    <mergeCell ref="A36:G36"/>
    <mergeCell ref="A61:G61"/>
    <mergeCell ref="A26:E26"/>
    <mergeCell ref="A54:G54"/>
    <mergeCell ref="A23:E23"/>
    <mergeCell ref="A14:E14"/>
    <mergeCell ref="A41:G41"/>
    <mergeCell ref="A22:E22"/>
    <mergeCell ref="A37:G37"/>
    <mergeCell ref="A46:G46"/>
    <mergeCell ref="A56:G56"/>
    <mergeCell ref="A55:G55"/>
    <mergeCell ref="A50:G50"/>
    <mergeCell ref="A57:G57"/>
    <mergeCell ref="A33:G33"/>
    <mergeCell ref="A47:G4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2026-04-20T15:49:30Z</dcterms:created>
  <dcterms:modified xmlns:dcterms="http://purl.org/dc/terms/" xmlns:xsi="http://www.w3.org/2001/XMLSchema-instance" xsi:type="dcterms:W3CDTF">2026-04-20T15:49:31Z</dcterms:modified>
</cp:coreProperties>
</file>