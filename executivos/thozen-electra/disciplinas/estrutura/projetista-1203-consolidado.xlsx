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disciplinas\estrutura\"/>
    </mc:Choice>
  </mc:AlternateContent>
  <xr:revisionPtr revIDLastSave="0" documentId="13_ncr:1_{7C4CEFA2-2496-448E-AAD3-C57DB0E38DA0}" xr6:coauthVersionLast="47" xr6:coauthVersionMax="47" xr10:uidLastSave="{00000000-0000-0000-0000-000000000000}"/>
  <bookViews>
    <workbookView xWindow="28680" yWindow="-120" windowWidth="29040" windowHeight="15720" firstSheet="2" activeTab="4" xr2:uid="{00000000-000D-0000-FFFF-FFFF00000000}"/>
  </bookViews>
  <sheets>
    <sheet name="Resumo Estrutura" sheetId="6" r:id="rId1"/>
    <sheet name="RESUMO" sheetId="1" r:id="rId2"/>
    <sheet name="Supra A por pav" sheetId="2" r:id="rId3"/>
    <sheet name="Supra B por pav" sheetId="3" r:id="rId4"/>
    <sheet name="Supra por pavimento" sheetId="7" r:id="rId5"/>
    <sheet name="Aço por Bitola" sheetId="4" r:id="rId6"/>
    <sheet name="Fund. Rasa detalhe" sheetId="5" r:id="rId7"/>
  </sheets>
  <externalReferences>
    <externalReference r:id="rId8"/>
  </externalReferences>
  <definedNames>
    <definedName name="\0" localSheetId="0">#REF!</definedName>
    <definedName name="\0">#REF!</definedName>
    <definedName name="\1" localSheetId="0">#REF!</definedName>
    <definedName name="\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i">#REF!</definedName>
    <definedName name="\J">#REF!</definedName>
    <definedName name="\k">#REF!</definedName>
    <definedName name="\l">#N/A</definedName>
    <definedName name="\m" localSheetId="0">#REF!</definedName>
    <definedName name="\m">#REF!</definedName>
    <definedName name="\o" localSheetId="0">#REF!</definedName>
    <definedName name="\o">#REF!</definedName>
    <definedName name="\p" localSheetId="0">#REF!</definedName>
    <definedName name="\p">#REF!</definedName>
    <definedName name="\r">#REF!</definedName>
    <definedName name="\T">#REF!</definedName>
    <definedName name="\xasd" localSheetId="0" hidden="1">{#N/A,#N/A,FALSE,"Plan1";#N/A,#N/A,FALSE,"Plan2"}</definedName>
    <definedName name="\xasd" hidden="1">{#N/A,#N/A,FALSE,"Plan1";#N/A,#N/A,FALSE,"Plan2"}</definedName>
    <definedName name="\z">#REF!</definedName>
    <definedName name="_" localSheetId="0" hidden="1">#REF!</definedName>
    <definedName name="_">#REF!</definedName>
    <definedName name="_\0" localSheetId="0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 localSheetId="0">#REF!</definedName>
    <definedName name="_\m">#REF!</definedName>
    <definedName name="_\o" localSheetId="0">#REF!</definedName>
    <definedName name="_\o">#REF!</definedName>
    <definedName name="_\p" localSheetId="0">#REF!</definedName>
    <definedName name="_\p">#REF!</definedName>
    <definedName name="_\r">#REF!</definedName>
    <definedName name="_\T">#REF!</definedName>
    <definedName name="_\xasd" localSheetId="0" hidden="1">{#N/A,#N/A,FALSE,"Plan1";#N/A,#N/A,FALSE,"Plan2"}</definedName>
    <definedName name="_\xasd" hidden="1">{#N/A,#N/A,FALSE,"Plan1";#N/A,#N/A,FALSE,"Plan2"}</definedName>
    <definedName name="_\z" localSheetId="0">#REF!</definedName>
    <definedName name="_\z">#REF!</definedName>
    <definedName name="__" localSheetId="0" hidden="1">#REF!</definedName>
    <definedName name="__">#REF!</definedName>
    <definedName name="__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0">#REF!</definedName>
    <definedName name="______ACR10">#REF!</definedName>
    <definedName name="______ACR15" localSheetId="0">#REF!</definedName>
    <definedName name="______ACR15">#REF!</definedName>
    <definedName name="______acr20" localSheetId="0">#REF!</definedName>
    <definedName name="______acr20">#REF!</definedName>
    <definedName name="______acr5">#REF!</definedName>
    <definedName name="______ARQ1">#REF!</definedName>
    <definedName name="______QT100">#REF!</definedName>
    <definedName name="______QT2">#REF!</definedName>
    <definedName name="______QT3">#REF!</definedName>
    <definedName name="______QT4">#REF!</definedName>
    <definedName name="______QT50">#REF!</definedName>
    <definedName name="______QT75">#REF!</definedName>
    <definedName name="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0">#REF!</definedName>
    <definedName name="_____ACR10">#REF!</definedName>
    <definedName name="_____ACR15" localSheetId="0">#REF!</definedName>
    <definedName name="_____ACR15">#REF!</definedName>
    <definedName name="_____acr20" localSheetId="0">#REF!</definedName>
    <definedName name="_____acr20">#REF!</definedName>
    <definedName name="_____acr5">#REF!</definedName>
    <definedName name="_____ARQ1">#REF!</definedName>
    <definedName name="_____key2">#REF!</definedName>
    <definedName name="_____QT100">#REF!</definedName>
    <definedName name="_____QT2">#REF!</definedName>
    <definedName name="_____QT3">#REF!</definedName>
    <definedName name="_____QT4">#REF!</definedName>
    <definedName name="_____QT50">#REF!</definedName>
    <definedName name="_____QT75">#REF!</definedName>
    <definedName name="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0" hidden="1">#REF!</definedName>
    <definedName name="____key2">#REF!</definedName>
    <definedName name="____la29" localSheetId="0" hidden="1">#REF!</definedName>
    <definedName name="____la29">#REF!</definedName>
    <definedName name="____la3" localSheetId="0" hidden="1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PK2" localSheetId="0">{"'장비'!$A$3:$M$12"}</definedName>
    <definedName name="____PK2">{"'장비'!$A$3:$M$12"}</definedName>
    <definedName name="____PKG3" localSheetId="0">{"'장비'!$A$3:$M$12"}</definedName>
    <definedName name="____PKG3">{"'장비'!$A$3:$M$12"}</definedName>
    <definedName name="____qqq222" localSheetId="0">{"'장비'!$A$3:$M$12"}</definedName>
    <definedName name="____qqq222">{"'장비'!$A$3:$M$12"}</definedName>
    <definedName name="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0" hidden="1">#REF!</definedName>
    <definedName name="____x10">#REF!</definedName>
    <definedName name="____x11" localSheetId="0" hidden="1">#REF!</definedName>
    <definedName name="____x11">#REF!</definedName>
    <definedName name="____x12" localSheetId="0" hidden="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ACR10">#REF!</definedName>
    <definedName name="___ACR15">#REF!</definedName>
    <definedName name="___acr20">#REF!</definedName>
    <definedName name="___acr5">#REF!</definedName>
    <definedName name="___ARQ1">#REF!</definedName>
    <definedName name="_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0" hidden="1">#REF!</definedName>
    <definedName name="___key2">#REF!</definedName>
    <definedName name="___la29" localSheetId="0" hidden="1">#REF!</definedName>
    <definedName name="___la29">#REF!</definedName>
    <definedName name="___la3" localSheetId="0" hidden="1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PK2" localSheetId="0">{"'장비'!$A$3:$M$12"}</definedName>
    <definedName name="___PK2">{"'장비'!$A$3:$M$12"}</definedName>
    <definedName name="___PKG3" localSheetId="0">{"'장비'!$A$3:$M$12"}</definedName>
    <definedName name="___PKG3">{"'장비'!$A$3:$M$12"}</definedName>
    <definedName name="___qqq222" localSheetId="0">{"'장비'!$A$3:$M$12"}</definedName>
    <definedName name="___qqq222">{"'장비'!$A$3:$M$12"}</definedName>
    <definedName name="___QT100">#REF!</definedName>
    <definedName name="___QT2">#REF!</definedName>
    <definedName name="___QT3">#REF!</definedName>
    <definedName name="___QT4">#REF!</definedName>
    <definedName name="___QT50">#REF!</definedName>
    <definedName name="___QT75">#REF!</definedName>
    <definedName name="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0" hidden="1">#REF!</definedName>
    <definedName name="___x10">#REF!</definedName>
    <definedName name="___x11" localSheetId="0" hidden="1">#REF!</definedName>
    <definedName name="___x11">#REF!</definedName>
    <definedName name="___x12" localSheetId="0" hidden="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123Graph_A">#REF!</definedName>
    <definedName name="__123Graph_AChart1">#REF!</definedName>
    <definedName name="__123Graph_ACurrent">#REF!</definedName>
    <definedName name="__123Graph_ACUSTO">#REF!</definedName>
    <definedName name="__123Graph_AFAT">#REF!</definedName>
    <definedName name="__123Graph_AGRA1">#REF!</definedName>
    <definedName name="__123Graph_ARES">#REF!</definedName>
    <definedName name="__123Graph_B">#REF!</definedName>
    <definedName name="__123Graph_BChart1">#REF!</definedName>
    <definedName name="__123Graph_BCurrent">#REF!</definedName>
    <definedName name="__123Graph_BCUSTO">#REF!</definedName>
    <definedName name="__123Graph_BFAT">#REF!</definedName>
    <definedName name="__123Graph_BPERFORMANCE">#REF!</definedName>
    <definedName name="__123Graph_BRES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LBL_A">#REF!</definedName>
    <definedName name="__123Graph_LBL_B">#REF!</definedName>
    <definedName name="__123Graph_X">#REF!</definedName>
    <definedName name="__123Graph_XChart1">#REF!</definedName>
    <definedName name="__123Graph_XCurrent">#REF!</definedName>
    <definedName name="__123Graph_XCUSTO">#REF!</definedName>
    <definedName name="__123Graph_XFAT">#REF!</definedName>
    <definedName name="__123Graph_XGRA1">#REF!</definedName>
    <definedName name="__123Graph_XRES">#REF!</definedName>
    <definedName name="__ACR10">#REF!</definedName>
    <definedName name="__ACR15">#REF!</definedName>
    <definedName name="__acr20">#REF!</definedName>
    <definedName name="__acr5">#REF!</definedName>
    <definedName name="__ARQ1">#REF!</definedName>
    <definedName name="__Axe3">#REF!</definedName>
    <definedName name="__Axe4">#REF!</definedName>
    <definedName name="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0">#REF!</definedName>
    <definedName name="__htm2">#REF!</definedName>
    <definedName name="__htn2" localSheetId="0">#REF!</definedName>
    <definedName name="__htn2">#REF!</definedName>
    <definedName name="__iss2" localSheetId="0">#REF!</definedName>
    <definedName name="__iss2">#REF!</definedName>
    <definedName name="__key2">#REF!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PK2" localSheetId="0">{"'장비'!$A$3:$M$12"}</definedName>
    <definedName name="__PK2">{"'장비'!$A$3:$M$12"}</definedName>
    <definedName name="__PKG3" localSheetId="0">{"'장비'!$A$3:$M$12"}</definedName>
    <definedName name="__PKG3">{"'장비'!$A$3:$M$12"}</definedName>
    <definedName name="__qqq222" localSheetId="0">{"'장비'!$A$3:$M$12"}</definedName>
    <definedName name="__qqq222">{"'장비'!$A$3:$M$12"}</definedName>
    <definedName name="__QT100">#REF!</definedName>
    <definedName name="__QT2">#REF!</definedName>
    <definedName name="__QT3">#REF!</definedName>
    <definedName name="__QT4">#REF!</definedName>
    <definedName name="__QT50">#REF!</definedName>
    <definedName name="__QT75">#REF!</definedName>
    <definedName name="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0" hidden="1">#REF!</definedName>
    <definedName name="__x10">#REF!</definedName>
    <definedName name="__x11" localSheetId="0" hidden="1">#REF!</definedName>
    <definedName name="__x11">#REF!</definedName>
    <definedName name="__x12" localSheetId="0" hidden="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">#REF!</definedName>
    <definedName name="_1__123Graph_ACHART_1">#REF!</definedName>
    <definedName name="_10__123Graph_CCHART_1">#REF!</definedName>
    <definedName name="_11.SERV.TECNIC">#REF!</definedName>
    <definedName name="_11__123Graph_DCHART_1">#REF!</definedName>
    <definedName name="_12.GAST_GERAIS">#REF!</definedName>
    <definedName name="_12__123Graph_XChart_1A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1Dist_Val">#REF!</definedName>
    <definedName name="_2">#REF!</definedName>
    <definedName name="_2__123Graph_BCHART_1">#REF!</definedName>
    <definedName name="_25.PREP.TERREN">#REF!</definedName>
    <definedName name="_27.FUND._ESCOR">#REF!</definedName>
    <definedName name="_2F">#REF!</definedName>
    <definedName name="_3__123Graph_XCHART_1">#REF!</definedName>
    <definedName name="_31_32_33.C_A">#REF!</definedName>
    <definedName name="_41.ALVENARIA">#REF!</definedName>
    <definedName name="_47.IMP._ISOLA.">#REF!</definedName>
    <definedName name="_5__123Graph_ACHART_1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__123Graph_AChart_1A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__123Graph_ACHART_2">#REF!</definedName>
    <definedName name="_71_73.I.ELET_H">#REF!</definedName>
    <definedName name="_77.OUTRAS_INST.">#REF!</definedName>
    <definedName name="_78.ELEVADORES">#REF!</definedName>
    <definedName name="_8__123Graph_BChart_1A">#REF!</definedName>
    <definedName name="_81.APAR._SANIT">#REF!</definedName>
    <definedName name="_83_85.PINT_LIM">#REF!</definedName>
    <definedName name="_9__123Graph_BCHART_2">#REF!</definedName>
    <definedName name="_ACR10">#REF!</definedName>
    <definedName name="_ACR15">#REF!</definedName>
    <definedName name="_acr20">#REF!</definedName>
    <definedName name="_acr5">#REF!</definedName>
    <definedName name="_akhnsdkjsdb">#REF!</definedName>
    <definedName name="_AMO_UniqueIdentifier">"'54256040-62ff-475a-9348-dbdfce08df30'"</definedName>
    <definedName name="_ARQ1" localSheetId="0">#REF!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>#REF!</definedName>
    <definedName name="_Axe4">#REF!</definedName>
    <definedName name="_Builtin13">#REF!</definedName>
    <definedName name="_CAB1">#REF!</definedName>
    <definedName name="_CAB2">#REF!</definedName>
    <definedName name="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0" hidden="1">#REF!</definedName>
    <definedName name="_Dist_Bin">#REF!</definedName>
    <definedName name="_Dist_Values" localSheetId="0" hidden="1">#REF!</definedName>
    <definedName name="_Dist_Values">#REF!</definedName>
    <definedName name="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0" hidden="1">#REF!</definedName>
    <definedName name="_Fill">#REF!</definedName>
    <definedName name="_fill1" localSheetId="0" hidden="1">#REF!</definedName>
    <definedName name="_fill1">#REF!</definedName>
    <definedName name="_FiltrarBancoDados2" localSheetId="0" hidden="1">#REF!</definedName>
    <definedName name="_FiltrarBancoDados2">#REF!</definedName>
    <definedName name="_xlnm._FilterDatabase" localSheetId="0" hidden="1">#REF!</definedName>
    <definedName name="_xlnm._FilterDatabase" hidden="1">#REF!</definedName>
    <definedName name="_htm2">#REF!</definedName>
    <definedName name="_htn2">#REF!</definedName>
    <definedName name="_IA0542" localSheetId="0">{#N/A,#N/A,FALSE,"Plan1";#N/A,#N/A,FALSE,"Plan2"}</definedName>
    <definedName name="_IA0542">{#N/A,#N/A,FALSE,"Plan1";#N/A,#N/A,FALSE,"Plan2"}</definedName>
    <definedName name="_iss2" localSheetId="0">#REF!</definedName>
    <definedName name="_iss2">#REF!</definedName>
    <definedName name="_IV65617" localSheetId="0">#REF!</definedName>
    <definedName name="_IV65617">#REF!</definedName>
    <definedName name="_IV65999" localSheetId="0">#REF!</definedName>
    <definedName name="_IV65999">#REF!</definedName>
    <definedName name="_IV66000">#REF!</definedName>
    <definedName name="_IV67021">#REF!</definedName>
    <definedName name="_IV67022">#REF!</definedName>
    <definedName name="_Key1">#REF!</definedName>
    <definedName name="_Key2">#REF!</definedName>
    <definedName name="_KEY3">#REF!</definedName>
    <definedName name="_key4">#REF!</definedName>
    <definedName name="_l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MatInverse_In">#REF!</definedName>
    <definedName name="_MatMult_A">#REF!</definedName>
    <definedName name="_MatMult_AxB">#REF!</definedName>
    <definedName name="_MatMult_B">#REF!</definedName>
    <definedName name="_new11" localSheetId="0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 localSheetId="0">0</definedName>
    <definedName name="_Order2">255</definedName>
    <definedName name="_Parse_Out" localSheetId="0" hidden="1">#REF!</definedName>
    <definedName name="_Parse_Out">#REF!</definedName>
    <definedName name="_PAV01" localSheetId="0">#REF!</definedName>
    <definedName name="_PAV01">#REF!</definedName>
    <definedName name="_PAV02" localSheetId="0">#REF!</definedName>
    <definedName name="_PAV02">#REF!</definedName>
    <definedName name="_PAV03">#REF!</definedName>
    <definedName name="_PAV04">#REF!</definedName>
    <definedName name="_PAV05">#REF!</definedName>
    <definedName name="_PAV06">#REF!</definedName>
    <definedName name="_PAV07">#REF!</definedName>
    <definedName name="_PAV08">#REF!</definedName>
    <definedName name="_PAV09">#REF!</definedName>
    <definedName name="_PAV10">#REF!</definedName>
    <definedName name="_PAV11">#REF!</definedName>
    <definedName name="_PK2" localSheetId="0">{"'장비'!$A$3:$M$12"}</definedName>
    <definedName name="_PK2">{"'장비'!$A$3:$M$12"}</definedName>
    <definedName name="_PKG3" localSheetId="0">{"'장비'!$A$3:$M$12"}</definedName>
    <definedName name="_PKG3">{"'장비'!$A$3:$M$12"}</definedName>
    <definedName name="_qqq222" localSheetId="0">{"'장비'!$A$3:$M$12"}</definedName>
    <definedName name="_qqq222">{"'장비'!$A$3:$M$12"}</definedName>
    <definedName name="_QT100">#REF!</definedName>
    <definedName name="_QT2">#REF!</definedName>
    <definedName name="_QT3">#REF!</definedName>
    <definedName name="_QT4">#REF!</definedName>
    <definedName name="_QT50">#REF!</definedName>
    <definedName name="_QT75">#REF!</definedName>
    <definedName name="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 localSheetId="0" hidden="1">#REF!</definedName>
    <definedName name="_Regression_Out">#REF!</definedName>
    <definedName name="_Regression_X" localSheetId="0" hidden="1">#REF!</definedName>
    <definedName name="_Regression_X">#REF!</definedName>
    <definedName name="_Regression_Y" localSheetId="0" hidden="1">#REF!</definedName>
    <definedName name="_Regression_Y">#REF!</definedName>
    <definedName name="_sfe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0" hidden="1">#REF!</definedName>
    <definedName name="_Sort">#REF!</definedName>
    <definedName name="_T" localSheetId="0">#REF!</definedName>
    <definedName name="_T">#REF!</definedName>
    <definedName name="_Table1_In1" localSheetId="0" hidden="1">#REF!</definedName>
    <definedName name="_Table1_In1">#REF!</definedName>
    <definedName name="_Table1_Out">#REF!</definedName>
    <definedName name="_wer3" localSheetId="0">{#N/A,#N/A,FALSE,"Plan1";#N/A,#N/A,FALSE,"Plan2"}</definedName>
    <definedName name="_wer3">{#N/A,#N/A,FALSE,"Plan1";#N/A,#N/A,FALSE,"Plan2"}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0" hidden="1">#REF!</definedName>
    <definedName name="_x10">#REF!</definedName>
    <definedName name="_x11" localSheetId="0" hidden="1">#REF!</definedName>
    <definedName name="_x11">#REF!</definedName>
    <definedName name="_x12" localSheetId="0" hidden="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_xlcn.WorksheetConnection_2018_03ResumoRGOObrasRJ.xlsbTabela1">#REF!</definedName>
    <definedName name="_xlcn.WorksheetConnection_ProjetocontrolefisicoefinanceiroRJ.xlsxTabela31">#REF!</definedName>
    <definedName name="´cAE°eE¹" hidden="1">#REF!</definedName>
    <definedName name="￠￥cAE¡ÆeEⓒo" hidden="1">#REF!</definedName>
    <definedName name="a">#REF!</definedName>
    <definedName name="a\sgt" localSheetId="0" hidden="1">{#N/A,#N/A,FALSE,"Plan1";#N/A,#N/A,FALSE,"Plan2"}</definedName>
    <definedName name="a\sgt" hidden="1">{#N/A,#N/A,FALSE,"Plan1";#N/A,#N/A,FALSE,"Plan2"}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0">#REF!</definedName>
    <definedName name="aaaadc">#REF!</definedName>
    <definedName name="aaacccc" localSheetId="0">{#N/A,#N/A,FALSE,"Plan1";#N/A,#N/A,FALSE,"Plan2"}</definedName>
    <definedName name="aaacccc">{#N/A,#N/A,FALSE,"Plan1";#N/A,#N/A,FALSE,"Plan2"}</definedName>
    <definedName name="aaas" localSheetId="0">#REF!</definedName>
    <definedName name="aaas">#REF!</definedName>
    <definedName name="AB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0">#REF!</definedName>
    <definedName name="Abat_ISS">#REF!</definedName>
    <definedName name="ab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0" hidden="1">#REF!</definedName>
    <definedName name="ABCD">#REF!</definedName>
    <definedName name="abebqt" localSheetId="0">#REF!</definedName>
    <definedName name="abebqt">#REF!</definedName>
    <definedName name="abr17RJ" localSheetId="0">#REF!</definedName>
    <definedName name="abr17RJ">#REF!</definedName>
    <definedName name="ABRIL">#REF!</definedName>
    <definedName name="ABRIL2001">#REF!</definedName>
    <definedName name="ac">#REF!</definedName>
    <definedName name="Acabam.">#REF!</definedName>
    <definedName name="ACADUC">#REF!</definedName>
    <definedName name="ACBEB">#REF!</definedName>
    <definedName name="ACBOMB">#REF!</definedName>
    <definedName name="AccessDatabase">"C:\posec\DATABASE\vlv_list\vlvlist1.mdb"</definedName>
    <definedName name="ACCHAF" localSheetId="0">#REF!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 localSheetId="0" hidden="1">#REF!</definedName>
    <definedName name="acdb">#REF!</definedName>
    <definedName name="ACDER" localSheetId="0">#REF!</definedName>
    <definedName name="ACDER">#REF!</definedName>
    <definedName name="ACDIV" localSheetId="0">#REF!</definedName>
    <definedName name="ACDIV">#REF!</definedName>
    <definedName name="ACDS">#REF!</definedName>
    <definedName name="ACEQP">#REF!</definedName>
    <definedName name="ACHAFQT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CMUR">#REF!</definedName>
    <definedName name="açoeeer" localSheetId="0">{#N/A,#N/A,FALSE,"Plan1";#N/A,#N/A,FALSE,"Plan2"}</definedName>
    <definedName name="açoeeer">{#N/A,#N/A,FALSE,"Plan1";#N/A,#N/A,FALSE,"Plan2"}</definedName>
    <definedName name="ACOMP" localSheetId="0">#REF!</definedName>
    <definedName name="ACOMP">#REF!</definedName>
    <definedName name="ACONT2" localSheetId="0">#REF!</definedName>
    <definedName name="ACONT2">#REF!</definedName>
    <definedName name="ACPIPA" localSheetId="0">#REF!</definedName>
    <definedName name="ACPIPA">#REF!</definedName>
    <definedName name="ACTRANSP">#REF!</definedName>
    <definedName name="ACwvu.Características.">#REF!</definedName>
    <definedName name="ACwvu.Ciclos.">#REF!</definedName>
    <definedName name="ACwvu.Custos.">#REF!</definedName>
    <definedName name="ACwvu.PLANILHA2.">#REF!</definedName>
    <definedName name="ACwvu.Recursos.">#REF!</definedName>
    <definedName name="ad" localSheetId="0">{#N/A,#N/A,FALSE,"Plan1";#N/A,#N/A,FALSE,"Plan2"}</definedName>
    <definedName name="ad">{#N/A,#N/A,FALSE,"Plan1";#N/A,#N/A,FALSE,"Plan2"}</definedName>
    <definedName name="adads" localSheetId="0">{#N/A,#N/A,FALSE,"Plan1";#N/A,#N/A,FALSE,"Plan2"}</definedName>
    <definedName name="adads">{#N/A,#N/A,FALSE,"Plan1";#N/A,#N/A,FALSE,"Plan2"}</definedName>
    <definedName name="adads2" localSheetId="0">{#N/A,#N/A,FALSE,"Plan1";#N/A,#N/A,FALSE,"Plan2"}</definedName>
    <definedName name="adads2">{#N/A,#N/A,FALSE,"Plan1";#N/A,#N/A,FALSE,"Plan2"}</definedName>
    <definedName name="adced" localSheetId="0">{#N/A,#N/A,FALSE,"Plan1";#N/A,#N/A,FALSE,"Plan2"}</definedName>
    <definedName name="adced">{#N/A,#N/A,FALSE,"Plan1";#N/A,#N/A,FALSE,"Plan2"}</definedName>
    <definedName name="adced2" localSheetId="0">{#N/A,#N/A,FALSE,"Plan1";#N/A,#N/A,FALSE,"Plan2"}</definedName>
    <definedName name="adced2">{#N/A,#N/A,FALSE,"Plan1";#N/A,#N/A,FALSE,"Plan2"}</definedName>
    <definedName name="ader" localSheetId="0">{#N/A,#N/A,FALSE,"Plan1";#N/A,#N/A,FALSE,"Plan2"}</definedName>
    <definedName name="ader">{#N/A,#N/A,FALSE,"Plan1";#N/A,#N/A,FALSE,"Plan2"}</definedName>
    <definedName name="ader2" localSheetId="0">{#N/A,#N/A,FALSE,"Plan1";#N/A,#N/A,FALSE,"Plan2"}</definedName>
    <definedName name="ader2">{#N/A,#N/A,FALSE,"Plan1";#N/A,#N/A,FALSE,"Plan2"}</definedName>
    <definedName name="adesr" localSheetId="0">{#N/A,#N/A,FALSE,"Plan1";#N/A,#N/A,FALSE,"Plan2"}</definedName>
    <definedName name="adesr">{#N/A,#N/A,FALSE,"Plan1";#N/A,#N/A,FALSE,"Plan2"}</definedName>
    <definedName name="adew">"3ORZTPXRHBU97C8AJ5UM8CAVA"</definedName>
    <definedName name="adewr" localSheetId="0">{#N/A,#N/A,FALSE,"Plan1";#N/A,#N/A,FALSE,"Plan2"}</definedName>
    <definedName name="adewr">{#N/A,#N/A,FALSE,"Plan1";#N/A,#N/A,FALSE,"Plan2"}</definedName>
    <definedName name="adf" localSheetId="0">{#N/A,#N/A,FALSE,"Plan1";#N/A,#N/A,FALSE,"Plan2"}</definedName>
    <definedName name="adf">{#N/A,#N/A,FALSE,"Plan1";#N/A,#N/A,FALSE,"Plan2"}</definedName>
    <definedName name="ADITIVO_BRUTO" localSheetId="0">#REF!</definedName>
    <definedName name="ADITIVO_BRUTO">#REF!</definedName>
    <definedName name="ADITIVO_LIQUIDO" localSheetId="0">#REF!</definedName>
    <definedName name="ADITIVO_LIQUIDO">#REF!</definedName>
    <definedName name="ADM.EXTERNA" localSheetId="0">#REF!</definedName>
    <definedName name="ADM.EXTERNA">#REF!</definedName>
    <definedName name="adsfr" localSheetId="0">{#N/A,#N/A,FALSE,"Plan1";#N/A,#N/A,FALSE,"Plan2"}</definedName>
    <definedName name="adsfr">{#N/A,#N/A,FALSE,"Plan1";#N/A,#N/A,FALSE,"Plan2"}</definedName>
    <definedName name="adssrgtg" localSheetId="0">{#N/A,#N/A,FALSE,"Plan1";#N/A,#N/A,FALSE,"Plan2"}</definedName>
    <definedName name="adssrgtg">{#N/A,#N/A,FALSE,"Plan1";#N/A,#N/A,FALSE,"Plan2"}</definedName>
    <definedName name="adtsetrr6t" localSheetId="0">{#N/A,#N/A,FALSE,"Plan1";#N/A,#N/A,FALSE,"Plan2"}</definedName>
    <definedName name="adtsetrr6t">{#N/A,#N/A,FALSE,"Plan1";#N/A,#N/A,FALSE,"Plan2"}</definedName>
    <definedName name="ADUCQT" localSheetId="0">#REF!</definedName>
    <definedName name="ADUCQT">#REF!</definedName>
    <definedName name="adwr" localSheetId="0">{#N/A,#N/A,FALSE,"Plan1";#N/A,#N/A,FALSE,"Plan2"}</definedName>
    <definedName name="adwr">{#N/A,#N/A,FALSE,"Plan1";#N/A,#N/A,FALSE,"Plan2"}</definedName>
    <definedName name="aeiresft" localSheetId="0">{#N/A,#N/A,FALSE,"Plan1";#N/A,#N/A,FALSE,"Plan2"}</definedName>
    <definedName name="aeiresft">{#N/A,#N/A,FALSE,"Plan1";#N/A,#N/A,FALSE,"Plan2"}</definedName>
    <definedName name="aEL3QE" localSheetId="0">{#N/A,#N/A,FALSE,"Plan1";#N/A,#N/A,FALSE,"Plan2"}</definedName>
    <definedName name="aEL3QE">{#N/A,#N/A,FALSE,"Plan1";#N/A,#N/A,FALSE,"Plan2"}</definedName>
    <definedName name="afeasfre" localSheetId="0">{#N/A,#N/A,FALSE,"Plan1";#N/A,#N/A,FALSE,"Plan2"}</definedName>
    <definedName name="afeasfre">{#N/A,#N/A,FALSE,"Plan1";#N/A,#N/A,FALSE,"Plan2"}</definedName>
    <definedName name="agdsf" localSheetId="0" hidden="1">#REF!</definedName>
    <definedName name="agdsf">#REF!</definedName>
    <definedName name="ago17RJ" localSheetId="0">#REF!</definedName>
    <definedName name="ago17RJ">#REF!</definedName>
    <definedName name="AGOSTO" localSheetId="0">#REF!</definedName>
    <definedName name="AGOSTO">#REF!</definedName>
    <definedName name="agu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0">{#N/A,#N/A,FALSE,"CCTV"}</definedName>
    <definedName name="AH">{#N/A,#N/A,FALSE,"CCTV"}</definedName>
    <definedName name="AITEM" localSheetId="0">#REF!</definedName>
    <definedName name="AITEM">#REF!</definedName>
    <definedName name="Ajudante_Geral" localSheetId="0">#REF!</definedName>
    <definedName name="Ajudante_Geral">#REF!</definedName>
    <definedName name="ajudante_mes" localSheetId="0">#REF!</definedName>
    <definedName name="ajudante_mes">#REF!</definedName>
    <definedName name="AL">#REF!</definedName>
    <definedName name="ALTADUC">#REF!</definedName>
    <definedName name="ALTBOMB">#REF!</definedName>
    <definedName name="ALTCAP">#REF!</definedName>
    <definedName name="ALTDER">#REF!</definedName>
    <definedName name="ALTEQUIP">#REF!</definedName>
    <definedName name="ALTIEQP">#REF!</definedName>
    <definedName name="ALTMUR">#REF!</definedName>
    <definedName name="ALTRES10">#REF!</definedName>
    <definedName name="ALTRES15">#REF!</definedName>
    <definedName name="ALTRES20">#REF!</definedName>
    <definedName name="ALTTRANS">#REF!</definedName>
    <definedName name="ALUMÍNIO_2">#REF!</definedName>
    <definedName name="angelo">#REF!</definedName>
    <definedName name="anscount" localSheetId="0">1</definedName>
    <definedName name="anscount">3</definedName>
    <definedName name="AQE" localSheetId="0">{"'장비'!$A$3:$M$12"}</definedName>
    <definedName name="AQE">{"'장비'!$A$3:$M$12"}</definedName>
    <definedName name="AQTEMP1">#REF!</definedName>
    <definedName name="AQTEMP2">#REF!</definedName>
    <definedName name="ArComprimido" localSheetId="0">{"'Estimativa de Lançamento-JAN'!$A$1:$AI$85"}</definedName>
    <definedName name="ArComprimido">{"'Estimativa de Lançamento-JAN'!$A$1:$AI$85"}</definedName>
    <definedName name="area" localSheetId="0">#REF!</definedName>
    <definedName name="area">{#N/A,#N/A,FALSE,"Plan1";#N/A,#N/A,FALSE,"Plan2"}</definedName>
    <definedName name="área" localSheetId="0">#REF!</definedName>
    <definedName name="área">#REF!</definedName>
    <definedName name="Área_Construída" localSheetId="0">#REF!</definedName>
    <definedName name="Área_Construída">#REF!</definedName>
    <definedName name="_xlnm.Print_Area" localSheetId="0">#REF!</definedName>
    <definedName name="_xlnm.Print_Area">#REF!</definedName>
    <definedName name="Área_impressão_IM">#REF!</definedName>
    <definedName name="Área_Privativa">#REF!</definedName>
    <definedName name="Área_Terreno">#REF!</definedName>
    <definedName name="area1">#REF!</definedName>
    <definedName name="Areaimpresso">#REF!</definedName>
    <definedName name="ARM">#REF!</definedName>
    <definedName name="ARMABLOCOS">#REF!</definedName>
    <definedName name="ARMAÇÃO">#REF!</definedName>
    <definedName name="ARQ">#REF!</definedName>
    <definedName name="ARQERR">#REF!</definedName>
    <definedName name="ARQPLAN">#REF!</definedName>
    <definedName name="ARQT">#REF!</definedName>
    <definedName name="ARQTEMP">#REF!</definedName>
    <definedName name="ARQTXT">#REF!</definedName>
    <definedName name="ARTEMP">#REF!</definedName>
    <definedName name="AS">#REF!</definedName>
    <definedName name="AS2DocOpenMode">"AS2DocumentBrowse"</definedName>
    <definedName name="asawe3" localSheetId="0">{#N/A,#N/A,FALSE,"Plan1";#N/A,#N/A,FALSE,"Plan2"}</definedName>
    <definedName name="asawe3">{#N/A,#N/A,FALSE,"Plan1";#N/A,#N/A,FALSE,"Plan2"}</definedName>
    <definedName name="as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>17</definedName>
    <definedName name="ASDA" localSheetId="0">{#N/A,#N/A,FALSE,"Plan1";#N/A,#N/A,FALSE,"Plan2"}</definedName>
    <definedName name="ASDA">{#N/A,#N/A,FALSE,"Plan1";#N/A,#N/A,FALSE,"Plan2"}</definedName>
    <definedName name="asdade" localSheetId="0">{#N/A,#N/A,FALSE,"Plan1";#N/A,#N/A,FALSE,"Plan2"}</definedName>
    <definedName name="asdade">{#N/A,#N/A,FALSE,"Plan1";#N/A,#N/A,FALSE,"Plan2"}</definedName>
    <definedName name="asdas" localSheetId="0">{#N/A,#N/A,FALSE,"Plan1";#N/A,#N/A,FALSE,"Plan2"}</definedName>
    <definedName name="asdas">{#N/A,#N/A,FALSE,"Plan1";#N/A,#N/A,FALSE,"Plan2"}</definedName>
    <definedName name="asdawed" localSheetId="0">{#N/A,#N/A,FALSE,"Plan1";#N/A,#N/A,FALSE,"Plan2"}</definedName>
    <definedName name="asdawed">{#N/A,#N/A,FALSE,"Plan1";#N/A,#N/A,FALSE,"Plan2"}</definedName>
    <definedName name="ASDER" localSheetId="0">{#N/A,#N/A,FALSE,"Plan1";#N/A,#N/A,FALSE,"Plan2"}</definedName>
    <definedName name="ASDER">{#N/A,#N/A,FALSE,"Plan1";#N/A,#N/A,FALSE,"Plan2"}</definedName>
    <definedName name="asderr" localSheetId="0">{#N/A,#N/A,FALSE,"Plan1";#N/A,#N/A,FALSE,"Plan2"}</definedName>
    <definedName name="asderr">{#N/A,#N/A,FALSE,"Plan1";#N/A,#N/A,FALSE,"Plan2"}</definedName>
    <definedName name="asdesre" localSheetId="0">{#N/A,#N/A,FALSE,"Plan1";#N/A,#N/A,FALSE,"Plan2"}</definedName>
    <definedName name="asdesre">{#N/A,#N/A,FALSE,"Plan1";#N/A,#N/A,FALSE,"Plan2"}</definedName>
    <definedName name="asdewr" localSheetId="0">{#N/A,#N/A,FALSE,"Plan1";#N/A,#N/A,FALSE,"Plan2"}</definedName>
    <definedName name="asdewr">{#N/A,#N/A,FALSE,"Plan1";#N/A,#N/A,FALSE,"Plan2"}</definedName>
    <definedName name="ASDFASDF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0">{#N/A,#N/A,FALSE,"Plan1";#N/A,#N/A,FALSE,"Plan2"}</definedName>
    <definedName name="asdfs">{#N/A,#N/A,FALSE,"Plan1";#N/A,#N/A,FALSE,"Plan2"}</definedName>
    <definedName name="asdg" localSheetId="0">{#N/A,#N/A,FALSE,"Plan1";#N/A,#N/A,FALSE,"Plan2"}</definedName>
    <definedName name="asdg">{#N/A,#N/A,FALSE,"Plan1";#N/A,#N/A,FALSE,"Plan2"}</definedName>
    <definedName name="asdjksej" localSheetId="0" hidden="1">#REF!</definedName>
    <definedName name="asdjksej">#REF!</definedName>
    <definedName name="as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0">{#N/A,#N/A,FALSE,"Plan1";#N/A,#N/A,FALSE,"Plan2"}</definedName>
    <definedName name="asdlas">{#N/A,#N/A,FALSE,"Plan1";#N/A,#N/A,FALSE,"Plan2"}</definedName>
    <definedName name="asdqwe" localSheetId="0">{#N/A,#N/A,FALSE,"Plan1";#N/A,#N/A,FALSE,"Plan2"}</definedName>
    <definedName name="asdqwe">{#N/A,#N/A,FALSE,"Plan1";#N/A,#N/A,FALSE,"Plan2"}</definedName>
    <definedName name="asdsa" localSheetId="0">{#N/A,#N/A,FALSE,"Plan1";#N/A,#N/A,FALSE,"Plan2"}</definedName>
    <definedName name="asdsa">{#N/A,#N/A,FALSE,"Plan1";#N/A,#N/A,FALSE,"Plan2"}</definedName>
    <definedName name="asdser" localSheetId="0">{#N/A,#N/A,FALSE,"Plan1";#N/A,#N/A,FALSE,"Plan2"}</definedName>
    <definedName name="asdser">{#N/A,#N/A,FALSE,"Plan1";#N/A,#N/A,FALSE,"Plan2"}</definedName>
    <definedName name="asdwef" localSheetId="0">{#N/A,#N/A,FALSE,"Plan1";#N/A,#N/A,FALSE,"Plan2"}</definedName>
    <definedName name="asdwef">{#N/A,#N/A,FALSE,"Plan1";#N/A,#N/A,FALSE,"Plan2"}</definedName>
    <definedName name="aseiuw" localSheetId="0" hidden="1">#REF!</definedName>
    <definedName name="aseiuw">#REF!</definedName>
    <definedName name="ASET" localSheetId="0">{#N/A,#N/A,FALSE,"Plan1";#N/A,#N/A,FALSE,"Plan2"}</definedName>
    <definedName name="ASET">{#N/A,#N/A,FALSE,"Plan1";#N/A,#N/A,FALSE,"Plan2"}</definedName>
    <definedName name="asfDSF" localSheetId="0">{#N/A,#N/A,FALSE,"Plan1";#N/A,#N/A,FALSE,"Plan2"}</definedName>
    <definedName name="asfDSF">{#N/A,#N/A,FALSE,"Plan1";#N/A,#N/A,FALSE,"Plan2"}</definedName>
    <definedName name="ASFERTE" localSheetId="0">{#N/A,#N/A,FALSE,"Plan1";#N/A,#N/A,FALSE,"Plan2"}</definedName>
    <definedName name="ASFERTE">{#N/A,#N/A,FALSE,"Plan1";#N/A,#N/A,FALSE,"Plan2"}</definedName>
    <definedName name="asfl" localSheetId="0">{#N/A,#N/A,FALSE,"Plan1";#N/A,#N/A,FALSE,"Plan2"}</definedName>
    <definedName name="asfl">{#N/A,#N/A,FALSE,"Plan1";#N/A,#N/A,FALSE,"Plan2"}</definedName>
    <definedName name="asfsz" localSheetId="0">{#N/A,#N/A,FALSE,"Plan1";#N/A,#N/A,FALSE,"Plan2"}</definedName>
    <definedName name="asfsz">{#N/A,#N/A,FALSE,"Plan1";#N/A,#N/A,FALSE,"Plan2"}</definedName>
    <definedName name="askserf" localSheetId="0">{#N/A,#N/A,FALSE,"Plan1";#N/A,#N/A,FALSE,"Plan2"}</definedName>
    <definedName name="askserf">{#N/A,#N/A,FALSE,"Plan1";#N/A,#N/A,FALSE,"Plan2"}</definedName>
    <definedName name="ASSFSDF" localSheetId="0">{#N/A,#N/A,FALSE,"Plan1";#N/A,#N/A,FALSE,"Plan2"}</definedName>
    <definedName name="ASSFSDF">{#N/A,#N/A,FALSE,"Plan1";#N/A,#N/A,FALSE,"Plan2"}</definedName>
    <definedName name="asw" localSheetId="0">{#N/A,#N/A,FALSE,"Plan1";#N/A,#N/A,FALSE,"Plan2"}</definedName>
    <definedName name="asw">{#N/A,#N/A,FALSE,"Plan1";#N/A,#N/A,FALSE,"Plan2"}</definedName>
    <definedName name="Até_Chaves" localSheetId="0">#REF!</definedName>
    <definedName name="Até_Chaves">#REF!</definedName>
    <definedName name="ATIVOS" localSheetId="0">{#N/A,#N/A,FALSE,"F-01"}</definedName>
    <definedName name="ATIVOS">{#N/A,#N/A,FALSE,"F-01"}</definedName>
    <definedName name="Ato" localSheetId="0">#REF!</definedName>
    <definedName name="Ato">#REF!</definedName>
    <definedName name="ATUAL" localSheetId="0">#REF!</definedName>
    <definedName name="ATUAL">#REF!</definedName>
    <definedName name="aux" localSheetId="0">#REF!</definedName>
    <definedName name="aux">#REF!</definedName>
    <definedName name="AUXILIO">#REF!</definedName>
    <definedName name="avulsos">#REF!</definedName>
    <definedName name="awdjw" localSheetId="0">{#N/A,#N/A,FALSE,"Plan1";#N/A,#N/A,FALSE,"Plan2"}</definedName>
    <definedName name="awdjw">{#N/A,#N/A,FALSE,"Plan1";#N/A,#N/A,FALSE,"Plan2"}</definedName>
    <definedName name="aweqw4" localSheetId="0">{#N/A,#N/A,FALSE,"Plan1";#N/A,#N/A,FALSE,"Plan2"}</definedName>
    <definedName name="aweqw4">{#N/A,#N/A,FALSE,"Plan1";#N/A,#N/A,FALSE,"Plan2"}</definedName>
    <definedName name="awssdwaer" localSheetId="0">{#N/A,#N/A,FALSE,"Plan1";#N/A,#N/A,FALSE,"Plan2"}</definedName>
    <definedName name="awssdwaer">{#N/A,#N/A,FALSE,"Plan1";#N/A,#N/A,FALSE,"Plan2"}</definedName>
    <definedName name="AZ" localSheetId="0" hidden="1">#REF!</definedName>
    <definedName name="AZ">#REF!</definedName>
    <definedName name="b" localSheetId="0">{#N/A,#N/A,FALSE,"Plan1";#N/A,#N/A,FALSE,"Plan2"}</definedName>
    <definedName name="B">#REF!</definedName>
    <definedName name="BA" localSheetId="0">#REF!</definedName>
    <definedName name="BA">#REF!</definedName>
    <definedName name="balão1">"AutoForma 17"</definedName>
    <definedName name="BANCO" localSheetId="0">#REF!</definedName>
    <definedName name="BANCO">#REF!</definedName>
    <definedName name="Banco_dados_IM" localSheetId="0">#REF!</definedName>
    <definedName name="Banco_dados_IM">#REF!</definedName>
    <definedName name="_xlnm.Database" localSheetId="0">#REF!</definedName>
    <definedName name="_xlnm.Database">#REF!</definedName>
    <definedName name="BANCO1">#REF!</definedName>
    <definedName name="BANCO2">#REF!</definedName>
    <definedName name="BANCO3">#REF!</definedName>
    <definedName name="BANCO4">#REF!</definedName>
    <definedName name="BASE" localSheetId="0">OFFSET(#REF!,0,0,COUNTA(#REF!)+1,5)</definedName>
    <definedName name="BASE">OFFSET(#REF!,0,0,COUNTA(#REF!)+1,5)</definedName>
    <definedName name="BASE_DE_DADOS_FLUXO_DE_CAIXA">OFFSET(#REF!,0,0,COUNTA(#REF!),COUNTA(#REF!))</definedName>
    <definedName name="BASE_FL_CX_3S">OFFSET(#REF!,0,0,COUNTA(#REF!),COUNTA(#REF!))</definedName>
    <definedName name="BASE_FLUXO_CAIXA_2017">OFFSET(#REF!,0,0,COUNTA(#REF!),COUNTA(#REF!))</definedName>
    <definedName name="bb" localSheetId="0">#REF!</definedName>
    <definedName name="bb">#REF!</definedName>
    <definedName name="bbb" localSheetId="0">#REF!</definedName>
    <definedName name="bbb">#REF!</definedName>
    <definedName name="bbbbbbbbbbbbbbb" localSheetId="0">{"'Edit'!$A$1:$V$2277"}</definedName>
    <definedName name="bbbbbbbbbbbbbbb">{"'Edit'!$A$1:$V$2277"}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">#REF!</definedName>
    <definedName name="BDA">#REF!</definedName>
    <definedName name="bdfjghf" localSheetId="0">{#N/A,#N/A,FALSE,"Plan1";#N/A,#N/A,FALSE,"Plan2"}</definedName>
    <definedName name="bdfjghf">{#N/A,#N/A,FALSE,"Plan1";#N/A,#N/A,FALSE,"Plan2"}</definedName>
    <definedName name="BDI" localSheetId="0">#REF!</definedName>
    <definedName name="BDI">#REF!</definedName>
    <definedName name="bdzbfbdr" localSheetId="0">{#N/A,#N/A,FALSE,"Plan1";#N/A,#N/A,FALSE,"Plan2"}</definedName>
    <definedName name="bdzbfbdr">{#N/A,#N/A,FALSE,"Plan1";#N/A,#N/A,FALSE,"Plan2"}</definedName>
    <definedName name="be" localSheetId="0">#REF!</definedName>
    <definedName name="be">#REF!</definedName>
    <definedName name="bebqt" localSheetId="0">#REF!</definedName>
    <definedName name="bebqt">#REF!</definedName>
    <definedName name="bela_cdi" localSheetId="0">#REF!</definedName>
    <definedName name="bela_cdi">#REF!</definedName>
    <definedName name="bela_hist">#REF!</definedName>
    <definedName name="bela_uss">#REF!</definedName>
    <definedName name="bg">#REF!</definedName>
    <definedName name="BGG" localSheetId="0">{#N/A,#N/A,FALSE,"Plan1";#N/A,#N/A,FALSE,"Plan2"}</definedName>
    <definedName name="BGG">{#N/A,#N/A,FALSE,"Plan1";#N/A,#N/A,FALSE,"Plan2"}</definedName>
    <definedName name="bhjgfhfh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0">{#N/A,#N/A,FALSE,"Plan1";#N/A,#N/A,FALSE,"Plan2"}</definedName>
    <definedName name="BJSDKHFE">{#N/A,#N/A,FALSE,"Plan1";#N/A,#N/A,FALSE,"Plan2"}</definedName>
    <definedName name="bloco" localSheetId="0">#REF!</definedName>
    <definedName name="bloco">#REF!</definedName>
    <definedName name="BLPH1" localSheetId="0" hidden="1">#REF!</definedName>
    <definedName name="BLPH1">#REF!</definedName>
    <definedName name="BLPH100" localSheetId="0" hidden="1">#REF!</definedName>
    <definedName name="BLPH100">#REF!</definedName>
    <definedName name="BLPH101">#REF!</definedName>
    <definedName name="BLPH102">#REF!</definedName>
    <definedName name="BLPH103">#REF!</definedName>
    <definedName name="BLPH104">#REF!</definedName>
    <definedName name="BLPH107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>#REF!</definedName>
    <definedName name="BLPH97">#REF!</definedName>
    <definedName name="BLPH98">#REF!</definedName>
    <definedName name="BLPH99">#REF!</definedName>
    <definedName name="bmdgghrtfde" localSheetId="0">{#N/A,#N/A,FALSE,"Plan1";#N/A,#N/A,FALSE,"Plan2"}</definedName>
    <definedName name="bmdgghrtfde">{#N/A,#N/A,FALSE,"Plan1";#N/A,#N/A,FALSE,"Plan2"}</definedName>
    <definedName name="bnkjhjhdfxgt" localSheetId="0">{#N/A,#N/A,FALSE,"Plan1";#N/A,#N/A,FALSE,"Plan2"}</definedName>
    <definedName name="bnkjhjhdfxgt">{#N/A,#N/A,FALSE,"Plan1";#N/A,#N/A,FALSE,"Plan2"}</definedName>
    <definedName name="BORBA2" localSheetId="0">#REF!</definedName>
    <definedName name="BORBA2">#REF!</definedName>
    <definedName name="BORDA1" localSheetId="0">#REF!</definedName>
    <definedName name="BORDA1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V">#REF!</definedName>
    <definedName name="bxnzfmkzxbhdf" localSheetId="0">{#N/A,#N/A,FALSE,"Plan1";#N/A,#N/A,FALSE,"Plan2"}</definedName>
    <definedName name="bxnzfmkzxbhdf">{#N/A,#N/A,FALSE,"Plan1";#N/A,#N/A,FALSE,"Plan2"}</definedName>
    <definedName name="ca" localSheetId="0">#REF!</definedName>
    <definedName name="ca">#REF!</definedName>
    <definedName name="CAB" localSheetId="0">#REF!</definedName>
    <definedName name="CAB">#REF!</definedName>
    <definedName name="CAFS">"Carlos Antonio Fernandes da Silva"</definedName>
    <definedName name="CAGR" localSheetId="0">#REF!</definedName>
    <definedName name="CAGR">#REF!</definedName>
    <definedName name="caixa" localSheetId="0">#REF!</definedName>
    <definedName name="caixa">#REF!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0">#REF!</definedName>
    <definedName name="Cambio">#REF!</definedName>
    <definedName name="CAMP" localSheetId="0">#REF!</definedName>
    <definedName name="CAMP">#REF!</definedName>
    <definedName name="CAMPOS" localSheetId="0">#REF!</definedName>
    <definedName name="CAMPOS">#REF!</definedName>
    <definedName name="çaos\ewapo" localSheetId="0" hidden="1">{#N/A,#N/A,FALSE,"Plan1";#N/A,#N/A,FALSE,"Plan2"}</definedName>
    <definedName name="çaos\ewapo" hidden="1">{#N/A,#N/A,FALSE,"Plan1";#N/A,#N/A,FALSE,"Plan2"}</definedName>
    <definedName name="Capa" localSheetId="0">#REF!</definedName>
    <definedName name="Capa">#REF!</definedName>
    <definedName name="CAPA2" localSheetId="0">#REF!</definedName>
    <definedName name="CAPA2">#REF!</definedName>
    <definedName name="CAPA55" localSheetId="0">#REF!</definedName>
    <definedName name="CAPA55">#REF!</definedName>
    <definedName name="CAPA55A">#REF!</definedName>
    <definedName name="CAPELA">#REF!</definedName>
    <definedName name="CARLA">#REF!</definedName>
    <definedName name="CARLOS1">#REF!</definedName>
    <definedName name="CARTÃO4">#REF!</definedName>
    <definedName name="CAT6_IP" localSheetId="0">{#N/A,#N/A,FALSE,"F-01"}</definedName>
    <definedName name="CAT6_IP">{#N/A,#N/A,FALSE,"F-01"}</definedName>
    <definedName name="categori45" localSheetId="0">#REF!</definedName>
    <definedName name="categori45">#REF!</definedName>
    <definedName name="CATEGORIA1" localSheetId="0">#REF!</definedName>
    <definedName name="CATEGORIA1">#REF!</definedName>
    <definedName name="CATEGORIA10" localSheetId="0">#REF!</definedName>
    <definedName name="CATEGORIA10">#REF!</definedName>
    <definedName name="CATEGORIA11">#REF!</definedName>
    <definedName name="CATEGORIA12">#REF!</definedName>
    <definedName name="CATEGORIA13">#REF!</definedName>
    <definedName name="CATEGORIA14">#REF!</definedName>
    <definedName name="CATEGORIA15">#REF!</definedName>
    <definedName name="CATEGORIA16">#REF!</definedName>
    <definedName name="CATEGORIA17">#REF!</definedName>
    <definedName name="CATEGORIA18">#REF!</definedName>
    <definedName name="CATEGORIA19">#REF!</definedName>
    <definedName name="CATEGORIA2">#REF!</definedName>
    <definedName name="CATEGORIA20">#REF!</definedName>
    <definedName name="CATEGORIA21">#REF!</definedName>
    <definedName name="CATEGORIA22">#REF!</definedName>
    <definedName name="CATEGORIA3">#REF!</definedName>
    <definedName name="CATEGORIA4">#REF!</definedName>
    <definedName name="CATEGORIA5">#REF!</definedName>
    <definedName name="CATEGORIA6">#REF!</definedName>
    <definedName name="CATEGORIA7">#REF!</definedName>
    <definedName name="CATEGORIA8">#REF!</definedName>
    <definedName name="CATEGORIA9">#REF!</definedName>
    <definedName name="CATORZE">#REF!</definedName>
    <definedName name="CAUX2" localSheetId="0">OFFSET(#REF!,0,0,COUNTA(#REF!)+1,1)</definedName>
    <definedName name="CAUX2">OFFSET(#REF!,0,0,COUNTA(#REF!)+1,1)</definedName>
    <definedName name="CAUX3">OFFSET(#REF!,0,0,COUNTA(#REF!)+1,1)</definedName>
    <definedName name="CCC" localSheetId="0">#REF!</definedName>
    <definedName name="CCC">#REF!</definedName>
    <definedName name="ççç" localSheetId="0">{#N/A,#N/A,FALSE,"Plan1";#N/A,#N/A,FALSE,"Plan2"}</definedName>
    <definedName name="ççç">{#N/A,#N/A,FALSE,"Plan1";#N/A,#N/A,FALSE,"Plan2"}</definedName>
    <definedName name="cccc" localSheetId="0">{#N/A,#N/A,FALSE,"Plan1";#N/A,#N/A,FALSE,"Plan2"}</definedName>
    <definedName name="cccc">{#N/A,#N/A,FALSE,"Plan1";#N/A,#N/A,FALSE,"Plan2"}</definedName>
    <definedName name="ççççççç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0">{"HW",#N/A,FALSE,"1998"}</definedName>
    <definedName name="cccccccccccccccc">{"HW",#N/A,FALSE,"1998"}</definedName>
    <definedName name="cchart1" localSheetId="0" hidden="1">#REF!</definedName>
    <definedName name="cchart1">#REF!</definedName>
    <definedName name="cchart10" localSheetId="0" hidden="1">#REF!</definedName>
    <definedName name="cchart10">#REF!</definedName>
    <definedName name="cchart11" localSheetId="0" hidden="1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0">#REF!</definedName>
    <definedName name="CD">#REF!</definedName>
    <definedName name="çdfmerf" localSheetId="0">{#N/A,#N/A,FALSE,"Plan1";#N/A,#N/A,FALSE,"Plan2"}</definedName>
    <definedName name="çdfmerf">{#N/A,#N/A,FALSE,"Plan1";#N/A,#N/A,FALSE,"Plan2"}</definedName>
    <definedName name="CDSGHE" localSheetId="0">{#N/A,#N/A,FALSE,"Plan1";#N/A,#N/A,FALSE,"Plan2"}</definedName>
    <definedName name="CDSGHE">{#N/A,#N/A,FALSE,"Plan1";#N/A,#N/A,FALSE,"Plan2"}</definedName>
    <definedName name="cdvthd" localSheetId="0">#REF!</definedName>
    <definedName name="cdvthd">#REF!</definedName>
    <definedName name="Cel_Constr" localSheetId="0">#REF!</definedName>
    <definedName name="Cel_Constr">#REF!</definedName>
    <definedName name="CestaExcel" localSheetId="0">#REF!</definedName>
    <definedName name="CestaExcel">#REF!</definedName>
    <definedName name="CevaG">#REF!</definedName>
    <definedName name="CevaGS">#REF!</definedName>
    <definedName name="çfhjglkjhkljy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0">{#N/A,#N/A,FALSE,"Plan1";#N/A,#N/A,FALSE,"Plan2"}</definedName>
    <definedName name="çflçf">{#N/A,#N/A,FALSE,"Plan1";#N/A,#N/A,FALSE,"Plan2"}</definedName>
    <definedName name="CHAFQT" localSheetId="0">#REF!</definedName>
    <definedName name="CHAFQT">#REF!</definedName>
    <definedName name="Chaves" localSheetId="0">#REF!</definedName>
    <definedName name="Chaves">#REF!</definedName>
    <definedName name="chfch" localSheetId="0">{#N/A,#N/A,FALSE,"Plan1";#N/A,#N/A,FALSE,"Plan2"}</definedName>
    <definedName name="chfch">{#N/A,#N/A,FALSE,"Plan1";#N/A,#N/A,FALSE,"Plan2"}</definedName>
    <definedName name="CI" localSheetId="0">#REF!</definedName>
    <definedName name="CI">#REF!</definedName>
    <definedName name="cidades" localSheetId="0">#REF!</definedName>
    <definedName name="cidades">#REF!</definedName>
    <definedName name="CIFIXA" localSheetId="0">#REF!</definedName>
    <definedName name="CIFIXA">#REF!</definedName>
    <definedName name="CINCO">#REF!</definedName>
    <definedName name="CITOTAL">#REF!</definedName>
    <definedName name="CIVAR">#REF!</definedName>
    <definedName name="ÇJKRÇLFS" localSheetId="0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name="ÇJsrejtçe" localSheetId="0">{#N/A,#N/A,FALSE,"Plan1";#N/A,#N/A,FALSE,"Plan2"}</definedName>
    <definedName name="ÇJsrejtçe">{#N/A,#N/A,FALSE,"Plan1";#N/A,#N/A,FALSE,"Plan2"}</definedName>
    <definedName name="çkaçekow" localSheetId="0">{#N/A,#N/A,FALSE,"Plan1";#N/A,#N/A,FALSE,"Plan2"}</definedName>
    <definedName name="çkaçekow">{#N/A,#N/A,FALSE,"Plan1";#N/A,#N/A,FALSE,"Plan2"}</definedName>
    <definedName name="ÇKSDOEKR" localSheetId="0">{#N/A,#N/A,FALSE,"Plan1";#N/A,#N/A,FALSE,"Plan2"}</definedName>
    <definedName name="ÇKSDOEKR">{#N/A,#N/A,FALSE,"Plan1";#N/A,#N/A,FALSE,"Plan2"}</definedName>
    <definedName name="çl" localSheetId="0">{#N/A,#N/A,FALSE,"Plan1";#N/A,#N/A,FALSE,"Plan2"}</definedName>
    <definedName name="çl">{#N/A,#N/A,FALSE,"Plan1";#N/A,#N/A,FALSE,"Plan2"}</definedName>
    <definedName name="çlassde" localSheetId="0">{#N/A,#N/A,FALSE,"Plan1";#N/A,#N/A,FALSE,"Plan2"}</definedName>
    <definedName name="çlassde">{#N/A,#N/A,FALSE,"Plan1";#N/A,#N/A,FALSE,"Plan2"}</definedName>
    <definedName name="Classificação" localSheetId="0">#REF!</definedName>
    <definedName name="Classificação">#REF!</definedName>
    <definedName name="çlçlç" localSheetId="0">{#N/A,#N/A,FALSE,"Plan1";#N/A,#N/A,FALSE,"Plan2"}</definedName>
    <definedName name="çlçlç">{#N/A,#N/A,FALSE,"Plan1";#N/A,#N/A,FALSE,"Plan2"}</definedName>
    <definedName name="çld" localSheetId="0">{#N/A,#N/A,FALSE,"Plan1";#N/A,#N/A,FALSE,"Plan2"}</definedName>
    <definedName name="çld">{#N/A,#N/A,FALSE,"Plan1";#N/A,#N/A,FALSE,"Plan2"}</definedName>
    <definedName name="çlererr" localSheetId="0">{#N/A,#N/A,FALSE,"Plan1";#N/A,#N/A,FALSE,"Plan2"}</definedName>
    <definedName name="çlererr">{#N/A,#N/A,FALSE,"Plan1";#N/A,#N/A,FALSE,"Plan2"}</definedName>
    <definedName name="çlertert" localSheetId="0">{#N/A,#N/A,FALSE,"Plan1";#N/A,#N/A,FALSE,"Plan2"}</definedName>
    <definedName name="çlertert">{#N/A,#N/A,FALSE,"Plan1";#N/A,#N/A,FALSE,"Plan2"}</definedName>
    <definedName name="çlkdflçkrlr" localSheetId="0" hidden="1">#REF!</definedName>
    <definedName name="çlkdflçkrlr">#REF!</definedName>
    <definedName name="çll" localSheetId="0">{#N/A,#N/A,FALSE,"Plan1";#N/A,#N/A,FALSE,"Plan2"}</definedName>
    <definedName name="çll">{#N/A,#N/A,FALSE,"Plan1";#N/A,#N/A,FALSE,"Plan2"}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0">#REF!</definedName>
    <definedName name="COBRANÇA">#REF!</definedName>
    <definedName name="Cod_Esquadrias" localSheetId="0">#REF!</definedName>
    <definedName name="Cod_Esquadrias">#REF!</definedName>
    <definedName name="CÓDG" localSheetId="0">OFFSET(#REF!,0,0,COUNTA(#REF!),1)</definedName>
    <definedName name="CÓDG">OFFSET(#REF!,0,0,COUNTA(#REF!),1)</definedName>
    <definedName name="codigo2" localSheetId="0">#REF!</definedName>
    <definedName name="codigo2">#REF!</definedName>
    <definedName name="codigo3" localSheetId="0">#REF!</definedName>
    <definedName name="codigo3">#REF!</definedName>
    <definedName name="CÓDT" localSheetId="0">OFFSET(#REF!,0,0,COUNTA(#REF!)+1,1)</definedName>
    <definedName name="CÓDT">OFFSET(#REF!,0,0,COUNTA(#REF!)+1,1)</definedName>
    <definedName name="COFINS" localSheetId="0">#REF!</definedName>
    <definedName name="COFINS">#REF!</definedName>
    <definedName name="cofins2" localSheetId="0">#REF!</definedName>
    <definedName name="cofins2">#REF!</definedName>
    <definedName name="COGS" localSheetId="0">#REF!</definedName>
    <definedName name="COGS">#REF!</definedName>
    <definedName name="COLSUB">#REF!</definedName>
    <definedName name="COMISSOES">#REF!</definedName>
    <definedName name="COMPOSICAO">#REF!</definedName>
    <definedName name="composição">#REF!</definedName>
    <definedName name="COMPR">#REF!</definedName>
    <definedName name="COMPRIMENTO">#REF!</definedName>
    <definedName name="COMPROMETIDO">#REF!</definedName>
    <definedName name="CONFIRMAR" localSheetId="0">{#N/A,#N/A,TRUE,"Quinzena 01 à 15-04-98 "}</definedName>
    <definedName name="CONFIRMAR">{#N/A,#N/A,TRUE,"Quinzena 01 à 15-04-98 "}</definedName>
    <definedName name="cont" localSheetId="0">{#N/A,#N/A,FALSE,"Plan1";#N/A,#N/A,FALSE,"Plan2"}</definedName>
    <definedName name="cont">{#N/A,#N/A,FALSE,"Plan1";#N/A,#N/A,FALSE,"Plan2"}</definedName>
    <definedName name="CONT1" localSheetId="0">#REF!</definedName>
    <definedName name="CONT1">#REF!</definedName>
    <definedName name="CONT2" localSheetId="0">#REF!</definedName>
    <definedName name="CONT2">#REF!</definedName>
    <definedName name="CONT3" localSheetId="0">#REF!</definedName>
    <definedName name="CONT3">#REF!</definedName>
    <definedName name="CONTAIT">#REF!</definedName>
    <definedName name="CONTREC">#REF!</definedName>
    <definedName name="CONTRES">#REF!</definedName>
    <definedName name="CONTROLE">#REF!</definedName>
    <definedName name="Controle_Tecnologico" localSheetId="0" hidden="1">{#N/A,#N/A,FALSE,"Plan1";#N/A,#N/A,FALSE,"Plan2"}</definedName>
    <definedName name="Controle_Tecnologico">{#N/A,#N/A,FALSE,"Plan1";#N/A,#N/A,FALSE,"Plan2"}</definedName>
    <definedName name="Controle_tecnologico1" localSheetId="0" hidden="1">#REF!</definedName>
    <definedName name="Controle_tecnologico1">#REF!</definedName>
    <definedName name="CONVERSÃO" localSheetId="0">#REF!</definedName>
    <definedName name="CONVERSÃO">#REF!</definedName>
    <definedName name="cpmf" localSheetId="0">#REF!</definedName>
    <definedName name="cpmf">#REF!</definedName>
    <definedName name="Credor_Rel_Sienge">#REF!</definedName>
    <definedName name="_xlnm.Criteria">#REF!</definedName>
    <definedName name="CRONG">#REF!</definedName>
    <definedName name="cronograma">#REF!</definedName>
    <definedName name="CRONOGRAMA_FÍSICO_FINANCEIRO">#REF!</definedName>
    <definedName name="CS">#REF!</definedName>
    <definedName name="cs_diferida">#REF!</definedName>
    <definedName name="ÇSAÇDFW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0" hidden="1">#REF!</definedName>
    <definedName name="çsdkfçdrkt">#REF!</definedName>
    <definedName name="C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0">{#N/A,#N/A,FALSE,"Plan1";#N/A,#N/A,FALSE,"Plan2"}</definedName>
    <definedName name="ÇSLÇDLFKD">{#N/A,#N/A,FALSE,"Plan1";#N/A,#N/A,FALSE,"Plan2"}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0">#REF!</definedName>
    <definedName name="CUST_DIR_IND">#REF!</definedName>
    <definedName name="CUSTINDIRETO" localSheetId="0">#REF!</definedName>
    <definedName name="CUSTINDIRETO">#REF!</definedName>
    <definedName name="CUSTO_DIR_IND" localSheetId="0">#REF!</definedName>
    <definedName name="CUSTO_DIR_IND">#REF!</definedName>
    <definedName name="Custo_Direto_de_Obras_Civis_e_Instalações_...........................................">#REF!</definedName>
    <definedName name="Custo_Direto_em_geral">#REF!</definedName>
    <definedName name="custo_financing">#REF!</definedName>
    <definedName name="CUSTO_OUTROS">#REF!</definedName>
    <definedName name="Custo_Outros1">#REF!</definedName>
    <definedName name="CUSTODIRETO">#REF!</definedName>
    <definedName name="CUSTODIRETO_R">#REF!</definedName>
    <definedName name="CUSTODIRETO_U">#REF!</definedName>
    <definedName name="CUSTODIRETO1">#REF!</definedName>
    <definedName name="CUSTOFIN">#REF!</definedName>
    <definedName name="D">#REF!</definedName>
    <definedName name="da">#REF!</definedName>
    <definedName name="dalm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0">{#N/A,#N/A,FALSE,"Plan1";#N/A,#N/A,FALSE,"Plan2"}</definedName>
    <definedName name="dasfrt">{#N/A,#N/A,FALSE,"Plan1";#N/A,#N/A,FALSE,"Plan2"}</definedName>
    <definedName name="DATA" localSheetId="0">#REF!</definedName>
    <definedName name="DATA">#REF!</definedName>
    <definedName name="Data_base" localSheetId="0">#REF!</definedName>
    <definedName name="Data_base">#REF!</definedName>
    <definedName name="data_base_VL" localSheetId="0">#REF!</definedName>
    <definedName name="data_base_VL">#REF!</definedName>
    <definedName name="DATA_COTAÇÃO">#REF!</definedName>
    <definedName name="DATA_ENTREGA">#REF!</definedName>
    <definedName name="DATA_FECHA">#REF!</definedName>
    <definedName name="Data_Inicio">#REF!</definedName>
    <definedName name="Data_Lançado_Sienge">#REF!</definedName>
    <definedName name="Data_Pagamento_Sienge">#REF!</definedName>
    <definedName name="Data_Previsão_Medição_Fin_Medição">#REF!</definedName>
    <definedName name="Data_Tendência_Recebimento_Fin_Medições">#REF!</definedName>
    <definedName name="DATA1">#REF!</definedName>
    <definedName name="DATA3">#REF!</definedName>
    <definedName name="DATA4">#REF!</definedName>
    <definedName name="DATA6">#REF!</definedName>
    <definedName name="Database">#REF!</definedName>
    <definedName name="DataChaves_MAP">#REF!</definedName>
    <definedName name="DatasOut13AteDez20">#REF!</definedName>
    <definedName name="DÇDL" localSheetId="0">{#N/A,#N/A,FALSE,"Plan1";#N/A,#N/A,FALSE,"Plan2"}</definedName>
    <definedName name="DÇDL">{#N/A,#N/A,FALSE,"Plan1";#N/A,#N/A,FALSE,"Plan2"}</definedName>
    <definedName name="dchart26" localSheetId="0" hidden="1">#REF!</definedName>
    <definedName name="dchart26">#REF!</definedName>
    <definedName name="dchart31" localSheetId="0" hidden="1">#REF!</definedName>
    <definedName name="dchart31">#REF!</definedName>
    <definedName name="dcnsfgdjkgb" localSheetId="0">{#N/A,#N/A,FALSE,"Plan1";#N/A,#N/A,FALSE,"Plan2"}</definedName>
    <definedName name="dcnsfgdjkgb">{#N/A,#N/A,FALSE,"Plan1";#N/A,#N/A,FALSE,"Plan2"}</definedName>
    <definedName name="DÇWK" localSheetId="0">{#N/A,#N/A,FALSE,"Plan1";#N/A,#N/A,FALSE,"Plan2"}</definedName>
    <definedName name="DÇWK">{#N/A,#N/A,FALSE,"Plan1";#N/A,#N/A,FALSE,"Plan2"}</definedName>
    <definedName name="D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0">{"'장비'!$A$3:$M$12"}</definedName>
    <definedName name="DDD">#REF!</definedName>
    <definedName name="ddddd" localSheetId="0">{#N/A,#N/A,FALSE,"Plan1";#N/A,#N/A,FALSE,"Plan2"}</definedName>
    <definedName name="ddddd">{#N/A,#N/A,FALSE,"Plan1";#N/A,#N/A,FALSE,"Plan2"}</definedName>
    <definedName name="ddddddddddd" localSheetId="0">#REF!</definedName>
    <definedName name="ddddddddddd">#REF!</definedName>
    <definedName name="dddddddddddddddddddddddddd" localSheetId="0">#REF!</definedName>
    <definedName name="dddddddddddddddddddddddddd">#REF!</definedName>
    <definedName name="dddddddddddddppppppppp" localSheetId="0">#REF!</definedName>
    <definedName name="dddddddddddddppppppppp">#REF!</definedName>
    <definedName name="dde" localSheetId="0">{#N/A,#N/A,FALSE,"Plan1";#N/A,#N/A,FALSE,"Plan2"}</definedName>
    <definedName name="dde">{#N/A,#N/A,FALSE,"Plan1";#N/A,#N/A,FALSE,"Plan2"}</definedName>
    <definedName name="ddfs" localSheetId="0" hidden="1">#REF!</definedName>
    <definedName name="ddfs">#REF!</definedName>
    <definedName name="ddgfdvgd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0">{#N/A,#N/A,FALSE,"Plan1";#N/A,#N/A,FALSE,"Plan2"}</definedName>
    <definedName name="DDGSFG">{#N/A,#N/A,FALSE,"Plan1";#N/A,#N/A,FALSE,"Plan2"}</definedName>
    <definedName name="dede" localSheetId="0">{#N/A,#N/A,FALSE,"Plan1";#N/A,#N/A,FALSE,"Plan2"}</definedName>
    <definedName name="dede">{#N/A,#N/A,FALSE,"Plan1";#N/A,#N/A,FALSE,"Plan2"}</definedName>
    <definedName name="defasagem" localSheetId="0">OFFSET(INDEX(#REF!,MATCH(#REF!,#REF!,0)),1,0,COUNTA(#REF!)-1)</definedName>
    <definedName name="defasagem">OFFSET(INDEX(#REF!,MATCH(#REF!,#REF!,0)),1,0,COUNTA(#REF!)-1)</definedName>
    <definedName name="depara" localSheetId="0">#REF!</definedName>
    <definedName name="depara">#REF!</definedName>
    <definedName name="DERIVQT" localSheetId="0">#REF!</definedName>
    <definedName name="DERIVQT">#REF!</definedName>
    <definedName name="des" localSheetId="0">{#N/A,#N/A,FALSE,"Plan1";#N/A,#N/A,FALSE,"Plan2"}</definedName>
    <definedName name="des">{#N/A,#N/A,FALSE,"Plan1";#N/A,#N/A,FALSE,"Plan2"}</definedName>
    <definedName name="desc" localSheetId="0">{#N/A,#N/A,FALSE,"Plan1";#N/A,#N/A,FALSE,"Plan2"}</definedName>
    <definedName name="desc">{#N/A,#N/A,FALSE,"Plan1";#N/A,#N/A,FALSE,"Plan2"}</definedName>
    <definedName name="DESCONTO" localSheetId="0">#REF!</definedName>
    <definedName name="DESCONTO">#REF!</definedName>
    <definedName name="DESCRIÇÃO_OBRA" localSheetId="0">#REF!</definedName>
    <definedName name="DESCRIÇÃO_OBRA">#REF!</definedName>
    <definedName name="DespFatur" localSheetId="0">#REF!</definedName>
    <definedName name="DespFatur">#REF!</definedName>
    <definedName name="DEZ">#REF!</definedName>
    <definedName name="dez17RJ">#REF!</definedName>
    <definedName name="DEZEMBRO">#REF!</definedName>
    <definedName name="DEZENOVE">#REF!</definedName>
    <definedName name="DEZESSEIS">#REF!</definedName>
    <definedName name="DEZESSETE">#REF!</definedName>
    <definedName name="DEZOITO">#REF!</definedName>
    <definedName name="d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0">{#N/A,#N/A,FALSE,"명세표"}</definedName>
    <definedName name="DFD">{#N/A,#N/A,FALSE,"명세표"}</definedName>
    <definedName name="dfdft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0">{#N/A,#N/A,FALSE,"Plan1";#N/A,#N/A,FALSE,"Plan2"}</definedName>
    <definedName name="dfdjgfdfgdf">{#N/A,#N/A,FALSE,"Plan1";#N/A,#N/A,FALSE,"Plan2"}</definedName>
    <definedName name="dfdrtrr" localSheetId="0">{#N/A,#N/A,FALSE,"Plan1";#N/A,#N/A,FALSE,"Plan2"}</definedName>
    <definedName name="dfdrtrr">{#N/A,#N/A,FALSE,"Plan1";#N/A,#N/A,FALSE,"Plan2"}</definedName>
    <definedName name="DFDSG" localSheetId="0">{#N/A,#N/A,FALSE,"Plan1";#N/A,#N/A,FALSE,"Plan2"}</definedName>
    <definedName name="DFDSG">{#N/A,#N/A,FALSE,"Plan1";#N/A,#N/A,FALSE,"Plan2"}</definedName>
    <definedName name="dfer" localSheetId="0">{#N/A,#N/A,FALSE,"Plan1";#N/A,#N/A,FALSE,"Plan2"}</definedName>
    <definedName name="dfer">{#N/A,#N/A,FALSE,"Plan1";#N/A,#N/A,FALSE,"Plan2"}</definedName>
    <definedName name="dffbty" localSheetId="0">{#N/A,#N/A,FALSE,"Plan1";#N/A,#N/A,FALSE,"Plan2"}</definedName>
    <definedName name="dffbty">{#N/A,#N/A,FALSE,"Plan1";#N/A,#N/A,FALSE,"Plan2"}</definedName>
    <definedName name="dffg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0">{#N/A,#N/A,FALSE,"Plan1";#N/A,#N/A,FALSE,"Plan2"}</definedName>
    <definedName name="dffhg">{#N/A,#N/A,FALSE,"Plan1";#N/A,#N/A,FALSE,"Plan2"}</definedName>
    <definedName name="dfg" localSheetId="0">{#N/A,#N/A,FALSE,"Plan1";#N/A,#N/A,FALSE,"Plan2"}</definedName>
    <definedName name="dfg">{#N/A,#N/A,FALSE,"Plan1";#N/A,#N/A,FALSE,"Plan2"}</definedName>
    <definedName name="dfgdf" localSheetId="0">{#N/A,#N/A,FALSE,"Plan1";#N/A,#N/A,FALSE,"Plan2"}</definedName>
    <definedName name="dfgdf">{#N/A,#N/A,FALSE,"Plan1";#N/A,#N/A,FALSE,"Plan2"}</definedName>
    <definedName name="dfgdytygr" localSheetId="0">{#N/A,#N/A,FALSE,"Plan1";#N/A,#N/A,FALSE,"Plan2"}</definedName>
    <definedName name="dfgdytygr">{#N/A,#N/A,FALSE,"Plan1";#N/A,#N/A,FALSE,"Plan2"}</definedName>
    <definedName name="dfgftrrdt5" localSheetId="0">{#N/A,#N/A,FALSE,"Plan1";#N/A,#N/A,FALSE,"Plan2"}</definedName>
    <definedName name="dfgftrrdt5">{#N/A,#N/A,FALSE,"Plan1";#N/A,#N/A,FALSE,"Plan2"}</definedName>
    <definedName name="dfgh" localSheetId="0">#REF!</definedName>
    <definedName name="dfgh">#REF!</definedName>
    <definedName name="dfghjfhsg" localSheetId="0">{#N/A,#N/A,FALSE,"Plan1";#N/A,#N/A,FALSE,"Plan2"}</definedName>
    <definedName name="dfghjfhsg">{#N/A,#N/A,FALSE,"Plan1";#N/A,#N/A,FALSE,"Plan2"}</definedName>
    <definedName name="dfgj" localSheetId="0">{#N/A,#N/A,FALSE,"Plan1";#N/A,#N/A,FALSE,"Plan2"}</definedName>
    <definedName name="dfgj">{#N/A,#N/A,FALSE,"Plan1";#N/A,#N/A,FALSE,"Plan2"}</definedName>
    <definedName name="dfgjfttyd" localSheetId="0">{#N/A,#N/A,FALSE,"Plan1";#N/A,#N/A,FALSE,"Plan2"}</definedName>
    <definedName name="dfgjfttyd">{#N/A,#N/A,FALSE,"Plan1";#N/A,#N/A,FALSE,"Plan2"}</definedName>
    <definedName name="dfgjjtdrtg" localSheetId="0">{#N/A,#N/A,FALSE,"Plan1";#N/A,#N/A,FALSE,"Plan2"}</definedName>
    <definedName name="dfgjjtdrtg">{#N/A,#N/A,FALSE,"Plan1";#N/A,#N/A,FALSE,"Plan2"}</definedName>
    <definedName name="dfgt" localSheetId="0">{#N/A,#N/A,FALSE,"Plan1";#N/A,#N/A,FALSE,"Plan2"}</definedName>
    <definedName name="dfgt">{#N/A,#N/A,FALSE,"Plan1";#N/A,#N/A,FALSE,"Plan2"}</definedName>
    <definedName name="dfgtrkjhk" localSheetId="0">{#N/A,#N/A,FALSE,"Plan1";#N/A,#N/A,FALSE,"Plan2"}</definedName>
    <definedName name="dfgtrkjhk">{#N/A,#N/A,FALSE,"Plan1";#N/A,#N/A,FALSE,"Plan2"}</definedName>
    <definedName name="dfgty" localSheetId="0">{#N/A,#N/A,FALSE,"Plan1";#N/A,#N/A,FALSE,"Plan2"}</definedName>
    <definedName name="dfgty">{#N/A,#N/A,FALSE,"Plan1";#N/A,#N/A,FALSE,"Plan2"}</definedName>
    <definedName name="dfhdgfdgf" localSheetId="0">{#N/A,#N/A,FALSE,"Plan1";#N/A,#N/A,FALSE,"Plan2"}</definedName>
    <definedName name="dfhdgfdgf">{#N/A,#N/A,FALSE,"Plan1";#N/A,#N/A,FALSE,"Plan2"}</definedName>
    <definedName name="DFHDJGJFHJGF" localSheetId="0">{#N/A,#N/A,FALSE,"Plan1";#N/A,#N/A,FALSE,"Plan2"}</definedName>
    <definedName name="DFHDJGJFHJGF">{#N/A,#N/A,FALSE,"Plan1";#N/A,#N/A,FALSE,"Plan2"}</definedName>
    <definedName name="dfhdyg" localSheetId="0">{#N/A,#N/A,FALSE,"Plan1";#N/A,#N/A,FALSE,"Plan2"}</definedName>
    <definedName name="dfhdyg">{#N/A,#N/A,FALSE,"Plan1";#N/A,#N/A,FALSE,"Plan2"}</definedName>
    <definedName name="DFHGDHUR" localSheetId="0">{#N/A,#N/A,FALSE,"Plan1";#N/A,#N/A,FALSE,"Plan2"}</definedName>
    <definedName name="DFHGDHUR">{#N/A,#N/A,FALSE,"Plan1";#N/A,#N/A,FALSE,"Plan2"}</definedName>
    <definedName name="dfhgjfgdhfjdrf" localSheetId="0">{#N/A,#N/A,FALSE,"Plan1";#N/A,#N/A,FALSE,"Plan2"}</definedName>
    <definedName name="dfhgjfgdhfjdrf">{#N/A,#N/A,FALSE,"Plan1";#N/A,#N/A,FALSE,"Plan2"}</definedName>
    <definedName name="dfhgkhfut" localSheetId="0">{#N/A,#N/A,FALSE,"Plan1";#N/A,#N/A,FALSE,"Plan2"}</definedName>
    <definedName name="dfhgkhfut">{#N/A,#N/A,FALSE,"Plan1";#N/A,#N/A,FALSE,"Plan2"}</definedName>
    <definedName name="dfhgkjdhkjghjd" localSheetId="0" hidden="1">#REF!</definedName>
    <definedName name="dfhgkjdhkjghjd">#REF!</definedName>
    <definedName name="dfhguitrhfg" localSheetId="0">{#N/A,#N/A,FALSE,"Plan1";#N/A,#N/A,FALSE,"Plan2"}</definedName>
    <definedName name="dfhguitrhfg">{#N/A,#N/A,FALSE,"Plan1";#N/A,#N/A,FALSE,"Plan2"}</definedName>
    <definedName name="DFHKHDGKJHDKS" localSheetId="0">{#N/A,#N/A,FALSE,"Plan1";#N/A,#N/A,FALSE,"Plan2"}</definedName>
    <definedName name="DFHKHDGKJHDKS">{#N/A,#N/A,FALSE,"Plan1";#N/A,#N/A,FALSE,"Plan2"}</definedName>
    <definedName name="dfijvnqienvvnjv" localSheetId="0">#REF!</definedName>
    <definedName name="dfijvnqienvvnjv">#REF!</definedName>
    <definedName name="dfjgjfhykj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0">{#N/A,#N/A,FALSE,"Plan1";#N/A,#N/A,FALSE,"Plan2"}</definedName>
    <definedName name="dfjkgtdftr">{#N/A,#N/A,FALSE,"Plan1";#N/A,#N/A,FALSE,"Plan2"}</definedName>
    <definedName name="dfkhg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0">{#N/A,#N/A,FALSE,"Plan1";#N/A,#N/A,FALSE,"Plan2"}</definedName>
    <definedName name="dfknfhkdrj">{#N/A,#N/A,FALSE,"Plan1";#N/A,#N/A,FALSE,"Plan2"}</definedName>
    <definedName name="dfnert" localSheetId="0">{#N/A,#N/A,FALSE,"Plan1";#N/A,#N/A,FALSE,"Plan2"}</definedName>
    <definedName name="dfnert">{#N/A,#N/A,FALSE,"Plan1";#N/A,#N/A,FALSE,"Plan2"}</definedName>
    <definedName name="dfrt" localSheetId="0">{#N/A,#N/A,FALSE,"Plan1";#N/A,#N/A,FALSE,"Plan2"}</definedName>
    <definedName name="dfrt">{#N/A,#N/A,FALSE,"Plan1";#N/A,#N/A,FALSE,"Plan2"}</definedName>
    <definedName name="dfsdr5tt" localSheetId="0">{#N/A,#N/A,FALSE,"Plan1";#N/A,#N/A,FALSE,"Plan2"}</definedName>
    <definedName name="dfsdr5tt">{#N/A,#N/A,FALSE,"Plan1";#N/A,#N/A,FALSE,"Plan2"}</definedName>
    <definedName name="dfsds" localSheetId="0" hidden="1">#REF!</definedName>
    <definedName name="dfsds">#REF!</definedName>
    <definedName name="dfsd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0">{#N/A,#N/A,FALSE,"Plan1";#N/A,#N/A,FALSE,"Plan2"}</definedName>
    <definedName name="dfsdtr">{#N/A,#N/A,FALSE,"Plan1";#N/A,#N/A,FALSE,"Plan2"}</definedName>
    <definedName name="dfsf" localSheetId="0">{#N/A,#N/A,FALSE,"Plan1";#N/A,#N/A,FALSE,"Plan2"}</definedName>
    <definedName name="dfsf">{#N/A,#N/A,FALSE,"Plan1";#N/A,#N/A,FALSE,"Plan2"}</definedName>
    <definedName name="DFT" localSheetId="0">{#N/A,#N/A,FALSE,"Plan1";#N/A,#N/A,FALSE,"Plan2"}</definedName>
    <definedName name="DFT">{#N/A,#N/A,FALSE,"Plan1";#N/A,#N/A,FALSE,"Plan2"}</definedName>
    <definedName name="DFTRTTY" localSheetId="0">{#N/A,#N/A,FALSE,"Plan1";#N/A,#N/A,FALSE,"Plan2"}</definedName>
    <definedName name="DFTRTTY">{#N/A,#N/A,FALSE,"Plan1";#N/A,#N/A,FALSE,"Plan2"}</definedName>
    <definedName name="dfurghifdjyhits" localSheetId="0">{#N/A,#N/A,FALSE,"Plan1";#N/A,#N/A,FALSE,"Plan2"}</definedName>
    <definedName name="dfurghifdjyhits">{#N/A,#N/A,FALSE,"Plan1";#N/A,#N/A,FALSE,"Plan2"}</definedName>
    <definedName name="dfxgdrged" localSheetId="0">{#N/A,#N/A,FALSE,"Plan1";#N/A,#N/A,FALSE,"Plan2"}</definedName>
    <definedName name="dfxgdrged">{#N/A,#N/A,FALSE,"Plan1";#N/A,#N/A,FALSE,"Plan2"}</definedName>
    <definedName name="dgfrtyt" localSheetId="0">{#N/A,#N/A,FALSE,"Plan1";#N/A,#N/A,FALSE,"Plan2"}</definedName>
    <definedName name="dgfrtyt">{#N/A,#N/A,FALSE,"Plan1";#N/A,#N/A,FALSE,"Plan2"}</definedName>
    <definedName name="dggfdg" localSheetId="0">{#N/A,#N/A,FALSE,"Plan1";#N/A,#N/A,FALSE,"Plan2"}</definedName>
    <definedName name="dggfdg">{#N/A,#N/A,FALSE,"Plan1";#N/A,#N/A,FALSE,"Plan2"}</definedName>
    <definedName name="dgldfhgkljslh" localSheetId="0">{#N/A,#N/A,FALSE,"Plan1";#N/A,#N/A,FALSE,"Plan2"}</definedName>
    <definedName name="dgldfhgkljslh">{#N/A,#N/A,FALSE,"Plan1";#N/A,#N/A,FALSE,"Plan2"}</definedName>
    <definedName name="dhfgdhrehrwe" localSheetId="0">{#N/A,#N/A,FALSE,"Plan1";#N/A,#N/A,FALSE,"Plan2"}</definedName>
    <definedName name="dhfgdhrehrwe">{#N/A,#N/A,FALSE,"Plan1";#N/A,#N/A,FALSE,"Plan2"}</definedName>
    <definedName name="dhgfdgrfgdfgd" localSheetId="0">{#N/A,#N/A,FALSE,"Plan1";#N/A,#N/A,FALSE,"Plan2"}</definedName>
    <definedName name="dhgfdgrfgdfgd">{#N/A,#N/A,FALSE,"Plan1";#N/A,#N/A,FALSE,"Plan2"}</definedName>
    <definedName name="dhkjfhdhfjdh" localSheetId="0">{#N/A,#N/A,FALSE,"Plan1";#N/A,#N/A,FALSE,"Plan2"}</definedName>
    <definedName name="dhkjfhdhfjdh">{#N/A,#N/A,FALSE,"Plan1";#N/A,#N/A,FALSE,"Plan2"}</definedName>
    <definedName name="DHTJRT" localSheetId="0">{#N/A,#N/A,FALSE,"Plan1";#N/A,#N/A,FALSE,"Plan2"}</definedName>
    <definedName name="DHTJRT">{#N/A,#N/A,FALSE,"Plan1";#N/A,#N/A,FALSE,"Plan2"}</definedName>
    <definedName name="DI" localSheetId="0">#REF!</definedName>
    <definedName name="DI">#REF!</definedName>
    <definedName name="dia3estac" localSheetId="0">#REF!</definedName>
    <definedName name="dia3estac">#REF!</definedName>
    <definedName name="diaestaca" localSheetId="0">#REF!</definedName>
    <definedName name="diaestaca">#REF!</definedName>
    <definedName name="diambase">#REF!</definedName>
    <definedName name="DIFQT">#REF!</definedName>
    <definedName name="dijghdhks" localSheetId="0">{#N/A,#N/A,FALSE,"Plan1";#N/A,#N/A,FALSE,"Plan2"}</definedName>
    <definedName name="dijghdhks">{#N/A,#N/A,FALSE,"Plan1";#N/A,#N/A,FALSE,"Plan2"}</definedName>
    <definedName name="DIMENSÕES" localSheetId="0">#REF!</definedName>
    <definedName name="DIMENSÕES">#REF!</definedName>
    <definedName name="DIR_OPER" localSheetId="0">#REF!</definedName>
    <definedName name="DIR_OPER">#REF!</definedName>
    <definedName name="DIR_TECNICO" localSheetId="0">#REF!</definedName>
    <definedName name="DIR_TECNICO">#REF!</definedName>
    <definedName name="direto">#REF!</definedName>
    <definedName name="DIRETORIA">#REF!</definedName>
    <definedName name="diretorias">#REF!</definedName>
    <definedName name="Discrim">#REF!</definedName>
    <definedName name="DISCRIMINAÇÃO">#REF!</definedName>
    <definedName name="Discriminação_Controladoria">#REF!</definedName>
    <definedName name="DistCidade">#REF!</definedName>
    <definedName name="distratos">#REF!</definedName>
    <definedName name="div">#REF!</definedName>
    <definedName name="djasdrjas" localSheetId="0">{#N/A,#N/A,FALSE,"Plan1";#N/A,#N/A,FALSE,"Plan2"}</definedName>
    <definedName name="djasdrjas">{#N/A,#N/A,FALSE,"Plan1";#N/A,#N/A,FALSE,"Plan2"}</definedName>
    <definedName name="dj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0">{#N/A,#N/A,FALSE,"Plan1";#N/A,#N/A,FALSE,"Plan2"}</definedName>
    <definedName name="djfkhjhfgrgdfh">{#N/A,#N/A,FALSE,"Plan1";#N/A,#N/A,FALSE,"Plan2"}</definedName>
    <definedName name="djfkhsdkjhf" localSheetId="0">{#N/A,#N/A,FALSE,"Plan1";#N/A,#N/A,FALSE,"Plan2"}</definedName>
    <definedName name="djfkhsdkjhf">{#N/A,#N/A,FALSE,"Plan1";#N/A,#N/A,FALSE,"Plan2"}</definedName>
    <definedName name="djfldjsgljslkjtg" localSheetId="0">{#N/A,#N/A,FALSE,"Plan1";#N/A,#N/A,FALSE,"Plan2"}</definedName>
    <definedName name="djfldjsgljslkjtg">{#N/A,#N/A,FALSE,"Plan1";#N/A,#N/A,FALSE,"Plan2"}</definedName>
    <definedName name="djflkdjgdth" localSheetId="0">{#N/A,#N/A,FALSE,"Plan1";#N/A,#N/A,FALSE,"Plan2"}</definedName>
    <definedName name="djflkdjgdth">{#N/A,#N/A,FALSE,"Plan1";#N/A,#N/A,FALSE,"Plan2"}</definedName>
    <definedName name="DJFLKDJGKTJYJT" localSheetId="0">{#N/A,#N/A,FALSE,"Plan1";#N/A,#N/A,FALSE,"Plan2"}</definedName>
    <definedName name="DJFLKDJGKTJYJT">{#N/A,#N/A,FALSE,"Plan1";#N/A,#N/A,FALSE,"Plan2"}</definedName>
    <definedName name="djgkfjgtiyty" localSheetId="0">{#N/A,#N/A,FALSE,"Plan1";#N/A,#N/A,FALSE,"Plan2"}</definedName>
    <definedName name="djgkfjgtiyty">{#N/A,#N/A,FALSE,"Plan1";#N/A,#N/A,FALSE,"Plan2"}</definedName>
    <definedName name="djrkehrjfhng" localSheetId="0">{#N/A,#N/A,FALSE,"Plan1";#N/A,#N/A,FALSE,"Plan2"}</definedName>
    <definedName name="djrkehrjfhng">{#N/A,#N/A,FALSE,"Plan1";#N/A,#N/A,FALSE,"Plan2"}</definedName>
    <definedName name="djswfr" localSheetId="0" hidden="1">#REF!</definedName>
    <definedName name="djswfr">#REF!</definedName>
    <definedName name="djtkjldfr" localSheetId="0">{#N/A,#N/A,FALSE,"Plan1";#N/A,#N/A,FALSE,"Plan2"}</definedName>
    <definedName name="djtkjldfr">{#N/A,#N/A,FALSE,"Plan1";#N/A,#N/A,FALSE,"Plan2"}</definedName>
    <definedName name="DJXDLFGDFG" localSheetId="0">{#N/A,#N/A,FALSE,"Plan1";#N/A,#N/A,FALSE,"Plan2"}</definedName>
    <definedName name="DJXDLFGDFG">{#N/A,#N/A,FALSE,"Plan1";#N/A,#N/A,FALSE,"Plan2"}</definedName>
    <definedName name="dkdkdkdkd" localSheetId="0">{#N/A,#N/A,FALSE,"명세표"}</definedName>
    <definedName name="dkdkdkdkd">{#N/A,#N/A,FALSE,"명세표"}</definedName>
    <definedName name="dkfhskgf" localSheetId="0">{#N/A,#N/A,FALSE,"Plan1";#N/A,#N/A,FALSE,"Plan2"}</definedName>
    <definedName name="dkfhskgf">{#N/A,#N/A,FALSE,"Plan1";#N/A,#N/A,FALSE,"Plan2"}</definedName>
    <definedName name="dkjfk" localSheetId="0">{#N/A,#N/A,FALSE,"Plan1";#N/A,#N/A,FALSE,"Plan2"}</definedName>
    <definedName name="dkjfk">{#N/A,#N/A,FALSE,"Plan1";#N/A,#N/A,FALSE,"Plan2"}</definedName>
    <definedName name="DKLD" localSheetId="0">{#N/A,#N/A,FALSE,"Plan1";#N/A,#N/A,FALSE,"Plan2"}</definedName>
    <definedName name="DKLD">{#N/A,#N/A,FALSE,"Plan1";#N/A,#N/A,FALSE,"Plan2"}</definedName>
    <definedName name="DKLFJDKFD" localSheetId="0">{#N/A,#N/A,FALSE,"Plan1";#N/A,#N/A,FALSE,"Plan2"}</definedName>
    <definedName name="DKLFJDKFD">{#N/A,#N/A,FALSE,"Plan1";#N/A,#N/A,FALSE,"Plan2"}</definedName>
    <definedName name="dklfjgirtgid" localSheetId="0">{#N/A,#N/A,FALSE,"Plan1";#N/A,#N/A,FALSE,"Plan2"}</definedName>
    <definedName name="dklfjgirtgid">{#N/A,#N/A,FALSE,"Plan1";#N/A,#N/A,FALSE,"Plan2"}</definedName>
    <definedName name="dklf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0">{#N/A,#N/A,FALSE,"Plan1";#N/A,#N/A,FALSE,"Plan2"}</definedName>
    <definedName name="dmbfmndbmtrhed">{#N/A,#N/A,FALSE,"Plan1";#N/A,#N/A,FALSE,"Plan2"}</definedName>
    <definedName name="DNFJKDHTKRE" localSheetId="0">{#N/A,#N/A,FALSE,"Plan1";#N/A,#N/A,FALSE,"Plan2"}</definedName>
    <definedName name="DNFJKDHTKRE">{#N/A,#N/A,FALSE,"Plan1";#N/A,#N/A,FALSE,"Plan2"}</definedName>
    <definedName name="d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0">#REF!</definedName>
    <definedName name="DOCUMENT">#REF!</definedName>
    <definedName name="DOIS" localSheetId="0">#REF!</definedName>
    <definedName name="DOIS">#REF!</definedName>
    <definedName name="dolar" localSheetId="0">#REF!</definedName>
    <definedName name="dolar">#REF!</definedName>
    <definedName name="dolar_dez">#REF!</definedName>
    <definedName name="dolar_nov">#REF!</definedName>
    <definedName name="dolar_out">#REF!</definedName>
    <definedName name="dolar2">#REF!</definedName>
    <definedName name="dolarabr">#REF!</definedName>
    <definedName name="dolarabr02">#REF!</definedName>
    <definedName name="DolarAgo">#REF!</definedName>
    <definedName name="dolarago02">#REF!</definedName>
    <definedName name="dolardez">#REF!</definedName>
    <definedName name="dolarfev">#REF!</definedName>
    <definedName name="dolarfev02">#REF!</definedName>
    <definedName name="dolarfimdez">#REF!</definedName>
    <definedName name="dolarFimJun">#REF!</definedName>
    <definedName name="dolarfindez">#REF!</definedName>
    <definedName name="dolarfinmar">#REF!</definedName>
    <definedName name="DolarFinSet">#REF!</definedName>
    <definedName name="dolarjan">#REF!</definedName>
    <definedName name="dolarjan02">#REF!</definedName>
    <definedName name="DolarJul">#REF!</definedName>
    <definedName name="dolarjul02">#REF!</definedName>
    <definedName name="dolarjun">#REF!</definedName>
    <definedName name="dolarjun02">#REF!</definedName>
    <definedName name="dolarmai">#REF!</definedName>
    <definedName name="dolarmai02">#REF!</definedName>
    <definedName name="dolarmar">#REF!</definedName>
    <definedName name="dolarmar02">#REF!</definedName>
    <definedName name="dolarnov">#REF!</definedName>
    <definedName name="dolarout">#REF!</definedName>
    <definedName name="DolarSet">#REF!</definedName>
    <definedName name="dolarset02">#REF!</definedName>
    <definedName name="DOZE">#REF!</definedName>
    <definedName name="DRE">#REF!</definedName>
    <definedName name="drewr" localSheetId="0">{#N/A,#N/A,FALSE,"Plan1";#N/A,#N/A,FALSE,"Plan2"}</definedName>
    <definedName name="drewr">{#N/A,#N/A,FALSE,"Plan1";#N/A,#N/A,FALSE,"Plan2"}</definedName>
    <definedName name="DRRJR" localSheetId="0">{#N/A,#N/A,FALSE,"Plan1";#N/A,#N/A,FALSE,"Plan2"}</definedName>
    <definedName name="DRRJR">{#N/A,#N/A,FALSE,"Plan1";#N/A,#N/A,FALSE,"Plan2"}</definedName>
    <definedName name="drtr" localSheetId="0" hidden="1">#REF!</definedName>
    <definedName name="drtr">#REF!</definedName>
    <definedName name="drtrt" localSheetId="0">{"'Estimativa de Lançamento-JAN'!$A$1:$AI$85"}</definedName>
    <definedName name="drtrt">{"'Estimativa de Lançamento-JAN'!$A$1:$AI$85"}</definedName>
    <definedName name="dsdrf" localSheetId="0">{#N/A,#N/A,FALSE,"Plan1";#N/A,#N/A,FALSE,"Plan2"}</definedName>
    <definedName name="dsdrf">{#N/A,#N/A,FALSE,"Plan1";#N/A,#N/A,FALSE,"Plan2"}</definedName>
    <definedName name="dsfdf" localSheetId="0">{#N/A,#N/A,FALSE,"Plan1";#N/A,#N/A,FALSE,"Plan2"}</definedName>
    <definedName name="dsfdf">{#N/A,#N/A,FALSE,"Plan1";#N/A,#N/A,FALSE,"Plan2"}</definedName>
    <definedName name="dsfg" localSheetId="0">{#N/A,#N/A,FALSE,"Plan1";#N/A,#N/A,FALSE,"Plan2"}</definedName>
    <definedName name="dsfg">{#N/A,#N/A,FALSE,"Plan1";#N/A,#N/A,FALSE,"Plan2"}</definedName>
    <definedName name="DSFKDSKH" localSheetId="0">{#N/A,#N/A,FALSE,"Plan1";#N/A,#N/A,FALSE,"Plan2"}</definedName>
    <definedName name="DSFKDSKH">{#N/A,#N/A,FALSE,"Plan1";#N/A,#N/A,FALSE,"Plan2"}</definedName>
    <definedName name="DSF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0">{#N/A,#N/A,FALSE,"Plan1";#N/A,#N/A,FALSE,"Plan2"}</definedName>
    <definedName name="dsfrtyy">{#N/A,#N/A,FALSE,"Plan1";#N/A,#N/A,FALSE,"Plan2"}</definedName>
    <definedName name="DSFSAD" localSheetId="0">{#N/A,#N/A,FALSE,"Plan1";#N/A,#N/A,FALSE,"Plan2"}</definedName>
    <definedName name="DSFSAD">{#N/A,#N/A,FALSE,"Plan1";#N/A,#N/A,FALSE,"Plan2"}</definedName>
    <definedName name="dsfsdf" localSheetId="0">{#N/A,#N/A,FALSE,"Plan1";#N/A,#N/A,FALSE,"Plan2"}</definedName>
    <definedName name="dsfsdf">{#N/A,#N/A,FALSE,"Plan1";#N/A,#N/A,FALSE,"Plan2"}</definedName>
    <definedName name="dsfsdgfb" localSheetId="0">{#N/A,#N/A,FALSE,"Plan1";#N/A,#N/A,FALSE,"Plan2"}</definedName>
    <definedName name="dsfsdgfb">{#N/A,#N/A,FALSE,"Plan1";#N/A,#N/A,FALSE,"Plan2"}</definedName>
    <definedName name="dsgfr" localSheetId="0">{#N/A,#N/A,FALSE,"Plan1";#N/A,#N/A,FALSE,"Plan2"}</definedName>
    <definedName name="dsgfr">{#N/A,#N/A,FALSE,"Plan1";#N/A,#N/A,FALSE,"Plan2"}</definedName>
    <definedName name="dshfkhkrhesru" localSheetId="0">{#N/A,#N/A,FALSE,"Plan1";#N/A,#N/A,FALSE,"Plan2"}</definedName>
    <definedName name="dshfkhkrhesru">{#N/A,#N/A,FALSE,"Plan1";#N/A,#N/A,FALSE,"Plan2"}</definedName>
    <definedName name="dsjkthkr" localSheetId="0">{#N/A,#N/A,FALSE,"Plan1";#N/A,#N/A,FALSE,"Plan2"}</definedName>
    <definedName name="dsjkthkr">{#N/A,#N/A,FALSE,"Plan1";#N/A,#N/A,FALSE,"Plan2"}</definedName>
    <definedName name="dskfdhksdfh">4</definedName>
    <definedName name="DSLFJSLFJ" localSheetId="0">{#N/A,#N/A,FALSE,"Plan1";#N/A,#N/A,FALSE,"Plan2"}</definedName>
    <definedName name="DSLFJSLFJ">{#N/A,#N/A,FALSE,"Plan1";#N/A,#N/A,FALSE,"Plan2"}</definedName>
    <definedName name="dslfkf">4</definedName>
    <definedName name="dsrf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0">{#N/A,#N/A,FALSE,"Plan1";#N/A,#N/A,FALSE,"Plan2"}</definedName>
    <definedName name="dss">{#N/A,#N/A,FALSE,"Plan1";#N/A,#N/A,FALSE,"Plan2"}</definedName>
    <definedName name="dtgsrytt" localSheetId="0">{#N/A,#N/A,FALSE,"Plan1";#N/A,#N/A,FALSE,"Plan2"}</definedName>
    <definedName name="dtgsrytt">{#N/A,#N/A,FALSE,"Plan1";#N/A,#N/A,FALSE,"Plan2"}</definedName>
    <definedName name="dtrjkhtrgkfh" localSheetId="0">{#N/A,#N/A,FALSE,"Plan1";#N/A,#N/A,FALSE,"Plan2"}</definedName>
    <definedName name="dtrjkhtrgkfh">{#N/A,#N/A,FALSE,"Plan1";#N/A,#N/A,FALSE,"Plan2"}</definedName>
    <definedName name="dttjuk" localSheetId="0">{#N/A,#N/A,FALSE,"Plan1";#N/A,#N/A,FALSE,"Plan2"}</definedName>
    <definedName name="dttjuk">{#N/A,#N/A,FALSE,"Plan1";#N/A,#N/A,FALSE,"Plan2"}</definedName>
    <definedName name="dvtr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0">{#N/A,#N/A,FALSE,"Plan1";#N/A,#N/A,FALSE,"Plan2"}</definedName>
    <definedName name="dwetrt">{#N/A,#N/A,FALSE,"Plan1";#N/A,#N/A,FALSE,"Plan2"}</definedName>
    <definedName name="dwqhdjwqgdwq" localSheetId="0">#REF!</definedName>
    <definedName name="dwqhdjwqgdwq">#REF!</definedName>
    <definedName name="DY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0">{#N/A,#N/A,FALSE,"Plan1";#N/A,#N/A,FALSE,"Plan2"}</definedName>
    <definedName name="DYHYGJDHZKGF">{#N/A,#N/A,FALSE,"Plan1";#N/A,#N/A,FALSE,"Plan2"}</definedName>
    <definedName name="dzdfr" localSheetId="0">{#N/A,#N/A,FALSE,"Plan1";#N/A,#N/A,FALSE,"Plan2"}</definedName>
    <definedName name="dzdfr">{#N/A,#N/A,FALSE,"Plan1";#N/A,#N/A,FALSE,"Plan2"}</definedName>
    <definedName name="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0">#REF!</definedName>
    <definedName name="ea">#REF!</definedName>
    <definedName name="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0">{#N/A,#N/A,FALSE,"F-01"}</definedName>
    <definedName name="ECEW">{#N/A,#N/A,FALSE,"F-01"}</definedName>
    <definedName name="ECEW_1" localSheetId="0">{#N/A,#N/A,FALSE,"F-01"}</definedName>
    <definedName name="ECEW_1">{#N/A,#N/A,FALSE,"F-01"}</definedName>
    <definedName name="echart31" localSheetId="0" hidden="1">#REF!</definedName>
    <definedName name="echart31">#REF!</definedName>
    <definedName name="EcoPark" localSheetId="0">#REF!</definedName>
    <definedName name="EcoPark">#REF!</definedName>
    <definedName name="EC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0">{#N/A,#N/A,FALSE,"Plan1";#N/A,#N/A,FALSE,"Plan2"}</definedName>
    <definedName name="EDE">{#N/A,#N/A,FALSE,"Plan1";#N/A,#N/A,FALSE,"Plan2"}</definedName>
    <definedName name="ee" localSheetId="0">#REF!</definedName>
    <definedName name="ee">#REF!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" localSheetId="0">#REF!</definedName>
    <definedName name="EF">#REF!</definedName>
    <definedName name="efestfr" localSheetId="0">{#N/A,#N/A,FALSE,"Plan1";#N/A,#N/A,FALSE,"Plan2"}</definedName>
    <definedName name="efestfr">{#N/A,#N/A,FALSE,"Plan1";#N/A,#N/A,FALSE,"Plan2"}</definedName>
    <definedName name="EFICIÊNCIA" localSheetId="0">#REF!</definedName>
    <definedName name="EFICIÊNCIA">#REF!</definedName>
    <definedName name="Eficiência1" localSheetId="0">#REF!</definedName>
    <definedName name="Eficiência1">#REF!</definedName>
    <definedName name="efrdrt" localSheetId="0">{#N/A,#N/A,FALSE,"Plan1";#N/A,#N/A,FALSE,"Plan2"}</definedName>
    <definedName name="efrdrt">{#N/A,#N/A,FALSE,"Plan1";#N/A,#N/A,FALSE,"Plan2"}</definedName>
    <definedName name="efrg" localSheetId="0">{#N/A,#N/A,FALSE,"Plan1";#N/A,#N/A,FALSE,"Plan2"}</definedName>
    <definedName name="efrg">{#N/A,#N/A,FALSE,"Plan1";#N/A,#N/A,FALSE,"Plan2"}</definedName>
    <definedName name="efsgfr" localSheetId="0">{#N/A,#N/A,FALSE,"Plan1";#N/A,#N/A,FALSE,"Plan2"}</definedName>
    <definedName name="efsgfr">{#N/A,#N/A,FALSE,"Plan1";#N/A,#N/A,FALSE,"Plan2"}</definedName>
    <definedName name="eixo_x_fluxo_graf1" localSheetId="0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0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0">#REF!</definedName>
    <definedName name="eixo_x_graf3_distratos">#REF!</definedName>
    <definedName name="eixo_x_graf3_vendas" localSheetId="0">#REF!</definedName>
    <definedName name="eixo_x_graf3_vendas">#REF!</definedName>
    <definedName name="eixo_y_cury_graf2" localSheetId="0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0">#REF!</definedName>
    <definedName name="eixo_y_graf3">#REF!</definedName>
    <definedName name="eixo_y_socio_graf2" localSheetId="0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0">#REF!</definedName>
    <definedName name="EM">#REF!</definedName>
    <definedName name="Empreend" localSheetId="0">#REF!</definedName>
    <definedName name="Empreend">#REF!</definedName>
    <definedName name="Empreendimentos" localSheetId="0">#REF!</definedName>
    <definedName name="Empreendimentos">#REF!</definedName>
    <definedName name="empresas">#REF!</definedName>
    <definedName name="encanador">#REF!</definedName>
    <definedName name="EPI">#REF!</definedName>
    <definedName name="EQUIP">#REF!</definedName>
    <definedName name="equipamento">#REF!</definedName>
    <definedName name="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0">{#N/A,#N/A,FALSE,"Plan1";#N/A,#N/A,FALSE,"Plan2"}</definedName>
    <definedName name="ergfhyu">{#N/A,#N/A,FALSE,"Plan1";#N/A,#N/A,FALSE,"Plan2"}</definedName>
    <definedName name="erne_cdi" localSheetId="0">#REF!</definedName>
    <definedName name="erne_cdi">#REF!</definedName>
    <definedName name="erne_hist" localSheetId="0">#REF!</definedName>
    <definedName name="erne_hist">#REF!</definedName>
    <definedName name="erne_uss" localSheetId="0">#REF!</definedName>
    <definedName name="erne_uss">#REF!</definedName>
    <definedName name="erte">#REF!</definedName>
    <definedName name="ESGFDSFD" localSheetId="0">{#N/A,#N/A,FALSE,"Plan1";#N/A,#N/A,FALSE,"Plan2"}</definedName>
    <definedName name="ESGFDSFD">{#N/A,#N/A,FALSE,"Plan1";#N/A,#N/A,FALSE,"Plan2"}</definedName>
    <definedName name="esp" localSheetId="0">#REF!</definedName>
    <definedName name="esp">#REF!</definedName>
    <definedName name="ESPESSURA" localSheetId="0">#REF!</definedName>
    <definedName name="ESPESSURA">#REF!</definedName>
    <definedName name="estaca" localSheetId="0">#REF!</definedName>
    <definedName name="estaca">#REF!</definedName>
    <definedName name="estaca3">#REF!</definedName>
    <definedName name="ESTADO">#REF!</definedName>
    <definedName name="estados">#REF!</definedName>
    <definedName name="estagiário">#REF!</definedName>
    <definedName name="ESTOQUE">#REF!</definedName>
    <definedName name="Etq_final">#REF!</definedName>
    <definedName name="EU" localSheetId="0">{#N/A,#N/A,FALSE,"Plan1";#N/A,#N/A,FALSE,"Plan2"}</definedName>
    <definedName name="EU">{#N/A,#N/A,FALSE,"Plan1";#N/A,#N/A,FALSE,"Plan2"}</definedName>
    <definedName name="EV__LASTREFTIME__">39965.7223611111</definedName>
    <definedName name="EVL" localSheetId="0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name="Evol." localSheetId="0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 localSheetId="0">{#N/A,#N/A,FALSE,"Plan1";#N/A,#N/A,FALSE,"Plan2"}</definedName>
    <definedName name="ewfr">{#N/A,#N/A,FALSE,"Plan1";#N/A,#N/A,FALSE,"Plan2"}</definedName>
    <definedName name="exce_cdi" localSheetId="0">#REF!</definedName>
    <definedName name="exce_cdi">#REF!</definedName>
    <definedName name="exce_hist" localSheetId="0">#REF!</definedName>
    <definedName name="exce_hist">#REF!</definedName>
    <definedName name="exce_uss" localSheetId="0">#REF!</definedName>
    <definedName name="exce_uss">#REF!</definedName>
    <definedName name="Excel_BuiltIn__FilterDatabase_1">#REF!</definedName>
    <definedName name="Excel_BuiltIn__FilterDatabase_1_1">#REF!</definedName>
    <definedName name="Excel_BuiltIn__FilterDatabase_6">#REF!</definedName>
    <definedName name="Excel_BuiltIn_Print_Area_0">#REF!</definedName>
    <definedName name="Excel_BuiltIn_Print_Area_1_1">#REF!</definedName>
    <definedName name="Excel_BuiltIn_Print_Titles_1_1_1">#REF!</definedName>
    <definedName name="Excel_BuiltIn_Print_Titles_1_1_4">#REF!</definedName>
    <definedName name="Excel_BuiltIn_Print_Titles_1_1_5">#REF!</definedName>
    <definedName name="Exrate">#REF!</definedName>
    <definedName name="eyruieyteta" localSheetId="0">{#N/A,#N/A,FALSE,"Plan1";#N/A,#N/A,FALSE,"Plan2"}</definedName>
    <definedName name="eyruieyteta">{#N/A,#N/A,FALSE,"Plan1";#N/A,#N/A,FALSE,"Plan2"}</definedName>
    <definedName name="f" localSheetId="0">{#N/A,#N/A,FALSE,"Plan1";#N/A,#N/A,FALSE,"Plan2"}</definedName>
    <definedName name="f">#REF!</definedName>
    <definedName name="FACULDADE" localSheetId="0">#REF!</definedName>
    <definedName name="FACULDADE">#REF!</definedName>
    <definedName name="FAL" localSheetId="0">#REF!</definedName>
    <definedName name="FAL">#REF!</definedName>
    <definedName name="farialima">#REF!</definedName>
    <definedName name="FAS" localSheetId="0">{"'Total'!$A$1","'Total'!$A$3"}</definedName>
    <definedName name="FAS">{"'Total'!$A$1","'Total'!$A$3"}</definedName>
    <definedName name="fasfasf" localSheetId="0">{#N/A,#N/A,TRUE,"Quinzena 01 à 15-04-98 "}</definedName>
    <definedName name="fasfasf">{#N/A,#N/A,TRUE,"Quinzena 01 à 15-04-98 "}</definedName>
    <definedName name="FATOR_K" localSheetId="0">#REF!</definedName>
    <definedName name="FATOR_K">#REF!</definedName>
    <definedName name="FATORK" localSheetId="0">#REF!</definedName>
    <definedName name="FATORK">#REF!</definedName>
    <definedName name="FBancaria" localSheetId="0">#REF!</definedName>
    <definedName name="FBancaria">#REF!</definedName>
    <definedName name="fchart31">#REF!</definedName>
    <definedName name="fddhght" localSheetId="0">{#N/A,#N/A,FALSE,"Plan1";#N/A,#N/A,FALSE,"Plan2"}</definedName>
    <definedName name="fddhght">{#N/A,#N/A,FALSE,"Plan1";#N/A,#N/A,FALSE,"Plan2"}</definedName>
    <definedName name="fdfgd" localSheetId="0">{#N/A,#N/A,FALSE,"Plan1";#N/A,#N/A,FALSE,"Plan2"}</definedName>
    <definedName name="fdfgd">{#N/A,#N/A,FALSE,"Plan1";#N/A,#N/A,FALSE,"Plan2"}</definedName>
    <definedName name="fdf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0">{#N/A,#N/A,FALSE,"Plan1";#N/A,#N/A,FALSE,"Plan2"}</definedName>
    <definedName name="fdgaf">{#N/A,#N/A,FALSE,"Plan1";#N/A,#N/A,FALSE,"Plan2"}</definedName>
    <definedName name="fdgd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0">{#N/A,#N/A,FALSE,"Plan1";#N/A,#N/A,FALSE,"Plan2"}</definedName>
    <definedName name="FDGFDJHGZEDR">{#N/A,#N/A,FALSE,"Plan1";#N/A,#N/A,FALSE,"Plan2"}</definedName>
    <definedName name="fdgfyhygfuj" localSheetId="0">{#N/A,#N/A,FALSE,"Plan1";#N/A,#N/A,FALSE,"Plan2"}</definedName>
    <definedName name="fdgfyhygfuj">{#N/A,#N/A,FALSE,"Plan1";#N/A,#N/A,FALSE,"Plan2"}</definedName>
    <definedName name="fdhgfdf" localSheetId="0">{#N/A,#N/A,FALSE,"Plan1";#N/A,#N/A,FALSE,"Plan2"}</definedName>
    <definedName name="fdhgfdf">{#N/A,#N/A,FALSE,"Plan1";#N/A,#N/A,FALSE,"Plan2"}</definedName>
    <definedName name="fdjfgdfjg" localSheetId="0">{#N/A,#N/A,FALSE,"Plan1";#N/A,#N/A,FALSE,"Plan2"}</definedName>
    <definedName name="fdjfgdfjg">{#N/A,#N/A,FALSE,"Plan1";#N/A,#N/A,FALSE,"Plan2"}</definedName>
    <definedName name="fdjghkshtygt" localSheetId="0">{#N/A,#N/A,FALSE,"Plan1";#N/A,#N/A,FALSE,"Plan2"}</definedName>
    <definedName name="fdjghkshtygt">{#N/A,#N/A,FALSE,"Plan1";#N/A,#N/A,FALSE,"Plan2"}</definedName>
    <definedName name="fdnhgf" localSheetId="0">{"'Estimativa de Lançamento-JAN'!$A$1:$AI$85"}</definedName>
    <definedName name="fdnhgf">{"'Estimativa de Lançamento-JAN'!$A$1:$AI$85"}</definedName>
    <definedName name="fdsf" localSheetId="0">{#N/A,#N/A,FALSE,"Plan1";#N/A,#N/A,FALSE,"Plan2"}</definedName>
    <definedName name="fdsf">{#N/A,#N/A,FALSE,"Plan1";#N/A,#N/A,FALSE,"Plan2"}</definedName>
    <definedName name="FE" localSheetId="0">#REF!</definedName>
    <definedName name="FE">#REF!</definedName>
    <definedName name="fefefefe" localSheetId="0">#REF!</definedName>
    <definedName name="fefefefe">#REF!</definedName>
    <definedName name="FER" localSheetId="0" hidden="1">#REF!</definedName>
    <definedName name="FER">#REF!</definedName>
    <definedName name="fev17RJ">#REF!</definedName>
    <definedName name="FEVEREIRO2001">#REF!</definedName>
    <definedName name="ff">#REF!</definedName>
    <definedName name="fffefes">#REF!</definedName>
    <definedName name="fffff" localSheetId="0">{#N/A,#N/A,FALSE,"Plan1";#N/A,#N/A,FALSE,"Plan2"}</definedName>
    <definedName name="fffff">{#N/A,#N/A,FALSE,"Plan1";#N/A,#N/A,FALSE,"Plan2"}</definedName>
    <definedName name="FFFFFFF" localSheetId="0">#REF!</definedName>
    <definedName name="FFFFFFF">#REF!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0">{#N/A,#N/A,FALSE,"Plan1";#N/A,#N/A,FALSE,"Plan2"}</definedName>
    <definedName name="fg">{#N/A,#N/A,FALSE,"Plan1";#N/A,#N/A,FALSE,"Plan2"}</definedName>
    <definedName name="fgg" localSheetId="0">{"'장비'!$A$3:$M$12"}</definedName>
    <definedName name="fgg">{"'장비'!$A$3:$M$12"}</definedName>
    <definedName name="fghfh" localSheetId="0">{"'Estimativa de Lançamento-JAN'!$A$1:$AI$85"}</definedName>
    <definedName name="fghfh">{"'Estimativa de Lançamento-JAN'!$A$1:$AI$85"}</definedName>
    <definedName name="fghgfh" localSheetId="0">{#N/A,#N/A,FALSE,"Plan1";#N/A,#N/A,FALSE,"Plan2"}</definedName>
    <definedName name="fghgfh">{#N/A,#N/A,FALSE,"Plan1";#N/A,#N/A,FALSE,"Plan2"}</definedName>
    <definedName name="FGJHFGK" localSheetId="0">{#N/A,#N/A,FALSE,"Plan1";#N/A,#N/A,FALSE,"Plan2"}</definedName>
    <definedName name="FGJHFGK">{#N/A,#N/A,FALSE,"Plan1";#N/A,#N/A,FALSE,"Plan2"}</definedName>
    <definedName name="fgktyhd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0">{#N/A,#N/A,FALSE,"Plan1";#N/A,#N/A,FALSE,"Plan2"}</definedName>
    <definedName name="fgtrgty">{#N/A,#N/A,FALSE,"Plan1";#N/A,#N/A,FALSE,"Plan2"}</definedName>
    <definedName name="fgty" localSheetId="0" hidden="1">#REF!</definedName>
    <definedName name="fgty">#REF!</definedName>
    <definedName name="fhgjfgyt" localSheetId="0">{#N/A,#N/A,FALSE,"Plan1";#N/A,#N/A,FALSE,"Plan2"}</definedName>
    <definedName name="fhgjfgyt">{#N/A,#N/A,FALSE,"Plan1";#N/A,#N/A,FALSE,"Plan2"}</definedName>
    <definedName name="fhgjkhtrfg" localSheetId="0">{#N/A,#N/A,FALSE,"Plan1";#N/A,#N/A,FALSE,"Plan2"}</definedName>
    <definedName name="fhgjkhtrfg">{#N/A,#N/A,FALSE,"Plan1";#N/A,#N/A,FALSE,"Plan2"}</definedName>
    <definedName name="FHGTGSRSG" localSheetId="0">{#N/A,#N/A,FALSE,"Plan1";#N/A,#N/A,FALSE,"Plan2"}</definedName>
    <definedName name="FHGTGSRSG">{#N/A,#N/A,FALSE,"Plan1";#N/A,#N/A,FALSE,"Plan2"}</definedName>
    <definedName name="FIEL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0">{#N/A,#N/A,TRUE,"Quinzena 01 à 15-04-98 "}</definedName>
    <definedName name="FILTRO">{#N/A,#N/A,TRUE,"Quinzena 01 à 15-04-98 "}</definedName>
    <definedName name="Filtro_Rel_Sienge" localSheetId="0">#REF!</definedName>
    <definedName name="Filtro_Rel_Sienge">#REF!</definedName>
    <definedName name="Firs_hist" localSheetId="0">#REF!</definedName>
    <definedName name="Firs_hist">#REF!</definedName>
    <definedName name="First_cdi" localSheetId="0">#REF!</definedName>
    <definedName name="First_cdi">#REF!</definedName>
    <definedName name="First_uss">#REF!</definedName>
    <definedName name="fjdhfgjdhtgu" localSheetId="0">{#N/A,#N/A,FALSE,"Plan1";#N/A,#N/A,FALSE,"Plan2"}</definedName>
    <definedName name="fjdhfgjdhtgu">{#N/A,#N/A,FALSE,"Plan1";#N/A,#N/A,FALSE,"Plan2"}</definedName>
    <definedName name="fjfjg" localSheetId="0">{#N/A,#N/A,FALSE,"명세표"}</definedName>
    <definedName name="fjfjg">{#N/A,#N/A,FALSE,"명세표"}</definedName>
    <definedName name="FJG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>{#N/A,#N/A,FALSE,"Plan1";#N/A,#N/A,FALSE,"Plan2"}</definedName>
    <definedName name="FJHJHG">{#N/A,#N/A,FALSE,"Plan1";#N/A,#N/A,FALSE,"Plan2"}</definedName>
    <definedName name="fjtgfh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0">{#N/A,#N/A,FALSE,"Plan1";#N/A,#N/A,FALSE,"Plan2"}</definedName>
    <definedName name="fkfw">{#N/A,#N/A,FALSE,"Plan1";#N/A,#N/A,FALSE,"Plan2"}</definedName>
    <definedName name="f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0">#REF!</definedName>
    <definedName name="FL_1">#REF!</definedName>
    <definedName name="FL_2" localSheetId="0">#REF!</definedName>
    <definedName name="FL_2">#REF!</definedName>
    <definedName name="FL_3">#REF!</definedName>
    <definedName name="Fluxo_captação">#REF!</definedName>
    <definedName name="FOLHA2">#REF!</definedName>
    <definedName name="Format">#REF!</definedName>
    <definedName name="Formato_da_Loja">#REF!</definedName>
    <definedName name="FORMULA">#REF!</definedName>
    <definedName name="FORNECEDOR" localSheetId="0">OFFSET(#REF!,6,0,COUNTA(#REF!))</definedName>
    <definedName name="FORNECEDOR">OFFSET(#REF!,6,0,COUNTA(#REF!))</definedName>
    <definedName name="FORNECEDOR_2">OFFSET(#REF!,6,0,COUNTA(#REF!))</definedName>
    <definedName name="FORNECEDOR_3">OFFSET(#REF!,6,0,COUNTA(#REF!))</definedName>
    <definedName name="FORNECEDOR_4">OFFSET(#REF!,6,0,COUNTA(#REF!))</definedName>
    <definedName name="FORNECEDOR_5">OFFSET(#REF!,6,0,COUNTA(#REF!))</definedName>
    <definedName name="FORNECEDOR_7">OFFSET(#REF!,6,0,COUNTA(#REF!))</definedName>
    <definedName name="FORNECEDOR_8">OFFSET(#REF!,6,0,COUNTA(#REF!))</definedName>
    <definedName name="frçt4r" localSheetId="0">{#N/A,#N/A,FALSE,"Plan1";#N/A,#N/A,FALSE,"Plan2"}</definedName>
    <definedName name="frçt4r">{#N/A,#N/A,FALSE,"Plan1";#N/A,#N/A,FALSE,"Plan2"}</definedName>
    <definedName name="frdtty" localSheetId="0">{#N/A,#N/A,FALSE,"Plan1";#N/A,#N/A,FALSE,"Plan2"}</definedName>
    <definedName name="frdtty">{#N/A,#N/A,FALSE,"Plan1";#N/A,#N/A,FALSE,"Plan2"}</definedName>
    <definedName name="f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0">{#N/A,#N/A,FALSE,"Plan1";#N/A,#N/A,FALSE,"Plan2"}</definedName>
    <definedName name="fuihgjk">{#N/A,#N/A,FALSE,"Plan1";#N/A,#N/A,FALSE,"Plan2"}</definedName>
    <definedName name="fuste" localSheetId="0">#REF!</definedName>
    <definedName name="fuste">#REF!</definedName>
    <definedName name="fxjghkfg" localSheetId="0">{#N/A,#N/A,FALSE,"Plan1";#N/A,#N/A,FALSE,"Plan2"}</definedName>
    <definedName name="fxjghkfg">{#N/A,#N/A,FALSE,"Plan1";#N/A,#N/A,FALSE,"Plan2"}</definedName>
    <definedName name="g_10" localSheetId="0">#REF!</definedName>
    <definedName name="g_10">#REF!</definedName>
    <definedName name="g_11" localSheetId="0">#REF!</definedName>
    <definedName name="g_11">#REF!</definedName>
    <definedName name="g_12" localSheetId="0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2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0">#REF!</definedName>
    <definedName name="GARAGEM">#REF!</definedName>
    <definedName name="garcia" localSheetId="0">#REF!</definedName>
    <definedName name="garcia">#REF!</definedName>
    <definedName name="GASTOS_JULHO" localSheetId="0">#REF!</definedName>
    <definedName name="GASTOS_JULHO">#REF!</definedName>
    <definedName name="gbdjkvhgd" localSheetId="0">{#N/A,#N/A,FALSE,"Plan1";#N/A,#N/A,FALSE,"Plan2"}</definedName>
    <definedName name="gbdjkvhgd">{#N/A,#N/A,FALSE,"Plan1";#N/A,#N/A,FALSE,"Plan2"}</definedName>
    <definedName name="gbdsjgsjfdgj" localSheetId="0">{#N/A,#N/A,FALSE,"Plan1";#N/A,#N/A,FALSE,"Plan2"}</definedName>
    <definedName name="gbdsjgsjfdgj">{#N/A,#N/A,FALSE,"Plan1";#N/A,#N/A,FALSE,"Plan2"}</definedName>
    <definedName name="gdfdhgfjgj" localSheetId="0">{#N/A,#N/A,FALSE,"Plan1";#N/A,#N/A,FALSE,"Plan2"}</definedName>
    <definedName name="gdfdhgfjgj">{#N/A,#N/A,FALSE,"Plan1";#N/A,#N/A,FALSE,"Plan2"}</definedName>
    <definedName name="gdfgdstggt" localSheetId="0">{#N/A,#N/A,FALSE,"Plan1";#N/A,#N/A,FALSE,"Plan2"}</definedName>
    <definedName name="gdfgdstggt">{#N/A,#N/A,FALSE,"Plan1";#N/A,#N/A,FALSE,"Plan2"}</definedName>
    <definedName name="GDFHGRJGFJDRF" localSheetId="0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name="gdfigfhuyuy" localSheetId="0">{#N/A,#N/A,FALSE,"Plan1";#N/A,#N/A,FALSE,"Plan2"}</definedName>
    <definedName name="gdfigfhuyuy">{#N/A,#N/A,FALSE,"Plan1";#N/A,#N/A,FALSE,"Plan2"}</definedName>
    <definedName name="gdfsgfew" localSheetId="0">{#N/A,#N/A,FALSE,"Plan1";#N/A,#N/A,FALSE,"Plan2"}</definedName>
    <definedName name="gdfsgfew">{#N/A,#N/A,FALSE,"Plan1";#N/A,#N/A,FALSE,"Plan2"}</definedName>
    <definedName name="gdhfgdhfgf" localSheetId="0">{#N/A,#N/A,FALSE,"Plan1";#N/A,#N/A,FALSE,"Plan2"}</definedName>
    <definedName name="gdhfgdhfgf">{#N/A,#N/A,FALSE,"Plan1";#N/A,#N/A,FALSE,"Plan2"}</definedName>
    <definedName name="gdsfhefrwrw" localSheetId="0">{#N/A,#N/A,FALSE,"Plan1";#N/A,#N/A,FALSE,"Plan2"}</definedName>
    <definedName name="gdsfhefrwrw">{#N/A,#N/A,FALSE,"Plan1";#N/A,#N/A,FALSE,"Plan2"}</definedName>
    <definedName name="GER_TECNICO" localSheetId="0">#REF!</definedName>
    <definedName name="GER_TECNICO">#REF!</definedName>
    <definedName name="Gerentes" localSheetId="0">#REF!</definedName>
    <definedName name="Gerentes">#REF!</definedName>
    <definedName name="geshrjhed" localSheetId="0">{#N/A,#N/A,FALSE,"Plan1";#N/A,#N/A,FALSE,"Plan2"}</definedName>
    <definedName name="geshrjhed">{#N/A,#N/A,FALSE,"Plan1";#N/A,#N/A,FALSE,"Plan2"}</definedName>
    <definedName name="gestao" localSheetId="0" hidden="1">OFFSET(INDEX(#REF!,MATCH(#REF!,#REF!,0)),1,0,COUNTA(#REF!)-1)</definedName>
    <definedName name="gestao">OFFSET(INDEX(#REF!,MATCH(#REF!,#REF!,0)),1,0,COUNTA(#REF!)-1)</definedName>
    <definedName name="gfdcgnkf" localSheetId="0">{#N/A,#N/A,FALSE,"Plan1";#N/A,#N/A,FALSE,"Plan2"}</definedName>
    <definedName name="gfdcgnkf">{#N/A,#N/A,FALSE,"Plan1";#N/A,#N/A,FALSE,"Plan2"}</definedName>
    <definedName name="gfdjtgur" localSheetId="0">{#N/A,#N/A,FALSE,"Plan1";#N/A,#N/A,FALSE,"Plan2"}</definedName>
    <definedName name="gfdjtgur">{#N/A,#N/A,FALSE,"Plan1";#N/A,#N/A,FALSE,"Plan2"}</definedName>
    <definedName name="gfdrtg" localSheetId="0" hidden="1">#REF!</definedName>
    <definedName name="gfdrtg">#REF!</definedName>
    <definedName name="gfgdhxgfdhf" localSheetId="0">{#N/A,#N/A,FALSE,"Plan1";#N/A,#N/A,FALSE,"Plan2"}</definedName>
    <definedName name="gfgdhxgfdhf">{#N/A,#N/A,FALSE,"Plan1";#N/A,#N/A,FALSE,"Plan2"}</definedName>
    <definedName name="gfhfdtgjb" localSheetId="0">{#N/A,#N/A,FALSE,"Plan1";#N/A,#N/A,FALSE,"Plan2"}</definedName>
    <definedName name="gfhfdtgjb">{#N/A,#N/A,FALSE,"Plan1";#N/A,#N/A,FALSE,"Plan2"}</definedName>
    <definedName name="gfjdshrtjhtged" localSheetId="0">{#N/A,#N/A,FALSE,"Plan1";#N/A,#N/A,FALSE,"Plan2"}</definedName>
    <definedName name="gfjdshrtjhtged">{#N/A,#N/A,FALSE,"Plan1";#N/A,#N/A,FALSE,"Plan2"}</definedName>
    <definedName name="gfjgkddgfd" localSheetId="0">{#N/A,#N/A,FALSE,"Plan1";#N/A,#N/A,FALSE,"Plan2"}</definedName>
    <definedName name="gfjgkddgfd">{#N/A,#N/A,FALSE,"Plan1";#N/A,#N/A,FALSE,"Plan2"}</definedName>
    <definedName name="gfsghjdgygr" localSheetId="0">{#N/A,#N/A,FALSE,"Plan1";#N/A,#N/A,FALSE,"Plan2"}</definedName>
    <definedName name="gfsghjdgygr">{#N/A,#N/A,FALSE,"Plan1";#N/A,#N/A,FALSE,"Plan2"}</definedName>
    <definedName name="gftfy" localSheetId="0">{#N/A,#N/A,FALSE,"Plan1";#N/A,#N/A,FALSE,"Plan2"}</definedName>
    <definedName name="gftfy">{#N/A,#N/A,FALSE,"Plan1";#N/A,#N/A,FALSE,"Plan2"}</definedName>
    <definedName name="gfty" localSheetId="0">{#N/A,#N/A,FALSE,"Plan1";#N/A,#N/A,FALSE,"Plan2"}</definedName>
    <definedName name="gfty">{#N/A,#N/A,FALSE,"Plan1";#N/A,#N/A,FALSE,"Plan2"}</definedName>
    <definedName name="GFUJU9" localSheetId="0">{#N/A,#N/A,FALSE,"Plan1";#N/A,#N/A,FALSE,"Plan2"}</definedName>
    <definedName name="GFUJU9">{#N/A,#N/A,FALSE,"Plan1";#N/A,#N/A,FALSE,"Plan2"}</definedName>
    <definedName name="ggg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0">{"'장비'!$A$3:$M$12"}</definedName>
    <definedName name="GGGG">{#N/A,#N/A,FALSE,"Plan1";#N/A,#N/A,FALSE,"Plan2"}</definedName>
    <definedName name="ggggggggg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0">{"'장비'!$A$3:$M$12"}</definedName>
    <definedName name="gh">{"'장비'!$A$3:$M$12"}</definedName>
    <definedName name="ghfgdfrtert" localSheetId="0">{#N/A,#N/A,FALSE,"Plan1";#N/A,#N/A,FALSE,"Plan2"}</definedName>
    <definedName name="ghfgdfrtert">{#N/A,#N/A,FALSE,"Plan1";#N/A,#N/A,FALSE,"Plan2"}</definedName>
    <definedName name="ghfhghft" localSheetId="0">{#N/A,#N/A,FALSE,"Plan1";#N/A,#N/A,FALSE,"Plan2"}</definedName>
    <definedName name="ghfhghft">{#N/A,#N/A,FALSE,"Plan1";#N/A,#N/A,FALSE,"Plan2"}</definedName>
    <definedName name="ghjg" localSheetId="0">{"'Estimativa de Lançamento-JAN'!$A$1:$AI$85"}</definedName>
    <definedName name="ghjg">{"'Estimativa de Lançamento-JAN'!$A$1:$AI$85"}</definedName>
    <definedName name="ghkfhgh" localSheetId="0">{#N/A,#N/A,FALSE,"Plan1";#N/A,#N/A,FALSE,"Plan2"}</definedName>
    <definedName name="ghkfhgh">{#N/A,#N/A,FALSE,"Plan1";#N/A,#N/A,FALSE,"Plan2"}</definedName>
    <definedName name="ghkjh" localSheetId="0">{#N/A,#N/A,FALSE,"ENG'G(보호계전기)"}</definedName>
    <definedName name="ghkjh">{#N/A,#N/A,FALSE,"ENG'G(보호계전기)"}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0">{#N/A,#N/A,FALSE,"Plan1";#N/A,#N/A,FALSE,"Plan2"}</definedName>
    <definedName name="gjfhjktgcf">{#N/A,#N/A,FALSE,"Plan1";#N/A,#N/A,FALSE,"Plan2"}</definedName>
    <definedName name="GJ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0">{#N/A,#N/A,FALSE,"Plan1";#N/A,#N/A,FALSE,"Plan2"}</definedName>
    <definedName name="gjkhgjhjfggfjhfg">{#N/A,#N/A,FALSE,"Plan1";#N/A,#N/A,FALSE,"Plan2"}</definedName>
    <definedName name="glgl" localSheetId="0">{#N/A,#N/A,FALSE,"Plan1";#N/A,#N/A,FALSE,"Plan2"}</definedName>
    <definedName name="glgl">{#N/A,#N/A,FALSE,"Plan1";#N/A,#N/A,FALSE,"Plan2"}</definedName>
    <definedName name="global" localSheetId="0">{"'Estimativa de Lançamento-JAN'!$A$1:$AI$85"}</definedName>
    <definedName name="GLOBAL">#REF!</definedName>
    <definedName name="gnfrt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0">#REF!</definedName>
    <definedName name="grec_cdi">#REF!</definedName>
    <definedName name="grec_hist" localSheetId="0">#REF!</definedName>
    <definedName name="grec_hist">#REF!</definedName>
    <definedName name="grec_uss" localSheetId="0">#REF!</definedName>
    <definedName name="grec_uss">#REF!</definedName>
    <definedName name="grua">#REF!</definedName>
    <definedName name="GSDWJSTG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0">{#N/A,#N/A,FALSE,"Plan1";#N/A,#N/A,FALSE,"Plan2"}</definedName>
    <definedName name="gtuigsdyugsdf">{#N/A,#N/A,FALSE,"Plan1";#N/A,#N/A,FALSE,"Plan2"}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0">{#N/A,#N/A,FALSE,"CCTV"}</definedName>
    <definedName name="GV">{#N/A,#N/A,FALSE,"CCTV"}</definedName>
    <definedName name="h" localSheetId="0">#REF!</definedName>
    <definedName name="h">#REF!</definedName>
    <definedName name="hbjgjuae" localSheetId="0">#REF!</definedName>
    <definedName name="hbjgjuae">#REF!</definedName>
    <definedName name="hcjfkhdghfktg" localSheetId="0">{#N/A,#N/A,FALSE,"Plan1";#N/A,#N/A,FALSE,"Plan2"}</definedName>
    <definedName name="hcjfkhdghfktg">{#N/A,#N/A,FALSE,"Plan1";#N/A,#N/A,FALSE,"Plan2"}</definedName>
    <definedName name="hckhjfdkgfdg" localSheetId="0" hidden="1">#REF!</definedName>
    <definedName name="hckhjfdkgfdg">#REF!</definedName>
    <definedName name="hddfndgd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0">{#N/A,#N/A,FALSE,"Plan1";#N/A,#N/A,FALSE,"Plan2"}</definedName>
    <definedName name="HDFGHGST">{#N/A,#N/A,FALSE,"Plan1";#N/A,#N/A,FALSE,"Plan2"}</definedName>
    <definedName name="HDFGJKHKFDHTY" localSheetId="0">{#N/A,#N/A,FALSE,"Plan1";#N/A,#N/A,FALSE,"Plan2"}</definedName>
    <definedName name="HDFGJKHKFDHTY">{#N/A,#N/A,FALSE,"Plan1";#N/A,#N/A,FALSE,"Plan2"}</definedName>
    <definedName name="hdfhdhrtgd" localSheetId="0">{#N/A,#N/A,FALSE,"Plan1";#N/A,#N/A,FALSE,"Plan2"}</definedName>
    <definedName name="hdfhdhrtgd">{#N/A,#N/A,FALSE,"Plan1";#N/A,#N/A,FALSE,"Plan2"}</definedName>
    <definedName name="hdfhftde" localSheetId="0">{#N/A,#N/A,FALSE,"Plan1";#N/A,#N/A,FALSE,"Plan2"}</definedName>
    <definedName name="hdfhftde">{#N/A,#N/A,FALSE,"Plan1";#N/A,#N/A,FALSE,"Plan2"}</definedName>
    <definedName name="hdfhgkdhgtrf" localSheetId="0">{#N/A,#N/A,FALSE,"Plan1";#N/A,#N/A,FALSE,"Plan2"}</definedName>
    <definedName name="hdfhgkdhgtrf">{#N/A,#N/A,FALSE,"Plan1";#N/A,#N/A,FALSE,"Plan2"}</definedName>
    <definedName name="hdfjhdkzhgdr" localSheetId="0">{#N/A,#N/A,FALSE,"Plan1";#N/A,#N/A,FALSE,"Plan2"}</definedName>
    <definedName name="hdfjhdkzhgdr">{#N/A,#N/A,FALSE,"Plan1";#N/A,#N/A,FALSE,"Plan2"}</definedName>
    <definedName name="hdfjkgvjgtd" localSheetId="0">{#N/A,#N/A,FALSE,"Plan1";#N/A,#N/A,FALSE,"Plan2"}</definedName>
    <definedName name="hdfjkgvjgtd">{#N/A,#N/A,FALSE,"Plan1";#N/A,#N/A,FALSE,"Plan2"}</definedName>
    <definedName name="hdfjkhdhrute" localSheetId="0">{#N/A,#N/A,FALSE,"Plan1";#N/A,#N/A,FALSE,"Plan2"}</definedName>
    <definedName name="hdfjkhdhrute">{#N/A,#N/A,FALSE,"Plan1";#N/A,#N/A,FALSE,"Plan2"}</definedName>
    <definedName name="HDFKGVF" localSheetId="0">{#N/A,#N/A,FALSE,"Plan1";#N/A,#N/A,FALSE,"Plan2"}</definedName>
    <definedName name="HDFKGVF">{#N/A,#N/A,FALSE,"Plan1";#N/A,#N/A,FALSE,"Plan2"}</definedName>
    <definedName name="hdgfhdgtdrt" localSheetId="0">{#N/A,#N/A,FALSE,"Plan1";#N/A,#N/A,FALSE,"Plan2"}</definedName>
    <definedName name="hdgfhdgtdrt">{#N/A,#N/A,FALSE,"Plan1";#N/A,#N/A,FALSE,"Plan2"}</definedName>
    <definedName name="hdghgtgtrgd" localSheetId="0">{#N/A,#N/A,FALSE,"Plan1";#N/A,#N/A,FALSE,"Plan2"}</definedName>
    <definedName name="hdghgtgtrgd">{#N/A,#N/A,FALSE,"Plan1";#N/A,#N/A,FALSE,"Plan2"}</definedName>
    <definedName name="HDHDGHTUHDTG" localSheetId="0">{#N/A,#N/A,FALSE,"Plan1";#N/A,#N/A,FALSE,"Plan2"}</definedName>
    <definedName name="HDHDGHTUHDTG">{#N/A,#N/A,FALSE,"Plan1";#N/A,#N/A,FALSE,"Plan2"}</definedName>
    <definedName name="hdhghfthrrhy" localSheetId="0">{#N/A,#N/A,FALSE,"Plan1";#N/A,#N/A,FALSE,"Plan2"}</definedName>
    <definedName name="hdhghfthrrhy">{#N/A,#N/A,FALSE,"Plan1";#N/A,#N/A,FALSE,"Plan2"}</definedName>
    <definedName name="hdkfjhydjh" localSheetId="0">{#N/A,#N/A,FALSE,"Plan1";#N/A,#N/A,FALSE,"Plan2"}</definedName>
    <definedName name="hdkfjhydjh">{#N/A,#N/A,FALSE,"Plan1";#N/A,#N/A,FALSE,"Plan2"}</definedName>
    <definedName name="hdsgfgrrdgr" localSheetId="0">{#N/A,#N/A,FALSE,"Plan1";#N/A,#N/A,FALSE,"Plan2"}</definedName>
    <definedName name="hdsgfgrrdgr">{#N/A,#N/A,FALSE,"Plan1";#N/A,#N/A,FALSE,"Plan2"}</definedName>
    <definedName name="hdtertkkdsa" localSheetId="0">{#N/A,#N/A,FALSE,"Plan1";#N/A,#N/A,FALSE,"Plan2"}</definedName>
    <definedName name="hdtertkkdsa">{#N/A,#N/A,FALSE,"Plan1";#N/A,#N/A,FALSE,"Plan2"}</definedName>
    <definedName name="Header" localSheetId="0">#REF!</definedName>
    <definedName name="Header">#REF!</definedName>
    <definedName name="HEDHA" localSheetId="0">{#N/A,#N/A,FALSE,"Plan1";#N/A,#N/A,FALSE,"Plan2"}</definedName>
    <definedName name="HEDHA">{#N/A,#N/A,FALSE,"Plan1";#N/A,#N/A,FALSE,"Plan2"}</definedName>
    <definedName name="hei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0">#REF!</definedName>
    <definedName name="HELP">#REF!</definedName>
    <definedName name="herkfdshfker" localSheetId="0">{#N/A,#N/A,FALSE,"Plan1";#N/A,#N/A,FALSE,"Plan2"}</definedName>
    <definedName name="herkfdshfker">{#N/A,#N/A,FALSE,"Plan1";#N/A,#N/A,FALSE,"Plan2"}</definedName>
    <definedName name="hersdtretyt" localSheetId="0">{#N/A,#N/A,FALSE,"Plan1";#N/A,#N/A,FALSE,"Plan2"}</definedName>
    <definedName name="hersdtretyt">{#N/A,#N/A,FALSE,"Plan1";#N/A,#N/A,FALSE,"Plan2"}</definedName>
    <definedName name="HFDJTHTRS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0">{#N/A,#N/A,FALSE,"Plan1";#N/A,#N/A,FALSE,"Plan2"}</definedName>
    <definedName name="HFDKHGFR">{#N/A,#N/A,FALSE,"Plan1";#N/A,#N/A,FALSE,"Plan2"}</definedName>
    <definedName name="hfdkhgkfdhtj" localSheetId="0">{#N/A,#N/A,FALSE,"Plan1";#N/A,#N/A,FALSE,"Plan2"}</definedName>
    <definedName name="hfdkhgkfdhtj">{#N/A,#N/A,FALSE,"Plan1";#N/A,#N/A,FALSE,"Plan2"}</definedName>
    <definedName name="hfgfktgkhyt" localSheetId="0">{#N/A,#N/A,FALSE,"Plan1";#N/A,#N/A,FALSE,"Plan2"}</definedName>
    <definedName name="hfgfktgkhyt">{#N/A,#N/A,FALSE,"Plan1";#N/A,#N/A,FALSE,"Plan2"}</definedName>
    <definedName name="hfghdkhrgkjg" localSheetId="0">{#N/A,#N/A,FALSE,"Plan1";#N/A,#N/A,FALSE,"Plan2"}</definedName>
    <definedName name="hfghdkhrgkjg">{#N/A,#N/A,FALSE,"Plan1";#N/A,#N/A,FALSE,"Plan2"}</definedName>
    <definedName name="hfighfth" localSheetId="0">{#N/A,#N/A,FALSE,"Plan1";#N/A,#N/A,FALSE,"Plan2"}</definedName>
    <definedName name="hfighfth">{#N/A,#N/A,FALSE,"Plan1";#N/A,#N/A,FALSE,"Plan2"}</definedName>
    <definedName name="hfjghtfuyrf" localSheetId="0">{#N/A,#N/A,FALSE,"Plan1";#N/A,#N/A,FALSE,"Plan2"}</definedName>
    <definedName name="hfjghtfuyrf">{#N/A,#N/A,FALSE,"Plan1";#N/A,#N/A,FALSE,"Plan2"}</definedName>
    <definedName name="HFKJHDJGHFJ" localSheetId="0">{#N/A,#N/A,FALSE,"Plan1";#N/A,#N/A,FALSE,"Plan2"}</definedName>
    <definedName name="HFKJHDJGHFJ">{#N/A,#N/A,FALSE,"Plan1";#N/A,#N/A,FALSE,"Plan2"}</definedName>
    <definedName name="hgdesgfgsj" localSheetId="0">{#N/A,#N/A,FALSE,"Plan1";#N/A,#N/A,FALSE,"Plan2"}</definedName>
    <definedName name="hgdesgfgsj">{#N/A,#N/A,FALSE,"Plan1";#N/A,#N/A,FALSE,"Plan2"}</definedName>
    <definedName name="hgdgfd" localSheetId="0">{#N/A,#N/A,FALSE,"Plan1";#N/A,#N/A,FALSE,"Plan2"}</definedName>
    <definedName name="hgdgfd">{#N/A,#N/A,FALSE,"Plan1";#N/A,#N/A,FALSE,"Plan2"}</definedName>
    <definedName name="hgfhjkdfhj" localSheetId="0">{#N/A,#N/A,FALSE,"Plan1";#N/A,#N/A,FALSE,"Plan2"}</definedName>
    <definedName name="hgfhjkdfhj">{#N/A,#N/A,FALSE,"Plan1";#N/A,#N/A,FALSE,"Plan2"}</definedName>
    <definedName name="hgg" localSheetId="0">{#N/A,#N/A,FALSE,"Plan1";#N/A,#N/A,FALSE,"Plan2"}</definedName>
    <definedName name="hgg">{#N/A,#N/A,FALSE,"Plan1";#N/A,#N/A,FALSE,"Plan2"}</definedName>
    <definedName name="hgjdfgghg" localSheetId="0">{#N/A,#N/A,FALSE,"Plan1";#N/A,#N/A,FALSE,"Plan2"}</definedName>
    <definedName name="hgjdfgghg">{#N/A,#N/A,FALSE,"Plan1";#N/A,#N/A,FALSE,"Plan2"}</definedName>
    <definedName name="hgjkfdhg" localSheetId="0">{#N/A,#N/A,FALSE,"Plan1";#N/A,#N/A,FALSE,"Plan2"}</definedName>
    <definedName name="hgjkfdhg">{#N/A,#N/A,FALSE,"Plan1";#N/A,#N/A,FALSE,"Plan2"}</definedName>
    <definedName name="hgkdfhkfk" localSheetId="0">{#N/A,#N/A,FALSE,"Plan1";#N/A,#N/A,FALSE,"Plan2"}</definedName>
    <definedName name="hgkdfhkfk">{#N/A,#N/A,FALSE,"Plan1";#N/A,#N/A,FALSE,"Plan2"}</definedName>
    <definedName name="hgkjhdfhtrdyt" localSheetId="0">{#N/A,#N/A,FALSE,"Plan1";#N/A,#N/A,FALSE,"Plan2"}</definedName>
    <definedName name="hgkjhdfhtrdyt">{#N/A,#N/A,FALSE,"Plan1";#N/A,#N/A,FALSE,"Plan2"}</definedName>
    <definedName name="hgkjhdfkhgtfhg" localSheetId="0">{#N/A,#N/A,FALSE,"Plan1";#N/A,#N/A,FALSE,"Plan2"}</definedName>
    <definedName name="hgkjhdfkhgtfhg">{#N/A,#N/A,FALSE,"Plan1";#N/A,#N/A,FALSE,"Plan2"}</definedName>
    <definedName name="hgkjhkfhsdkdhgk" localSheetId="0">{#N/A,#N/A,FALSE,"Plan1";#N/A,#N/A,FALSE,"Plan2"}</definedName>
    <definedName name="hgkjhkfhsdkdhgk">{#N/A,#N/A,FALSE,"Plan1";#N/A,#N/A,FALSE,"Plan2"}</definedName>
    <definedName name="hgsufgdhghd" localSheetId="0">{#N/A,#N/A,FALSE,"Plan1";#N/A,#N/A,FALSE,"Plan2"}</definedName>
    <definedName name="hgsufgdhghd">{#N/A,#N/A,FALSE,"Plan1";#N/A,#N/A,FALSE,"Plan2"}</definedName>
    <definedName name="HHGFHTYUT" localSheetId="0">{#N/A,#N/A,FALSE,"Plan1";#N/A,#N/A,FALSE,"Plan2"}</definedName>
    <definedName name="HHGFHTYUT">{#N/A,#N/A,FALSE,"Plan1";#N/A,#N/A,FALSE,"Plan2"}</definedName>
    <definedName name="hhh" localSheetId="0">{"'Total'!$A$1","'Total'!$A$3"}</definedName>
    <definedName name="hhh">{"'Total'!$A$1","'Total'!$A$3"}</definedName>
    <definedName name="HHIHLK" localSheetId="0" hidden="1">#REF!</definedName>
    <definedName name="HHIHLK">#REF!</definedName>
    <definedName name="hik" localSheetId="0">{#N/A,#N/A,FALSE,"TABLE"}</definedName>
    <definedName name="hik">{#N/A,#N/A,FALSE,"TABLE"}</definedName>
    <definedName name="hist" localSheetId="0">#REF!</definedName>
    <definedName name="hist">#REF!</definedName>
    <definedName name="HIST1" localSheetId="0">#REF!</definedName>
    <definedName name="HIST1">#REF!</definedName>
    <definedName name="HISTEQ" localSheetId="0">#REF!</definedName>
    <definedName name="HISTEQ">#REF!</definedName>
    <definedName name="HISTOGRAMA">#REF!</definedName>
    <definedName name="hjdgtjdjxrfg" localSheetId="0">{#N/A,#N/A,FALSE,"Plan1";#N/A,#N/A,FALSE,"Plan2"}</definedName>
    <definedName name="hjdgtjdjxrfg">{#N/A,#N/A,FALSE,"Plan1";#N/A,#N/A,FALSE,"Plan2"}</definedName>
    <definedName name="HJFDGD" localSheetId="0">{#N/A,#N/A,FALSE,"Plan1";#N/A,#N/A,FALSE,"Plan2"}</definedName>
    <definedName name="HJFDGD">{#N/A,#N/A,FALSE,"Plan1";#N/A,#N/A,FALSE,"Plan2"}</definedName>
    <definedName name="HJGASD" localSheetId="0">{#N/A,#N/A,FALSE,"Plan1";#N/A,#N/A,FALSE,"Plan2"}</definedName>
    <definedName name="HJGASD">{#N/A,#N/A,FALSE,"Plan1";#N/A,#N/A,FALSE,"Plan2"}</definedName>
    <definedName name="HJGFGTFDG" localSheetId="0">{#N/A,#N/A,FALSE,"Plan1";#N/A,#N/A,FALSE,"Plan2"}</definedName>
    <definedName name="HJGFGTFDG">{#N/A,#N/A,FALSE,"Plan1";#N/A,#N/A,FALSE,"Plan2"}</definedName>
    <definedName name="hjgfhdsgfhsd" localSheetId="0">{#N/A,#N/A,FALSE,"Plan1";#N/A,#N/A,FALSE,"Plan2"}</definedName>
    <definedName name="hjgfhdsgfhsd">{#N/A,#N/A,FALSE,"Plan1";#N/A,#N/A,FALSE,"Plan2"}</definedName>
    <definedName name="hjgxfjgdjyftr" localSheetId="0">{#N/A,#N/A,FALSE,"Plan1";#N/A,#N/A,FALSE,"Plan2"}</definedName>
    <definedName name="hjgxfjgdjyftr">{#N/A,#N/A,FALSE,"Plan1";#N/A,#N/A,FALSE,"Plan2"}</definedName>
    <definedName name="hjgyugasd" localSheetId="0">{#N/A,#N/A,FALSE,"Plan1";#N/A,#N/A,FALSE,"Plan2"}</definedName>
    <definedName name="hjgyugasd">{#N/A,#N/A,FALSE,"Plan1";#N/A,#N/A,FALSE,"Plan2"}</definedName>
    <definedName name="hjjfyfy" localSheetId="0">{#N/A,#N/A,FALSE,"Plan1";#N/A,#N/A,FALSE,"Plan2"}</definedName>
    <definedName name="hjjfyfy">{#N/A,#N/A,FALSE,"Plan1";#N/A,#N/A,FALSE,"Plan2"}</definedName>
    <definedName name="hjkchkvjhdjkgh" localSheetId="0">{#N/A,#N/A,FALSE,"Plan1";#N/A,#N/A,FALSE,"Plan2"}</definedName>
    <definedName name="hjkchkvjhdjkgh">{#N/A,#N/A,FALSE,"Plan1";#N/A,#N/A,FALSE,"Plan2"}</definedName>
    <definedName name="hjkfjdyht" localSheetId="0">{#N/A,#N/A,FALSE,"Plan1";#N/A,#N/A,FALSE,"Plan2"}</definedName>
    <definedName name="hjkfjdyht">{#N/A,#N/A,FALSE,"Plan1";#N/A,#N/A,FALSE,"Plan2"}</definedName>
    <definedName name="hjsdf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0">{#N/A,#N/A,FALSE,"Plan1";#N/A,#N/A,FALSE,"Plan2"}</definedName>
    <definedName name="hjsdkhk">{#N/A,#N/A,FALSE,"Plan1";#N/A,#N/A,FALSE,"Plan2"}</definedName>
    <definedName name="hjsdsdrjfrh">2</definedName>
    <definedName name="hjsrdfre" localSheetId="0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name="HKewewsr" localSheetId="0">{#N/A,#N/A,FALSE,"Plan1";#N/A,#N/A,FALSE,"Plan2"}</definedName>
    <definedName name="HKewewsr">{#N/A,#N/A,FALSE,"Plan1";#N/A,#N/A,FALSE,"Plan2"}</definedName>
    <definedName name="hkhdskacd" localSheetId="0">{#N/A,#N/A,FALSE,"Plan1";#N/A,#N/A,FALSE,"Plan2"}</definedName>
    <definedName name="hkhdskacd">{#N/A,#N/A,FALSE,"Plan1";#N/A,#N/A,FALSE,"Plan2"}</definedName>
    <definedName name="hkjfgfhgfh" localSheetId="0">{#N/A,#N/A,FALSE,"Plan1";#N/A,#N/A,FALSE,"Plan2"}</definedName>
    <definedName name="hkjfgfhgfh">{#N/A,#N/A,FALSE,"Plan1";#N/A,#N/A,FALSE,"Plan2"}</definedName>
    <definedName name="hkjfhgjkfhghfg" localSheetId="0">{#N/A,#N/A,FALSE,"Plan1";#N/A,#N/A,FALSE,"Plan2"}</definedName>
    <definedName name="hkjfhgjkfhghfg">{#N/A,#N/A,FALSE,"Plan1";#N/A,#N/A,FALSE,"Plan2"}</definedName>
    <definedName name="HKLZHFRH" localSheetId="0">{#N/A,#N/A,FALSE,"Plan1";#N/A,#N/A,FALSE,"Plan2"}</definedName>
    <definedName name="HKLZHFRH">{#N/A,#N/A,FALSE,"Plan1";#N/A,#N/A,FALSE,"Plan2"}</definedName>
    <definedName name="ho" localSheetId="0">{#N/A,#N/A,FALSE,"TABLE"}</definedName>
    <definedName name="ho">{#N/A,#N/A,FALSE,"TABLE"}</definedName>
    <definedName name="HOJE" localSheetId="0">#REF!</definedName>
    <definedName name="HOJE">#REF!</definedName>
    <definedName name="HONORARIOS" localSheetId="0">#REF!</definedName>
    <definedName name="HONORARIOS">#REF!</definedName>
    <definedName name="HOSPEDES" localSheetId="0">#REF!</definedName>
    <definedName name="HOSPEDES">#REF!</definedName>
    <definedName name="HOTEL">#REF!</definedName>
    <definedName name="hrterte" localSheetId="0">{#N/A,#N/A,FALSE,"Plan1";#N/A,#N/A,FALSE,"Plan2"}</definedName>
    <definedName name="hrterte">{#N/A,#N/A,FALSE,"Plan1";#N/A,#N/A,FALSE,"Plan2"}</definedName>
    <definedName name="hsdf" localSheetId="0">{#N/A,#N/A,FALSE,"Plan1";#N/A,#N/A,FALSE,"Plan2"}</definedName>
    <definedName name="hsdf">{#N/A,#N/A,FALSE,"Plan1";#N/A,#N/A,FALSE,"Plan2"}</definedName>
    <definedName name="hsdfgdgudrt" localSheetId="0">{#N/A,#N/A,FALSE,"Plan1";#N/A,#N/A,FALSE,"Plan2"}</definedName>
    <definedName name="hsdfgdgudrt">{#N/A,#N/A,FALSE,"Plan1";#N/A,#N/A,FALSE,"Plan2"}</definedName>
    <definedName name="hsdfjkdhur" localSheetId="0">{#N/A,#N/A,FALSE,"Plan1";#N/A,#N/A,FALSE,"Plan2"}</definedName>
    <definedName name="hsdfjkdhur">{#N/A,#N/A,FALSE,"Plan1";#N/A,#N/A,FALSE,"Plan2"}</definedName>
    <definedName name="hsdgftdh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0">{#N/A,#N/A,FALSE,"Plan1";#N/A,#N/A,FALSE,"Plan2"}</definedName>
    <definedName name="hsdjffd">{#N/A,#N/A,FALSE,"Plan1";#N/A,#N/A,FALSE,"Plan2"}</definedName>
    <definedName name="hsdjffe" localSheetId="0">{#N/A,#N/A,FALSE,"Plan1";#N/A,#N/A,FALSE,"Plan2"}</definedName>
    <definedName name="hsdjffe">{#N/A,#N/A,FALSE,"Plan1";#N/A,#N/A,FALSE,"Plan2"}</definedName>
    <definedName name="HSFIHDTR" localSheetId="0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name="hsfjkdshrgf" localSheetId="0">{#N/A,#N/A,FALSE,"Plan1";#N/A,#N/A,FALSE,"Plan2"}</definedName>
    <definedName name="hsfjkdshrgf">{#N/A,#N/A,FALSE,"Plan1";#N/A,#N/A,FALSE,"Plan2"}</definedName>
    <definedName name="hthhrtetdre" localSheetId="0">{#N/A,#N/A,FALSE,"Plan1";#N/A,#N/A,FALSE,"Plan2"}</definedName>
    <definedName name="hthhrtetdre">{#N/A,#N/A,FALSE,"Plan1";#N/A,#N/A,FALSE,"Plan2"}</definedName>
    <definedName name="HTM" localSheetId="0">#REF!</definedName>
    <definedName name="HTM">#REF!</definedName>
    <definedName name="HTML_CodePage">949</definedName>
    <definedName name="HTML_Control" localSheetId="0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 localSheetId="0">{"'Estimativa de Lançamento-JAN'!$A$1:$AI$85"}</definedName>
    <definedName name="HTML2_CONTROL">{"'Estimativa de Lançamento-JAN'!$A$1:$AI$85"}</definedName>
    <definedName name="HTML3_CONTROL" localSheetId="0">{"'Estimativa de Lançamento-JAN'!$A$1:$AI$85"}</definedName>
    <definedName name="HTML3_CONTROL">{"'Estimativa de Lançamento-JAN'!$A$1:$AI$85"}</definedName>
    <definedName name="HTMLControl" localSheetId="0">{"'Edit'!$A$1:$V$2277"}</definedName>
    <definedName name="HTMLControl">{"'Edit'!$A$1:$V$2277"}</definedName>
    <definedName name="HTN">#REF!</definedName>
    <definedName name="HVJKHGKFXHFD" localSheetId="0">{#N/A,#N/A,FALSE,"Plan1";#N/A,#N/A,FALSE,"Plan2"}</definedName>
    <definedName name="HVJKHGKFXHFD">{#N/A,#N/A,FALSE,"Plan1";#N/A,#N/A,FALSE,"Plan2"}</definedName>
    <definedName name="hwekjhekhf" localSheetId="0">{#N/A,#N/A,FALSE,"Plan1";#N/A,#N/A,FALSE,"Plan2"}</definedName>
    <definedName name="hwekjhekhf">{#N/A,#N/A,FALSE,"Plan1";#N/A,#N/A,FALSE,"Plan2"}</definedName>
    <definedName name="HXFRE" localSheetId="0">{#N/A,#N/A,FALSE,"Plan1";#N/A,#N/A,FALSE,"Plan2"}</definedName>
    <definedName name="HXFRE">{#N/A,#N/A,FALSE,"Plan1";#N/A,#N/A,FALSE,"Plan2"}</definedName>
    <definedName name="HXKJFGDKHG" localSheetId="0">{#N/A,#N/A,FALSE,"Plan1";#N/A,#N/A,FALSE,"Plan2"}</definedName>
    <definedName name="HXKJFGDKHG">{#N/A,#N/A,FALSE,"Plan1";#N/A,#N/A,FALSE,"Plan2"}</definedName>
    <definedName name="I" localSheetId="0">#REF!</definedName>
    <definedName name="I">#REF!</definedName>
    <definedName name="ibir_cdi" localSheetId="0">#REF!</definedName>
    <definedName name="ibir_cdi">#REF!</definedName>
    <definedName name="ibir_hist" localSheetId="0">#REF!</definedName>
    <definedName name="ibir_hist">#REF!</definedName>
    <definedName name="ibir_uss">#REF!</definedName>
    <definedName name="IC">#REF!</definedName>
    <definedName name="icoa_cdi">#REF!</definedName>
    <definedName name="icoa_hist">#REF!</definedName>
    <definedName name="icoa_uss">#REF!</definedName>
    <definedName name="Identificação">#REF!</definedName>
    <definedName name="idfhgkjhfkthy" localSheetId="0">{#N/A,#N/A,FALSE,"Plan1";#N/A,#N/A,FALSE,"Plan2"}</definedName>
    <definedName name="idfhgkjhfkthy">{#N/A,#N/A,FALSE,"Plan1";#N/A,#N/A,FALSE,"Plan2"}</definedName>
    <definedName name="ieroweft" localSheetId="0">{#N/A,#N/A,FALSE,"Plan1";#N/A,#N/A,FALSE,"Plan2"}</definedName>
    <definedName name="ieroweft">{#N/A,#N/A,FALSE,"Plan1";#N/A,#N/A,FALSE,"Plan2"}</definedName>
    <definedName name="iewpotqi5poejy" localSheetId="0">{#N/A,#N/A,FALSE,"Plan1";#N/A,#N/A,FALSE,"Plan2"}</definedName>
    <definedName name="iewpotqi5poejy">{#N/A,#N/A,FALSE,"Plan1";#N/A,#N/A,FALSE,"Plan2"}</definedName>
    <definedName name="ihdfifguhgfuiy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0" hidden="1">#REF!</definedName>
    <definedName name="iheidhgufr">#REF!</definedName>
    <definedName name="ihfdkjhktgrd" localSheetId="0">{#N/A,#N/A,FALSE,"Plan1";#N/A,#N/A,FALSE,"Plan2"}</definedName>
    <definedName name="ihfdkjhktgrd">{#N/A,#N/A,FALSE,"Plan1";#N/A,#N/A,FALSE,"Plan2"}</definedName>
    <definedName name="ihrtetw4r" localSheetId="0">{#N/A,#N/A,FALSE,"Plan1";#N/A,#N/A,FALSE,"Plan2"}</definedName>
    <definedName name="ihrtetw4r">{#N/A,#N/A,FALSE,"Plan1";#N/A,#N/A,FALSE,"Plan2"}</definedName>
    <definedName name="II" localSheetId="0">#REF!</definedName>
    <definedName name="II">#REF!</definedName>
    <definedName name="IIASDSAWE" localSheetId="0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name="III" localSheetId="0">#REF!</definedName>
    <definedName name="III">#REF!</definedName>
    <definedName name="iins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0">{#N/A,#N/A,FALSE,"Plan1";#N/A,#N/A,FALSE,"Plan2"}</definedName>
    <definedName name="ilhweilrji4e">{#N/A,#N/A,FALSE,"Plan1";#N/A,#N/A,FALSE,"Plan2"}</definedName>
    <definedName name="ilsdr4w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0">#REF!</definedName>
    <definedName name="IM">#REF!</definedName>
    <definedName name="IMP" localSheetId="0" hidden="1">#REF!</definedName>
    <definedName name="IMP">#REF!</definedName>
    <definedName name="IMPERMEABILIZ." localSheetId="0">#REF!</definedName>
    <definedName name="IMPERMEABILIZ.">#REF!</definedName>
    <definedName name="IMPF">#REF!</definedName>
    <definedName name="IMPI">#REF!</definedName>
    <definedName name="IMPOSTO">#REF!</definedName>
    <definedName name="INCC">#REF!</definedName>
    <definedName name="Incorido_Aplicado_X_Físico">#REF!</definedName>
    <definedName name="INCORPORAÇÃO">#REF!</definedName>
    <definedName name="Index">#REF!</definedName>
    <definedName name="Indice">#REF!</definedName>
    <definedName name="indice_correcao_proj">#REF!</definedName>
    <definedName name="infra">#REF!</definedName>
    <definedName name="Infra_OBra_Sienge">#REF!</definedName>
    <definedName name="Infra_Projetos_Sienge">#REF!</definedName>
    <definedName name="INFRA2">#REF!</definedName>
    <definedName name="Insa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0">#REF!</definedName>
    <definedName name="INSS_Bloqueado_Fin_Medição">#REF!</definedName>
    <definedName name="Inss_Bloqueado_Previsão_Fin_Medições" localSheetId="0">#REF!</definedName>
    <definedName name="Inss_Bloqueado_Previsão_Fin_Medições">#REF!</definedName>
    <definedName name="instalaçoe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0">OFFSET(#REF!,0,0,COUNTA(#REF!),1)</definedName>
    <definedName name="INSU">OFFSET(#REF!,0,0,COUNTA(#REF!),1)</definedName>
    <definedName name="INSUMOS" localSheetId="0">#REF!</definedName>
    <definedName name="INSUMOS">#REF!</definedName>
    <definedName name="INT.FILTRO.NBASE" localSheetId="0">#REF!</definedName>
    <definedName name="INT.FILTRO.NBASE">#REF!</definedName>
    <definedName name="INTEGRA" localSheetId="0">{"'Edit'!$A$1:$V$2277"}</definedName>
    <definedName name="INTEGRA">{"'Edit'!$A$1:$V$2277"}</definedName>
    <definedName name="IO">196.003</definedName>
    <definedName name="ioeriotyt" localSheetId="0">{#N/A,#N/A,FALSE,"Plan1";#N/A,#N/A,FALSE,"Plan2"}</definedName>
    <definedName name="ioeriotyt">{#N/A,#N/A,FALSE,"Plan1";#N/A,#N/A,FALSE,"Plan2"}</definedName>
    <definedName name="iohudtorh" localSheetId="0">{#N/A,#N/A,FALSE,"Plan1";#N/A,#N/A,FALSE,"Plan2"}</definedName>
    <definedName name="iohudtorh">{#N/A,#N/A,FALSE,"Plan1";#N/A,#N/A,FALSE,"Plan2"}</definedName>
    <definedName name="iojtkheayed" localSheetId="0">{#N/A,#N/A,FALSE,"Plan1";#N/A,#N/A,FALSE,"Plan2"}</definedName>
    <definedName name="iojtkheayed">{#N/A,#N/A,FALSE,"Plan1";#N/A,#N/A,FALSE,"Plan2"}</definedName>
    <definedName name="iouweroieuw4" localSheetId="0">{#N/A,#N/A,FALSE,"Plan1";#N/A,#N/A,FALSE,"Plan2"}</definedName>
    <definedName name="iouweroieuw4">{#N/A,#N/A,FALSE,"Plan1";#N/A,#N/A,FALSE,"Plan2"}</definedName>
    <definedName name="iphifpgh" localSheetId="0">{#N/A,#N/A,FALSE,"Plan1";#N/A,#N/A,FALSE,"Plan2"}</definedName>
    <definedName name="iphifpgh">{#N/A,#N/A,FALSE,"Plan1";#N/A,#N/A,FALSE,"Plan2"}</definedName>
    <definedName name="IPMF" localSheetId="0">#REF!</definedName>
    <definedName name="IPMF">#REF!</definedName>
    <definedName name="ipodsifgpd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0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 localSheetId="0">#REF!</definedName>
    <definedName name="IR_diferido">#REF!</definedName>
    <definedName name="ISOPOR">#REF!</definedName>
    <definedName name="ISS">#REF!</definedName>
    <definedName name="ItalieNS">#REF!</definedName>
    <definedName name="ItalieNT">#REF!</definedName>
    <definedName name="itc_cdi">#REF!</definedName>
    <definedName name="itc_hist">#REF!</definedName>
    <definedName name="itc_uss">#REF!</definedName>
    <definedName name="item_1">#REF!</definedName>
    <definedName name="ITEMCONT">#REF!</definedName>
    <definedName name="ITEMDER">#REF!</definedName>
    <definedName name="ITEMIZAÇÃO">#REF!</definedName>
    <definedName name="ITEMIZAÇÃO_2">#REF!</definedName>
    <definedName name="ITEMIZAÇÃO_3">#REF!</definedName>
    <definedName name="ITEMIZAÇÃO_4">#REF!</definedName>
    <definedName name="ITEMIZAÇÃO_5">#REF!</definedName>
    <definedName name="ITEMIZAÇÃO_7">#REF!</definedName>
    <definedName name="ITEMIZAÇÃO_8">#REF!</definedName>
    <definedName name="ITEMR20">#REF!</definedName>
    <definedName name="ITEM별상세업무분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0">#REF!</definedName>
    <definedName name="ITENS">#REF!</definedName>
    <definedName name="ITENS0" localSheetId="0">#REF!</definedName>
    <definedName name="ITENS0">#REF!</definedName>
    <definedName name="ITENS1" localSheetId="0">#REF!</definedName>
    <definedName name="ITENS1">#REF!</definedName>
    <definedName name="ITENSP">#REF!</definedName>
    <definedName name="ITENSPMED">#REF!</definedName>
    <definedName name="IUGFGDFU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0">#REF!</definedName>
    <definedName name="IV">#REF!</definedName>
    <definedName name="iyguygiyt" localSheetId="0">{#N/A,#N/A,FALSE,"Plan1";#N/A,#N/A,FALSE,"Plan2"}</definedName>
    <definedName name="iyguygiyt">{#N/A,#N/A,FALSE,"Plan1";#N/A,#N/A,FALSE,"Plan2"}</definedName>
    <definedName name="iyuyheturtd" localSheetId="0">{#N/A,#N/A,FALSE,"Plan1";#N/A,#N/A,FALSE,"Plan2"}</definedName>
    <definedName name="iyuyheturtd">{#N/A,#N/A,FALSE,"Plan1";#N/A,#N/A,FALSE,"Plan2"}</definedName>
    <definedName name="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0">{#N/A,#N/A,FALSE,"Plan1";#N/A,#N/A,FALSE,"Plan2"}</definedName>
    <definedName name="jalejdasjf">{#N/A,#N/A,FALSE,"Plan1";#N/A,#N/A,FALSE,"Plan2"}</definedName>
    <definedName name="jan_05" localSheetId="0">#REF!</definedName>
    <definedName name="jan_05">#REF!</definedName>
    <definedName name="jan17RJ" localSheetId="0">#REF!</definedName>
    <definedName name="jan17RJ">#REF!</definedName>
    <definedName name="JANEIRO2001" localSheetId="0">#REF!</definedName>
    <definedName name="JANEIRO2001">#REF!</definedName>
    <definedName name="JASDJS" localSheetId="0">{#N/A,#N/A,FALSE,"Plan1";#N/A,#N/A,FALSE,"Plan2"}</definedName>
    <definedName name="JASDJS">{#N/A,#N/A,FALSE,"Plan1";#N/A,#N/A,FALSE,"Plan2"}</definedName>
    <definedName name="jaskldjlse" localSheetId="0">{#N/A,#N/A,FALSE,"Plan1";#N/A,#N/A,FALSE,"Plan2"}</definedName>
    <definedName name="jaskldjlse">{#N/A,#N/A,FALSE,"Plan1";#N/A,#N/A,FALSE,"Plan2"}</definedName>
    <definedName name="JASLDKLD" localSheetId="0">{#N/A,#N/A,FALSE,"Plan1";#N/A,#N/A,FALSE,"Plan2"}</definedName>
    <definedName name="JASLDKLD">{#N/A,#N/A,FALSE,"Plan1";#N/A,#N/A,FALSE,"Plan2"}</definedName>
    <definedName name="jasoe" localSheetId="0" hidden="1">#REF!</definedName>
    <definedName name="jasoe">#REF!</definedName>
    <definedName name="jbzxffcbgdhgft" localSheetId="0" hidden="1">#REF!</definedName>
    <definedName name="jbzxffcbgdhgft">#REF!</definedName>
    <definedName name="JÇDFHDF" localSheetId="0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name="jdbgftbhr" localSheetId="0">{#N/A,#N/A,FALSE,"Plan1";#N/A,#N/A,FALSE,"Plan2"}</definedName>
    <definedName name="jdbgftbhr">{#N/A,#N/A,FALSE,"Plan1";#N/A,#N/A,FALSE,"Plan2"}</definedName>
    <definedName name="jdfgkrhgft" localSheetId="0" hidden="1">#REF!</definedName>
    <definedName name="jdfgkrhgft">#REF!</definedName>
    <definedName name="jdfgldfjgklh" localSheetId="0">{#N/A,#N/A,FALSE,"Plan1";#N/A,#N/A,FALSE,"Plan2"}</definedName>
    <definedName name="jdfgldfjgklh">{#N/A,#N/A,FALSE,"Plan1";#N/A,#N/A,FALSE,"Plan2"}</definedName>
    <definedName name="jdfhjkdrhjtkg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0">{#N/A,#N/A,FALSE,"Plan1";#N/A,#N/A,FALSE,"Plan2"}</definedName>
    <definedName name="jdfjdtrgt">{#N/A,#N/A,FALSE,"Plan1";#N/A,#N/A,FALSE,"Plan2"}</definedName>
    <definedName name="JDFJLDJR" localSheetId="0">{#N/A,#N/A,FALSE,"Plan1";#N/A,#N/A,FALSE,"Plan2"}</definedName>
    <definedName name="JDFJLDJR">{#N/A,#N/A,FALSE,"Plan1";#N/A,#N/A,FALSE,"Plan2"}</definedName>
    <definedName name="jdfkgitfgdrtt" localSheetId="0">{#N/A,#N/A,FALSE,"Plan1";#N/A,#N/A,FALSE,"Plan2"}</definedName>
    <definedName name="jdfkgitfgdrtt">{#N/A,#N/A,FALSE,"Plan1";#N/A,#N/A,FALSE,"Plan2"}</definedName>
    <definedName name="JDFKHFKJ" localSheetId="0">{#N/A,#N/A,FALSE,"Plan1";#N/A,#N/A,FALSE,"Plan2"}</definedName>
    <definedName name="JDFKHFKJ">{#N/A,#N/A,FALSE,"Plan1";#N/A,#N/A,FALSE,"Plan2"}</definedName>
    <definedName name="jdfklgtdtr" localSheetId="0">{#N/A,#N/A,FALSE,"Plan1";#N/A,#N/A,FALSE,"Plan2"}</definedName>
    <definedName name="jdfklgtdtr">{#N/A,#N/A,FALSE,"Plan1";#N/A,#N/A,FALSE,"Plan2"}</definedName>
    <definedName name="JDFKTHRT" localSheetId="0">{#N/A,#N/A,FALSE,"Plan1";#N/A,#N/A,FALSE,"Plan2"}</definedName>
    <definedName name="JDFKTHRT">{#N/A,#N/A,FALSE,"Plan1";#N/A,#N/A,FALSE,"Plan2"}</definedName>
    <definedName name="JDFLKJDRF" localSheetId="0">{#N/A,#N/A,FALSE,"Plan1";#N/A,#N/A,FALSE,"Plan2"}</definedName>
    <definedName name="JDFLKJDRF">{#N/A,#N/A,FALSE,"Plan1";#N/A,#N/A,FALSE,"Plan2"}</definedName>
    <definedName name="jdfzlkjgfdht" localSheetId="0">{#N/A,#N/A,FALSE,"Plan1";#N/A,#N/A,FALSE,"Plan2"}</definedName>
    <definedName name="jdfzlkjgfdht">{#N/A,#N/A,FALSE,"Plan1";#N/A,#N/A,FALSE,"Plan2"}</definedName>
    <definedName name="jdglhfghkt" localSheetId="0">{#N/A,#N/A,FALSE,"Plan1";#N/A,#N/A,FALSE,"Plan2"}</definedName>
    <definedName name="jdglhfghkt">{#N/A,#N/A,FALSE,"Plan1";#N/A,#N/A,FALSE,"Plan2"}</definedName>
    <definedName name="jdhfjdhgfd" localSheetId="0">{#N/A,#N/A,FALSE,"Plan1";#N/A,#N/A,FALSE,"Plan2"}</definedName>
    <definedName name="jdhfjdhgfd">{#N/A,#N/A,FALSE,"Plan1";#N/A,#N/A,FALSE,"Plan2"}</definedName>
    <definedName name="jdjdjdjd" localSheetId="0">{#N/A,#N/A,FALSE,"명세표"}</definedName>
    <definedName name="jdjdjdjd">{#N/A,#N/A,FALSE,"명세표"}</definedName>
    <definedName name="jdkfhgjhf" localSheetId="0">{#N/A,#N/A,FALSE,"Plan1";#N/A,#N/A,FALSE,"Plan2"}</definedName>
    <definedName name="jdkfhgjhf">{#N/A,#N/A,FALSE,"Plan1";#N/A,#N/A,FALSE,"Plan2"}</definedName>
    <definedName name="jdkfjdtr" localSheetId="0">{#N/A,#N/A,FALSE,"Plan1";#N/A,#N/A,FALSE,"Plan2"}</definedName>
    <definedName name="jdkfjdtr">{#N/A,#N/A,FALSE,"Plan1";#N/A,#N/A,FALSE,"Plan2"}</definedName>
    <definedName name="jdljgftldjti5r" localSheetId="0">{#N/A,#N/A,FALSE,"Plan1";#N/A,#N/A,FALSE,"Plan2"}</definedName>
    <definedName name="jdljgftldjti5r">{#N/A,#N/A,FALSE,"Plan1";#N/A,#N/A,FALSE,"Plan2"}</definedName>
    <definedName name="JDLKJDASGF" localSheetId="0">{#N/A,#N/A,FALSE,"Plan1";#N/A,#N/A,FALSE,"Plan2"}</definedName>
    <definedName name="JDLKJDASGF">{#N/A,#N/A,FALSE,"Plan1";#N/A,#N/A,FALSE,"Plan2"}</definedName>
    <definedName name="jdrfkdjfghrtfjg" localSheetId="0">{#N/A,#N/A,FALSE,"Plan1";#N/A,#N/A,FALSE,"Plan2"}</definedName>
    <definedName name="jdrfkdjfghrtfjg">{#N/A,#N/A,FALSE,"Plan1";#N/A,#N/A,FALSE,"Plan2"}</definedName>
    <definedName name="jdskfhdk" localSheetId="0">{#N/A,#N/A,FALSE,"Plan1";#N/A,#N/A,FALSE,"Plan2"}</definedName>
    <definedName name="jdskfhdk">{#N/A,#N/A,FALSE,"Plan1";#N/A,#N/A,FALSE,"Plan2"}</definedName>
    <definedName name="JDSKLGKDRHGGF" localSheetId="0">{#N/A,#N/A,FALSE,"Plan1";#N/A,#N/A,FALSE,"Plan2"}</definedName>
    <definedName name="JDSKLGKDRHGGF">{#N/A,#N/A,FALSE,"Plan1";#N/A,#N/A,FALSE,"Plan2"}</definedName>
    <definedName name="jefsgfr" localSheetId="0">{#N/A,#N/A,FALSE,"Plan1";#N/A,#N/A,FALSE,"Plan2"}</definedName>
    <definedName name="jefsgfr">{#N/A,#N/A,FALSE,"Plan1";#N/A,#N/A,FALSE,"Plan2"}</definedName>
    <definedName name="JERHIEHYURE" localSheetId="0">{#N/A,#N/A,FALSE,"Plan1";#N/A,#N/A,FALSE,"Plan2"}</definedName>
    <definedName name="JERHIEHYURE">{#N/A,#N/A,FALSE,"Plan1";#N/A,#N/A,FALSE,"Plan2"}</definedName>
    <definedName name="jfddlsrtyty" localSheetId="0">{#N/A,#N/A,FALSE,"Plan1";#N/A,#N/A,FALSE,"Plan2"}</definedName>
    <definedName name="jfddlsrtyty">{#N/A,#N/A,FALSE,"Plan1";#N/A,#N/A,FALSE,"Plan2"}</definedName>
    <definedName name="jfdjtgdjghitfyh" localSheetId="0">{#N/A,#N/A,FALSE,"Plan1";#N/A,#N/A,FALSE,"Plan2"}</definedName>
    <definedName name="jfdjtgdjghitfyh">{#N/A,#N/A,FALSE,"Plan1";#N/A,#N/A,FALSE,"Plan2"}</definedName>
    <definedName name="jfdkgkftftg" localSheetId="0">{#N/A,#N/A,FALSE,"Plan1";#N/A,#N/A,FALSE,"Plan2"}</definedName>
    <definedName name="jfdkgkftftg">{#N/A,#N/A,FALSE,"Plan1";#N/A,#N/A,FALSE,"Plan2"}</definedName>
    <definedName name="jfghjkfdhtkyr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0">{#N/A,#N/A,FALSE,"Plan1";#N/A,#N/A,FALSE,"Plan2"}</definedName>
    <definedName name="JFGJYHTY">{#N/A,#N/A,FALSE,"Plan1";#N/A,#N/A,FALSE,"Plan2"}</definedName>
    <definedName name="jfgkflcnjkglc" localSheetId="0">{#N/A,#N/A,FALSE,"Plan1";#N/A,#N/A,FALSE,"Plan2"}</definedName>
    <definedName name="jfgkflcnjkglc">{#N/A,#N/A,FALSE,"Plan1";#N/A,#N/A,FALSE,"Plan2"}</definedName>
    <definedName name="JFHRE" localSheetId="0">{#N/A,#N/A,FALSE,"Plan1";#N/A,#N/A,FALSE,"Plan2"}</definedName>
    <definedName name="JFHRE">{#N/A,#N/A,FALSE,"Plan1";#N/A,#N/A,FALSE,"Plan2"}</definedName>
    <definedName name="jfkdls5jtirjd" localSheetId="0">{#N/A,#N/A,FALSE,"Plan1";#N/A,#N/A,FALSE,"Plan2"}</definedName>
    <definedName name="jfkdls5jtirjd">{#N/A,#N/A,FALSE,"Plan1";#N/A,#N/A,FALSE,"Plan2"}</definedName>
    <definedName name="jfkljdkfcj" localSheetId="0">{#N/A,#N/A,FALSE,"Plan1";#N/A,#N/A,FALSE,"Plan2"}</definedName>
    <definedName name="jfkljdkfcj">{#N/A,#N/A,FALSE,"Plan1";#N/A,#N/A,FALSE,"Plan2"}</definedName>
    <definedName name="jfkrhdtghdut" localSheetId="0">{#N/A,#N/A,FALSE,"Plan1";#N/A,#N/A,FALSE,"Plan2"}</definedName>
    <definedName name="jfkrhdtghdut">{#N/A,#N/A,FALSE,"Plan1";#N/A,#N/A,FALSE,"Plan2"}</definedName>
    <definedName name="JFRESR" localSheetId="0">{#N/A,#N/A,FALSE,"Plan1";#N/A,#N/A,FALSE,"Plan2"}</definedName>
    <definedName name="JFRESR">{#N/A,#N/A,FALSE,"Plan1";#N/A,#N/A,FALSE,"Plan2"}</definedName>
    <definedName name="jgdfdgfjgdj" localSheetId="0">{#N/A,#N/A,FALSE,"Plan1";#N/A,#N/A,FALSE,"Plan2"}</definedName>
    <definedName name="jgdfdgfjgdj">{#N/A,#N/A,FALSE,"Plan1";#N/A,#N/A,FALSE,"Plan2"}</definedName>
    <definedName name="jgdfght" localSheetId="0">{#N/A,#N/A,FALSE,"Plan1";#N/A,#N/A,FALSE,"Plan2"}</definedName>
    <definedName name="jgdfght">{#N/A,#N/A,FALSE,"Plan1";#N/A,#N/A,FALSE,"Plan2"}</definedName>
    <definedName name="jgfgdsgfdhrf" localSheetId="0">{#N/A,#N/A,FALSE,"Plan1";#N/A,#N/A,FALSE,"Plan2"}</definedName>
    <definedName name="jgfgdsgfdhrf">{#N/A,#N/A,FALSE,"Plan1";#N/A,#N/A,FALSE,"Plan2"}</definedName>
    <definedName name="JGFJGTFT" localSheetId="0">{#N/A,#N/A,FALSE,"Plan1";#N/A,#N/A,FALSE,"Plan2"}</definedName>
    <definedName name="JGFJGTFT">{#N/A,#N/A,FALSE,"Plan1";#N/A,#N/A,FALSE,"Plan2"}</definedName>
    <definedName name="JGJSFJKSDGB">17</definedName>
    <definedName name="jgkjkhjuftgi" localSheetId="0">{#N/A,#N/A,FALSE,"Plan1";#N/A,#N/A,FALSE,"Plan2"}</definedName>
    <definedName name="jgkjkhjuftgi">{#N/A,#N/A,FALSE,"Plan1";#N/A,#N/A,FALSE,"Plan2"}</definedName>
    <definedName name="jh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0">{#N/A,#N/A,FALSE,"Plan1";#N/A,#N/A,FALSE,"Plan2"}</definedName>
    <definedName name="jhdfjjhirft">{#N/A,#N/A,FALSE,"Plan1";#N/A,#N/A,FALSE,"Plan2"}</definedName>
    <definedName name="jhdfjkhtrdhf" localSheetId="0">{#N/A,#N/A,FALSE,"Plan1";#N/A,#N/A,FALSE,"Plan2"}</definedName>
    <definedName name="jhdfjkhtrdhf">{#N/A,#N/A,FALSE,"Plan1";#N/A,#N/A,FALSE,"Plan2"}</definedName>
    <definedName name="jhdfuthr" localSheetId="0">{#N/A,#N/A,FALSE,"Plan1";#N/A,#N/A,FALSE,"Plan2"}</definedName>
    <definedName name="jhdfuthr">{#N/A,#N/A,FALSE,"Plan1";#N/A,#N/A,FALSE,"Plan2"}</definedName>
    <definedName name="JHDFZGRDHF" localSheetId="0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name="JHERKHKFGH" localSheetId="0">{#N/A,#N/A,FALSE,"Plan1";#N/A,#N/A,FALSE,"Plan2"}</definedName>
    <definedName name="JHERKHKFGH">{#N/A,#N/A,FALSE,"Plan1";#N/A,#N/A,FALSE,"Plan2"}</definedName>
    <definedName name="jhfhhztfhe" localSheetId="0" hidden="1">#REF!</definedName>
    <definedName name="jhfhhztfhe">#REF!</definedName>
    <definedName name="JHGKJFJFJGL" localSheetId="0">{#N/A,#N/A,FALSE,"Plan1";#N/A,#N/A,FALSE,"Plan2"}</definedName>
    <definedName name="JHGKJFJFJGL">{#N/A,#N/A,FALSE,"Plan1";#N/A,#N/A,FALSE,"Plan2"}</definedName>
    <definedName name="jhsdjkhfuks" localSheetId="0">{#N/A,#N/A,FALSE,"Plan1";#N/A,#N/A,FALSE,"Plan2"}</definedName>
    <definedName name="jhsdjkhfuks">{#N/A,#N/A,FALSE,"Plan1";#N/A,#N/A,FALSE,"Plan2"}</definedName>
    <definedName name="jisdrkje" localSheetId="0">{#N/A,#N/A,FALSE,"Plan1";#N/A,#N/A,FALSE,"Plan2"}</definedName>
    <definedName name="jisdrkje">{#N/A,#N/A,FALSE,"Plan1";#N/A,#N/A,FALSE,"Plan2"}</definedName>
    <definedName name="jishfrieyhtau" localSheetId="0">{#N/A,#N/A,FALSE,"Plan1";#N/A,#N/A,FALSE,"Plan2"}</definedName>
    <definedName name="jishfrieyhtau">{#N/A,#N/A,FALSE,"Plan1";#N/A,#N/A,FALSE,"Plan2"}</definedName>
    <definedName name="ji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0">{"'Apr-00'!$B$4:$AD$44"}</definedName>
    <definedName name="jj">{"'Apr-00'!$B$4:$AD$44"}</definedName>
    <definedName name="jjfdsktyhhy" localSheetId="0">{#N/A,#N/A,FALSE,"Plan1";#N/A,#N/A,FALSE,"Plan2"}</definedName>
    <definedName name="jjfdsktyhhy">{#N/A,#N/A,FALSE,"Plan1";#N/A,#N/A,FALSE,"Plan2"}</definedName>
    <definedName name="jjjjjjjjjjjjjjjjjjjj" localSheetId="0">#REF!</definedName>
    <definedName name="jjjjjjjjjjjjjjjjjjjj">#REF!</definedName>
    <definedName name="jjkjkjk" localSheetId="0">{#N/A,#N/A,FALSE,"Plan1";#N/A,#N/A,FALSE,"Plan2"}</definedName>
    <definedName name="jjkjkjk">{#N/A,#N/A,FALSE,"Plan1";#N/A,#N/A,FALSE,"Plan2"}</definedName>
    <definedName name="JKDCK" localSheetId="0">{#N/A,#N/A,FALSE,"Plan1";#N/A,#N/A,FALSE,"Plan2"}</definedName>
    <definedName name="JKDCK">{#N/A,#N/A,FALSE,"Plan1";#N/A,#N/A,FALSE,"Plan2"}</definedName>
    <definedName name="JKDFHKHFR" localSheetId="0">{#N/A,#N/A,FALSE,"Plan1";#N/A,#N/A,FALSE,"Plan2"}</definedName>
    <definedName name="JKDFHKHFR">{#N/A,#N/A,FALSE,"Plan1";#N/A,#N/A,FALSE,"Plan2"}</definedName>
    <definedName name="JKDFTRDRJ" localSheetId="0">{#N/A,#N/A,FALSE,"Plan1";#N/A,#N/A,FALSE,"Plan2"}</definedName>
    <definedName name="JKDFTRDRJ">{#N/A,#N/A,FALSE,"Plan1";#N/A,#N/A,FALSE,"Plan2"}</definedName>
    <definedName name="jkdhfukhddf" localSheetId="0">{#N/A,#N/A,FALSE,"Plan1";#N/A,#N/A,FALSE,"Plan2"}</definedName>
    <definedName name="jkdhfukhddf">{#N/A,#N/A,FALSE,"Plan1";#N/A,#N/A,FALSE,"Plan2"}</definedName>
    <definedName name="JKDRKGJHTD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0">{#N/A,#N/A,FALSE,"Plan1";#N/A,#N/A,FALSE,"Plan2"}</definedName>
    <definedName name="jkelsjreja">{#N/A,#N/A,FALSE,"Plan1";#N/A,#N/A,FALSE,"Plan2"}</definedName>
    <definedName name="jkfhjgkfhghh" localSheetId="0">{#N/A,#N/A,FALSE,"Plan1";#N/A,#N/A,FALSE,"Plan2"}</definedName>
    <definedName name="jkfhjgkfhghh">{#N/A,#N/A,FALSE,"Plan1";#N/A,#N/A,FALSE,"Plan2"}</definedName>
    <definedName name="jkhderjkhes" localSheetId="0">{#N/A,#N/A,FALSE,"Plan1";#N/A,#N/A,FALSE,"Plan2"}</definedName>
    <definedName name="jkhderjkhes">{#N/A,#N/A,FALSE,"Plan1";#N/A,#N/A,FALSE,"Plan2"}</definedName>
    <definedName name="jkhdfhfd" localSheetId="0">{#N/A,#N/A,FALSE,"Plan1";#N/A,#N/A,FALSE,"Plan2"}</definedName>
    <definedName name="jkhdfhfd">{#N/A,#N/A,FALSE,"Plan1";#N/A,#N/A,FALSE,"Plan2"}</definedName>
    <definedName name="jkhfhes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0">{#N/A,#N/A,FALSE,"Plan1";#N/A,#N/A,FALSE,"Plan2"}</definedName>
    <definedName name="JKHFKJHGKFTHUDET">{#N/A,#N/A,FALSE,"Plan1";#N/A,#N/A,FALSE,"Plan2"}</definedName>
    <definedName name="JKHGDHFUHTG" localSheetId="0">{#N/A,#N/A,FALSE,"Plan1";#N/A,#N/A,FALSE,"Plan2"}</definedName>
    <definedName name="JKHGDHFUHTG">{#N/A,#N/A,FALSE,"Plan1";#N/A,#N/A,FALSE,"Plan2"}</definedName>
    <definedName name="jkhsdzjkfyiu" localSheetId="0">{#N/A,#N/A,FALSE,"Plan1";#N/A,#N/A,FALSE,"Plan2"}</definedName>
    <definedName name="jkhsdzjkfyiu">{#N/A,#N/A,FALSE,"Plan1";#N/A,#N/A,FALSE,"Plan2"}</definedName>
    <definedName name="jkjsdkhfdhrf" localSheetId="0">{#N/A,#N/A,FALSE,"Plan1";#N/A,#N/A,FALSE,"Plan2"}</definedName>
    <definedName name="jkjsdkhfdhrf">{#N/A,#N/A,FALSE,"Plan1";#N/A,#N/A,FALSE,"Plan2"}</definedName>
    <definedName name="jklgfsjgtjtg" localSheetId="0">{#N/A,#N/A,FALSE,"Plan1";#N/A,#N/A,FALSE,"Plan2"}</definedName>
    <definedName name="jklgfsjgtjtg">{#N/A,#N/A,FALSE,"Plan1";#N/A,#N/A,FALSE,"Plan2"}</definedName>
    <definedName name="jksldfjsdhf" localSheetId="0">{#N/A,#N/A,FALSE,"Plan1";#N/A,#N/A,FALSE,"Plan2"}</definedName>
    <definedName name="jksldfjsdhf">{#N/A,#N/A,FALSE,"Plan1";#N/A,#N/A,FALSE,"Plan2"}</definedName>
    <definedName name="jkxhcjkhfr" localSheetId="0">{#N/A,#N/A,FALSE,"Plan1";#N/A,#N/A,FALSE,"Plan2"}</definedName>
    <definedName name="jkxhcjkhfr">{#N/A,#N/A,FALSE,"Plan1";#N/A,#N/A,FALSE,"Plan2"}</definedName>
    <definedName name="JNGCKFKJFGH" localSheetId="0">{#N/A,#N/A,FALSE,"Plan1";#N/A,#N/A,FALSE,"Plan2"}</definedName>
    <definedName name="JNGCKFKJFGH">{#N/A,#N/A,FALSE,"Plan1";#N/A,#N/A,FALSE,"Plan2"}</definedName>
    <definedName name="JOALDO" localSheetId="0">#REF!</definedName>
    <definedName name="JOALDO">#REF!</definedName>
    <definedName name="joao_cdi" localSheetId="0">#REF!</definedName>
    <definedName name="joao_cdi">#REF!</definedName>
    <definedName name="joao_hist" localSheetId="0">#REF!</definedName>
    <definedName name="joao_hist">#REF!</definedName>
    <definedName name="joao_uss">#REF!</definedName>
    <definedName name="JREJRW" localSheetId="0">{#N/A,#N/A,FALSE,"Plan1";#N/A,#N/A,FALSE,"Plan2"}</definedName>
    <definedName name="JREJRW">{#N/A,#N/A,FALSE,"Plan1";#N/A,#N/A,FALSE,"Plan2"}</definedName>
    <definedName name="JSADKAH" localSheetId="0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name="JSDAJRE" localSheetId="0">{#N/A,#N/A,FALSE,"Plan1";#N/A,#N/A,FALSE,"Plan2"}</definedName>
    <definedName name="JSDAJRE">{#N/A,#N/A,FALSE,"Plan1";#N/A,#N/A,FALSE,"Plan2"}</definedName>
    <definedName name="jsdffs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0">{#N/A,#N/A,FALSE,"Plan1";#N/A,#N/A,FALSE,"Plan2"}</definedName>
    <definedName name="jsdfjgx">{#N/A,#N/A,FALSE,"Plan1";#N/A,#N/A,FALSE,"Plan2"}</definedName>
    <definedName name="jsdfkgnfr" localSheetId="0" hidden="1">#REF!</definedName>
    <definedName name="jsdfkgnfr">#REF!</definedName>
    <definedName name="jsdfsdfd" localSheetId="0">{#N/A,#N/A,FALSE,"Plan1";#N/A,#N/A,FALSE,"Plan2"}</definedName>
    <definedName name="jsdfsdfd">{#N/A,#N/A,FALSE,"Plan1";#N/A,#N/A,FALSE,"Plan2"}</definedName>
    <definedName name="jsdljficd" localSheetId="0">{#N/A,#N/A,FALSE,"Plan1";#N/A,#N/A,FALSE,"Plan2"}</definedName>
    <definedName name="jsdljficd">{#N/A,#N/A,FALSE,"Plan1";#N/A,#N/A,FALSE,"Plan2"}</definedName>
    <definedName name="JSDTLFJDRG" localSheetId="0">{#N/A,#N/A,FALSE,"Plan1";#N/A,#N/A,FALSE,"Plan2"}</definedName>
    <definedName name="JSDTLFJDRG">{#N/A,#N/A,FALSE,"Plan1";#N/A,#N/A,FALSE,"Plan2"}</definedName>
    <definedName name="jsfjsjferwea" localSheetId="0">{#N/A,#N/A,FALSE,"Plan1";#N/A,#N/A,FALSE,"Plan2"}</definedName>
    <definedName name="jsfjsjferwea">{#N/A,#N/A,FALSE,"Plan1";#N/A,#N/A,FALSE,"Plan2"}</definedName>
    <definedName name="jslrjer" localSheetId="0">{#N/A,#N/A,FALSE,"Plan1";#N/A,#N/A,FALSE,"Plan2"}</definedName>
    <definedName name="jslrjer">{#N/A,#N/A,FALSE,"Plan1";#N/A,#N/A,FALSE,"Plan2"}</definedName>
    <definedName name="juklhkhdf" localSheetId="0">{#N/A,#N/A,FALSE,"Plan1";#N/A,#N/A,FALSE,"Plan2"}</definedName>
    <definedName name="juklhkhdf">{#N/A,#N/A,FALSE,"Plan1";#N/A,#N/A,FALSE,"Plan2"}</definedName>
    <definedName name="jul17RJ" localSheetId="0">#REF!</definedName>
    <definedName name="jul17RJ">#REF!</definedName>
    <definedName name="JULHO" localSheetId="0">#REF!</definedName>
    <definedName name="JULHO">#REF!</definedName>
    <definedName name="JULHO2001" localSheetId="0">#REF!</definedName>
    <definedName name="JULHO2001">#REF!</definedName>
    <definedName name="JULHO99" localSheetId="0">{#N/A,#N/A,TRUE,"Quinzena 01 à 15-04-98 "}</definedName>
    <definedName name="JULHO99">{#N/A,#N/A,TRUE,"Quinzena 01 à 15-04-98 "}</definedName>
    <definedName name="jun17RJ" localSheetId="0">#REF!</definedName>
    <definedName name="jun17RJ">#REF!</definedName>
    <definedName name="JUNHO" localSheetId="0">#REF!</definedName>
    <definedName name="JUNHO">#REF!</definedName>
    <definedName name="JUNHO2001" localSheetId="0">#REF!</definedName>
    <definedName name="JUNHO2001">#REF!</definedName>
    <definedName name="JurosTpMes">#REF!</definedName>
    <definedName name="jwekljd" localSheetId="0">{#N/A,#N/A,FALSE,"Plan1";#N/A,#N/A,FALSE,"Plan2"}</definedName>
    <definedName name="jwekljd">{#N/A,#N/A,FALSE,"Plan1";#N/A,#N/A,FALSE,"Plan2"}</definedName>
    <definedName name="JWEOITORU5Y" localSheetId="0">{#N/A,#N/A,FALSE,"Plan1";#N/A,#N/A,FALSE,"Plan2"}</definedName>
    <definedName name="JWEOITORU5Y">{#N/A,#N/A,FALSE,"Plan1";#N/A,#N/A,FALSE,"Plan2"}</definedName>
    <definedName name="jxdfjsrf" localSheetId="0">{#N/A,#N/A,FALSE,"Plan1";#N/A,#N/A,FALSE,"Plan2"}</definedName>
    <definedName name="jxdfjsrf">{#N/A,#N/A,FALSE,"Plan1";#N/A,#N/A,FALSE,"Plan2"}</definedName>
    <definedName name="jxdklfj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0" hidden="1">#REF!</definedName>
    <definedName name="JY">#REF!</definedName>
    <definedName name="jzsdjkszl" localSheetId="0">{#N/A,#N/A,FALSE,"Plan1";#N/A,#N/A,FALSE,"Plan2"}</definedName>
    <definedName name="jzsdjkszl">{#N/A,#N/A,FALSE,"Plan1";#N/A,#N/A,FALSE,"Plan2"}</definedName>
    <definedName name="JZXFKLJLDJF" localSheetId="0">{#N/A,#N/A,FALSE,"Plan1";#N/A,#N/A,FALSE,"Plan2"}</definedName>
    <definedName name="JZXFKLJLDJF">{#N/A,#N/A,FALSE,"Plan1";#N/A,#N/A,FALSE,"Plan2"}</definedName>
    <definedName name="jzxklfdlvgfg" localSheetId="0">{#N/A,#N/A,FALSE,"Plan1";#N/A,#N/A,FALSE,"Plan2"}</definedName>
    <definedName name="jzxklfdlvgfg">{#N/A,#N/A,FALSE,"Plan1";#N/A,#N/A,FALSE,"Plan2"}</definedName>
    <definedName name="k" localSheetId="0">{#N/A,#N/A,FALSE,"Plan1";#N/A,#N/A,FALSE,"Plan2"}</definedName>
    <definedName name="k">{#N/A,#N/A,FALSE,"Plan1";#N/A,#N/A,FALSE,"Plan2"}</definedName>
    <definedName name="K_1" localSheetId="0">#REF!</definedName>
    <definedName name="K_1">#REF!</definedName>
    <definedName name="kaedkroswr" localSheetId="0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name="kapa" localSheetId="0">#REF!</definedName>
    <definedName name="kapa">#REF!</definedName>
    <definedName name="kç\lKçaksdçaqew" localSheetId="0" hidden="1">{#N/A,#N/A,FALSE,"Plan1";#N/A,#N/A,FALSE,"Plan2"}</definedName>
    <definedName name="kç\lKçaksdçaqew" hidden="1">{#N/A,#N/A,FALSE,"Plan1";#N/A,#N/A,FALSE,"Plan2"}</definedName>
    <definedName name="kçdasekr" localSheetId="0">{#N/A,#N/A,FALSE,"Plan1";#N/A,#N/A,FALSE,"Plan2"}</definedName>
    <definedName name="kçdasekr">{#N/A,#N/A,FALSE,"Plan1";#N/A,#N/A,FALSE,"Plan2"}</definedName>
    <definedName name="kçfdljtredr" localSheetId="0">{#N/A,#N/A,FALSE,"Plan1";#N/A,#N/A,FALSE,"Plan2"}</definedName>
    <definedName name="kçfdljtredr">{#N/A,#N/A,FALSE,"Plan1";#N/A,#N/A,FALSE,"Plan2"}</definedName>
    <definedName name="KCIVIL" localSheetId="0">#REF!</definedName>
    <definedName name="KCIVIL">#REF!</definedName>
    <definedName name="kclçkglf" localSheetId="0">{#N/A,#N/A,FALSE,"Plan1";#N/A,#N/A,FALSE,"Plan2"}</definedName>
    <definedName name="kclçkglf">{#N/A,#N/A,FALSE,"Plan1";#N/A,#N/A,FALSE,"Plan2"}</definedName>
    <definedName name="kçlkasçkere" localSheetId="0">{#N/A,#N/A,FALSE,"Plan1";#N/A,#N/A,FALSE,"Plan2"}</definedName>
    <definedName name="kçlkasçkere">{#N/A,#N/A,FALSE,"Plan1";#N/A,#N/A,FALSE,"Plan2"}</definedName>
    <definedName name="kdfbngtjkbf" localSheetId="0">{#N/A,#N/A,FALSE,"Plan1";#N/A,#N/A,FALSE,"Plan2"}</definedName>
    <definedName name="kdfbngtjkbf">{#N/A,#N/A,FALSE,"Plan1";#N/A,#N/A,FALSE,"Plan2"}</definedName>
    <definedName name="kdfhkghkrh" localSheetId="0">{#N/A,#N/A,FALSE,"Plan1";#N/A,#N/A,FALSE,"Plan2"}</definedName>
    <definedName name="kdfhkghkrh">{#N/A,#N/A,FALSE,"Plan1";#N/A,#N/A,FALSE,"Plan2"}</definedName>
    <definedName name="kdfier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0">{#N/A,#N/A,FALSE,"Plan1";#N/A,#N/A,FALSE,"Plan2"}</definedName>
    <definedName name="kdfkçrkf">{#N/A,#N/A,FALSE,"Plan1";#N/A,#N/A,FALSE,"Plan2"}</definedName>
    <definedName name="kdfljlfr" localSheetId="0">{#N/A,#N/A,FALSE,"Plan1";#N/A,#N/A,FALSE,"Plan2"}</definedName>
    <definedName name="kdfljlfr">{#N/A,#N/A,FALSE,"Plan1";#N/A,#N/A,FALSE,"Plan2"}</definedName>
    <definedName name="kdhfgkdfhytgu" localSheetId="0">{#N/A,#N/A,FALSE,"Plan1";#N/A,#N/A,FALSE,"Plan2"}</definedName>
    <definedName name="kdhfgkdfhytgu">{#N/A,#N/A,FALSE,"Plan1";#N/A,#N/A,FALSE,"Plan2"}</definedName>
    <definedName name="kdhgftfg" localSheetId="0">{#N/A,#N/A,FALSE,"Plan1";#N/A,#N/A,FALSE,"Plan2"}</definedName>
    <definedName name="kdhgftfg">{#N/A,#N/A,FALSE,"Plan1";#N/A,#N/A,FALSE,"Plan2"}</definedName>
    <definedName name="KDHKFGKKHGF" localSheetId="0">{#N/A,#N/A,FALSE,"Plan1";#N/A,#N/A,FALSE,"Plan2"}</definedName>
    <definedName name="KDHKFGKKHGF">{#N/A,#N/A,FALSE,"Plan1";#N/A,#N/A,FALSE,"Plan2"}</definedName>
    <definedName name="kdjfdr" localSheetId="0" hidden="1">#REF!</definedName>
    <definedName name="kdjfdr">#REF!</definedName>
    <definedName name="kdjgkfjgd" localSheetId="0">{#N/A,#N/A,FALSE,"Plan1";#N/A,#N/A,FALSE,"Plan2"}</definedName>
    <definedName name="kdjgkfjgd">{#N/A,#N/A,FALSE,"Plan1";#N/A,#N/A,FALSE,"Plan2"}</definedName>
    <definedName name="kdjglkdlgjd" localSheetId="0">{#N/A,#N/A,FALSE,"Plan1";#N/A,#N/A,FALSE,"Plan2"}</definedName>
    <definedName name="kdjglkdlgjd">{#N/A,#N/A,FALSE,"Plan1";#N/A,#N/A,FALSE,"Plan2"}</definedName>
    <definedName name="kdjsfkldjgkty" localSheetId="0">{#N/A,#N/A,FALSE,"Plan1";#N/A,#N/A,FALSE,"Plan2"}</definedName>
    <definedName name="kdjsfkldjgkty">{#N/A,#N/A,FALSE,"Plan1";#N/A,#N/A,FALSE,"Plan2"}</definedName>
    <definedName name="KDJU" localSheetId="0">{"'장비'!$A$3:$M$12"}</definedName>
    <definedName name="KDJU">{"'장비'!$A$3:$M$12"}</definedName>
    <definedName name="kdkjhgdkfhjk" localSheetId="0">{#N/A,#N/A,FALSE,"Plan1";#N/A,#N/A,FALSE,"Plan2"}</definedName>
    <definedName name="kdkjhgdkfhjk">{#N/A,#N/A,FALSE,"Plan1";#N/A,#N/A,FALSE,"Plan2"}</definedName>
    <definedName name="kdsf" localSheetId="0">{#N/A,#N/A,FALSE,"Plan1";#N/A,#N/A,FALSE,"Plan2"}</definedName>
    <definedName name="kdsf">{#N/A,#N/A,FALSE,"Plan1";#N/A,#N/A,FALSE,"Plan2"}</definedName>
    <definedName name="kdsr" localSheetId="0">{#N/A,#N/A,FALSE,"Plan1";#N/A,#N/A,FALSE,"Plan2"}</definedName>
    <definedName name="kdsr">{#N/A,#N/A,FALSE,"Plan1";#N/A,#N/A,FALSE,"Plan2"}</definedName>
    <definedName name="kergtfdstr" localSheetId="0">{#N/A,#N/A,FALSE,"Plan1";#N/A,#N/A,FALSE,"Plan2"}</definedName>
    <definedName name="kergtfdstr">{#N/A,#N/A,FALSE,"Plan1";#N/A,#N/A,FALSE,"Plan2"}</definedName>
    <definedName name="kesp" localSheetId="0">#REF!</definedName>
    <definedName name="kesp">#REF!</definedName>
    <definedName name="KFDKTHGT" localSheetId="0">{#N/A,#N/A,FALSE,"Plan1";#N/A,#N/A,FALSE,"Plan2"}</definedName>
    <definedName name="KFDKTHGT">{#N/A,#N/A,FALSE,"Plan1";#N/A,#N/A,FALSE,"Plan2"}</definedName>
    <definedName name="kfdxlfdzs" localSheetId="0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name="kfgkhjkjhy" localSheetId="0">{#N/A,#N/A,FALSE,"Plan1";#N/A,#N/A,FALSE,"Plan2"}</definedName>
    <definedName name="kfgkhjkjhy">{#N/A,#N/A,FALSE,"Plan1";#N/A,#N/A,FALSE,"Plan2"}</definedName>
    <definedName name="KFJFDSDF" localSheetId="0">{#N/A,#N/A,FALSE,"Plan1";#N/A,#N/A,FALSE,"Plan2"}</definedName>
    <definedName name="KFJFDSDF">{#N/A,#N/A,FALSE,"Plan1";#N/A,#N/A,FALSE,"Plan2"}</definedName>
    <definedName name="kfnkeasd" localSheetId="0">{#N/A,#N/A,FALSE,"Plan1";#N/A,#N/A,FALSE,"Plan2"}</definedName>
    <definedName name="kfnkeasd">{#N/A,#N/A,FALSE,"Plan1";#N/A,#N/A,FALSE,"Plan2"}</definedName>
    <definedName name="khdjkfkjhtg" localSheetId="0">{#N/A,#N/A,FALSE,"Plan1";#N/A,#N/A,FALSE,"Plan2"}</definedName>
    <definedName name="khdjkfkjhtg">{#N/A,#N/A,FALSE,"Plan1";#N/A,#N/A,FALSE,"Plan2"}</definedName>
    <definedName name="khdkfjhhfsdg" localSheetId="0">{#N/A,#N/A,FALSE,"Plan1";#N/A,#N/A,FALSE,"Plan2"}</definedName>
    <definedName name="khdkfjhhfsdg">{#N/A,#N/A,FALSE,"Plan1";#N/A,#N/A,FALSE,"Plan2"}</definedName>
    <definedName name="khdkjfhgudytu" localSheetId="0">{#N/A,#N/A,FALSE,"Plan1";#N/A,#N/A,FALSE,"Plan2"}</definedName>
    <definedName name="khdkjfhgudytu">{#N/A,#N/A,FALSE,"Plan1";#N/A,#N/A,FALSE,"Plan2"}</definedName>
    <definedName name="khfdghhhgd" localSheetId="0">{#N/A,#N/A,FALSE,"Plan1";#N/A,#N/A,FALSE,"Plan2"}</definedName>
    <definedName name="khfdghhhgd">{#N/A,#N/A,FALSE,"Plan1";#N/A,#N/A,FALSE,"Plan2"}</definedName>
    <definedName name="khfdkjhsdjf" localSheetId="0">{#N/A,#N/A,FALSE,"Plan1";#N/A,#N/A,FALSE,"Plan2"}</definedName>
    <definedName name="khfdkjhsdjf">{#N/A,#N/A,FALSE,"Plan1";#N/A,#N/A,FALSE,"Plan2"}</definedName>
    <definedName name="khgdkftfy" localSheetId="0">{#N/A,#N/A,FALSE,"Plan1";#N/A,#N/A,FALSE,"Plan2"}</definedName>
    <definedName name="khgdkftfy">{#N/A,#N/A,FALSE,"Plan1";#N/A,#N/A,FALSE,"Plan2"}</definedName>
    <definedName name="khgfhhtuhf" localSheetId="0">{#N/A,#N/A,FALSE,"Plan1";#N/A,#N/A,FALSE,"Plan2"}</definedName>
    <definedName name="khgfhhtuhf">{#N/A,#N/A,FALSE,"Plan1";#N/A,#N/A,FALSE,"Plan2"}</definedName>
    <definedName name="khjk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0">{#N/A,#N/A,FALSE,"Plan1";#N/A,#N/A,FALSE,"Plan2"}</definedName>
    <definedName name="KHJKLSDF">{#N/A,#N/A,FALSE,"Plan1";#N/A,#N/A,FALSE,"Plan2"}</definedName>
    <definedName name="kieret" localSheetId="0">{#N/A,#N/A,FALSE,"Plan1";#N/A,#N/A,FALSE,"Plan2"}</definedName>
    <definedName name="kieret">{#N/A,#N/A,FALSE,"Plan1";#N/A,#N/A,FALSE,"Plan2"}</definedName>
    <definedName name="kiweokwr" localSheetId="0" hidden="1">#REF!</definedName>
    <definedName name="kiweokwr">#REF!</definedName>
    <definedName name="kjchkfhsezk" localSheetId="0">{#N/A,#N/A,FALSE,"Plan1";#N/A,#N/A,FALSE,"Plan2"}</definedName>
    <definedName name="kjchkfhsezk">{#N/A,#N/A,FALSE,"Plan1";#N/A,#N/A,FALSE,"Plan2"}</definedName>
    <definedName name="kjdghksef" localSheetId="0">{#N/A,#N/A,FALSE,"Plan1";#N/A,#N/A,FALSE,"Plan2"}</definedName>
    <definedName name="kjdghksef">{#N/A,#N/A,FALSE,"Plan1";#N/A,#N/A,FALSE,"Plan2"}</definedName>
    <definedName name="kjdkftyhtert" localSheetId="0">{#N/A,#N/A,FALSE,"Plan1";#N/A,#N/A,FALSE,"Plan2"}</definedName>
    <definedName name="kjdkftyhtert">{#N/A,#N/A,FALSE,"Plan1";#N/A,#N/A,FALSE,"Plan2"}</definedName>
    <definedName name="kjdlfkjds" localSheetId="0">{#N/A,#N/A,FALSE,"Plan1";#N/A,#N/A,FALSE,"Plan2"}</definedName>
    <definedName name="kjdlfkjds">{#N/A,#N/A,FALSE,"Plan1";#N/A,#N/A,FALSE,"Plan2"}</definedName>
    <definedName name="kjdzhfytrfy" localSheetId="0">{#N/A,#N/A,FALSE,"Plan1";#N/A,#N/A,FALSE,"Plan2"}</definedName>
    <definedName name="kjdzhfytrfy">{#N/A,#N/A,FALSE,"Plan1";#N/A,#N/A,FALSE,"Plan2"}</definedName>
    <definedName name="kjhdfgjthdft" localSheetId="0">{#N/A,#N/A,FALSE,"Plan1";#N/A,#N/A,FALSE,"Plan2"}</definedName>
    <definedName name="kjhdfgjthdft">{#N/A,#N/A,FALSE,"Plan1";#N/A,#N/A,FALSE,"Plan2"}</definedName>
    <definedName name="kjhsdf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0">{#N/A,#N/A,FALSE,"Plan1";#N/A,#N/A,FALSE,"Plan2"}</definedName>
    <definedName name="kjhsiorf">{#N/A,#N/A,FALSE,"Plan1";#N/A,#N/A,FALSE,"Plan2"}</definedName>
    <definedName name="KJ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0">{#N/A,#N/A,FALSE,"Plan1";#N/A,#N/A,FALSE,"Plan2"}</definedName>
    <definedName name="kjjwww">{#N/A,#N/A,FALSE,"Plan1";#N/A,#N/A,FALSE,"Plan2"}</definedName>
    <definedName name="kjl" localSheetId="0">{#N/A,#N/A,FALSE,"ENG'G(보호계전기)"}</definedName>
    <definedName name="kjl">{#N/A,#N/A,FALSE,"ENG'G(보호계전기)"}</definedName>
    <definedName name="KJOI" localSheetId="0">{#N/A,#N/A,FALSE,"Plan1";#N/A,#N/A,FALSE,"Plan2"}</definedName>
    <definedName name="KJOI">{#N/A,#N/A,FALSE,"Plan1";#N/A,#N/A,FALSE,"Plan2"}</definedName>
    <definedName name="kjqwerw" localSheetId="0">{#N/A,#N/A,FALSE,"Plan1";#N/A,#N/A,FALSE,"Plan2"}</definedName>
    <definedName name="kjqwerw">{#N/A,#N/A,FALSE,"Plan1";#N/A,#N/A,FALSE,"Plan2"}</definedName>
    <definedName name="kjsfert" localSheetId="0">{#N/A,#N/A,FALSE,"Plan1";#N/A,#N/A,FALSE,"Plan2"}</definedName>
    <definedName name="kjsfert">{#N/A,#N/A,FALSE,"Plan1";#N/A,#N/A,FALSE,"Plan2"}</definedName>
    <definedName name="KJXCFKR" localSheetId="0">{#N/A,#N/A,FALSE,"Plan1";#N/A,#N/A,FALSE,"Plan2"}</definedName>
    <definedName name="KJXCFKR">{#N/A,#N/A,FALSE,"Plan1";#N/A,#N/A,FALSE,"Plan2"}</definedName>
    <definedName name="KJXDFD" localSheetId="0">{#N/A,#N/A,FALSE,"Plan1";#N/A,#N/A,FALSE,"Plan2"}</definedName>
    <definedName name="KJXDFD">{#N/A,#N/A,FALSE,"Plan1";#N/A,#N/A,FALSE,"Plan2"}</definedName>
    <definedName name="kjydhfkjghkjfh" localSheetId="0" hidden="1">#REF!</definedName>
    <definedName name="kjydhfkjghkjfh">#REF!</definedName>
    <definedName name="kk" localSheetId="0">#REF!</definedName>
    <definedName name="kk">#REF!</definedName>
    <definedName name="kk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0">{#N/A,#N/A,FALSE,"Plan1";#N/A,#N/A,FALSE,"Plan2"}</definedName>
    <definedName name="kkk">{#N/A,#N/A,FALSE,"Plan1";#N/A,#N/A,FALSE,"Plan2"}</definedName>
    <definedName name="kkkkk" localSheetId="0">{#N/A,#N/A,FALSE,"Plan1";#N/A,#N/A,FALSE,"Plan2"}</definedName>
    <definedName name="kkkkk">{#N/A,#N/A,FALSE,"Plan1";#N/A,#N/A,FALSE,"Plan2"}</definedName>
    <definedName name="kkkkkk" localSheetId="0">{#N/A,#N/A,FALSE,"Plan1";#N/A,#N/A,FALSE,"Plan2"}</definedName>
    <definedName name="kkkkkk">{#N/A,#N/A,FALSE,"Plan1";#N/A,#N/A,FALSE,"Plan2"}</definedName>
    <definedName name="kk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0">{#N/A,#N/A,FALSE,"Plan1";#N/A,#N/A,FALSE,"Plan2"}</definedName>
    <definedName name="kksaklçer">{#N/A,#N/A,FALSE,"Plan1";#N/A,#N/A,FALSE,"Plan2"}</definedName>
    <definedName name="kksarde" localSheetId="0">{#N/A,#N/A,FALSE,"Plan1";#N/A,#N/A,FALSE,"Plan2"}</definedName>
    <definedName name="kksarde">{#N/A,#N/A,FALSE,"Plan1";#N/A,#N/A,FALSE,"Plan2"}</definedName>
    <definedName name="klaskldjsw" localSheetId="0">{#N/A,#N/A,FALSE,"Plan1";#N/A,#N/A,FALSE,"Plan2"}</definedName>
    <definedName name="klaskldjsw">{#N/A,#N/A,FALSE,"Plan1";#N/A,#N/A,FALSE,"Plan2"}</definedName>
    <definedName name="klçkop" localSheetId="0">{#N/A,#N/A,FALSE,"Plan1";#N/A,#N/A,FALSE,"Plan2"}</definedName>
    <definedName name="klçkop">{#N/A,#N/A,FALSE,"Plan1";#N/A,#N/A,FALSE,"Plan2"}</definedName>
    <definedName name="KLDFNTRDT" localSheetId="0">{#N/A,#N/A,FALSE,"Plan1";#N/A,#N/A,FALSE,"Plan2"}</definedName>
    <definedName name="KLDFNTRDT">{#N/A,#N/A,FALSE,"Plan1";#N/A,#N/A,FALSE,"Plan2"}</definedName>
    <definedName name="klhjsdklhdf" localSheetId="0">{#N/A,#N/A,FALSE,"Plan1";#N/A,#N/A,FALSE,"Plan2"}</definedName>
    <definedName name="klhjsdklhdf">{#N/A,#N/A,FALSE,"Plan1";#N/A,#N/A,FALSE,"Plan2"}</definedName>
    <definedName name="KLHSKLRHWE" localSheetId="0">{#N/A,#N/A,FALSE,"Plan1";#N/A,#N/A,FALSE,"Plan2"}</definedName>
    <definedName name="KLHSKLRHWE">{#N/A,#N/A,FALSE,"Plan1";#N/A,#N/A,FALSE,"Plan2"}</definedName>
    <definedName name="KLJASKJD" localSheetId="0">{#N/A,#N/A,FALSE,"Plan1";#N/A,#N/A,FALSE,"Plan2"}</definedName>
    <definedName name="KLJASKJD">{#N/A,#N/A,FALSE,"Plan1";#N/A,#N/A,FALSE,"Plan2"}</definedName>
    <definedName name="KLJDXL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0">{#N/A,#N/A,FALSE,"Plan1";#N/A,#N/A,FALSE,"Plan2"}</definedName>
    <definedName name="kljeflwr">{#N/A,#N/A,FALSE,"Plan1";#N/A,#N/A,FALSE,"Plan2"}</definedName>
    <definedName name="kljflgjrf" localSheetId="0">{#N/A,#N/A,FALSE,"Plan1";#N/A,#N/A,FALSE,"Plan2"}</definedName>
    <definedName name="kljflgjrf">{#N/A,#N/A,FALSE,"Plan1";#N/A,#N/A,FALSE,"Plan2"}</definedName>
    <definedName name="kljgfdfr" localSheetId="0">{#N/A,#N/A,FALSE,"Plan1";#N/A,#N/A,FALSE,"Plan2"}</definedName>
    <definedName name="kljgfdfr">{#N/A,#N/A,FALSE,"Plan1";#N/A,#N/A,FALSE,"Plan2"}</definedName>
    <definedName name="kljgfjrt" localSheetId="0">{#N/A,#N/A,FALSE,"Plan1";#N/A,#N/A,FALSE,"Plan2"}</definedName>
    <definedName name="kljgfjrt">{#N/A,#N/A,FALSE,"Plan1";#N/A,#N/A,FALSE,"Plan2"}</definedName>
    <definedName name="kljlkdfj" localSheetId="0">{#N/A,#N/A,FALSE,"Plan1";#N/A,#N/A,FALSE,"Plan2"}</definedName>
    <definedName name="kljlkdfj">{#N/A,#N/A,FALSE,"Plan1";#N/A,#N/A,FALSE,"Plan2"}</definedName>
    <definedName name="kljsakjfr" localSheetId="0">{#N/A,#N/A,FALSE,"Plan1";#N/A,#N/A,FALSE,"Plan2"}</definedName>
    <definedName name="kljsakjfr">{#N/A,#N/A,FALSE,"Plan1";#N/A,#N/A,FALSE,"Plan2"}</definedName>
    <definedName name="kljsdje" localSheetId="0">{#N/A,#N/A,FALSE,"Plan1";#N/A,#N/A,FALSE,"Plan2"}</definedName>
    <definedName name="kljsdje">{#N/A,#N/A,FALSE,"Plan1";#N/A,#N/A,FALSE,"Plan2"}</definedName>
    <definedName name="kljsfwe" localSheetId="0">{#N/A,#N/A,FALSE,"Plan1";#N/A,#N/A,FALSE,"Plan2"}</definedName>
    <definedName name="kljsfwe">{#N/A,#N/A,FALSE,"Plan1";#N/A,#N/A,FALSE,"Plan2"}</definedName>
    <definedName name="klk" localSheetId="0">{#N/A,#N/A,FALSE,"Plan1";#N/A,#N/A,FALSE,"Plan2"}</definedName>
    <definedName name="klk">{#N/A,#N/A,FALSE,"Plan1";#N/A,#N/A,FALSE,"Plan2"}</definedName>
    <definedName name="KLKKLKÇJÇ" localSheetId="0">{#N/A,#N/A,FALSE,"Plan1";#N/A,#N/A,FALSE,"Plan2"}</definedName>
    <definedName name="KLKKLKÇJÇ">{#N/A,#N/A,FALSE,"Plan1";#N/A,#N/A,FALSE,"Plan2"}</definedName>
    <definedName name="KLSDFT" localSheetId="0">{#N/A,#N/A,FALSE,"Plan1";#N/A,#N/A,FALSE,"Plan2"}</definedName>
    <definedName name="KLSDFT">{#N/A,#N/A,FALSE,"Plan1";#N/A,#N/A,FALSE,"Plan2"}</definedName>
    <definedName name="KLSDHSJKHF" localSheetId="0">{#N/A,#N/A,FALSE,"Plan1";#N/A,#N/A,FALSE,"Plan2"}</definedName>
    <definedName name="KLSDHSJKHF">{#N/A,#N/A,FALSE,"Plan1";#N/A,#N/A,FALSE,"Plan2"}</definedName>
    <definedName name="klsdkre" localSheetId="0">{#N/A,#N/A,FALSE,"Plan1";#N/A,#N/A,FALSE,"Plan2"}</definedName>
    <definedName name="klsdkre">{#N/A,#N/A,FALSE,"Plan1";#N/A,#N/A,FALSE,"Plan2"}</definedName>
    <definedName name="KLSIDJE" localSheetId="0">{#N/A,#N/A,FALSE,"Plan1";#N/A,#N/A,FALSE,"Plan2"}</definedName>
    <definedName name="KLSIDJE">{#N/A,#N/A,FALSE,"Plan1";#N/A,#N/A,FALSE,"Plan2"}</definedName>
    <definedName name="klsjarsf" localSheetId="0">{#N/A,#N/A,FALSE,"Plan1";#N/A,#N/A,FALSE,"Plan2"}</definedName>
    <definedName name="klsjarsf">{#N/A,#N/A,FALSE,"Plan1";#N/A,#N/A,FALSE,"Plan2"}</definedName>
    <definedName name="klsjdwe" localSheetId="0" hidden="1">#REF!</definedName>
    <definedName name="klsjdwe">#REF!</definedName>
    <definedName name="klxhjfdkhser" localSheetId="0">{#N/A,#N/A,FALSE,"Plan1";#N/A,#N/A,FALSE,"Plan2"}</definedName>
    <definedName name="klxhjfdkhser">{#N/A,#N/A,FALSE,"Plan1";#N/A,#N/A,FALSE,"Plan2"}</definedName>
    <definedName name="kopipnsdfne" localSheetId="0">{#N/A,#N/A,FALSE,"Plan1";#N/A,#N/A,FALSE,"Plan2"}</definedName>
    <definedName name="kopipnsdfne">{#N/A,#N/A,FALSE,"Plan1";#N/A,#N/A,FALSE,"Plan2"}</definedName>
    <definedName name="kp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0">{#N/A,#N/A,FALSE,"Plan1";#N/A,#N/A,FALSE,"Plan2"}</definedName>
    <definedName name="KSDLDF">{#N/A,#N/A,FALSE,"Plan1";#N/A,#N/A,FALSE,"Plan2"}</definedName>
    <definedName name="ksdlkfsçzd" localSheetId="0">{#N/A,#N/A,FALSE,"Plan1";#N/A,#N/A,FALSE,"Plan2"}</definedName>
    <definedName name="ksdlkfsçzd">{#N/A,#N/A,FALSE,"Plan1";#N/A,#N/A,FALSE,"Plan2"}</definedName>
    <definedName name="KSDNFK" localSheetId="0">#REF!</definedName>
    <definedName name="KSDNFK">#REF!</definedName>
    <definedName name="ksdoçierfe" localSheetId="0">{#N/A,#N/A,FALSE,"Plan1";#N/A,#N/A,FALSE,"Plan2"}</definedName>
    <definedName name="ksdoçierfe">{#N/A,#N/A,FALSE,"Plan1";#N/A,#N/A,FALSE,"Plan2"}</definedName>
    <definedName name="ksdtrdrkf" localSheetId="0">{#N/A,#N/A,FALSE,"Plan1";#N/A,#N/A,FALSE,"Plan2"}</definedName>
    <definedName name="ksdtrdrkf">{#N/A,#N/A,FALSE,"Plan1";#N/A,#N/A,FALSE,"Plan2"}</definedName>
    <definedName name="KSFÇJDFJL" localSheetId="0">{#N/A,#N/A,FALSE,"Plan1";#N/A,#N/A,FALSE,"Plan2"}</definedName>
    <definedName name="KSFÇJDFJL">{#N/A,#N/A,FALSE,"Plan1";#N/A,#N/A,FALSE,"Plan2"}</definedName>
    <definedName name="ksfhse" localSheetId="0">{#N/A,#N/A,FALSE,"Plan1";#N/A,#N/A,FALSE,"Plan2"}</definedName>
    <definedName name="ksfhse">{#N/A,#N/A,FALSE,"Plan1";#N/A,#N/A,FALSE,"Plan2"}</definedName>
    <definedName name="KSRKOE" localSheetId="0">{#N/A,#N/A,FALSE,"Plan1";#N/A,#N/A,FALSE,"Plan2"}</definedName>
    <definedName name="KSRKOE">{#N/A,#N/A,FALSE,"Plan1";#N/A,#N/A,FALSE,"Plan2"}</definedName>
    <definedName name="KSWKE" localSheetId="0">{#N/A,#N/A,FALSE,"Plan1";#N/A,#N/A,FALSE,"Plan2"}</definedName>
    <definedName name="KSWKE">{#N/A,#N/A,FALSE,"Plan1";#N/A,#N/A,FALSE,"Plan2"}</definedName>
    <definedName name="kubus" localSheetId="0">#REF!</definedName>
    <definedName name="kubus">#REF!</definedName>
    <definedName name="kubus1" localSheetId="0">#REF!</definedName>
    <definedName name="kubus1">#REF!</definedName>
    <definedName name="kysdusf" localSheetId="0">{#N/A,#N/A,FALSE,"Plan1";#N/A,#N/A,FALSE,"Plan2"}</definedName>
    <definedName name="kysdusf">{#N/A,#N/A,FALSE,"Plan1";#N/A,#N/A,FALSE,"Plan2"}</definedName>
    <definedName name="kzslçdkçle" localSheetId="0">{#N/A,#N/A,FALSE,"Plan1";#N/A,#N/A,FALSE,"Plan2"}</definedName>
    <definedName name="kzslçdkçle">{#N/A,#N/A,FALSE,"Plan1";#N/A,#N/A,FALSE,"Plan2"}</definedName>
    <definedName name="L_" localSheetId="0">#REF!</definedName>
    <definedName name="L_">#REF!</definedName>
    <definedName name="LAEKWRK" localSheetId="0">{#N/A,#N/A,FALSE,"Plan1";#N/A,#N/A,FALSE,"Plan2"}</definedName>
    <definedName name="LAEKWRK">{#N/A,#N/A,FALSE,"Plan1";#N/A,#N/A,FALSE,"Plan2"}</definedName>
    <definedName name="laeqwep" localSheetId="0" hidden="1">#REF!</definedName>
    <definedName name="laeqwep">#REF!</definedName>
    <definedName name="LAKDEWRF" localSheetId="0">{#N/A,#N/A,FALSE,"Plan1";#N/A,#N/A,FALSE,"Plan2"}</definedName>
    <definedName name="LAKDEWRF">{#N/A,#N/A,FALSE,"Plan1";#N/A,#N/A,FALSE,"Plan2"}</definedName>
    <definedName name="Lancamentos" localSheetId="0">#REF!</definedName>
    <definedName name="Lancamentos">#REF!</definedName>
    <definedName name="LARGURA" localSheetId="0">#REF!</definedName>
    <definedName name="LARGURA">#REF!</definedName>
    <definedName name="LASÇDSRLF" localSheetId="0">{#N/A,#N/A,FALSE,"Plan1";#N/A,#N/A,FALSE,"Plan2"}</definedName>
    <definedName name="LASÇDSRLF">{#N/A,#N/A,FALSE,"Plan1";#N/A,#N/A,FALSE,"Plan2"}</definedName>
    <definedName name="LASDAKWE">25</definedName>
    <definedName name="lasrlswer" localSheetId="0">{#N/A,#N/A,FALSE,"Plan1";#N/A,#N/A,FALSE,"Plan2"}</definedName>
    <definedName name="lasrlswer">{#N/A,#N/A,FALSE,"Plan1";#N/A,#N/A,FALSE,"Plan2"}</definedName>
    <definedName name="LAZER" localSheetId="0">#REF!</definedName>
    <definedName name="LAZER">#REF!</definedName>
    <definedName name="lbla1" localSheetId="0" hidden="1">#REF!</definedName>
    <definedName name="lbla1">#REF!</definedName>
    <definedName name="lbla10" localSheetId="0" hidden="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çadple4r" localSheetId="0">{#N/A,#N/A,FALSE,"Plan1";#N/A,#N/A,FALSE,"Plan2"}</definedName>
    <definedName name="lçadple4r">{#N/A,#N/A,FALSE,"Plan1";#N/A,#N/A,FALSE,"Plan2"}</definedName>
    <definedName name="lçasser" localSheetId="0">{#N/A,#N/A,FALSE,"Plan1";#N/A,#N/A,FALSE,"Plan2"}</definedName>
    <definedName name="lçasser">{#N/A,#N/A,FALSE,"Plan1";#N/A,#N/A,FALSE,"Plan2"}</definedName>
    <definedName name="lcdgjtklfrn" localSheetId="0">{#N/A,#N/A,FALSE,"Plan1";#N/A,#N/A,FALSE,"Plan2"}</definedName>
    <definedName name="lcdgjtklfrn">{#N/A,#N/A,FALSE,"Plan1";#N/A,#N/A,FALSE,"Plan2"}</definedName>
    <definedName name="lçfklsdkçaer" localSheetId="0">{#N/A,#N/A,FALSE,"Plan1";#N/A,#N/A,FALSE,"Plan2"}</definedName>
    <definedName name="lçfklsdkçaer">{#N/A,#N/A,FALSE,"Plan1";#N/A,#N/A,FALSE,"Plan2"}</definedName>
    <definedName name="lçjkgf" localSheetId="0">{#N/A,#N/A,FALSE,"Plan1";#N/A,#N/A,FALSE,"Plan2"}</definedName>
    <definedName name="lçjkgf">{#N/A,#N/A,FALSE,"Plan1";#N/A,#N/A,FALSE,"Plan2"}</definedName>
    <definedName name="LÇJSLDFJ" localSheetId="0">{#N/A,#N/A,FALSE,"Plan1";#N/A,#N/A,FALSE,"Plan2"}</definedName>
    <definedName name="LÇJSLDFJ">{#N/A,#N/A,FALSE,"Plan1";#N/A,#N/A,FALSE,"Plan2"}</definedName>
    <definedName name="LÇKÇSDRLK" localSheetId="0">{#N/A,#N/A,FALSE,"Plan1";#N/A,#N/A,FALSE,"Plan2"}</definedName>
    <definedName name="LÇKÇSDRLK">{#N/A,#N/A,FALSE,"Plan1";#N/A,#N/A,FALSE,"Plan2"}</definedName>
    <definedName name="lçkdfkdstkre">25</definedName>
    <definedName name="lçk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0">{#N/A,#N/A,FALSE,"Plan1";#N/A,#N/A,FALSE,"Plan2"}</definedName>
    <definedName name="lçlfklçdglfdgt">{#N/A,#N/A,FALSE,"Plan1";#N/A,#N/A,FALSE,"Plan2"}</definedName>
    <definedName name="lçslrr4r" localSheetId="0">{#N/A,#N/A,FALSE,"Plan1";#N/A,#N/A,FALSE,"Plan2"}</definedName>
    <definedName name="lçslrr4r">{#N/A,#N/A,FALSE,"Plan1";#N/A,#N/A,FALSE,"Plan2"}</definedName>
    <definedName name="ldfjgry" localSheetId="0">{#N/A,#N/A,FALSE,"Plan1";#N/A,#N/A,FALSE,"Plan2"}</definedName>
    <definedName name="ldfjgry">{#N/A,#N/A,FALSE,"Plan1";#N/A,#N/A,FALSE,"Plan2"}</definedName>
    <definedName name="ldfjgtilrf" localSheetId="0">{#N/A,#N/A,FALSE,"Plan1";#N/A,#N/A,FALSE,"Plan2"}</definedName>
    <definedName name="ldfjgtilrf">{#N/A,#N/A,FALSE,"Plan1";#N/A,#N/A,FALSE,"Plan2"}</definedName>
    <definedName name="ldk" localSheetId="0">{#N/A,#N/A,FALSE,"Plan1";#N/A,#N/A,FALSE,"Plan2"}</definedName>
    <definedName name="ldk">{#N/A,#N/A,FALSE,"Plan1";#N/A,#N/A,FALSE,"Plan2"}</definedName>
    <definedName name="ldkgkdfjgkh" localSheetId="0">{#N/A,#N/A,FALSE,"Plan1";#N/A,#N/A,FALSE,"Plan2"}</definedName>
    <definedName name="ldkgkdfjgkh">{#N/A,#N/A,FALSE,"Plan1";#N/A,#N/A,FALSE,"Plan2"}</definedName>
    <definedName name="LDTJGR" localSheetId="0">{#N/A,#N/A,FALSE,"Plan1";#N/A,#N/A,FALSE,"Plan2"}</definedName>
    <definedName name="LDTJGR">{#N/A,#N/A,FALSE,"Plan1";#N/A,#N/A,FALSE,"Plan2"}</definedName>
    <definedName name="Leg" localSheetId="0" hidden="1">#REF!</definedName>
    <definedName name="Leg">#REF!</definedName>
    <definedName name="legr_cdi" localSheetId="0">#REF!</definedName>
    <definedName name="legr_cdi">#REF!</definedName>
    <definedName name="legr_hist" localSheetId="0">#REF!</definedName>
    <definedName name="legr_hist">#REF!</definedName>
    <definedName name="legr_uss">#REF!</definedName>
    <definedName name="LEK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0">#REF!</definedName>
    <definedName name="LEVANTAMENTO">#REF!</definedName>
    <definedName name="lfjdjrt" localSheetId="0">{#N/A,#N/A,FALSE,"Plan1";#N/A,#N/A,FALSE,"Plan2"}</definedName>
    <definedName name="lfjdjrt">{#N/A,#N/A,FALSE,"Plan1";#N/A,#N/A,FALSE,"Plan2"}</definedName>
    <definedName name="LI" localSheetId="0">#REF!</definedName>
    <definedName name="LI">#REF!</definedName>
    <definedName name="LIDER_OPER" localSheetId="0">#REF!</definedName>
    <definedName name="LIDER_OPER">#REF!</definedName>
    <definedName name="lidfjgklruf" localSheetId="0">{#N/A,#N/A,FALSE,"Plan1";#N/A,#N/A,FALSE,"Plan2"}</definedName>
    <definedName name="lidfjgklruf">{#N/A,#N/A,FALSE,"Plan1";#N/A,#N/A,FALSE,"Plan2"}</definedName>
    <definedName name="LII" localSheetId="0">#REF!</definedName>
    <definedName name="LII">#REF!</definedName>
    <definedName name="LIII" localSheetId="0">#REF!</definedName>
    <definedName name="LIII">#REF!</definedName>
    <definedName name="LIMBO" localSheetId="0">#REF!</definedName>
    <definedName name="LIMBO">#REF!</definedName>
    <definedName name="limcount">3</definedName>
    <definedName name="LIN" localSheetId="0">#REF!</definedName>
    <definedName name="LIN">#REF!</definedName>
    <definedName name="lis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0">#REF!</definedName>
    <definedName name="LISTA">#REF!</definedName>
    <definedName name="LISTA_CONTAS" localSheetId="0">#REF!</definedName>
    <definedName name="LISTA_CONTAS">#REF!</definedName>
    <definedName name="lista_empresa" localSheetId="0">OFFSET(INDEX(#REF!,MATCH(#REF!,#REF!,0)),1,0,COUNTA(#REF!)-1)</definedName>
    <definedName name="lista_empresa">OFFSET(INDEX(#REF!,MATCH(#REF!,#REF!,0)),1,0,COUNTA(#REF!)-1)</definedName>
    <definedName name="LISTA_FORNECEDORES" localSheetId="0">#REF!</definedName>
    <definedName name="LISTA_FORNECEDORES">#REF!</definedName>
    <definedName name="LISTSEL" localSheetId="0">#REF!</definedName>
    <definedName name="LISTSEL">#REF!</definedName>
    <definedName name="list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0">#REF!</definedName>
    <definedName name="LIV">#REF!</definedName>
    <definedName name="LIX" localSheetId="0">#REF!</definedName>
    <definedName name="LIX">#REF!</definedName>
    <definedName name="ljdfkgyt" localSheetId="0">{#N/A,#N/A,FALSE,"Plan1";#N/A,#N/A,FALSE,"Plan2"}</definedName>
    <definedName name="ljdfkgyt">{#N/A,#N/A,FALSE,"Plan1";#N/A,#N/A,FALSE,"Plan2"}</definedName>
    <definedName name="LJDFLJRL" localSheetId="0">{#N/A,#N/A,FALSE,"Plan1";#N/A,#N/A,FALSE,"Plan2"}</definedName>
    <definedName name="LJDFLJRL">{#N/A,#N/A,FALSE,"Plan1";#N/A,#N/A,FALSE,"Plan2"}</definedName>
    <definedName name="ljsdfrd" localSheetId="0">{#N/A,#N/A,FALSE,"Plan1";#N/A,#N/A,FALSE,"Plan2"}</definedName>
    <definedName name="ljsdfrd">{#N/A,#N/A,FALSE,"Plan1";#N/A,#N/A,FALSE,"Plan2"}</definedName>
    <definedName name="LJSFLDJDLKFJG" localSheetId="0" hidden="1">#REF!</definedName>
    <definedName name="LJSFLDJDLKFJG">#REF!</definedName>
    <definedName name="LK" localSheetId="0">{#N/A,#N/A,TRUE,"Quinzena 01 à 15-04-98 "}</definedName>
    <definedName name="LK">{#N/A,#N/A,TRUE,"Quinzena 01 à 15-04-98 "}</definedName>
    <definedName name="lkasdkeo" localSheetId="0">{#N/A,#N/A,FALSE,"Plan1";#N/A,#N/A,FALSE,"Plan2"}</definedName>
    <definedName name="lkasdkeo">{#N/A,#N/A,FALSE,"Plan1";#N/A,#N/A,FALSE,"Plan2"}</definedName>
    <definedName name="lkdea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0">{#N/A,#N/A,FALSE,"Plan1";#N/A,#N/A,FALSE,"Plan2"}</definedName>
    <definedName name="lkdzxfsdrf">{#N/A,#N/A,FALSE,"Plan1";#N/A,#N/A,FALSE,"Plan2"}</definedName>
    <definedName name="lkfdkçtktr" localSheetId="0">{#N/A,#N/A,FALSE,"Plan1";#N/A,#N/A,FALSE,"Plan2"}</definedName>
    <definedName name="lkfdkçtktr">{#N/A,#N/A,FALSE,"Plan1";#N/A,#N/A,FALSE,"Plan2"}</definedName>
    <definedName name="lkjr4">17</definedName>
    <definedName name="LKSSDKÇ\E" localSheetId="0" hidden="1">{#N/A,#N/A,FALSE,"Plan1";#N/A,#N/A,FALSE,"Plan2"}</definedName>
    <definedName name="LKSSDKÇ\E" hidden="1">{#N/A,#N/A,FALSE,"Plan1";#N/A,#N/A,FALSE,"Plan2"}</definedName>
    <definedName name="lkt" localSheetId="0">{#N/A,#N/A,FALSE,"Plan1";#N/A,#N/A,FALSE,"Plan2"}</definedName>
    <definedName name="lkt">{#N/A,#N/A,FALSE,"Plan1";#N/A,#N/A,FALSE,"Plan2"}</definedName>
    <definedName name="lktlyklt" localSheetId="0">{#N/A,#N/A,FALSE,"Plan1";#N/A,#N/A,FALSE,"Plan2"}</definedName>
    <definedName name="lktlyklt">{#N/A,#N/A,FALSE,"Plan1";#N/A,#N/A,FALSE,"Plan2"}</definedName>
    <definedName name="LKTTYT" localSheetId="0">{#N/A,#N/A,FALSE,"Plan1";#N/A,#N/A,FALSE,"Plan2"}</definedName>
    <definedName name="LKTTYT">{#N/A,#N/A,FALSE,"Plan1";#N/A,#N/A,FALSE,"Plan2"}</definedName>
    <definedName name="llgg" localSheetId="0">{#N/A,#N/A,FALSE,"Plan1";#N/A,#N/A,FALSE,"Plan2"}</definedName>
    <definedName name="llgg">{#N/A,#N/A,FALSE,"Plan1";#N/A,#N/A,FALSE,"Plan2"}</definedName>
    <definedName name="LLL" localSheetId="0">{#N/A,#N/A,FALSE,"Plan1";#N/A,#N/A,FALSE,"Plan2"}</definedName>
    <definedName name="LLL">{#N/A,#N/A,FALSE,"Plan1";#N/A,#N/A,FALSE,"Plan2"}</definedName>
    <definedName name="LM_AR" localSheetId="0">{#N/A,#N/A,FALSE,"F-01"}</definedName>
    <definedName name="LM_AR">{#N/A,#N/A,FALSE,"F-01"}</definedName>
    <definedName name="LM_AT" localSheetId="0">{#N/A,#N/A,FALSE,"F-01"}</definedName>
    <definedName name="LM_AT">{#N/A,#N/A,FALSE,"F-01"}</definedName>
    <definedName name="LM_INC" localSheetId="0">{#N/A,#N/A,FALSE,"F-01"}</definedName>
    <definedName name="LM_INC">{#N/A,#N/A,FALSE,"F-01"}</definedName>
    <definedName name="LMPAS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0">#REF!</definedName>
    <definedName name="LOCALMENU">#REF!</definedName>
    <definedName name="LOCALOBRA" localSheetId="0">#REF!</definedName>
    <definedName name="LOCALOBRA">#REF!</definedName>
    <definedName name="LS" localSheetId="0">#REF!</definedName>
    <definedName name="LS">#REF!</definedName>
    <definedName name="LSDFKLDKFTR" localSheetId="0">{#N/A,#N/A,FALSE,"Plan1";#N/A,#N/A,FALSE,"Plan2"}</definedName>
    <definedName name="LSDFKLDKFTR">{#N/A,#N/A,FALSE,"Plan1";#N/A,#N/A,FALSE,"Plan2"}</definedName>
    <definedName name="lsdj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0">{#N/A,#N/A,FALSE,"Plan1";#N/A,#N/A,FALSE,"Plan2"}</definedName>
    <definedName name="lsdkljfkg">{#N/A,#N/A,FALSE,"Plan1";#N/A,#N/A,FALSE,"Plan2"}</definedName>
    <definedName name="lsdsder" localSheetId="0">{#N/A,#N/A,FALSE,"Plan1";#N/A,#N/A,FALSE,"Plan2"}</definedName>
    <definedName name="lsdsder">{#N/A,#N/A,FALSE,"Plan1";#N/A,#N/A,FALSE,"Plan2"}</definedName>
    <definedName name="ltj6ljyhdjhngças" localSheetId="0">{#N/A,#N/A,FALSE,"Plan1";#N/A,#N/A,FALSE,"Plan2"}</definedName>
    <definedName name="ltj6ljyhdjhngças">{#N/A,#N/A,FALSE,"Plan1";#N/A,#N/A,FALSE,"Plan2"}</definedName>
    <definedName name="LUCRO" localSheetId="0">#REF!</definedName>
    <definedName name="LUCRO">#REF!</definedName>
    <definedName name="luis_cdi" localSheetId="0">#REF!</definedName>
    <definedName name="luis_cdi">#REF!</definedName>
    <definedName name="luis_hist" localSheetId="0">#REF!</definedName>
    <definedName name="luis_hist">#REF!</definedName>
    <definedName name="luis_uss">#REF!</definedName>
    <definedName name="LV">#REF!</definedName>
    <definedName name="LVI">#REF!</definedName>
    <definedName name="LVII">#REF!</definedName>
    <definedName name="LVIII">#REF!</definedName>
    <definedName name="lwaeddew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0">#REF!</definedName>
    <definedName name="MADRI">#REF!</definedName>
    <definedName name="mai17RJ" localSheetId="0">#REF!</definedName>
    <definedName name="mai17RJ">#REF!</definedName>
    <definedName name="MAIO" localSheetId="0">#REF!</definedName>
    <definedName name="MAIO">#REF!</definedName>
    <definedName name="MAIO2001">#REF!</definedName>
    <definedName name="MAISAP" localSheetId="0">{#N/A,#N/A,FALSE,"Plan1";#N/A,#N/A,FALSE,"Plan2"}</definedName>
    <definedName name="MAISAP">{#N/A,#N/A,FALSE,"Plan1";#N/A,#N/A,FALSE,"Plan2"}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0">#REF!</definedName>
    <definedName name="MAO_DE_OBRA">#REF!</definedName>
    <definedName name="mar17RJ" localSheetId="0">#REF!</definedName>
    <definedName name="mar17RJ">#REF!</definedName>
    <definedName name="MARCAX" localSheetId="0">#REF!</definedName>
    <definedName name="MARCAX">#REF!</definedName>
    <definedName name="MARÇO">#REF!</definedName>
    <definedName name="MARÇO2001">#REF!</definedName>
    <definedName name="martha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0">#REF!</definedName>
    <definedName name="MATERIAL">#REF!</definedName>
    <definedName name="mattubcu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0">{#N/A,#N/A,FALSE,"Plan1";#N/A,#N/A,FALSE,"Plan2"}</definedName>
    <definedName name="MAURILIO">{#N/A,#N/A,FALSE,"Plan1";#N/A,#N/A,FALSE,"Plan2"}</definedName>
    <definedName name="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0">#REF!</definedName>
    <definedName name="MCMV">#REF!</definedName>
    <definedName name="mdfgtr" localSheetId="0">{#N/A,#N/A,FALSE,"Plan1";#N/A,#N/A,FALSE,"Plan2"}</definedName>
    <definedName name="mdfgtr">{#N/A,#N/A,FALSE,"Plan1";#N/A,#N/A,FALSE,"Plan2"}</definedName>
    <definedName name="MDSÇLFJKJSD" localSheetId="0">{#N/A,#N/A,FALSE,"Plan1";#N/A,#N/A,FALSE,"Plan2"}</definedName>
    <definedName name="MDSÇLFJKJSD">{#N/A,#N/A,FALSE,"Plan1";#N/A,#N/A,FALSE,"Plan2"}</definedName>
    <definedName name="ME" localSheetId="0">{"HW",#N/A,FALSE,"1998"}</definedName>
    <definedName name="ME">{"HW",#N/A,FALSE,"1998"}</definedName>
    <definedName name="Medido_Fin_Medições" localSheetId="0">#REF!</definedName>
    <definedName name="Medido_Fin_Medições">#REF!</definedName>
    <definedName name="melo_cdi" localSheetId="0">#REF!</definedName>
    <definedName name="melo_cdi">#REF!</definedName>
    <definedName name="melo_hist" localSheetId="0">#REF!</definedName>
    <definedName name="melo_hist">#REF!</definedName>
    <definedName name="melo_uss">#REF!</definedName>
    <definedName name="MEMÓRIA">#REF!</definedName>
    <definedName name="memória2">#REF!</definedName>
    <definedName name="mensal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BOM">#REF!</definedName>
    <definedName name="MENUEQP">#REF!</definedName>
    <definedName name="MENUFIM">#REF!</definedName>
    <definedName name="MENUMED">#REF!</definedName>
    <definedName name="MENUOBRA">#REF!</definedName>
    <definedName name="MENUOUT">#REF!</definedName>
    <definedName name="MENUOUTRO">#REF!</definedName>
    <definedName name="menures">#REF!</definedName>
    <definedName name="Mês_data_base">#REF!</definedName>
    <definedName name="Mês_Medição_Fin_Medições">#REF!</definedName>
    <definedName name="mes_relatorio">#REF!</definedName>
    <definedName name="Meses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0">#REF!</definedName>
    <definedName name="meta_venda">#REF!</definedName>
    <definedName name="MetaBP" localSheetId="0">#REF!</definedName>
    <definedName name="MetaBP">#REF!</definedName>
    <definedName name="MILENA" localSheetId="0" hidden="1">#REF!</definedName>
    <definedName name="MILENA">#REF!</definedName>
    <definedName name="Minha_Casa_Minha_Vida">#REF!</definedName>
    <definedName name="MLMÇLKJKI" localSheetId="0">{#N/A,#N/A,FALSE,"Plan1";#N/A,#N/A,FALSE,"Plan2"}</definedName>
    <definedName name="MLMÇLKJKI">{#N/A,#N/A,FALSE,"Plan1";#N/A,#N/A,FALSE,"Plan2"}</definedName>
    <definedName name="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0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name="mmmmmmm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0">{#N/A,#N/A,FALSE,"Plan1";#N/A,#N/A,FALSE,"Plan2"}</definedName>
    <definedName name="MNBXFKGS">{#N/A,#N/A,FALSE,"Plan1";#N/A,#N/A,FALSE,"Plan2"}</definedName>
    <definedName name="mncvbgcvmc" localSheetId="0">{#N/A,#N/A,FALSE,"Plan1";#N/A,#N/A,FALSE,"Plan2"}</definedName>
    <definedName name="mncvbgcvmc">{#N/A,#N/A,FALSE,"Plan1";#N/A,#N/A,FALSE,"Plan2"}</definedName>
    <definedName name="MNDKZSFNCEA" localSheetId="0">{#N/A,#N/A,FALSE,"Plan1";#N/A,#N/A,FALSE,"Plan2"}</definedName>
    <definedName name="MNDKZSFNCEA">{#N/A,#N/A,FALSE,"Plan1";#N/A,#N/A,FALSE,"Plan2"}</definedName>
    <definedName name="mnhdshfgfhd" localSheetId="0">{#N/A,#N/A,FALSE,"Plan1";#N/A,#N/A,FALSE,"Plan2"}</definedName>
    <definedName name="mnhdshfgfhd">{#N/A,#N/A,FALSE,"Plan1";#N/A,#N/A,FALSE,"Plan2"}</definedName>
    <definedName name="mo" localSheetId="0">#REF!</definedName>
    <definedName name="mo">#REF!</definedName>
    <definedName name="mobr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0">{#N/A,#N/A,FALSE,"cdi";#N/A,#N/A,FALSE,"debent";#N/A,#N/A,FALSE,"fdos";#N/A,#N/A,FALSE,"resumo"}</definedName>
    <definedName name="Modelo1">{#N/A,#N/A,FALSE,"cdi";#N/A,#N/A,FALSE,"debent";#N/A,#N/A,FALSE,"fdos";#N/A,#N/A,FALSE,"resumo"}</definedName>
    <definedName name="Modelo1a" localSheetId="0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0">#REF!</definedName>
    <definedName name="módulo">#REF!</definedName>
    <definedName name="mond_cdi" localSheetId="0">#REF!</definedName>
    <definedName name="mond_cdi">#REF!</definedName>
    <definedName name="mond_hist" localSheetId="0">#REF!</definedName>
    <definedName name="mond_hist">#REF!</definedName>
    <definedName name="mond_uss">#REF!</definedName>
    <definedName name="MP" localSheetId="0">{#N/A,#N/A,FALSE,"CCTV"}</definedName>
    <definedName name="MP">{#N/A,#N/A,FALSE,"CCTV"}</definedName>
    <definedName name="MSDFJKDT">25</definedName>
    <definedName name="MSDRFSWER" localSheetId="0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name="MURBOMB" localSheetId="0">#REF!</definedName>
    <definedName name="MURBOMB">#REF!</definedName>
    <definedName name="mzshdjshjs" localSheetId="0">{#N/A,#N/A,FALSE,"Plan1";#N/A,#N/A,FALSE,"Plan2"}</definedName>
    <definedName name="mzshdjshjs">{#N/A,#N/A,FALSE,"Plan1";#N/A,#N/A,FALSE,"Plan2"}</definedName>
    <definedName name="na" localSheetId="0">{#N/A,#N/A,FALSE,"$170M Cash";#N/A,#N/A,FALSE,"$250M Cash";#N/A,#N/A,FALSE,"$325M Cash"}</definedName>
    <definedName name="na">{#N/A,#N/A,FALSE,"$170M Cash";#N/A,#N/A,FALSE,"$250M Cash";#N/A,#N/A,FALSE,"$325M Cash"}</definedName>
    <definedName name="ncdgrdhrtg" localSheetId="0">{#N/A,#N/A,FALSE,"Plan1";#N/A,#N/A,FALSE,"Plan2"}</definedName>
    <definedName name="ncdgrdhrtg">{#N/A,#N/A,FALSE,"Plan1";#N/A,#N/A,FALSE,"Plan2"}</definedName>
    <definedName name="nchngdfhgdh" localSheetId="0">{#N/A,#N/A,FALSE,"Plan1";#N/A,#N/A,FALSE,"Plan2"}</definedName>
    <definedName name="nchngdfhgdh">{#N/A,#N/A,FALSE,"Plan1";#N/A,#N/A,FALSE,"Plan2"}</definedName>
    <definedName name="NCJFKNGJHF" localSheetId="0">{#N/A,#N/A,FALSE,"Plan1";#N/A,#N/A,FALSE,"Plan2"}</definedName>
    <definedName name="NCJFKNGJHF">{#N/A,#N/A,FALSE,"Plan1";#N/A,#N/A,FALSE,"Plan2"}</definedName>
    <definedName name="NDATA" localSheetId="0">#REF!</definedName>
    <definedName name="NDATA">#REF!</definedName>
    <definedName name="ndcxhgdhf" localSheetId="0">{#N/A,#N/A,FALSE,"Plan1";#N/A,#N/A,FALSE,"Plan2"}</definedName>
    <definedName name="ndcxhgdhf">{#N/A,#N/A,FALSE,"Plan1";#N/A,#N/A,FALSE,"Plan2"}</definedName>
    <definedName name="ndfjnjkrhdgt" localSheetId="0">{#N/A,#N/A,FALSE,"Plan1";#N/A,#N/A,FALSE,"Plan2"}</definedName>
    <definedName name="ndfjnjkrhdgt">{#N/A,#N/A,FALSE,"Plan1";#N/A,#N/A,FALSE,"Plan2"}</definedName>
    <definedName name="ndfkghkjthfyst" localSheetId="0">{#N/A,#N/A,FALSE,"Plan1";#N/A,#N/A,FALSE,"Plan2"}</definedName>
    <definedName name="ndfkghkjthfyst">{#N/A,#N/A,FALSE,"Plan1";#N/A,#N/A,FALSE,"Plan2"}</definedName>
    <definedName name="ndfldslvjnvberugberqubquierbv" localSheetId="0">#REF!</definedName>
    <definedName name="ndfldslvjnvberugberqubquierbv">#REF!</definedName>
    <definedName name="NDJGKFKGHUFG" localSheetId="0">{#N/A,#N/A,FALSE,"Plan1";#N/A,#N/A,FALSE,"Plan2"}</definedName>
    <definedName name="NDJGKFKGHUFG">{#N/A,#N/A,FALSE,"Plan1";#N/A,#N/A,FALSE,"Plan2"}</definedName>
    <definedName name="ndrjkt" localSheetId="0">{#N/A,#N/A,FALSE,"Plan1";#N/A,#N/A,FALSE,"Plan2"}</definedName>
    <definedName name="ndrjkt">{#N/A,#N/A,FALSE,"Plan1";#N/A,#N/A,FALSE,"Plan2"}</definedName>
    <definedName name="new" localSheetId="0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name="NEWNAME" localSheetId="0">{#N/A,#N/A,FALSE,"CCTV"}</definedName>
    <definedName name="NEWNAME">{#N/A,#N/A,FALSE,"CCTV"}</definedName>
    <definedName name="nfgjkhvhfghn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0">{#N/A,#N/A,FALSE,"Plan1";#N/A,#N/A,FALSE,"Plan2"}</definedName>
    <definedName name="nfkhdjkthde">{#N/A,#N/A,FALSE,"Plan1";#N/A,#N/A,FALSE,"Plan2"}</definedName>
    <definedName name="n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0">{#N/A,#N/A,FALSE,"Plan1";#N/A,#N/A,FALSE,"Plan2"}</definedName>
    <definedName name="NHJHFDSHF">{#N/A,#N/A,FALSE,"Plan1";#N/A,#N/A,FALSE,"Plan2"}</definedName>
    <definedName name="NJSDFHERTG" localSheetId="0">{#N/A,#N/A,FALSE,"Plan1";#N/A,#N/A,FALSE,"Plan2"}</definedName>
    <definedName name="NJSDFHERTG">{#N/A,#N/A,FALSE,"Plan1";#N/A,#N/A,FALSE,"Plan2"}</definedName>
    <definedName name="nkfnsskdn" localSheetId="0">{#N/A,#N/A,FALSE,"Plan1";#N/A,#N/A,FALSE,"Plan2"}</definedName>
    <definedName name="nkfnsskdn">{#N/A,#N/A,FALSE,"Plan1";#N/A,#N/A,FALSE,"Plan2"}</definedName>
    <definedName name="NKJ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0">#REF!</definedName>
    <definedName name="nl">#REF!</definedName>
    <definedName name="nlaksjdwe" localSheetId="0">{#N/A,#N/A,FALSE,"Plan1";#N/A,#N/A,FALSE,"Plan2"}</definedName>
    <definedName name="nlaksjdwe">{#N/A,#N/A,FALSE,"Plan1";#N/A,#N/A,FALSE,"Plan2"}</definedName>
    <definedName name="nljsdfljfdsfr" localSheetId="0">{#N/A,#N/A,FALSE,"Plan1";#N/A,#N/A,FALSE,"Plan2"}</definedName>
    <definedName name="nljsdfljfdsfr">{#N/A,#N/A,FALSE,"Plan1";#N/A,#N/A,FALSE,"Plan2"}</definedName>
    <definedName name="nm_k1" localSheetId="0">#REF!</definedName>
    <definedName name="nm_k1">#REF!</definedName>
    <definedName name="nm_k2" localSheetId="0">#REF!</definedName>
    <definedName name="nm_k2">#REF!</definedName>
    <definedName name="nm_k3" localSheetId="0">#REF!</definedName>
    <definedName name="nm_k3">#REF!</definedName>
    <definedName name="nmjdfhxj" localSheetId="0">{#N/A,#N/A,FALSE,"Plan1";#N/A,#N/A,FALSE,"Plan2"}</definedName>
    <definedName name="nmjdfhxj">{#N/A,#N/A,FALSE,"Plan1";#N/A,#N/A,FALSE,"Plan2"}</definedName>
    <definedName name="nnmn" localSheetId="0">{#N/A,#N/A,FALSE,"Plan1";#N/A,#N/A,FALSE,"Plan2"}</definedName>
    <definedName name="nnmn">{#N/A,#N/A,FALSE,"Plan1";#N/A,#N/A,FALSE,"Plan2"}</definedName>
    <definedName name="nnn" localSheetId="0">{#N/A,#N/A,FALSE,"$170M Cash";#N/A,#N/A,FALSE,"$250M Cash";#N/A,#N/A,FALSE,"$325M Cash"}</definedName>
    <definedName name="nnn">{#N/A,#N/A,FALSE,"Plan1";#N/A,#N/A,FALSE,"Plan2"}</definedName>
    <definedName name="nnnnnnnnnnn" localSheetId="0">{"HW",#N/A,FALSE,"1998"}</definedName>
    <definedName name="nnnnnnnnnnn">{"HW",#N/A,FALSE,"1998"}</definedName>
    <definedName name="NNNNNNNNNNNNNNN" localSheetId="0">{#N/A,#N/A,FALSE,"Plan1";#N/A,#N/A,FALSE,"Plan2"}</definedName>
    <definedName name="NNNNNNNNNNNNNNN">{#N/A,#N/A,FALSE,"Plan1";#N/A,#N/A,FALSE,"Plan2"}</definedName>
    <definedName name="nnnnnnnnnnnnnnnnnnnn" localSheetId="0">{#N/A,#N/A,FALSE,"Plan1";#N/A,#N/A,FALSE,"Plan2"}</definedName>
    <definedName name="nnnnnnnnnnnnnnnnnnnn">{#N/A,#N/A,FALSE,"Plan1";#N/A,#N/A,FALSE,"Plan2"}</definedName>
    <definedName name="NNXFT" localSheetId="0">{#N/A,#N/A,FALSE,"Plan1";#N/A,#N/A,FALSE,"Plan2"}</definedName>
    <definedName name="NNXFT">{#N/A,#N/A,FALSE,"Plan1";#N/A,#N/A,FALSE,"Plan2"}</definedName>
    <definedName name="no" localSheetId="0">#REF!</definedName>
    <definedName name="no">#REF!</definedName>
    <definedName name="NOME" localSheetId="0">#REF!</definedName>
    <definedName name="NOME">#REF!</definedName>
    <definedName name="nome2" localSheetId="0">#REF!</definedName>
    <definedName name="nome2">#REF!</definedName>
    <definedName name="NOMEITEM">#REF!</definedName>
    <definedName name="NOMEOBRA">#REF!</definedName>
    <definedName name="nov17RJ">#REF!</definedName>
    <definedName name="NOVE">#REF!</definedName>
    <definedName name="NOVEMBRO">#REF!</definedName>
    <definedName name="nsdkfndgfdnatf" localSheetId="0">{#N/A,#N/A,FALSE,"Plan1";#N/A,#N/A,FALSE,"Plan2"}</definedName>
    <definedName name="nsdkfndgfdnatf">{#N/A,#N/A,FALSE,"Plan1";#N/A,#N/A,FALSE,"Plan2"}</definedName>
    <definedName name="nsfljdiljrf" localSheetId="0">{#N/A,#N/A,FALSE,"Plan1";#N/A,#N/A,FALSE,"Plan2"}</definedName>
    <definedName name="nsfljdiljrf">{#N/A,#N/A,FALSE,"Plan1";#N/A,#N/A,FALSE,"Plan2"}</definedName>
    <definedName name="NUCOPIAS" localSheetId="0">#REF!</definedName>
    <definedName name="NUCOPIAS">#REF!</definedName>
    <definedName name="NUMOBRA" localSheetId="0">#REF!</definedName>
    <definedName name="NUMOBRA">#REF!</definedName>
    <definedName name="NutN" localSheetId="0">#REF!</definedName>
    <definedName name="NutN">#REF!</definedName>
    <definedName name="nzxcnnjkd" localSheetId="0">{#N/A,#N/A,FALSE,"Plan1";#N/A,#N/A,FALSE,"Plan2"}</definedName>
    <definedName name="nzxcnnjkd">{#N/A,#N/A,FALSE,"Plan1";#N/A,#N/A,FALSE,"Plan2"}</definedName>
    <definedName name="OAE" localSheetId="0">#REF!</definedName>
    <definedName name="OAE">#REF!</definedName>
    <definedName name="OBRA" localSheetId="0">#REF!</definedName>
    <definedName name="OBRA">#REF!</definedName>
    <definedName name="Obra_Fin_Medição" localSheetId="0">#REF!</definedName>
    <definedName name="Obra_Fin_Medição">#REF!</definedName>
    <definedName name="OBRA_PROJETADO">#REF!</definedName>
    <definedName name="Obra_Rel_Controladoria">#REF!</definedName>
    <definedName name="Obra_Sienge">#REF!</definedName>
    <definedName name="Obra2_Fin_Medição">#REF!</definedName>
    <definedName name="OBRALOC">#REF!</definedName>
    <definedName name="OBRAS">#REF!</definedName>
    <definedName name="Obras_Apoio_Rel_Controladoria">#REF!</definedName>
    <definedName name="OBRAS_REALIZADO">#REF!</definedName>
    <definedName name="OBRASEL">#REF!</definedName>
    <definedName name="odflgj">25</definedName>
    <definedName name="odfuudor" localSheetId="0">{#N/A,#N/A,FALSE,"Plan1";#N/A,#N/A,FALSE,"Plan2"}</definedName>
    <definedName name="odfuudor">{#N/A,#N/A,FALSE,"Plan1";#N/A,#N/A,FALSE,"Plan2"}</definedName>
    <definedName name="ODH" localSheetId="0" hidden="1">#REF!</definedName>
    <definedName name="ODH">#REF!</definedName>
    <definedName name="oficial_mes" localSheetId="0">#REF!</definedName>
    <definedName name="oficial_mes">#REF!</definedName>
    <definedName name="oficial2_mes" localSheetId="0">#REF!</definedName>
    <definedName name="oficial2_mes">#REF!</definedName>
    <definedName name="oiditrot" localSheetId="0">{#N/A,#N/A,FALSE,"Plan1";#N/A,#N/A,FALSE,"Plan2"}</definedName>
    <definedName name="oiditrot">{#N/A,#N/A,FALSE,"Plan1";#N/A,#N/A,FALSE,"Plan2"}</definedName>
    <definedName name="oio" localSheetId="0">{#N/A,#N/A,FALSE,"Plan1";#N/A,#N/A,FALSE,"Plan2"}</definedName>
    <definedName name="oio">{#N/A,#N/A,FALSE,"Plan1";#N/A,#N/A,FALSE,"Plan2"}</definedName>
    <definedName name="OITO" localSheetId="0">#REF!</definedName>
    <definedName name="OITO">#REF!</definedName>
    <definedName name="oiufioorif" localSheetId="0" hidden="1">#REF!</definedName>
    <definedName name="oiufioorif">#REF!</definedName>
    <definedName name="OJÇLJ" localSheetId="0">{#N/A,#N/A,FALSE,"Plan1";#N/A,#N/A,FALSE,"Plan2"}</definedName>
    <definedName name="OJÇLJ">{#N/A,#N/A,FALSE,"Plan1";#N/A,#N/A,FALSE,"Plan2"}</definedName>
    <definedName name="ojkdfit" localSheetId="0">{#N/A,#N/A,FALSE,"Plan1";#N/A,#N/A,FALSE,"Plan2"}</definedName>
    <definedName name="ojkdfit">{#N/A,#N/A,FALSE,"Plan1";#N/A,#N/A,FALSE,"Plan2"}</definedName>
    <definedName name="oMISSOS" localSheetId="0" hidden="1">#REF!</definedName>
    <definedName name="oMISSOS">#REF!</definedName>
    <definedName name="ONZE" localSheetId="0">#REF!</definedName>
    <definedName name="ONZE">#REF!</definedName>
    <definedName name="ooo" localSheetId="0">{#N/A,#N/A,FALSE,"Plan1";#N/A,#N/A,FALSE,"Plan2"}</definedName>
    <definedName name="ooo">{#N/A,#N/A,FALSE,"Plan1";#N/A,#N/A,FALSE,"Plan2"}</definedName>
    <definedName name="OPASEDWED" localSheetId="0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name="opcao_taxa_desconto" localSheetId="0">#REF!</definedName>
    <definedName name="opcao_taxa_desconto">#REF!</definedName>
    <definedName name="opções" localSheetId="0">#REF!</definedName>
    <definedName name="opções">#REF!</definedName>
    <definedName name="opiwre" localSheetId="0">{#N/A,#N/A,FALSE,"Plan1";#N/A,#N/A,FALSE,"Plan2"}</definedName>
    <definedName name="opiwre">{#N/A,#N/A,FALSE,"Plan1";#N/A,#N/A,FALSE,"Plan2"}</definedName>
    <definedName name="ORCAMEN" localSheetId="0">#REF!</definedName>
    <definedName name="ORCAMEN">#REF!</definedName>
    <definedName name="Orcamentistas" localSheetId="0">#REF!</definedName>
    <definedName name="Orcamentistas">#REF!</definedName>
    <definedName name="origem_recebiveis" localSheetId="0">#REF!</definedName>
    <definedName name="origem_recebiveis">#REF!</definedName>
    <definedName name="origem_unidades">#REF!</definedName>
    <definedName name="Origem2_Recebimento_Fin_Medições">#REF!</definedName>
    <definedName name="os" localSheetId="0">{#N/A,#N/A,FALSE,"TABLE"}</definedName>
    <definedName name="os">{#N/A,#N/A,FALSE,"TABLE"}</definedName>
    <definedName name="osca_cdi" localSheetId="0">#REF!</definedName>
    <definedName name="osca_cdi">#REF!</definedName>
    <definedName name="osca_hist" localSheetId="0">#REF!</definedName>
    <definedName name="osca_hist">#REF!</definedName>
    <definedName name="osca_uss" localSheetId="0">#REF!</definedName>
    <definedName name="osca_uss">#REF!</definedName>
    <definedName name="otodgkrjglsrd" localSheetId="0">{#N/A,#N/A,FALSE,"Plan1";#N/A,#N/A,FALSE,"Plan2"}</definedName>
    <definedName name="otodgkrjglsrd">{#N/A,#N/A,FALSE,"Plan1";#N/A,#N/A,FALSE,"Plan2"}</definedName>
    <definedName name="OUERWRSR" localSheetId="0">{#N/A,#N/A,FALSE,"Plan1";#N/A,#N/A,FALSE,"Plan2"}</definedName>
    <definedName name="OUERWRSR">{#N/A,#N/A,FALSE,"Plan1";#N/A,#N/A,FALSE,"Plan2"}</definedName>
    <definedName name="out17RJ" localSheetId="0">#REF!</definedName>
    <definedName name="out17RJ">#REF!</definedName>
    <definedName name="outro" localSheetId="0" hidden="1">#REF!</definedName>
    <definedName name="outro">#REF!</definedName>
    <definedName name="OUTROS" localSheetId="0">#REF!</definedName>
    <definedName name="OUTROS">#REF!</definedName>
    <definedName name="OUTROS_CCUSTO">#REF!</definedName>
    <definedName name="Outros_Pisos">#REF!</definedName>
    <definedName name="Outros1">#REF!</definedName>
    <definedName name="OUTUBRO">#REF!</definedName>
    <definedName name="overhau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0">#REF!</definedName>
    <definedName name="oxfo_cdi">#REF!</definedName>
    <definedName name="oxfo_hist" localSheetId="0">#REF!</definedName>
    <definedName name="oxfo_hist">#REF!</definedName>
    <definedName name="oxfo_uss" localSheetId="0">#REF!</definedName>
    <definedName name="oxfo_uss">#REF!</definedName>
    <definedName name="P">#REF!</definedName>
    <definedName name="PA">#REF!</definedName>
    <definedName name="Padrao_A">#REF!</definedName>
    <definedName name="Padrao_B">#REF!</definedName>
    <definedName name="Padrao_C">#REF!</definedName>
    <definedName name="Padrao_D">#REF!</definedName>
    <definedName name="Padrao_E">#REF!</definedName>
    <definedName name="Padrao_F">#REF!</definedName>
    <definedName name="Pagamento_Num" localSheetId="0">ROW()-Linha_Cabeçalho</definedName>
    <definedName name="Pagamento_Num">ROW()-Linha_Cabeçalho</definedName>
    <definedName name="Pago_Até_2015_Controladoria" localSheetId="0">#REF!</definedName>
    <definedName name="Pago_Até_2015_Controladoria">#REF!</definedName>
    <definedName name="Pal_Workbook_GUID">"3HURD34M2XKWJ5V6M4BWCR5Q"</definedName>
    <definedName name="PAP" localSheetId="0">#REF!</definedName>
    <definedName name="PAP">#REF!</definedName>
    <definedName name="PARAM_FIS_1" localSheetId="0">#REF!</definedName>
    <definedName name="PARAM_FIS_1">#REF!</definedName>
    <definedName name="PARAM_FIS_2" localSheetId="0">#REF!</definedName>
    <definedName name="PARAM_FIS_2">#REF!</definedName>
    <definedName name="ParamValues1" localSheetId="0">#REF!</definedName>
    <definedName name="ParamValues1">#REF!</definedName>
    <definedName name="ParamValues2" localSheetId="0">#REF!</definedName>
    <definedName name="ParamValues2">#REF!</definedName>
    <definedName name="Parao_E" localSheetId="0">#REF!</definedName>
    <definedName name="Parao_E">#REF!</definedName>
    <definedName name="Parede1">#REF!</definedName>
    <definedName name="Parede2">#REF!</definedName>
    <definedName name="PAREDES">#REF!</definedName>
    <definedName name="PAV">#REF!</definedName>
    <definedName name="PAVILHAO">#REF!</definedName>
    <definedName name="PAVT">#REF!</definedName>
    <definedName name="pçgktr">#REF!</definedName>
    <definedName name="PDER">#REF!</definedName>
    <definedName name="PDIVERS">#REF!</definedName>
    <definedName name="PE">#REF!</definedName>
    <definedName name="PEMD">#REF!</definedName>
    <definedName name="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0">#REF!</definedName>
    <definedName name="perfura">#REF!</definedName>
    <definedName name="Perímetro_lajão" localSheetId="0">#REF!</definedName>
    <definedName name="Perímetro_lajão">#REF!</definedName>
    <definedName name="Perímetro_Terreno" localSheetId="0">#REF!</definedName>
    <definedName name="Perímetro_Terreno">#REF!</definedName>
    <definedName name="Perímetro_torre">#REF!</definedName>
    <definedName name="pessoal">#REF!</definedName>
    <definedName name="petro2">#REF!</definedName>
    <definedName name="PhyG">#REF!</definedName>
    <definedName name="PhyGS">#REF!</definedName>
    <definedName name="PI">#REF!</definedName>
    <definedName name="piaz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0">#REF!</definedName>
    <definedName name="PIEQUIP">#REF!</definedName>
    <definedName name="Pintura">#REF!</definedName>
    <definedName name="PIS_COFINS" localSheetId="0">#REF!</definedName>
    <definedName name="PIS_COFINS">#REF!</definedName>
    <definedName name="PisCofins" localSheetId="0">#REF!</definedName>
    <definedName name="PisCofins">#REF!</definedName>
    <definedName name="Piso1" localSheetId="0">#REF!</definedName>
    <definedName name="Piso1">#REF!</definedName>
    <definedName name="Piso2">#REF!</definedName>
    <definedName name="PISOS">#REF!</definedName>
    <definedName name="PL">#REF!</definedName>
    <definedName name="PLACAS" localSheetId="0">{#N/A,#N/A,TRUE,"Quinzena 01 à 15-04-98 "}</definedName>
    <definedName name="PLACAS">{#N/A,#N/A,TRUE,"Quinzena 01 à 15-04-98 "}</definedName>
    <definedName name="Placas_Areas" localSheetId="0">{#N/A,#N/A,TRUE,"Quinzena 01 à 15-04-98 "}</definedName>
    <definedName name="Placas_Areas">{#N/A,#N/A,TRUE,"Quinzena 01 à 15-04-98 "}</definedName>
    <definedName name="PLAN" localSheetId="0">#REF!</definedName>
    <definedName name="PLAN">#REF!</definedName>
    <definedName name="plan2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0">#REF!</definedName>
    <definedName name="PLANILHA">#REF!</definedName>
    <definedName name="Planilha2" localSheetId="0">#REF!</definedName>
    <definedName name="Planilha2">#REF!</definedName>
    <definedName name="plasçdeaw" localSheetId="0">{#N/A,#N/A,FALSE,"Plan1";#N/A,#N/A,FALSE,"Plan2"}</definedName>
    <definedName name="plasçdeaw">{#N/A,#N/A,FALSE,"Plan1";#N/A,#N/A,FALSE,"Plan2"}</definedName>
    <definedName name="plaslrswe" localSheetId="0">{#N/A,#N/A,FALSE,"Plan1";#N/A,#N/A,FALSE,"Plan2"}</definedName>
    <definedName name="plaslrswe">{#N/A,#N/A,FALSE,"Plan1";#N/A,#N/A,FALSE,"Plan2"}</definedName>
    <definedName name="pls" localSheetId="0" hidden="1">#REF!</definedName>
    <definedName name="pls">#REF!</definedName>
    <definedName name="plsearpef" localSheetId="0">{#N/A,#N/A,FALSE,"Plan1";#N/A,#N/A,FALSE,"Plan2"}</definedName>
    <definedName name="plsearpef">{#N/A,#N/A,FALSE,"Plan1";#N/A,#N/A,FALSE,"Plan2"}</definedName>
    <definedName name="plss" localSheetId="0">{#N/A,#N/A,FALSE,"Plan1";#N/A,#N/A,FALSE,"Plan2"}</definedName>
    <definedName name="plss">{#N/A,#N/A,FALSE,"Plan1";#N/A,#N/A,FALSE,"Plan2"}</definedName>
    <definedName name="PMUR" localSheetId="0">#REF!</definedName>
    <definedName name="PMUR">#REF!</definedName>
    <definedName name="PN2건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0">#REF!</definedName>
    <definedName name="Ponderações">#REF!</definedName>
    <definedName name="Pós_Chaves" localSheetId="0">#REF!</definedName>
    <definedName name="Pós_Chaves">#REF!</definedName>
    <definedName name="pr" localSheetId="0">#REF!</definedName>
    <definedName name="pr">#REF!</definedName>
    <definedName name="PRAZO">#REF!</definedName>
    <definedName name="Prazo_da_Estrutura">#REF!</definedName>
    <definedName name="PRAZO_EDITAL">#REF!</definedName>
    <definedName name="Prazo_Obra">#REF!</definedName>
    <definedName name="PRAZO_ORC">#REF!</definedName>
    <definedName name="prazo2">#REF!</definedName>
    <definedName name="PRE">#REF!</definedName>
    <definedName name="PREÇ" localSheetId="0">OFFSET(#REF!,0,0,COUNTA(#REF!),1)</definedName>
    <definedName name="PREÇ">OFFSET(#REF!,0,0,COUNTA(#REF!),1)</definedName>
    <definedName name="Preço">ROW()-Linha_Cabeçalho</definedName>
    <definedName name="Previsão_Inicial_abr_16" localSheetId="0">#REF!</definedName>
    <definedName name="Previsão_Inicial_abr_16">#REF!</definedName>
    <definedName name="Previsão_Inicial_ago_16" localSheetId="0">#REF!</definedName>
    <definedName name="Previsão_Inicial_ago_16">#REF!</definedName>
    <definedName name="Previsão_Inicial_dez_16" localSheetId="0">#REF!</definedName>
    <definedName name="Previsão_Inicial_dez_16">#REF!</definedName>
    <definedName name="Previsão_Inicial_fev_16">#REF!</definedName>
    <definedName name="Previsão_Inicial_jan_16">#REF!</definedName>
    <definedName name="Previsão_Inicial_jul_16">#REF!</definedName>
    <definedName name="Previsão_Inicial_jun_16">#REF!</definedName>
    <definedName name="Previsão_Inicial_mai_16">#REF!</definedName>
    <definedName name="Previsão_Inicial_mar_16">#REF!</definedName>
    <definedName name="Previsão_Inicial_nov_16">#REF!</definedName>
    <definedName name="Previsão_Inicial_out_16">#REF!</definedName>
    <definedName name="Previsão_Inicial_set_16">#REF!</definedName>
    <definedName name="Previsão_Vento1">#REF!</definedName>
    <definedName name="Previsto_a_medir_Fin_Medições">#REF!</definedName>
    <definedName name="print" localSheetId="0">{#N/A,#N/A,FALSE,"$170M Cash";#N/A,#N/A,FALSE,"$250M Cash";#N/A,#N/A,FALSE,"$325M Cash"}</definedName>
    <definedName name="print">{#N/A,#N/A,FALSE,"$170M Cash";#N/A,#N/A,FALSE,"$250M Cash";#N/A,#N/A,FALSE,"$325M Cash"}</definedName>
    <definedName name="Print_Area" localSheetId="0">#REF!</definedName>
    <definedName name="Print_Area">#REF!</definedName>
    <definedName name="Print_Area_MI" localSheetId="0">#REF!</definedName>
    <definedName name="Print_Area_MI">#REF!</definedName>
    <definedName name="Print_Titles" localSheetId="0">#REF!</definedName>
    <definedName name="Print_Titles">#REF!</definedName>
    <definedName name="PRINT_TITLES_MI">#REF!</definedName>
    <definedName name="programa">#REF!</definedName>
    <definedName name="Programaa">#REF!</definedName>
    <definedName name="Projeção_torre">#REF!</definedName>
    <definedName name="projeto_nome_com" localSheetId="0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0">#REF!</definedName>
    <definedName name="PROPAGANDA">#REF!</definedName>
    <definedName name="ptirigyiotut" localSheetId="0">{#N/A,#N/A,FALSE,"Plan1";#N/A,#N/A,FALSE,"Plan2"}</definedName>
    <definedName name="ptirigyiotut">{#N/A,#N/A,FALSE,"Plan1";#N/A,#N/A,FALSE,"Plan2"}</definedName>
    <definedName name="PWER3" localSheetId="0">{#N/A,#N/A,FALSE,"Plan1";#N/A,#N/A,FALSE,"Plan2"}</definedName>
    <definedName name="PWER3">{#N/A,#N/A,FALSE,"Plan1";#N/A,#N/A,FALSE,"Plan2"}</definedName>
    <definedName name="q" localSheetId="0">#REF!</definedName>
    <definedName name="q">#REF!</definedName>
    <definedName name="QCLIENTE_PCLIENTE" localSheetId="0">#REF!</definedName>
    <definedName name="QCLIENTE_PCLIENTE">#REF!</definedName>
    <definedName name="QCliente_PCliente1" localSheetId="0">#REF!</definedName>
    <definedName name="QCliente_PCliente1">#REF!</definedName>
    <definedName name="qe">#REF!</definedName>
    <definedName name="qee">#REF!</definedName>
    <definedName name="qkqh1" localSheetId="0">{#N/A,#N/A,FALSE,"명세표"}</definedName>
    <definedName name="qkqh1">{#N/A,#N/A,FALSE,"명세표"}</definedName>
    <definedName name="QOAS_POAS" localSheetId="0">#REF!</definedName>
    <definedName name="QOAS_POAS">#REF!</definedName>
    <definedName name="Q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0">#REF!:#REF!</definedName>
    <definedName name="QQQ">#REF!:#REF!</definedName>
    <definedName name="QQQQQQQQ" localSheetId="0" hidden="1">#REF!</definedName>
    <definedName name="QQQQQQQQ">#REF!</definedName>
    <definedName name="QREAL_PCLIENTE" localSheetId="0">#REF!</definedName>
    <definedName name="QREAL_PCLIENTE">#REF!</definedName>
    <definedName name="QReal_PCliente1" localSheetId="0">#REF!</definedName>
    <definedName name="QReal_PCliente1">#REF!</definedName>
    <definedName name="QSQWSE" localSheetId="0">{#N/A,#N/A,FALSE,"Plan1";#N/A,#N/A,FALSE,"Plan2"}</definedName>
    <definedName name="QSQWSE">{#N/A,#N/A,FALSE,"Plan1";#N/A,#N/A,FALSE,"Plan2"}</definedName>
    <definedName name="qtd_mensal" localSheetId="0">#REF!</definedName>
    <definedName name="qtd_mensal">#REF!</definedName>
    <definedName name="qtd3esta" localSheetId="0">#REF!</definedName>
    <definedName name="qtd3esta">#REF!</definedName>
    <definedName name="qtdbase" localSheetId="0">#REF!</definedName>
    <definedName name="qtdbase">#REF!</definedName>
    <definedName name="qtdbltub">#REF!</definedName>
    <definedName name="qtdestac">#REF!</definedName>
    <definedName name="qtdsap">#REF!</definedName>
    <definedName name="qtdtub">#REF!</definedName>
    <definedName name="QTNULO">#REF!</definedName>
    <definedName name="QTPADRAO">#REF!</definedName>
    <definedName name="QTRES">#REF!</definedName>
    <definedName name="QuadraE">#REF!</definedName>
    <definedName name="quadrocompar.">#REF!</definedName>
    <definedName name="QUANT">#REF!</definedName>
    <definedName name="Quant_Aptos">#REF!</definedName>
    <definedName name="Quant_Cremalheira">#REF!</definedName>
    <definedName name="Quant_grua">#REF!</definedName>
    <definedName name="Quant_pav_lajão">#REF!</definedName>
    <definedName name="Quant_tipo">#REF!</definedName>
    <definedName name="Quant_torres">#REF!</definedName>
    <definedName name="Quantidade_Elevadores">#REF!</definedName>
    <definedName name="QUANTP">#REF!</definedName>
    <definedName name="QUATRO">#REF!</definedName>
    <definedName name="QUINZE">#REF!</definedName>
    <definedName name="qwdqw" localSheetId="0">{#N/A,#N/A,FALSE,"Plan1";#N/A,#N/A,FALSE,"Plan2"}</definedName>
    <definedName name="qwdqw">{#N/A,#N/A,FALSE,"Plan1";#N/A,#N/A,FALSE,"Plan2"}</definedName>
    <definedName name="qweqwe" localSheetId="0">{#N/A,#N/A,FALSE,"Plan1";#N/A,#N/A,FALSE,"Plan2"}</definedName>
    <definedName name="qweqwe">{#N/A,#N/A,FALSE,"Plan1";#N/A,#N/A,FALSE,"Plan2"}</definedName>
    <definedName name="qweqwe4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0" hidden="1">#REF!</definedName>
    <definedName name="qwewqe">#REF!</definedName>
    <definedName name="qwqw" localSheetId="0" hidden="1">#REF!</definedName>
    <definedName name="qwqw">#REF!</definedName>
    <definedName name="R.imobAtualiz" localSheetId="0">#REF!</definedName>
    <definedName name="R.imobAtualiz">#REF!</definedName>
    <definedName name="R_CorretAtualiz">#REF!</definedName>
    <definedName name="R_G.Cobr.Atualiz">#REF!</definedName>
    <definedName name="R_PmaisJAtualiz">#REF!</definedName>
    <definedName name="R_Prev.PerdaAtualiz">#REF!</definedName>
    <definedName name="RADIO" localSheetId="0">{"HW",#N/A,FALSE,"1998"}</definedName>
    <definedName name="RADIO">{"HW",#N/A,FALSE,"1998"}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RQIMP">#REF!</definedName>
    <definedName name="RawData">#REF!</definedName>
    <definedName name="RE">#REF!</definedName>
    <definedName name="RECADUC">#REF!</definedName>
    <definedName name="Recebido_Acumulado_2015_Controladoria">#REF!</definedName>
    <definedName name="RE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0">#REF!</definedName>
    <definedName name="reforsu">#REF!</definedName>
    <definedName name="REL_RJ" localSheetId="0">#REF!</definedName>
    <definedName name="REL_RJ">#REF!</definedName>
    <definedName name="REL_SP" localSheetId="0">#REF!</definedName>
    <definedName name="REL_SP">#REF!</definedName>
    <definedName name="relat3">#REF!</definedName>
    <definedName name="ren">#REF!</definedName>
    <definedName name="REPETIÇÃO">#REF!</definedName>
    <definedName name="ReqC">#REF!</definedName>
    <definedName name="Responsável_Rel_Controladoria">#REF!</definedName>
    <definedName name="resum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0">#REF!</definedName>
    <definedName name="RESUMO">#REF!</definedName>
    <definedName name="RESUMO2" localSheetId="0">{#N/A,#N/A,TRUE,"Quinzena 01 à 15-04-98 "}</definedName>
    <definedName name="RESUMO2">{#N/A,#N/A,TRUE,"Quinzena 01 à 15-04-98 "}</definedName>
    <definedName name="REV" localSheetId="0">#REF!</definedName>
    <definedName name="REV">#REF!</definedName>
    <definedName name="RF" localSheetId="0">{#N/A,#N/A,FALSE,"CCTV"}</definedName>
    <definedName name="RF">{#N/A,#N/A,FALSE,"CCTV"}</definedName>
    <definedName name="rgedrfrgfdg" localSheetId="0">{#N/A,#N/A,FALSE,"Plan1";#N/A,#N/A,FALSE,"Plan2"}</definedName>
    <definedName name="rgedrfrgfdg">{#N/A,#N/A,FALSE,"Plan1";#N/A,#N/A,FALSE,"Plan2"}</definedName>
    <definedName name="rhdrm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0">#REF!</definedName>
    <definedName name="RI">#REF!</definedName>
    <definedName name="ridbeb" localSheetId="0">#REF!</definedName>
    <definedName name="ridbeb">#REF!</definedName>
    <definedName name="RIDCHAF" localSheetId="0">#REF!</definedName>
    <definedName name="RIDCHAF">#REF!</definedName>
    <definedName name="ridres05">#REF!</definedName>
    <definedName name="RIDRES10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 localSheetId="0">#REF!</definedName>
    <definedName name="RO">#REF!</definedName>
    <definedName name="Rodapé" localSheetId="0">#REF!</definedName>
    <definedName name="Rodapé">#REF!</definedName>
    <definedName name="RODAPÉS" localSheetId="0">#REF!</definedName>
    <definedName name="RODAPÉS">#REF!</definedName>
    <definedName name="ROMANO">#REF!</definedName>
    <definedName name="ROTCOMP">#REF!</definedName>
    <definedName name="ROTIMP">#REF!</definedName>
    <definedName name="ROTRES">#REF!</definedName>
    <definedName name="RQTADUC">#REF!</definedName>
    <definedName name="rqtbeb">#REF!</definedName>
    <definedName name="RQTCHAF">#REF!</definedName>
    <definedName name="RQTDERV">#REF!</definedName>
    <definedName name="rres05">#REF!</definedName>
    <definedName name="RRES10">#REF!</definedName>
    <definedName name="RRES15">#REF!</definedName>
    <definedName name="RRES20">#REF!</definedName>
    <definedName name="RRR">#REF!</definedName>
    <definedName name="rrrrr" localSheetId="0">{"'장비'!$A$3:$M$12"}</definedName>
    <definedName name="rrrrr">{"'장비'!$A$3:$M$12"}</definedName>
    <definedName name="rrrrrrrr" localSheetId="0">{"'장비'!$A$3:$M$12"}</definedName>
    <definedName name="rrrrrrrr">{"'장비'!$A$3:$M$12"}</definedName>
    <definedName name="rrrrrrrrrrr" localSheetId="0">{#N/A,#N/A,TRUE,"Quinzena 01 à 15-04-98 "}</definedName>
    <definedName name="rrrrrrrrrrr">{#N/A,#N/A,TRUE,"Quinzena 01 à 15-04-98 "}</definedName>
    <definedName name="RSEQ" localSheetId="0">#REF!</definedName>
    <definedName name="RSEQ">#REF!</definedName>
    <definedName name="RSUBTOT" localSheetId="0">#REF!</definedName>
    <definedName name="RSUBTOT">#REF!</definedName>
    <definedName name="rtitbeb" localSheetId="0">#REF!</definedName>
    <definedName name="rtitbeb">#REF!</definedName>
    <definedName name="RTITCHAF">#REF!</definedName>
    <definedName name="rtubos">#REF!</definedName>
    <definedName name="RTYE" localSheetId="0">{"'장비'!$A$3:$M$12"}</definedName>
    <definedName name="RTYE">{"'장비'!$A$3:$M$12"}</definedName>
    <definedName name="s">#REF!</definedName>
    <definedName name="sa" localSheetId="0">#REF!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0">{#N/A,#N/A,FALSE,"Plan1";#N/A,#N/A,FALSE,"Plan2"}</definedName>
    <definedName name="sadasd">{#N/A,#N/A,FALSE,"Plan1";#N/A,#N/A,FALSE,"Plan2"}</definedName>
    <definedName name="sa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0">{#N/A,#N/A,FALSE,"Plan1";#N/A,#N/A,FALSE,"Plan2"}</definedName>
    <definedName name="sadkrjkedft">{#N/A,#N/A,FALSE,"Plan1";#N/A,#N/A,FALSE,"Plan2"}</definedName>
    <definedName name="SADSRTR" localSheetId="0">{#N/A,#N/A,FALSE,"Plan1";#N/A,#N/A,FALSE,"Plan2"}</definedName>
    <definedName name="SADSRTR">{#N/A,#N/A,FALSE,"Plan1";#N/A,#N/A,FALSE,"Plan2"}</definedName>
    <definedName name="sadwde" localSheetId="0">{#N/A,#N/A,FALSE,"Plan1";#N/A,#N/A,FALSE,"Plan2"}</definedName>
    <definedName name="sadwde">{#N/A,#N/A,FALSE,"Plan1";#N/A,#N/A,FALSE,"Plan2"}</definedName>
    <definedName name="Salas" localSheetId="0">#REF!</definedName>
    <definedName name="Salas">#REF!</definedName>
    <definedName name="sanjay" localSheetId="0">{#N/A,#N/A,FALSE,"TABLE"}</definedName>
    <definedName name="sanjay">{#N/A,#N/A,FALSE,"TABLE"}</definedName>
    <definedName name="sapata" localSheetId="0">#REF!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 localSheetId="0">{#N/A,#N/A,FALSE,"Plan1";#N/A,#N/A,FALSE,"Plan2"}</definedName>
    <definedName name="SAS">{#N/A,#N/A,FALSE,"Plan1";#N/A,#N/A,FALSE,"Plan2"}</definedName>
    <definedName name="sasads" localSheetId="0">{#N/A,#N/A,FALSE,"Plan1";#N/A,#N/A,FALSE,"Plan2"}</definedName>
    <definedName name="sasads">{#N/A,#N/A,FALSE,"Plan1";#N/A,#N/A,FALSE,"Plan2"}</definedName>
    <definedName name="SC" localSheetId="0" hidden="1">#REF!</definedName>
    <definedName name="SC">#REF!</definedName>
    <definedName name="sçadldfsfd">25</definedName>
    <definedName name="sda" localSheetId="0">#REF!</definedName>
    <definedName name="sda">#REF!</definedName>
    <definedName name="sda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0">{#N/A,#N/A,FALSE,"Plan1";#N/A,#N/A,FALSE,"Plan2"}</definedName>
    <definedName name="SDAOTGFR">{#N/A,#N/A,FALSE,"Plan1";#N/A,#N/A,FALSE,"Plan2"}</definedName>
    <definedName name="sdckd" localSheetId="0">{#N/A,#N/A,FALSE,"Plan1";#N/A,#N/A,FALSE,"Plan2"}</definedName>
    <definedName name="sdckd">{#N/A,#N/A,FALSE,"Plan1";#N/A,#N/A,FALSE,"Plan2"}</definedName>
    <definedName name="SDDFKSEDE" localSheetId="0">{#N/A,#N/A,FALSE,"Plan1";#N/A,#N/A,FALSE,"Plan2"}</definedName>
    <definedName name="SDDFKSEDE">{#N/A,#N/A,FALSE,"Plan1";#N/A,#N/A,FALSE,"Plan2"}</definedName>
    <definedName name="sddkslker" localSheetId="0">{#N/A,#N/A,FALSE,"Plan1";#N/A,#N/A,FALSE,"Plan2"}</definedName>
    <definedName name="sddkslker">{#N/A,#N/A,FALSE,"Plan1";#N/A,#N/A,FALSE,"Plan2"}</definedName>
    <definedName name="sdefr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0" hidden="1">#REF!</definedName>
    <definedName name="sdert">#REF!</definedName>
    <definedName name="sd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0">{#N/A,#N/A,FALSE,"Plan1";#N/A,#N/A,FALSE,"Plan2"}</definedName>
    <definedName name="sdfdds">{#N/A,#N/A,FALSE,"Plan1";#N/A,#N/A,FALSE,"Plan2"}</definedName>
    <definedName name="sdfdfc" localSheetId="0">{#N/A,#N/A,FALSE,"Plan1";#N/A,#N/A,FALSE,"Plan2"}</definedName>
    <definedName name="sdfdfc">{#N/A,#N/A,FALSE,"Plan1";#N/A,#N/A,FALSE,"Plan2"}</definedName>
    <definedName name="sdfd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0">{#N/A,#N/A,FALSE,"Plan1";#N/A,#N/A,FALSE,"Plan2"}</definedName>
    <definedName name="sdfdgft">{#N/A,#N/A,FALSE,"Plan1";#N/A,#N/A,FALSE,"Plan2"}</definedName>
    <definedName name="sdfdsf" localSheetId="0">{#N/A,#N/A,FALSE,"Plan1";#N/A,#N/A,FALSE,"Plan2"}</definedName>
    <definedName name="sdfdsf">{#N/A,#N/A,FALSE,"Plan1";#N/A,#N/A,FALSE,"Plan2"}</definedName>
    <definedName name="sdfdsf\da" localSheetId="0" hidden="1">{#N/A,#N/A,FALSE,"Plan1";#N/A,#N/A,FALSE,"Plan2"}</definedName>
    <definedName name="sdfdsf\da" hidden="1">{#N/A,#N/A,FALSE,"Plan1";#N/A,#N/A,FALSE,"Plan2"}</definedName>
    <definedName name="SDFEDRT" localSheetId="0">{#N/A,#N/A,FALSE,"Plan1";#N/A,#N/A,FALSE,"Plan2"}</definedName>
    <definedName name="SDFEDRT">{#N/A,#N/A,FALSE,"Plan1";#N/A,#N/A,FALSE,"Plan2"}</definedName>
    <definedName name="sdfer" localSheetId="0">{#N/A,#N/A,FALSE,"Plan1";#N/A,#N/A,FALSE,"Plan2"}</definedName>
    <definedName name="sdfer">{#N/A,#N/A,FALSE,"Plan1";#N/A,#N/A,FALSE,"Plan2"}</definedName>
    <definedName name="sdferr" localSheetId="0">{#N/A,#N/A,FALSE,"Plan1";#N/A,#N/A,FALSE,"Plan2"}</definedName>
    <definedName name="sdferr">{#N/A,#N/A,FALSE,"Plan1";#N/A,#N/A,FALSE,"Plan2"}</definedName>
    <definedName name="sdfe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0">{#N/A,#N/A,FALSE,"Plan1";#N/A,#N/A,FALSE,"Plan2"}</definedName>
    <definedName name="SDFGJFSRF">{#N/A,#N/A,FALSE,"Plan1";#N/A,#N/A,FALSE,"Plan2"}</definedName>
    <definedName name="sdfgtr" localSheetId="0">{#N/A,#N/A,FALSE,"Plan1";#N/A,#N/A,FALSE,"Plan2"}</definedName>
    <definedName name="sdfgtr">{#N/A,#N/A,FALSE,"Plan1";#N/A,#N/A,FALSE,"Plan2"}</definedName>
    <definedName name="sdfjdetrt" localSheetId="0">{#N/A,#N/A,FALSE,"Plan1";#N/A,#N/A,FALSE,"Plan2"}</definedName>
    <definedName name="sdfjdetrt">{#N/A,#N/A,FALSE,"Plan1";#N/A,#N/A,FALSE,"Plan2"}</definedName>
    <definedName name="SDFJDRTJEIDR" localSheetId="0">{#N/A,#N/A,FALSE,"Plan1";#N/A,#N/A,FALSE,"Plan2"}</definedName>
    <definedName name="SDFJDRTJEIDR">{#N/A,#N/A,FALSE,"Plan1";#N/A,#N/A,FALSE,"Plan2"}</definedName>
    <definedName name="sdfjergtij" localSheetId="0">{#N/A,#N/A,FALSE,"Plan1";#N/A,#N/A,FALSE,"Plan2"}</definedName>
    <definedName name="sdfjergtij">{#N/A,#N/A,FALSE,"Plan1";#N/A,#N/A,FALSE,"Plan2"}</definedName>
    <definedName name="SDFOPJKWE" localSheetId="0">{#N/A,#N/A,FALSE,"Plan1";#N/A,#N/A,FALSE,"Plan2"}</definedName>
    <definedName name="SDFOPJKWE">{#N/A,#N/A,FALSE,"Plan1";#N/A,#N/A,FALSE,"Plan2"}</definedName>
    <definedName name="sdfrdt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0">{#N/A,#N/A,FALSE,"Plan1";#N/A,#N/A,FALSE,"Plan2"}</definedName>
    <definedName name="sdfrt">{#N/A,#N/A,FALSE,"Plan1";#N/A,#N/A,FALSE,"Plan2"}</definedName>
    <definedName name="SDFRTKK" localSheetId="0">{#N/A,#N/A,FALSE,"Plan1";#N/A,#N/A,FALSE,"Plan2"}</definedName>
    <definedName name="SDFRTKK">{#N/A,#N/A,FALSE,"Plan1";#N/A,#N/A,FALSE,"Plan2"}</definedName>
    <definedName name="SDFRTR" localSheetId="0">{#N/A,#N/A,FALSE,"Plan1";#N/A,#N/A,FALSE,"Plan2"}</definedName>
    <definedName name="SDFRTR">{#N/A,#N/A,FALSE,"Plan1";#N/A,#N/A,FALSE,"Plan2"}</definedName>
    <definedName name="sdfry6" localSheetId="0">{#N/A,#N/A,FALSE,"Plan1";#N/A,#N/A,FALSE,"Plan2"}</definedName>
    <definedName name="sdfry6">{#N/A,#N/A,FALSE,"Plan1";#N/A,#N/A,FALSE,"Plan2"}</definedName>
    <definedName name="sdfsaf" localSheetId="0">{#N/A,#N/A,FALSE,"Plan1";#N/A,#N/A,FALSE,"Plan2"}</definedName>
    <definedName name="sdfsaf">{#N/A,#N/A,FALSE,"Plan1";#N/A,#N/A,FALSE,"Plan2"}</definedName>
    <definedName name="sdfsd" localSheetId="0">{"'Estimativa de Lançamento-JAN'!$A$1:$AI$85"}</definedName>
    <definedName name="sdfsd">{"'Estimativa de Lançamento-JAN'!$A$1:$AI$85"}</definedName>
    <definedName name="sdfsdfg" localSheetId="0">{#N/A,#N/A,FALSE,"Plan1";#N/A,#N/A,FALSE,"Plan2"}</definedName>
    <definedName name="sdfsdfg">{#N/A,#N/A,FALSE,"Plan1";#N/A,#N/A,FALSE,"Plan2"}</definedName>
    <definedName name="SDFSDFK" localSheetId="0">{#N/A,#N/A,FALSE,"Plan1";#N/A,#N/A,FALSE,"Plan2"}</definedName>
    <definedName name="SDFSDFK">{#N/A,#N/A,FALSE,"Plan1";#N/A,#N/A,FALSE,"Plan2"}</definedName>
    <definedName name="sdfsdgftret" localSheetId="0">{#N/A,#N/A,FALSE,"Plan1";#N/A,#N/A,FALSE,"Plan2"}</definedName>
    <definedName name="sdfsdgftret">{#N/A,#N/A,FALSE,"Plan1";#N/A,#N/A,FALSE,"Plan2"}</definedName>
    <definedName name="sdfsdr">1</definedName>
    <definedName name="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>{#N/A,#N/A,FALSE,"Plan1";#N/A,#N/A,FALSE,"Plan2"}</definedName>
    <definedName name="SDFSFRT" localSheetId="0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name="sdfsr" localSheetId="0">{#N/A,#N/A,FALSE,"Plan1";#N/A,#N/A,FALSE,"Plan2"}</definedName>
    <definedName name="sdfsr">{#N/A,#N/A,FALSE,"Plan1";#N/A,#N/A,FALSE,"Plan2"}</definedName>
    <definedName name="sdfty" localSheetId="0">{#N/A,#N/A,FALSE,"Plan1";#N/A,#N/A,FALSE,"Plan2"}</definedName>
    <definedName name="sdfty">{#N/A,#N/A,FALSE,"Plan1";#N/A,#N/A,FALSE,"Plan2"}</definedName>
    <definedName name="sdgdf" localSheetId="0">{#N/A,#N/A,FALSE,"Plan1";#N/A,#N/A,FALSE,"Plan2"}</definedName>
    <definedName name="sdgdf">{#N/A,#N/A,FALSE,"Plan1";#N/A,#N/A,FALSE,"Plan2"}</definedName>
    <definedName name="sdgfrt" localSheetId="0">{#N/A,#N/A,FALSE,"Plan1";#N/A,#N/A,FALSE,"Plan2"}</definedName>
    <definedName name="sdgfrt">{#N/A,#N/A,FALSE,"Plan1";#N/A,#N/A,FALSE,"Plan2"}</definedName>
    <definedName name="sdgft" localSheetId="0">{#N/A,#N/A,FALSE,"Plan1";#N/A,#N/A,FALSE,"Plan2"}</definedName>
    <definedName name="sdgft">{#N/A,#N/A,FALSE,"Plan1";#N/A,#N/A,FALSE,"Plan2"}</definedName>
    <definedName name="sdgt" localSheetId="0">{#N/A,#N/A,FALSE,"Plan1";#N/A,#N/A,FALSE,"Plan2"}</definedName>
    <definedName name="sdgt">{#N/A,#N/A,FALSE,"Plan1";#N/A,#N/A,FALSE,"Plan2"}</definedName>
    <definedName name="sdgtry" localSheetId="0" hidden="1">#REF!</definedName>
    <definedName name="sdgtry">#REF!</definedName>
    <definedName name="sdhfghdsfg" localSheetId="0">{#N/A,#N/A,FALSE,"Plan1";#N/A,#N/A,FALSE,"Plan2"}</definedName>
    <definedName name="sdhfghdsfg">{#N/A,#N/A,FALSE,"Plan1";#N/A,#N/A,FALSE,"Plan2"}</definedName>
    <definedName name="SDHFJKHDFJRE" localSheetId="0">{#N/A,#N/A,FALSE,"Plan1";#N/A,#N/A,FALSE,"Plan2"}</definedName>
    <definedName name="SDHFJKHDFJRE">{#N/A,#N/A,FALSE,"Plan1";#N/A,#N/A,FALSE,"Plan2"}</definedName>
    <definedName name="SDHKFDRKGTR" localSheetId="0">{#N/A,#N/A,FALSE,"Plan1";#N/A,#N/A,FALSE,"Plan2"}</definedName>
    <definedName name="SDHKFDRKGTR">{#N/A,#N/A,FALSE,"Plan1";#N/A,#N/A,FALSE,"Plan2"}</definedName>
    <definedName name="sdjdswger" localSheetId="0">{#N/A,#N/A,FALSE,"Plan1";#N/A,#N/A,FALSE,"Plan2"}</definedName>
    <definedName name="sdjdswger">{#N/A,#N/A,FALSE,"Plan1";#N/A,#N/A,FALSE,"Plan2"}</definedName>
    <definedName name="sdjfdf" localSheetId="0">{#N/A,#N/A,FALSE,"Plan1";#N/A,#N/A,FALSE,"Plan2"}</definedName>
    <definedName name="sdjfdf">{#N/A,#N/A,FALSE,"Plan1";#N/A,#N/A,FALSE,"Plan2"}</definedName>
    <definedName name="sdjfhdjk" localSheetId="0">{#N/A,#N/A,FALSE,"Plan1";#N/A,#N/A,FALSE,"Plan2"}</definedName>
    <definedName name="sdjfhdjk">{#N/A,#N/A,FALSE,"Plan1";#N/A,#N/A,FALSE,"Plan2"}</definedName>
    <definedName name="SDJFJDER" localSheetId="0">{#N/A,#N/A,FALSE,"Plan1";#N/A,#N/A,FALSE,"Plan2"}</definedName>
    <definedName name="SDJFJDER">{#N/A,#N/A,FALSE,"Plan1";#N/A,#N/A,FALSE,"Plan2"}</definedName>
    <definedName name="sdjflsdjfl" localSheetId="0">{#N/A,#N/A,FALSE,"Plan1";#N/A,#N/A,FALSE,"Plan2"}</definedName>
    <definedName name="sdjflsdjfl">{#N/A,#N/A,FALSE,"Plan1";#N/A,#N/A,FALSE,"Plan2"}</definedName>
    <definedName name="SDJHF" localSheetId="0">{#N/A,#N/A,FALSE,"Plan1";#N/A,#N/A,FALSE,"Plan2"}</definedName>
    <definedName name="SDJHF">{#N/A,#N/A,FALSE,"Plan1";#N/A,#N/A,FALSE,"Plan2"}</definedName>
    <definedName name="sdjrderertrr" localSheetId="0">{#N/A,#N/A,FALSE,"Plan1";#N/A,#N/A,FALSE,"Plan2"}</definedName>
    <definedName name="sdjrderertrr">{#N/A,#N/A,FALSE,"Plan1";#N/A,#N/A,FALSE,"Plan2"}</definedName>
    <definedName name="sdkdjk" localSheetId="0">{#N/A,#N/A,FALSE,"Plan1";#N/A,#N/A,FALSE,"Plan2"}</definedName>
    <definedName name="sdkdjk">{#N/A,#N/A,FALSE,"Plan1";#N/A,#N/A,FALSE,"Plan2"}</definedName>
    <definedName name="sdkfjhkdgfh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0">{#N/A,#N/A,FALSE,"Plan1";#N/A,#N/A,FALSE,"Plan2"}</definedName>
    <definedName name="sdkfnjd">{#N/A,#N/A,FALSE,"Plan1";#N/A,#N/A,FALSE,"Plan2"}</definedName>
    <definedName name="sdkk" localSheetId="0">{#N/A,#N/A,FALSE,"Plan1";#N/A,#N/A,FALSE,"Plan2"}</definedName>
    <definedName name="sdkk">{#N/A,#N/A,FALSE,"Plan1";#N/A,#N/A,FALSE,"Plan2"}</definedName>
    <definedName name="sdlfsdflj" localSheetId="0">{#N/A,#N/A,FALSE,"Plan1";#N/A,#N/A,FALSE,"Plan2"}</definedName>
    <definedName name="sdlfsdflj">{#N/A,#N/A,FALSE,"Plan1";#N/A,#N/A,FALSE,"Plan2"}</definedName>
    <definedName name="sdmfmdfsgfd" localSheetId="0">{#N/A,#N/A,FALSE,"Plan1";#N/A,#N/A,FALSE,"Plan2"}</definedName>
    <definedName name="sdmfmdfsgfd">{#N/A,#N/A,FALSE,"Plan1";#N/A,#N/A,FALSE,"Plan2"}</definedName>
    <definedName name="sd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0">{#N/A,#N/A,FALSE,"Plan1";#N/A,#N/A,FALSE,"Plan2"}</definedName>
    <definedName name="sdrfgt">{#N/A,#N/A,FALSE,"Plan1";#N/A,#N/A,FALSE,"Plan2"}</definedName>
    <definedName name="sdsd" localSheetId="0">{#N/A,#N/A,FALSE,"Plan1";#N/A,#N/A,FALSE,"Plan2"}</definedName>
    <definedName name="sdsd">{#N/A,#N/A,FALSE,"Plan1";#N/A,#N/A,FALSE,"Plan2"}</definedName>
    <definedName name="sdser" localSheetId="0">{#N/A,#N/A,FALSE,"Plan1";#N/A,#N/A,FALSE,"Plan2"}</definedName>
    <definedName name="sdser">{#N/A,#N/A,FALSE,"Plan1";#N/A,#N/A,FALSE,"Plan2"}</definedName>
    <definedName name="sdsre" localSheetId="0">{#N/A,#N/A,FALSE,"Plan1";#N/A,#N/A,FALSE,"Plan2"}</definedName>
    <definedName name="sdsre">{#N/A,#N/A,FALSE,"Plan1";#N/A,#N/A,FALSE,"Plan2"}</definedName>
    <definedName name="sdss" localSheetId="0">{#N/A,#N/A,FALSE,"Plan1";#N/A,#N/A,FALSE,"Plan2"}</definedName>
    <definedName name="sdss">{#N/A,#N/A,FALSE,"Plan1";#N/A,#N/A,FALSE,"Plan2"}</definedName>
    <definedName name="sdtrtg" localSheetId="0" hidden="1">#REF!</definedName>
    <definedName name="sdtrtg">#REF!</definedName>
    <definedName name="sdusi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0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name="sdxfrt" localSheetId="0">{#N/A,#N/A,FALSE,"Plan1";#N/A,#N/A,FALSE,"Plan2"}</definedName>
    <definedName name="sdxfrt">{#N/A,#N/A,FALSE,"Plan1";#N/A,#N/A,FALSE,"Plan2"}</definedName>
    <definedName name="SDZFERF" localSheetId="0">{#N/A,#N/A,FALSE,"Plan1";#N/A,#N/A,FALSE,"Plan2"}</definedName>
    <definedName name="SDZFERF">{#N/A,#N/A,FALSE,"Plan1";#N/A,#N/A,FALSE,"Plan2"}</definedName>
    <definedName name="se" localSheetId="0">#REF!</definedName>
    <definedName name="se">#REF!</definedName>
    <definedName name="SEDE" localSheetId="0">#REF!</definedName>
    <definedName name="SEDE">#REF!</definedName>
    <definedName name="sefret4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0">#REF!</definedName>
    <definedName name="SEG">#REF!</definedName>
    <definedName name="segftru" localSheetId="0">{#N/A,#N/A,FALSE,"Plan1";#N/A,#N/A,FALSE,"Plan2"}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0">#REF!</definedName>
    <definedName name="SEIS">#REF!</definedName>
    <definedName name="sencount" localSheetId="0">1</definedName>
    <definedName name="sencount">3</definedName>
    <definedName name="SEQUENCIA" localSheetId="0">#REF!</definedName>
    <definedName name="SEQUENCIA">#REF!</definedName>
    <definedName name="SEREWRSWE" localSheetId="0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name="Set_17" localSheetId="0">#REF!</definedName>
    <definedName name="Set_17">#REF!</definedName>
    <definedName name="SETE" localSheetId="0">#REF!</definedName>
    <definedName name="SETE">#REF!</definedName>
    <definedName name="SETEMBRO" localSheetId="0">#REF!</definedName>
    <definedName name="SETEMBRO">#REF!</definedName>
    <definedName name="setRJ17">#REF!</definedName>
    <definedName name="severo">#REF!</definedName>
    <definedName name="sf" localSheetId="0">{#N/A,#N/A,FALSE,"Plan1";#N/A,#N/A,FALSE,"Plan2"}</definedName>
    <definedName name="sf">{#N/A,#N/A,FALSE,"Plan1";#N/A,#N/A,FALSE,"Plan2"}</definedName>
    <definedName name="sfcre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0">{#N/A,#N/A,FALSE,"Plan1";#N/A,#N/A,FALSE,"Plan2"}</definedName>
    <definedName name="sfddfd">{#N/A,#N/A,FALSE,"Plan1";#N/A,#N/A,FALSE,"Plan2"}</definedName>
    <definedName name="sfds" localSheetId="0">{#N/A,#N/A,FALSE,"Plan1";#N/A,#N/A,FALSE,"Plan2"}</definedName>
    <definedName name="sfds">{#N/A,#N/A,FALSE,"Plan1";#N/A,#N/A,FALSE,"Plan2"}</definedName>
    <definedName name="sfdsd" localSheetId="0">{#N/A,#N/A,FALSE,"Plan1";#N/A,#N/A,FALSE,"Plan2"}</definedName>
    <definedName name="sfdsd">{#N/A,#N/A,FALSE,"Plan1";#N/A,#N/A,FALSE,"Plan2"}</definedName>
    <definedName name="SFDSF">34</definedName>
    <definedName name="sfrsdrgt" localSheetId="0">{#N/A,#N/A,FALSE,"Plan1";#N/A,#N/A,FALSE,"Plan2"}</definedName>
    <definedName name="sfrsdrgt">{#N/A,#N/A,FALSE,"Plan1";#N/A,#N/A,FALSE,"Plan2"}</definedName>
    <definedName name="SFRT" localSheetId="0">{#N/A,#N/A,FALSE,"Plan1";#N/A,#N/A,FALSE,"Plan2"}</definedName>
    <definedName name="SFRT">{#N/A,#N/A,FALSE,"Plan1";#N/A,#N/A,FALSE,"Plan2"}</definedName>
    <definedName name="sfsdferf" localSheetId="0">{#N/A,#N/A,FALSE,"Plan1";#N/A,#N/A,FALSE,"Plan2"}</definedName>
    <definedName name="sfsdferf">{#N/A,#N/A,FALSE,"Plan1";#N/A,#N/A,FALSE,"Plan2"}</definedName>
    <definedName name="sfsdfs">34</definedName>
    <definedName name="SFSDS" localSheetId="0">{#N/A,#N/A,FALSE,"Plan1";#N/A,#N/A,FALSE,"Plan2"}</definedName>
    <definedName name="SFSDS">{#N/A,#N/A,FALSE,"Plan1";#N/A,#N/A,FALSE,"Plan2"}</definedName>
    <definedName name="SGarantia" localSheetId="0">#REF!</definedName>
    <definedName name="SGarantia">#REF!</definedName>
    <definedName name="sgtghty" localSheetId="0">{#N/A,#N/A,FALSE,"Plan1";#N/A,#N/A,FALSE,"Plan2"}</definedName>
    <definedName name="sgtghty">{#N/A,#N/A,FALSE,"Plan1";#N/A,#N/A,FALSE,"Plan2"}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0">#REF!</definedName>
    <definedName name="SHARED_FORMULA_0">#REF!</definedName>
    <definedName name="SHARED_FORMULA_1" localSheetId="0">#REF!</definedName>
    <definedName name="SHARED_FORMULA_1">#REF!</definedName>
    <definedName name="SHARED_FORMULA_10" localSheetId="0">#REF!</definedName>
    <definedName name="SHARED_FORMULA_10">#REF!</definedName>
    <definedName name="SHARED_FORMULA_11" localSheetId="0">#REF!</definedName>
    <definedName name="SHARED_FORMULA_11">#REF!</definedName>
    <definedName name="SHARED_FORMULA_12" localSheetId="0">#REF!</definedName>
    <definedName name="SHARED_FORMULA_12">#REF!</definedName>
    <definedName name="SHARED_FORMULA_13" localSheetId="0">#REF!</definedName>
    <definedName name="SHARED_FORMULA_13">#REF!</definedName>
    <definedName name="SHARED_FORMULA_14" localSheetId="0">#REF!</definedName>
    <definedName name="SHARED_FORMULA_14">#REF!</definedName>
    <definedName name="SHARED_FORMULA_15" localSheetId="0">#REF!</definedName>
    <definedName name="SHARED_FORMULA_15">#REF!</definedName>
    <definedName name="SHARED_FORMULA_16" localSheetId="0">#REF!</definedName>
    <definedName name="SHARED_FORMULA_16">#REF!</definedName>
    <definedName name="SHARED_FORMULA_17" localSheetId="0">#REF!</definedName>
    <definedName name="SHARED_FORMULA_17">#REF!</definedName>
    <definedName name="SHARED_FORMULA_18" localSheetId="0">#REF!</definedName>
    <definedName name="SHARED_FORMULA_18">#REF!</definedName>
    <definedName name="SHARED_FORMULA_19" localSheetId="0">#REF!</definedName>
    <definedName name="SHARED_FORMULA_19">#REF!</definedName>
    <definedName name="SHARED_FORMULA_2" localSheetId="0">#REF!</definedName>
    <definedName name="SHARED_FORMULA_2">#REF!</definedName>
    <definedName name="SHARED_FORMULA_20" localSheetId="0">#REF!</definedName>
    <definedName name="SHARED_FORMULA_20">#REF!</definedName>
    <definedName name="SHARED_FORMULA_21" localSheetId="0">#REF!</definedName>
    <definedName name="SHARED_FORMULA_21">#REF!</definedName>
    <definedName name="SHARED_FORMULA_22" localSheetId="0">#REF!</definedName>
    <definedName name="SHARED_FORMULA_22">#REF!</definedName>
    <definedName name="SHARED_FORMULA_23" localSheetId="0">#REF!</definedName>
    <definedName name="SHARED_FORMULA_23">#REF!</definedName>
    <definedName name="SHARED_FORMULA_24" localSheetId="0">#REF!</definedName>
    <definedName name="SHARED_FORMULA_24">#REF!</definedName>
    <definedName name="SHARED_FORMULA_25" localSheetId="0">#REF!</definedName>
    <definedName name="SHARED_FORMULA_25">#REF!</definedName>
    <definedName name="SHARED_FORMULA_26" localSheetId="0">#REF!</definedName>
    <definedName name="SHARED_FORMULA_26">#REF!</definedName>
    <definedName name="SHARED_FORMULA_27" localSheetId="0">#REF!</definedName>
    <definedName name="SHARED_FORMULA_27">#REF!</definedName>
    <definedName name="SHARED_FORMULA_28" localSheetId="0">#REF!</definedName>
    <definedName name="SHARED_FORMULA_28">#REF!</definedName>
    <definedName name="SHARED_FORMULA_29" localSheetId="0">#REF!</definedName>
    <definedName name="SHARED_FORMULA_29">#REF!</definedName>
    <definedName name="SHARED_FORMULA_3" localSheetId="0">#REF!</definedName>
    <definedName name="SHARED_FORMULA_3">#REF!</definedName>
    <definedName name="SHARED_FORMULA_30" localSheetId="0">#REF!</definedName>
    <definedName name="SHARED_FORMULA_30">#REF!</definedName>
    <definedName name="SHARED_FORMULA_31" localSheetId="0">#REF!</definedName>
    <definedName name="SHARED_FORMULA_31">#REF!</definedName>
    <definedName name="SHARED_FORMULA_32" localSheetId="0">#REF!</definedName>
    <definedName name="SHARED_FORMULA_32">#REF!</definedName>
    <definedName name="SHARED_FORMULA_33" localSheetId="0">#REF!</definedName>
    <definedName name="SHARED_FORMULA_33">#REF!</definedName>
    <definedName name="SHARED_FORMULA_34" localSheetId="0">#REF!</definedName>
    <definedName name="SHARED_FORMULA_34">#REF!</definedName>
    <definedName name="SHARED_FORMULA_35" localSheetId="0">#REF!</definedName>
    <definedName name="SHARED_FORMULA_35">#REF!</definedName>
    <definedName name="SHARED_FORMULA_36" localSheetId="0">#REF!</definedName>
    <definedName name="SHARED_FORMULA_36">#REF!</definedName>
    <definedName name="SHARED_FORMULA_37" localSheetId="0">#REF!</definedName>
    <definedName name="SHARED_FORMULA_37">#REF!</definedName>
    <definedName name="SHARED_FORMULA_38" localSheetId="0">#REF!</definedName>
    <definedName name="SHARED_FORMULA_38">#REF!</definedName>
    <definedName name="SHARED_FORMULA_39" localSheetId="0">#REF!</definedName>
    <definedName name="SHARED_FORMULA_39">#REF!</definedName>
    <definedName name="SHARED_FORMULA_4" localSheetId="0">#REF!</definedName>
    <definedName name="SHARED_FORMULA_4">#REF!</definedName>
    <definedName name="SHARED_FORMULA_40" localSheetId="0">#REF!</definedName>
    <definedName name="SHARED_FORMULA_40">#REF!</definedName>
    <definedName name="SHARED_FORMULA_41" localSheetId="0">#REF!</definedName>
    <definedName name="SHARED_FORMULA_41">#REF!</definedName>
    <definedName name="SHARED_FORMULA_42" localSheetId="0">#REF!</definedName>
    <definedName name="SHARED_FORMULA_42">#REF!</definedName>
    <definedName name="SHARED_FORMULA_43" localSheetId="0">#REF!</definedName>
    <definedName name="SHARED_FORMULA_43">#REF!</definedName>
    <definedName name="SHARED_FORMULA_44" localSheetId="0">#REF!</definedName>
    <definedName name="SHARED_FORMULA_44">#REF!</definedName>
    <definedName name="SHARED_FORMULA_45" localSheetId="0">#REF!</definedName>
    <definedName name="SHARED_FORMULA_45">#REF!</definedName>
    <definedName name="SHARED_FORMULA_46" localSheetId="0">#REF!</definedName>
    <definedName name="SHARED_FORMULA_46">#REF!</definedName>
    <definedName name="SHARED_FORMULA_47" localSheetId="0">#REF!</definedName>
    <definedName name="SHARED_FORMULA_47">#REF!</definedName>
    <definedName name="SHARED_FORMULA_48" localSheetId="0">#REF!</definedName>
    <definedName name="SHARED_FORMULA_48">#REF!</definedName>
    <definedName name="SHARED_FORMULA_49" localSheetId="0">#REF!</definedName>
    <definedName name="SHARED_FORMULA_49">#REF!</definedName>
    <definedName name="SHARED_FORMULA_5" localSheetId="0">#REF!</definedName>
    <definedName name="SHARED_FORMULA_5">#REF!</definedName>
    <definedName name="SHARED_FORMULA_50" localSheetId="0">#REF!</definedName>
    <definedName name="SHARED_FORMULA_50">#REF!</definedName>
    <definedName name="SHARED_FORMULA_51" localSheetId="0">#REF!</definedName>
    <definedName name="SHARED_FORMULA_51">#REF!</definedName>
    <definedName name="SHARED_FORMULA_52" localSheetId="0">#REF!</definedName>
    <definedName name="SHARED_FORMULA_52">#REF!</definedName>
    <definedName name="SHARED_FORMULA_53" localSheetId="0">#REF!</definedName>
    <definedName name="SHARED_FORMULA_53">#REF!</definedName>
    <definedName name="SHARED_FORMULA_54" localSheetId="0">#REF!</definedName>
    <definedName name="SHARED_FORMULA_54">#REF!</definedName>
    <definedName name="SHARED_FORMULA_55" localSheetId="0">#REF!</definedName>
    <definedName name="SHARED_FORMULA_55">#REF!</definedName>
    <definedName name="SHARED_FORMULA_56" localSheetId="0">#REF!</definedName>
    <definedName name="SHARED_FORMULA_56">#REF!</definedName>
    <definedName name="SHARED_FORMULA_57" localSheetId="0">#REF!</definedName>
    <definedName name="SHARED_FORMULA_57">#REF!</definedName>
    <definedName name="SHARED_FORMULA_58" localSheetId="0">#REF!</definedName>
    <definedName name="SHARED_FORMULA_58">#REF!</definedName>
    <definedName name="SHARED_FORMULA_59" localSheetId="0">#REF!</definedName>
    <definedName name="SHARED_FORMULA_59">#REF!</definedName>
    <definedName name="SHARED_FORMULA_6" localSheetId="0">#REF!</definedName>
    <definedName name="SHARED_FORMULA_6">#REF!</definedName>
    <definedName name="SHARED_FORMULA_60" localSheetId="0">#REF!</definedName>
    <definedName name="SHARED_FORMULA_60">#REF!</definedName>
    <definedName name="SHARED_FORMULA_61" localSheetId="0">#REF!</definedName>
    <definedName name="SHARED_FORMULA_61">#REF!</definedName>
    <definedName name="SHARED_FORMULA_62" localSheetId="0">#REF!</definedName>
    <definedName name="SHARED_FORMULA_62">#REF!</definedName>
    <definedName name="SHARED_FORMULA_7" localSheetId="0">#REF!</definedName>
    <definedName name="SHARED_FORMULA_7">#REF!</definedName>
    <definedName name="SHARED_FORMULA_8" localSheetId="0">#REF!</definedName>
    <definedName name="SHARED_FORMULA_8">#REF!</definedName>
    <definedName name="SHARED_FORMULA_9" localSheetId="0">#REF!</definedName>
    <definedName name="SHARED_FORMULA_9">#REF!</definedName>
    <definedName name="SIH" localSheetId="0">#REF!</definedName>
    <definedName name="SIH">#REF!</definedName>
    <definedName name="SISTEM1" localSheetId="0">#REF!</definedName>
    <definedName name="SISTEM1">#REF!</definedName>
    <definedName name="SISTEM2" localSheetId="0">#REF!</definedName>
    <definedName name="SISTEM2">#REF!</definedName>
    <definedName name="SIV">#REF!</definedName>
    <definedName name="sjawe" localSheetId="0">{#N/A,#N/A,FALSE,"Plan1";#N/A,#N/A,FALSE,"Plan2"}</definedName>
    <definedName name="sjawe">{#N/A,#N/A,FALSE,"Plan1";#N/A,#N/A,FALSE,"Plan2"}</definedName>
    <definedName name="sjdffd" localSheetId="0">{#N/A,#N/A,FALSE,"Plan1";#N/A,#N/A,FALSE,"Plan2"}</definedName>
    <definedName name="sjdffd">{#N/A,#N/A,FALSE,"Plan1";#N/A,#N/A,FALSE,"Plan2"}</definedName>
    <definedName name="SJDFHDJ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0">{#N/A,#N/A,FALSE,"Plan1";#N/A,#N/A,FALSE,"Plan2"}</definedName>
    <definedName name="SJDHFHRE">{#N/A,#N/A,FALSE,"Plan1";#N/A,#N/A,FALSE,"Plan2"}</definedName>
    <definedName name="SJDKJDE" localSheetId="0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name="sjekwjri" localSheetId="0">{#N/A,#N/A,FALSE,"Plan1";#N/A,#N/A,FALSE,"Plan2"}</definedName>
    <definedName name="sjekwjri">{#N/A,#N/A,FALSE,"Plan1";#N/A,#N/A,FALSE,"Plan2"}</definedName>
    <definedName name="sjfkdhsfds" localSheetId="0">{#N/A,#N/A,FALSE,"Plan1";#N/A,#N/A,FALSE,"Plan2"}</definedName>
    <definedName name="sjfkdhsfds">{#N/A,#N/A,FALSE,"Plan1";#N/A,#N/A,FALSE,"Plan2"}</definedName>
    <definedName name="sjkdljslkrje" localSheetId="0">{#N/A,#N/A,FALSE,"Plan1";#N/A,#N/A,FALSE,"Plan2"}</definedName>
    <definedName name="sjkdljslkrje">{#N/A,#N/A,FALSE,"Plan1";#N/A,#N/A,FALSE,"Plan2"}</definedName>
    <definedName name="skadadaszs" localSheetId="0">{#N/A,#N/A,FALSE,"Plan1";#N/A,#N/A,FALSE,"Plan2"}</definedName>
    <definedName name="skadadaszs">{#N/A,#N/A,FALSE,"Plan1";#N/A,#N/A,FALSE,"Plan2"}</definedName>
    <definedName name="SKASH" localSheetId="0">{#N/A,#N/A,FALSE,"Plan1";#N/A,#N/A,FALSE,"Plan2"}</definedName>
    <definedName name="SKASH">{#N/A,#N/A,FALSE,"Plan1";#N/A,#N/A,FALSE,"Plan2"}</definedName>
    <definedName name="skldfrde" localSheetId="0">{#N/A,#N/A,FALSE,"Plan1";#N/A,#N/A,FALSE,"Plan2"}</definedName>
    <definedName name="skldfrde">{#N/A,#N/A,FALSE,"Plan1";#N/A,#N/A,FALSE,"Plan2"}</definedName>
    <definedName name="skosroer" localSheetId="0">{#N/A,#N/A,FALSE,"Plan1";#N/A,#N/A,FALSE,"Plan2"}</definedName>
    <definedName name="skosroer">{#N/A,#N/A,FALSE,"Plan1";#N/A,#N/A,FALSE,"Plan2"}</definedName>
    <definedName name="SO" localSheetId="0">#REF!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 localSheetId="0">#REF!</definedName>
    <definedName name="soma">#REF!</definedName>
    <definedName name="sp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0">{#N/A,#N/A,FALSE,"Plan1";#N/A,#N/A,FALSE,"Plan2"}</definedName>
    <definedName name="sQEWWE">{#N/A,#N/A,FALSE,"Plan1";#N/A,#N/A,FALSE,"Plan2"}</definedName>
    <definedName name="SR" localSheetId="0" hidden="1">#REF!</definedName>
    <definedName name="SR">#REF!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0" hidden="1">#REF!</definedName>
    <definedName name="SS">#REF!</definedName>
    <definedName name="sssss" localSheetId="0" hidden="1">#REF!</definedName>
    <definedName name="sssss">#REF!</definedName>
    <definedName name="stake_cury" localSheetId="0">#REF!</definedName>
    <definedName name="stake_cury">#REF!</definedName>
    <definedName name="status_projeto" localSheetId="0" hidden="1">OFFSET(INDEX(#REF!,MATCH(#REF!,#REF!,0)),1,0,COUNTA(#REF!)-1)</definedName>
    <definedName name="status_projeto">OFFSET(INDEX(#REF!,MATCH(#REF!,#REF!,0)),1,0,COUNTA(#REF!)-1)</definedName>
    <definedName name="SUB_TOTAL_1" localSheetId="0">#REF!</definedName>
    <definedName name="SUB_TOTAL_1">#REF!</definedName>
    <definedName name="SUBDER" localSheetId="0">#REF!</definedName>
    <definedName name="SUBDER">#REF!</definedName>
    <definedName name="SUBDIV" localSheetId="0">#REF!</definedName>
    <definedName name="SUBDIV">#REF!</definedName>
    <definedName name="SUBEQP">#REF!</definedName>
    <definedName name="SUBMUR">#REF!</definedName>
    <definedName name="summ">#REF!</definedName>
    <definedName name="susref">#REF!</definedName>
    <definedName name="Swvu.Características.">#REF!</definedName>
    <definedName name="Swvu.Ciclos.">#REF!</definedName>
    <definedName name="Swvu.Custos.">#REF!</definedName>
    <definedName name="Swvu.PLANILHA2.">#REF!</definedName>
    <definedName name="Swvu.Recursos.">#REF!</definedName>
    <definedName name="T_actual">#REF!</definedName>
    <definedName name="t_cc">#REF!</definedName>
    <definedName name="t_KSB1_Transport">#REF!</definedName>
    <definedName name="tab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0">#REF!</definedName>
    <definedName name="TAB_GASTOS">#REF!</definedName>
    <definedName name="TABACABAMENTOS" localSheetId="0">#REF!</definedName>
    <definedName name="TABACABAMENTOS">#REF!</definedName>
    <definedName name="tabela" localSheetId="0">#REF!</definedName>
    <definedName name="tabela">#REF!</definedName>
    <definedName name="Tabela_Atribuição">#REF!</definedName>
    <definedName name="TABELA_DE_REVESTIMENTOS">#REF!</definedName>
    <definedName name="Tabela_Recursos">#REF!</definedName>
    <definedName name="Tabela_Tarefas">#REF!</definedName>
    <definedName name="Tabela1">#REF!</definedName>
    <definedName name="Tabela2">#REF!</definedName>
    <definedName name="tabela3">#REF!</definedName>
    <definedName name="TABREF">#REF!</definedName>
    <definedName name="tania">#REF!</definedName>
    <definedName name="TAUX2" localSheetId="0">OFFSET(#REF!,0,0,COUNTA(#REF!)+1,1)</definedName>
    <definedName name="TAUX2">OFFSET(#REF!,0,0,COUNTA(#REF!)+1,1)</definedName>
    <definedName name="TAUX3">OFFSET(#REF!,0,0,COUNTA(#REF!)+1,1)</definedName>
    <definedName name="TAXA_VENTO" localSheetId="0">#REF!</definedName>
    <definedName name="TAXA_VENTO">#REF!</definedName>
    <definedName name="TAXAS" localSheetId="0">#REF!</definedName>
    <definedName name="TAXAS">#REF!</definedName>
    <definedName name="TbDin" localSheetId="0">OFFSET(#REF!,0,0,COUNTA(#REF!),13)</definedName>
    <definedName name="TbDin">OFFSET(#REF!,0,0,COUNTA(#REF!),13)</definedName>
    <definedName name="tc" localSheetId="0">#REF!</definedName>
    <definedName name="tc">#REF!</definedName>
    <definedName name="TE" localSheetId="0">#REF!</definedName>
    <definedName name="TE">#REF!</definedName>
    <definedName name="TECLA" localSheetId="0">#REF!</definedName>
    <definedName name="TECLA">#REF!</definedName>
    <definedName name="Tendência_Obra_Controladoria">#REF!</definedName>
    <definedName name="TERRENO">#REF!</definedName>
    <definedName name="Test" localSheetId="0">{"'Edit'!$A$1:$V$2277"}</definedName>
    <definedName name="Test">{"'Edit'!$A$1:$V$2277"}</definedName>
    <definedName name="TESTANDO" localSheetId="0">{#N/A,#N/A,TRUE,"Quinzena 01 à 15-04-98 "}</definedName>
    <definedName name="TESTANDO">{#N/A,#N/A,TRUE,"Quinzena 01 à 15-04-98 "}</definedName>
    <definedName name="teste" localSheetId="0">#REF!</definedName>
    <definedName name="teste">#REF!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0">#REF!</definedName>
    <definedName name="teste3">#REF!</definedName>
    <definedName name="TESTHKEY" localSheetId="0">#REF!</definedName>
    <definedName name="TESTHKEY">#REF!</definedName>
    <definedName name="teto1" localSheetId="0">#REF!</definedName>
    <definedName name="teto1">#REF!</definedName>
    <definedName name="Teto2">#REF!</definedName>
    <definedName name="tetuytw">#REF!</definedName>
    <definedName name="TextRefCopyRangeCount">1</definedName>
    <definedName name="thjgsergsr" localSheetId="0">{#N/A,#N/A,FALSE,"Plan1";#N/A,#N/A,FALSE,"Plan2"}</definedName>
    <definedName name="thjgsergsr">{#N/A,#N/A,FALSE,"Plan1";#N/A,#N/A,FALSE,"Plan2"}</definedName>
    <definedName name="THYJ" localSheetId="0">{#N/A,#N/A,FALSE,"Plan1";#N/A,#N/A,FALSE,"Plan2"}</definedName>
    <definedName name="THYJ">{#N/A,#N/A,FALSE,"Plan1";#N/A,#N/A,FALSE,"Plan2"}</definedName>
    <definedName name="tihjgih" localSheetId="0">{#N/A,#N/A,FALSE,"Plan1";#N/A,#N/A,FALSE,"Plan2"}</definedName>
    <definedName name="tihjgih">{#N/A,#N/A,FALSE,"Plan1";#N/A,#N/A,FALSE,"Plan2"}</definedName>
    <definedName name="TIPO_CTT" localSheetId="0">#REF!</definedName>
    <definedName name="TIPO_CTT">#REF!</definedName>
    <definedName name="Tipo_de_Diretoria" localSheetId="0">#REF!</definedName>
    <definedName name="Tipo_de_Diretoria">#REF!</definedName>
    <definedName name="Tipo_de_Gestao" localSheetId="0">#REF!</definedName>
    <definedName name="Tipo_de_Gestao">#REF!</definedName>
    <definedName name="Tipo_de_Padrao">#REF!</definedName>
    <definedName name="Tipo_de_Regiao">#REF!</definedName>
    <definedName name="Tipo_de_Segmento">#REF!</definedName>
    <definedName name="Tipo_de_Status">#REF!</definedName>
    <definedName name="Tipo_de_UF">#REF!</definedName>
    <definedName name="Tipo_de_Unidade_de_Negocio">#REF!</definedName>
    <definedName name="Tipo_do_cliente">#REF!</definedName>
    <definedName name="tipo_subtotal">#REF!</definedName>
    <definedName name="tipobloco">#REF!</definedName>
    <definedName name="titbeb">#REF!</definedName>
    <definedName name="TITCHAF">#REF!</definedName>
    <definedName name="TituloMkt">#REF!</definedName>
    <definedName name="titulos">#REF!</definedName>
    <definedName name="_xlnm.Print_Titles">#REF!</definedName>
    <definedName name="Títulos_impressão_IM">#REF!</definedName>
    <definedName name="TMO">#REF!</definedName>
    <definedName name="TOLTAL2">#REF!</definedName>
    <definedName name="TOT">#REF!</definedName>
    <definedName name="tot3estac">#REF!</definedName>
    <definedName name="TOTAIS">#REF!</definedName>
    <definedName name="Total">#REF!</definedName>
    <definedName name="Total_2016_Rel_Controladoria">#REF!</definedName>
    <definedName name="Total_Parcelas_MAP">#REF!</definedName>
    <definedName name="total_unid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2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ITEM">#REF!</definedName>
    <definedName name="totbase">#REF!</definedName>
    <definedName name="totestaca">#REF!</definedName>
    <definedName name="TOTG" localSheetId="0">OFFSET(#REF!,0,0,COUNTA(#REF!),1)</definedName>
    <definedName name="TOTG">OFFSET(#REF!,0,0,COUNTA(#REF!),1)</definedName>
    <definedName name="totperfura" localSheetId="0">#REF!</definedName>
    <definedName name="totperfura">#REF!</definedName>
    <definedName name="TOTQTS" localSheetId="0">#REF!</definedName>
    <definedName name="TOTQTS">#REF!</definedName>
    <definedName name="TOTT" localSheetId="0">OFFSET(#REF!,0,0,COUNTA(#REF!)+1,1)</definedName>
    <definedName name="TOTT">OFFSET(#REF!,0,0,COUNTA(#REF!)+1,1)</definedName>
    <definedName name="TR" localSheetId="0">#REF!</definedName>
    <definedName name="TR">#REF!</definedName>
    <definedName name="Transferencia1" localSheetId="0">#REF!</definedName>
    <definedName name="Transferencia1">#REF!</definedName>
    <definedName name="TRES" localSheetId="0">#REF!</definedName>
    <definedName name="TRES">#REF!</definedName>
    <definedName name="TREZE">#REF!</definedName>
    <definedName name="tri">#REF!</definedName>
    <definedName name="Trimestre_data_base">#REF!</definedName>
    <definedName name="trjyidih" localSheetId="0">{#N/A,#N/A,FALSE,"Plan1";#N/A,#N/A,FALSE,"Plan2"}</definedName>
    <definedName name="trjyidih">{#N/A,#N/A,FALSE,"Plan1";#N/A,#N/A,FALSE,"Plan2"}</definedName>
    <definedName name="TRP" localSheetId="0">#REF!</definedName>
    <definedName name="TRP">#REF!</definedName>
    <definedName name="TTT" localSheetId="0">#REF!</definedName>
    <definedName name="TTT">#REF!</definedName>
    <definedName name="TURNO" localSheetId="0">#REF!</definedName>
    <definedName name="TURNO">#REF!</definedName>
    <definedName name="tuyedjsksj" localSheetId="0">{#N/A,#N/A,FALSE,"Plan1";#N/A,#N/A,FALSE,"Plan2"}</definedName>
    <definedName name="tuyedjsksj">{#N/A,#N/A,FALSE,"Plan1";#N/A,#N/A,FALSE,"Plan2"}</definedName>
    <definedName name="TX_ADM" localSheetId="0">#REF!</definedName>
    <definedName name="TX_ADM">#REF!</definedName>
    <definedName name="tx_desconto_real" localSheetId="0">#REF!</definedName>
    <definedName name="tx_desconto_real">#REF!</definedName>
    <definedName name="TxAplicMes" localSheetId="0">#REF!</definedName>
    <definedName name="TxAplicMes">#REF!</definedName>
    <definedName name="TxCdiMes">#REF!</definedName>
    <definedName name="TxDescMes">#REF!</definedName>
    <definedName name="TxSecuritizacaoMes">#REF!</definedName>
    <definedName name="TxSfhEco">#REF!</definedName>
    <definedName name="TxSfhMap">#REF!</definedName>
    <definedName name="TXTEQUIP">#REF!</definedName>
    <definedName name="TXTMARCA">#REF!</definedName>
    <definedName name="TXTMOD">#REF!</definedName>
    <definedName name="TXTPOT">#REF!</definedName>
    <definedName name="TYHGFHFHG" localSheetId="0">{#N/A,#N/A,FALSE,"Plan1";#N/A,#N/A,FALSE,"Plan2"}</definedName>
    <definedName name="TYHGFHFHG">{#N/A,#N/A,FALSE,"Plan1";#N/A,#N/A,FALSE,"Plan2"}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localSheetId="0">{#N/A,#N/A,FALSE,"Plan1";#N/A,#N/A,FALSE,"Plan2"}</definedName>
    <definedName name="udhgfhfg">{#N/A,#N/A,FALSE,"Plan1";#N/A,#N/A,FALSE,"Plan2"}</definedName>
    <definedName name="ueiutriuef" localSheetId="0">{#N/A,#N/A,FALSE,"Plan1";#N/A,#N/A,FALSE,"Plan2"}</definedName>
    <definedName name="ueiutriuef">{#N/A,#N/A,FALSE,"Plan1";#N/A,#N/A,FALSE,"Plan2"}</definedName>
    <definedName name="UENSIT" localSheetId="0">#REF!</definedName>
    <definedName name="UENSIT">#REF!</definedName>
    <definedName name="UENSITS" localSheetId="0">#REF!</definedName>
    <definedName name="UENSITS">#REF!</definedName>
    <definedName name="UHGSDUS" localSheetId="0">{#N/A,#N/A,FALSE,"Plan1";#N/A,#N/A,FALSE,"Plan2"}</definedName>
    <definedName name="UHGSDUS">{#N/A,#N/A,FALSE,"Plan1";#N/A,#N/A,FALSE,"Plan2"}</definedName>
    <definedName name="UI" localSheetId="0" hidden="1">#REF!</definedName>
    <definedName name="UI">#REF!</definedName>
    <definedName name="UIHWER45R" localSheetId="0">{#N/A,#N/A,FALSE,"Plan1";#N/A,#N/A,FALSE,"Plan2"}</definedName>
    <definedName name="UIHWER45R">{#N/A,#N/A,FALSE,"Plan1";#N/A,#N/A,FALSE,"Plan2"}</definedName>
    <definedName name="uiosderuiu" localSheetId="0">{#N/A,#N/A,FALSE,"Plan1";#N/A,#N/A,FALSE,"Plan2"}</definedName>
    <definedName name="uiosderuiu">{#N/A,#N/A,FALSE,"Plan1";#N/A,#N/A,FALSE,"Plan2"}</definedName>
    <definedName name="UIOURET" localSheetId="0">{#N/A,#N/A,FALSE,"Plan1";#N/A,#N/A,FALSE,"Plan2"}</definedName>
    <definedName name="UIOURET">{#N/A,#N/A,FALSE,"Plan1";#N/A,#N/A,FALSE,"Plan2"}</definedName>
    <definedName name="uiwuer" localSheetId="0">{#N/A,#N/A,FALSE,"Plan1";#N/A,#N/A,FALSE,"Plan2"}</definedName>
    <definedName name="uiwuer">{#N/A,#N/A,FALSE,"Plan1";#N/A,#N/A,FALSE,"Plan2"}</definedName>
    <definedName name="UKHDFDSGUDFKD" localSheetId="0">{#N/A,#N/A,FALSE,"Plan1";#N/A,#N/A,FALSE,"Plan2"}</definedName>
    <definedName name="UKHDFDSGUDFKD">{#N/A,#N/A,FALSE,"Plan1";#N/A,#N/A,FALSE,"Plan2"}</definedName>
    <definedName name="um" localSheetId="0">0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 localSheetId="0">OFFSET(#REF!,0,0,COUNTA(#REF!),1)</definedName>
    <definedName name="UNID">OFFSET(#REF!,0,0,COUNTA(#REF!),1)</definedName>
    <definedName name="uni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0">#REF!</definedName>
    <definedName name="univ_cdi">#REF!</definedName>
    <definedName name="univ_hist" localSheetId="0">#REF!</definedName>
    <definedName name="univ_hist">#REF!</definedName>
    <definedName name="univ_uss" localSheetId="0">#REF!</definedName>
    <definedName name="univ_uss">#REF!</definedName>
    <definedName name="UP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0">{#N/A,#N/A,FALSE,"Plan1";#N/A,#N/A,FALSE,"Plan2"}</definedName>
    <definedName name="uryrtyt">{#N/A,#N/A,FALSE,"Plan1";#N/A,#N/A,FALSE,"Plan2"}</definedName>
    <definedName name="V" localSheetId="0">#REF!</definedName>
    <definedName name="V">#REF!</definedName>
    <definedName name="VALIDADE_EXECUÇÃO" localSheetId="0">#REF!</definedName>
    <definedName name="VALIDADE_EXECUÇÃO">#REF!</definedName>
    <definedName name="Valor_PLS_Controladoria" localSheetId="0">#REF!</definedName>
    <definedName name="Valor_PLS_Controladoria">#REF!</definedName>
    <definedName name="Valor_Previsto_Fin_Medições">#REF!</definedName>
    <definedName name="VALOR_REAIS">#REF!</definedName>
    <definedName name="Valor_Recebido_Fin_Medições">#REF!</definedName>
    <definedName name="Valor_Sienge">#REF!</definedName>
    <definedName name="VALOR_VENDA">#REF!</definedName>
    <definedName name="valores_diferidos">#REF!</definedName>
    <definedName name="valv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0">#REF!</definedName>
    <definedName name="VAOS">#REF!</definedName>
    <definedName name="vdsgfrhgfr" localSheetId="0">{#N/A,#N/A,FALSE,"Plan1";#N/A,#N/A,FALSE,"Plan2"}</definedName>
    <definedName name="vdsgfrhgfr">{#N/A,#N/A,FALSE,"Plan1";#N/A,#N/A,FALSE,"Plan2"}</definedName>
    <definedName name="Veiculos" localSheetId="0">#REF!</definedName>
    <definedName name="Veiculos">#REF!</definedName>
    <definedName name="VENDA_ADOTADA" localSheetId="0">#REF!</definedName>
    <definedName name="VENDA_ADOTADA">#REF!</definedName>
    <definedName name="VENDAFINAL_R" localSheetId="0">#REF!</definedName>
    <definedName name="VENDAFINAL_R">#REF!</definedName>
    <definedName name="VENDAFINAL_U">#REF!</definedName>
    <definedName name="Vendas">#REF!</definedName>
    <definedName name="vendas_">#REF!</definedName>
    <definedName name="VERIFICAR" localSheetId="0">{#N/A,#N/A,TRUE,"Quinzena 01 à 15-04-98 "}</definedName>
    <definedName name="VERIFICAR">{#N/A,#N/A,TRUE,"Quinzena 01 à 15-04-98 "}</definedName>
    <definedName name="versao_estudo" localSheetId="0">#REF!</definedName>
    <definedName name="versao_estudo">#REF!</definedName>
    <definedName name="vfbg" localSheetId="0">#REF!</definedName>
    <definedName name="vfbg">#REF!</definedName>
    <definedName name="vfnij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0">{#N/A,#N/A,FALSE,"Plan1";#N/A,#N/A,FALSE,"Plan2"}</definedName>
    <definedName name="VFV">{#N/A,#N/A,FALSE,"Plan1";#N/A,#N/A,FALSE,"Plan2"}</definedName>
    <definedName name="VI" localSheetId="0">#REF!</definedName>
    <definedName name="VI">#REF!</definedName>
    <definedName name="VINTE" localSheetId="0">#REF!</definedName>
    <definedName name="VINTE">#REF!</definedName>
    <definedName name="visao_cashflow" localSheetId="0">#REF!</definedName>
    <definedName name="visao_cashflow">#REF!</definedName>
    <definedName name="visao_VL">#REF!</definedName>
    <definedName name="vl_cd">#REF!</definedName>
    <definedName name="vl_k1">#REF!</definedName>
    <definedName name="vl_k2">#REF!</definedName>
    <definedName name="vl_k3">#REF!</definedName>
    <definedName name="vld_classificacao" localSheetId="0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name="vld_regional" localSheetId="0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name="vld_segmento" localSheetId="0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name="vld_sociedade" localSheetId="0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name="vld_status_empresa" localSheetId="0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name="vld_status_lancamento" localSheetId="0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name="vld_status_projeto" localSheetId="0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name="vld_status_viabilidade" localSheetId="0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OLUME1" localSheetId="0">#REF!</definedName>
    <definedName name="VOLUME1">#REF!</definedName>
    <definedName name="VOLUME2" localSheetId="0">#REF!</definedName>
    <definedName name="VOLUME2">#REF!</definedName>
    <definedName name="VOLUME3" localSheetId="0">#REF!</definedName>
    <definedName name="VOLUME3">#REF!</definedName>
    <definedName name="VSDHFGDFGR" localSheetId="0">{#N/A,#N/A,FALSE,"Plan1";#N/A,#N/A,FALSE,"Plan2"}</definedName>
    <definedName name="VSDHFGDFGR">{#N/A,#N/A,FALSE,"Plan1";#N/A,#N/A,FALSE,"Plan2"}</definedName>
    <definedName name="vvbb" localSheetId="0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name="vvcbnb" localSheetId="0">{#N/A,#N/A,FALSE,"Plan1";#N/A,#N/A,FALSE,"Plan2"}</definedName>
    <definedName name="vvcbnb">{#N/A,#N/A,FALSE,"Plan1";#N/A,#N/A,FALSE,"Plan2"}</definedName>
    <definedName name="vvvvv" localSheetId="0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name="vvvvvv" localSheetId="0">{#N/A,#N/A,FALSE,"Plan1";#N/A,#N/A,FALSE,"Plan2"}</definedName>
    <definedName name="vvvvvv">{#N/A,#N/A,FALSE,"Plan1";#N/A,#N/A,FALSE,"Plan2"}</definedName>
    <definedName name="vvvvvvvvvvvvvvvvv" localSheetId="0">{"HW",#N/A,FALSE,"1998"}</definedName>
    <definedName name="vvvvvvvvvvvvvvvvv">{"HW",#N/A,FALSE,"1998"}</definedName>
    <definedName name="VX" localSheetId="0" hidden="1">#REF!</definedName>
    <definedName name="VX">#REF!</definedName>
    <definedName name="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0">#REF!</definedName>
    <definedName name="wacc">#REF!</definedName>
    <definedName name="wadalrdjlae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0" hidden="1">#REF!</definedName>
    <definedName name="wdewr">#REF!</definedName>
    <definedName name="WE" localSheetId="0" hidden="1">#REF!</definedName>
    <definedName name="WE">#REF!</definedName>
    <definedName name="weki_9701.xls" localSheetId="0" hidden="1">#REF!</definedName>
    <definedName name="weki_9701.xls">#REF!</definedName>
    <definedName name="wekir9701.xls">#REF!</definedName>
    <definedName name="werw4tr" localSheetId="0">{#N/A,#N/A,FALSE,"Plan1";#N/A,#N/A,FALSE,"Plan2"}</definedName>
    <definedName name="werw4tr">{#N/A,#N/A,FALSE,"Plan1";#N/A,#N/A,FALSE,"Plan2"}</definedName>
    <definedName name="wetoedjtkdr" localSheetId="0">{#N/A,#N/A,FALSE,"Plan1";#N/A,#N/A,FALSE,"Plan2"}</definedName>
    <definedName name="wetoedjtkdr">{#N/A,#N/A,FALSE,"Plan1";#N/A,#N/A,FALSE,"Plan2"}</definedName>
    <definedName name="WHATS" localSheetId="0">{"'Edit'!$A$1:$V$2277"}</definedName>
    <definedName name="WHATS">{"'Edit'!$A$1:$V$2277"}</definedName>
    <definedName name="win.VESSE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0">#REF!</definedName>
    <definedName name="WITENS">#REF!</definedName>
    <definedName name="WKJHIR" localSheetId="0">{#N/A,#N/A,FALSE,"Plan1";#N/A,#N/A,FALSE,"Plan2"}</definedName>
    <definedName name="WKJHIR">{#N/A,#N/A,FALSE,"Plan1";#N/A,#N/A,FALSE,"Plan2"}</definedName>
    <definedName name="WLQ" localSheetId="0">{#N/A,#N/A,FALSE,"명세표"}</definedName>
    <definedName name="WLQ">{#N/A,#N/A,FALSE,"명세표"}</definedName>
    <definedName name="WNMLOCAL" localSheetId="0">#REF!</definedName>
    <definedName name="WNMLOCAL">#REF!</definedName>
    <definedName name="WNMMUN" localSheetId="0">#REF!</definedName>
    <definedName name="WNMMUN">#REF!</definedName>
    <definedName name="WNMSERV" localSheetId="0">#REF!</definedName>
    <definedName name="WNMSERV">#REF!</definedName>
    <definedName name="worl_cdi">#REF!</definedName>
    <definedName name="worl_hist">#REF!</definedName>
    <definedName name="worl_uss">#REF!</definedName>
    <definedName name="WRITE" localSheetId="0">{#N/A,#N/A,FALSE,"CCTV"}</definedName>
    <definedName name="WRITE">{#N/A,#N/A,FALSE,"CCTV"}</definedName>
    <definedName name="wrn.BM." localSheetId="0">{#N/A,#N/A,FALSE,"CCTV"}</definedName>
    <definedName name="wrn.BM.">{#N/A,#N/A,FALSE,"CCTV"}</definedName>
    <definedName name="wrn.Brita98.xls." localSheetId="0">{#N/A,#N/A,TRUE,"Quinzena 01 à 15-04-98 "}</definedName>
    <definedName name="wrn.Brita98.xls.">{#N/A,#N/A,TRUE,"Quinzena 01 à 15-04-98 "}</definedName>
    <definedName name="wrn.Completo." localSheetId="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0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name="wrn.Consolidado." localSheetId="0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localSheetId="0">{#N/A,#N/A,FALSE,"cdi";#N/A,#N/A,FALSE,"debent";#N/A,#N/A,FALSE,"fdos";#N/A,#N/A,FALSE,"resumo"}</definedName>
    <definedName name="wrn.HAGE.">{#N/A,#N/A,FALSE,"cdi";#N/A,#N/A,FALSE,"debent";#N/A,#N/A,FALSE,"fdos";#N/A,#N/A,FALSE,"resumo"}</definedName>
    <definedName name="wrn.HAGE01" localSheetId="0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 localSheetId="0">{"HW",#N/A,FALSE,"1998"}</definedName>
    <definedName name="wrn.HW.">{"HW",#N/A,FALSE,"1998"}</definedName>
    <definedName name="wrn.imp_flx." localSheetId="0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0">{#N/A,#N/A,FALSE,"Plan1";#N/A,#N/A,FALSE,"Plan2"}</definedName>
    <definedName name="wrn.IMPRESSO.">{#N/A,#N/A,FALSE,"Plan1";#N/A,#N/A,FALSE,"Plan2"}</definedName>
    <definedName name="wrn.Imprimir." localSheetId="0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name="wrn.LPU._.MG." localSheetId="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0" hidden="1">{#N/A,#N/A,FALSE,"ALVENARIA";#N/A,#N/A,FALSE,"BLOCOS";#N/A,#N/A,FALSE,"CINTAS";#N/A,#N/A,FALSE,"CORTINA";#N/A,#N/A,FALSE,"LAJES";#N/A,#N/A,FALSE,"PILARES";#N/A,#N/A,FALSE,"VIGAS"}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 localSheetId="0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name="wrn.Monthly._.Report._.Package." localSheetId="0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0">{#N/A,#N/A,FALSE,"F-01"}</definedName>
    <definedName name="wrn.Planiha._.de._.Medição._.F._.01.">{#N/A,#N/A,FALSE,"F-01"}</definedName>
    <definedName name="wrn.Planiha._.de._.Medição._.F._.01._1" localSheetId="0">{#N/A,#N/A,FALSE,"F-01"}</definedName>
    <definedName name="wrn.Planiha._.de._.Medição._.F._.01._1">{#N/A,#N/A,FALSE,"F-01"}</definedName>
    <definedName name="wrn.Planilha_de_Medição_F_02" localSheetId="0">{#N/A,#N/A,FALSE,"F-01"}</definedName>
    <definedName name="wrn.Planilha_de_Medição_F_02">{#N/A,#N/A,FALSE,"F-01"}</definedName>
    <definedName name="wrn.print._.all." localSheetId="0">{#N/A,#N/A,FALSE,"$170M Cash";#N/A,#N/A,FALSE,"$250M Cash";#N/A,#N/A,FALSE,"$325M Cash"}</definedName>
    <definedName name="wrn.print._.all.">{#N/A,#N/A,FALSE,"$170M Cash";#N/A,#N/A,FALSE,"$250M Cash";#N/A,#N/A,FALSE,"$325M Cash"}</definedName>
    <definedName name="wrn.PrintAll." localSheetId="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0">{#N/A,#N/A,FALSE,"Sheet1";#N/A,#N/A,FALSE,"Sheet2";#N/A,#N/A,FALSE,"Sheet3"}</definedName>
    <definedName name="wrn.PrintCurr.">{#N/A,#N/A,FALSE,"Sheet1";#N/A,#N/A,FALSE,"Sheet2";#N/A,#N/A,FALSE,"Sheet3"}</definedName>
    <definedName name="wrn.PrintPrev1." localSheetId="0">{#N/A,#N/A,FALSE,"Sheet4";#N/A,#N/A,FALSE,"Sheet5";#N/A,#N/A,FALSE,"Sheet6"}</definedName>
    <definedName name="wrn.PrintPrev1.">{#N/A,#N/A,FALSE,"Sheet4";#N/A,#N/A,FALSE,"Sheet5";#N/A,#N/A,FALSE,"Sheet6"}</definedName>
    <definedName name="wrn.PrintPrev2." localSheetId="0">{#N/A,#N/A,FALSE,"Sheet7";#N/A,#N/A,FALSE,"Sheet8";#N/A,#N/A,FALSE,"Sheet9"}</definedName>
    <definedName name="wrn.PrintPrev2.">{#N/A,#N/A,FALSE,"Sheet7";#N/A,#N/A,FALSE,"Sheet8";#N/A,#N/A,FALSE,"Sheet9"}</definedName>
    <definedName name="wrn.Quadros._.relatório.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0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0">{#N/A,#N/A,FALSE,"TABLE"}</definedName>
    <definedName name="wrn.STAFFS.">{#N/A,#N/A,FALSE,"TABLE"}</definedName>
    <definedName name="wrn.TERCEIRO.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0">{#N/A,#N/A,FALSE,"명세표"}</definedName>
    <definedName name="wrn.test1.">{#N/A,#N/A,FALSE,"명세표"}</definedName>
    <definedName name="wrn.Unidades." localSheetId="0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name="wrn.VESSEL및N2._.구입사양서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0">{#N/A,#N/A,FALSE,"Sheet1";#N/A,#N/A,FALSE,"Sheet2";#N/A,#N/A,FALSE,"TAB96-1"}</definedName>
    <definedName name="wrn.견적.">{#N/A,#N/A,FALSE,"Sheet1";#N/A,#N/A,FALSE,"Sheet2";#N/A,#N/A,FALSE,"TAB96-1"}</definedName>
    <definedName name="wrn.보호계전기." localSheetId="0">{#N/A,#N/A,FALSE,"ENG'G(보호계전기)"}</definedName>
    <definedName name="wrn.보호계전기.">{#N/A,#N/A,FALSE,"ENG'G(보호계전기)"}</definedName>
    <definedName name="wrn.현장._.NCR._.분석." localSheetId="0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1.Cons." localSheetId="0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name="wrn1.print._.all." localSheetId="0">{#N/A,#N/A,FALSE,"$170M Cash";#N/A,#N/A,FALSE,"$250M Cash";#N/A,#N/A,FALSE,"$325M Cash"}</definedName>
    <definedName name="wrn1.print._.all.">{#N/A,#N/A,FALSE,"$170M Cash";#N/A,#N/A,FALSE,"$250M Cash";#N/A,#N/A,FALSE,"$325M Cash"}</definedName>
    <definedName name="WRS" localSheetId="0">{"'장비'!$A$3:$M$12"}</definedName>
    <definedName name="WRS">{"'장비'!$A$3:$M$12"}</definedName>
    <definedName name="wrt" localSheetId="0">{#N/A,#N/A,FALSE,"$170M Cash";#N/A,#N/A,FALSE,"$250M Cash";#N/A,#N/A,FALSE,"$325M Cash"}</definedName>
    <definedName name="wrt">{#N/A,#N/A,FALSE,"$170M Cash";#N/A,#N/A,FALSE,"$250M Cash";#N/A,#N/A,FALSE,"$325M Cash"}</definedName>
    <definedName name="wvu.PLANILHA2.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0">#REF!</definedName>
    <definedName name="X">#REF!</definedName>
    <definedName name="XALFA" localSheetId="0">#REF!</definedName>
    <definedName name="XALFA">#REF!</definedName>
    <definedName name="XC" localSheetId="0">#REF!</definedName>
    <definedName name="XC">#REF!</definedName>
    <definedName name="xcfrt" localSheetId="0">{#N/A,#N/A,FALSE,"Plan1";#N/A,#N/A,FALSE,"Plan2"}</definedName>
    <definedName name="xcfrt">{#N/A,#N/A,FALSE,"Plan1";#N/A,#N/A,FALSE,"Plan2"}</definedName>
    <definedName name="xcgjkfghf" localSheetId="0">{#N/A,#N/A,FALSE,"Plan1";#N/A,#N/A,FALSE,"Plan2"}</definedName>
    <definedName name="xcgjkfghf">{#N/A,#N/A,FALSE,"Plan1";#N/A,#N/A,FALSE,"Plan2"}</definedName>
    <definedName name="XCGJKVHFDG" localSheetId="0">{#N/A,#N/A,FALSE,"Plan1";#N/A,#N/A,FALSE,"Plan2"}</definedName>
    <definedName name="XCGJKVHFDG">{#N/A,#N/A,FALSE,"Plan1";#N/A,#N/A,FALSE,"Plan2"}</definedName>
    <definedName name="xcgtrt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0">#REF!</definedName>
    <definedName name="XCI">#REF!</definedName>
    <definedName name="XCII" localSheetId="0">#REF!</definedName>
    <definedName name="XCII">#REF!</definedName>
    <definedName name="XCIII" localSheetId="0">#REF!</definedName>
    <definedName name="XCIII">#REF!</definedName>
    <definedName name="XCIV">#REF!</definedName>
    <definedName name="XCIX">#REF!</definedName>
    <definedName name="xçl" localSheetId="0">{#N/A,#N/A,FALSE,"Plan1";#N/A,#N/A,FALSE,"Plan2"}</definedName>
    <definedName name="xçl">{#N/A,#N/A,FALSE,"Plan1";#N/A,#N/A,FALSE,"Plan2"}</definedName>
    <definedName name="xcndj" localSheetId="0">{#N/A,#N/A,FALSE,"Plan1";#N/A,#N/A,FALSE,"Plan2"}</definedName>
    <definedName name="xcndj">{#N/A,#N/A,FALSE,"Plan1";#N/A,#N/A,FALSE,"Plan2"}</definedName>
    <definedName name="XCV" localSheetId="0">#REF!</definedName>
    <definedName name="XCV">#REF!</definedName>
    <definedName name="XCVGGT" localSheetId="0">{#N/A,#N/A,FALSE,"Plan1";#N/A,#N/A,FALSE,"Plan2"}</definedName>
    <definedName name="XCVGGT">{#N/A,#N/A,FALSE,"Plan1";#N/A,#N/A,FALSE,"Plan2"}</definedName>
    <definedName name="XCVI" localSheetId="0">#REF!</definedName>
    <definedName name="XCVI">#REF!</definedName>
    <definedName name="XCVII" localSheetId="0">#REF!</definedName>
    <definedName name="XCVII">#REF!</definedName>
    <definedName name="XCVIII" localSheetId="0">#REF!</definedName>
    <definedName name="XCVIII">#REF!</definedName>
    <definedName name="xcvrg" localSheetId="0">{#N/A,#N/A,FALSE,"Plan1";#N/A,#N/A,FALSE,"Plan2"}</definedName>
    <definedName name="xcvrg">{#N/A,#N/A,FALSE,"Plan1";#N/A,#N/A,FALSE,"Plan2"}</definedName>
    <definedName name="XDATA" localSheetId="0">#REF!</definedName>
    <definedName name="XDATA">#REF!</definedName>
    <definedName name="xdfe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0">{#N/A,#N/A,FALSE,"Plan1";#N/A,#N/A,FALSE,"Plan2"}</definedName>
    <definedName name="xdgtyhyt">{#N/A,#N/A,FALSE,"Plan1";#N/A,#N/A,FALSE,"Plan2"}</definedName>
    <definedName name="xfdlfj" localSheetId="0">{#N/A,#N/A,FALSE,"Plan1";#N/A,#N/A,FALSE,"Plan2"}</definedName>
    <definedName name="xfdlfj">{#N/A,#N/A,FALSE,"Plan1";#N/A,#N/A,FALSE,"Plan2"}</definedName>
    <definedName name="xfdxfdf" localSheetId="0">{#N/A,#N/A,FALSE,"Plan1";#N/A,#N/A,FALSE,"Plan2"}</definedName>
    <definedName name="xfdxfdf">{#N/A,#N/A,FALSE,"Plan1";#N/A,#N/A,FALSE,"Plan2"}</definedName>
    <definedName name="XFJKLDJKLG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0">{#N/A,#N/A,FALSE,"Plan1";#N/A,#N/A,FALSE,"Plan2"}</definedName>
    <definedName name="xfrty">{#N/A,#N/A,FALSE,"Plan1";#N/A,#N/A,FALSE,"Plan2"}</definedName>
    <definedName name="X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0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name="xfvgcfgt" localSheetId="0">{#N/A,#N/A,FALSE,"Plan1";#N/A,#N/A,FALSE,"Plan2"}</definedName>
    <definedName name="xfvgcfgt">{#N/A,#N/A,FALSE,"Plan1";#N/A,#N/A,FALSE,"Plan2"}</definedName>
    <definedName name="xgrg" localSheetId="0">{#N/A,#N/A,FALSE,"Plan1";#N/A,#N/A,FALSE,"Plan2"}</definedName>
    <definedName name="xgrg">{#N/A,#N/A,FALSE,"Plan1";#N/A,#N/A,FALSE,"Plan2"}</definedName>
    <definedName name="XI" localSheetId="0">#REF!</definedName>
    <definedName name="XI">#REF!</definedName>
    <definedName name="XII" localSheetId="0">#REF!</definedName>
    <definedName name="XII">#REF!</definedName>
    <definedName name="XIII" localSheetId="0">#REF!</definedName>
    <definedName name="XIII">#REF!</definedName>
    <definedName name="XITEM">#REF!</definedName>
    <definedName name="XIV">#REF!</definedName>
    <definedName name="XLOC">#REF!</definedName>
    <definedName name="xmght" localSheetId="0">{#N/A,#N/A,FALSE,"Plan1";#N/A,#N/A,FALSE,"Plan2"}</definedName>
    <definedName name="xmght">{#N/A,#N/A,FALSE,"Plan1";#N/A,#N/A,FALSE,"Plan2"}</definedName>
    <definedName name="xnInforme_quantos_bebedouros____bebqt__if_bebqt__0__xlQt.bebedouros_invalida___ENTER_p_reinformar__xresp__branch_rqtderv" localSheetId="0">#REF!</definedName>
    <definedName name="xnInforme_quantos_bebedouros____bebqt__if_bebqt__0__xlQt.bebedouros_invalida___ENTER_p_reinformar__xresp__branch_rqtderv">#REF!</definedName>
    <definedName name="XNUCOPIAS" localSheetId="0">#REF!</definedName>
    <definedName name="XNUCOPIAS">#REF!</definedName>
    <definedName name="xo" localSheetId="0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_COLUMN_1" localSheetId="0" hidden="1">#REF!</definedName>
    <definedName name="XREF_COLUMN_1">#REF!</definedName>
    <definedName name="XREF_COLUMN_2" localSheetId="0" hidden="1">#REF!</definedName>
    <definedName name="XREF_COLUMN_2">#REF!</definedName>
    <definedName name="XREF_COLUMN_3" localSheetId="0" hidden="1">#REF!</definedName>
    <definedName name="XREF_COLUMN_3">#REF!</definedName>
    <definedName name="XREF_COLUMN_4">#REF!</definedName>
    <definedName name="XRefColumnsCount">1</definedName>
    <definedName name="XRefCopy2" localSheetId="0" hidden="1">#REF!</definedName>
    <definedName name="XRefCopy2">#REF!</definedName>
    <definedName name="XRefCopy3Row" localSheetId="0" hidden="1">#REF!</definedName>
    <definedName name="XRefCopy3Row">#REF!</definedName>
    <definedName name="XRefCopy4Row" localSheetId="0" hidden="1">#REF!</definedName>
    <definedName name="XRefCopy4Row">#REF!</definedName>
    <definedName name="XRefCopy6">#REF!</definedName>
    <definedName name="XRefCopyRangeCount">1</definedName>
    <definedName name="XRefPaste2" localSheetId="0" hidden="1">#REF!</definedName>
    <definedName name="XRefPaste2">#REF!</definedName>
    <definedName name="XRefPaste4" localSheetId="0" hidden="1">#REF!</definedName>
    <definedName name="XRefPaste4">#REF!</definedName>
    <definedName name="XRefPaste5" localSheetId="0" hidden="1">#REF!</definedName>
    <definedName name="XRefPaste5">#REF!</definedName>
    <definedName name="XRefPaste6">#REF!</definedName>
    <definedName name="XRefPaste7Row">#REF!</definedName>
    <definedName name="XRefPasteRangeCount">1</definedName>
    <definedName name="XRESP" localSheetId="0">#REF!</definedName>
    <definedName name="XRESP">#REF!</definedName>
    <definedName name="XTITRES" localSheetId="0">#REF!</definedName>
    <definedName name="XTITRES">#REF!</definedName>
    <definedName name="XV" localSheetId="0">#REF!</definedName>
    <definedName name="XV">#REF!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 localSheetId="0">#REF!</definedName>
    <definedName name="XXXI">#REF!</definedName>
    <definedName name="XXXII" localSheetId="0">#REF!</definedName>
    <definedName name="XXXII">#REF!</definedName>
    <definedName name="XXXIII">#REF!</definedName>
    <definedName name="XXXIV">#REF!</definedName>
    <definedName name="XXXIX">#REF!</definedName>
    <definedName name="XXXV">#REF!</definedName>
    <definedName name="XXXVI">#REF!</definedName>
    <definedName name="XXXVII">#REF!</definedName>
    <definedName name="XXXVIII">#REF!</definedName>
    <definedName name="xxxx" localSheetId="0">#REF!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0">{"'Edit'!$A$1:$V$2277"}</definedName>
    <definedName name="xxxxxxxxxxxx">#REF!</definedName>
    <definedName name="xxxxxxxxxxxxxx" localSheetId="0">{#N/A,#N/A,FALSE,"Plan1";#N/A,#N/A,FALSE,"Plan2"}</definedName>
    <definedName name="xxxxxxxxxxxxxx">{#N/A,#N/A,FALSE,"Plan1";#N/A,#N/A,FALSE,"Plan2"}</definedName>
    <definedName name="xzfrt" localSheetId="0">{#N/A,#N/A,FALSE,"Plan1";#N/A,#N/A,FALSE,"Plan2"}</definedName>
    <definedName name="xzfrt">{#N/A,#N/A,FALSE,"Plan1";#N/A,#N/A,FALSE,"Plan2"}</definedName>
    <definedName name="yeitrtged" localSheetId="0">{#N/A,#N/A,FALSE,"Plan1";#N/A,#N/A,FALSE,"Plan2"}</definedName>
    <definedName name="yeitrtged">{#N/A,#N/A,FALSE,"Plan1";#N/A,#N/A,FALSE,"Plan2"}</definedName>
    <definedName name="yhdfiuygrui" localSheetId="0">{#N/A,#N/A,FALSE,"Plan1";#N/A,#N/A,FALSE,"Plan2"}</definedName>
    <definedName name="yhdfiuygrui">{#N/A,#N/A,FALSE,"Plan1";#N/A,#N/A,FALSE,"Plan2"}</definedName>
    <definedName name="YRGUYDRIY" localSheetId="0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name="ytdju" localSheetId="0">#REF!</definedName>
    <definedName name="ytdju">#REF!</definedName>
    <definedName name="yuegursdmksf" localSheetId="0">{#N/A,#N/A,FALSE,"Plan1";#N/A,#N/A,FALSE,"Plan2"}</definedName>
    <definedName name="yuegursdmksf">{#N/A,#N/A,FALSE,"Plan1";#N/A,#N/A,FALSE,"Plan2"}</definedName>
    <definedName name="yuekl4fr" localSheetId="0">{#N/A,#N/A,FALSE,"Plan1";#N/A,#N/A,FALSE,"Plan2"}</definedName>
    <definedName name="yuekl4fr">{#N/A,#N/A,FALSE,"Plan1";#N/A,#N/A,FALSE,"Plan2"}</definedName>
    <definedName name="yureytuyrea" localSheetId="0">{#N/A,#N/A,FALSE,"Plan1";#N/A,#N/A,FALSE,"Plan2"}</definedName>
    <definedName name="yureytuyrea">{#N/A,#N/A,FALSE,"Plan1";#N/A,#N/A,FALSE,"Plan2"}</definedName>
    <definedName name="z" localSheetId="0">{"'Estimativa de Lançamento-JAN'!$A$1:$AI$85"}</definedName>
    <definedName name="z">{"'Estimativa de Lançamento-JAN'!$A$1:$AI$85"}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0" hidden="1">#REF!</definedName>
    <definedName name="Z_022B7420_7F94_427F_B370_84030F9B3342_.wvu.FilterData" hidden="1">#REF!</definedName>
    <definedName name="Z_04BC043C_175B_412D_8093_6F29CD74FBAE_.wvu.FilterData" localSheetId="0" hidden="1">#REF!</definedName>
    <definedName name="Z_04BC043C_175B_412D_8093_6F29CD74FBAE_.wvu.FilterData" hidden="1">#REF!</definedName>
    <definedName name="Z_058B9256_CB4D_4C39_834D_D693FEEB491F_.wvu.FilterData" localSheetId="0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>#REF!</definedName>
    <definedName name="Z_15697660_066E_11D5_AF15_00010242ED40_.wvu.PrintTitles">#REF!</definedName>
    <definedName name="Z_15697660_066E_11D5_AF15_00010242ED40_.wvu.Rows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>#REF!</definedName>
    <definedName name="Z_4CA4BF7C_65C1_4E25_8563_22DF58586D2C_.wvu.PrintTitles">#REF!</definedName>
    <definedName name="Z_4CA4BF7C_65C1_4E25_8563_22DF58586D2C_.wvu.Rows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0" hidden="1">#REF!,#REF!</definedName>
    <definedName name="Z_60DF8B29_1C1F_4B50_BDA8_B8E0C7DD04C3_.wvu.Cols">#REF!,#REF!</definedName>
    <definedName name="Z_60DF8B29_1C1F_4B50_BDA8_B8E0C7DD04C3_.wvu.FilterData" localSheetId="0" hidden="1">#REF!</definedName>
    <definedName name="Z_60DF8B29_1C1F_4B50_BDA8_B8E0C7DD04C3_.wvu.FilterData" hidden="1">#REF!</definedName>
    <definedName name="Z_615F4A4D_D5AB_4A04_81F5_F436484247A5_.wvu.FilterData" localSheetId="0" hidden="1">#REF!</definedName>
    <definedName name="Z_615F4A4D_D5AB_4A04_81F5_F436484247A5_.wvu.FilterData" hidden="1">#REF!</definedName>
    <definedName name="Z_616443B5_6F0D_4082_9223_F71B54305366_.wvu.FilterData" localSheetId="0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>#REF!</definedName>
    <definedName name="Z_9066F505_4944_4582_AAF9_B40B49D59413_.wvu.PrintTitles">#REF!</definedName>
    <definedName name="Z_9066F505_4944_4582_AAF9_B40B49D59413_.wvu.Rows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0" hidden="1">#REF!,#REF!</definedName>
    <definedName name="Z_E3FFE9E0_6C4F_4FB4_A56E_FBE96871B5C8_.wvu.Cols">#REF!,#REF!</definedName>
    <definedName name="Z_E3FFE9E0_6C4F_4FB4_A56E_FBE96871B5C8_.wvu.FilterData" localSheetId="0" hidden="1">#REF!</definedName>
    <definedName name="Z_E3FFE9E0_6C4F_4FB4_A56E_FBE96871B5C8_.wvu.FilterData" hidden="1">#REF!</definedName>
    <definedName name="Z_E42D429F_E4E8_41D2_9176_83C726BAF8E3_.wvu.FilterData" localSheetId="0" hidden="1">#REF!</definedName>
    <definedName name="Z_E42D429F_E4E8_41D2_9176_83C726BAF8E3_.wvu.FilterData" hidden="1">#REF!</definedName>
    <definedName name="Z_E491B72F_902A_11D7_9C1E_0004231B06E7_.wvu.FilterData" localSheetId="0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0" hidden="1">{#N/A,#N/A,FALSE,"Plan1";#N/A,#N/A,FALSE,"Plan2"}</definedName>
    <definedName name="zcdçskld">{#N/A,#N/A,FALSE,"Plan1";#N/A,#N/A,FALSE,"Plan2"}</definedName>
    <definedName name="zcsdrfrt" localSheetId="0" hidden="1">{#N/A,#N/A,FALSE,"Plan1";#N/A,#N/A,FALSE,"Plan2"}</definedName>
    <definedName name="zcsdrfrt">{#N/A,#N/A,FALSE,"Plan1";#N/A,#N/A,FALSE,"Plan2"}</definedName>
    <definedName name="ZDRE" localSheetId="0" hidden="1">{#N/A,#N/A,FALSE,"Plan1";#N/A,#N/A,FALSE,"Plan2"}</definedName>
    <definedName name="ZDRE">{#N/A,#N/A,FALSE,"Plan1";#N/A,#N/A,FALSE,"Plan2"}</definedName>
    <definedName name="ZEZE" localSheetId="0">#REF!</definedName>
    <definedName name="ZEZE">#REF!</definedName>
    <definedName name="ZIN" localSheetId="0">#REF!</definedName>
    <definedName name="ZIN">#REF!</definedName>
    <definedName name="ZINS" localSheetId="0">#REF!</definedName>
    <definedName name="ZINS">#REF!</definedName>
    <definedName name="ZSADF" localSheetId="0" hidden="1">{#N/A,#N/A,FALSE,"Plan1";#N/A,#N/A,FALSE,"Plan2"}</definedName>
    <definedName name="ZSADF">{#N/A,#N/A,FALSE,"Plan1";#N/A,#N/A,FALSE,"Plan2"}</definedName>
    <definedName name="zsads" localSheetId="0" hidden="1">{#N/A,#N/A,FALSE,"Plan1";#N/A,#N/A,FALSE,"Plan2"}</definedName>
    <definedName name="zsads">{#N/A,#N/A,FALSE,"Plan1";#N/A,#N/A,FALSE,"Plan2"}</definedName>
    <definedName name="ZSDFSETR" localSheetId="0" hidden="1">#REF!</definedName>
    <definedName name="ZSDFSETR">#REF!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0" hidden="1">{#N/A,#N/A,FALSE,"Plan1";#N/A,#N/A,FALSE,"Plan2"}</definedName>
    <definedName name="zxccdf">{#N/A,#N/A,FALSE,"Plan1";#N/A,#N/A,FALSE,"Plan2"}</definedName>
    <definedName name="zxcdsf" localSheetId="0" hidden="1">#REF!</definedName>
    <definedName name="zxcdsf">#REF!</definedName>
    <definedName name="zxcfdstrrt" localSheetId="0" hidden="1">{#N/A,#N/A,FALSE,"Plan1";#N/A,#N/A,FALSE,"Plan2"}</definedName>
    <definedName name="zxcfdstrrt">{#N/A,#N/A,FALSE,"Plan1";#N/A,#N/A,FALSE,"Plan2"}</definedName>
    <definedName name="zxcx" localSheetId="0" hidden="1">{#N/A,#N/A,FALSE,"Plan1";#N/A,#N/A,FALSE,"Plan2"}</definedName>
    <definedName name="zxcx">{#N/A,#N/A,FALSE,"Plan1";#N/A,#N/A,FALSE,"Plan2"}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0" hidden="1">{#N/A,#N/A,FALSE,"Plan1";#N/A,#N/A,FALSE,"Plan2"}</definedName>
    <definedName name="ZXFHDFRHDF">{#N/A,#N/A,FALSE,"Plan1";#N/A,#N/A,FALSE,"Plan2"}</definedName>
    <definedName name="ZZ" localSheetId="0">#REF!</definedName>
    <definedName name="ZZ">#REF!</definedName>
    <definedName name="zzdftr" localSheetId="0" hidden="1">{#N/A,#N/A,FALSE,"Plan1";#N/A,#N/A,FALSE,"Plan2"}</definedName>
    <definedName name="zzdftr">{#N/A,#N/A,FALSE,"Plan1";#N/A,#N/A,FALSE,"Plan2"}</definedName>
    <definedName name="zzz" localSheetId="0">#REF!</definedName>
    <definedName name="zzz">#REF!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0" hidden="1">{"'장비'!$A$3:$M$12"}</definedName>
    <definedName name="ㄱㄷㄱㄷㄱㄱㅎㄺㄷ">{"'장비'!$A$3:$M$12"}</definedName>
    <definedName name="가나다">#REF!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0" hidden="1">#REF!</definedName>
    <definedName name="견적조건">#REF!</definedName>
    <definedName name="계약고햔황2" localSheetId="0" hidden="1">#REF!</definedName>
    <definedName name="계약고햔황2">#REF!</definedName>
    <definedName name="계약고현황2" localSheetId="0" hidden="1">#REF!</definedName>
    <definedName name="계약고현황2">#REF!</definedName>
    <definedName name="고문" localSheetId="0" hidden="1">{#N/A,#N/A,FALSE,"현장 NCR 분석";#N/A,#N/A,FALSE,"현장품질감사";#N/A,#N/A,FALSE,"현장품질감사"}</definedName>
    <definedName name="고문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0" hidden="1">{#N/A,#N/A,FALSE,"ENG'G(보호계전기)"}</definedName>
    <definedName name="공급구분표_수정">{#N/A,#N/A,FALSE,"ENG'G(보호계전기)"}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0" hidden="1">#REF!</definedName>
    <definedName name="ㄴㄴㄴㄴ">#REF!</definedName>
    <definedName name="내역" localSheetId="0" hidden="1">{#N/A,#N/A,FALSE,"CCTV"}</definedName>
    <definedName name="내역">{#N/A,#N/A,FALSE,"CCTV"}</definedName>
    <definedName name="ㄷㄳ" localSheetId="0" hidden="1">{"'장비'!$A$3:$M$12"}</definedName>
    <definedName name="ㄷㄳ">{"'장비'!$A$3:$M$12"}</definedName>
    <definedName name="ㄷㄷㄷㄷ" localSheetId="0" hidden="1">{"'장비'!$A$3:$M$12"}</definedName>
    <definedName name="ㄷㄷㄷㄷ">{"'장비'!$A$3:$M$12"}</definedName>
    <definedName name="ㄷㅈㅂㄷ" localSheetId="0" hidden="1">{"'장비'!$A$3:$M$12"}</definedName>
    <definedName name="ㄷㅈㅂㄷ">{"'장비'!$A$3:$M$12"}</definedName>
    <definedName name="당초계획">#REF!</definedName>
    <definedName name="도면외주">#REF!</definedName>
    <definedName name="도면용역비">#REF!</definedName>
    <definedName name="ㄹㄹ" localSheetId="0" hidden="1">{"'장비'!$A$3:$M$12"}</definedName>
    <definedName name="ㄹㄹ">{"'장비'!$A$3:$M$12"}</definedName>
    <definedName name="ㄹㄹㄹ">#REF!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0" hidden="1">{#N/A,#N/A,FALSE,"현장 NCR 분석";#N/A,#N/A,FALSE,"현장품질감사";#N/A,#N/A,FALSE,"현장품질감사"}</definedName>
    <definedName name="러러러">{#N/A,#N/A,FALSE,"현장 NCR 분석";#N/A,#N/A,FALSE,"현장품질감사";#N/A,#N/A,FALSE,"현장품질감사"}</definedName>
    <definedName name="ㅁ" localSheetId="0" hidden="1">{#N/A,#N/A,FALSE,"명세표"}</definedName>
    <definedName name="ㅁ">{#N/A,#N/A,FALSE,"명세표"}</definedName>
    <definedName name="ㅁㄱ해ㅜ5" localSheetId="0" hidden="1">#REF!</definedName>
    <definedName name="ㅁㄱ해ㅜ5">#REF!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0" hidden="1">{#N/A,#N/A,FALSE,"명세표"}</definedName>
    <definedName name="ㅁㅁ">{#N/A,#N/A,FALSE,"명세표"}</definedName>
    <definedName name="ㅁㅁㅁ" localSheetId="0" hidden="1">#REF!</definedName>
    <definedName name="ㅁㅁㅁ">#REF!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0" hidden="1">{#N/A,#N/A,FALSE,"명세표"}</definedName>
    <definedName name="머">{#N/A,#N/A,FALSE,"명세표"}</definedName>
    <definedName name="ㅂㅂㅂㅂ" localSheetId="0" hidden="1">{#N/A,#N/A,FALSE,"명세표"}</definedName>
    <definedName name="ㅂㅂㅂㅂ">{#N/A,#N/A,FALSE,"명세표"}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0" hidden="1">{"'장비'!$A$3:$M$12"}</definedName>
    <definedName name="ㅂㅈㄱㅂㅈㄷㄱ">{"'장비'!$A$3:$M$12"}</definedName>
    <definedName name="ㅂㅈㄷ" localSheetId="0" hidden="1">{"'장비'!$A$3:$M$12"}</definedName>
    <definedName name="ㅂㅈㄷ">{"'장비'!$A$3:$M$12"}</definedName>
    <definedName name="ㅂㅈㄷㄷㅂㅈㅈㅂ" localSheetId="0" hidden="1">{"'장비'!$A$3:$M$12"}</definedName>
    <definedName name="ㅂㅈㄷㄷㅂㅈㅈㅂ">{"'장비'!$A$3:$M$12"}</definedName>
    <definedName name="ㅂㅈㄷㅂㅈ" localSheetId="0" hidden="1">{"'장비'!$A$3:$M$12"}</definedName>
    <definedName name="ㅂㅈㄷㅂㅈ">{"'장비'!$A$3:$M$12"}</definedName>
    <definedName name="ㅂㅈㄷㅂㅈㅈㅂㄷ" localSheetId="0" hidden="1">{"'장비'!$A$3:$M$12"}</definedName>
    <definedName name="ㅂㅈㄷㅂㅈㅈㅂㄷ">{"'장비'!$A$3:$M$12"}</definedName>
    <definedName name="ㅂㅈㄷㅈㅂㄷ" localSheetId="0" hidden="1">{"'장비'!$A$3:$M$12"}</definedName>
    <definedName name="ㅂㅈㄷㅈㅂㄷ">{"'장비'!$A$3:$M$12"}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0" hidden="1">#REF!</definedName>
    <definedName name="보충">#REF!</definedName>
    <definedName name="보호" localSheetId="0" hidden="1">{#N/A,#N/A,FALSE,"ENG'G(보호계전기)"}</definedName>
    <definedName name="보호">{#N/A,#N/A,FALSE,"ENG'G(보호계전기)"}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0" hidden="1">#REF!</definedName>
    <definedName name="부대공사">#REF!</definedName>
    <definedName name="부손익" localSheetId="0" hidden="1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0" hidden="1">{"'장비'!$A$3:$M$12"}</definedName>
    <definedName name="ㅅㄱㄱㄷ">{"'장비'!$A$3:$M$12"}</definedName>
    <definedName name="ㅅㅅㅅㅅㅅ" localSheetId="0" hidden="1">{"'장비'!$A$3:$M$12"}</definedName>
    <definedName name="ㅅㅅㅅㅅㅅ">{"'장비'!$A$3:$M$12"}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0" hidden="1">#REF!</definedName>
    <definedName name="사업계획수정">#REF!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0" hidden="1">#REF!</definedName>
    <definedName name="사업부양식2">#REF!</definedName>
    <definedName name="산출" localSheetId="0" hidden="1">#REF!</definedName>
    <definedName name="산출">#REF!</definedName>
    <definedName name="새안" localSheetId="0" hidden="1">{#N/A,#N/A,FALSE,"TABLE"}</definedName>
    <definedName name="새안">{#N/A,#N/A,FALSE,"TABLE"}</definedName>
    <definedName name="석항" localSheetId="0" hidden="1">{#N/A,#N/A,FALSE,"명세표"}</definedName>
    <definedName name="석항">{#N/A,#N/A,FALSE,"명세표"}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0" hidden="1">#REF!</definedName>
    <definedName name="손익계산서">#REF!</definedName>
    <definedName name="쇼ㅗㅎ로" localSheetId="0" hidden="1">{"'장비'!$A$3:$M$12"}</definedName>
    <definedName name="쇼ㅗㅎ로">{"'장비'!$A$3:$M$12"}</definedName>
    <definedName name="수">#REF!</definedName>
    <definedName name="수당" localSheetId="0" hidden="1">#N/A</definedName>
    <definedName name="수당">#REF!</definedName>
    <definedName name="신설" localSheetId="0" hidden="1">{#N/A,#N/A,FALSE,"명세표"}</definedName>
    <definedName name="신설">{#N/A,#N/A,FALSE,"명세표"}</definedName>
    <definedName name="실적총괄1" localSheetId="0" hidden="1">#REF!</definedName>
    <definedName name="실적총괄1">#REF!</definedName>
    <definedName name="실총" localSheetId="0" hidden="1">#REF!</definedName>
    <definedName name="실총">#REF!</definedName>
    <definedName name="ㅇㄹㄹ" localSheetId="0" hidden="1">#REF!</definedName>
    <definedName name="ㅇㄹㄹ">#REF!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0" hidden="1">#REF!</definedName>
    <definedName name="ㅇㅇㅇㅇ">#REF!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0" hidden="1">#REF!</definedName>
    <definedName name="이월">#REF!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0" hidden="1">{#N/A,#N/A,FALSE,"명세표"}</definedName>
    <definedName name="ㅈ">{#N/A,#N/A,FALSE,"명세표"}</definedName>
    <definedName name="ㅈㅈㅈㅈ" localSheetId="0" hidden="1">{#N/A,#N/A,FALSE,"명세표"}</definedName>
    <definedName name="ㅈㅈㅈㅈ">{#N/A,#N/A,FALSE,"명세표"}</definedName>
    <definedName name="자미" localSheetId="0" hidden="1">{#N/A,#N/A,FALSE,"명세표"}</definedName>
    <definedName name="자미">{#N/A,#N/A,FALSE,"명세표"}</definedName>
    <definedName name="자운" localSheetId="0" hidden="1">#REF!</definedName>
    <definedName name="자운">#REF!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0" hidden="1">#REF!</definedName>
    <definedName name="전계장금액">#REF!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0" hidden="1">#REF!</definedName>
    <definedName name="전선조장">#REF!</definedName>
    <definedName name="조직표현장" localSheetId="0" hidden="1">#REF!</definedName>
    <definedName name="조직표현장">#REF!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0" hidden="1">{#N/A,#N/A,FALSE,"ENG'G(보호계전기)"}</definedName>
    <definedName name="중량비교검토">{#N/A,#N/A,FALSE,"ENG'G(보호계전기)"}</definedName>
    <definedName name="집계" localSheetId="0" hidden="1">{#N/A,#N/A,FALSE,"명세표"}</definedName>
    <definedName name="집계">{#N/A,#N/A,FALSE,"명세표"}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0" hidden="1">{#N/A,#N/A,FALSE,"명세표"}</definedName>
    <definedName name="ㅋㅁ">{#N/A,#N/A,FALSE,"명세표"}</definedName>
    <definedName name="ㅋㅋㅋ" localSheetId="0" hidden="1">{#N/A,#N/A,FALSE,"명세표"}</definedName>
    <definedName name="ㅋㅋㅋ">{#N/A,#N/A,FALSE,"명세표"}</definedName>
    <definedName name="ㅌㅌ" localSheetId="0" hidden="1">{#N/A,#N/A,FALSE,"명세표"}</definedName>
    <definedName name="ㅌㅌ">{#N/A,#N/A,FALSE,"명세표"}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0" hidden="1">{"'장비'!$A$3:$M$12"}</definedName>
    <definedName name="ㅎㅎㅎㅎ">{"'장비'!$A$3:$M$12"}</definedName>
    <definedName name="하하하" localSheetId="0" hidden="1">{#N/A,#N/A,FALSE,"명세표"}</definedName>
    <definedName name="하하하">{#N/A,#N/A,FALSE,"명세표"}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0" hidden="1">{#N/A,#N/A,FALSE,"명세표"}</definedName>
    <definedName name="호호호">{#N/A,#N/A,FALSE,"명세표"}</definedName>
    <definedName name="ㅏㅏㅏ" localSheetId="0" hidden="1">{#N/A,#N/A,FALSE,"명세표"}</definedName>
    <definedName name="ㅏㅏㅏ">{#N/A,#N/A,FALSE,"명세표"}</definedName>
    <definedName name="ㅔㅔ" localSheetId="0" hidden="1">{#N/A,#N/A,FALSE,"명세표"}</definedName>
    <definedName name="ㅔㅔ">{#N/A,#N/A,FALSE,"명세표"}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0" hidden="1">{"'장비'!$A$3:$M$12"}</definedName>
    <definedName name="ㅗ홓ㅎ로">{"'장비'!$A$3:$M$12"}</definedName>
    <definedName name="ㅗㅗ" localSheetId="0" hidden="1">{#N/A,#N/A,FALSE,"명세표"}</definedName>
    <definedName name="ㅗㅗ">{#N/A,#N/A,FALSE,"명세표"}</definedName>
    <definedName name="ㅗㅗㅗㅗㅗ" localSheetId="0" hidden="1">{"'장비'!$A$3:$M$12"}</definedName>
    <definedName name="ㅗㅗㅗㅗㅗ">{"'장비'!$A$3:$M$12"}</definedName>
    <definedName name="ㅛ" localSheetId="0" hidden="1">{"'장비'!$A$3:$M$12"}</definedName>
    <definedName name="ㅛ">{"'장비'!$A$3:$M$12"}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0" hidden="1">{"'장비'!$A$3:$M$12"}</definedName>
    <definedName name="ㅛㅛㅛ">{"'장비'!$A$3:$M$12"}</definedName>
    <definedName name="ㅜ" localSheetId="0" hidden="1">{#N/A,#N/A,FALSE,"명세표"}</definedName>
    <definedName name="ㅜ">{#N/A,#N/A,FALSE,"명세표"}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0" hidden="1">{#N/A,#N/A,FALSE,"명세표"}</definedName>
    <definedName name="ㅡㅡ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1" i="7" l="1"/>
  <c r="H291" i="7"/>
  <c r="I291" i="7"/>
  <c r="J291" i="7"/>
  <c r="K291" i="7"/>
  <c r="L291" i="7"/>
  <c r="M291" i="7"/>
  <c r="N291" i="7"/>
  <c r="O291" i="7"/>
  <c r="P291" i="7"/>
  <c r="Q291" i="7"/>
  <c r="H292" i="7"/>
  <c r="G293" i="7"/>
  <c r="H293" i="7"/>
  <c r="I293" i="7"/>
  <c r="J293" i="7"/>
  <c r="J298" i="7" s="1"/>
  <c r="K293" i="7"/>
  <c r="K298" i="7" s="1"/>
  <c r="L293" i="7"/>
  <c r="L298" i="7" s="1"/>
  <c r="M293" i="7"/>
  <c r="M298" i="7" s="1"/>
  <c r="N293" i="7"/>
  <c r="N298" i="7" s="1"/>
  <c r="O293" i="7"/>
  <c r="O298" i="7" s="1"/>
  <c r="P293" i="7"/>
  <c r="P298" i="7" s="1"/>
  <c r="Q293" i="7"/>
  <c r="G294" i="7"/>
  <c r="H294" i="7"/>
  <c r="I294" i="7"/>
  <c r="J294" i="7"/>
  <c r="K294" i="7"/>
  <c r="L294" i="7"/>
  <c r="M294" i="7"/>
  <c r="N294" i="7"/>
  <c r="O294" i="7"/>
  <c r="P294" i="7"/>
  <c r="Q294" i="7"/>
  <c r="Q298" i="7" s="1"/>
  <c r="G295" i="7"/>
  <c r="G298" i="7" s="1"/>
  <c r="H295" i="7"/>
  <c r="I295" i="7"/>
  <c r="I298" i="7" s="1"/>
  <c r="J295" i="7"/>
  <c r="K295" i="7"/>
  <c r="L295" i="7"/>
  <c r="M295" i="7"/>
  <c r="N295" i="7"/>
  <c r="O295" i="7"/>
  <c r="P295" i="7"/>
  <c r="Q295" i="7"/>
  <c r="G296" i="7"/>
  <c r="H296" i="7"/>
  <c r="I296" i="7"/>
  <c r="J296" i="7"/>
  <c r="K296" i="7"/>
  <c r="L296" i="7"/>
  <c r="M296" i="7"/>
  <c r="N296" i="7"/>
  <c r="O296" i="7"/>
  <c r="P296" i="7"/>
  <c r="Q296" i="7"/>
  <c r="G297" i="7"/>
  <c r="H297" i="7"/>
  <c r="I297" i="7"/>
  <c r="J297" i="7"/>
  <c r="K297" i="7"/>
  <c r="L297" i="7"/>
  <c r="M297" i="7"/>
  <c r="N297" i="7"/>
  <c r="O297" i="7"/>
  <c r="P297" i="7"/>
  <c r="Q297" i="7"/>
  <c r="H298" i="7"/>
  <c r="G299" i="7"/>
  <c r="H299" i="7"/>
  <c r="H304" i="7" s="1"/>
  <c r="I299" i="7"/>
  <c r="I304" i="7" s="1"/>
  <c r="J299" i="7"/>
  <c r="J304" i="7" s="1"/>
  <c r="K299" i="7"/>
  <c r="K304" i="7" s="1"/>
  <c r="L299" i="7"/>
  <c r="L304" i="7" s="1"/>
  <c r="M299" i="7"/>
  <c r="M304" i="7" s="1"/>
  <c r="N299" i="7"/>
  <c r="N304" i="7" s="1"/>
  <c r="O299" i="7"/>
  <c r="P299" i="7"/>
  <c r="Q299" i="7"/>
  <c r="G300" i="7"/>
  <c r="H300" i="7"/>
  <c r="I300" i="7"/>
  <c r="J300" i="7"/>
  <c r="K300" i="7"/>
  <c r="L300" i="7"/>
  <c r="M300" i="7"/>
  <c r="N300" i="7"/>
  <c r="O300" i="7"/>
  <c r="O304" i="7" s="1"/>
  <c r="P300" i="7"/>
  <c r="P304" i="7" s="1"/>
  <c r="Q300" i="7"/>
  <c r="Q304" i="7" s="1"/>
  <c r="G301" i="7"/>
  <c r="G304" i="7" s="1"/>
  <c r="H301" i="7"/>
  <c r="I301" i="7"/>
  <c r="J301" i="7"/>
  <c r="K301" i="7"/>
  <c r="L301" i="7"/>
  <c r="M301" i="7"/>
  <c r="N301" i="7"/>
  <c r="O301" i="7"/>
  <c r="P301" i="7"/>
  <c r="Q301" i="7"/>
  <c r="G302" i="7"/>
  <c r="H302" i="7"/>
  <c r="I302" i="7"/>
  <c r="J302" i="7"/>
  <c r="K302" i="7"/>
  <c r="L302" i="7"/>
  <c r="M302" i="7"/>
  <c r="N302" i="7"/>
  <c r="O302" i="7"/>
  <c r="P302" i="7"/>
  <c r="Q302" i="7"/>
  <c r="G303" i="7"/>
  <c r="H303" i="7"/>
  <c r="I303" i="7"/>
  <c r="J303" i="7"/>
  <c r="K303" i="7"/>
  <c r="L303" i="7"/>
  <c r="M303" i="7"/>
  <c r="N303" i="7"/>
  <c r="O303" i="7"/>
  <c r="P303" i="7"/>
  <c r="Q303" i="7"/>
  <c r="G305" i="7"/>
  <c r="G310" i="7" s="1"/>
  <c r="H305" i="7"/>
  <c r="H310" i="7" s="1"/>
  <c r="I305" i="7"/>
  <c r="I310" i="7" s="1"/>
  <c r="J305" i="7"/>
  <c r="J310" i="7" s="1"/>
  <c r="K305" i="7"/>
  <c r="K310" i="7" s="1"/>
  <c r="L305" i="7"/>
  <c r="L310" i="7" s="1"/>
  <c r="M305" i="7"/>
  <c r="N305" i="7"/>
  <c r="O305" i="7"/>
  <c r="P305" i="7"/>
  <c r="Q305" i="7"/>
  <c r="G306" i="7"/>
  <c r="H306" i="7"/>
  <c r="I306" i="7"/>
  <c r="J306" i="7"/>
  <c r="K306" i="7"/>
  <c r="L306" i="7"/>
  <c r="M306" i="7"/>
  <c r="M310" i="7" s="1"/>
  <c r="N306" i="7"/>
  <c r="N310" i="7" s="1"/>
  <c r="O306" i="7"/>
  <c r="O310" i="7" s="1"/>
  <c r="P306" i="7"/>
  <c r="P310" i="7" s="1"/>
  <c r="Q306" i="7"/>
  <c r="Q310" i="7" s="1"/>
  <c r="G307" i="7"/>
  <c r="H307" i="7"/>
  <c r="I307" i="7"/>
  <c r="J307" i="7"/>
  <c r="K307" i="7"/>
  <c r="L307" i="7"/>
  <c r="M307" i="7"/>
  <c r="N307" i="7"/>
  <c r="O307" i="7"/>
  <c r="P307" i="7"/>
  <c r="Q307" i="7"/>
  <c r="G308" i="7"/>
  <c r="H308" i="7"/>
  <c r="I308" i="7"/>
  <c r="J308" i="7"/>
  <c r="K308" i="7"/>
  <c r="L308" i="7"/>
  <c r="M308" i="7"/>
  <c r="N308" i="7"/>
  <c r="O308" i="7"/>
  <c r="P308" i="7"/>
  <c r="Q308" i="7"/>
  <c r="G309" i="7"/>
  <c r="H309" i="7"/>
  <c r="I309" i="7"/>
  <c r="J309" i="7"/>
  <c r="K309" i="7"/>
  <c r="L309" i="7"/>
  <c r="M309" i="7"/>
  <c r="N309" i="7"/>
  <c r="O309" i="7"/>
  <c r="P309" i="7"/>
  <c r="Q309" i="7"/>
  <c r="G311" i="7"/>
  <c r="G316" i="7" s="1"/>
  <c r="H311" i="7"/>
  <c r="H316" i="7" s="1"/>
  <c r="I311" i="7"/>
  <c r="I316" i="7" s="1"/>
  <c r="J311" i="7"/>
  <c r="K311" i="7"/>
  <c r="L311" i="7"/>
  <c r="M311" i="7"/>
  <c r="N311" i="7"/>
  <c r="O311" i="7"/>
  <c r="P311" i="7"/>
  <c r="Q311" i="7"/>
  <c r="G312" i="7"/>
  <c r="H312" i="7"/>
  <c r="I312" i="7"/>
  <c r="J312" i="7"/>
  <c r="K312" i="7"/>
  <c r="K316" i="7" s="1"/>
  <c r="L312" i="7"/>
  <c r="M312" i="7"/>
  <c r="M316" i="7" s="1"/>
  <c r="N312" i="7"/>
  <c r="O312" i="7"/>
  <c r="P312" i="7"/>
  <c r="Q312" i="7"/>
  <c r="G313" i="7"/>
  <c r="H313" i="7"/>
  <c r="I313" i="7"/>
  <c r="J313" i="7"/>
  <c r="K313" i="7"/>
  <c r="L313" i="7"/>
  <c r="M313" i="7"/>
  <c r="N313" i="7"/>
  <c r="O313" i="7"/>
  <c r="P313" i="7"/>
  <c r="P316" i="7" s="1"/>
  <c r="Q313" i="7"/>
  <c r="Q316" i="7" s="1"/>
  <c r="G314" i="7"/>
  <c r="H314" i="7"/>
  <c r="I314" i="7"/>
  <c r="J314" i="7"/>
  <c r="K314" i="7"/>
  <c r="L314" i="7"/>
  <c r="M314" i="7"/>
  <c r="N314" i="7"/>
  <c r="O314" i="7"/>
  <c r="P314" i="7"/>
  <c r="Q314" i="7"/>
  <c r="G315" i="7"/>
  <c r="H315" i="7"/>
  <c r="I315" i="7"/>
  <c r="J315" i="7"/>
  <c r="K315" i="7"/>
  <c r="L315" i="7"/>
  <c r="M315" i="7"/>
  <c r="N315" i="7"/>
  <c r="O315" i="7"/>
  <c r="P315" i="7"/>
  <c r="Q315" i="7"/>
  <c r="G317" i="7"/>
  <c r="G322" i="7" s="1"/>
  <c r="H317" i="7"/>
  <c r="H322" i="7" s="1"/>
  <c r="I317" i="7"/>
  <c r="I322" i="7" s="1"/>
  <c r="J317" i="7"/>
  <c r="J322" i="7" s="1"/>
  <c r="K317" i="7"/>
  <c r="K322" i="7" s="1"/>
  <c r="L317" i="7"/>
  <c r="L322" i="7" s="1"/>
  <c r="M317" i="7"/>
  <c r="N317" i="7"/>
  <c r="O317" i="7"/>
  <c r="P317" i="7"/>
  <c r="Q317" i="7"/>
  <c r="G318" i="7"/>
  <c r="H318" i="7"/>
  <c r="I318" i="7"/>
  <c r="J318" i="7"/>
  <c r="K318" i="7"/>
  <c r="L318" i="7"/>
  <c r="M318" i="7"/>
  <c r="M322" i="7" s="1"/>
  <c r="N318" i="7"/>
  <c r="N322" i="7" s="1"/>
  <c r="O318" i="7"/>
  <c r="O322" i="7" s="1"/>
  <c r="P318" i="7"/>
  <c r="P322" i="7" s="1"/>
  <c r="Q318" i="7"/>
  <c r="Q322" i="7" s="1"/>
  <c r="G319" i="7"/>
  <c r="H319" i="7"/>
  <c r="I319" i="7"/>
  <c r="J319" i="7"/>
  <c r="K319" i="7"/>
  <c r="L319" i="7"/>
  <c r="M319" i="7"/>
  <c r="N319" i="7"/>
  <c r="O319" i="7"/>
  <c r="P319" i="7"/>
  <c r="Q319" i="7"/>
  <c r="G320" i="7"/>
  <c r="H320" i="7"/>
  <c r="I320" i="7"/>
  <c r="J320" i="7"/>
  <c r="K320" i="7"/>
  <c r="L320" i="7"/>
  <c r="M320" i="7"/>
  <c r="N320" i="7"/>
  <c r="O320" i="7"/>
  <c r="P320" i="7"/>
  <c r="Q320" i="7"/>
  <c r="G321" i="7"/>
  <c r="H321" i="7"/>
  <c r="I321" i="7"/>
  <c r="J321" i="7"/>
  <c r="K321" i="7"/>
  <c r="L321" i="7"/>
  <c r="M321" i="7"/>
  <c r="N321" i="7"/>
  <c r="O321" i="7"/>
  <c r="P321" i="7"/>
  <c r="Q321" i="7"/>
  <c r="G323" i="7"/>
  <c r="G328" i="7" s="1"/>
  <c r="H323" i="7"/>
  <c r="H328" i="7" s="1"/>
  <c r="I323" i="7"/>
  <c r="I328" i="7" s="1"/>
  <c r="J323" i="7"/>
  <c r="J328" i="7" s="1"/>
  <c r="K323" i="7"/>
  <c r="L323" i="7"/>
  <c r="M323" i="7"/>
  <c r="N323" i="7"/>
  <c r="O323" i="7"/>
  <c r="P323" i="7"/>
  <c r="Q323" i="7"/>
  <c r="G324" i="7"/>
  <c r="H324" i="7"/>
  <c r="I324" i="7"/>
  <c r="J324" i="7"/>
  <c r="K324" i="7"/>
  <c r="K328" i="7" s="1"/>
  <c r="L324" i="7"/>
  <c r="L328" i="7" s="1"/>
  <c r="M324" i="7"/>
  <c r="M328" i="7" s="1"/>
  <c r="N324" i="7"/>
  <c r="N328" i="7" s="1"/>
  <c r="O324" i="7"/>
  <c r="O328" i="7" s="1"/>
  <c r="P324" i="7"/>
  <c r="Q324" i="7"/>
  <c r="G325" i="7"/>
  <c r="H325" i="7"/>
  <c r="I325" i="7"/>
  <c r="J325" i="7"/>
  <c r="K325" i="7"/>
  <c r="L325" i="7"/>
  <c r="M325" i="7"/>
  <c r="N325" i="7"/>
  <c r="O325" i="7"/>
  <c r="P325" i="7"/>
  <c r="Q325" i="7"/>
  <c r="Q328" i="7" s="1"/>
  <c r="G326" i="7"/>
  <c r="H326" i="7"/>
  <c r="I326" i="7"/>
  <c r="J326" i="7"/>
  <c r="K326" i="7"/>
  <c r="L326" i="7"/>
  <c r="M326" i="7"/>
  <c r="N326" i="7"/>
  <c r="O326" i="7"/>
  <c r="P326" i="7"/>
  <c r="Q326" i="7"/>
  <c r="G327" i="7"/>
  <c r="H327" i="7"/>
  <c r="I327" i="7"/>
  <c r="J327" i="7"/>
  <c r="K327" i="7"/>
  <c r="L327" i="7"/>
  <c r="M327" i="7"/>
  <c r="N327" i="7"/>
  <c r="O327" i="7"/>
  <c r="P327" i="7"/>
  <c r="Q327" i="7"/>
  <c r="P328" i="7"/>
  <c r="G329" i="7"/>
  <c r="G334" i="7" s="1"/>
  <c r="H329" i="7"/>
  <c r="H334" i="7" s="1"/>
  <c r="I329" i="7"/>
  <c r="J329" i="7"/>
  <c r="K329" i="7"/>
  <c r="L329" i="7"/>
  <c r="M329" i="7"/>
  <c r="N329" i="7"/>
  <c r="O329" i="7"/>
  <c r="P329" i="7"/>
  <c r="Q329" i="7"/>
  <c r="G330" i="7"/>
  <c r="H330" i="7"/>
  <c r="I330" i="7"/>
  <c r="I334" i="7" s="1"/>
  <c r="J330" i="7"/>
  <c r="J334" i="7" s="1"/>
  <c r="K330" i="7"/>
  <c r="K334" i="7" s="1"/>
  <c r="L330" i="7"/>
  <c r="L334" i="7" s="1"/>
  <c r="M330" i="7"/>
  <c r="M334" i="7" s="1"/>
  <c r="N330" i="7"/>
  <c r="O330" i="7"/>
  <c r="P330" i="7"/>
  <c r="Q330" i="7"/>
  <c r="G331" i="7"/>
  <c r="H331" i="7"/>
  <c r="I331" i="7"/>
  <c r="J331" i="7"/>
  <c r="K331" i="7"/>
  <c r="L331" i="7"/>
  <c r="M331" i="7"/>
  <c r="N331" i="7"/>
  <c r="O331" i="7"/>
  <c r="O334" i="7" s="1"/>
  <c r="P331" i="7"/>
  <c r="Q331" i="7"/>
  <c r="Q334" i="7" s="1"/>
  <c r="G332" i="7"/>
  <c r="H332" i="7"/>
  <c r="I332" i="7"/>
  <c r="J332" i="7"/>
  <c r="K332" i="7"/>
  <c r="L332" i="7"/>
  <c r="M332" i="7"/>
  <c r="N332" i="7"/>
  <c r="O332" i="7"/>
  <c r="P332" i="7"/>
  <c r="Q332" i="7"/>
  <c r="G333" i="7"/>
  <c r="H333" i="7"/>
  <c r="I333" i="7"/>
  <c r="J333" i="7"/>
  <c r="K333" i="7"/>
  <c r="L333" i="7"/>
  <c r="M333" i="7"/>
  <c r="N333" i="7"/>
  <c r="O333" i="7"/>
  <c r="P333" i="7"/>
  <c r="Q333" i="7"/>
  <c r="N334" i="7"/>
  <c r="P334" i="7"/>
  <c r="G335" i="7"/>
  <c r="H335" i="7"/>
  <c r="I335" i="7"/>
  <c r="J335" i="7"/>
  <c r="K335" i="7"/>
  <c r="L335" i="7"/>
  <c r="M335" i="7"/>
  <c r="N335" i="7"/>
  <c r="O335" i="7"/>
  <c r="P335" i="7"/>
  <c r="P340" i="7" s="1"/>
  <c r="Q335" i="7"/>
  <c r="Q340" i="7" s="1"/>
  <c r="G336" i="7"/>
  <c r="G340" i="7" s="1"/>
  <c r="H336" i="7"/>
  <c r="H340" i="7" s="1"/>
  <c r="I336" i="7"/>
  <c r="I340" i="7" s="1"/>
  <c r="J336" i="7"/>
  <c r="J340" i="7" s="1"/>
  <c r="K336" i="7"/>
  <c r="K340" i="7" s="1"/>
  <c r="L336" i="7"/>
  <c r="M336" i="7"/>
  <c r="N336" i="7"/>
  <c r="O336" i="7"/>
  <c r="P336" i="7"/>
  <c r="Q336" i="7"/>
  <c r="G337" i="7"/>
  <c r="H337" i="7"/>
  <c r="I337" i="7"/>
  <c r="J337" i="7"/>
  <c r="K337" i="7"/>
  <c r="L337" i="7"/>
  <c r="M337" i="7"/>
  <c r="M340" i="7" s="1"/>
  <c r="N337" i="7"/>
  <c r="O337" i="7"/>
  <c r="O340" i="7" s="1"/>
  <c r="P337" i="7"/>
  <c r="Q337" i="7"/>
  <c r="G338" i="7"/>
  <c r="H338" i="7"/>
  <c r="I338" i="7"/>
  <c r="J338" i="7"/>
  <c r="K338" i="7"/>
  <c r="L338" i="7"/>
  <c r="M338" i="7"/>
  <c r="N338" i="7"/>
  <c r="O338" i="7"/>
  <c r="P338" i="7"/>
  <c r="Q338" i="7"/>
  <c r="G339" i="7"/>
  <c r="H339" i="7"/>
  <c r="I339" i="7"/>
  <c r="J339" i="7"/>
  <c r="K339" i="7"/>
  <c r="L339" i="7"/>
  <c r="M339" i="7"/>
  <c r="N339" i="7"/>
  <c r="O339" i="7"/>
  <c r="P339" i="7"/>
  <c r="Q339" i="7"/>
  <c r="L340" i="7"/>
  <c r="N340" i="7"/>
  <c r="G341" i="7"/>
  <c r="H341" i="7"/>
  <c r="I341" i="7"/>
  <c r="J341" i="7"/>
  <c r="K341" i="7"/>
  <c r="L341" i="7"/>
  <c r="M341" i="7"/>
  <c r="N341" i="7"/>
  <c r="N346" i="7" s="1"/>
  <c r="O341" i="7"/>
  <c r="O346" i="7" s="1"/>
  <c r="P341" i="7"/>
  <c r="P346" i="7" s="1"/>
  <c r="Q341" i="7"/>
  <c r="Q346" i="7" s="1"/>
  <c r="G342" i="7"/>
  <c r="G346" i="7" s="1"/>
  <c r="H342" i="7"/>
  <c r="H346" i="7" s="1"/>
  <c r="I342" i="7"/>
  <c r="I346" i="7" s="1"/>
  <c r="J342" i="7"/>
  <c r="K342" i="7"/>
  <c r="L342" i="7"/>
  <c r="M342" i="7"/>
  <c r="N342" i="7"/>
  <c r="O342" i="7"/>
  <c r="P342" i="7"/>
  <c r="Q342" i="7"/>
  <c r="G343" i="7"/>
  <c r="H343" i="7"/>
  <c r="I343" i="7"/>
  <c r="J343" i="7"/>
  <c r="K343" i="7"/>
  <c r="K346" i="7" s="1"/>
  <c r="L343" i="7"/>
  <c r="M343" i="7"/>
  <c r="M346" i="7" s="1"/>
  <c r="N343" i="7"/>
  <c r="O343" i="7"/>
  <c r="P343" i="7"/>
  <c r="Q343" i="7"/>
  <c r="G344" i="7"/>
  <c r="H344" i="7"/>
  <c r="I344" i="7"/>
  <c r="J344" i="7"/>
  <c r="K344" i="7"/>
  <c r="L344" i="7"/>
  <c r="M344" i="7"/>
  <c r="N344" i="7"/>
  <c r="O344" i="7"/>
  <c r="P344" i="7"/>
  <c r="Q344" i="7"/>
  <c r="G345" i="7"/>
  <c r="H345" i="7"/>
  <c r="I345" i="7"/>
  <c r="J345" i="7"/>
  <c r="K345" i="7"/>
  <c r="L345" i="7"/>
  <c r="M345" i="7"/>
  <c r="N345" i="7"/>
  <c r="O345" i="7"/>
  <c r="P345" i="7"/>
  <c r="Q345" i="7"/>
  <c r="J346" i="7"/>
  <c r="L346" i="7"/>
  <c r="G347" i="7"/>
  <c r="H347" i="7"/>
  <c r="I347" i="7"/>
  <c r="J347" i="7"/>
  <c r="K347" i="7"/>
  <c r="L347" i="7"/>
  <c r="L352" i="7" s="1"/>
  <c r="M347" i="7"/>
  <c r="M352" i="7" s="1"/>
  <c r="N347" i="7"/>
  <c r="N352" i="7" s="1"/>
  <c r="O347" i="7"/>
  <c r="O352" i="7" s="1"/>
  <c r="P347" i="7"/>
  <c r="P352" i="7" s="1"/>
  <c r="Q347" i="7"/>
  <c r="Q352" i="7" s="1"/>
  <c r="G348" i="7"/>
  <c r="G352" i="7" s="1"/>
  <c r="H348" i="7"/>
  <c r="I348" i="7"/>
  <c r="J348" i="7"/>
  <c r="K348" i="7"/>
  <c r="L348" i="7"/>
  <c r="M348" i="7"/>
  <c r="N348" i="7"/>
  <c r="O348" i="7"/>
  <c r="P348" i="7"/>
  <c r="Q348" i="7"/>
  <c r="G349" i="7"/>
  <c r="H349" i="7"/>
  <c r="I349" i="7"/>
  <c r="I352" i="7" s="1"/>
  <c r="J349" i="7"/>
  <c r="K349" i="7"/>
  <c r="K352" i="7" s="1"/>
  <c r="L349" i="7"/>
  <c r="M349" i="7"/>
  <c r="N349" i="7"/>
  <c r="O349" i="7"/>
  <c r="P349" i="7"/>
  <c r="Q349" i="7"/>
  <c r="G350" i="7"/>
  <c r="H350" i="7"/>
  <c r="I350" i="7"/>
  <c r="J350" i="7"/>
  <c r="K350" i="7"/>
  <c r="L350" i="7"/>
  <c r="M350" i="7"/>
  <c r="N350" i="7"/>
  <c r="O350" i="7"/>
  <c r="P350" i="7"/>
  <c r="Q350" i="7"/>
  <c r="G351" i="7"/>
  <c r="H351" i="7"/>
  <c r="I351" i="7"/>
  <c r="J351" i="7"/>
  <c r="K351" i="7"/>
  <c r="L351" i="7"/>
  <c r="M351" i="7"/>
  <c r="N351" i="7"/>
  <c r="O351" i="7"/>
  <c r="P351" i="7"/>
  <c r="Q351" i="7"/>
  <c r="H352" i="7"/>
  <c r="J352" i="7"/>
  <c r="G353" i="7"/>
  <c r="H353" i="7"/>
  <c r="I353" i="7"/>
  <c r="J353" i="7"/>
  <c r="J358" i="7" s="1"/>
  <c r="K353" i="7"/>
  <c r="K358" i="7" s="1"/>
  <c r="L353" i="7"/>
  <c r="L358" i="7" s="1"/>
  <c r="M353" i="7"/>
  <c r="M358" i="7" s="1"/>
  <c r="N353" i="7"/>
  <c r="N358" i="7" s="1"/>
  <c r="O353" i="7"/>
  <c r="O358" i="7" s="1"/>
  <c r="P353" i="7"/>
  <c r="P358" i="7" s="1"/>
  <c r="Q353" i="7"/>
  <c r="G354" i="7"/>
  <c r="H354" i="7"/>
  <c r="I354" i="7"/>
  <c r="J354" i="7"/>
  <c r="K354" i="7"/>
  <c r="L354" i="7"/>
  <c r="M354" i="7"/>
  <c r="N354" i="7"/>
  <c r="O354" i="7"/>
  <c r="P354" i="7"/>
  <c r="Q354" i="7"/>
  <c r="Q358" i="7" s="1"/>
  <c r="G355" i="7"/>
  <c r="G358" i="7" s="1"/>
  <c r="H355" i="7"/>
  <c r="I355" i="7"/>
  <c r="I358" i="7" s="1"/>
  <c r="J355" i="7"/>
  <c r="K355" i="7"/>
  <c r="L355" i="7"/>
  <c r="M355" i="7"/>
  <c r="N355" i="7"/>
  <c r="O355" i="7"/>
  <c r="P355" i="7"/>
  <c r="Q355" i="7"/>
  <c r="G356" i="7"/>
  <c r="H356" i="7"/>
  <c r="I356" i="7"/>
  <c r="J356" i="7"/>
  <c r="K356" i="7"/>
  <c r="L356" i="7"/>
  <c r="M356" i="7"/>
  <c r="N356" i="7"/>
  <c r="O356" i="7"/>
  <c r="P356" i="7"/>
  <c r="Q356" i="7"/>
  <c r="G357" i="7"/>
  <c r="H357" i="7"/>
  <c r="I357" i="7"/>
  <c r="J357" i="7"/>
  <c r="K357" i="7"/>
  <c r="L357" i="7"/>
  <c r="M357" i="7"/>
  <c r="N357" i="7"/>
  <c r="O357" i="7"/>
  <c r="P357" i="7"/>
  <c r="Q357" i="7"/>
  <c r="H358" i="7"/>
  <c r="G203" i="7"/>
  <c r="H203" i="7"/>
  <c r="H208" i="7" s="1"/>
  <c r="I203" i="7"/>
  <c r="I208" i="7" s="1"/>
  <c r="J203" i="7"/>
  <c r="J208" i="7" s="1"/>
  <c r="K203" i="7"/>
  <c r="K208" i="7" s="1"/>
  <c r="L203" i="7"/>
  <c r="L208" i="7" s="1"/>
  <c r="M203" i="7"/>
  <c r="M208" i="7" s="1"/>
  <c r="N203" i="7"/>
  <c r="N208" i="7" s="1"/>
  <c r="O203" i="7"/>
  <c r="P203" i="7"/>
  <c r="Q203" i="7"/>
  <c r="G204" i="7"/>
  <c r="H204" i="7"/>
  <c r="I204" i="7"/>
  <c r="J204" i="7"/>
  <c r="K204" i="7"/>
  <c r="L204" i="7"/>
  <c r="M204" i="7"/>
  <c r="N204" i="7"/>
  <c r="O204" i="7"/>
  <c r="O208" i="7" s="1"/>
  <c r="P204" i="7"/>
  <c r="P208" i="7" s="1"/>
  <c r="Q204" i="7"/>
  <c r="Q208" i="7" s="1"/>
  <c r="G205" i="7"/>
  <c r="G208" i="7" s="1"/>
  <c r="H205" i="7"/>
  <c r="I205" i="7"/>
  <c r="J205" i="7"/>
  <c r="K205" i="7"/>
  <c r="L205" i="7"/>
  <c r="M205" i="7"/>
  <c r="N205" i="7"/>
  <c r="O205" i="7"/>
  <c r="P205" i="7"/>
  <c r="Q205" i="7"/>
  <c r="G206" i="7"/>
  <c r="H206" i="7"/>
  <c r="I206" i="7"/>
  <c r="J206" i="7"/>
  <c r="K206" i="7"/>
  <c r="L206" i="7"/>
  <c r="M206" i="7"/>
  <c r="N206" i="7"/>
  <c r="O206" i="7"/>
  <c r="P206" i="7"/>
  <c r="Q206" i="7"/>
  <c r="G207" i="7"/>
  <c r="H207" i="7"/>
  <c r="I207" i="7"/>
  <c r="J207" i="7"/>
  <c r="K207" i="7"/>
  <c r="L207" i="7"/>
  <c r="M207" i="7"/>
  <c r="N207" i="7"/>
  <c r="O207" i="7"/>
  <c r="P207" i="7"/>
  <c r="Q207" i="7"/>
  <c r="G209" i="7"/>
  <c r="G214" i="7" s="1"/>
  <c r="H209" i="7"/>
  <c r="H214" i="7" s="1"/>
  <c r="I209" i="7"/>
  <c r="I214" i="7" s="1"/>
  <c r="J209" i="7"/>
  <c r="J214" i="7" s="1"/>
  <c r="K209" i="7"/>
  <c r="K214" i="7" s="1"/>
  <c r="L209" i="7"/>
  <c r="L214" i="7" s="1"/>
  <c r="M209" i="7"/>
  <c r="N209" i="7"/>
  <c r="O209" i="7"/>
  <c r="P209" i="7"/>
  <c r="Q209" i="7"/>
  <c r="G210" i="7"/>
  <c r="H210" i="7"/>
  <c r="I210" i="7"/>
  <c r="J210" i="7"/>
  <c r="K210" i="7"/>
  <c r="L210" i="7"/>
  <c r="M210" i="7"/>
  <c r="M214" i="7" s="1"/>
  <c r="N210" i="7"/>
  <c r="N214" i="7" s="1"/>
  <c r="O210" i="7"/>
  <c r="O214" i="7" s="1"/>
  <c r="P210" i="7"/>
  <c r="P214" i="7" s="1"/>
  <c r="Q210" i="7"/>
  <c r="Q214" i="7" s="1"/>
  <c r="G211" i="7"/>
  <c r="H211" i="7"/>
  <c r="I211" i="7"/>
  <c r="J211" i="7"/>
  <c r="K211" i="7"/>
  <c r="L211" i="7"/>
  <c r="M211" i="7"/>
  <c r="N211" i="7"/>
  <c r="O211" i="7"/>
  <c r="P211" i="7"/>
  <c r="Q211" i="7"/>
  <c r="G212" i="7"/>
  <c r="H212" i="7"/>
  <c r="I212" i="7"/>
  <c r="J212" i="7"/>
  <c r="K212" i="7"/>
  <c r="L212" i="7"/>
  <c r="M212" i="7"/>
  <c r="N212" i="7"/>
  <c r="O212" i="7"/>
  <c r="P212" i="7"/>
  <c r="Q212" i="7"/>
  <c r="G213" i="7"/>
  <c r="H213" i="7"/>
  <c r="I213" i="7"/>
  <c r="J213" i="7"/>
  <c r="K213" i="7"/>
  <c r="L213" i="7"/>
  <c r="M213" i="7"/>
  <c r="N213" i="7"/>
  <c r="O213" i="7"/>
  <c r="P213" i="7"/>
  <c r="Q213" i="7"/>
  <c r="G215" i="7"/>
  <c r="G220" i="7" s="1"/>
  <c r="H215" i="7"/>
  <c r="H220" i="7" s="1"/>
  <c r="I215" i="7"/>
  <c r="I220" i="7" s="1"/>
  <c r="J215" i="7"/>
  <c r="J220" i="7" s="1"/>
  <c r="K215" i="7"/>
  <c r="L215" i="7"/>
  <c r="M215" i="7"/>
  <c r="N215" i="7"/>
  <c r="O215" i="7"/>
  <c r="P215" i="7"/>
  <c r="Q215" i="7"/>
  <c r="G216" i="7"/>
  <c r="H216" i="7"/>
  <c r="I216" i="7"/>
  <c r="J216" i="7"/>
  <c r="K216" i="7"/>
  <c r="K220" i="7" s="1"/>
  <c r="L216" i="7"/>
  <c r="L220" i="7" s="1"/>
  <c r="M216" i="7"/>
  <c r="M220" i="7" s="1"/>
  <c r="N216" i="7"/>
  <c r="N220" i="7" s="1"/>
  <c r="O216" i="7"/>
  <c r="O220" i="7" s="1"/>
  <c r="P216" i="7"/>
  <c r="Q216" i="7"/>
  <c r="G217" i="7"/>
  <c r="H217" i="7"/>
  <c r="I217" i="7"/>
  <c r="J217" i="7"/>
  <c r="K217" i="7"/>
  <c r="L217" i="7"/>
  <c r="M217" i="7"/>
  <c r="N217" i="7"/>
  <c r="O217" i="7"/>
  <c r="P217" i="7"/>
  <c r="Q217" i="7"/>
  <c r="Q220" i="7" s="1"/>
  <c r="G218" i="7"/>
  <c r="H218" i="7"/>
  <c r="I218" i="7"/>
  <c r="J218" i="7"/>
  <c r="K218" i="7"/>
  <c r="L218" i="7"/>
  <c r="M218" i="7"/>
  <c r="N218" i="7"/>
  <c r="O218" i="7"/>
  <c r="P218" i="7"/>
  <c r="Q218" i="7"/>
  <c r="G219" i="7"/>
  <c r="H219" i="7"/>
  <c r="I219" i="7"/>
  <c r="J219" i="7"/>
  <c r="K219" i="7"/>
  <c r="L219" i="7"/>
  <c r="M219" i="7"/>
  <c r="N219" i="7"/>
  <c r="O219" i="7"/>
  <c r="P219" i="7"/>
  <c r="Q219" i="7"/>
  <c r="P220" i="7"/>
  <c r="G221" i="7"/>
  <c r="G226" i="7" s="1"/>
  <c r="H221" i="7"/>
  <c r="H226" i="7" s="1"/>
  <c r="I221" i="7"/>
  <c r="J221" i="7"/>
  <c r="K221" i="7"/>
  <c r="L221" i="7"/>
  <c r="M221" i="7"/>
  <c r="N221" i="7"/>
  <c r="O221" i="7"/>
  <c r="P221" i="7"/>
  <c r="Q221" i="7"/>
  <c r="G222" i="7"/>
  <c r="H222" i="7"/>
  <c r="I222" i="7"/>
  <c r="I226" i="7" s="1"/>
  <c r="J222" i="7"/>
  <c r="J226" i="7" s="1"/>
  <c r="K222" i="7"/>
  <c r="K226" i="7" s="1"/>
  <c r="L222" i="7"/>
  <c r="L226" i="7" s="1"/>
  <c r="M222" i="7"/>
  <c r="M226" i="7" s="1"/>
  <c r="N222" i="7"/>
  <c r="O222" i="7"/>
  <c r="P222" i="7"/>
  <c r="Q222" i="7"/>
  <c r="G223" i="7"/>
  <c r="H223" i="7"/>
  <c r="I223" i="7"/>
  <c r="J223" i="7"/>
  <c r="K223" i="7"/>
  <c r="L223" i="7"/>
  <c r="M223" i="7"/>
  <c r="N223" i="7"/>
  <c r="O223" i="7"/>
  <c r="O226" i="7" s="1"/>
  <c r="P223" i="7"/>
  <c r="Q223" i="7"/>
  <c r="Q226" i="7" s="1"/>
  <c r="G224" i="7"/>
  <c r="H224" i="7"/>
  <c r="I224" i="7"/>
  <c r="J224" i="7"/>
  <c r="K224" i="7"/>
  <c r="L224" i="7"/>
  <c r="M224" i="7"/>
  <c r="N224" i="7"/>
  <c r="O224" i="7"/>
  <c r="P224" i="7"/>
  <c r="Q224" i="7"/>
  <c r="G225" i="7"/>
  <c r="H225" i="7"/>
  <c r="I225" i="7"/>
  <c r="J225" i="7"/>
  <c r="K225" i="7"/>
  <c r="L225" i="7"/>
  <c r="M225" i="7"/>
  <c r="N225" i="7"/>
  <c r="O225" i="7"/>
  <c r="P225" i="7"/>
  <c r="Q225" i="7"/>
  <c r="N226" i="7"/>
  <c r="P226" i="7"/>
  <c r="G227" i="7"/>
  <c r="H227" i="7"/>
  <c r="I227" i="7"/>
  <c r="J227" i="7"/>
  <c r="K227" i="7"/>
  <c r="L227" i="7"/>
  <c r="M227" i="7"/>
  <c r="N227" i="7"/>
  <c r="O227" i="7"/>
  <c r="P227" i="7"/>
  <c r="Q227" i="7"/>
  <c r="Q232" i="7" s="1"/>
  <c r="G228" i="7"/>
  <c r="G232" i="7" s="1"/>
  <c r="H228" i="7"/>
  <c r="H232" i="7" s="1"/>
  <c r="I228" i="7"/>
  <c r="J228" i="7"/>
  <c r="J232" i="7" s="1"/>
  <c r="K228" i="7"/>
  <c r="K232" i="7" s="1"/>
  <c r="L228" i="7"/>
  <c r="M228" i="7"/>
  <c r="N228" i="7"/>
  <c r="O228" i="7"/>
  <c r="P228" i="7"/>
  <c r="Q228" i="7"/>
  <c r="G229" i="7"/>
  <c r="H229" i="7"/>
  <c r="I229" i="7"/>
  <c r="J229" i="7"/>
  <c r="K229" i="7"/>
  <c r="L229" i="7"/>
  <c r="M229" i="7"/>
  <c r="N229" i="7"/>
  <c r="O229" i="7"/>
  <c r="P229" i="7"/>
  <c r="Q229" i="7"/>
  <c r="G230" i="7"/>
  <c r="H230" i="7"/>
  <c r="I230" i="7"/>
  <c r="J230" i="7"/>
  <c r="K230" i="7"/>
  <c r="L230" i="7"/>
  <c r="M230" i="7"/>
  <c r="N230" i="7"/>
  <c r="O230" i="7"/>
  <c r="P230" i="7"/>
  <c r="Q230" i="7"/>
  <c r="G231" i="7"/>
  <c r="H231" i="7"/>
  <c r="I231" i="7"/>
  <c r="J231" i="7"/>
  <c r="K231" i="7"/>
  <c r="L231" i="7"/>
  <c r="M231" i="7"/>
  <c r="N231" i="7"/>
  <c r="O231" i="7"/>
  <c r="P231" i="7"/>
  <c r="Q231" i="7"/>
  <c r="L232" i="7"/>
  <c r="M232" i="7"/>
  <c r="N232" i="7"/>
  <c r="O232" i="7"/>
  <c r="P232" i="7"/>
  <c r="G233" i="7"/>
  <c r="H233" i="7"/>
  <c r="I233" i="7"/>
  <c r="J233" i="7"/>
  <c r="K233" i="7"/>
  <c r="L233" i="7"/>
  <c r="M233" i="7"/>
  <c r="N233" i="7"/>
  <c r="O233" i="7"/>
  <c r="O238" i="7" s="1"/>
  <c r="P233" i="7"/>
  <c r="P238" i="7" s="1"/>
  <c r="Q233" i="7"/>
  <c r="Q238" i="7" s="1"/>
  <c r="G234" i="7"/>
  <c r="G238" i="7" s="1"/>
  <c r="H234" i="7"/>
  <c r="H238" i="7" s="1"/>
  <c r="I234" i="7"/>
  <c r="I238" i="7" s="1"/>
  <c r="J234" i="7"/>
  <c r="J238" i="7" s="1"/>
  <c r="K234" i="7"/>
  <c r="L234" i="7"/>
  <c r="M234" i="7"/>
  <c r="N234" i="7"/>
  <c r="O234" i="7"/>
  <c r="P234" i="7"/>
  <c r="Q234" i="7"/>
  <c r="G235" i="7"/>
  <c r="H235" i="7"/>
  <c r="I235" i="7"/>
  <c r="J235" i="7"/>
  <c r="K235" i="7"/>
  <c r="L235" i="7"/>
  <c r="L238" i="7" s="1"/>
  <c r="M235" i="7"/>
  <c r="N235" i="7"/>
  <c r="N238" i="7" s="1"/>
  <c r="O235" i="7"/>
  <c r="P235" i="7"/>
  <c r="Q235" i="7"/>
  <c r="G236" i="7"/>
  <c r="H236" i="7"/>
  <c r="I236" i="7"/>
  <c r="J236" i="7"/>
  <c r="K236" i="7"/>
  <c r="L236" i="7"/>
  <c r="M236" i="7"/>
  <c r="N236" i="7"/>
  <c r="O236" i="7"/>
  <c r="P236" i="7"/>
  <c r="Q236" i="7"/>
  <c r="G237" i="7"/>
  <c r="H237" i="7"/>
  <c r="I237" i="7"/>
  <c r="J237" i="7"/>
  <c r="K237" i="7"/>
  <c r="L237" i="7"/>
  <c r="M237" i="7"/>
  <c r="N237" i="7"/>
  <c r="O237" i="7"/>
  <c r="P237" i="7"/>
  <c r="Q237" i="7"/>
  <c r="K238" i="7"/>
  <c r="M238" i="7"/>
  <c r="G239" i="7"/>
  <c r="H239" i="7"/>
  <c r="I239" i="7"/>
  <c r="J239" i="7"/>
  <c r="K239" i="7"/>
  <c r="L239" i="7"/>
  <c r="M239" i="7"/>
  <c r="M244" i="7" s="1"/>
  <c r="N239" i="7"/>
  <c r="N244" i="7" s="1"/>
  <c r="O239" i="7"/>
  <c r="O244" i="7" s="1"/>
  <c r="P239" i="7"/>
  <c r="P244" i="7" s="1"/>
  <c r="Q239" i="7"/>
  <c r="Q244" i="7" s="1"/>
  <c r="G240" i="7"/>
  <c r="G244" i="7" s="1"/>
  <c r="H240" i="7"/>
  <c r="H244" i="7" s="1"/>
  <c r="I240" i="7"/>
  <c r="J240" i="7"/>
  <c r="K240" i="7"/>
  <c r="L240" i="7"/>
  <c r="M240" i="7"/>
  <c r="N240" i="7"/>
  <c r="O240" i="7"/>
  <c r="P240" i="7"/>
  <c r="Q240" i="7"/>
  <c r="G241" i="7"/>
  <c r="H241" i="7"/>
  <c r="I241" i="7"/>
  <c r="J241" i="7"/>
  <c r="J244" i="7" s="1"/>
  <c r="K241" i="7"/>
  <c r="L241" i="7"/>
  <c r="L244" i="7" s="1"/>
  <c r="M241" i="7"/>
  <c r="N241" i="7"/>
  <c r="O241" i="7"/>
  <c r="P241" i="7"/>
  <c r="Q241" i="7"/>
  <c r="G242" i="7"/>
  <c r="H242" i="7"/>
  <c r="I242" i="7"/>
  <c r="J242" i="7"/>
  <c r="K242" i="7"/>
  <c r="L242" i="7"/>
  <c r="M242" i="7"/>
  <c r="N242" i="7"/>
  <c r="O242" i="7"/>
  <c r="P242" i="7"/>
  <c r="Q242" i="7"/>
  <c r="G243" i="7"/>
  <c r="H243" i="7"/>
  <c r="I243" i="7"/>
  <c r="J243" i="7"/>
  <c r="K243" i="7"/>
  <c r="L243" i="7"/>
  <c r="M243" i="7"/>
  <c r="N243" i="7"/>
  <c r="O243" i="7"/>
  <c r="P243" i="7"/>
  <c r="Q243" i="7"/>
  <c r="I244" i="7"/>
  <c r="K244" i="7"/>
  <c r="G245" i="7"/>
  <c r="H245" i="7"/>
  <c r="I245" i="7"/>
  <c r="J245" i="7"/>
  <c r="K245" i="7"/>
  <c r="K250" i="7" s="1"/>
  <c r="L245" i="7"/>
  <c r="L250" i="7" s="1"/>
  <c r="M245" i="7"/>
  <c r="M250" i="7" s="1"/>
  <c r="N245" i="7"/>
  <c r="N250" i="7" s="1"/>
  <c r="O245" i="7"/>
  <c r="O250" i="7" s="1"/>
  <c r="P245" i="7"/>
  <c r="P250" i="7" s="1"/>
  <c r="Q245" i="7"/>
  <c r="Q250" i="7" s="1"/>
  <c r="G246" i="7"/>
  <c r="H246" i="7"/>
  <c r="I246" i="7"/>
  <c r="J246" i="7"/>
  <c r="K246" i="7"/>
  <c r="L246" i="7"/>
  <c r="M246" i="7"/>
  <c r="N246" i="7"/>
  <c r="O246" i="7"/>
  <c r="P246" i="7"/>
  <c r="Q246" i="7"/>
  <c r="G247" i="7"/>
  <c r="H247" i="7"/>
  <c r="H250" i="7" s="1"/>
  <c r="I247" i="7"/>
  <c r="J247" i="7"/>
  <c r="J250" i="7" s="1"/>
  <c r="K247" i="7"/>
  <c r="L247" i="7"/>
  <c r="M247" i="7"/>
  <c r="N247" i="7"/>
  <c r="O247" i="7"/>
  <c r="P247" i="7"/>
  <c r="Q247" i="7"/>
  <c r="G248" i="7"/>
  <c r="H248" i="7"/>
  <c r="I248" i="7"/>
  <c r="J248" i="7"/>
  <c r="K248" i="7"/>
  <c r="L248" i="7"/>
  <c r="M248" i="7"/>
  <c r="N248" i="7"/>
  <c r="O248" i="7"/>
  <c r="P248" i="7"/>
  <c r="Q248" i="7"/>
  <c r="G249" i="7"/>
  <c r="H249" i="7"/>
  <c r="I249" i="7"/>
  <c r="J249" i="7"/>
  <c r="K249" i="7"/>
  <c r="L249" i="7"/>
  <c r="M249" i="7"/>
  <c r="N249" i="7"/>
  <c r="O249" i="7"/>
  <c r="P249" i="7"/>
  <c r="Q249" i="7"/>
  <c r="G250" i="7"/>
  <c r="I250" i="7"/>
  <c r="G251" i="7"/>
  <c r="H251" i="7"/>
  <c r="I251" i="7"/>
  <c r="I256" i="7" s="1"/>
  <c r="J251" i="7"/>
  <c r="J256" i="7" s="1"/>
  <c r="K251" i="7"/>
  <c r="K256" i="7" s="1"/>
  <c r="L251" i="7"/>
  <c r="L256" i="7" s="1"/>
  <c r="M251" i="7"/>
  <c r="M256" i="7" s="1"/>
  <c r="N251" i="7"/>
  <c r="N256" i="7" s="1"/>
  <c r="O251" i="7"/>
  <c r="O256" i="7" s="1"/>
  <c r="P251" i="7"/>
  <c r="Q251" i="7"/>
  <c r="G252" i="7"/>
  <c r="H252" i="7"/>
  <c r="I252" i="7"/>
  <c r="J252" i="7"/>
  <c r="K252" i="7"/>
  <c r="L252" i="7"/>
  <c r="M252" i="7"/>
  <c r="N252" i="7"/>
  <c r="O252" i="7"/>
  <c r="P252" i="7"/>
  <c r="P256" i="7" s="1"/>
  <c r="Q252" i="7"/>
  <c r="Q256" i="7" s="1"/>
  <c r="G253" i="7"/>
  <c r="H253" i="7"/>
  <c r="H256" i="7" s="1"/>
  <c r="I253" i="7"/>
  <c r="J253" i="7"/>
  <c r="K253" i="7"/>
  <c r="L253" i="7"/>
  <c r="M253" i="7"/>
  <c r="N253" i="7"/>
  <c r="O253" i="7"/>
  <c r="P253" i="7"/>
  <c r="Q253" i="7"/>
  <c r="G254" i="7"/>
  <c r="H254" i="7"/>
  <c r="I254" i="7"/>
  <c r="J254" i="7"/>
  <c r="K254" i="7"/>
  <c r="L254" i="7"/>
  <c r="M254" i="7"/>
  <c r="N254" i="7"/>
  <c r="O254" i="7"/>
  <c r="P254" i="7"/>
  <c r="Q254" i="7"/>
  <c r="G255" i="7"/>
  <c r="H255" i="7"/>
  <c r="I255" i="7"/>
  <c r="J255" i="7"/>
  <c r="K255" i="7"/>
  <c r="L255" i="7"/>
  <c r="M255" i="7"/>
  <c r="N255" i="7"/>
  <c r="O255" i="7"/>
  <c r="P255" i="7"/>
  <c r="Q255" i="7"/>
  <c r="G256" i="7"/>
  <c r="G257" i="7"/>
  <c r="G262" i="7" s="1"/>
  <c r="H257" i="7"/>
  <c r="H262" i="7" s="1"/>
  <c r="I257" i="7"/>
  <c r="I262" i="7" s="1"/>
  <c r="J257" i="7"/>
  <c r="J262" i="7" s="1"/>
  <c r="K257" i="7"/>
  <c r="K262" i="7" s="1"/>
  <c r="L257" i="7"/>
  <c r="L262" i="7" s="1"/>
  <c r="M257" i="7"/>
  <c r="M262" i="7" s="1"/>
  <c r="N257" i="7"/>
  <c r="O257" i="7"/>
  <c r="P257" i="7"/>
  <c r="Q257" i="7"/>
  <c r="G258" i="7"/>
  <c r="H258" i="7"/>
  <c r="I258" i="7"/>
  <c r="J258" i="7"/>
  <c r="K258" i="7"/>
  <c r="L258" i="7"/>
  <c r="M258" i="7"/>
  <c r="N258" i="7"/>
  <c r="N262" i="7" s="1"/>
  <c r="O258" i="7"/>
  <c r="O262" i="7" s="1"/>
  <c r="P258" i="7"/>
  <c r="P262" i="7" s="1"/>
  <c r="Q258" i="7"/>
  <c r="Q262" i="7" s="1"/>
  <c r="G259" i="7"/>
  <c r="H259" i="7"/>
  <c r="I259" i="7"/>
  <c r="J259" i="7"/>
  <c r="K259" i="7"/>
  <c r="L259" i="7"/>
  <c r="M259" i="7"/>
  <c r="N259" i="7"/>
  <c r="O259" i="7"/>
  <c r="P259" i="7"/>
  <c r="Q259" i="7"/>
  <c r="G260" i="7"/>
  <c r="H260" i="7"/>
  <c r="I260" i="7"/>
  <c r="J260" i="7"/>
  <c r="K260" i="7"/>
  <c r="L260" i="7"/>
  <c r="M260" i="7"/>
  <c r="N260" i="7"/>
  <c r="O260" i="7"/>
  <c r="P260" i="7"/>
  <c r="Q260" i="7"/>
  <c r="G261" i="7"/>
  <c r="H261" i="7"/>
  <c r="I261" i="7"/>
  <c r="J261" i="7"/>
  <c r="K261" i="7"/>
  <c r="L261" i="7"/>
  <c r="M261" i="7"/>
  <c r="N261" i="7"/>
  <c r="O261" i="7"/>
  <c r="P261" i="7"/>
  <c r="Q261" i="7"/>
  <c r="G263" i="7"/>
  <c r="G268" i="7" s="1"/>
  <c r="H263" i="7"/>
  <c r="H268" i="7" s="1"/>
  <c r="I263" i="7"/>
  <c r="I268" i="7" s="1"/>
  <c r="J263" i="7"/>
  <c r="J268" i="7" s="1"/>
  <c r="K263" i="7"/>
  <c r="K268" i="7" s="1"/>
  <c r="L263" i="7"/>
  <c r="M263" i="7"/>
  <c r="N263" i="7"/>
  <c r="O263" i="7"/>
  <c r="P263" i="7"/>
  <c r="Q263" i="7"/>
  <c r="G264" i="7"/>
  <c r="H264" i="7"/>
  <c r="I264" i="7"/>
  <c r="J264" i="7"/>
  <c r="K264" i="7"/>
  <c r="L264" i="7"/>
  <c r="L268" i="7" s="1"/>
  <c r="M264" i="7"/>
  <c r="M268" i="7" s="1"/>
  <c r="N264" i="7"/>
  <c r="N268" i="7" s="1"/>
  <c r="O264" i="7"/>
  <c r="O268" i="7" s="1"/>
  <c r="P264" i="7"/>
  <c r="P268" i="7" s="1"/>
  <c r="Q264" i="7"/>
  <c r="G265" i="7"/>
  <c r="H265" i="7"/>
  <c r="I265" i="7"/>
  <c r="J265" i="7"/>
  <c r="K265" i="7"/>
  <c r="L265" i="7"/>
  <c r="M265" i="7"/>
  <c r="N265" i="7"/>
  <c r="O265" i="7"/>
  <c r="P265" i="7"/>
  <c r="Q265" i="7"/>
  <c r="G266" i="7"/>
  <c r="H266" i="7"/>
  <c r="I266" i="7"/>
  <c r="J266" i="7"/>
  <c r="K266" i="7"/>
  <c r="L266" i="7"/>
  <c r="M266" i="7"/>
  <c r="N266" i="7"/>
  <c r="O266" i="7"/>
  <c r="P266" i="7"/>
  <c r="Q266" i="7"/>
  <c r="G267" i="7"/>
  <c r="H267" i="7"/>
  <c r="I267" i="7"/>
  <c r="J267" i="7"/>
  <c r="K267" i="7"/>
  <c r="L267" i="7"/>
  <c r="M267" i="7"/>
  <c r="N267" i="7"/>
  <c r="O267" i="7"/>
  <c r="P267" i="7"/>
  <c r="Q267" i="7"/>
  <c r="Q268" i="7"/>
  <c r="G269" i="7"/>
  <c r="G274" i="7" s="1"/>
  <c r="H269" i="7"/>
  <c r="H274" i="7" s="1"/>
  <c r="I269" i="7"/>
  <c r="I274" i="7" s="1"/>
  <c r="J269" i="7"/>
  <c r="K269" i="7"/>
  <c r="L269" i="7"/>
  <c r="M269" i="7"/>
  <c r="N269" i="7"/>
  <c r="O269" i="7"/>
  <c r="P269" i="7"/>
  <c r="Q269" i="7"/>
  <c r="G270" i="7"/>
  <c r="H270" i="7"/>
  <c r="I270" i="7"/>
  <c r="J270" i="7"/>
  <c r="J274" i="7" s="1"/>
  <c r="K270" i="7"/>
  <c r="K274" i="7" s="1"/>
  <c r="L270" i="7"/>
  <c r="L274" i="7" s="1"/>
  <c r="M270" i="7"/>
  <c r="M274" i="7" s="1"/>
  <c r="N270" i="7"/>
  <c r="N274" i="7" s="1"/>
  <c r="O270" i="7"/>
  <c r="P270" i="7"/>
  <c r="Q270" i="7"/>
  <c r="G271" i="7"/>
  <c r="H271" i="7"/>
  <c r="I271" i="7"/>
  <c r="J271" i="7"/>
  <c r="K271" i="7"/>
  <c r="L271" i="7"/>
  <c r="M271" i="7"/>
  <c r="N271" i="7"/>
  <c r="O271" i="7"/>
  <c r="P271" i="7"/>
  <c r="P274" i="7" s="1"/>
  <c r="Q271" i="7"/>
  <c r="G272" i="7"/>
  <c r="H272" i="7"/>
  <c r="I272" i="7"/>
  <c r="J272" i="7"/>
  <c r="K272" i="7"/>
  <c r="L272" i="7"/>
  <c r="M272" i="7"/>
  <c r="N272" i="7"/>
  <c r="O272" i="7"/>
  <c r="P272" i="7"/>
  <c r="Q272" i="7"/>
  <c r="G273" i="7"/>
  <c r="H273" i="7"/>
  <c r="I273" i="7"/>
  <c r="J273" i="7"/>
  <c r="K273" i="7"/>
  <c r="L273" i="7"/>
  <c r="M273" i="7"/>
  <c r="N273" i="7"/>
  <c r="O273" i="7"/>
  <c r="P273" i="7"/>
  <c r="Q273" i="7"/>
  <c r="O274" i="7"/>
  <c r="Q274" i="7"/>
  <c r="G275" i="7"/>
  <c r="G280" i="7" s="1"/>
  <c r="H275" i="7"/>
  <c r="I275" i="7"/>
  <c r="J275" i="7"/>
  <c r="K275" i="7"/>
  <c r="L275" i="7"/>
  <c r="M275" i="7"/>
  <c r="N275" i="7"/>
  <c r="O275" i="7"/>
  <c r="P275" i="7"/>
  <c r="Q275" i="7"/>
  <c r="Q280" i="7" s="1"/>
  <c r="G276" i="7"/>
  <c r="H276" i="7"/>
  <c r="H280" i="7" s="1"/>
  <c r="I276" i="7"/>
  <c r="I280" i="7" s="1"/>
  <c r="J276" i="7"/>
  <c r="J280" i="7" s="1"/>
  <c r="K276" i="7"/>
  <c r="K280" i="7" s="1"/>
  <c r="L276" i="7"/>
  <c r="L280" i="7" s="1"/>
  <c r="M276" i="7"/>
  <c r="N276" i="7"/>
  <c r="O276" i="7"/>
  <c r="P276" i="7"/>
  <c r="Q276" i="7"/>
  <c r="G277" i="7"/>
  <c r="H277" i="7"/>
  <c r="I277" i="7"/>
  <c r="J277" i="7"/>
  <c r="K277" i="7"/>
  <c r="L277" i="7"/>
  <c r="M277" i="7"/>
  <c r="N277" i="7"/>
  <c r="N280" i="7" s="1"/>
  <c r="O277" i="7"/>
  <c r="P277" i="7"/>
  <c r="P280" i="7" s="1"/>
  <c r="Q277" i="7"/>
  <c r="G278" i="7"/>
  <c r="H278" i="7"/>
  <c r="I278" i="7"/>
  <c r="J278" i="7"/>
  <c r="K278" i="7"/>
  <c r="L278" i="7"/>
  <c r="M278" i="7"/>
  <c r="N278" i="7"/>
  <c r="O278" i="7"/>
  <c r="P278" i="7"/>
  <c r="Q278" i="7"/>
  <c r="G279" i="7"/>
  <c r="H279" i="7"/>
  <c r="I279" i="7"/>
  <c r="J279" i="7"/>
  <c r="K279" i="7"/>
  <c r="L279" i="7"/>
  <c r="M279" i="7"/>
  <c r="N279" i="7"/>
  <c r="O279" i="7"/>
  <c r="P279" i="7"/>
  <c r="Q279" i="7"/>
  <c r="M280" i="7"/>
  <c r="O280" i="7"/>
  <c r="G281" i="7"/>
  <c r="H281" i="7"/>
  <c r="I281" i="7"/>
  <c r="J281" i="7"/>
  <c r="K281" i="7"/>
  <c r="L281" i="7"/>
  <c r="M281" i="7"/>
  <c r="N281" i="7"/>
  <c r="O281" i="7"/>
  <c r="O286" i="7" s="1"/>
  <c r="P281" i="7"/>
  <c r="P286" i="7" s="1"/>
  <c r="Q281" i="7"/>
  <c r="Q286" i="7" s="1"/>
  <c r="G282" i="7"/>
  <c r="G286" i="7" s="1"/>
  <c r="H282" i="7"/>
  <c r="H286" i="7" s="1"/>
  <c r="I282" i="7"/>
  <c r="I286" i="7" s="1"/>
  <c r="J282" i="7"/>
  <c r="J286" i="7" s="1"/>
  <c r="K282" i="7"/>
  <c r="L282" i="7"/>
  <c r="M282" i="7"/>
  <c r="N282" i="7"/>
  <c r="O282" i="7"/>
  <c r="P282" i="7"/>
  <c r="Q282" i="7"/>
  <c r="G283" i="7"/>
  <c r="H283" i="7"/>
  <c r="I283" i="7"/>
  <c r="J283" i="7"/>
  <c r="K283" i="7"/>
  <c r="L283" i="7"/>
  <c r="L286" i="7" s="1"/>
  <c r="M283" i="7"/>
  <c r="N283" i="7"/>
  <c r="N286" i="7" s="1"/>
  <c r="O283" i="7"/>
  <c r="P283" i="7"/>
  <c r="Q283" i="7"/>
  <c r="G284" i="7"/>
  <c r="H284" i="7"/>
  <c r="I284" i="7"/>
  <c r="J284" i="7"/>
  <c r="K284" i="7"/>
  <c r="L284" i="7"/>
  <c r="M284" i="7"/>
  <c r="N284" i="7"/>
  <c r="O284" i="7"/>
  <c r="P284" i="7"/>
  <c r="Q284" i="7"/>
  <c r="G285" i="7"/>
  <c r="H285" i="7"/>
  <c r="I285" i="7"/>
  <c r="J285" i="7"/>
  <c r="K285" i="7"/>
  <c r="L285" i="7"/>
  <c r="M285" i="7"/>
  <c r="N285" i="7"/>
  <c r="O285" i="7"/>
  <c r="P285" i="7"/>
  <c r="Q285" i="7"/>
  <c r="K286" i="7"/>
  <c r="M286" i="7"/>
  <c r="G287" i="7"/>
  <c r="G292" i="7" s="1"/>
  <c r="H287" i="7"/>
  <c r="I287" i="7"/>
  <c r="I292" i="7" s="1"/>
  <c r="J287" i="7"/>
  <c r="K287" i="7"/>
  <c r="K292" i="7" s="1"/>
  <c r="L287" i="7"/>
  <c r="L292" i="7" s="1"/>
  <c r="M287" i="7"/>
  <c r="M292" i="7" s="1"/>
  <c r="N287" i="7"/>
  <c r="N292" i="7" s="1"/>
  <c r="O287" i="7"/>
  <c r="O292" i="7" s="1"/>
  <c r="P287" i="7"/>
  <c r="P292" i="7" s="1"/>
  <c r="Q287" i="7"/>
  <c r="Q292" i="7" s="1"/>
  <c r="G288" i="7"/>
  <c r="H288" i="7"/>
  <c r="I288" i="7"/>
  <c r="J288" i="7"/>
  <c r="K288" i="7"/>
  <c r="L288" i="7"/>
  <c r="M288" i="7"/>
  <c r="N288" i="7"/>
  <c r="O288" i="7"/>
  <c r="P288" i="7"/>
  <c r="Q288" i="7"/>
  <c r="G289" i="7"/>
  <c r="H289" i="7"/>
  <c r="I289" i="7"/>
  <c r="J289" i="7"/>
  <c r="J292" i="7" s="1"/>
  <c r="K289" i="7"/>
  <c r="L289" i="7"/>
  <c r="M289" i="7"/>
  <c r="N289" i="7"/>
  <c r="O289" i="7"/>
  <c r="P289" i="7"/>
  <c r="Q289" i="7"/>
  <c r="G290" i="7"/>
  <c r="H290" i="7"/>
  <c r="I290" i="7"/>
  <c r="J290" i="7"/>
  <c r="K290" i="7"/>
  <c r="L290" i="7"/>
  <c r="M290" i="7"/>
  <c r="N290" i="7"/>
  <c r="O290" i="7"/>
  <c r="P290" i="7"/>
  <c r="Q290" i="7"/>
  <c r="G135" i="7"/>
  <c r="H135" i="7"/>
  <c r="I135" i="7"/>
  <c r="J135" i="7"/>
  <c r="K135" i="7"/>
  <c r="L135" i="7"/>
  <c r="M135" i="7"/>
  <c r="N135" i="7"/>
  <c r="O135" i="7"/>
  <c r="P135" i="7"/>
  <c r="Q135" i="7"/>
  <c r="I136" i="7"/>
  <c r="K136" i="7"/>
  <c r="G137" i="7"/>
  <c r="H137" i="7"/>
  <c r="I137" i="7"/>
  <c r="J137" i="7"/>
  <c r="K137" i="7"/>
  <c r="K142" i="7" s="1"/>
  <c r="L137" i="7"/>
  <c r="L142" i="7" s="1"/>
  <c r="M137" i="7"/>
  <c r="M142" i="7" s="1"/>
  <c r="N137" i="7"/>
  <c r="N142" i="7" s="1"/>
  <c r="O137" i="7"/>
  <c r="O142" i="7" s="1"/>
  <c r="P137" i="7"/>
  <c r="P142" i="7" s="1"/>
  <c r="Q137" i="7"/>
  <c r="Q142" i="7" s="1"/>
  <c r="G138" i="7"/>
  <c r="H138" i="7"/>
  <c r="I138" i="7"/>
  <c r="J138" i="7"/>
  <c r="K138" i="7"/>
  <c r="L138" i="7"/>
  <c r="M138" i="7"/>
  <c r="N138" i="7"/>
  <c r="O138" i="7"/>
  <c r="P138" i="7"/>
  <c r="Q138" i="7"/>
  <c r="G139" i="7"/>
  <c r="H139" i="7"/>
  <c r="H142" i="7" s="1"/>
  <c r="I139" i="7"/>
  <c r="J139" i="7"/>
  <c r="J142" i="7" s="1"/>
  <c r="K139" i="7"/>
  <c r="L139" i="7"/>
  <c r="M139" i="7"/>
  <c r="N139" i="7"/>
  <c r="O139" i="7"/>
  <c r="P139" i="7"/>
  <c r="Q139" i="7"/>
  <c r="G140" i="7"/>
  <c r="H140" i="7"/>
  <c r="I140" i="7"/>
  <c r="J140" i="7"/>
  <c r="K140" i="7"/>
  <c r="L140" i="7"/>
  <c r="M140" i="7"/>
  <c r="N140" i="7"/>
  <c r="O140" i="7"/>
  <c r="P140" i="7"/>
  <c r="Q140" i="7"/>
  <c r="G141" i="7"/>
  <c r="H141" i="7"/>
  <c r="I141" i="7"/>
  <c r="J141" i="7"/>
  <c r="K141" i="7"/>
  <c r="L141" i="7"/>
  <c r="M141" i="7"/>
  <c r="N141" i="7"/>
  <c r="O141" i="7"/>
  <c r="P141" i="7"/>
  <c r="Q141" i="7"/>
  <c r="G142" i="7"/>
  <c r="I142" i="7"/>
  <c r="G143" i="7"/>
  <c r="H143" i="7"/>
  <c r="I143" i="7"/>
  <c r="I148" i="7" s="1"/>
  <c r="J143" i="7"/>
  <c r="J148" i="7" s="1"/>
  <c r="K143" i="7"/>
  <c r="K148" i="7" s="1"/>
  <c r="L143" i="7"/>
  <c r="L148" i="7" s="1"/>
  <c r="M143" i="7"/>
  <c r="M148" i="7" s="1"/>
  <c r="N143" i="7"/>
  <c r="N148" i="7" s="1"/>
  <c r="O143" i="7"/>
  <c r="O148" i="7" s="1"/>
  <c r="P143" i="7"/>
  <c r="Q143" i="7"/>
  <c r="G144" i="7"/>
  <c r="H144" i="7"/>
  <c r="I144" i="7"/>
  <c r="J144" i="7"/>
  <c r="K144" i="7"/>
  <c r="L144" i="7"/>
  <c r="M144" i="7"/>
  <c r="N144" i="7"/>
  <c r="O144" i="7"/>
  <c r="P144" i="7"/>
  <c r="P148" i="7" s="1"/>
  <c r="Q144" i="7"/>
  <c r="Q148" i="7" s="1"/>
  <c r="G145" i="7"/>
  <c r="H145" i="7"/>
  <c r="H148" i="7" s="1"/>
  <c r="I145" i="7"/>
  <c r="J145" i="7"/>
  <c r="K145" i="7"/>
  <c r="L145" i="7"/>
  <c r="M145" i="7"/>
  <c r="N145" i="7"/>
  <c r="O145" i="7"/>
  <c r="P145" i="7"/>
  <c r="Q145" i="7"/>
  <c r="G146" i="7"/>
  <c r="H146" i="7"/>
  <c r="I146" i="7"/>
  <c r="J146" i="7"/>
  <c r="K146" i="7"/>
  <c r="L146" i="7"/>
  <c r="M146" i="7"/>
  <c r="N146" i="7"/>
  <c r="O146" i="7"/>
  <c r="P146" i="7"/>
  <c r="Q146" i="7"/>
  <c r="G147" i="7"/>
  <c r="H147" i="7"/>
  <c r="I147" i="7"/>
  <c r="J147" i="7"/>
  <c r="K147" i="7"/>
  <c r="L147" i="7"/>
  <c r="M147" i="7"/>
  <c r="N147" i="7"/>
  <c r="O147" i="7"/>
  <c r="P147" i="7"/>
  <c r="Q147" i="7"/>
  <c r="G148" i="7"/>
  <c r="G149" i="7"/>
  <c r="G154" i="7" s="1"/>
  <c r="H149" i="7"/>
  <c r="H154" i="7" s="1"/>
  <c r="I149" i="7"/>
  <c r="I154" i="7" s="1"/>
  <c r="J149" i="7"/>
  <c r="J154" i="7" s="1"/>
  <c r="K149" i="7"/>
  <c r="K154" i="7" s="1"/>
  <c r="L149" i="7"/>
  <c r="L154" i="7" s="1"/>
  <c r="M149" i="7"/>
  <c r="M154" i="7" s="1"/>
  <c r="N149" i="7"/>
  <c r="O149" i="7"/>
  <c r="P149" i="7"/>
  <c r="Q149" i="7"/>
  <c r="G150" i="7"/>
  <c r="H150" i="7"/>
  <c r="I150" i="7"/>
  <c r="J150" i="7"/>
  <c r="K150" i="7"/>
  <c r="L150" i="7"/>
  <c r="M150" i="7"/>
  <c r="N150" i="7"/>
  <c r="N154" i="7" s="1"/>
  <c r="O150" i="7"/>
  <c r="O154" i="7" s="1"/>
  <c r="P150" i="7"/>
  <c r="P154" i="7" s="1"/>
  <c r="Q150" i="7"/>
  <c r="Q154" i="7" s="1"/>
  <c r="G151" i="7"/>
  <c r="H151" i="7"/>
  <c r="I151" i="7"/>
  <c r="J151" i="7"/>
  <c r="K151" i="7"/>
  <c r="L151" i="7"/>
  <c r="M151" i="7"/>
  <c r="N151" i="7"/>
  <c r="O151" i="7"/>
  <c r="P151" i="7"/>
  <c r="Q151" i="7"/>
  <c r="G152" i="7"/>
  <c r="H152" i="7"/>
  <c r="I152" i="7"/>
  <c r="J152" i="7"/>
  <c r="K152" i="7"/>
  <c r="L152" i="7"/>
  <c r="M152" i="7"/>
  <c r="N152" i="7"/>
  <c r="O152" i="7"/>
  <c r="P152" i="7"/>
  <c r="Q152" i="7"/>
  <c r="G153" i="7"/>
  <c r="H153" i="7"/>
  <c r="I153" i="7"/>
  <c r="J153" i="7"/>
  <c r="K153" i="7"/>
  <c r="L153" i="7"/>
  <c r="M153" i="7"/>
  <c r="N153" i="7"/>
  <c r="O153" i="7"/>
  <c r="P153" i="7"/>
  <c r="Q153" i="7"/>
  <c r="G155" i="7"/>
  <c r="G160" i="7" s="1"/>
  <c r="H155" i="7"/>
  <c r="H160" i="7" s="1"/>
  <c r="I155" i="7"/>
  <c r="I160" i="7" s="1"/>
  <c r="J155" i="7"/>
  <c r="J160" i="7" s="1"/>
  <c r="K155" i="7"/>
  <c r="K160" i="7" s="1"/>
  <c r="L155" i="7"/>
  <c r="M155" i="7"/>
  <c r="N155" i="7"/>
  <c r="O155" i="7"/>
  <c r="P155" i="7"/>
  <c r="Q155" i="7"/>
  <c r="G156" i="7"/>
  <c r="H156" i="7"/>
  <c r="I156" i="7"/>
  <c r="J156" i="7"/>
  <c r="K156" i="7"/>
  <c r="L156" i="7"/>
  <c r="L160" i="7" s="1"/>
  <c r="M156" i="7"/>
  <c r="M160" i="7" s="1"/>
  <c r="N156" i="7"/>
  <c r="N160" i="7" s="1"/>
  <c r="O156" i="7"/>
  <c r="O160" i="7" s="1"/>
  <c r="P156" i="7"/>
  <c r="P160" i="7" s="1"/>
  <c r="Q156" i="7"/>
  <c r="G157" i="7"/>
  <c r="H157" i="7"/>
  <c r="I157" i="7"/>
  <c r="J157" i="7"/>
  <c r="K157" i="7"/>
  <c r="L157" i="7"/>
  <c r="M157" i="7"/>
  <c r="N157" i="7"/>
  <c r="O157" i="7"/>
  <c r="P157" i="7"/>
  <c r="Q157" i="7"/>
  <c r="G158" i="7"/>
  <c r="H158" i="7"/>
  <c r="I158" i="7"/>
  <c r="J158" i="7"/>
  <c r="K158" i="7"/>
  <c r="L158" i="7"/>
  <c r="M158" i="7"/>
  <c r="N158" i="7"/>
  <c r="O158" i="7"/>
  <c r="P158" i="7"/>
  <c r="Q158" i="7"/>
  <c r="G159" i="7"/>
  <c r="H159" i="7"/>
  <c r="I159" i="7"/>
  <c r="J159" i="7"/>
  <c r="K159" i="7"/>
  <c r="L159" i="7"/>
  <c r="M159" i="7"/>
  <c r="N159" i="7"/>
  <c r="O159" i="7"/>
  <c r="P159" i="7"/>
  <c r="Q159" i="7"/>
  <c r="Q160" i="7"/>
  <c r="G161" i="7"/>
  <c r="G166" i="7" s="1"/>
  <c r="H161" i="7"/>
  <c r="H166" i="7" s="1"/>
  <c r="I161" i="7"/>
  <c r="I166" i="7" s="1"/>
  <c r="J161" i="7"/>
  <c r="K161" i="7"/>
  <c r="L161" i="7"/>
  <c r="M161" i="7"/>
  <c r="N161" i="7"/>
  <c r="O161" i="7"/>
  <c r="P161" i="7"/>
  <c r="Q161" i="7"/>
  <c r="G162" i="7"/>
  <c r="H162" i="7"/>
  <c r="I162" i="7"/>
  <c r="J162" i="7"/>
  <c r="J166" i="7" s="1"/>
  <c r="K162" i="7"/>
  <c r="K166" i="7" s="1"/>
  <c r="L162" i="7"/>
  <c r="L166" i="7" s="1"/>
  <c r="M162" i="7"/>
  <c r="M166" i="7" s="1"/>
  <c r="N162" i="7"/>
  <c r="N166" i="7" s="1"/>
  <c r="O162" i="7"/>
  <c r="P162" i="7"/>
  <c r="Q162" i="7"/>
  <c r="G163" i="7"/>
  <c r="H163" i="7"/>
  <c r="I163" i="7"/>
  <c r="J163" i="7"/>
  <c r="K163" i="7"/>
  <c r="L163" i="7"/>
  <c r="M163" i="7"/>
  <c r="N163" i="7"/>
  <c r="O163" i="7"/>
  <c r="P163" i="7"/>
  <c r="P166" i="7" s="1"/>
  <c r="Q163" i="7"/>
  <c r="G164" i="7"/>
  <c r="H164" i="7"/>
  <c r="I164" i="7"/>
  <c r="J164" i="7"/>
  <c r="K164" i="7"/>
  <c r="L164" i="7"/>
  <c r="M164" i="7"/>
  <c r="N164" i="7"/>
  <c r="O164" i="7"/>
  <c r="P164" i="7"/>
  <c r="Q164" i="7"/>
  <c r="G165" i="7"/>
  <c r="H165" i="7"/>
  <c r="I165" i="7"/>
  <c r="J165" i="7"/>
  <c r="K165" i="7"/>
  <c r="L165" i="7"/>
  <c r="M165" i="7"/>
  <c r="N165" i="7"/>
  <c r="O165" i="7"/>
  <c r="P165" i="7"/>
  <c r="Q165" i="7"/>
  <c r="O166" i="7"/>
  <c r="Q166" i="7"/>
  <c r="G167" i="7"/>
  <c r="G172" i="7" s="1"/>
  <c r="H167" i="7"/>
  <c r="I167" i="7"/>
  <c r="J167" i="7"/>
  <c r="K167" i="7"/>
  <c r="L167" i="7"/>
  <c r="M167" i="7"/>
  <c r="N167" i="7"/>
  <c r="O167" i="7"/>
  <c r="P167" i="7"/>
  <c r="Q167" i="7"/>
  <c r="G168" i="7"/>
  <c r="H168" i="7"/>
  <c r="H172" i="7" s="1"/>
  <c r="I168" i="7"/>
  <c r="I172" i="7" s="1"/>
  <c r="J168" i="7"/>
  <c r="J172" i="7" s="1"/>
  <c r="K168" i="7"/>
  <c r="K172" i="7" s="1"/>
  <c r="L168" i="7"/>
  <c r="L172" i="7" s="1"/>
  <c r="M168" i="7"/>
  <c r="N168" i="7"/>
  <c r="O168" i="7"/>
  <c r="P168" i="7"/>
  <c r="Q168" i="7"/>
  <c r="G169" i="7"/>
  <c r="H169" i="7"/>
  <c r="I169" i="7"/>
  <c r="J169" i="7"/>
  <c r="K169" i="7"/>
  <c r="L169" i="7"/>
  <c r="M169" i="7"/>
  <c r="N169" i="7"/>
  <c r="N172" i="7" s="1"/>
  <c r="O169" i="7"/>
  <c r="P169" i="7"/>
  <c r="P172" i="7" s="1"/>
  <c r="Q169" i="7"/>
  <c r="Q172" i="7" s="1"/>
  <c r="G170" i="7"/>
  <c r="H170" i="7"/>
  <c r="I170" i="7"/>
  <c r="J170" i="7"/>
  <c r="K170" i="7"/>
  <c r="L170" i="7"/>
  <c r="M170" i="7"/>
  <c r="N170" i="7"/>
  <c r="O170" i="7"/>
  <c r="P170" i="7"/>
  <c r="Q170" i="7"/>
  <c r="G171" i="7"/>
  <c r="H171" i="7"/>
  <c r="I171" i="7"/>
  <c r="J171" i="7"/>
  <c r="K171" i="7"/>
  <c r="L171" i="7"/>
  <c r="M171" i="7"/>
  <c r="N171" i="7"/>
  <c r="O171" i="7"/>
  <c r="P171" i="7"/>
  <c r="Q171" i="7"/>
  <c r="M172" i="7"/>
  <c r="O172" i="7"/>
  <c r="G173" i="7"/>
  <c r="H173" i="7"/>
  <c r="I173" i="7"/>
  <c r="J173" i="7"/>
  <c r="K173" i="7"/>
  <c r="L173" i="7"/>
  <c r="M173" i="7"/>
  <c r="N173" i="7"/>
  <c r="O173" i="7"/>
  <c r="P173" i="7"/>
  <c r="Q173" i="7"/>
  <c r="Q178" i="7" s="1"/>
  <c r="G174" i="7"/>
  <c r="G178" i="7" s="1"/>
  <c r="H174" i="7"/>
  <c r="H178" i="7" s="1"/>
  <c r="I174" i="7"/>
  <c r="I178" i="7" s="1"/>
  <c r="J174" i="7"/>
  <c r="J178" i="7" s="1"/>
  <c r="K174" i="7"/>
  <c r="L174" i="7"/>
  <c r="M174" i="7"/>
  <c r="N174" i="7"/>
  <c r="O174" i="7"/>
  <c r="P174" i="7"/>
  <c r="Q174" i="7"/>
  <c r="G175" i="7"/>
  <c r="H175" i="7"/>
  <c r="I175" i="7"/>
  <c r="J175" i="7"/>
  <c r="K175" i="7"/>
  <c r="L175" i="7"/>
  <c r="L178" i="7" s="1"/>
  <c r="M175" i="7"/>
  <c r="N175" i="7"/>
  <c r="N178" i="7" s="1"/>
  <c r="O175" i="7"/>
  <c r="O178" i="7" s="1"/>
  <c r="P175" i="7"/>
  <c r="Q175" i="7"/>
  <c r="G176" i="7"/>
  <c r="H176" i="7"/>
  <c r="I176" i="7"/>
  <c r="J176" i="7"/>
  <c r="K176" i="7"/>
  <c r="L176" i="7"/>
  <c r="M176" i="7"/>
  <c r="N176" i="7"/>
  <c r="O176" i="7"/>
  <c r="P176" i="7"/>
  <c r="P178" i="7" s="1"/>
  <c r="Q176" i="7"/>
  <c r="G177" i="7"/>
  <c r="H177" i="7"/>
  <c r="I177" i="7"/>
  <c r="J177" i="7"/>
  <c r="K177" i="7"/>
  <c r="L177" i="7"/>
  <c r="M177" i="7"/>
  <c r="N177" i="7"/>
  <c r="O177" i="7"/>
  <c r="P177" i="7"/>
  <c r="Q177" i="7"/>
  <c r="K178" i="7"/>
  <c r="M178" i="7"/>
  <c r="G179" i="7"/>
  <c r="H179" i="7"/>
  <c r="I179" i="7"/>
  <c r="J179" i="7"/>
  <c r="K179" i="7"/>
  <c r="L179" i="7"/>
  <c r="M179" i="7"/>
  <c r="N179" i="7"/>
  <c r="O179" i="7"/>
  <c r="P179" i="7"/>
  <c r="P184" i="7" s="1"/>
  <c r="Q179" i="7"/>
  <c r="Q184" i="7" s="1"/>
  <c r="G180" i="7"/>
  <c r="G184" i="7" s="1"/>
  <c r="H180" i="7"/>
  <c r="H184" i="7" s="1"/>
  <c r="I180" i="7"/>
  <c r="J180" i="7"/>
  <c r="K180" i="7"/>
  <c r="L180" i="7"/>
  <c r="M180" i="7"/>
  <c r="N180" i="7"/>
  <c r="O180" i="7"/>
  <c r="P180" i="7"/>
  <c r="Q180" i="7"/>
  <c r="G181" i="7"/>
  <c r="H181" i="7"/>
  <c r="I181" i="7"/>
  <c r="J181" i="7"/>
  <c r="J184" i="7" s="1"/>
  <c r="K181" i="7"/>
  <c r="L181" i="7"/>
  <c r="L184" i="7" s="1"/>
  <c r="M181" i="7"/>
  <c r="M184" i="7" s="1"/>
  <c r="N181" i="7"/>
  <c r="O181" i="7"/>
  <c r="P181" i="7"/>
  <c r="Q181" i="7"/>
  <c r="G182" i="7"/>
  <c r="H182" i="7"/>
  <c r="I182" i="7"/>
  <c r="J182" i="7"/>
  <c r="K182" i="7"/>
  <c r="L182" i="7"/>
  <c r="M182" i="7"/>
  <c r="N182" i="7"/>
  <c r="O182" i="7"/>
  <c r="O184" i="7" s="1"/>
  <c r="P182" i="7"/>
  <c r="Q182" i="7"/>
  <c r="G183" i="7"/>
  <c r="H183" i="7"/>
  <c r="I183" i="7"/>
  <c r="J183" i="7"/>
  <c r="K183" i="7"/>
  <c r="L183" i="7"/>
  <c r="M183" i="7"/>
  <c r="N183" i="7"/>
  <c r="O183" i="7"/>
  <c r="P183" i="7"/>
  <c r="Q183" i="7"/>
  <c r="I184" i="7"/>
  <c r="K184" i="7"/>
  <c r="N184" i="7"/>
  <c r="G185" i="7"/>
  <c r="H185" i="7"/>
  <c r="I185" i="7"/>
  <c r="J185" i="7"/>
  <c r="K185" i="7"/>
  <c r="L185" i="7"/>
  <c r="M185" i="7"/>
  <c r="N185" i="7"/>
  <c r="N190" i="7" s="1"/>
  <c r="O185" i="7"/>
  <c r="O190" i="7" s="1"/>
  <c r="P185" i="7"/>
  <c r="P190" i="7" s="1"/>
  <c r="Q185" i="7"/>
  <c r="Q190" i="7" s="1"/>
  <c r="G186" i="7"/>
  <c r="H186" i="7"/>
  <c r="I186" i="7"/>
  <c r="J186" i="7"/>
  <c r="K186" i="7"/>
  <c r="L186" i="7"/>
  <c r="M186" i="7"/>
  <c r="N186" i="7"/>
  <c r="O186" i="7"/>
  <c r="P186" i="7"/>
  <c r="Q186" i="7"/>
  <c r="G187" i="7"/>
  <c r="H187" i="7"/>
  <c r="H190" i="7" s="1"/>
  <c r="I187" i="7"/>
  <c r="J187" i="7"/>
  <c r="J190" i="7" s="1"/>
  <c r="K187" i="7"/>
  <c r="K190" i="7" s="1"/>
  <c r="L187" i="7"/>
  <c r="M187" i="7"/>
  <c r="N187" i="7"/>
  <c r="O187" i="7"/>
  <c r="P187" i="7"/>
  <c r="Q187" i="7"/>
  <c r="G188" i="7"/>
  <c r="H188" i="7"/>
  <c r="I188" i="7"/>
  <c r="J188" i="7"/>
  <c r="K188" i="7"/>
  <c r="L188" i="7"/>
  <c r="M188" i="7"/>
  <c r="M190" i="7" s="1"/>
  <c r="N188" i="7"/>
  <c r="O188" i="7"/>
  <c r="P188" i="7"/>
  <c r="Q188" i="7"/>
  <c r="G189" i="7"/>
  <c r="H189" i="7"/>
  <c r="I189" i="7"/>
  <c r="J189" i="7"/>
  <c r="K189" i="7"/>
  <c r="L189" i="7"/>
  <c r="M189" i="7"/>
  <c r="N189" i="7"/>
  <c r="O189" i="7"/>
  <c r="P189" i="7"/>
  <c r="Q189" i="7"/>
  <c r="G190" i="7"/>
  <c r="I190" i="7"/>
  <c r="L190" i="7"/>
  <c r="G191" i="7"/>
  <c r="H191" i="7"/>
  <c r="I191" i="7"/>
  <c r="J191" i="7"/>
  <c r="K191" i="7"/>
  <c r="L191" i="7"/>
  <c r="L196" i="7" s="1"/>
  <c r="M191" i="7"/>
  <c r="M196" i="7" s="1"/>
  <c r="N191" i="7"/>
  <c r="N196" i="7" s="1"/>
  <c r="O191" i="7"/>
  <c r="O196" i="7" s="1"/>
  <c r="P191" i="7"/>
  <c r="P196" i="7" s="1"/>
  <c r="Q191" i="7"/>
  <c r="G192" i="7"/>
  <c r="H192" i="7"/>
  <c r="I192" i="7"/>
  <c r="J192" i="7"/>
  <c r="K192" i="7"/>
  <c r="L192" i="7"/>
  <c r="M192" i="7"/>
  <c r="N192" i="7"/>
  <c r="O192" i="7"/>
  <c r="P192" i="7"/>
  <c r="Q192" i="7"/>
  <c r="Q196" i="7" s="1"/>
  <c r="G193" i="7"/>
  <c r="H193" i="7"/>
  <c r="H196" i="7" s="1"/>
  <c r="I193" i="7"/>
  <c r="I196" i="7" s="1"/>
  <c r="J193" i="7"/>
  <c r="K193" i="7"/>
  <c r="L193" i="7"/>
  <c r="M193" i="7"/>
  <c r="N193" i="7"/>
  <c r="O193" i="7"/>
  <c r="P193" i="7"/>
  <c r="Q193" i="7"/>
  <c r="G194" i="7"/>
  <c r="H194" i="7"/>
  <c r="I194" i="7"/>
  <c r="J194" i="7"/>
  <c r="K194" i="7"/>
  <c r="K196" i="7" s="1"/>
  <c r="L194" i="7"/>
  <c r="M194" i="7"/>
  <c r="N194" i="7"/>
  <c r="O194" i="7"/>
  <c r="P194" i="7"/>
  <c r="Q194" i="7"/>
  <c r="G195" i="7"/>
  <c r="H195" i="7"/>
  <c r="I195" i="7"/>
  <c r="J195" i="7"/>
  <c r="K195" i="7"/>
  <c r="L195" i="7"/>
  <c r="M195" i="7"/>
  <c r="N195" i="7"/>
  <c r="O195" i="7"/>
  <c r="P195" i="7"/>
  <c r="Q195" i="7"/>
  <c r="G196" i="7"/>
  <c r="J196" i="7"/>
  <c r="G197" i="7"/>
  <c r="H197" i="7"/>
  <c r="I197" i="7"/>
  <c r="J197" i="7"/>
  <c r="J202" i="7" s="1"/>
  <c r="K197" i="7"/>
  <c r="K202" i="7" s="1"/>
  <c r="L197" i="7"/>
  <c r="L202" i="7" s="1"/>
  <c r="M197" i="7"/>
  <c r="M202" i="7" s="1"/>
  <c r="N197" i="7"/>
  <c r="O197" i="7"/>
  <c r="P197" i="7"/>
  <c r="Q197" i="7"/>
  <c r="G198" i="7"/>
  <c r="H198" i="7"/>
  <c r="I198" i="7"/>
  <c r="J198" i="7"/>
  <c r="K198" i="7"/>
  <c r="L198" i="7"/>
  <c r="M198" i="7"/>
  <c r="N198" i="7"/>
  <c r="O198" i="7"/>
  <c r="O202" i="7" s="1"/>
  <c r="P198" i="7"/>
  <c r="P202" i="7" s="1"/>
  <c r="Q198" i="7"/>
  <c r="Q202" i="7" s="1"/>
  <c r="G199" i="7"/>
  <c r="G202" i="7" s="1"/>
  <c r="H199" i="7"/>
  <c r="I199" i="7"/>
  <c r="J199" i="7"/>
  <c r="K199" i="7"/>
  <c r="L199" i="7"/>
  <c r="M199" i="7"/>
  <c r="N199" i="7"/>
  <c r="O199" i="7"/>
  <c r="P199" i="7"/>
  <c r="Q199" i="7"/>
  <c r="G200" i="7"/>
  <c r="H200" i="7"/>
  <c r="I200" i="7"/>
  <c r="I202" i="7" s="1"/>
  <c r="J200" i="7"/>
  <c r="K200" i="7"/>
  <c r="L200" i="7"/>
  <c r="M200" i="7"/>
  <c r="N200" i="7"/>
  <c r="N202" i="7" s="1"/>
  <c r="O200" i="7"/>
  <c r="P200" i="7"/>
  <c r="Q200" i="7"/>
  <c r="G201" i="7"/>
  <c r="H201" i="7"/>
  <c r="I201" i="7"/>
  <c r="J201" i="7"/>
  <c r="K201" i="7"/>
  <c r="L201" i="7"/>
  <c r="M201" i="7"/>
  <c r="N201" i="7"/>
  <c r="O201" i="7"/>
  <c r="P201" i="7"/>
  <c r="Q201" i="7"/>
  <c r="H202" i="7"/>
  <c r="G47" i="7"/>
  <c r="H47" i="7"/>
  <c r="H52" i="7" s="1"/>
  <c r="I47" i="7"/>
  <c r="I52" i="7" s="1"/>
  <c r="J47" i="7"/>
  <c r="J52" i="7" s="1"/>
  <c r="K47" i="7"/>
  <c r="K52" i="7" s="1"/>
  <c r="L47" i="7"/>
  <c r="M47" i="7"/>
  <c r="N47" i="7"/>
  <c r="O47" i="7"/>
  <c r="P47" i="7"/>
  <c r="Q47" i="7"/>
  <c r="G48" i="7"/>
  <c r="H48" i="7"/>
  <c r="I48" i="7"/>
  <c r="J48" i="7"/>
  <c r="K48" i="7"/>
  <c r="L48" i="7"/>
  <c r="M48" i="7"/>
  <c r="M52" i="7" s="1"/>
  <c r="N48" i="7"/>
  <c r="N52" i="7" s="1"/>
  <c r="O48" i="7"/>
  <c r="O52" i="7" s="1"/>
  <c r="P48" i="7"/>
  <c r="P52" i="7" s="1"/>
  <c r="Q48" i="7"/>
  <c r="G49" i="7"/>
  <c r="H49" i="7"/>
  <c r="I49" i="7"/>
  <c r="J49" i="7"/>
  <c r="K49" i="7"/>
  <c r="L49" i="7"/>
  <c r="M49" i="7"/>
  <c r="N49" i="7"/>
  <c r="O49" i="7"/>
  <c r="P49" i="7"/>
  <c r="Q49" i="7"/>
  <c r="G50" i="7"/>
  <c r="G52" i="7" s="1"/>
  <c r="H50" i="7"/>
  <c r="I50" i="7"/>
  <c r="J50" i="7"/>
  <c r="K50" i="7"/>
  <c r="L50" i="7"/>
  <c r="M50" i="7"/>
  <c r="N50" i="7"/>
  <c r="O50" i="7"/>
  <c r="P50" i="7"/>
  <c r="Q50" i="7"/>
  <c r="G51" i="7"/>
  <c r="H51" i="7"/>
  <c r="I51" i="7"/>
  <c r="J51" i="7"/>
  <c r="K51" i="7"/>
  <c r="L51" i="7"/>
  <c r="L52" i="7" s="1"/>
  <c r="M51" i="7"/>
  <c r="N51" i="7"/>
  <c r="O51" i="7"/>
  <c r="P51" i="7"/>
  <c r="Q51" i="7"/>
  <c r="Q52" i="7"/>
  <c r="G53" i="7"/>
  <c r="G58" i="7" s="1"/>
  <c r="H53" i="7"/>
  <c r="H58" i="7" s="1"/>
  <c r="I53" i="7"/>
  <c r="I58" i="7" s="1"/>
  <c r="J53" i="7"/>
  <c r="K53" i="7"/>
  <c r="L53" i="7"/>
  <c r="M53" i="7"/>
  <c r="N53" i="7"/>
  <c r="O53" i="7"/>
  <c r="P53" i="7"/>
  <c r="Q53" i="7"/>
  <c r="G54" i="7"/>
  <c r="H54" i="7"/>
  <c r="I54" i="7"/>
  <c r="J54" i="7"/>
  <c r="K54" i="7"/>
  <c r="K58" i="7" s="1"/>
  <c r="L54" i="7"/>
  <c r="L58" i="7" s="1"/>
  <c r="M54" i="7"/>
  <c r="M58" i="7" s="1"/>
  <c r="N54" i="7"/>
  <c r="N58" i="7" s="1"/>
  <c r="O54" i="7"/>
  <c r="P54" i="7"/>
  <c r="Q54" i="7"/>
  <c r="G55" i="7"/>
  <c r="H55" i="7"/>
  <c r="I55" i="7"/>
  <c r="J55" i="7"/>
  <c r="K55" i="7"/>
  <c r="L55" i="7"/>
  <c r="M55" i="7"/>
  <c r="N55" i="7"/>
  <c r="O55" i="7"/>
  <c r="P55" i="7"/>
  <c r="P58" i="7" s="1"/>
  <c r="Q55" i="7"/>
  <c r="G56" i="7"/>
  <c r="H56" i="7"/>
  <c r="I56" i="7"/>
  <c r="J56" i="7"/>
  <c r="K56" i="7"/>
  <c r="L56" i="7"/>
  <c r="M56" i="7"/>
  <c r="N56" i="7"/>
  <c r="O56" i="7"/>
  <c r="P56" i="7"/>
  <c r="Q56" i="7"/>
  <c r="G57" i="7"/>
  <c r="H57" i="7"/>
  <c r="I57" i="7"/>
  <c r="J57" i="7"/>
  <c r="J58" i="7" s="1"/>
  <c r="K57" i="7"/>
  <c r="L57" i="7"/>
  <c r="M57" i="7"/>
  <c r="N57" i="7"/>
  <c r="O57" i="7"/>
  <c r="P57" i="7"/>
  <c r="Q57" i="7"/>
  <c r="O58" i="7"/>
  <c r="Q58" i="7"/>
  <c r="G59" i="7"/>
  <c r="G64" i="7" s="1"/>
  <c r="H59" i="7"/>
  <c r="I59" i="7"/>
  <c r="J59" i="7"/>
  <c r="J64" i="7" s="1"/>
  <c r="K59" i="7"/>
  <c r="L59" i="7"/>
  <c r="L64" i="7" s="1"/>
  <c r="M59" i="7"/>
  <c r="N59" i="7"/>
  <c r="O59" i="7"/>
  <c r="P59" i="7"/>
  <c r="Q59" i="7"/>
  <c r="G60" i="7"/>
  <c r="H60" i="7"/>
  <c r="I60" i="7"/>
  <c r="I64" i="7" s="1"/>
  <c r="J60" i="7"/>
  <c r="K60" i="7"/>
  <c r="K64" i="7" s="1"/>
  <c r="L60" i="7"/>
  <c r="M60" i="7"/>
  <c r="N60" i="7"/>
  <c r="O60" i="7"/>
  <c r="P60" i="7"/>
  <c r="Q60" i="7"/>
  <c r="G61" i="7"/>
  <c r="H61" i="7"/>
  <c r="I61" i="7"/>
  <c r="J61" i="7"/>
  <c r="K61" i="7"/>
  <c r="L61" i="7"/>
  <c r="M61" i="7"/>
  <c r="N61" i="7"/>
  <c r="N64" i="7" s="1"/>
  <c r="O61" i="7"/>
  <c r="P61" i="7"/>
  <c r="P64" i="7" s="1"/>
  <c r="Q61" i="7"/>
  <c r="Q64" i="7" s="1"/>
  <c r="G62" i="7"/>
  <c r="H62" i="7"/>
  <c r="H64" i="7" s="1"/>
  <c r="I62" i="7"/>
  <c r="J62" i="7"/>
  <c r="K62" i="7"/>
  <c r="L62" i="7"/>
  <c r="M62" i="7"/>
  <c r="N62" i="7"/>
  <c r="O62" i="7"/>
  <c r="P62" i="7"/>
  <c r="Q62" i="7"/>
  <c r="G63" i="7"/>
  <c r="H63" i="7"/>
  <c r="I63" i="7"/>
  <c r="J63" i="7"/>
  <c r="K63" i="7"/>
  <c r="L63" i="7"/>
  <c r="M63" i="7"/>
  <c r="N63" i="7"/>
  <c r="O63" i="7"/>
  <c r="P63" i="7"/>
  <c r="Q63" i="7"/>
  <c r="M64" i="7"/>
  <c r="O64" i="7"/>
  <c r="G65" i="7"/>
  <c r="H65" i="7"/>
  <c r="H70" i="7" s="1"/>
  <c r="I65" i="7"/>
  <c r="J65" i="7"/>
  <c r="J70" i="7" s="1"/>
  <c r="K65" i="7"/>
  <c r="L65" i="7"/>
  <c r="M65" i="7"/>
  <c r="N65" i="7"/>
  <c r="O65" i="7"/>
  <c r="P65" i="7"/>
  <c r="Q65" i="7"/>
  <c r="G66" i="7"/>
  <c r="G70" i="7" s="1"/>
  <c r="H66" i="7"/>
  <c r="I66" i="7"/>
  <c r="I70" i="7" s="1"/>
  <c r="J66" i="7"/>
  <c r="K66" i="7"/>
  <c r="L66" i="7"/>
  <c r="M66" i="7"/>
  <c r="N66" i="7"/>
  <c r="O66" i="7"/>
  <c r="P66" i="7"/>
  <c r="Q66" i="7"/>
  <c r="G67" i="7"/>
  <c r="H67" i="7"/>
  <c r="I67" i="7"/>
  <c r="J67" i="7"/>
  <c r="K67" i="7"/>
  <c r="L67" i="7"/>
  <c r="L70" i="7" s="1"/>
  <c r="M67" i="7"/>
  <c r="N67" i="7"/>
  <c r="N70" i="7" s="1"/>
  <c r="O67" i="7"/>
  <c r="O70" i="7" s="1"/>
  <c r="P67" i="7"/>
  <c r="Q67" i="7"/>
  <c r="G68" i="7"/>
  <c r="H68" i="7"/>
  <c r="I68" i="7"/>
  <c r="J68" i="7"/>
  <c r="K68" i="7"/>
  <c r="L68" i="7"/>
  <c r="M68" i="7"/>
  <c r="N68" i="7"/>
  <c r="O68" i="7"/>
  <c r="P68" i="7"/>
  <c r="Q68" i="7"/>
  <c r="Q70" i="7" s="1"/>
  <c r="G69" i="7"/>
  <c r="H69" i="7"/>
  <c r="I69" i="7"/>
  <c r="J69" i="7"/>
  <c r="K69" i="7"/>
  <c r="L69" i="7"/>
  <c r="M69" i="7"/>
  <c r="N69" i="7"/>
  <c r="O69" i="7"/>
  <c r="P69" i="7"/>
  <c r="Q69" i="7"/>
  <c r="K70" i="7"/>
  <c r="M70" i="7"/>
  <c r="P70" i="7"/>
  <c r="G71" i="7"/>
  <c r="H71" i="7"/>
  <c r="I71" i="7"/>
  <c r="J71" i="7"/>
  <c r="K71" i="7"/>
  <c r="L71" i="7"/>
  <c r="M71" i="7"/>
  <c r="N71" i="7"/>
  <c r="O71" i="7"/>
  <c r="P71" i="7"/>
  <c r="P76" i="7" s="1"/>
  <c r="Q71" i="7"/>
  <c r="Q76" i="7" s="1"/>
  <c r="G72" i="7"/>
  <c r="G76" i="7" s="1"/>
  <c r="H72" i="7"/>
  <c r="H76" i="7" s="1"/>
  <c r="I72" i="7"/>
  <c r="J72" i="7"/>
  <c r="K72" i="7"/>
  <c r="L72" i="7"/>
  <c r="M72" i="7"/>
  <c r="N72" i="7"/>
  <c r="O72" i="7"/>
  <c r="P72" i="7"/>
  <c r="Q72" i="7"/>
  <c r="G73" i="7"/>
  <c r="H73" i="7"/>
  <c r="I73" i="7"/>
  <c r="J73" i="7"/>
  <c r="J76" i="7" s="1"/>
  <c r="K73" i="7"/>
  <c r="L73" i="7"/>
  <c r="L76" i="7" s="1"/>
  <c r="M73" i="7"/>
  <c r="M76" i="7" s="1"/>
  <c r="N73" i="7"/>
  <c r="O73" i="7"/>
  <c r="P73" i="7"/>
  <c r="Q73" i="7"/>
  <c r="G74" i="7"/>
  <c r="H74" i="7"/>
  <c r="I74" i="7"/>
  <c r="J74" i="7"/>
  <c r="K74" i="7"/>
  <c r="L74" i="7"/>
  <c r="M74" i="7"/>
  <c r="N74" i="7"/>
  <c r="O74" i="7"/>
  <c r="O76" i="7" s="1"/>
  <c r="P74" i="7"/>
  <c r="Q74" i="7"/>
  <c r="G75" i="7"/>
  <c r="H75" i="7"/>
  <c r="I75" i="7"/>
  <c r="J75" i="7"/>
  <c r="K75" i="7"/>
  <c r="L75" i="7"/>
  <c r="M75" i="7"/>
  <c r="N75" i="7"/>
  <c r="O75" i="7"/>
  <c r="P75" i="7"/>
  <c r="Q75" i="7"/>
  <c r="I76" i="7"/>
  <c r="K76" i="7"/>
  <c r="N76" i="7"/>
  <c r="G77" i="7"/>
  <c r="H77" i="7"/>
  <c r="I77" i="7"/>
  <c r="J77" i="7"/>
  <c r="K77" i="7"/>
  <c r="L77" i="7"/>
  <c r="M77" i="7"/>
  <c r="N77" i="7"/>
  <c r="N82" i="7" s="1"/>
  <c r="O77" i="7"/>
  <c r="O82" i="7" s="1"/>
  <c r="P77" i="7"/>
  <c r="P82" i="7" s="1"/>
  <c r="Q77" i="7"/>
  <c r="Q82" i="7" s="1"/>
  <c r="G78" i="7"/>
  <c r="H78" i="7"/>
  <c r="I78" i="7"/>
  <c r="J78" i="7"/>
  <c r="K78" i="7"/>
  <c r="L78" i="7"/>
  <c r="M78" i="7"/>
  <c r="N78" i="7"/>
  <c r="O78" i="7"/>
  <c r="P78" i="7"/>
  <c r="Q78" i="7"/>
  <c r="G79" i="7"/>
  <c r="H79" i="7"/>
  <c r="H82" i="7" s="1"/>
  <c r="I79" i="7"/>
  <c r="J79" i="7"/>
  <c r="J82" i="7" s="1"/>
  <c r="K79" i="7"/>
  <c r="K82" i="7" s="1"/>
  <c r="L79" i="7"/>
  <c r="M79" i="7"/>
  <c r="N79" i="7"/>
  <c r="O79" i="7"/>
  <c r="P79" i="7"/>
  <c r="Q79" i="7"/>
  <c r="G80" i="7"/>
  <c r="H80" i="7"/>
  <c r="I80" i="7"/>
  <c r="J80" i="7"/>
  <c r="K80" i="7"/>
  <c r="L80" i="7"/>
  <c r="M80" i="7"/>
  <c r="M82" i="7" s="1"/>
  <c r="N80" i="7"/>
  <c r="O80" i="7"/>
  <c r="P80" i="7"/>
  <c r="Q80" i="7"/>
  <c r="G81" i="7"/>
  <c r="H81" i="7"/>
  <c r="I81" i="7"/>
  <c r="J81" i="7"/>
  <c r="K81" i="7"/>
  <c r="L81" i="7"/>
  <c r="M81" i="7"/>
  <c r="N81" i="7"/>
  <c r="O81" i="7"/>
  <c r="P81" i="7"/>
  <c r="Q81" i="7"/>
  <c r="G82" i="7"/>
  <c r="I82" i="7"/>
  <c r="L82" i="7"/>
  <c r="G83" i="7"/>
  <c r="H83" i="7"/>
  <c r="I83" i="7"/>
  <c r="J83" i="7"/>
  <c r="K83" i="7"/>
  <c r="L83" i="7"/>
  <c r="L88" i="7" s="1"/>
  <c r="M83" i="7"/>
  <c r="M88" i="7" s="1"/>
  <c r="N83" i="7"/>
  <c r="N88" i="7" s="1"/>
  <c r="O83" i="7"/>
  <c r="O88" i="7" s="1"/>
  <c r="P83" i="7"/>
  <c r="Q83" i="7"/>
  <c r="G84" i="7"/>
  <c r="H84" i="7"/>
  <c r="I84" i="7"/>
  <c r="J84" i="7"/>
  <c r="K84" i="7"/>
  <c r="L84" i="7"/>
  <c r="M84" i="7"/>
  <c r="N84" i="7"/>
  <c r="O84" i="7"/>
  <c r="P84" i="7"/>
  <c r="Q84" i="7"/>
  <c r="Q88" i="7" s="1"/>
  <c r="G85" i="7"/>
  <c r="H85" i="7"/>
  <c r="H88" i="7" s="1"/>
  <c r="I85" i="7"/>
  <c r="I88" i="7" s="1"/>
  <c r="J85" i="7"/>
  <c r="K85" i="7"/>
  <c r="L85" i="7"/>
  <c r="M85" i="7"/>
  <c r="N85" i="7"/>
  <c r="O85" i="7"/>
  <c r="P85" i="7"/>
  <c r="Q85" i="7"/>
  <c r="G86" i="7"/>
  <c r="H86" i="7"/>
  <c r="I86" i="7"/>
  <c r="J86" i="7"/>
  <c r="K86" i="7"/>
  <c r="K88" i="7" s="1"/>
  <c r="L86" i="7"/>
  <c r="M86" i="7"/>
  <c r="N86" i="7"/>
  <c r="O86" i="7"/>
  <c r="P86" i="7"/>
  <c r="Q86" i="7"/>
  <c r="G87" i="7"/>
  <c r="H87" i="7"/>
  <c r="I87" i="7"/>
  <c r="J87" i="7"/>
  <c r="K87" i="7"/>
  <c r="L87" i="7"/>
  <c r="M87" i="7"/>
  <c r="N87" i="7"/>
  <c r="O87" i="7"/>
  <c r="P87" i="7"/>
  <c r="P88" i="7" s="1"/>
  <c r="Q87" i="7"/>
  <c r="G88" i="7"/>
  <c r="J88" i="7"/>
  <c r="G89" i="7"/>
  <c r="H89" i="7"/>
  <c r="I89" i="7"/>
  <c r="J89" i="7"/>
  <c r="J94" i="7" s="1"/>
  <c r="K89" i="7"/>
  <c r="K94" i="7" s="1"/>
  <c r="L89" i="7"/>
  <c r="L94" i="7" s="1"/>
  <c r="M89" i="7"/>
  <c r="M94" i="7" s="1"/>
  <c r="N89" i="7"/>
  <c r="O89" i="7"/>
  <c r="P89" i="7"/>
  <c r="Q89" i="7"/>
  <c r="G90" i="7"/>
  <c r="H90" i="7"/>
  <c r="I90" i="7"/>
  <c r="J90" i="7"/>
  <c r="K90" i="7"/>
  <c r="L90" i="7"/>
  <c r="M90" i="7"/>
  <c r="N90" i="7"/>
  <c r="O90" i="7"/>
  <c r="O94" i="7" s="1"/>
  <c r="P90" i="7"/>
  <c r="P94" i="7" s="1"/>
  <c r="Q90" i="7"/>
  <c r="Q94" i="7" s="1"/>
  <c r="G91" i="7"/>
  <c r="G94" i="7" s="1"/>
  <c r="H91" i="7"/>
  <c r="I91" i="7"/>
  <c r="J91" i="7"/>
  <c r="K91" i="7"/>
  <c r="L91" i="7"/>
  <c r="M91" i="7"/>
  <c r="N91" i="7"/>
  <c r="O91" i="7"/>
  <c r="P91" i="7"/>
  <c r="Q91" i="7"/>
  <c r="G92" i="7"/>
  <c r="H92" i="7"/>
  <c r="I92" i="7"/>
  <c r="I94" i="7" s="1"/>
  <c r="J92" i="7"/>
  <c r="K92" i="7"/>
  <c r="L92" i="7"/>
  <c r="M92" i="7"/>
  <c r="N92" i="7"/>
  <c r="N94" i="7" s="1"/>
  <c r="O92" i="7"/>
  <c r="P92" i="7"/>
  <c r="Q92" i="7"/>
  <c r="G93" i="7"/>
  <c r="H93" i="7"/>
  <c r="I93" i="7"/>
  <c r="J93" i="7"/>
  <c r="K93" i="7"/>
  <c r="L93" i="7"/>
  <c r="M93" i="7"/>
  <c r="N93" i="7"/>
  <c r="O93" i="7"/>
  <c r="P93" i="7"/>
  <c r="Q93" i="7"/>
  <c r="H94" i="7"/>
  <c r="G95" i="7"/>
  <c r="H95" i="7"/>
  <c r="H100" i="7" s="1"/>
  <c r="I95" i="7"/>
  <c r="I100" i="7" s="1"/>
  <c r="J95" i="7"/>
  <c r="J100" i="7" s="1"/>
  <c r="K95" i="7"/>
  <c r="K100" i="7" s="1"/>
  <c r="L95" i="7"/>
  <c r="M95" i="7"/>
  <c r="N95" i="7"/>
  <c r="O95" i="7"/>
  <c r="P95" i="7"/>
  <c r="P100" i="7" s="1"/>
  <c r="Q95" i="7"/>
  <c r="G96" i="7"/>
  <c r="H96" i="7"/>
  <c r="I96" i="7"/>
  <c r="J96" i="7"/>
  <c r="K96" i="7"/>
  <c r="L96" i="7"/>
  <c r="M96" i="7"/>
  <c r="M100" i="7" s="1"/>
  <c r="N96" i="7"/>
  <c r="N100" i="7" s="1"/>
  <c r="O96" i="7"/>
  <c r="O100" i="7" s="1"/>
  <c r="P96" i="7"/>
  <c r="Q96" i="7"/>
  <c r="G97" i="7"/>
  <c r="H97" i="7"/>
  <c r="I97" i="7"/>
  <c r="J97" i="7"/>
  <c r="K97" i="7"/>
  <c r="L97" i="7"/>
  <c r="M97" i="7"/>
  <c r="N97" i="7"/>
  <c r="O97" i="7"/>
  <c r="P97" i="7"/>
  <c r="Q97" i="7"/>
  <c r="G98" i="7"/>
  <c r="G100" i="7" s="1"/>
  <c r="H98" i="7"/>
  <c r="I98" i="7"/>
  <c r="J98" i="7"/>
  <c r="K98" i="7"/>
  <c r="L98" i="7"/>
  <c r="L100" i="7" s="1"/>
  <c r="M98" i="7"/>
  <c r="N98" i="7"/>
  <c r="O98" i="7"/>
  <c r="P98" i="7"/>
  <c r="Q98" i="7"/>
  <c r="G99" i="7"/>
  <c r="H99" i="7"/>
  <c r="I99" i="7"/>
  <c r="J99" i="7"/>
  <c r="K99" i="7"/>
  <c r="L99" i="7"/>
  <c r="M99" i="7"/>
  <c r="N99" i="7"/>
  <c r="O99" i="7"/>
  <c r="P99" i="7"/>
  <c r="Q99" i="7"/>
  <c r="Q100" i="7"/>
  <c r="G101" i="7"/>
  <c r="G106" i="7" s="1"/>
  <c r="H101" i="7"/>
  <c r="H106" i="7" s="1"/>
  <c r="I101" i="7"/>
  <c r="I106" i="7" s="1"/>
  <c r="J101" i="7"/>
  <c r="K101" i="7"/>
  <c r="K106" i="7" s="1"/>
  <c r="L101" i="7"/>
  <c r="L106" i="7" s="1"/>
  <c r="M101" i="7"/>
  <c r="M106" i="7" s="1"/>
  <c r="N101" i="7"/>
  <c r="N106" i="7" s="1"/>
  <c r="O101" i="7"/>
  <c r="P101" i="7"/>
  <c r="Q101" i="7"/>
  <c r="G102" i="7"/>
  <c r="H102" i="7"/>
  <c r="I102" i="7"/>
  <c r="J102" i="7"/>
  <c r="K102" i="7"/>
  <c r="L102" i="7"/>
  <c r="M102" i="7"/>
  <c r="N102" i="7"/>
  <c r="O102" i="7"/>
  <c r="P102" i="7"/>
  <c r="Q102" i="7"/>
  <c r="G103" i="7"/>
  <c r="H103" i="7"/>
  <c r="I103" i="7"/>
  <c r="J103" i="7"/>
  <c r="J106" i="7" s="1"/>
  <c r="K103" i="7"/>
  <c r="L103" i="7"/>
  <c r="M103" i="7"/>
  <c r="N103" i="7"/>
  <c r="O103" i="7"/>
  <c r="P103" i="7"/>
  <c r="P106" i="7" s="1"/>
  <c r="Q103" i="7"/>
  <c r="G104" i="7"/>
  <c r="H104" i="7"/>
  <c r="I104" i="7"/>
  <c r="J104" i="7"/>
  <c r="K104" i="7"/>
  <c r="L104" i="7"/>
  <c r="M104" i="7"/>
  <c r="N104" i="7"/>
  <c r="O104" i="7"/>
  <c r="P104" i="7"/>
  <c r="Q104" i="7"/>
  <c r="G105" i="7"/>
  <c r="H105" i="7"/>
  <c r="I105" i="7"/>
  <c r="J105" i="7"/>
  <c r="K105" i="7"/>
  <c r="L105" i="7"/>
  <c r="M105" i="7"/>
  <c r="N105" i="7"/>
  <c r="O105" i="7"/>
  <c r="P105" i="7"/>
  <c r="Q105" i="7"/>
  <c r="O106" i="7"/>
  <c r="Q106" i="7"/>
  <c r="G107" i="7"/>
  <c r="G112" i="7" s="1"/>
  <c r="H107" i="7"/>
  <c r="I107" i="7"/>
  <c r="I112" i="7" s="1"/>
  <c r="J107" i="7"/>
  <c r="J112" i="7" s="1"/>
  <c r="K107" i="7"/>
  <c r="K112" i="7" s="1"/>
  <c r="L107" i="7"/>
  <c r="L112" i="7" s="1"/>
  <c r="M107" i="7"/>
  <c r="N107" i="7"/>
  <c r="O107" i="7"/>
  <c r="P107" i="7"/>
  <c r="Q107" i="7"/>
  <c r="G108" i="7"/>
  <c r="H108" i="7"/>
  <c r="I108" i="7"/>
  <c r="J108" i="7"/>
  <c r="K108" i="7"/>
  <c r="L108" i="7"/>
  <c r="M108" i="7"/>
  <c r="N108" i="7"/>
  <c r="O108" i="7"/>
  <c r="P108" i="7"/>
  <c r="Q108" i="7"/>
  <c r="Q112" i="7" s="1"/>
  <c r="G109" i="7"/>
  <c r="H109" i="7"/>
  <c r="H112" i="7" s="1"/>
  <c r="I109" i="7"/>
  <c r="J109" i="7"/>
  <c r="K109" i="7"/>
  <c r="L109" i="7"/>
  <c r="M109" i="7"/>
  <c r="N109" i="7"/>
  <c r="N112" i="7" s="1"/>
  <c r="O109" i="7"/>
  <c r="P109" i="7"/>
  <c r="P112" i="7" s="1"/>
  <c r="Q109" i="7"/>
  <c r="G110" i="7"/>
  <c r="H110" i="7"/>
  <c r="I110" i="7"/>
  <c r="J110" i="7"/>
  <c r="K110" i="7"/>
  <c r="L110" i="7"/>
  <c r="M110" i="7"/>
  <c r="N110" i="7"/>
  <c r="O110" i="7"/>
  <c r="P110" i="7"/>
  <c r="Q110" i="7"/>
  <c r="G111" i="7"/>
  <c r="H111" i="7"/>
  <c r="I111" i="7"/>
  <c r="J111" i="7"/>
  <c r="K111" i="7"/>
  <c r="L111" i="7"/>
  <c r="M111" i="7"/>
  <c r="N111" i="7"/>
  <c r="O111" i="7"/>
  <c r="P111" i="7"/>
  <c r="Q111" i="7"/>
  <c r="M112" i="7"/>
  <c r="O112" i="7"/>
  <c r="G113" i="7"/>
  <c r="H113" i="7"/>
  <c r="I113" i="7"/>
  <c r="J113" i="7"/>
  <c r="J118" i="7" s="1"/>
  <c r="K113" i="7"/>
  <c r="L113" i="7"/>
  <c r="M113" i="7"/>
  <c r="N113" i="7"/>
  <c r="O113" i="7"/>
  <c r="P113" i="7"/>
  <c r="Q113" i="7"/>
  <c r="G114" i="7"/>
  <c r="G118" i="7" s="1"/>
  <c r="H114" i="7"/>
  <c r="H118" i="7" s="1"/>
  <c r="I114" i="7"/>
  <c r="I118" i="7" s="1"/>
  <c r="J114" i="7"/>
  <c r="K114" i="7"/>
  <c r="L114" i="7"/>
  <c r="M114" i="7"/>
  <c r="N114" i="7"/>
  <c r="O114" i="7"/>
  <c r="O118" i="7" s="1"/>
  <c r="P114" i="7"/>
  <c r="Q114" i="7"/>
  <c r="G115" i="7"/>
  <c r="H115" i="7"/>
  <c r="I115" i="7"/>
  <c r="J115" i="7"/>
  <c r="K115" i="7"/>
  <c r="L115" i="7"/>
  <c r="L118" i="7" s="1"/>
  <c r="M115" i="7"/>
  <c r="N115" i="7"/>
  <c r="N118" i="7" s="1"/>
  <c r="O115" i="7"/>
  <c r="P115" i="7"/>
  <c r="Q115" i="7"/>
  <c r="G116" i="7"/>
  <c r="H116" i="7"/>
  <c r="I116" i="7"/>
  <c r="J116" i="7"/>
  <c r="K116" i="7"/>
  <c r="L116" i="7"/>
  <c r="M116" i="7"/>
  <c r="N116" i="7"/>
  <c r="O116" i="7"/>
  <c r="P116" i="7"/>
  <c r="Q116" i="7"/>
  <c r="Q118" i="7" s="1"/>
  <c r="G117" i="7"/>
  <c r="H117" i="7"/>
  <c r="I117" i="7"/>
  <c r="J117" i="7"/>
  <c r="K117" i="7"/>
  <c r="L117" i="7"/>
  <c r="M117" i="7"/>
  <c r="N117" i="7"/>
  <c r="O117" i="7"/>
  <c r="P117" i="7"/>
  <c r="Q117" i="7"/>
  <c r="K118" i="7"/>
  <c r="M118" i="7"/>
  <c r="P118" i="7"/>
  <c r="G119" i="7"/>
  <c r="H119" i="7"/>
  <c r="H124" i="7" s="1"/>
  <c r="I119" i="7"/>
  <c r="J119" i="7"/>
  <c r="K119" i="7"/>
  <c r="L119" i="7"/>
  <c r="M119" i="7"/>
  <c r="N119" i="7"/>
  <c r="O119" i="7"/>
  <c r="P119" i="7"/>
  <c r="P124" i="7" s="1"/>
  <c r="Q119" i="7"/>
  <c r="G120" i="7"/>
  <c r="G124" i="7" s="1"/>
  <c r="H120" i="7"/>
  <c r="I120" i="7"/>
  <c r="J120" i="7"/>
  <c r="K120" i="7"/>
  <c r="L120" i="7"/>
  <c r="M120" i="7"/>
  <c r="M124" i="7" s="1"/>
  <c r="N120" i="7"/>
  <c r="O120" i="7"/>
  <c r="P120" i="7"/>
  <c r="Q120" i="7"/>
  <c r="G121" i="7"/>
  <c r="H121" i="7"/>
  <c r="I121" i="7"/>
  <c r="J121" i="7"/>
  <c r="J124" i="7" s="1"/>
  <c r="K121" i="7"/>
  <c r="L121" i="7"/>
  <c r="L124" i="7" s="1"/>
  <c r="M121" i="7"/>
  <c r="N121" i="7"/>
  <c r="O121" i="7"/>
  <c r="P121" i="7"/>
  <c r="Q121" i="7"/>
  <c r="G122" i="7"/>
  <c r="H122" i="7"/>
  <c r="I122" i="7"/>
  <c r="J122" i="7"/>
  <c r="K122" i="7"/>
  <c r="L122" i="7"/>
  <c r="M122" i="7"/>
  <c r="N122" i="7"/>
  <c r="O122" i="7"/>
  <c r="O124" i="7" s="1"/>
  <c r="P122" i="7"/>
  <c r="Q122" i="7"/>
  <c r="Q124" i="7" s="1"/>
  <c r="G123" i="7"/>
  <c r="H123" i="7"/>
  <c r="I123" i="7"/>
  <c r="J123" i="7"/>
  <c r="K123" i="7"/>
  <c r="L123" i="7"/>
  <c r="M123" i="7"/>
  <c r="N123" i="7"/>
  <c r="O123" i="7"/>
  <c r="P123" i="7"/>
  <c r="Q123" i="7"/>
  <c r="I124" i="7"/>
  <c r="K124" i="7"/>
  <c r="N124" i="7"/>
  <c r="G125" i="7"/>
  <c r="H125" i="7"/>
  <c r="I125" i="7"/>
  <c r="J125" i="7"/>
  <c r="K125" i="7"/>
  <c r="L125" i="7"/>
  <c r="M125" i="7"/>
  <c r="N125" i="7"/>
  <c r="N130" i="7" s="1"/>
  <c r="O125" i="7"/>
  <c r="P125" i="7"/>
  <c r="P130" i="7" s="1"/>
  <c r="Q125" i="7"/>
  <c r="G126" i="7"/>
  <c r="H126" i="7"/>
  <c r="I126" i="7"/>
  <c r="J126" i="7"/>
  <c r="K126" i="7"/>
  <c r="K130" i="7" s="1"/>
  <c r="L126" i="7"/>
  <c r="M126" i="7"/>
  <c r="N126" i="7"/>
  <c r="O126" i="7"/>
  <c r="P126" i="7"/>
  <c r="Q126" i="7"/>
  <c r="G127" i="7"/>
  <c r="H127" i="7"/>
  <c r="H130" i="7" s="1"/>
  <c r="I127" i="7"/>
  <c r="J127" i="7"/>
  <c r="J130" i="7" s="1"/>
  <c r="K127" i="7"/>
  <c r="L127" i="7"/>
  <c r="M127" i="7"/>
  <c r="N127" i="7"/>
  <c r="O127" i="7"/>
  <c r="P127" i="7"/>
  <c r="Q127" i="7"/>
  <c r="G128" i="7"/>
  <c r="H128" i="7"/>
  <c r="I128" i="7"/>
  <c r="J128" i="7"/>
  <c r="K128" i="7"/>
  <c r="L128" i="7"/>
  <c r="M128" i="7"/>
  <c r="M130" i="7" s="1"/>
  <c r="N128" i="7"/>
  <c r="O128" i="7"/>
  <c r="O130" i="7" s="1"/>
  <c r="P128" i="7"/>
  <c r="Q128" i="7"/>
  <c r="G129" i="7"/>
  <c r="H129" i="7"/>
  <c r="I129" i="7"/>
  <c r="J129" i="7"/>
  <c r="K129" i="7"/>
  <c r="L129" i="7"/>
  <c r="M129" i="7"/>
  <c r="N129" i="7"/>
  <c r="O129" i="7"/>
  <c r="P129" i="7"/>
  <c r="Q129" i="7"/>
  <c r="G130" i="7"/>
  <c r="I130" i="7"/>
  <c r="L130" i="7"/>
  <c r="Q130" i="7"/>
  <c r="G131" i="7"/>
  <c r="G136" i="7" s="1"/>
  <c r="H131" i="7"/>
  <c r="H136" i="7" s="1"/>
  <c r="I131" i="7"/>
  <c r="J131" i="7"/>
  <c r="J136" i="7" s="1"/>
  <c r="K131" i="7"/>
  <c r="L131" i="7"/>
  <c r="L136" i="7" s="1"/>
  <c r="M131" i="7"/>
  <c r="M136" i="7" s="1"/>
  <c r="N131" i="7"/>
  <c r="N136" i="7" s="1"/>
  <c r="O131" i="7"/>
  <c r="O136" i="7" s="1"/>
  <c r="P131" i="7"/>
  <c r="P136" i="7" s="1"/>
  <c r="Q131" i="7"/>
  <c r="Q136" i="7" s="1"/>
  <c r="G132" i="7"/>
  <c r="H132" i="7"/>
  <c r="I132" i="7"/>
  <c r="J132" i="7"/>
  <c r="K132" i="7"/>
  <c r="L132" i="7"/>
  <c r="M132" i="7"/>
  <c r="N132" i="7"/>
  <c r="O132" i="7"/>
  <c r="P132" i="7"/>
  <c r="Q132" i="7"/>
  <c r="G133" i="7"/>
  <c r="H133" i="7"/>
  <c r="I133" i="7"/>
  <c r="J133" i="7"/>
  <c r="K133" i="7"/>
  <c r="L133" i="7"/>
  <c r="M133" i="7"/>
  <c r="N133" i="7"/>
  <c r="O133" i="7"/>
  <c r="P133" i="7"/>
  <c r="Q133" i="7"/>
  <c r="G134" i="7"/>
  <c r="H134" i="7"/>
  <c r="I134" i="7"/>
  <c r="J134" i="7"/>
  <c r="K134" i="7"/>
  <c r="L134" i="7"/>
  <c r="M134" i="7"/>
  <c r="N134" i="7"/>
  <c r="O134" i="7"/>
  <c r="P134" i="7"/>
  <c r="Q134" i="7"/>
  <c r="H46" i="7"/>
  <c r="Q45" i="7"/>
  <c r="P45" i="7"/>
  <c r="O45" i="7"/>
  <c r="N45" i="7"/>
  <c r="M45" i="7"/>
  <c r="L45" i="7"/>
  <c r="K45" i="7"/>
  <c r="J45" i="7"/>
  <c r="I45" i="7"/>
  <c r="H45" i="7"/>
  <c r="G45" i="7"/>
  <c r="Q44" i="7"/>
  <c r="P44" i="7"/>
  <c r="O44" i="7"/>
  <c r="N44" i="7"/>
  <c r="M44" i="7"/>
  <c r="L44" i="7"/>
  <c r="K44" i="7"/>
  <c r="J44" i="7"/>
  <c r="I44" i="7"/>
  <c r="H44" i="7"/>
  <c r="G44" i="7"/>
  <c r="Q43" i="7"/>
  <c r="P43" i="7"/>
  <c r="O43" i="7"/>
  <c r="N43" i="7"/>
  <c r="M43" i="7"/>
  <c r="L43" i="7"/>
  <c r="K43" i="7"/>
  <c r="J43" i="7"/>
  <c r="I43" i="7"/>
  <c r="H43" i="7"/>
  <c r="G43" i="7"/>
  <c r="Q42" i="7"/>
  <c r="P42" i="7"/>
  <c r="O42" i="7"/>
  <c r="N42" i="7"/>
  <c r="M42" i="7"/>
  <c r="L42" i="7"/>
  <c r="K42" i="7"/>
  <c r="J42" i="7"/>
  <c r="I42" i="7"/>
  <c r="H42" i="7"/>
  <c r="G42" i="7"/>
  <c r="Q41" i="7"/>
  <c r="Q46" i="7" s="1"/>
  <c r="P41" i="7"/>
  <c r="P46" i="7" s="1"/>
  <c r="O41" i="7"/>
  <c r="O46" i="7" s="1"/>
  <c r="N41" i="7"/>
  <c r="N46" i="7" s="1"/>
  <c r="M41" i="7"/>
  <c r="M46" i="7" s="1"/>
  <c r="L41" i="7"/>
  <c r="L46" i="7" s="1"/>
  <c r="K41" i="7"/>
  <c r="K46" i="7" s="1"/>
  <c r="J41" i="7"/>
  <c r="J46" i="7" s="1"/>
  <c r="I41" i="7"/>
  <c r="I46" i="7" s="1"/>
  <c r="H41" i="7"/>
  <c r="G41" i="7"/>
  <c r="G46" i="7" s="1"/>
  <c r="J40" i="7"/>
  <c r="H40" i="7"/>
  <c r="Q39" i="7"/>
  <c r="P39" i="7"/>
  <c r="O39" i="7"/>
  <c r="N39" i="7"/>
  <c r="M39" i="7"/>
  <c r="L39" i="7"/>
  <c r="K39" i="7"/>
  <c r="J39" i="7"/>
  <c r="I39" i="7"/>
  <c r="H39" i="7"/>
  <c r="G39" i="7"/>
  <c r="Q38" i="7"/>
  <c r="P38" i="7"/>
  <c r="O38" i="7"/>
  <c r="N38" i="7"/>
  <c r="M38" i="7"/>
  <c r="L38" i="7"/>
  <c r="K38" i="7"/>
  <c r="J38" i="7"/>
  <c r="I38" i="7"/>
  <c r="H38" i="7"/>
  <c r="G38" i="7"/>
  <c r="Q37" i="7"/>
  <c r="P37" i="7"/>
  <c r="O37" i="7"/>
  <c r="N37" i="7"/>
  <c r="M37" i="7"/>
  <c r="L37" i="7"/>
  <c r="K37" i="7"/>
  <c r="J37" i="7"/>
  <c r="I37" i="7"/>
  <c r="H37" i="7"/>
  <c r="G37" i="7"/>
  <c r="Q36" i="7"/>
  <c r="P36" i="7"/>
  <c r="O36" i="7"/>
  <c r="N36" i="7"/>
  <c r="M36" i="7"/>
  <c r="L36" i="7"/>
  <c r="K36" i="7"/>
  <c r="J36" i="7"/>
  <c r="I36" i="7"/>
  <c r="H36" i="7"/>
  <c r="G36" i="7"/>
  <c r="Q35" i="7"/>
  <c r="Q40" i="7" s="1"/>
  <c r="P35" i="7"/>
  <c r="P40" i="7" s="1"/>
  <c r="O35" i="7"/>
  <c r="O40" i="7" s="1"/>
  <c r="N35" i="7"/>
  <c r="N40" i="7" s="1"/>
  <c r="M35" i="7"/>
  <c r="M40" i="7" s="1"/>
  <c r="L35" i="7"/>
  <c r="L40" i="7" s="1"/>
  <c r="K35" i="7"/>
  <c r="K40" i="7" s="1"/>
  <c r="J35" i="7"/>
  <c r="I35" i="7"/>
  <c r="I40" i="7" s="1"/>
  <c r="H35" i="7"/>
  <c r="G35" i="7"/>
  <c r="G40" i="7" s="1"/>
  <c r="L34" i="7"/>
  <c r="J34" i="7"/>
  <c r="Q33" i="7"/>
  <c r="P33" i="7"/>
  <c r="O33" i="7"/>
  <c r="N33" i="7"/>
  <c r="M33" i="7"/>
  <c r="L33" i="7"/>
  <c r="K33" i="7"/>
  <c r="J33" i="7"/>
  <c r="I33" i="7"/>
  <c r="H33" i="7"/>
  <c r="G33" i="7"/>
  <c r="Q32" i="7"/>
  <c r="P32" i="7"/>
  <c r="O32" i="7"/>
  <c r="N32" i="7"/>
  <c r="M32" i="7"/>
  <c r="L32" i="7"/>
  <c r="K32" i="7"/>
  <c r="J32" i="7"/>
  <c r="I32" i="7"/>
  <c r="H32" i="7"/>
  <c r="G32" i="7"/>
  <c r="Q31" i="7"/>
  <c r="P31" i="7"/>
  <c r="O31" i="7"/>
  <c r="N31" i="7"/>
  <c r="M31" i="7"/>
  <c r="L31" i="7"/>
  <c r="K31" i="7"/>
  <c r="J31" i="7"/>
  <c r="I31" i="7"/>
  <c r="H31" i="7"/>
  <c r="G31" i="7"/>
  <c r="Q30" i="7"/>
  <c r="P30" i="7"/>
  <c r="O30" i="7"/>
  <c r="N30" i="7"/>
  <c r="M30" i="7"/>
  <c r="L30" i="7"/>
  <c r="K30" i="7"/>
  <c r="J30" i="7"/>
  <c r="I30" i="7"/>
  <c r="H30" i="7"/>
  <c r="G30" i="7"/>
  <c r="Q29" i="7"/>
  <c r="Q34" i="7" s="1"/>
  <c r="P29" i="7"/>
  <c r="P34" i="7" s="1"/>
  <c r="O29" i="7"/>
  <c r="O34" i="7" s="1"/>
  <c r="N29" i="7"/>
  <c r="N34" i="7" s="1"/>
  <c r="M29" i="7"/>
  <c r="M34" i="7" s="1"/>
  <c r="L29" i="7"/>
  <c r="K29" i="7"/>
  <c r="K34" i="7" s="1"/>
  <c r="J29" i="7"/>
  <c r="I29" i="7"/>
  <c r="I34" i="7" s="1"/>
  <c r="H29" i="7"/>
  <c r="H34" i="7" s="1"/>
  <c r="G29" i="7"/>
  <c r="G34" i="7" s="1"/>
  <c r="N28" i="7"/>
  <c r="L28" i="7"/>
  <c r="Q27" i="7"/>
  <c r="P27" i="7"/>
  <c r="O27" i="7"/>
  <c r="N27" i="7"/>
  <c r="M27" i="7"/>
  <c r="L27" i="7"/>
  <c r="K27" i="7"/>
  <c r="J27" i="7"/>
  <c r="I27" i="7"/>
  <c r="H27" i="7"/>
  <c r="G27" i="7"/>
  <c r="Q26" i="7"/>
  <c r="P26" i="7"/>
  <c r="O26" i="7"/>
  <c r="N26" i="7"/>
  <c r="M26" i="7"/>
  <c r="L26" i="7"/>
  <c r="K26" i="7"/>
  <c r="J26" i="7"/>
  <c r="I26" i="7"/>
  <c r="H26" i="7"/>
  <c r="G26" i="7"/>
  <c r="Q25" i="7"/>
  <c r="P25" i="7"/>
  <c r="O25" i="7"/>
  <c r="N25" i="7"/>
  <c r="M25" i="7"/>
  <c r="L25" i="7"/>
  <c r="K25" i="7"/>
  <c r="J25" i="7"/>
  <c r="I25" i="7"/>
  <c r="H25" i="7"/>
  <c r="G25" i="7"/>
  <c r="Q24" i="7"/>
  <c r="P24" i="7"/>
  <c r="O24" i="7"/>
  <c r="N24" i="7"/>
  <c r="M24" i="7"/>
  <c r="L24" i="7"/>
  <c r="K24" i="7"/>
  <c r="J24" i="7"/>
  <c r="I24" i="7"/>
  <c r="H24" i="7"/>
  <c r="G24" i="7"/>
  <c r="Q23" i="7"/>
  <c r="Q28" i="7" s="1"/>
  <c r="P23" i="7"/>
  <c r="P28" i="7" s="1"/>
  <c r="O23" i="7"/>
  <c r="O28" i="7" s="1"/>
  <c r="N23" i="7"/>
  <c r="M23" i="7"/>
  <c r="M28" i="7" s="1"/>
  <c r="L23" i="7"/>
  <c r="K23" i="7"/>
  <c r="K28" i="7" s="1"/>
  <c r="J23" i="7"/>
  <c r="J28" i="7" s="1"/>
  <c r="I23" i="7"/>
  <c r="I28" i="7" s="1"/>
  <c r="H23" i="7"/>
  <c r="H28" i="7" s="1"/>
  <c r="G23" i="7"/>
  <c r="G28" i="7" s="1"/>
  <c r="P22" i="7"/>
  <c r="N22" i="7"/>
  <c r="Q21" i="7"/>
  <c r="P21" i="7"/>
  <c r="O21" i="7"/>
  <c r="N21" i="7"/>
  <c r="M21" i="7"/>
  <c r="L21" i="7"/>
  <c r="K21" i="7"/>
  <c r="J21" i="7"/>
  <c r="I21" i="7"/>
  <c r="H21" i="7"/>
  <c r="G21" i="7"/>
  <c r="Q20" i="7"/>
  <c r="P20" i="7"/>
  <c r="O20" i="7"/>
  <c r="N20" i="7"/>
  <c r="M20" i="7"/>
  <c r="L20" i="7"/>
  <c r="K20" i="7"/>
  <c r="J20" i="7"/>
  <c r="I20" i="7"/>
  <c r="H20" i="7"/>
  <c r="G20" i="7"/>
  <c r="Q19" i="7"/>
  <c r="P19" i="7"/>
  <c r="O19" i="7"/>
  <c r="N19" i="7"/>
  <c r="M19" i="7"/>
  <c r="L19" i="7"/>
  <c r="K19" i="7"/>
  <c r="J19" i="7"/>
  <c r="I19" i="7"/>
  <c r="H19" i="7"/>
  <c r="G19" i="7"/>
  <c r="Q18" i="7"/>
  <c r="P18" i="7"/>
  <c r="O18" i="7"/>
  <c r="N18" i="7"/>
  <c r="M18" i="7"/>
  <c r="L18" i="7"/>
  <c r="K18" i="7"/>
  <c r="J18" i="7"/>
  <c r="I18" i="7"/>
  <c r="H18" i="7"/>
  <c r="G18" i="7"/>
  <c r="Q17" i="7"/>
  <c r="Q22" i="7" s="1"/>
  <c r="P17" i="7"/>
  <c r="O17" i="7"/>
  <c r="O22" i="7" s="1"/>
  <c r="N17" i="7"/>
  <c r="M17" i="7"/>
  <c r="M22" i="7" s="1"/>
  <c r="L17" i="7"/>
  <c r="L22" i="7" s="1"/>
  <c r="K17" i="7"/>
  <c r="K22" i="7" s="1"/>
  <c r="J17" i="7"/>
  <c r="J22" i="7" s="1"/>
  <c r="I17" i="7"/>
  <c r="I22" i="7" s="1"/>
  <c r="H17" i="7"/>
  <c r="H22" i="7" s="1"/>
  <c r="G17" i="7"/>
  <c r="G22" i="7" s="1"/>
  <c r="P16" i="7"/>
  <c r="Q15" i="7"/>
  <c r="P15" i="7"/>
  <c r="O15" i="7"/>
  <c r="N15" i="7"/>
  <c r="M15" i="7"/>
  <c r="L15" i="7"/>
  <c r="K15" i="7"/>
  <c r="J15" i="7"/>
  <c r="I15" i="7"/>
  <c r="H15" i="7"/>
  <c r="G15" i="7"/>
  <c r="Q14" i="7"/>
  <c r="P14" i="7"/>
  <c r="O14" i="7"/>
  <c r="N14" i="7"/>
  <c r="M14" i="7"/>
  <c r="L14" i="7"/>
  <c r="K14" i="7"/>
  <c r="J14" i="7"/>
  <c r="I14" i="7"/>
  <c r="H14" i="7"/>
  <c r="G14" i="7"/>
  <c r="Q13" i="7"/>
  <c r="P13" i="7"/>
  <c r="O13" i="7"/>
  <c r="N13" i="7"/>
  <c r="M13" i="7"/>
  <c r="L13" i="7"/>
  <c r="K13" i="7"/>
  <c r="J13" i="7"/>
  <c r="I13" i="7"/>
  <c r="H13" i="7"/>
  <c r="G13" i="7"/>
  <c r="Q12" i="7"/>
  <c r="P12" i="7"/>
  <c r="O12" i="7"/>
  <c r="N12" i="7"/>
  <c r="M12" i="7"/>
  <c r="L12" i="7"/>
  <c r="K12" i="7"/>
  <c r="J12" i="7"/>
  <c r="I12" i="7"/>
  <c r="H12" i="7"/>
  <c r="G12" i="7"/>
  <c r="Q11" i="7"/>
  <c r="Q16" i="7" s="1"/>
  <c r="P11" i="7"/>
  <c r="O11" i="7"/>
  <c r="O16" i="7" s="1"/>
  <c r="N11" i="7"/>
  <c r="N16" i="7" s="1"/>
  <c r="M11" i="7"/>
  <c r="M16" i="7" s="1"/>
  <c r="L11" i="7"/>
  <c r="L16" i="7" s="1"/>
  <c r="K11" i="7"/>
  <c r="K16" i="7" s="1"/>
  <c r="J11" i="7"/>
  <c r="J16" i="7" s="1"/>
  <c r="I11" i="7"/>
  <c r="I16" i="7" s="1"/>
  <c r="H11" i="7"/>
  <c r="H16" i="7" s="1"/>
  <c r="G11" i="7"/>
  <c r="G16" i="7" s="1"/>
  <c r="Q9" i="7"/>
  <c r="P9" i="7"/>
  <c r="O9" i="7"/>
  <c r="N9" i="7"/>
  <c r="M9" i="7"/>
  <c r="L9" i="7"/>
  <c r="K9" i="7"/>
  <c r="J9" i="7"/>
  <c r="I9" i="7"/>
  <c r="H9" i="7"/>
  <c r="G9" i="7"/>
  <c r="Q8" i="7"/>
  <c r="P8" i="7"/>
  <c r="O8" i="7"/>
  <c r="N8" i="7"/>
  <c r="M8" i="7"/>
  <c r="L8" i="7"/>
  <c r="K8" i="7"/>
  <c r="J8" i="7"/>
  <c r="I8" i="7"/>
  <c r="H8" i="7"/>
  <c r="G8" i="7"/>
  <c r="Q7" i="7"/>
  <c r="P7" i="7"/>
  <c r="O7" i="7"/>
  <c r="N7" i="7"/>
  <c r="M7" i="7"/>
  <c r="L7" i="7"/>
  <c r="K7" i="7"/>
  <c r="J7" i="7"/>
  <c r="I7" i="7"/>
  <c r="H7" i="7"/>
  <c r="G7" i="7"/>
  <c r="Q6" i="7"/>
  <c r="P6" i="7"/>
  <c r="O6" i="7"/>
  <c r="N6" i="7"/>
  <c r="M6" i="7"/>
  <c r="L6" i="7"/>
  <c r="K6" i="7"/>
  <c r="J6" i="7"/>
  <c r="I6" i="7"/>
  <c r="H6" i="7"/>
  <c r="G6" i="7"/>
  <c r="Q5" i="7"/>
  <c r="P5" i="7"/>
  <c r="O5" i="7"/>
  <c r="N5" i="7"/>
  <c r="M5" i="7"/>
  <c r="L5" i="7"/>
  <c r="K5" i="7"/>
  <c r="J5" i="7"/>
  <c r="I5" i="7"/>
  <c r="H5" i="7"/>
  <c r="G5" i="7"/>
  <c r="Q4" i="7"/>
  <c r="P4" i="7"/>
  <c r="O4" i="7"/>
  <c r="N4" i="7"/>
  <c r="M4" i="7"/>
  <c r="L4" i="7"/>
  <c r="K4" i="7"/>
  <c r="J4" i="7"/>
  <c r="I4" i="7"/>
  <c r="H4" i="7"/>
  <c r="G4" i="7"/>
  <c r="Q3" i="7"/>
  <c r="P3" i="7"/>
  <c r="O3" i="7"/>
  <c r="N3" i="7"/>
  <c r="M3" i="7"/>
  <c r="L3" i="7"/>
  <c r="K3" i="7"/>
  <c r="J3" i="7"/>
  <c r="I3" i="7"/>
  <c r="H3" i="7"/>
  <c r="G3" i="7"/>
  <c r="Q2" i="7"/>
  <c r="Q10" i="7" s="1"/>
  <c r="P2" i="7"/>
  <c r="P10" i="7" s="1"/>
  <c r="O2" i="7"/>
  <c r="O10" i="7" s="1"/>
  <c r="N2" i="7"/>
  <c r="N10" i="7" s="1"/>
  <c r="M2" i="7"/>
  <c r="M10" i="7" s="1"/>
  <c r="L2" i="7"/>
  <c r="L10" i="7" s="1"/>
  <c r="K2" i="7"/>
  <c r="K10" i="7" s="1"/>
  <c r="J2" i="7"/>
  <c r="J10" i="7" s="1"/>
  <c r="I2" i="7"/>
  <c r="I10" i="7" s="1"/>
  <c r="H2" i="7"/>
  <c r="H10" i="7" s="1"/>
  <c r="G2" i="7"/>
  <c r="G10" i="7" s="1"/>
  <c r="T286" i="6"/>
  <c r="S286" i="6"/>
  <c r="Q286" i="6"/>
  <c r="P286" i="6"/>
  <c r="D286" i="6"/>
  <c r="R285" i="6"/>
  <c r="O285" i="6"/>
  <c r="N285" i="6"/>
  <c r="J285" i="6"/>
  <c r="K285" i="6" s="1"/>
  <c r="I285" i="6"/>
  <c r="A285" i="6"/>
  <c r="R284" i="6"/>
  <c r="R286" i="6" s="1"/>
  <c r="O284" i="6"/>
  <c r="O286" i="6" s="1"/>
  <c r="N284" i="6"/>
  <c r="K284" i="6"/>
  <c r="J284" i="6"/>
  <c r="I284" i="6"/>
  <c r="A284" i="6"/>
  <c r="N283" i="6"/>
  <c r="N286" i="6" s="1"/>
  <c r="K283" i="6"/>
  <c r="K286" i="6" s="1"/>
  <c r="J283" i="6"/>
  <c r="J286" i="6" s="1"/>
  <c r="I283" i="6"/>
  <c r="I286" i="6" s="1"/>
  <c r="A283" i="6"/>
  <c r="W282" i="6"/>
  <c r="W286" i="6" s="1"/>
  <c r="V282" i="6"/>
  <c r="V286" i="6" s="1"/>
  <c r="U282" i="6"/>
  <c r="U286" i="6" s="1"/>
  <c r="T282" i="6"/>
  <c r="Q282" i="6"/>
  <c r="P282" i="6"/>
  <c r="M282" i="6"/>
  <c r="M286" i="6" s="1"/>
  <c r="L282" i="6"/>
  <c r="L286" i="6" s="1"/>
  <c r="D282" i="6"/>
  <c r="R281" i="6"/>
  <c r="O281" i="6"/>
  <c r="N281" i="6"/>
  <c r="K281" i="6"/>
  <c r="A281" i="6"/>
  <c r="R280" i="6"/>
  <c r="O280" i="6"/>
  <c r="N280" i="6"/>
  <c r="K280" i="6"/>
  <c r="A280" i="6"/>
  <c r="N279" i="6"/>
  <c r="K279" i="6"/>
  <c r="A279" i="6"/>
  <c r="R278" i="6"/>
  <c r="O278" i="6"/>
  <c r="N278" i="6" s="1"/>
  <c r="K278" i="6"/>
  <c r="R277" i="6"/>
  <c r="O277" i="6"/>
  <c r="N277" i="6"/>
  <c r="K277" i="6"/>
  <c r="N276" i="6"/>
  <c r="K276" i="6"/>
  <c r="R275" i="6"/>
  <c r="R282" i="6" s="1"/>
  <c r="N275" i="6"/>
  <c r="J275" i="6"/>
  <c r="I275" i="6"/>
  <c r="I282" i="6" s="1"/>
  <c r="S274" i="6"/>
  <c r="O274" i="6"/>
  <c r="N274" i="6"/>
  <c r="K274" i="6"/>
  <c r="S273" i="6"/>
  <c r="O273" i="6"/>
  <c r="O282" i="6" s="1"/>
  <c r="N273" i="6"/>
  <c r="K273" i="6"/>
  <c r="S272" i="6"/>
  <c r="S282" i="6" s="1"/>
  <c r="N272" i="6"/>
  <c r="N282" i="6" s="1"/>
  <c r="K272" i="6"/>
  <c r="A272" i="6"/>
  <c r="A273" i="6" s="1"/>
  <c r="A274" i="6" s="1"/>
  <c r="A275" i="6" s="1"/>
  <c r="A276" i="6" s="1"/>
  <c r="A277" i="6" s="1"/>
  <c r="A278" i="6" s="1"/>
  <c r="W271" i="6"/>
  <c r="N271" i="6"/>
  <c r="M271" i="6"/>
  <c r="L271" i="6"/>
  <c r="K271" i="6"/>
  <c r="D271" i="6"/>
  <c r="J270" i="6"/>
  <c r="J271" i="6" s="1"/>
  <c r="I270" i="6"/>
  <c r="I271" i="6" s="1"/>
  <c r="W266" i="6"/>
  <c r="N266" i="6"/>
  <c r="M266" i="6"/>
  <c r="L266" i="6"/>
  <c r="D266" i="6"/>
  <c r="J265" i="6"/>
  <c r="I265" i="6"/>
  <c r="I266" i="6" s="1"/>
  <c r="K264" i="6"/>
  <c r="K263" i="6"/>
  <c r="K262" i="6"/>
  <c r="N261" i="6"/>
  <c r="M261" i="6"/>
  <c r="L261" i="6"/>
  <c r="K261" i="6"/>
  <c r="D261" i="6"/>
  <c r="J260" i="6"/>
  <c r="J261" i="6" s="1"/>
  <c r="I260" i="6"/>
  <c r="I261" i="6" s="1"/>
  <c r="N255" i="6"/>
  <c r="M255" i="6"/>
  <c r="L255" i="6"/>
  <c r="K255" i="6"/>
  <c r="J255" i="6"/>
  <c r="D255" i="6"/>
  <c r="I254" i="6"/>
  <c r="I251" i="6"/>
  <c r="I250" i="6"/>
  <c r="I255" i="6" s="1"/>
  <c r="N249" i="6"/>
  <c r="M249" i="6"/>
  <c r="L249" i="6"/>
  <c r="K249" i="6"/>
  <c r="J249" i="6"/>
  <c r="D249" i="6"/>
  <c r="I248" i="6"/>
  <c r="I245" i="6"/>
  <c r="I244" i="6"/>
  <c r="I249" i="6" s="1"/>
  <c r="N243" i="6"/>
  <c r="M243" i="6"/>
  <c r="L243" i="6"/>
  <c r="K243" i="6"/>
  <c r="J243" i="6"/>
  <c r="D243" i="6"/>
  <c r="I242" i="6"/>
  <c r="I239" i="6"/>
  <c r="I238" i="6"/>
  <c r="I243" i="6" s="1"/>
  <c r="N237" i="6"/>
  <c r="M237" i="6"/>
  <c r="L237" i="6"/>
  <c r="K237" i="6"/>
  <c r="J237" i="6"/>
  <c r="D237" i="6"/>
  <c r="I236" i="6"/>
  <c r="I233" i="6"/>
  <c r="I232" i="6"/>
  <c r="I237" i="6" s="1"/>
  <c r="N231" i="6"/>
  <c r="M231" i="6"/>
  <c r="L231" i="6"/>
  <c r="K231" i="6"/>
  <c r="J231" i="6"/>
  <c r="D231" i="6"/>
  <c r="I230" i="6"/>
  <c r="I227" i="6"/>
  <c r="I226" i="6"/>
  <c r="I231" i="6" s="1"/>
  <c r="N225" i="6"/>
  <c r="M225" i="6"/>
  <c r="L225" i="6"/>
  <c r="K225" i="6"/>
  <c r="J225" i="6"/>
  <c r="D225" i="6"/>
  <c r="I224" i="6"/>
  <c r="I221" i="6"/>
  <c r="I220" i="6"/>
  <c r="I225" i="6" s="1"/>
  <c r="N219" i="6"/>
  <c r="M219" i="6"/>
  <c r="L219" i="6"/>
  <c r="K219" i="6"/>
  <c r="J219" i="6"/>
  <c r="D219" i="6"/>
  <c r="I218" i="6"/>
  <c r="I215" i="6"/>
  <c r="I214" i="6"/>
  <c r="I219" i="6" s="1"/>
  <c r="N213" i="6"/>
  <c r="M213" i="6"/>
  <c r="L213" i="6"/>
  <c r="K213" i="6"/>
  <c r="J213" i="6"/>
  <c r="D213" i="6"/>
  <c r="I212" i="6"/>
  <c r="I209" i="6"/>
  <c r="I208" i="6"/>
  <c r="I213" i="6" s="1"/>
  <c r="N207" i="6"/>
  <c r="M207" i="6"/>
  <c r="L207" i="6"/>
  <c r="K207" i="6"/>
  <c r="J207" i="6"/>
  <c r="D207" i="6"/>
  <c r="I206" i="6"/>
  <c r="I203" i="6"/>
  <c r="I202" i="6"/>
  <c r="I207" i="6" s="1"/>
  <c r="N201" i="6"/>
  <c r="M201" i="6"/>
  <c r="L201" i="6"/>
  <c r="K201" i="6"/>
  <c r="J201" i="6"/>
  <c r="D201" i="6"/>
  <c r="I200" i="6"/>
  <c r="I197" i="6"/>
  <c r="I196" i="6"/>
  <c r="I201" i="6" s="1"/>
  <c r="N195" i="6"/>
  <c r="M195" i="6"/>
  <c r="L195" i="6"/>
  <c r="K195" i="6"/>
  <c r="J195" i="6"/>
  <c r="I195" i="6"/>
  <c r="D195" i="6"/>
  <c r="I194" i="6"/>
  <c r="I191" i="6"/>
  <c r="I190" i="6"/>
  <c r="N189" i="6"/>
  <c r="M189" i="6"/>
  <c r="L189" i="6"/>
  <c r="K189" i="6"/>
  <c r="J189" i="6"/>
  <c r="D189" i="6"/>
  <c r="I188" i="6"/>
  <c r="I185" i="6"/>
  <c r="I184" i="6"/>
  <c r="I189" i="6" s="1"/>
  <c r="N183" i="6"/>
  <c r="M183" i="6"/>
  <c r="L183" i="6"/>
  <c r="K183" i="6"/>
  <c r="J183" i="6"/>
  <c r="D183" i="6"/>
  <c r="I182" i="6"/>
  <c r="I179" i="6"/>
  <c r="I178" i="6"/>
  <c r="I183" i="6" s="1"/>
  <c r="N177" i="6"/>
  <c r="M177" i="6"/>
  <c r="L177" i="6"/>
  <c r="K177" i="6"/>
  <c r="J177" i="6"/>
  <c r="D177" i="6"/>
  <c r="I176" i="6"/>
  <c r="I173" i="6"/>
  <c r="I172" i="6"/>
  <c r="I177" i="6" s="1"/>
  <c r="N171" i="6"/>
  <c r="M171" i="6"/>
  <c r="L171" i="6"/>
  <c r="K171" i="6"/>
  <c r="J171" i="6"/>
  <c r="D171" i="6"/>
  <c r="I170" i="6"/>
  <c r="I167" i="6"/>
  <c r="I166" i="6"/>
  <c r="I171" i="6" s="1"/>
  <c r="N165" i="6"/>
  <c r="M165" i="6"/>
  <c r="L165" i="6"/>
  <c r="K165" i="6"/>
  <c r="J165" i="6"/>
  <c r="D165" i="6"/>
  <c r="I164" i="6"/>
  <c r="I161" i="6"/>
  <c r="I160" i="6"/>
  <c r="I165" i="6" s="1"/>
  <c r="N159" i="6"/>
  <c r="M159" i="6"/>
  <c r="L159" i="6"/>
  <c r="K159" i="6"/>
  <c r="J159" i="6"/>
  <c r="D159" i="6"/>
  <c r="I158" i="6"/>
  <c r="I155" i="6"/>
  <c r="I154" i="6"/>
  <c r="I159" i="6" s="1"/>
  <c r="N153" i="6"/>
  <c r="M153" i="6"/>
  <c r="L153" i="6"/>
  <c r="K153" i="6"/>
  <c r="J153" i="6"/>
  <c r="D153" i="6"/>
  <c r="I152" i="6"/>
  <c r="I149" i="6"/>
  <c r="I148" i="6"/>
  <c r="I153" i="6" s="1"/>
  <c r="N147" i="6"/>
  <c r="M147" i="6"/>
  <c r="L147" i="6"/>
  <c r="K147" i="6"/>
  <c r="J147" i="6"/>
  <c r="D147" i="6"/>
  <c r="I146" i="6"/>
  <c r="I143" i="6"/>
  <c r="I142" i="6"/>
  <c r="I147" i="6" s="1"/>
  <c r="N141" i="6"/>
  <c r="M141" i="6"/>
  <c r="L141" i="6"/>
  <c r="K141" i="6"/>
  <c r="J141" i="6"/>
  <c r="D141" i="6"/>
  <c r="I140" i="6"/>
  <c r="I137" i="6"/>
  <c r="I136" i="6"/>
  <c r="I141" i="6" s="1"/>
  <c r="N135" i="6"/>
  <c r="X261" i="6" s="1"/>
  <c r="M135" i="6"/>
  <c r="L135" i="6"/>
  <c r="J135" i="6"/>
  <c r="D135" i="6"/>
  <c r="K134" i="6"/>
  <c r="I134" i="6"/>
  <c r="K133" i="6"/>
  <c r="K132" i="6"/>
  <c r="K131" i="6"/>
  <c r="I131" i="6"/>
  <c r="K130" i="6"/>
  <c r="K135" i="6" s="1"/>
  <c r="I130" i="6"/>
  <c r="I135" i="6" s="1"/>
  <c r="N129" i="6"/>
  <c r="M129" i="6"/>
  <c r="L129" i="6"/>
  <c r="K129" i="6"/>
  <c r="J129" i="6"/>
  <c r="I129" i="6"/>
  <c r="D129" i="6"/>
  <c r="N123" i="6"/>
  <c r="M123" i="6"/>
  <c r="L123" i="6"/>
  <c r="K123" i="6"/>
  <c r="J123" i="6"/>
  <c r="I123" i="6"/>
  <c r="D123" i="6"/>
  <c r="N117" i="6"/>
  <c r="M117" i="6"/>
  <c r="L117" i="6"/>
  <c r="K117" i="6"/>
  <c r="J117" i="6"/>
  <c r="I117" i="6"/>
  <c r="D117" i="6"/>
  <c r="N111" i="6"/>
  <c r="M111" i="6"/>
  <c r="L111" i="6"/>
  <c r="K111" i="6"/>
  <c r="J111" i="6"/>
  <c r="I111" i="6"/>
  <c r="D111" i="6"/>
  <c r="N105" i="6"/>
  <c r="M105" i="6"/>
  <c r="L105" i="6"/>
  <c r="K105" i="6"/>
  <c r="J105" i="6"/>
  <c r="I105" i="6"/>
  <c r="D105" i="6"/>
  <c r="N99" i="6"/>
  <c r="M99" i="6"/>
  <c r="L99" i="6"/>
  <c r="K99" i="6"/>
  <c r="J99" i="6"/>
  <c r="I99" i="6"/>
  <c r="D99" i="6"/>
  <c r="N93" i="6"/>
  <c r="M93" i="6"/>
  <c r="L93" i="6"/>
  <c r="K93" i="6"/>
  <c r="J93" i="6"/>
  <c r="I93" i="6"/>
  <c r="D93" i="6"/>
  <c r="M87" i="6"/>
  <c r="L87" i="6"/>
  <c r="J87" i="6"/>
  <c r="I87" i="6"/>
  <c r="D87" i="6"/>
  <c r="K86" i="6"/>
  <c r="K85" i="6"/>
  <c r="K84" i="6"/>
  <c r="K83" i="6"/>
  <c r="K82" i="6"/>
  <c r="K87" i="6" s="1"/>
  <c r="M81" i="6"/>
  <c r="L81" i="6"/>
  <c r="K81" i="6"/>
  <c r="D81" i="6"/>
  <c r="J80" i="6"/>
  <c r="J81" i="6" s="1"/>
  <c r="I80" i="6"/>
  <c r="I81" i="6" s="1"/>
  <c r="A76" i="6"/>
  <c r="A77" i="6" s="1"/>
  <c r="A78" i="6" s="1"/>
  <c r="M75" i="6"/>
  <c r="L75" i="6"/>
  <c r="K75" i="6"/>
  <c r="J75" i="6"/>
  <c r="I75" i="6"/>
  <c r="D75" i="6"/>
  <c r="J74" i="6"/>
  <c r="I74" i="6"/>
  <c r="A74" i="6"/>
  <c r="A72" i="6"/>
  <c r="A71" i="6"/>
  <c r="M69" i="6"/>
  <c r="L69" i="6"/>
  <c r="K69" i="6"/>
  <c r="D69" i="6"/>
  <c r="J68" i="6"/>
  <c r="J69" i="6" s="1"/>
  <c r="I68" i="6"/>
  <c r="I69" i="6" s="1"/>
  <c r="A68" i="6"/>
  <c r="A66" i="6"/>
  <c r="A70" i="6" s="1"/>
  <c r="A65" i="6"/>
  <c r="M63" i="6"/>
  <c r="L63" i="6"/>
  <c r="K63" i="6"/>
  <c r="D63" i="6"/>
  <c r="J62" i="6"/>
  <c r="J63" i="6" s="1"/>
  <c r="I62" i="6"/>
  <c r="I63" i="6" s="1"/>
  <c r="A60" i="6"/>
  <c r="A61" i="6" s="1"/>
  <c r="A59" i="6"/>
  <c r="M57" i="6"/>
  <c r="L57" i="6"/>
  <c r="K57" i="6"/>
  <c r="D57" i="6"/>
  <c r="J56" i="6"/>
  <c r="J57" i="6" s="1"/>
  <c r="I56" i="6"/>
  <c r="I57" i="6" s="1"/>
  <c r="A56" i="6"/>
  <c r="A58" i="6" s="1"/>
  <c r="A54" i="6"/>
  <c r="A55" i="6" s="1"/>
  <c r="A53" i="6"/>
  <c r="A52" i="6"/>
  <c r="M51" i="6"/>
  <c r="L51" i="6"/>
  <c r="K51" i="6"/>
  <c r="D51" i="6"/>
  <c r="J50" i="6"/>
  <c r="J51" i="6" s="1"/>
  <c r="I50" i="6"/>
  <c r="I51" i="6" s="1"/>
  <c r="A50" i="6"/>
  <c r="A48" i="6"/>
  <c r="A49" i="6" s="1"/>
  <c r="A47" i="6"/>
  <c r="A46" i="6"/>
  <c r="M45" i="6"/>
  <c r="L45" i="6"/>
  <c r="K45" i="6"/>
  <c r="I45" i="6"/>
  <c r="D45" i="6"/>
  <c r="J44" i="6"/>
  <c r="J45" i="6" s="1"/>
  <c r="A44" i="6"/>
  <c r="A42" i="6"/>
  <c r="A41" i="6"/>
  <c r="A40" i="6"/>
  <c r="W39" i="6"/>
  <c r="V39" i="6"/>
  <c r="U39" i="6"/>
  <c r="O39" i="6"/>
  <c r="M39" i="6"/>
  <c r="L39" i="6"/>
  <c r="K39" i="6"/>
  <c r="I39" i="6"/>
  <c r="D39" i="6"/>
  <c r="N38" i="6"/>
  <c r="J38" i="6"/>
  <c r="A38" i="6"/>
  <c r="T37" i="6"/>
  <c r="T39" i="6" s="1"/>
  <c r="S37" i="6"/>
  <c r="S39" i="6" s="1"/>
  <c r="R37" i="6"/>
  <c r="R39" i="6" s="1"/>
  <c r="Q37" i="6"/>
  <c r="Q39" i="6" s="1"/>
  <c r="P37" i="6"/>
  <c r="P39" i="6" s="1"/>
  <c r="N37" i="6"/>
  <c r="N36" i="6"/>
  <c r="J36" i="6"/>
  <c r="J39" i="6" s="1"/>
  <c r="A36" i="6"/>
  <c r="N35" i="6"/>
  <c r="A35" i="6"/>
  <c r="N34" i="6"/>
  <c r="N39" i="6" s="1"/>
  <c r="A34" i="6"/>
  <c r="W33" i="6"/>
  <c r="V33" i="6"/>
  <c r="U33" i="6"/>
  <c r="O33" i="6"/>
  <c r="M33" i="6"/>
  <c r="L33" i="6"/>
  <c r="K33" i="6"/>
  <c r="I33" i="6"/>
  <c r="D33" i="6"/>
  <c r="R32" i="6"/>
  <c r="R33" i="6" s="1"/>
  <c r="P32" i="6"/>
  <c r="N32" i="6"/>
  <c r="J32" i="6"/>
  <c r="A32" i="6"/>
  <c r="T31" i="6"/>
  <c r="T33" i="6" s="1"/>
  <c r="S31" i="6"/>
  <c r="S33" i="6" s="1"/>
  <c r="Q31" i="6"/>
  <c r="Q33" i="6" s="1"/>
  <c r="P31" i="6"/>
  <c r="P33" i="6" s="1"/>
  <c r="N31" i="6"/>
  <c r="N30" i="6"/>
  <c r="J30" i="6"/>
  <c r="J33" i="6" s="1"/>
  <c r="A30" i="6"/>
  <c r="N29" i="6"/>
  <c r="A29" i="6"/>
  <c r="N28" i="6"/>
  <c r="N33" i="6" s="1"/>
  <c r="A28" i="6"/>
  <c r="W27" i="6"/>
  <c r="V27" i="6"/>
  <c r="U27" i="6"/>
  <c r="T27" i="6"/>
  <c r="S27" i="6"/>
  <c r="O27" i="6"/>
  <c r="M27" i="6"/>
  <c r="L27" i="6"/>
  <c r="I27" i="6"/>
  <c r="I288" i="6" s="1"/>
  <c r="I289" i="6" s="1"/>
  <c r="D27" i="6"/>
  <c r="R26" i="6"/>
  <c r="R27" i="6" s="1"/>
  <c r="P26" i="6"/>
  <c r="N26" i="6"/>
  <c r="K26" i="6"/>
  <c r="J26" i="6"/>
  <c r="N25" i="6"/>
  <c r="Q24" i="6"/>
  <c r="Q27" i="6" s="1"/>
  <c r="P24" i="6"/>
  <c r="P27" i="6" s="1"/>
  <c r="N24" i="6"/>
  <c r="K24" i="6"/>
  <c r="N23" i="6"/>
  <c r="K23" i="6"/>
  <c r="N22" i="6"/>
  <c r="K22" i="6"/>
  <c r="M21" i="6"/>
  <c r="L21" i="6"/>
  <c r="K21" i="6"/>
  <c r="N20" i="6"/>
  <c r="A20" i="6"/>
  <c r="A22" i="6" s="1"/>
  <c r="A23" i="6" s="1"/>
  <c r="A24" i="6" s="1"/>
  <c r="A25" i="6" s="1"/>
  <c r="A26" i="6" s="1"/>
  <c r="V19" i="6"/>
  <c r="U19" i="6"/>
  <c r="T19" i="6"/>
  <c r="S19" i="6"/>
  <c r="R19" i="6"/>
  <c r="Q19" i="6"/>
  <c r="P19" i="6"/>
  <c r="O19" i="6"/>
  <c r="N19" i="6" s="1"/>
  <c r="J19" i="6"/>
  <c r="I19" i="6"/>
  <c r="A19" i="6"/>
  <c r="R18" i="6"/>
  <c r="O18" i="6"/>
  <c r="N18" i="6"/>
  <c r="A18" i="6"/>
  <c r="T17" i="6"/>
  <c r="S17" i="6"/>
  <c r="N17" i="6"/>
  <c r="J17" i="6"/>
  <c r="I17" i="6"/>
  <c r="I21" i="6" s="1"/>
  <c r="A16" i="6"/>
  <c r="A17" i="6" s="1"/>
  <c r="W15" i="6"/>
  <c r="W21" i="6" s="1"/>
  <c r="V15" i="6"/>
  <c r="U15" i="6"/>
  <c r="T15" i="6"/>
  <c r="T21" i="6" s="1"/>
  <c r="S15" i="6"/>
  <c r="S21" i="6" s="1"/>
  <c r="R15" i="6"/>
  <c r="Q15" i="6"/>
  <c r="P15" i="6"/>
  <c r="O15" i="6"/>
  <c r="N15" i="6"/>
  <c r="A15" i="6"/>
  <c r="W14" i="6"/>
  <c r="R14" i="6"/>
  <c r="Q14" i="6"/>
  <c r="P14" i="6"/>
  <c r="O14" i="6"/>
  <c r="M14" i="6"/>
  <c r="L14" i="6"/>
  <c r="K14" i="6"/>
  <c r="J14" i="6"/>
  <c r="I14" i="6"/>
  <c r="V13" i="6"/>
  <c r="V14" i="6" s="1"/>
  <c r="U13" i="6"/>
  <c r="U14" i="6" s="1"/>
  <c r="T13" i="6"/>
  <c r="T14" i="6" s="1"/>
  <c r="S13" i="6"/>
  <c r="S14" i="6" s="1"/>
  <c r="N13" i="6"/>
  <c r="N14" i="6" s="1"/>
  <c r="A13" i="6"/>
  <c r="W12" i="6"/>
  <c r="V12" i="6"/>
  <c r="T12" i="6"/>
  <c r="S12" i="6"/>
  <c r="R12" i="6"/>
  <c r="Q12" i="6"/>
  <c r="O12" i="6"/>
  <c r="N12" i="6"/>
  <c r="M12" i="6"/>
  <c r="L12" i="6"/>
  <c r="K12" i="6"/>
  <c r="J12" i="6"/>
  <c r="U11" i="6"/>
  <c r="U12" i="6" s="1"/>
  <c r="P11" i="6"/>
  <c r="P12" i="6" s="1"/>
  <c r="I11" i="6"/>
  <c r="I12" i="6" s="1"/>
  <c r="A11" i="6"/>
  <c r="A62" i="6" s="1"/>
  <c r="A64" i="6" s="1"/>
  <c r="W10" i="6"/>
  <c r="V10" i="6"/>
  <c r="R10" i="6"/>
  <c r="P10" i="6"/>
  <c r="O10" i="6"/>
  <c r="M10" i="6"/>
  <c r="L10" i="6"/>
  <c r="K10" i="6"/>
  <c r="J10" i="6"/>
  <c r="I10" i="6"/>
  <c r="T9" i="6"/>
  <c r="T10" i="6" s="1"/>
  <c r="Q9" i="6"/>
  <c r="N9" i="6"/>
  <c r="U8" i="6"/>
  <c r="U10" i="6" s="1"/>
  <c r="S8" i="6"/>
  <c r="S10" i="6" s="1"/>
  <c r="Q8" i="6"/>
  <c r="Q10" i="6" s="1"/>
  <c r="N8" i="6"/>
  <c r="N7" i="6"/>
  <c r="N10" i="6" s="1"/>
  <c r="A7" i="6"/>
  <c r="S6" i="6"/>
  <c r="P6" i="6"/>
  <c r="N6" i="6"/>
  <c r="J6" i="6"/>
  <c r="I6" i="6"/>
  <c r="A6" i="6"/>
  <c r="C2" i="6"/>
  <c r="C1" i="6"/>
  <c r="N316" i="7" l="1"/>
  <c r="L316" i="7"/>
  <c r="J316" i="7"/>
  <c r="I232" i="7"/>
  <c r="O316" i="7"/>
  <c r="O21" i="6"/>
  <c r="P21" i="6"/>
  <c r="Q21" i="6"/>
  <c r="U21" i="6"/>
  <c r="V21" i="6"/>
  <c r="R21" i="6"/>
  <c r="J21" i="6"/>
  <c r="N21" i="6"/>
  <c r="J282" i="6"/>
  <c r="K275" i="6"/>
  <c r="K282" i="6" s="1"/>
  <c r="J266" i="6"/>
  <c r="K265" i="6"/>
  <c r="K266" i="6" s="1"/>
  <c r="A79" i="6"/>
  <c r="A80" i="6"/>
  <c r="A82" i="6" s="1"/>
  <c r="A83" i="6" s="1"/>
  <c r="A84" i="6" s="1"/>
  <c r="J27" i="6"/>
  <c r="J288" i="6"/>
  <c r="N27" i="6"/>
  <c r="K27" i="6"/>
  <c r="K288" i="6"/>
  <c r="A37" i="6"/>
  <c r="A43" i="6"/>
  <c r="A31" i="6"/>
  <c r="A8" i="6"/>
  <c r="A9" i="6"/>
  <c r="A73" i="6"/>
  <c r="A67" i="6"/>
  <c r="A85" i="6" l="1"/>
  <c r="A86" i="6"/>
  <c r="A88" i="6" l="1"/>
  <c r="A89" i="6" s="1"/>
  <c r="A90" i="6" s="1"/>
  <c r="A130" i="6"/>
  <c r="A131" i="6" s="1"/>
  <c r="A132" i="6" s="1"/>
  <c r="A92" i="6" l="1"/>
  <c r="A91" i="6"/>
  <c r="A256" i="6"/>
  <c r="A257" i="6" s="1"/>
  <c r="A258" i="6" s="1"/>
  <c r="A133" i="6"/>
  <c r="A134" i="6"/>
  <c r="A94" i="6" l="1"/>
  <c r="A95" i="6" s="1"/>
  <c r="A96" i="6" s="1"/>
  <c r="A136" i="6"/>
  <c r="A137" i="6" s="1"/>
  <c r="A138" i="6" s="1"/>
  <c r="A259" i="6"/>
  <c r="A260" i="6"/>
  <c r="A178" i="6"/>
  <c r="A179" i="6" s="1"/>
  <c r="A180" i="6" s="1"/>
  <c r="A262" i="6"/>
  <c r="A263" i="6" s="1"/>
  <c r="A264" i="6" s="1"/>
  <c r="A265" i="6" s="1"/>
  <c r="A267" i="6" s="1"/>
  <c r="A268" i="6" s="1"/>
  <c r="A269" i="6" s="1"/>
  <c r="A270" i="6" s="1"/>
  <c r="A97" i="6" l="1"/>
  <c r="A98" i="6"/>
  <c r="A139" i="6"/>
  <c r="A140" i="6"/>
  <c r="A184" i="6" s="1"/>
  <c r="A185" i="6" s="1"/>
  <c r="A186" i="6" s="1"/>
  <c r="A182" i="6"/>
  <c r="A226" i="6" s="1"/>
  <c r="A227" i="6" s="1"/>
  <c r="A228" i="6" s="1"/>
  <c r="A181" i="6"/>
  <c r="A142" i="6" l="1"/>
  <c r="A143" i="6" s="1"/>
  <c r="A144" i="6" s="1"/>
  <c r="A100" i="6"/>
  <c r="A101" i="6" s="1"/>
  <c r="A102" i="6" s="1"/>
  <c r="A188" i="6"/>
  <c r="A232" i="6" s="1"/>
  <c r="A233" i="6" s="1"/>
  <c r="A234" i="6" s="1"/>
  <c r="A187" i="6"/>
  <c r="A229" i="6"/>
  <c r="A230" i="6"/>
  <c r="A145" i="6" l="1"/>
  <c r="A146" i="6"/>
  <c r="A190" i="6" s="1"/>
  <c r="A191" i="6" s="1"/>
  <c r="A192" i="6" s="1"/>
  <c r="A104" i="6"/>
  <c r="A103" i="6"/>
  <c r="A235" i="6"/>
  <c r="A236" i="6"/>
  <c r="A194" i="6" l="1"/>
  <c r="A238" i="6" s="1"/>
  <c r="A239" i="6" s="1"/>
  <c r="A240" i="6" s="1"/>
  <c r="A193" i="6"/>
  <c r="A148" i="6"/>
  <c r="A149" i="6" s="1"/>
  <c r="A150" i="6" s="1"/>
  <c r="A106" i="6"/>
  <c r="A107" i="6" s="1"/>
  <c r="A108" i="6" s="1"/>
  <c r="A242" i="6" l="1"/>
  <c r="A241" i="6"/>
  <c r="A151" i="6"/>
  <c r="A152" i="6"/>
  <c r="A196" i="6" s="1"/>
  <c r="A197" i="6" s="1"/>
  <c r="A198" i="6" s="1"/>
  <c r="A109" i="6"/>
  <c r="A110" i="6"/>
  <c r="A199" i="6" l="1"/>
  <c r="A200" i="6"/>
  <c r="A244" i="6" s="1"/>
  <c r="A245" i="6" s="1"/>
  <c r="A246" i="6" s="1"/>
  <c r="A112" i="6"/>
  <c r="A113" i="6" s="1"/>
  <c r="A114" i="6" s="1"/>
  <c r="A154" i="6"/>
  <c r="A155" i="6" s="1"/>
  <c r="A156" i="6" s="1"/>
  <c r="A248" i="6" l="1"/>
  <c r="A247" i="6"/>
  <c r="A115" i="6"/>
  <c r="A116" i="6"/>
  <c r="A158" i="6"/>
  <c r="A202" i="6" s="1"/>
  <c r="A203" i="6" s="1"/>
  <c r="A204" i="6" s="1"/>
  <c r="A157" i="6"/>
  <c r="A160" i="6" l="1"/>
  <c r="A161" i="6" s="1"/>
  <c r="A162" i="6" s="1"/>
  <c r="A118" i="6"/>
  <c r="A119" i="6" s="1"/>
  <c r="A120" i="6" s="1"/>
  <c r="A205" i="6"/>
  <c r="A206" i="6"/>
  <c r="A250" i="6" s="1"/>
  <c r="A251" i="6" s="1"/>
  <c r="A252" i="6" s="1"/>
  <c r="A163" i="6" l="1"/>
  <c r="A164" i="6"/>
  <c r="A208" i="6" s="1"/>
  <c r="A209" i="6" s="1"/>
  <c r="A210" i="6" s="1"/>
  <c r="A121" i="6"/>
  <c r="A122" i="6"/>
  <c r="A254" i="6"/>
  <c r="A253" i="6"/>
  <c r="A212" i="6" l="1"/>
  <c r="A211" i="6"/>
  <c r="A124" i="6"/>
  <c r="A125" i="6" s="1"/>
  <c r="A126" i="6" s="1"/>
  <c r="A166" i="6"/>
  <c r="A167" i="6" s="1"/>
  <c r="A168" i="6" s="1"/>
  <c r="A128" i="6" l="1"/>
  <c r="A172" i="6" s="1"/>
  <c r="A173" i="6" s="1"/>
  <c r="A174" i="6" s="1"/>
  <c r="A127" i="6"/>
  <c r="A169" i="6"/>
  <c r="A170" i="6"/>
  <c r="A214" i="6" s="1"/>
  <c r="A215" i="6" s="1"/>
  <c r="A216" i="6" s="1"/>
  <c r="A175" i="6" l="1"/>
  <c r="A176" i="6"/>
  <c r="A220" i="6" s="1"/>
  <c r="A221" i="6" s="1"/>
  <c r="A222" i="6" s="1"/>
  <c r="A217" i="6"/>
  <c r="A218" i="6"/>
  <c r="A223" i="6" l="1"/>
  <c r="A224" i="6"/>
  <c r="W69" i="6" l="1"/>
  <c r="W64" i="6"/>
  <c r="U117" i="6"/>
  <c r="U112" i="6"/>
  <c r="S201" i="6"/>
  <c r="S196" i="6"/>
  <c r="V63" i="6"/>
  <c r="V58" i="6"/>
  <c r="N59" i="6"/>
  <c r="O59" i="6"/>
  <c r="T183" i="6"/>
  <c r="T178" i="6"/>
  <c r="T219" i="6"/>
  <c r="T214" i="6"/>
  <c r="V255" i="6"/>
  <c r="V250" i="6"/>
  <c r="S153" i="6"/>
  <c r="S148" i="6"/>
  <c r="P219" i="6"/>
  <c r="P214" i="6"/>
  <c r="V225" i="6"/>
  <c r="V220" i="6"/>
  <c r="U201" i="6"/>
  <c r="U196" i="6"/>
  <c r="S249" i="6"/>
  <c r="S244" i="6"/>
  <c r="U237" i="6"/>
  <c r="U232" i="6"/>
  <c r="N56" i="6"/>
  <c r="O56" i="6"/>
  <c r="R147" i="6"/>
  <c r="R142" i="6"/>
  <c r="N293" i="6"/>
  <c r="N292" i="6"/>
  <c r="W225" i="6"/>
  <c r="W220" i="6"/>
  <c r="U207" i="6"/>
  <c r="U202" i="6"/>
  <c r="T123" i="6"/>
  <c r="T118" i="6"/>
  <c r="W255" i="6"/>
  <c r="W250" i="6"/>
  <c r="V207" i="6"/>
  <c r="V202" i="6"/>
  <c r="P129" i="6"/>
  <c r="P124" i="6"/>
  <c r="S213" i="6"/>
  <c r="S208" i="6"/>
  <c r="T111" i="6"/>
  <c r="T106" i="6"/>
  <c r="U153" i="6"/>
  <c r="U148" i="6"/>
  <c r="O45" i="6"/>
  <c r="O207" i="6"/>
  <c r="O202" i="6"/>
  <c r="Q117" i="6"/>
  <c r="Q112" i="6"/>
  <c r="S51" i="6"/>
  <c r="S46" i="6"/>
  <c r="R123" i="6"/>
  <c r="R118" i="6"/>
  <c r="P237" i="6"/>
  <c r="P232" i="6"/>
  <c r="T141" i="6"/>
  <c r="T136" i="6"/>
  <c r="S219" i="6"/>
  <c r="S214" i="6"/>
  <c r="P249" i="6"/>
  <c r="P244" i="6"/>
  <c r="S171" i="6"/>
  <c r="S166" i="6"/>
  <c r="Q123" i="6"/>
  <c r="Q118" i="6"/>
  <c r="W171" i="6"/>
  <c r="W166" i="6"/>
  <c r="R105" i="6"/>
  <c r="R100" i="6"/>
  <c r="Q195" i="6"/>
  <c r="Q190" i="6"/>
  <c r="Q219" i="6"/>
  <c r="Q214" i="6"/>
  <c r="N61" i="6"/>
  <c r="O61" i="6"/>
  <c r="V123" i="6"/>
  <c r="V118" i="6"/>
  <c r="O266" i="6"/>
  <c r="O262" i="6"/>
  <c r="P123" i="6"/>
  <c r="P118" i="6"/>
  <c r="N57" i="6"/>
  <c r="N52" i="6"/>
  <c r="V219" i="6"/>
  <c r="V214" i="6"/>
  <c r="N43" i="6"/>
  <c r="O43" i="6"/>
  <c r="Q69" i="6"/>
  <c r="Q64" i="6"/>
  <c r="W63" i="6"/>
  <c r="W58" i="6"/>
  <c r="S57" i="6"/>
  <c r="S52" i="6"/>
  <c r="N81" i="6"/>
  <c r="N76" i="6"/>
  <c r="W111" i="6"/>
  <c r="W106" i="6"/>
  <c r="O165" i="6"/>
  <c r="O160" i="6"/>
  <c r="O177" i="6"/>
  <c r="O172" i="6"/>
  <c r="N85" i="6"/>
  <c r="O85" i="6"/>
  <c r="R153" i="6"/>
  <c r="R148" i="6"/>
  <c r="V201" i="6"/>
  <c r="V196" i="6"/>
  <c r="P159" i="6"/>
  <c r="P154" i="6"/>
  <c r="R219" i="6"/>
  <c r="R214" i="6"/>
  <c r="Q189" i="6"/>
  <c r="Q184" i="6"/>
  <c r="P57" i="6"/>
  <c r="P52" i="6"/>
  <c r="T135" i="6"/>
  <c r="T130" i="6"/>
  <c r="N74" i="6"/>
  <c r="O74" i="6"/>
  <c r="P99" i="6"/>
  <c r="P94" i="6"/>
  <c r="N289" i="6"/>
  <c r="N288" i="6"/>
  <c r="O93" i="6"/>
  <c r="O88" i="6"/>
  <c r="R51" i="6"/>
  <c r="R46" i="6"/>
  <c r="R225" i="6"/>
  <c r="R220" i="6"/>
  <c r="O219" i="6"/>
  <c r="O214" i="6"/>
  <c r="P177" i="6"/>
  <c r="P172" i="6"/>
  <c r="S111" i="6"/>
  <c r="S106" i="6"/>
  <c r="R261" i="6"/>
  <c r="R256" i="6"/>
  <c r="O271" i="6"/>
  <c r="O267" i="6"/>
  <c r="R87" i="6"/>
  <c r="R82" i="6"/>
  <c r="V237" i="6"/>
  <c r="V232" i="6"/>
  <c r="U219" i="6"/>
  <c r="U214" i="6"/>
  <c r="U123" i="6"/>
  <c r="U118" i="6"/>
  <c r="T105" i="6"/>
  <c r="T100" i="6"/>
  <c r="N65" i="6"/>
  <c r="O65" i="6"/>
  <c r="O261" i="6"/>
  <c r="O256" i="6"/>
  <c r="W45" i="6"/>
  <c r="W40" i="6"/>
  <c r="T69" i="6"/>
  <c r="T64" i="6"/>
  <c r="P111" i="6"/>
  <c r="P106" i="6"/>
  <c r="V45" i="6"/>
  <c r="V40" i="6"/>
  <c r="N78" i="6"/>
  <c r="O78" i="6"/>
  <c r="N77" i="6"/>
  <c r="O77" i="6"/>
  <c r="V69" i="6"/>
  <c r="V64" i="6"/>
  <c r="P266" i="6"/>
  <c r="P262" i="6"/>
  <c r="S165" i="6"/>
  <c r="S160" i="6"/>
  <c r="V51" i="6"/>
  <c r="V46" i="6"/>
  <c r="T207" i="6"/>
  <c r="T202" i="6"/>
  <c r="T159" i="6"/>
  <c r="T154" i="6"/>
  <c r="P51" i="6"/>
  <c r="P46" i="6"/>
  <c r="U225" i="6"/>
  <c r="U220" i="6"/>
  <c r="N73" i="6"/>
  <c r="O73" i="6"/>
  <c r="V243" i="6"/>
  <c r="V238" i="6"/>
  <c r="O75" i="6"/>
  <c r="U105" i="6"/>
  <c r="U100" i="6"/>
  <c r="U183" i="6"/>
  <c r="U178" i="6"/>
  <c r="P75" i="6"/>
  <c r="P70" i="6"/>
  <c r="O249" i="6"/>
  <c r="O244" i="6"/>
  <c r="S243" i="6"/>
  <c r="S238" i="6"/>
  <c r="S45" i="6"/>
  <c r="S40" i="6"/>
  <c r="T213" i="6"/>
  <c r="T208" i="6"/>
  <c r="O183" i="6"/>
  <c r="O178" i="6"/>
  <c r="U159" i="6"/>
  <c r="U154" i="6"/>
  <c r="T266" i="6"/>
  <c r="T262" i="6"/>
  <c r="P147" i="6"/>
  <c r="P142" i="6"/>
  <c r="R159" i="6"/>
  <c r="R154" i="6"/>
  <c r="N55" i="6"/>
  <c r="O55" i="6"/>
  <c r="W51" i="6"/>
  <c r="W46" i="6"/>
  <c r="Q237" i="6"/>
  <c r="Q232" i="6"/>
  <c r="V171" i="6"/>
  <c r="V166" i="6"/>
  <c r="Q183" i="6"/>
  <c r="Q178" i="6"/>
  <c r="N54" i="6"/>
  <c r="O54" i="6"/>
  <c r="S261" i="6"/>
  <c r="S256" i="6"/>
  <c r="T87" i="6"/>
  <c r="T82" i="6"/>
  <c r="S141" i="6"/>
  <c r="S136" i="6"/>
  <c r="N84" i="6"/>
  <c r="O84" i="6"/>
  <c r="Q93" i="6"/>
  <c r="Q88" i="6"/>
  <c r="R237" i="6"/>
  <c r="R232" i="6"/>
  <c r="Q99" i="6"/>
  <c r="Q94" i="6"/>
  <c r="R165" i="6"/>
  <c r="R160" i="6"/>
  <c r="Q165" i="6"/>
  <c r="Q160" i="6"/>
  <c r="Q255" i="6"/>
  <c r="Q250" i="6"/>
  <c r="Q135" i="6"/>
  <c r="Q130" i="6"/>
  <c r="Q57" i="6"/>
  <c r="Q52" i="6"/>
  <c r="S189" i="6"/>
  <c r="S184" i="6"/>
  <c r="U57" i="6"/>
  <c r="U52" i="6"/>
  <c r="N41" i="6"/>
  <c r="O41" i="6"/>
  <c r="O51" i="6"/>
  <c r="R75" i="6"/>
  <c r="R70" i="6"/>
  <c r="Q243" i="6"/>
  <c r="Q238" i="6"/>
  <c r="Q177" i="6"/>
  <c r="Q172" i="6"/>
  <c r="N48" i="6"/>
  <c r="O48" i="6"/>
  <c r="S69" i="6"/>
  <c r="S64" i="6"/>
  <c r="Q261" i="6"/>
  <c r="Q256" i="6"/>
  <c r="O123" i="6"/>
  <c r="O118" i="6"/>
  <c r="S93" i="6"/>
  <c r="S88" i="6"/>
  <c r="P201" i="6"/>
  <c r="P196" i="6"/>
  <c r="S207" i="6"/>
  <c r="S202" i="6"/>
  <c r="Q105" i="6"/>
  <c r="Q100" i="6"/>
  <c r="W261" i="6"/>
  <c r="W256" i="6"/>
  <c r="N69" i="6"/>
  <c r="N64" i="6"/>
  <c r="P271" i="6"/>
  <c r="P267" i="6"/>
  <c r="S105" i="6"/>
  <c r="S100" i="6"/>
  <c r="O255" i="6"/>
  <c r="O250" i="6"/>
  <c r="P45" i="6"/>
  <c r="P40" i="6"/>
  <c r="P213" i="6"/>
  <c r="P208" i="6"/>
  <c r="V189" i="6"/>
  <c r="V184" i="6"/>
  <c r="U266" i="6"/>
  <c r="U262" i="6"/>
  <c r="S195" i="6"/>
  <c r="S190" i="6"/>
  <c r="U87" i="6"/>
  <c r="U82" i="6"/>
  <c r="T75" i="6"/>
  <c r="T70" i="6"/>
  <c r="V111" i="6"/>
  <c r="V106" i="6"/>
  <c r="U165" i="6"/>
  <c r="U160" i="6"/>
  <c r="N86" i="6"/>
  <c r="O86" i="6"/>
  <c r="P87" i="6"/>
  <c r="P82" i="6"/>
  <c r="N66" i="6"/>
  <c r="O66" i="6"/>
  <c r="U255" i="6"/>
  <c r="U250" i="6"/>
  <c r="N42" i="6"/>
  <c r="O42" i="6"/>
  <c r="Q231" i="6"/>
  <c r="Q226" i="6"/>
  <c r="T225" i="6"/>
  <c r="T220" i="6"/>
  <c r="O129" i="6"/>
  <c r="O124" i="6"/>
  <c r="N49" i="6"/>
  <c r="O49" i="6"/>
  <c r="N68" i="6"/>
  <c r="O68" i="6"/>
  <c r="Q266" i="6"/>
  <c r="Q262" i="6"/>
  <c r="O63" i="6"/>
  <c r="R129" i="6"/>
  <c r="R124" i="6"/>
  <c r="W201" i="6"/>
  <c r="W196" i="6"/>
  <c r="O105" i="6"/>
  <c r="O100" i="6"/>
  <c r="W165" i="6"/>
  <c r="W160" i="6"/>
  <c r="N83" i="6"/>
  <c r="O83" i="6"/>
  <c r="T117" i="6"/>
  <c r="T112" i="6"/>
  <c r="U195" i="6"/>
  <c r="U190" i="6"/>
  <c r="S231" i="6"/>
  <c r="S226" i="6"/>
  <c r="W243" i="6"/>
  <c r="W238" i="6"/>
  <c r="N47" i="6"/>
  <c r="O47" i="6"/>
  <c r="U51" i="6"/>
  <c r="U46" i="6"/>
  <c r="P189" i="6"/>
  <c r="P184" i="6"/>
  <c r="Q87" i="6"/>
  <c r="Q82" i="6"/>
  <c r="O189" i="6"/>
  <c r="O184" i="6"/>
  <c r="W147" i="6"/>
  <c r="W142" i="6"/>
  <c r="T51" i="6"/>
  <c r="T46" i="6"/>
  <c r="R57" i="6"/>
  <c r="R52" i="6"/>
  <c r="T45" i="6"/>
  <c r="T40" i="6"/>
  <c r="Q249" i="6"/>
  <c r="Q244" i="6"/>
  <c r="T99" i="6"/>
  <c r="T94" i="6"/>
  <c r="S147" i="6"/>
  <c r="S142" i="6"/>
  <c r="S266" i="6"/>
  <c r="S262" i="6"/>
  <c r="R195" i="6"/>
  <c r="R190" i="6"/>
  <c r="O40" i="6"/>
  <c r="N40" i="6"/>
  <c r="N45" i="6"/>
  <c r="U213" i="6"/>
  <c r="U208" i="6"/>
  <c r="O117" i="6"/>
  <c r="O112" i="6"/>
  <c r="O52" i="6"/>
  <c r="O57" i="6"/>
  <c r="P117" i="6"/>
  <c r="P112" i="6"/>
  <c r="T261" i="6"/>
  <c r="T256" i="6"/>
  <c r="S117" i="6"/>
  <c r="S112" i="6"/>
  <c r="U171" i="6"/>
  <c r="U166" i="6"/>
  <c r="W117" i="6"/>
  <c r="W112" i="6"/>
  <c r="W123" i="6"/>
  <c r="W118" i="6"/>
  <c r="R207" i="6"/>
  <c r="R202" i="6"/>
  <c r="Q129" i="6"/>
  <c r="Q124" i="6"/>
  <c r="R231" i="6"/>
  <c r="R226" i="6"/>
  <c r="S255" i="6"/>
  <c r="S250" i="6"/>
  <c r="T201" i="6"/>
  <c r="T196" i="6"/>
  <c r="R99" i="6"/>
  <c r="R94" i="6"/>
  <c r="O46" i="6"/>
  <c r="N46" i="6"/>
  <c r="N51" i="6"/>
  <c r="S99" i="6"/>
  <c r="S94" i="6"/>
  <c r="V93" i="6"/>
  <c r="V88" i="6"/>
  <c r="N79" i="6"/>
  <c r="O79" i="6"/>
  <c r="O147" i="6"/>
  <c r="O142" i="6"/>
  <c r="V135" i="6"/>
  <c r="V130" i="6"/>
  <c r="R141" i="6"/>
  <c r="R136" i="6"/>
  <c r="N80" i="6"/>
  <c r="O80" i="6"/>
  <c r="U63" i="6"/>
  <c r="U58" i="6"/>
  <c r="Q225" i="6"/>
  <c r="Q220" i="6"/>
  <c r="V57" i="6"/>
  <c r="V52" i="6"/>
  <c r="W153" i="6"/>
  <c r="W148" i="6"/>
  <c r="V129" i="6"/>
  <c r="V124" i="6"/>
  <c r="W207" i="6"/>
  <c r="W202" i="6"/>
  <c r="R117" i="6"/>
  <c r="R112" i="6"/>
  <c r="U189" i="6"/>
  <c r="U184" i="6"/>
  <c r="Q213" i="6"/>
  <c r="Q208" i="6"/>
  <c r="R255" i="6"/>
  <c r="R250" i="6"/>
  <c r="R69" i="6"/>
  <c r="R64" i="6"/>
  <c r="N72" i="6"/>
  <c r="O72" i="6"/>
  <c r="T249" i="6"/>
  <c r="T244" i="6"/>
  <c r="S225" i="6"/>
  <c r="S220" i="6"/>
  <c r="R213" i="6"/>
  <c r="R208" i="6"/>
  <c r="W93" i="6"/>
  <c r="W88" i="6"/>
  <c r="U141" i="6"/>
  <c r="U136" i="6"/>
  <c r="R135" i="6"/>
  <c r="R130" i="6"/>
  <c r="R177" i="6"/>
  <c r="R172" i="6"/>
  <c r="P165" i="6"/>
  <c r="P160" i="6"/>
  <c r="P207" i="6"/>
  <c r="P202" i="6"/>
  <c r="P69" i="6"/>
  <c r="P64" i="6"/>
  <c r="P105" i="6"/>
  <c r="P100" i="6"/>
  <c r="P135" i="6"/>
  <c r="P130" i="6"/>
  <c r="Q63" i="6"/>
  <c r="Q58" i="6"/>
  <c r="S183" i="6"/>
  <c r="S178" i="6"/>
  <c r="T153" i="6"/>
  <c r="T148" i="6"/>
  <c r="O243" i="6"/>
  <c r="O238" i="6"/>
  <c r="O111" i="6"/>
  <c r="O106" i="6"/>
  <c r="V87" i="6"/>
  <c r="V82" i="6"/>
  <c r="P231" i="6"/>
  <c r="P226" i="6"/>
  <c r="T195" i="6"/>
  <c r="T190" i="6"/>
  <c r="T189" i="6"/>
  <c r="T184" i="6"/>
  <c r="U249" i="6"/>
  <c r="U244" i="6"/>
  <c r="V231" i="6"/>
  <c r="V226" i="6"/>
  <c r="V183" i="6"/>
  <c r="V178" i="6"/>
  <c r="U129" i="6"/>
  <c r="U124" i="6"/>
  <c r="P225" i="6"/>
  <c r="P220" i="6"/>
  <c r="Q201" i="6"/>
  <c r="Q196" i="6"/>
  <c r="P255" i="6"/>
  <c r="P250" i="6"/>
  <c r="W213" i="6"/>
  <c r="W208" i="6"/>
  <c r="W249" i="6"/>
  <c r="W244" i="6"/>
  <c r="T171" i="6"/>
  <c r="T166" i="6"/>
  <c r="U261" i="6"/>
  <c r="U256" i="6"/>
  <c r="U93" i="6"/>
  <c r="U88" i="6"/>
  <c r="V213" i="6"/>
  <c r="V208" i="6"/>
  <c r="S271" i="6"/>
  <c r="S267" i="6"/>
  <c r="W135" i="6"/>
  <c r="W130" i="6"/>
  <c r="N60" i="6"/>
  <c r="O60" i="6"/>
  <c r="R266" i="6"/>
  <c r="R262" i="6"/>
  <c r="V105" i="6"/>
  <c r="V100" i="6"/>
  <c r="V141" i="6"/>
  <c r="V136" i="6"/>
  <c r="V195" i="6"/>
  <c r="V190" i="6"/>
  <c r="N53" i="6"/>
  <c r="O53" i="6"/>
  <c r="R183" i="6"/>
  <c r="R178" i="6"/>
  <c r="O213" i="6"/>
  <c r="O208" i="6"/>
  <c r="V261" i="6"/>
  <c r="V256" i="6"/>
  <c r="W159" i="6"/>
  <c r="W154" i="6"/>
  <c r="U45" i="6"/>
  <c r="U40" i="6"/>
  <c r="R189" i="6"/>
  <c r="R184" i="6"/>
  <c r="R249" i="6"/>
  <c r="R244" i="6"/>
  <c r="R243" i="6"/>
  <c r="R238" i="6"/>
  <c r="U99" i="6"/>
  <c r="U94" i="6"/>
  <c r="U177" i="6"/>
  <c r="U172" i="6"/>
  <c r="R63" i="6"/>
  <c r="R58" i="6"/>
  <c r="U231" i="6"/>
  <c r="U226" i="6"/>
  <c r="W99" i="6"/>
  <c r="W94" i="6"/>
  <c r="O225" i="6"/>
  <c r="O220" i="6"/>
  <c r="O87" i="6"/>
  <c r="V159" i="6"/>
  <c r="V154" i="6"/>
  <c r="V153" i="6"/>
  <c r="V148" i="6"/>
  <c r="W231" i="6"/>
  <c r="W226" i="6"/>
  <c r="T243" i="6"/>
  <c r="T238" i="6"/>
  <c r="S237" i="6"/>
  <c r="S232" i="6"/>
  <c r="Q75" i="6"/>
  <c r="Q70" i="6"/>
  <c r="W57" i="6"/>
  <c r="W52" i="6"/>
  <c r="W105" i="6"/>
  <c r="W100" i="6"/>
  <c r="R171" i="6"/>
  <c r="R166" i="6"/>
  <c r="N71" i="6"/>
  <c r="O71" i="6"/>
  <c r="W177" i="6"/>
  <c r="W172" i="6"/>
  <c r="O195" i="6"/>
  <c r="O190" i="6"/>
  <c r="O141" i="6"/>
  <c r="O136" i="6"/>
  <c r="V271" i="6"/>
  <c r="V267" i="6"/>
  <c r="T147" i="6"/>
  <c r="T142" i="6"/>
  <c r="U243" i="6"/>
  <c r="U238" i="6"/>
  <c r="T165" i="6"/>
  <c r="T160" i="6"/>
  <c r="T271" i="6"/>
  <c r="T267" i="6"/>
  <c r="W183" i="6"/>
  <c r="W178" i="6"/>
  <c r="T177" i="6"/>
  <c r="T172" i="6"/>
  <c r="O58" i="6"/>
  <c r="N58" i="6"/>
  <c r="N63" i="6"/>
  <c r="Q153" i="6"/>
  <c r="Q148" i="6"/>
  <c r="U111" i="6"/>
  <c r="U106" i="6"/>
  <c r="V177" i="6"/>
  <c r="V172" i="6"/>
  <c r="V249" i="6"/>
  <c r="V244" i="6"/>
  <c r="X129" i="6"/>
  <c r="O82" i="6"/>
  <c r="N82" i="6"/>
  <c r="N87" i="6"/>
  <c r="V266" i="6"/>
  <c r="V262" i="6"/>
  <c r="U75" i="6"/>
  <c r="U70" i="6"/>
  <c r="Q171" i="6"/>
  <c r="Q166" i="6"/>
  <c r="V147" i="6"/>
  <c r="V142" i="6"/>
  <c r="O237" i="6"/>
  <c r="O232" i="6"/>
  <c r="R45" i="6"/>
  <c r="R40" i="6"/>
  <c r="O64" i="6"/>
  <c r="O69" i="6"/>
  <c r="O135" i="6"/>
  <c r="O130" i="6"/>
  <c r="P171" i="6"/>
  <c r="P166" i="6"/>
  <c r="W195" i="6"/>
  <c r="W190" i="6"/>
  <c r="W237" i="6"/>
  <c r="W232" i="6"/>
  <c r="T237" i="6"/>
  <c r="T232" i="6"/>
  <c r="S87" i="6"/>
  <c r="S82" i="6"/>
  <c r="O99" i="6"/>
  <c r="O94" i="6"/>
  <c r="O159" i="6"/>
  <c r="O154" i="6"/>
  <c r="V75" i="6"/>
  <c r="V70" i="6"/>
  <c r="N67" i="6"/>
  <c r="O67" i="6"/>
  <c r="P153" i="6"/>
  <c r="P148" i="6"/>
  <c r="T57" i="6"/>
  <c r="T52" i="6"/>
  <c r="V165" i="6"/>
  <c r="V160" i="6"/>
  <c r="W141" i="6"/>
  <c r="W136" i="6"/>
  <c r="S159" i="6"/>
  <c r="S154" i="6"/>
  <c r="O70" i="6"/>
  <c r="N70" i="6"/>
  <c r="N75" i="6"/>
  <c r="P93" i="6"/>
  <c r="P88" i="6"/>
  <c r="W219" i="6"/>
  <c r="W214" i="6"/>
  <c r="O201" i="6"/>
  <c r="O196" i="6"/>
  <c r="N50" i="6"/>
  <c r="O50" i="6"/>
  <c r="Q147" i="6"/>
  <c r="Q142" i="6"/>
  <c r="N44" i="6"/>
  <c r="O44" i="6"/>
  <c r="S135" i="6"/>
  <c r="S130" i="6"/>
  <c r="T231" i="6"/>
  <c r="T226" i="6"/>
  <c r="U147" i="6"/>
  <c r="U142" i="6"/>
  <c r="O231" i="6"/>
  <c r="O226" i="6"/>
  <c r="R93" i="6"/>
  <c r="R88" i="6"/>
  <c r="T129" i="6"/>
  <c r="T124" i="6"/>
  <c r="O171" i="6"/>
  <c r="O166" i="6"/>
  <c r="W75" i="6"/>
  <c r="W70" i="6"/>
  <c r="V96" i="6"/>
  <c r="V265" i="6"/>
  <c r="V90" i="6"/>
  <c r="V179" i="6"/>
  <c r="V224" i="6"/>
  <c r="V204" i="6"/>
  <c r="V85" i="6"/>
  <c r="V98" i="6"/>
  <c r="V210" i="6"/>
  <c r="V193" i="6"/>
  <c r="V212" i="6"/>
  <c r="V240" i="6"/>
  <c r="V149" i="6"/>
  <c r="V101" i="6"/>
  <c r="V103" i="6"/>
  <c r="V152" i="6"/>
  <c r="V95" i="6"/>
  <c r="V125" i="6"/>
  <c r="V121" i="6"/>
  <c r="V139" i="6"/>
  <c r="V42" i="6"/>
  <c r="V110" i="6"/>
  <c r="V188" i="6"/>
  <c r="V233" i="6"/>
  <c r="V186" i="6"/>
  <c r="V236" i="6"/>
  <c r="V49" i="6"/>
  <c r="V235" i="6"/>
  <c r="V102" i="6"/>
  <c r="V222" i="6"/>
  <c r="V50" i="6"/>
  <c r="V108" i="6"/>
  <c r="V61" i="6"/>
  <c r="V228" i="6"/>
  <c r="V197" i="6"/>
  <c r="V54" i="6"/>
  <c r="V176" i="6"/>
  <c r="V173" i="6"/>
  <c r="V264" i="6"/>
  <c r="V66" i="6"/>
  <c r="V218" i="6"/>
  <c r="V175" i="6"/>
  <c r="V205" i="6"/>
  <c r="V246" i="6"/>
  <c r="V143" i="6"/>
  <c r="V257" i="6"/>
  <c r="V268" i="6"/>
  <c r="V248" i="6"/>
  <c r="V56" i="6"/>
  <c r="V270" i="6"/>
  <c r="V132" i="6"/>
  <c r="V44" i="6"/>
  <c r="V169" i="6"/>
  <c r="V134" i="6"/>
  <c r="V86" i="6"/>
  <c r="V216" i="6"/>
  <c r="V131" i="6"/>
  <c r="V128" i="6"/>
  <c r="V215" i="6"/>
  <c r="V254" i="6"/>
  <c r="V187" i="6"/>
  <c r="V48" i="6"/>
  <c r="V120" i="6"/>
  <c r="V217" i="6"/>
  <c r="V89" i="6"/>
  <c r="V180" i="6"/>
  <c r="V253" i="6"/>
  <c r="V168" i="6"/>
  <c r="V72" i="6"/>
  <c r="V156" i="6"/>
  <c r="V92" i="6"/>
  <c r="V83" i="6"/>
  <c r="V68" i="6"/>
  <c r="V198" i="6"/>
  <c r="V71" i="6"/>
  <c r="V144" i="6"/>
  <c r="V239" i="6"/>
  <c r="V203" i="6"/>
  <c r="V258" i="6"/>
  <c r="V211" i="6"/>
  <c r="V181" i="6"/>
  <c r="V221" i="6"/>
  <c r="V185" i="6"/>
  <c r="V230" i="6"/>
  <c r="V65" i="6"/>
  <c r="V138" i="6"/>
  <c r="V43" i="6"/>
  <c r="V157" i="6"/>
  <c r="V91" i="6"/>
  <c r="V79" i="6"/>
  <c r="V74" i="6"/>
  <c r="V113" i="6"/>
  <c r="V59" i="6"/>
  <c r="V114" i="6"/>
  <c r="V60" i="6"/>
  <c r="V269" i="6"/>
  <c r="V104" i="6"/>
  <c r="V62" i="6"/>
  <c r="V150" i="6"/>
  <c r="V200" i="6"/>
  <c r="V77" i="6"/>
  <c r="V119" i="6"/>
  <c r="V67" i="6"/>
  <c r="V155" i="6"/>
  <c r="V158" i="6"/>
  <c r="V194" i="6"/>
  <c r="V137" i="6"/>
  <c r="V199" i="6"/>
  <c r="V229" i="6"/>
  <c r="V78" i="6"/>
  <c r="V161" i="6"/>
  <c r="V163" i="6"/>
  <c r="V234" i="6"/>
  <c r="V245" i="6"/>
  <c r="V164" i="6"/>
  <c r="V263" i="6"/>
  <c r="V133" i="6"/>
  <c r="V223" i="6"/>
  <c r="V145" i="6"/>
  <c r="V242" i="6"/>
  <c r="V84" i="6"/>
  <c r="V191" i="6"/>
  <c r="V260" i="6"/>
  <c r="V115" i="6"/>
  <c r="V53" i="6"/>
  <c r="V73" i="6"/>
  <c r="V97" i="6"/>
  <c r="V116" i="6"/>
  <c r="V140" i="6"/>
  <c r="V259" i="6"/>
  <c r="V127" i="6"/>
  <c r="V174" i="6"/>
  <c r="V247" i="6"/>
  <c r="V146" i="6"/>
  <c r="V41" i="6"/>
  <c r="V227" i="6"/>
  <c r="V167" i="6"/>
  <c r="V192" i="6"/>
  <c r="V209" i="6"/>
  <c r="V80" i="6"/>
  <c r="V151" i="6"/>
  <c r="V109" i="6"/>
  <c r="V251" i="6"/>
  <c r="V241" i="6"/>
  <c r="V55" i="6"/>
  <c r="V252" i="6"/>
  <c r="V126" i="6"/>
  <c r="V170" i="6"/>
  <c r="V162" i="6"/>
  <c r="V122" i="6"/>
  <c r="V47" i="6"/>
  <c r="V107" i="6"/>
  <c r="V182" i="6"/>
  <c r="V206" i="6"/>
  <c r="P63" i="6"/>
  <c r="P58" i="6"/>
  <c r="S129" i="6"/>
  <c r="S124" i="6"/>
  <c r="Q207" i="6"/>
  <c r="Q202" i="6"/>
  <c r="V94" i="6"/>
  <c r="V99" i="6"/>
  <c r="U69" i="6"/>
  <c r="U64" i="6"/>
  <c r="Q111" i="6"/>
  <c r="Q106" i="6"/>
  <c r="P243" i="6"/>
  <c r="P238" i="6"/>
  <c r="R271" i="6"/>
  <c r="R267" i="6"/>
  <c r="P261" i="6"/>
  <c r="P256" i="6"/>
  <c r="Q271" i="6"/>
  <c r="Q267" i="6"/>
  <c r="W87" i="6"/>
  <c r="W82" i="6"/>
  <c r="P141" i="6"/>
  <c r="P136" i="6"/>
  <c r="T93" i="6"/>
  <c r="T88" i="6"/>
  <c r="T63" i="6"/>
  <c r="T58" i="6"/>
  <c r="N62" i="6"/>
  <c r="O62" i="6"/>
  <c r="S177" i="6"/>
  <c r="S172" i="6"/>
  <c r="Q159" i="6"/>
  <c r="Q154" i="6"/>
  <c r="T255" i="6"/>
  <c r="T250" i="6"/>
  <c r="S63" i="6"/>
  <c r="S58" i="6"/>
  <c r="O153" i="6"/>
  <c r="O148" i="6"/>
  <c r="P195" i="6"/>
  <c r="P190" i="6"/>
  <c r="U271" i="6"/>
  <c r="U267" i="6"/>
  <c r="V76" i="6"/>
  <c r="V81" i="6"/>
  <c r="V5" i="6"/>
  <c r="V112" i="6"/>
  <c r="V117" i="6"/>
  <c r="Q72" i="6"/>
  <c r="Q73" i="6"/>
  <c r="Q268" i="6"/>
  <c r="Q78" i="6"/>
  <c r="Q173" i="6"/>
  <c r="Q155" i="6"/>
  <c r="Q119" i="6"/>
  <c r="Q200" i="6"/>
  <c r="Q245" i="6"/>
  <c r="Q115" i="6"/>
  <c r="Q144" i="6"/>
  <c r="Q193" i="6"/>
  <c r="Q91" i="6"/>
  <c r="Q114" i="6"/>
  <c r="Q259" i="6"/>
  <c r="Q233" i="6"/>
  <c r="Q43" i="6"/>
  <c r="Q80" i="6"/>
  <c r="Q137" i="6"/>
  <c r="Q203" i="6"/>
  <c r="Q122" i="6"/>
  <c r="Q212" i="6"/>
  <c r="Q149" i="6"/>
  <c r="Q107" i="6"/>
  <c r="Q229" i="6"/>
  <c r="Q260" i="6"/>
  <c r="Q65" i="6"/>
  <c r="Q186" i="6"/>
  <c r="Q197" i="6"/>
  <c r="Q257" i="6"/>
  <c r="Q71" i="6"/>
  <c r="Q116" i="6"/>
  <c r="Q139" i="6"/>
  <c r="Q49" i="6"/>
  <c r="Q221" i="6"/>
  <c r="Q79" i="6"/>
  <c r="Q161" i="6"/>
  <c r="Q181" i="6"/>
  <c r="Q90" i="6"/>
  <c r="Q158" i="6"/>
  <c r="Q138" i="6"/>
  <c r="Q248" i="6"/>
  <c r="Q104" i="6"/>
  <c r="Q264" i="6"/>
  <c r="Q92" i="6"/>
  <c r="Q121" i="6"/>
  <c r="Q236" i="6"/>
  <c r="Q97" i="6"/>
  <c r="Q263" i="6"/>
  <c r="Q103" i="6"/>
  <c r="Q198" i="6"/>
  <c r="Q146" i="6"/>
  <c r="Q102" i="6"/>
  <c r="Q145" i="6"/>
  <c r="Q55" i="6"/>
  <c r="Q126" i="6"/>
  <c r="Q98" i="6"/>
  <c r="Q199" i="6"/>
  <c r="Q68" i="6"/>
  <c r="Q74" i="6"/>
  <c r="Q42" i="6"/>
  <c r="Q167" i="6"/>
  <c r="Q84" i="6"/>
  <c r="Q53" i="6"/>
  <c r="Q168" i="6"/>
  <c r="Q235" i="6"/>
  <c r="Q191" i="6"/>
  <c r="Q188" i="6"/>
  <c r="Q174" i="6"/>
  <c r="Q175" i="6"/>
  <c r="Q218" i="6"/>
  <c r="Q150" i="6"/>
  <c r="Q253" i="6"/>
  <c r="Q170" i="6"/>
  <c r="Q95" i="6"/>
  <c r="Q132" i="6"/>
  <c r="Q164" i="6"/>
  <c r="Q240" i="6"/>
  <c r="Q224" i="6"/>
  <c r="Q192" i="6"/>
  <c r="Q222" i="6"/>
  <c r="Q270" i="6"/>
  <c r="Q54" i="6"/>
  <c r="Q254" i="6"/>
  <c r="Q180" i="6"/>
  <c r="Q169" i="6"/>
  <c r="Q85" i="6"/>
  <c r="Q239" i="6"/>
  <c r="Q120" i="6"/>
  <c r="Q215" i="6"/>
  <c r="Q127" i="6"/>
  <c r="Q61" i="6"/>
  <c r="Q187" i="6"/>
  <c r="Q143" i="6"/>
  <c r="Q60" i="6"/>
  <c r="Q66" i="6"/>
  <c r="Q216" i="6"/>
  <c r="Q204" i="6"/>
  <c r="Q241" i="6"/>
  <c r="Q140" i="6"/>
  <c r="Q217" i="6"/>
  <c r="Q125" i="6"/>
  <c r="Q157" i="6"/>
  <c r="Q209" i="6"/>
  <c r="Q48" i="6"/>
  <c r="Q83" i="6"/>
  <c r="Q206" i="6"/>
  <c r="Q163" i="6"/>
  <c r="Q228" i="6"/>
  <c r="Q134" i="6"/>
  <c r="Q131" i="6"/>
  <c r="Q227" i="6"/>
  <c r="Q67" i="6"/>
  <c r="Q162" i="6"/>
  <c r="Q230" i="6"/>
  <c r="Q110" i="6"/>
  <c r="Q258" i="6"/>
  <c r="Q109" i="6"/>
  <c r="Q251" i="6"/>
  <c r="Q265" i="6"/>
  <c r="Q247" i="6"/>
  <c r="Q210" i="6"/>
  <c r="Q59" i="6"/>
  <c r="Q269" i="6"/>
  <c r="Q86" i="6"/>
  <c r="Q101" i="6"/>
  <c r="Q108" i="6"/>
  <c r="Q128" i="6"/>
  <c r="Q179" i="6"/>
  <c r="Q176" i="6"/>
  <c r="Q223" i="6"/>
  <c r="Q156" i="6"/>
  <c r="Q77" i="6"/>
  <c r="Q185" i="6"/>
  <c r="Q89" i="6"/>
  <c r="Q194" i="6"/>
  <c r="Q113" i="6"/>
  <c r="Q96" i="6"/>
  <c r="Q246" i="6"/>
  <c r="Q50" i="6"/>
  <c r="Q252" i="6"/>
  <c r="Q211" i="6"/>
  <c r="Q133" i="6"/>
  <c r="Q44" i="6"/>
  <c r="Q56" i="6"/>
  <c r="Q47" i="6"/>
  <c r="Q151" i="6"/>
  <c r="Q62" i="6"/>
  <c r="Q182" i="6"/>
  <c r="Q205" i="6"/>
  <c r="Q234" i="6"/>
  <c r="Q41" i="6"/>
  <c r="Q242" i="6"/>
  <c r="Q152" i="6"/>
  <c r="Q136" i="6"/>
  <c r="Q141" i="6"/>
  <c r="R98" i="6"/>
  <c r="R204" i="6"/>
  <c r="R96" i="6"/>
  <c r="R42" i="6"/>
  <c r="R150" i="6"/>
  <c r="R56" i="6"/>
  <c r="R240" i="6"/>
  <c r="R197" i="6"/>
  <c r="R185" i="6"/>
  <c r="R53" i="6"/>
  <c r="R203" i="6"/>
  <c r="R169" i="6"/>
  <c r="R158" i="6"/>
  <c r="R193" i="6"/>
  <c r="R149" i="6"/>
  <c r="R145" i="6"/>
  <c r="R209" i="6"/>
  <c r="R113" i="6"/>
  <c r="R254" i="6"/>
  <c r="R55" i="6"/>
  <c r="R152" i="6"/>
  <c r="R199" i="6"/>
  <c r="R43" i="6"/>
  <c r="R247" i="6"/>
  <c r="R248" i="6"/>
  <c r="R224" i="6"/>
  <c r="R48" i="6"/>
  <c r="R168" i="6"/>
  <c r="R77" i="6"/>
  <c r="R54" i="6"/>
  <c r="R164" i="6"/>
  <c r="R91" i="6"/>
  <c r="R233" i="6"/>
  <c r="R67" i="6"/>
  <c r="R161" i="6"/>
  <c r="R92" i="6"/>
  <c r="R132" i="6"/>
  <c r="R212" i="6"/>
  <c r="R126" i="6"/>
  <c r="R251" i="6"/>
  <c r="R175" i="6"/>
  <c r="R205" i="6"/>
  <c r="R264" i="6"/>
  <c r="R60" i="6"/>
  <c r="R186" i="6"/>
  <c r="R179" i="6"/>
  <c r="R174" i="6"/>
  <c r="R156" i="6"/>
  <c r="R230" i="6"/>
  <c r="R138" i="6"/>
  <c r="R229" i="6"/>
  <c r="R84" i="6"/>
  <c r="R139" i="6"/>
  <c r="R62" i="6"/>
  <c r="R239" i="6"/>
  <c r="R122" i="6"/>
  <c r="R176" i="6"/>
  <c r="R157" i="6"/>
  <c r="R155" i="6"/>
  <c r="R228" i="6"/>
  <c r="R68" i="6"/>
  <c r="R223" i="6"/>
  <c r="R263" i="6"/>
  <c r="R61" i="6"/>
  <c r="R246" i="6"/>
  <c r="R206" i="6"/>
  <c r="R180" i="6"/>
  <c r="R258" i="6"/>
  <c r="R268" i="6"/>
  <c r="R143" i="6"/>
  <c r="R128" i="6"/>
  <c r="R109" i="6"/>
  <c r="R110" i="6"/>
  <c r="R115" i="6"/>
  <c r="R146" i="6"/>
  <c r="R252" i="6"/>
  <c r="R80" i="6"/>
  <c r="R47" i="6"/>
  <c r="R173" i="6"/>
  <c r="R200" i="6"/>
  <c r="R134" i="6"/>
  <c r="R215" i="6"/>
  <c r="R221" i="6"/>
  <c r="R170" i="6"/>
  <c r="R50" i="6"/>
  <c r="R114" i="6"/>
  <c r="R121" i="6"/>
  <c r="R151" i="6"/>
  <c r="R234" i="6"/>
  <c r="R218" i="6"/>
  <c r="R78" i="6"/>
  <c r="R59" i="6"/>
  <c r="R210" i="6"/>
  <c r="R259" i="6"/>
  <c r="R140" i="6"/>
  <c r="R182" i="6"/>
  <c r="R217" i="6"/>
  <c r="R119" i="6"/>
  <c r="R79" i="6"/>
  <c r="R253" i="6"/>
  <c r="R137" i="6"/>
  <c r="R269" i="6"/>
  <c r="R44" i="6"/>
  <c r="R194" i="6"/>
  <c r="R71" i="6"/>
  <c r="R187" i="6"/>
  <c r="R163" i="6"/>
  <c r="R131" i="6"/>
  <c r="R127" i="6"/>
  <c r="R198" i="6"/>
  <c r="R227" i="6"/>
  <c r="R167" i="6"/>
  <c r="R90" i="6"/>
  <c r="R86" i="6"/>
  <c r="R72" i="6"/>
  <c r="R270" i="6"/>
  <c r="R89" i="6"/>
  <c r="R107" i="6"/>
  <c r="R222" i="6"/>
  <c r="R95" i="6"/>
  <c r="R85" i="6"/>
  <c r="R66" i="6"/>
  <c r="R211" i="6"/>
  <c r="R181" i="6"/>
  <c r="R144" i="6"/>
  <c r="R188" i="6"/>
  <c r="R116" i="6"/>
  <c r="R74" i="6"/>
  <c r="R41" i="6"/>
  <c r="R49" i="6"/>
  <c r="R65" i="6"/>
  <c r="R120" i="6"/>
  <c r="R192" i="6"/>
  <c r="R103" i="6"/>
  <c r="R257" i="6"/>
  <c r="R235" i="6"/>
  <c r="R216" i="6"/>
  <c r="R101" i="6"/>
  <c r="R265" i="6"/>
  <c r="R102" i="6"/>
  <c r="R104" i="6"/>
  <c r="R83" i="6"/>
  <c r="R73" i="6"/>
  <c r="R133" i="6"/>
  <c r="R242" i="6"/>
  <c r="R125" i="6"/>
  <c r="R97" i="6"/>
  <c r="R191" i="6"/>
  <c r="R108" i="6"/>
  <c r="R241" i="6"/>
  <c r="R236" i="6"/>
  <c r="R245" i="6"/>
  <c r="R162" i="6"/>
  <c r="R260" i="6"/>
  <c r="P183" i="6"/>
  <c r="P178" i="6"/>
  <c r="S75" i="6"/>
  <c r="S70" i="6"/>
  <c r="W189" i="6"/>
  <c r="W184" i="6"/>
  <c r="Q46" i="6"/>
  <c r="Q51" i="6"/>
  <c r="O206" i="6"/>
  <c r="O235" i="6"/>
  <c r="O176" i="6"/>
  <c r="O251" i="6"/>
  <c r="O92" i="6"/>
  <c r="O149" i="6"/>
  <c r="O263" i="6"/>
  <c r="O198" i="6"/>
  <c r="O140" i="6"/>
  <c r="O173" i="6"/>
  <c r="O150" i="6"/>
  <c r="O254" i="6"/>
  <c r="O155" i="6"/>
  <c r="O127" i="6"/>
  <c r="O217" i="6"/>
  <c r="O110" i="6"/>
  <c r="O182" i="6"/>
  <c r="O210" i="6"/>
  <c r="O211" i="6"/>
  <c r="O113" i="6"/>
  <c r="O234" i="6"/>
  <c r="O247" i="6"/>
  <c r="O114" i="6"/>
  <c r="O270" i="6"/>
  <c r="O170" i="6"/>
  <c r="O246" i="6"/>
  <c r="O89" i="6"/>
  <c r="O194" i="6"/>
  <c r="O133" i="6"/>
  <c r="O167" i="6"/>
  <c r="O179" i="6"/>
  <c r="O205" i="6"/>
  <c r="O146" i="6"/>
  <c r="O145" i="6"/>
  <c r="O144" i="6"/>
  <c r="O91" i="6"/>
  <c r="O181" i="6"/>
  <c r="O236" i="6"/>
  <c r="O248" i="6"/>
  <c r="O253" i="6"/>
  <c r="O223" i="6"/>
  <c r="O264" i="6"/>
  <c r="O102" i="6"/>
  <c r="O187" i="6"/>
  <c r="O169" i="6"/>
  <c r="O199" i="6"/>
  <c r="O259" i="6"/>
  <c r="O125" i="6"/>
  <c r="O139" i="6"/>
  <c r="O90" i="6"/>
  <c r="O116" i="6"/>
  <c r="O200" i="6"/>
  <c r="O215" i="6"/>
  <c r="O104" i="6"/>
  <c r="O239" i="6"/>
  <c r="O212" i="6"/>
  <c r="O192" i="6"/>
  <c r="O143" i="6"/>
  <c r="O221" i="6"/>
  <c r="O229" i="6"/>
  <c r="O101" i="6"/>
  <c r="O218" i="6"/>
  <c r="O269" i="6"/>
  <c r="O186" i="6"/>
  <c r="O162" i="6"/>
  <c r="O128" i="6"/>
  <c r="O137" i="6"/>
  <c r="O268" i="6"/>
  <c r="O132" i="6"/>
  <c r="O131" i="6"/>
  <c r="O257" i="6"/>
  <c r="O240" i="6"/>
  <c r="O175" i="6"/>
  <c r="O258" i="6"/>
  <c r="O168" i="6"/>
  <c r="O161" i="6"/>
  <c r="O180" i="6"/>
  <c r="O245" i="6"/>
  <c r="O156" i="6"/>
  <c r="O252" i="6"/>
  <c r="O241" i="6"/>
  <c r="O191" i="6"/>
  <c r="O157" i="6"/>
  <c r="O163" i="6"/>
  <c r="O108" i="6"/>
  <c r="O115" i="6"/>
  <c r="O222" i="6"/>
  <c r="O95" i="6"/>
  <c r="O224" i="6"/>
  <c r="O193" i="6"/>
  <c r="O188" i="6"/>
  <c r="O230" i="6"/>
  <c r="O120" i="6"/>
  <c r="O134" i="6"/>
  <c r="O265" i="6"/>
  <c r="O151" i="6"/>
  <c r="O97" i="6"/>
  <c r="O216" i="6"/>
  <c r="O209" i="6"/>
  <c r="O203" i="6"/>
  <c r="O103" i="6"/>
  <c r="O98" i="6"/>
  <c r="O158" i="6"/>
  <c r="O122" i="6"/>
  <c r="O260" i="6"/>
  <c r="O197" i="6"/>
  <c r="O107" i="6"/>
  <c r="O227" i="6"/>
  <c r="O126" i="6"/>
  <c r="O96" i="6"/>
  <c r="O164" i="6"/>
  <c r="O242" i="6"/>
  <c r="O228" i="6"/>
  <c r="O109" i="6"/>
  <c r="O174" i="6"/>
  <c r="O185" i="6"/>
  <c r="O138" i="6"/>
  <c r="O121" i="6"/>
  <c r="O119" i="6"/>
  <c r="O204" i="6"/>
  <c r="O233" i="6"/>
  <c r="O76" i="6"/>
  <c r="O81" i="6"/>
  <c r="O5" i="6"/>
  <c r="O152" i="6"/>
  <c r="P233" i="6"/>
  <c r="P83" i="6"/>
  <c r="P90" i="6"/>
  <c r="P257" i="6"/>
  <c r="P43" i="6"/>
  <c r="P270" i="6"/>
  <c r="P134" i="6"/>
  <c r="P155" i="6"/>
  <c r="P239" i="6"/>
  <c r="P252" i="6"/>
  <c r="P197" i="6"/>
  <c r="P242" i="6"/>
  <c r="P137" i="6"/>
  <c r="P152" i="6"/>
  <c r="P173" i="6"/>
  <c r="P182" i="6"/>
  <c r="P146" i="6"/>
  <c r="P102" i="6"/>
  <c r="P234" i="6"/>
  <c r="P228" i="6"/>
  <c r="P217" i="6"/>
  <c r="P188" i="6"/>
  <c r="P96" i="6"/>
  <c r="P169" i="6"/>
  <c r="P212" i="6"/>
  <c r="P205" i="6"/>
  <c r="P62" i="6"/>
  <c r="P107" i="6"/>
  <c r="P104" i="6"/>
  <c r="P209" i="6"/>
  <c r="P72" i="6"/>
  <c r="P151" i="6"/>
  <c r="P109" i="6"/>
  <c r="P211" i="6"/>
  <c r="P67" i="6"/>
  <c r="P247" i="6"/>
  <c r="P143" i="6"/>
  <c r="P259" i="6"/>
  <c r="P103" i="6"/>
  <c r="P156" i="6"/>
  <c r="P223" i="6"/>
  <c r="P218" i="6"/>
  <c r="P80" i="6"/>
  <c r="P187" i="6"/>
  <c r="P122" i="6"/>
  <c r="P198" i="6"/>
  <c r="P50" i="6"/>
  <c r="P71" i="6"/>
  <c r="P204" i="6"/>
  <c r="P132" i="6"/>
  <c r="P174" i="6"/>
  <c r="P42" i="6"/>
  <c r="P126" i="6"/>
  <c r="P157" i="6"/>
  <c r="P140" i="6"/>
  <c r="P120" i="6"/>
  <c r="P179" i="6"/>
  <c r="P191" i="6"/>
  <c r="P116" i="6"/>
  <c r="P236" i="6"/>
  <c r="P241" i="6"/>
  <c r="P84" i="6"/>
  <c r="P192" i="6"/>
  <c r="P240" i="6"/>
  <c r="P91" i="6"/>
  <c r="P216" i="6"/>
  <c r="P48" i="6"/>
  <c r="P163" i="6"/>
  <c r="P78" i="6"/>
  <c r="P85" i="6"/>
  <c r="P200" i="6"/>
  <c r="P246" i="6"/>
  <c r="P260" i="6"/>
  <c r="P89" i="6"/>
  <c r="P164" i="6"/>
  <c r="P77" i="6"/>
  <c r="P235" i="6"/>
  <c r="P264" i="6"/>
  <c r="P73" i="6"/>
  <c r="P115" i="6"/>
  <c r="P56" i="6"/>
  <c r="P258" i="6"/>
  <c r="P162" i="6"/>
  <c r="P54" i="6"/>
  <c r="P215" i="6"/>
  <c r="P98" i="6"/>
  <c r="P149" i="6"/>
  <c r="P97" i="6"/>
  <c r="P139" i="6"/>
  <c r="P74" i="6"/>
  <c r="P186" i="6"/>
  <c r="P221" i="6"/>
  <c r="P265" i="6"/>
  <c r="P61" i="6"/>
  <c r="P68" i="6"/>
  <c r="P194" i="6"/>
  <c r="P168" i="6"/>
  <c r="P161" i="6"/>
  <c r="P229" i="6"/>
  <c r="P44" i="6"/>
  <c r="P114" i="6"/>
  <c r="P175" i="6"/>
  <c r="P230" i="6"/>
  <c r="P251" i="6"/>
  <c r="P49" i="6"/>
  <c r="P180" i="6"/>
  <c r="P119" i="6"/>
  <c r="P108" i="6"/>
  <c r="P125" i="6"/>
  <c r="P92" i="6"/>
  <c r="P199" i="6"/>
  <c r="P101" i="6"/>
  <c r="P55" i="6"/>
  <c r="P113" i="6"/>
  <c r="P145" i="6"/>
  <c r="P158" i="6"/>
  <c r="P254" i="6"/>
  <c r="P210" i="6"/>
  <c r="P181" i="6"/>
  <c r="P95" i="6"/>
  <c r="P131" i="6"/>
  <c r="P206" i="6"/>
  <c r="P150" i="6"/>
  <c r="P248" i="6"/>
  <c r="P121" i="6"/>
  <c r="P224" i="6"/>
  <c r="P193" i="6"/>
  <c r="P110" i="6"/>
  <c r="P167" i="6"/>
  <c r="P66" i="6"/>
  <c r="P138" i="6"/>
  <c r="P222" i="6"/>
  <c r="P127" i="6"/>
  <c r="P47" i="6"/>
  <c r="P185" i="6"/>
  <c r="P65" i="6"/>
  <c r="P176" i="6"/>
  <c r="P170" i="6"/>
  <c r="P41" i="6"/>
  <c r="P128" i="6"/>
  <c r="P79" i="6"/>
  <c r="P59" i="6"/>
  <c r="P133" i="6"/>
  <c r="P253" i="6"/>
  <c r="P268" i="6"/>
  <c r="P60" i="6"/>
  <c r="P269" i="6"/>
  <c r="P227" i="6"/>
  <c r="P144" i="6"/>
  <c r="P263" i="6"/>
  <c r="P53" i="6"/>
  <c r="P203" i="6"/>
  <c r="P245" i="6"/>
  <c r="P76" i="6"/>
  <c r="P81" i="6"/>
  <c r="P5" i="6"/>
  <c r="P86" i="6"/>
  <c r="T65" i="6"/>
  <c r="T230" i="6"/>
  <c r="T204" i="6"/>
  <c r="T84" i="6"/>
  <c r="T199" i="6"/>
  <c r="T61" i="6"/>
  <c r="T150" i="6"/>
  <c r="T151" i="6"/>
  <c r="T79" i="6"/>
  <c r="T91" i="6"/>
  <c r="T49" i="6"/>
  <c r="T110" i="6"/>
  <c r="T191" i="6"/>
  <c r="T109" i="6"/>
  <c r="T221" i="6"/>
  <c r="T47" i="6"/>
  <c r="T80" i="6"/>
  <c r="T224" i="6"/>
  <c r="T156" i="6"/>
  <c r="T126" i="6"/>
  <c r="T60" i="6"/>
  <c r="T236" i="6"/>
  <c r="T265" i="6"/>
  <c r="T121" i="6"/>
  <c r="T114" i="6"/>
  <c r="T259" i="6"/>
  <c r="T116" i="6"/>
  <c r="T42" i="6"/>
  <c r="T176" i="6"/>
  <c r="T102" i="6"/>
  <c r="T175" i="6"/>
  <c r="T145" i="6"/>
  <c r="T162" i="6"/>
  <c r="T134" i="6"/>
  <c r="T55" i="6"/>
  <c r="T174" i="6"/>
  <c r="T227" i="6"/>
  <c r="T90" i="6"/>
  <c r="T149" i="6"/>
  <c r="T108" i="6"/>
  <c r="T203" i="6"/>
  <c r="T66" i="6"/>
  <c r="T223" i="6"/>
  <c r="T85" i="6"/>
  <c r="T74" i="6"/>
  <c r="T269" i="6"/>
  <c r="T44" i="6"/>
  <c r="T107" i="6"/>
  <c r="T138" i="6"/>
  <c r="T137" i="6"/>
  <c r="T101" i="6"/>
  <c r="T239" i="6"/>
  <c r="T41" i="6"/>
  <c r="T242" i="6"/>
  <c r="T211" i="6"/>
  <c r="T59" i="6"/>
  <c r="T120" i="6"/>
  <c r="T212" i="6"/>
  <c r="T92" i="6"/>
  <c r="T68" i="6"/>
  <c r="T78" i="6"/>
  <c r="T216" i="6"/>
  <c r="T210" i="6"/>
  <c r="T131" i="6"/>
  <c r="T56" i="6"/>
  <c r="T122" i="6"/>
  <c r="T180" i="6"/>
  <c r="T187" i="6"/>
  <c r="T71" i="6"/>
  <c r="T258" i="6"/>
  <c r="T182" i="6"/>
  <c r="T143" i="6"/>
  <c r="T264" i="6"/>
  <c r="T96" i="6"/>
  <c r="T234" i="6"/>
  <c r="T72" i="6"/>
  <c r="T260" i="6"/>
  <c r="T146" i="6"/>
  <c r="T43" i="6"/>
  <c r="T240" i="6"/>
  <c r="T77" i="6"/>
  <c r="T251" i="6"/>
  <c r="T257" i="6"/>
  <c r="T119" i="6"/>
  <c r="T218" i="6"/>
  <c r="T132" i="6"/>
  <c r="T140" i="6"/>
  <c r="T246" i="6"/>
  <c r="T173" i="6"/>
  <c r="T115" i="6"/>
  <c r="T167" i="6"/>
  <c r="T198" i="6"/>
  <c r="T97" i="6"/>
  <c r="T263" i="6"/>
  <c r="T197" i="6"/>
  <c r="T229" i="6"/>
  <c r="T48" i="6"/>
  <c r="T54" i="6"/>
  <c r="T194" i="6"/>
  <c r="T152" i="6"/>
  <c r="T113" i="6"/>
  <c r="T209" i="6"/>
  <c r="T50" i="6"/>
  <c r="T235" i="6"/>
  <c r="T104" i="6"/>
  <c r="T270" i="6"/>
  <c r="T241" i="6"/>
  <c r="T53" i="6"/>
  <c r="T252" i="6"/>
  <c r="T186" i="6"/>
  <c r="T89" i="6"/>
  <c r="T163" i="6"/>
  <c r="T127" i="6"/>
  <c r="T205" i="6"/>
  <c r="T193" i="6"/>
  <c r="T83" i="6"/>
  <c r="T254" i="6"/>
  <c r="T139" i="6"/>
  <c r="T188" i="6"/>
  <c r="T179" i="6"/>
  <c r="T168" i="6"/>
  <c r="T157" i="6"/>
  <c r="T222" i="6"/>
  <c r="T245" i="6"/>
  <c r="T169" i="6"/>
  <c r="T62" i="6"/>
  <c r="T133" i="6"/>
  <c r="T98" i="6"/>
  <c r="T247" i="6"/>
  <c r="T206" i="6"/>
  <c r="T248" i="6"/>
  <c r="T158" i="6"/>
  <c r="T86" i="6"/>
  <c r="T125" i="6"/>
  <c r="T181" i="6"/>
  <c r="T215" i="6"/>
  <c r="T155" i="6"/>
  <c r="T233" i="6"/>
  <c r="T164" i="6"/>
  <c r="T268" i="6"/>
  <c r="T161" i="6"/>
  <c r="T67" i="6"/>
  <c r="T228" i="6"/>
  <c r="T185" i="6"/>
  <c r="T200" i="6"/>
  <c r="T95" i="6"/>
  <c r="T144" i="6"/>
  <c r="T103" i="6"/>
  <c r="T253" i="6"/>
  <c r="T73" i="6"/>
  <c r="T170" i="6"/>
  <c r="T192" i="6"/>
  <c r="T128" i="6"/>
  <c r="T76" i="6"/>
  <c r="T81" i="6"/>
  <c r="T5" i="6"/>
  <c r="T217" i="6"/>
  <c r="R196" i="6"/>
  <c r="R201" i="6"/>
  <c r="Q76" i="6"/>
  <c r="Q81" i="6"/>
  <c r="Q5" i="6"/>
  <c r="Q40" i="6"/>
  <c r="Q45" i="6"/>
  <c r="R76" i="6"/>
  <c r="R81" i="6"/>
  <c r="R5" i="6"/>
  <c r="R106" i="6"/>
  <c r="R111" i="6"/>
  <c r="S123" i="6"/>
  <c r="S118" i="6"/>
  <c r="U135" i="6"/>
  <c r="U130" i="6"/>
  <c r="S68" i="6"/>
  <c r="S109" i="6"/>
  <c r="S80" i="6"/>
  <c r="S79" i="6"/>
  <c r="S89" i="6"/>
  <c r="S86" i="6"/>
  <c r="S149" i="6"/>
  <c r="S215" i="6"/>
  <c r="S151" i="6"/>
  <c r="S95" i="6"/>
  <c r="S218" i="6"/>
  <c r="S235" i="6"/>
  <c r="S131" i="6"/>
  <c r="S265" i="6"/>
  <c r="S210" i="6"/>
  <c r="S78" i="6"/>
  <c r="S65" i="6"/>
  <c r="S174" i="6"/>
  <c r="S96" i="6"/>
  <c r="S193" i="6"/>
  <c r="S173" i="6"/>
  <c r="S192" i="6"/>
  <c r="S230" i="6"/>
  <c r="S107" i="6"/>
  <c r="S186" i="6"/>
  <c r="S155" i="6"/>
  <c r="S229" i="6"/>
  <c r="S253" i="6"/>
  <c r="S152" i="6"/>
  <c r="S252" i="6"/>
  <c r="S104" i="6"/>
  <c r="S175" i="6"/>
  <c r="S270" i="6"/>
  <c r="S125" i="6"/>
  <c r="S211" i="6"/>
  <c r="S197" i="6"/>
  <c r="S90" i="6"/>
  <c r="S84" i="6"/>
  <c r="S120" i="6"/>
  <c r="S245" i="6"/>
  <c r="S140" i="6"/>
  <c r="S44" i="6"/>
  <c r="S158" i="6"/>
  <c r="S212" i="6"/>
  <c r="S203" i="6"/>
  <c r="S144" i="6"/>
  <c r="S222" i="6"/>
  <c r="S41" i="6"/>
  <c r="S66" i="6"/>
  <c r="S77" i="6"/>
  <c r="S242" i="6"/>
  <c r="S223" i="6"/>
  <c r="S181" i="6"/>
  <c r="S156" i="6"/>
  <c r="S108" i="6"/>
  <c r="S188" i="6"/>
  <c r="S101" i="6"/>
  <c r="S234" i="6"/>
  <c r="S83" i="6"/>
  <c r="S217" i="6"/>
  <c r="S227" i="6"/>
  <c r="S103" i="6"/>
  <c r="S233" i="6"/>
  <c r="S47" i="6"/>
  <c r="S128" i="6"/>
  <c r="S134" i="6"/>
  <c r="S170" i="6"/>
  <c r="S102" i="6"/>
  <c r="S91" i="6"/>
  <c r="S164" i="6"/>
  <c r="S246" i="6"/>
  <c r="S119" i="6"/>
  <c r="S143" i="6"/>
  <c r="S216" i="6"/>
  <c r="S126" i="6"/>
  <c r="S133" i="6"/>
  <c r="S72" i="6"/>
  <c r="S260" i="6"/>
  <c r="S92" i="6"/>
  <c r="S257" i="6"/>
  <c r="S198" i="6"/>
  <c r="S241" i="6"/>
  <c r="S49" i="6"/>
  <c r="S224" i="6"/>
  <c r="S182" i="6"/>
  <c r="S121" i="6"/>
  <c r="S176" i="6"/>
  <c r="S73" i="6"/>
  <c r="S116" i="6"/>
  <c r="S168" i="6"/>
  <c r="S98" i="6"/>
  <c r="S221" i="6"/>
  <c r="S240" i="6"/>
  <c r="S139" i="6"/>
  <c r="S113" i="6"/>
  <c r="S269" i="6"/>
  <c r="S114" i="6"/>
  <c r="S180" i="6"/>
  <c r="S55" i="6"/>
  <c r="S264" i="6"/>
  <c r="S179" i="6"/>
  <c r="S199" i="6"/>
  <c r="S259" i="6"/>
  <c r="S150" i="6"/>
  <c r="S200" i="6"/>
  <c r="S194" i="6"/>
  <c r="S54" i="6"/>
  <c r="S146" i="6"/>
  <c r="S239" i="6"/>
  <c r="S185" i="6"/>
  <c r="S209" i="6"/>
  <c r="S187" i="6"/>
  <c r="S251" i="6"/>
  <c r="S138" i="6"/>
  <c r="S97" i="6"/>
  <c r="S157" i="6"/>
  <c r="S191" i="6"/>
  <c r="S236" i="6"/>
  <c r="S85" i="6"/>
  <c r="S163" i="6"/>
  <c r="S71" i="6"/>
  <c r="S53" i="6"/>
  <c r="S43" i="6"/>
  <c r="S50" i="6"/>
  <c r="S132" i="6"/>
  <c r="S115" i="6"/>
  <c r="S62" i="6"/>
  <c r="S263" i="6"/>
  <c r="S145" i="6"/>
  <c r="S48" i="6"/>
  <c r="S247" i="6"/>
  <c r="S204" i="6"/>
  <c r="S67" i="6"/>
  <c r="S110" i="6"/>
  <c r="S206" i="6"/>
  <c r="S161" i="6"/>
  <c r="S268" i="6"/>
  <c r="S258" i="6"/>
  <c r="S137" i="6"/>
  <c r="S254" i="6"/>
  <c r="S122" i="6"/>
  <c r="S228" i="6"/>
  <c r="S205" i="6"/>
  <c r="S167" i="6"/>
  <c r="S59" i="6"/>
  <c r="S60" i="6"/>
  <c r="S248" i="6"/>
  <c r="S169" i="6"/>
  <c r="S61" i="6"/>
  <c r="S127" i="6"/>
  <c r="S74" i="6"/>
  <c r="S162" i="6"/>
  <c r="S56" i="6"/>
  <c r="S76" i="6"/>
  <c r="S81" i="6"/>
  <c r="S5" i="6"/>
  <c r="S42" i="6"/>
  <c r="U161" i="6"/>
  <c r="U62" i="6"/>
  <c r="U109" i="6"/>
  <c r="U224" i="6"/>
  <c r="U98" i="6"/>
  <c r="U191" i="6"/>
  <c r="U265" i="6"/>
  <c r="U198" i="6"/>
  <c r="U49" i="6"/>
  <c r="U50" i="6"/>
  <c r="U116" i="6"/>
  <c r="U42" i="6"/>
  <c r="U68" i="6"/>
  <c r="U56" i="6"/>
  <c r="U84" i="6"/>
  <c r="U126" i="6"/>
  <c r="U83" i="6"/>
  <c r="U242" i="6"/>
  <c r="U167" i="6"/>
  <c r="U197" i="6"/>
  <c r="U146" i="6"/>
  <c r="U156" i="6"/>
  <c r="U121" i="6"/>
  <c r="U258" i="6"/>
  <c r="U251" i="6"/>
  <c r="U72" i="6"/>
  <c r="U73" i="6"/>
  <c r="U246" i="6"/>
  <c r="U185" i="6"/>
  <c r="U188" i="6"/>
  <c r="U125" i="6"/>
  <c r="U179" i="6"/>
  <c r="U53" i="6"/>
  <c r="U204" i="6"/>
  <c r="U97" i="6"/>
  <c r="U173" i="6"/>
  <c r="U182" i="6"/>
  <c r="U120" i="6"/>
  <c r="U170" i="6"/>
  <c r="U155" i="6"/>
  <c r="U206" i="6"/>
  <c r="U233" i="6"/>
  <c r="U162" i="6"/>
  <c r="U85" i="6"/>
  <c r="U139" i="6"/>
  <c r="U110" i="6"/>
  <c r="U133" i="6"/>
  <c r="U67" i="6"/>
  <c r="U186" i="6"/>
  <c r="U223" i="6"/>
  <c r="U127" i="6"/>
  <c r="U157" i="6"/>
  <c r="U210" i="6"/>
  <c r="U174" i="6"/>
  <c r="U235" i="6"/>
  <c r="U216" i="6"/>
  <c r="U122" i="6"/>
  <c r="U66" i="6"/>
  <c r="U257" i="6"/>
  <c r="U115" i="6"/>
  <c r="U114" i="6"/>
  <c r="U102" i="6"/>
  <c r="U247" i="6"/>
  <c r="U143" i="6"/>
  <c r="U71" i="6"/>
  <c r="U149" i="6"/>
  <c r="U92" i="6"/>
  <c r="U239" i="6"/>
  <c r="U222" i="6"/>
  <c r="U151" i="6"/>
  <c r="U41" i="6"/>
  <c r="U164" i="6"/>
  <c r="U131" i="6"/>
  <c r="U140" i="6"/>
  <c r="U43" i="6"/>
  <c r="U241" i="6"/>
  <c r="U259" i="6"/>
  <c r="U48" i="6"/>
  <c r="U89" i="6"/>
  <c r="U60" i="6"/>
  <c r="U194" i="6"/>
  <c r="U268" i="6"/>
  <c r="U79" i="6"/>
  <c r="U90" i="6"/>
  <c r="U77" i="6"/>
  <c r="U245" i="6"/>
  <c r="U240" i="6"/>
  <c r="U134" i="6"/>
  <c r="U234" i="6"/>
  <c r="U86" i="6"/>
  <c r="U230" i="6"/>
  <c r="U193" i="6"/>
  <c r="U145" i="6"/>
  <c r="U144" i="6"/>
  <c r="U80" i="6"/>
  <c r="U107" i="6"/>
  <c r="U175" i="6"/>
  <c r="U212" i="6"/>
  <c r="U263" i="6"/>
  <c r="U55" i="6"/>
  <c r="U205" i="6"/>
  <c r="U61" i="6"/>
  <c r="U152" i="6"/>
  <c r="U199" i="6"/>
  <c r="U47" i="6"/>
  <c r="U65" i="6"/>
  <c r="U95" i="6"/>
  <c r="U137" i="6"/>
  <c r="U91" i="6"/>
  <c r="U218" i="6"/>
  <c r="U229" i="6"/>
  <c r="U221" i="6"/>
  <c r="U176" i="6"/>
  <c r="U113" i="6"/>
  <c r="U128" i="6"/>
  <c r="U150" i="6"/>
  <c r="U103" i="6"/>
  <c r="U119" i="6"/>
  <c r="U163" i="6"/>
  <c r="U78" i="6"/>
  <c r="U227" i="6"/>
  <c r="U104" i="6"/>
  <c r="U187" i="6"/>
  <c r="U228" i="6"/>
  <c r="U101" i="6"/>
  <c r="U44" i="6"/>
  <c r="U132" i="6"/>
  <c r="U108" i="6"/>
  <c r="U168" i="6"/>
  <c r="U181" i="6"/>
  <c r="U236" i="6"/>
  <c r="U269" i="6"/>
  <c r="U169" i="6"/>
  <c r="U264" i="6"/>
  <c r="U138" i="6"/>
  <c r="U96" i="6"/>
  <c r="U253" i="6"/>
  <c r="U200" i="6"/>
  <c r="U248" i="6"/>
  <c r="U192" i="6"/>
  <c r="U54" i="6"/>
  <c r="U211" i="6"/>
  <c r="U203" i="6"/>
  <c r="U260" i="6"/>
  <c r="U209" i="6"/>
  <c r="U215" i="6"/>
  <c r="U217" i="6"/>
  <c r="U158" i="6"/>
  <c r="U254" i="6"/>
  <c r="U59" i="6"/>
  <c r="U180" i="6"/>
  <c r="U270" i="6"/>
  <c r="U74" i="6"/>
  <c r="U76" i="6"/>
  <c r="U81" i="6"/>
  <c r="U5" i="6"/>
  <c r="U252" i="6"/>
  <c r="W193" i="6"/>
  <c r="W192" i="6"/>
  <c r="W137" i="6"/>
  <c r="W108" i="6"/>
  <c r="W143" i="6"/>
  <c r="W150" i="6"/>
  <c r="W245" i="6"/>
  <c r="W50" i="6"/>
  <c r="W158" i="6"/>
  <c r="W181" i="6"/>
  <c r="W115" i="6"/>
  <c r="W71" i="6"/>
  <c r="W84" i="6"/>
  <c r="W228" i="6"/>
  <c r="W157" i="6"/>
  <c r="W200" i="6"/>
  <c r="W240" i="6"/>
  <c r="W128" i="6"/>
  <c r="W126" i="6"/>
  <c r="W72" i="6"/>
  <c r="W92" i="6"/>
  <c r="W65" i="6"/>
  <c r="W102" i="6"/>
  <c r="W169" i="6"/>
  <c r="W96" i="6"/>
  <c r="W176" i="6"/>
  <c r="W113" i="6"/>
  <c r="W216" i="6"/>
  <c r="W230" i="6"/>
  <c r="W98" i="6"/>
  <c r="W101" i="6"/>
  <c r="W247" i="6"/>
  <c r="W236" i="6"/>
  <c r="W233" i="6"/>
  <c r="W104" i="6"/>
  <c r="W59" i="6"/>
  <c r="W186" i="6"/>
  <c r="W223" i="6"/>
  <c r="W156" i="6"/>
  <c r="W229" i="6"/>
  <c r="W95" i="6"/>
  <c r="W109" i="6"/>
  <c r="W56" i="6"/>
  <c r="W44" i="6"/>
  <c r="W248" i="6"/>
  <c r="W217" i="6"/>
  <c r="W161" i="6"/>
  <c r="W83" i="6"/>
  <c r="W197" i="6"/>
  <c r="W239" i="6"/>
  <c r="W210" i="6"/>
  <c r="W79" i="6"/>
  <c r="W86" i="6"/>
  <c r="W151" i="6"/>
  <c r="W144" i="6"/>
  <c r="W234" i="6"/>
  <c r="W164" i="6"/>
  <c r="W203" i="6"/>
  <c r="W90" i="6"/>
  <c r="W77" i="6"/>
  <c r="W198" i="6"/>
  <c r="W80" i="6"/>
  <c r="W47" i="6"/>
  <c r="W258" i="6"/>
  <c r="W162" i="6"/>
  <c r="W173" i="6"/>
  <c r="W103" i="6"/>
  <c r="W49" i="6"/>
  <c r="W73" i="6"/>
  <c r="W227" i="6"/>
  <c r="W107" i="6"/>
  <c r="W215" i="6"/>
  <c r="W134" i="6"/>
  <c r="W168" i="6"/>
  <c r="W205" i="6"/>
  <c r="W218" i="6"/>
  <c r="W110" i="6"/>
  <c r="W163" i="6"/>
  <c r="W235" i="6"/>
  <c r="W78" i="6"/>
  <c r="W55" i="6"/>
  <c r="W206" i="6"/>
  <c r="W185" i="6"/>
  <c r="W61" i="6"/>
  <c r="W138" i="6"/>
  <c r="W42" i="6"/>
  <c r="W149" i="6"/>
  <c r="W180" i="6"/>
  <c r="W188" i="6"/>
  <c r="W253" i="6"/>
  <c r="W62" i="6"/>
  <c r="W114" i="6"/>
  <c r="W209" i="6"/>
  <c r="W119" i="6"/>
  <c r="W222" i="6"/>
  <c r="W48" i="6"/>
  <c r="W224" i="6"/>
  <c r="W242" i="6"/>
  <c r="W221" i="6"/>
  <c r="W132" i="6"/>
  <c r="W43" i="6"/>
  <c r="W254" i="6"/>
  <c r="W241" i="6"/>
  <c r="W212" i="6"/>
  <c r="W155" i="6"/>
  <c r="W85" i="6"/>
  <c r="W127" i="6"/>
  <c r="W139" i="6"/>
  <c r="W74" i="6"/>
  <c r="W259" i="6"/>
  <c r="W257" i="6"/>
  <c r="W187" i="6"/>
  <c r="W125" i="6"/>
  <c r="W199" i="6"/>
  <c r="W246" i="6"/>
  <c r="W133" i="6"/>
  <c r="W146" i="6"/>
  <c r="W152" i="6"/>
  <c r="W89" i="6"/>
  <c r="W251" i="6"/>
  <c r="W204" i="6"/>
  <c r="W91" i="6"/>
  <c r="W122" i="6"/>
  <c r="W131" i="6"/>
  <c r="W211" i="6"/>
  <c r="W41" i="6"/>
  <c r="W174" i="6"/>
  <c r="W167" i="6"/>
  <c r="W120" i="6"/>
  <c r="W145" i="6"/>
  <c r="W53" i="6"/>
  <c r="W260" i="6"/>
  <c r="W140" i="6"/>
  <c r="W179" i="6"/>
  <c r="W67" i="6"/>
  <c r="W60" i="6"/>
  <c r="W68" i="6"/>
  <c r="W170" i="6"/>
  <c r="W116" i="6"/>
  <c r="W175" i="6"/>
  <c r="W194" i="6"/>
  <c r="W66" i="6"/>
  <c r="W191" i="6"/>
  <c r="W252" i="6"/>
  <c r="W121" i="6"/>
  <c r="W97" i="6"/>
  <c r="W54" i="6"/>
  <c r="W182" i="6"/>
  <c r="W76" i="6"/>
  <c r="W81" i="6"/>
  <c r="W5" i="6"/>
  <c r="W124" i="6"/>
  <c r="W12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Breno Otávio</author>
  </authors>
  <commentList>
    <comment ref="I8" authorId="0" shapeId="0" xr:uid="{C479C133-3D32-4825-8ECD-64667D29174A}">
      <text>
        <r>
          <rPr>
            <b/>
            <sz val="9"/>
            <color indexed="81"/>
            <rFont val="Segoe UI"/>
            <family val="2"/>
          </rPr>
          <t>Breno Otávio:</t>
        </r>
        <r>
          <rPr>
            <sz val="9"/>
            <color indexed="81"/>
            <rFont val="Segoe UI"/>
            <family val="2"/>
          </rPr>
          <t xml:space="preserve">
Valor do projetista.</t>
        </r>
      </text>
    </comment>
  </commentList>
</comments>
</file>

<file path=xl/sharedStrings.xml><?xml version="1.0" encoding="utf-8"?>
<sst xmlns="http://schemas.openxmlformats.org/spreadsheetml/2006/main" count="2720" uniqueCount="282">
  <si>
    <t>Projetista 1203 (Rubens Alves) — Fundação Electra consolidado</t>
  </si>
  <si>
    <t>Gerado: 2026-04-17 | Fonte LIBERTÉ: 1203-2025-R0</t>
  </si>
  <si>
    <t>1. Fundação Profunda (Estacas Hélice Contínua) — Empreendimento</t>
  </si>
  <si>
    <t>Fonte</t>
  </si>
  <si>
    <t>Ø (m)</t>
  </si>
  <si>
    <t>Qtd (un)</t>
  </si>
  <si>
    <t>L médio (m)</t>
  </si>
  <si>
    <t>L total (m)</t>
  </si>
  <si>
    <t>Concreto (m³)</t>
  </si>
  <si>
    <t>Aço ø6.3 (kg)</t>
  </si>
  <si>
    <t>Aço ø16 (kg)</t>
  </si>
  <si>
    <t>LIBERTÉ (proposta)</t>
  </si>
  <si>
    <t>LIBERTÉ total (sem sobre)</t>
  </si>
  <si>
    <t>LIBERTÉ total (+20% sobre)</t>
  </si>
  <si>
    <t>Bloco A (CONTROLE-REV)</t>
  </si>
  <si>
    <t>Bloco B (CONTROLE-REV)</t>
  </si>
  <si>
    <t>Soma A + B</t>
  </si>
  <si>
    <t>Validação cruzada CONTROLE-REV vs LIBERTÉ</t>
  </si>
  <si>
    <t>Aço total estacas</t>
  </si>
  <si>
    <t>CR A+B:</t>
  </si>
  <si>
    <t>Divergência aço</t>
  </si>
  <si>
    <t>%</t>
  </si>
  <si>
    <t>2. Fundação Rasa / Blocos de Coroamento</t>
  </si>
  <si>
    <t>Bloco</t>
  </si>
  <si>
    <t>Item</t>
  </si>
  <si>
    <t>Fôrma (m²)</t>
  </si>
  <si>
    <t>Volume (m³)</t>
  </si>
  <si>
    <t>Aço total (kg)</t>
  </si>
  <si>
    <t>A</t>
  </si>
  <si>
    <t>Lajes maciças (topo arquivo — Laje Fund?)</t>
  </si>
  <si>
    <t>B</t>
  </si>
  <si>
    <t>Zapatas isoladas</t>
  </si>
  <si>
    <t>Blocos de coroamento</t>
  </si>
  <si>
    <t>Resumo QUANT-A (r245-247)</t>
  </si>
  <si>
    <t>Aço (kg)</t>
  </si>
  <si>
    <t>HÉLICE</t>
  </si>
  <si>
    <t>BLOCOS</t>
  </si>
  <si>
    <t>TOTAL</t>
  </si>
  <si>
    <t>Supraestrutura Bloco A — aço por bitola + concreto</t>
  </si>
  <si>
    <t>Pavimento</t>
  </si>
  <si>
    <t>Elemento</t>
  </si>
  <si>
    <t>øQ92 (kg)</t>
  </si>
  <si>
    <t>ø5 (kg)</t>
  </si>
  <si>
    <t>ø6.3 (kg)</t>
  </si>
  <si>
    <t>ø8 (kg)</t>
  </si>
  <si>
    <t>ø10 (kg)</t>
  </si>
  <si>
    <t>ø12.5 (kg)</t>
  </si>
  <si>
    <t>ø16 (kg)</t>
  </si>
  <si>
    <t>ø20 (kg)</t>
  </si>
  <si>
    <t>ø25 (kg)</t>
  </si>
  <si>
    <t>L1 - Térreo</t>
  </si>
  <si>
    <t>Vigas</t>
  </si>
  <si>
    <t>Pilares</t>
  </si>
  <si>
    <t>Lajes</t>
  </si>
  <si>
    <t>Escadas</t>
  </si>
  <si>
    <t>Rampas</t>
  </si>
  <si>
    <t>Blocos</t>
  </si>
  <si>
    <t>Reserv. Inferior</t>
  </si>
  <si>
    <t>Duto</t>
  </si>
  <si>
    <t>L2 - Garagem 1</t>
  </si>
  <si>
    <t>L3 - Garagem 2</t>
  </si>
  <si>
    <t>L4 - Garagem 3</t>
  </si>
  <si>
    <t>L5 - Garagem 4</t>
  </si>
  <si>
    <t>L6 - Garagem 5</t>
  </si>
  <si>
    <t>L7 - Lazer</t>
  </si>
  <si>
    <t>L8 - Tipo 01</t>
  </si>
  <si>
    <t>L9 - Tipo 02</t>
  </si>
  <si>
    <t>L10 - Tipo 03</t>
  </si>
  <si>
    <t>L11 - Tipo 04</t>
  </si>
  <si>
    <t>L12 - Tipo 05</t>
  </si>
  <si>
    <t>L13 - Tipo 06</t>
  </si>
  <si>
    <t>L14 - Tipo 07</t>
  </si>
  <si>
    <t>L15 - Tipo 08</t>
  </si>
  <si>
    <t>L16 - Tipo 09</t>
  </si>
  <si>
    <t>L17 - Tipo 10</t>
  </si>
  <si>
    <t>L18 - Tipo 11</t>
  </si>
  <si>
    <t>L19 - Tipo 12</t>
  </si>
  <si>
    <t>L20 - Tipo 13</t>
  </si>
  <si>
    <t>L21 - Tipo 14</t>
  </si>
  <si>
    <t>L22 - Tipo 15</t>
  </si>
  <si>
    <t>L23 - Tipo 16</t>
  </si>
  <si>
    <t>L24 - Tipo 17</t>
  </si>
  <si>
    <t>L25 - Tipo 18</t>
  </si>
  <si>
    <t>L26 - Tipo 19</t>
  </si>
  <si>
    <t>L27 - Tipo 20</t>
  </si>
  <si>
    <t>L28 - Tipo 21</t>
  </si>
  <si>
    <t>L29 - Tipo 22</t>
  </si>
  <si>
    <t>L30 - Tipo 23</t>
  </si>
  <si>
    <t>L31 - Tipo 24</t>
  </si>
  <si>
    <t>L32 - Telhado</t>
  </si>
  <si>
    <t>L33 - Casa de Máquinas, L34/L35 - Reservatório Inferior (JUNTOS)</t>
  </si>
  <si>
    <t>Supraestrutura Bloco B — aço por bitola + concreto</t>
  </si>
  <si>
    <t>Dutos</t>
  </si>
  <si>
    <t>Aço CA-50 por bitola — sem sobreconsumo</t>
  </si>
  <si>
    <t>øQ92</t>
  </si>
  <si>
    <t>ø5</t>
  </si>
  <si>
    <t>ø6.3</t>
  </si>
  <si>
    <t>ø8</t>
  </si>
  <si>
    <t>ø10</t>
  </si>
  <si>
    <t>ø12.5</t>
  </si>
  <si>
    <t>ø16</t>
  </si>
  <si>
    <t>ø20</t>
  </si>
  <si>
    <t>ø25</t>
  </si>
  <si>
    <t>Total (kg)</t>
  </si>
  <si>
    <t>Estacas Hélice Contínua</t>
  </si>
  <si>
    <t>Fundação (resumo)</t>
  </si>
  <si>
    <t>Estrutura (supra)</t>
  </si>
  <si>
    <t>Fundação Rasa — detalhe por bloco</t>
  </si>
  <si>
    <t>Lajes maciças (fundação/topo arquivo)</t>
  </si>
  <si>
    <t>QUANT-A r3</t>
  </si>
  <si>
    <t>L1 Térreo - Blocos (CR)</t>
  </si>
  <si>
    <t>-</t>
  </si>
  <si>
    <t>CR-A L1 Blocos</t>
  </si>
  <si>
    <t>QUANT-B r3</t>
  </si>
  <si>
    <t>QUANT-B r4</t>
  </si>
  <si>
    <t>CR-B L1 Blocos</t>
  </si>
  <si>
    <t>Projeto:</t>
  </si>
  <si>
    <t>Empresa:</t>
  </si>
  <si>
    <t>Revisão:</t>
  </si>
  <si>
    <t>R00</t>
  </si>
  <si>
    <t>Disciplina</t>
  </si>
  <si>
    <t xml:space="preserve"> EAP - Arquitetura</t>
  </si>
  <si>
    <t>Pavimento Proj. Estrutural</t>
  </si>
  <si>
    <t>Etapa</t>
  </si>
  <si>
    <t>Projetos</t>
  </si>
  <si>
    <t>Área Pavimento</t>
  </si>
  <si>
    <t>Mpa</t>
  </si>
  <si>
    <t>Concreto</t>
  </si>
  <si>
    <t>Forma Convencional</t>
  </si>
  <si>
    <t>Forma Convencional
Fabricação</t>
  </si>
  <si>
    <t>Cubeta inteira</t>
  </si>
  <si>
    <t>Meia Cubeta</t>
  </si>
  <si>
    <t>Aço</t>
  </si>
  <si>
    <t>Ø5.0mm 
0,154 kg/m</t>
  </si>
  <si>
    <t>Ø6.3mm 
0,245 kg/m</t>
  </si>
  <si>
    <t>Ø8.0mm
 0,395 kg/m</t>
  </si>
  <si>
    <t>Ø10.0mm
 0,617 kg/m</t>
  </si>
  <si>
    <t>Ø12.5mm
 0,963 kg/m</t>
  </si>
  <si>
    <t>Ø16.0mm
 1,578 kg/m</t>
  </si>
  <si>
    <t>Ø20.0mm
 2,466 kg/m</t>
  </si>
  <si>
    <t>Ø25.0mm
 3,853 kg/m</t>
  </si>
  <si>
    <t>Ø32.0mm
6,313 kg/m</t>
  </si>
  <si>
    <t>Torre</t>
  </si>
  <si>
    <t>Fundação</t>
  </si>
  <si>
    <t>Contenções</t>
  </si>
  <si>
    <t>Mureta guia</t>
  </si>
  <si>
    <t>PR-1248-00-CON-FO-01-R00</t>
  </si>
  <si>
    <t>Parede de Diafragma</t>
  </si>
  <si>
    <t>Estroncas</t>
  </si>
  <si>
    <t>Viga Coroamento</t>
  </si>
  <si>
    <t>PR-1248-00-CON-VI-01-R01</t>
  </si>
  <si>
    <t>TOTAL - CONTENÇÃO</t>
  </si>
  <si>
    <t>Fundação - Estacas</t>
  </si>
  <si>
    <t>Estacas</t>
  </si>
  <si>
    <t>TOTAL - FUNDAÇÃO ESTACA</t>
  </si>
  <si>
    <t>Fundação - Blocos</t>
  </si>
  <si>
    <t>PR-1248-00-FUN-AR-01-R01</t>
  </si>
  <si>
    <t>TOTAL - FUNDAÇÃO BLOCOS</t>
  </si>
  <si>
    <t>Fundação - Vigas etc.</t>
  </si>
  <si>
    <t>Laje p/ equipamentos</t>
  </si>
  <si>
    <t>PR-1248-00-FUN-LA-01-R01</t>
  </si>
  <si>
    <t xml:space="preserve">Contrapiso </t>
  </si>
  <si>
    <t>Cisternas</t>
  </si>
  <si>
    <t>PR-1248-01-CIS-FO-01-R02</t>
  </si>
  <si>
    <t>TOTAL - VIGAS BALDRAMES/PILARES DE ARRANQUE/CISTERNAS E DUTOS</t>
  </si>
  <si>
    <t>Supraestrutura</t>
  </si>
  <si>
    <t>Térreo</t>
  </si>
  <si>
    <t>Capiteis</t>
  </si>
  <si>
    <t>Mezanino G1</t>
  </si>
  <si>
    <t>Garagem G1</t>
  </si>
  <si>
    <t>G2</t>
  </si>
  <si>
    <t>Garagem G2</t>
  </si>
  <si>
    <t>Mezanino G2</t>
  </si>
  <si>
    <t>Garagem G3</t>
  </si>
  <si>
    <t>G3</t>
  </si>
  <si>
    <t>Garagem G4</t>
  </si>
  <si>
    <t>Mezanino G3</t>
  </si>
  <si>
    <t>Garagem G5</t>
  </si>
  <si>
    <t>Garagem/Lazer</t>
  </si>
  <si>
    <t>Lazer 01</t>
  </si>
  <si>
    <t>Patamar Intermediário</t>
  </si>
  <si>
    <t>Patamar</t>
  </si>
  <si>
    <t>Lazer</t>
  </si>
  <si>
    <t>Lazer 02</t>
  </si>
  <si>
    <t>Tipo diferenciado</t>
  </si>
  <si>
    <t>Tipo 01 - Diferenciado</t>
  </si>
  <si>
    <t>ELZ-EX-EST-5201-TP1-R00</t>
  </si>
  <si>
    <t>Tipo - 8x</t>
  </si>
  <si>
    <t>Tipo A - 02</t>
  </si>
  <si>
    <t>ELZ-EX-EST-5201-TP2-R00</t>
  </si>
  <si>
    <t>Abas</t>
  </si>
  <si>
    <t>Tipo A - 03</t>
  </si>
  <si>
    <t>Tipo A - 04</t>
  </si>
  <si>
    <t>Tipo A - 05</t>
  </si>
  <si>
    <t>Tipo A - 06</t>
  </si>
  <si>
    <t>Tipo A - 07</t>
  </si>
  <si>
    <t>Tipo A - 08</t>
  </si>
  <si>
    <t>Tipo A - 09</t>
  </si>
  <si>
    <t>Penthouse - 22x</t>
  </si>
  <si>
    <t>Tipo B - 21X</t>
  </si>
  <si>
    <t>ELZ-EX-EST-5201-TP3-R00</t>
  </si>
  <si>
    <t>Tipo B - 11</t>
  </si>
  <si>
    <t>Tipo B - 12</t>
  </si>
  <si>
    <t>Tipo B - 13</t>
  </si>
  <si>
    <t>Tipo B - 14</t>
  </si>
  <si>
    <t>Tipo B - 15</t>
  </si>
  <si>
    <t>Tipo B - 16</t>
  </si>
  <si>
    <t>Tipo B - 17</t>
  </si>
  <si>
    <t>Tipo B - 18</t>
  </si>
  <si>
    <t>Tipo B - 19</t>
  </si>
  <si>
    <t>Tipo B - 20</t>
  </si>
  <si>
    <t>Tipo B - 21</t>
  </si>
  <si>
    <t>Tipo B - 22</t>
  </si>
  <si>
    <t>Tipo B - 23</t>
  </si>
  <si>
    <t>Tipo B - 24</t>
  </si>
  <si>
    <t>Tipo B - 25</t>
  </si>
  <si>
    <t>Tipo B - 26</t>
  </si>
  <si>
    <t>Tipo B - 27</t>
  </si>
  <si>
    <t>Tipo B - 28</t>
  </si>
  <si>
    <t>Tipo B - 29</t>
  </si>
  <si>
    <t>Tipo B - 30</t>
  </si>
  <si>
    <t>Tipo B - L40 - 1X</t>
  </si>
  <si>
    <t>ELZ-EX-EST-5201-TP4-R00</t>
  </si>
  <si>
    <t>Duplex inferior</t>
  </si>
  <si>
    <t>ELZ-EX-EST-5061-DIN-R00</t>
  </si>
  <si>
    <t>ELZ-EX-EST-0422-DIN-R00</t>
  </si>
  <si>
    <t>Duplex superior</t>
  </si>
  <si>
    <t>ELZ-EX-EST-5060-DSU-R00</t>
  </si>
  <si>
    <t>ELZ-EX-EST-0423-DSU-R00</t>
  </si>
  <si>
    <t>Cobertura/Barrilete</t>
  </si>
  <si>
    <t>Telhado</t>
  </si>
  <si>
    <t>Casa de máquinas</t>
  </si>
  <si>
    <t>Barrilete</t>
  </si>
  <si>
    <t>Reservatório</t>
  </si>
  <si>
    <t>Planilha ELZ-EX-EST-9999-QTV-R00</t>
  </si>
  <si>
    <t xml:space="preserve"> EAP - Supraestrutura</t>
  </si>
  <si>
    <t>Torre/Bloco</t>
  </si>
  <si>
    <t>Pavimento Proj.</t>
  </si>
  <si>
    <t>Aço Total (kg)</t>
  </si>
  <si>
    <t>ø5.0</t>
  </si>
  <si>
    <t>ø8.0</t>
  </si>
  <si>
    <t>ø10.0</t>
  </si>
  <si>
    <t>ø16.0</t>
  </si>
  <si>
    <t>ø20.0</t>
  </si>
  <si>
    <t>ø25.0</t>
  </si>
  <si>
    <t>Embasamento</t>
  </si>
  <si>
    <t>TOTAL - L1 - TÉRREO</t>
  </si>
  <si>
    <t>TOTAL - L2 - GARAGEM 1</t>
  </si>
  <si>
    <t>TOTAL - L3 - GARAGEM 2</t>
  </si>
  <si>
    <t>TOTAL - L4 - GARAGEM 3</t>
  </si>
  <si>
    <t>TOTAL - L5 - GARAGEM 4</t>
  </si>
  <si>
    <t>TOTAL - L6 - GARAGEM 5</t>
  </si>
  <si>
    <t>TOTAL - L7 - LAZER</t>
  </si>
  <si>
    <t>Torre A</t>
  </si>
  <si>
    <t>TOTAL - L8 - TIPO 01</t>
  </si>
  <si>
    <t>TOTAL - L9 - TIPO 02</t>
  </si>
  <si>
    <t>TOTAL - L10 - TIPO 03</t>
  </si>
  <si>
    <t>TOTAL - L11 - TIPO 04</t>
  </si>
  <si>
    <t>TOTAL - L12 - TIPO 05</t>
  </si>
  <si>
    <t>TOTAL - L13 - TIPO 06</t>
  </si>
  <si>
    <t>TOTAL - L14 - TIPO 07</t>
  </si>
  <si>
    <t>TOTAL - L15 - TIPO 08</t>
  </si>
  <si>
    <t>TOTAL - L16 - TIPO 09</t>
  </si>
  <si>
    <t>TOTAL - L17 - TIPO 10</t>
  </si>
  <si>
    <t>TOTAL - L18 - TIPO 11</t>
  </si>
  <si>
    <t>TOTAL - L19 - TIPO 12</t>
  </si>
  <si>
    <t>TOTAL - L20 - TIPO 13</t>
  </si>
  <si>
    <t>TOTAL - L21 - TIPO 14</t>
  </si>
  <si>
    <t>TOTAL - L22 - TIPO 15</t>
  </si>
  <si>
    <t>TOTAL - L23 - TIPO 16</t>
  </si>
  <si>
    <t>TOTAL - L24 - TIPO 17</t>
  </si>
  <si>
    <t>TOTAL - L25 - TIPO 18</t>
  </si>
  <si>
    <t>TOTAL - L26 - TIPO 19</t>
  </si>
  <si>
    <t>TOTAL - L27 - TIPO 20</t>
  </si>
  <si>
    <t>TOTAL - L28 - TIPO 21</t>
  </si>
  <si>
    <t>TOTAL - L29 - TIPO 22</t>
  </si>
  <si>
    <t>TOTAL - L30 - TIPO 23</t>
  </si>
  <si>
    <t>TOTAL - L31 - TIPO 24</t>
  </si>
  <si>
    <t>TOTAL - L32 - TELHADO</t>
  </si>
  <si>
    <t>L33 - Casa de Máquinas / Reservatório</t>
  </si>
  <si>
    <t>TOTAL - L33 - CASA DE MÁQUINAS / RESERVATÓRIO</t>
  </si>
  <si>
    <t>Torre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</si>
</sst>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dd/mm/yy;@"/>
    <numFmt numFmtId="167" formatCode="0\ &quot;Mpa&quot;"/>
    <numFmt numFmtId="168" formatCode="#,##0.00;\(#,##0.00\);&quot;-&quot;"/>
    <numFmt numFmtId="169" formatCode="#,##0;\(#,##0\);&quot;-&quot;"/>
  </numFmts>
  <fonts count="2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3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8"/>
      <name val="Trebuchet MS"/>
      <family val="2"/>
    </font>
    <font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1851D6"/>
      <name val="Calibri"/>
      <family val="2"/>
      <scheme val="minor"/>
    </font>
    <font>
      <b/>
      <sz val="11"/>
      <color rgb="FF1851D6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rgb="FFFFFFFF"/>
      <name val="Calibri"/>
      <family val="2"/>
      <scheme val="minor"/>
    </font>
    <font>
      <sz val="10"/>
      <color rgb="FF008000"/>
      <name val="Calibri"/>
      <scheme val="minor"/>
    </font>
    <font>
      <b/>
      <sz val="10"/>
      <color rgb="FF008000"/>
      <name val="Calibri"/>
      <scheme val="minor"/>
    </font>
    <font>
      <b/>
      <sz val="10"/>
      <color rgb="FFFFFFFF"/>
      <name val="Calibri"/>
      <scheme val="minor"/>
    </font>
    <font>
      <b/>
      <sz val="10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1851D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8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29292F"/>
      </left>
      <right/>
      <top style="medium">
        <color indexed="64"/>
      </top>
      <bottom style="hair">
        <color rgb="FF29292F"/>
      </bottom>
      <diagonal/>
    </border>
    <border>
      <left/>
      <right/>
      <top style="medium">
        <color indexed="64"/>
      </top>
      <bottom style="hair">
        <color rgb="FF29292F"/>
      </bottom>
      <diagonal/>
    </border>
    <border>
      <left/>
      <right style="medium">
        <color indexed="64"/>
      </right>
      <top style="medium">
        <color indexed="64"/>
      </top>
      <bottom style="hair">
        <color rgb="FF29292F"/>
      </bottom>
      <diagonal/>
    </border>
    <border>
      <left style="medium">
        <color indexed="64"/>
      </left>
      <right/>
      <top/>
      <bottom/>
      <diagonal/>
    </border>
    <border>
      <left style="thin">
        <color rgb="FF29292F"/>
      </left>
      <right/>
      <top style="hair">
        <color rgb="FF29292F"/>
      </top>
      <bottom style="hair">
        <color rgb="FF29292F"/>
      </bottom>
      <diagonal/>
    </border>
    <border>
      <left/>
      <right/>
      <top style="hair">
        <color rgb="FF29292F"/>
      </top>
      <bottom style="hair">
        <color rgb="FF29292F"/>
      </bottom>
      <diagonal/>
    </border>
    <border>
      <left/>
      <right style="medium">
        <color indexed="64"/>
      </right>
      <top style="hair">
        <color rgb="FF29292F"/>
      </top>
      <bottom style="hair">
        <color rgb="FF29292F"/>
      </bottom>
      <diagonal/>
    </border>
    <border>
      <left style="thin">
        <color rgb="FF29292F"/>
      </left>
      <right/>
      <top style="hair">
        <color rgb="FF29292F"/>
      </top>
      <bottom style="medium">
        <color auto="1"/>
      </bottom>
      <diagonal/>
    </border>
    <border>
      <left/>
      <right/>
      <top style="hair">
        <color rgb="FF29292F"/>
      </top>
      <bottom style="medium">
        <color auto="1"/>
      </bottom>
      <diagonal/>
    </border>
    <border>
      <left/>
      <right style="medium">
        <color indexed="64"/>
      </right>
      <top style="hair">
        <color rgb="FF29292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auto="1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double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double">
        <color rgb="FF000000"/>
      </top>
      <bottom style="double">
        <color rgb="FF000000"/>
      </bottom>
      <diagonal/>
    </border>
    <border>
      <left/>
      <right style="thin">
        <color rgb="FF80808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/>
      <diagonal/>
    </border>
    <border>
      <left style="medium">
        <color rgb="FF000000"/>
      </left>
      <right style="thin">
        <color rgb="FF80808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double">
        <color rgb="FF000000"/>
      </top>
      <bottom style="double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/>
      <diagonal/>
    </border>
    <border>
      <left style="thin">
        <color rgb="FF80808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808080"/>
      </left>
      <right style="medium">
        <color rgb="FF000000"/>
      </right>
      <top/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double">
        <color rgb="FF000000"/>
      </top>
      <bottom/>
      <diagonal/>
    </border>
    <border>
      <left/>
      <right style="thin">
        <color rgb="FF808080"/>
      </right>
      <top style="double">
        <color rgb="FF000000"/>
      </top>
      <bottom/>
      <diagonal/>
    </border>
    <border>
      <left style="thin">
        <color rgb="FF808080"/>
      </left>
      <right style="thin">
        <color rgb="FF808080"/>
      </right>
      <top style="double">
        <color rgb="FF000000"/>
      </top>
      <bottom/>
      <diagonal/>
    </border>
    <border>
      <left style="thin">
        <color rgb="FF808080"/>
      </left>
      <right/>
      <top style="double">
        <color rgb="FF000000"/>
      </top>
      <bottom/>
      <diagonal/>
    </border>
    <border>
      <left style="thin">
        <color rgb="FF808080"/>
      </left>
      <right style="medium">
        <color rgb="FF000000"/>
      </right>
      <top style="double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8" fillId="0" borderId="0"/>
    <xf numFmtId="0" fontId="11" fillId="0" borderId="0"/>
    <xf numFmtId="0" fontId="14" fillId="0" borderId="0"/>
    <xf numFmtId="165" fontId="15" fillId="0" borderId="0" applyFont="0" applyFill="0" applyBorder="0" applyAlignment="0" applyProtection="0"/>
    <xf numFmtId="0" fontId="16" fillId="0" borderId="0"/>
    <xf numFmtId="9" fontId="14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9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8" fillId="0" borderId="2" xfId="1" applyBorder="1"/>
    <xf numFmtId="0" fontId="12" fillId="0" borderId="3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4" xfId="2" applyFont="1" applyBorder="1" applyAlignment="1">
      <alignment horizontal="left" vertical="center"/>
    </xf>
    <xf numFmtId="0" fontId="13" fillId="0" borderId="5" xfId="2" applyFont="1" applyBorder="1" applyAlignment="1">
      <alignment vertical="center"/>
    </xf>
    <xf numFmtId="0" fontId="8" fillId="0" borderId="0" xfId="1"/>
    <xf numFmtId="0" fontId="14" fillId="0" borderId="0" xfId="3"/>
    <xf numFmtId="0" fontId="8" fillId="0" borderId="6" xfId="1" applyBorder="1"/>
    <xf numFmtId="0" fontId="12" fillId="0" borderId="7" xfId="2" applyFont="1" applyBorder="1" applyAlignment="1">
      <alignment vertical="center"/>
    </xf>
    <xf numFmtId="166" fontId="13" fillId="0" borderId="8" xfId="4" quotePrefix="1" applyNumberFormat="1" applyFont="1" applyFill="1" applyBorder="1" applyAlignment="1">
      <alignment horizontal="left" vertical="center"/>
    </xf>
    <xf numFmtId="166" fontId="13" fillId="0" borderId="9" xfId="4" quotePrefix="1" applyNumberFormat="1" applyFont="1" applyFill="1" applyBorder="1" applyAlignment="1">
      <alignment horizontal="left" vertical="center"/>
    </xf>
    <xf numFmtId="0" fontId="12" fillId="0" borderId="10" xfId="2" applyFont="1" applyBorder="1" applyAlignment="1">
      <alignment vertical="center"/>
    </xf>
    <xf numFmtId="0" fontId="13" fillId="0" borderId="11" xfId="2" applyFont="1" applyBorder="1" applyAlignment="1">
      <alignment vertical="center"/>
    </xf>
    <xf numFmtId="0" fontId="13" fillId="0" borderId="11" xfId="2" applyFont="1" applyBorder="1" applyAlignment="1">
      <alignment horizontal="left" vertical="center"/>
    </xf>
    <xf numFmtId="0" fontId="13" fillId="0" borderId="12" xfId="2" applyFont="1" applyBorder="1" applyAlignment="1">
      <alignment vertical="center"/>
    </xf>
    <xf numFmtId="0" fontId="17" fillId="5" borderId="13" xfId="5" applyFont="1" applyFill="1" applyBorder="1" applyAlignment="1">
      <alignment horizontal="center" vertical="center"/>
    </xf>
    <xf numFmtId="0" fontId="17" fillId="5" borderId="14" xfId="5" applyFont="1" applyFill="1" applyBorder="1" applyAlignment="1">
      <alignment horizontal="center" vertical="center"/>
    </xf>
    <xf numFmtId="0" fontId="17" fillId="5" borderId="14" xfId="5" applyFont="1" applyFill="1" applyBorder="1" applyAlignment="1">
      <alignment horizontal="center" vertical="center" wrapText="1"/>
    </xf>
    <xf numFmtId="0" fontId="17" fillId="5" borderId="15" xfId="5" applyFont="1" applyFill="1" applyBorder="1" applyAlignment="1">
      <alignment horizontal="center" vertical="center" wrapText="1"/>
    </xf>
    <xf numFmtId="0" fontId="18" fillId="6" borderId="6" xfId="5" applyFont="1" applyFill="1" applyBorder="1" applyAlignment="1">
      <alignment horizontal="left" vertical="center"/>
    </xf>
    <xf numFmtId="0" fontId="12" fillId="6" borderId="0" xfId="5" applyFont="1" applyFill="1" applyAlignment="1">
      <alignment horizontal="center" vertical="center"/>
    </xf>
    <xf numFmtId="0" fontId="12" fillId="6" borderId="0" xfId="5" applyFont="1" applyFill="1" applyAlignment="1">
      <alignment horizontal="left" vertical="center" wrapText="1"/>
    </xf>
    <xf numFmtId="0" fontId="12" fillId="6" borderId="0" xfId="5" applyFont="1" applyFill="1" applyAlignment="1">
      <alignment horizontal="center" vertical="center" wrapText="1"/>
    </xf>
    <xf numFmtId="10" fontId="12" fillId="6" borderId="0" xfId="6" applyNumberFormat="1" applyFont="1" applyFill="1" applyBorder="1" applyAlignment="1">
      <alignment horizontal="center" vertical="center" wrapText="1"/>
    </xf>
    <xf numFmtId="10" fontId="12" fillId="6" borderId="16" xfId="6" applyNumberFormat="1" applyFont="1" applyFill="1" applyBorder="1" applyAlignment="1">
      <alignment horizontal="center" vertical="center" wrapText="1"/>
    </xf>
    <xf numFmtId="0" fontId="8" fillId="0" borderId="17" xfId="1" applyBorder="1"/>
    <xf numFmtId="0" fontId="8" fillId="0" borderId="18" xfId="1" applyBorder="1"/>
    <xf numFmtId="167" fontId="8" fillId="0" borderId="18" xfId="1" applyNumberFormat="1" applyBorder="1" applyAlignment="1">
      <alignment horizontal="left"/>
    </xf>
    <xf numFmtId="167" fontId="8" fillId="0" borderId="18" xfId="1" applyNumberFormat="1" applyBorder="1" applyAlignment="1">
      <alignment horizontal="center"/>
    </xf>
    <xf numFmtId="167" fontId="19" fillId="0" borderId="18" xfId="1" applyNumberFormat="1" applyFont="1" applyBorder="1" applyAlignment="1">
      <alignment horizontal="center"/>
    </xf>
    <xf numFmtId="43" fontId="0" fillId="0" borderId="18" xfId="7" applyFont="1" applyBorder="1" applyAlignment="1"/>
    <xf numFmtId="43" fontId="0" fillId="0" borderId="19" xfId="7" applyFont="1" applyBorder="1" applyAlignment="1"/>
    <xf numFmtId="43" fontId="0" fillId="0" borderId="20" xfId="7" applyFont="1" applyBorder="1" applyAlignment="1"/>
    <xf numFmtId="0" fontId="8" fillId="0" borderId="21" xfId="1" applyBorder="1"/>
    <xf numFmtId="0" fontId="8" fillId="0" borderId="22" xfId="1" applyBorder="1"/>
    <xf numFmtId="167" fontId="8" fillId="0" borderId="22" xfId="1" applyNumberFormat="1" applyBorder="1" applyAlignment="1">
      <alignment horizontal="left"/>
    </xf>
    <xf numFmtId="167" fontId="8" fillId="0" borderId="22" xfId="1" applyNumberFormat="1" applyBorder="1" applyAlignment="1">
      <alignment horizontal="center"/>
    </xf>
    <xf numFmtId="167" fontId="19" fillId="0" borderId="22" xfId="1" applyNumberFormat="1" applyFont="1" applyBorder="1" applyAlignment="1">
      <alignment horizontal="center"/>
    </xf>
    <xf numFmtId="43" fontId="0" fillId="0" borderId="22" xfId="7" applyFont="1" applyBorder="1" applyAlignment="1"/>
    <xf numFmtId="43" fontId="0" fillId="0" borderId="23" xfId="7" applyFont="1" applyBorder="1" applyAlignment="1"/>
    <xf numFmtId="43" fontId="0" fillId="0" borderId="24" xfId="7" applyFont="1" applyBorder="1" applyAlignment="1"/>
    <xf numFmtId="0" fontId="10" fillId="5" borderId="25" xfId="1" applyFont="1" applyFill="1" applyBorder="1"/>
    <xf numFmtId="0" fontId="10" fillId="5" borderId="26" xfId="1" applyFont="1" applyFill="1" applyBorder="1"/>
    <xf numFmtId="0" fontId="9" fillId="5" borderId="26" xfId="1" applyFont="1" applyFill="1" applyBorder="1" applyAlignment="1">
      <alignment vertical="center"/>
    </xf>
    <xf numFmtId="0" fontId="9" fillId="5" borderId="26" xfId="1" applyFont="1" applyFill="1" applyBorder="1"/>
    <xf numFmtId="167" fontId="10" fillId="5" borderId="26" xfId="1" applyNumberFormat="1" applyFont="1" applyFill="1" applyBorder="1" applyAlignment="1">
      <alignment horizontal="left"/>
    </xf>
    <xf numFmtId="167" fontId="10" fillId="5" borderId="26" xfId="1" applyNumberFormat="1" applyFont="1" applyFill="1" applyBorder="1" applyAlignment="1">
      <alignment horizontal="center"/>
    </xf>
    <xf numFmtId="167" fontId="20" fillId="5" borderId="27" xfId="1" applyNumberFormat="1" applyFont="1" applyFill="1" applyBorder="1" applyAlignment="1">
      <alignment horizontal="center"/>
    </xf>
    <xf numFmtId="43" fontId="0" fillId="7" borderId="28" xfId="7" applyFont="1" applyFill="1" applyBorder="1" applyAlignment="1"/>
    <xf numFmtId="43" fontId="0" fillId="7" borderId="29" xfId="7" applyFont="1" applyFill="1" applyBorder="1" applyAlignment="1"/>
    <xf numFmtId="0" fontId="8" fillId="0" borderId="30" xfId="1" applyBorder="1"/>
    <xf numFmtId="0" fontId="8" fillId="0" borderId="31" xfId="1" applyBorder="1"/>
    <xf numFmtId="167" fontId="8" fillId="0" borderId="31" xfId="1" applyNumberFormat="1" applyBorder="1" applyAlignment="1">
      <alignment horizontal="left"/>
    </xf>
    <xf numFmtId="167" fontId="8" fillId="0" borderId="31" xfId="1" applyNumberFormat="1" applyBorder="1" applyAlignment="1">
      <alignment horizontal="center"/>
    </xf>
    <xf numFmtId="167" fontId="19" fillId="0" borderId="31" xfId="1" applyNumberFormat="1" applyFont="1" applyBorder="1" applyAlignment="1">
      <alignment horizontal="center"/>
    </xf>
    <xf numFmtId="43" fontId="0" fillId="0" borderId="31" xfId="7" applyFont="1" applyBorder="1" applyAlignment="1"/>
    <xf numFmtId="43" fontId="0" fillId="0" borderId="32" xfId="7" applyFont="1" applyBorder="1" applyAlignment="1"/>
    <xf numFmtId="43" fontId="0" fillId="0" borderId="33" xfId="7" applyFont="1" applyBorder="1" applyAlignment="1"/>
    <xf numFmtId="0" fontId="10" fillId="5" borderId="30" xfId="1" applyFont="1" applyFill="1" applyBorder="1"/>
    <xf numFmtId="0" fontId="10" fillId="5" borderId="31" xfId="1" applyFont="1" applyFill="1" applyBorder="1"/>
    <xf numFmtId="0" fontId="9" fillId="5" borderId="31" xfId="1" applyFont="1" applyFill="1" applyBorder="1" applyAlignment="1">
      <alignment vertical="center"/>
    </xf>
    <xf numFmtId="0" fontId="9" fillId="5" borderId="31" xfId="1" applyFont="1" applyFill="1" applyBorder="1"/>
    <xf numFmtId="167" fontId="10" fillId="5" borderId="31" xfId="1" applyNumberFormat="1" applyFont="1" applyFill="1" applyBorder="1" applyAlignment="1">
      <alignment horizontal="left"/>
    </xf>
    <xf numFmtId="167" fontId="10" fillId="5" borderId="31" xfId="1" applyNumberFormat="1" applyFont="1" applyFill="1" applyBorder="1" applyAlignment="1">
      <alignment horizontal="center"/>
    </xf>
    <xf numFmtId="167" fontId="20" fillId="5" borderId="34" xfId="1" applyNumberFormat="1" applyFont="1" applyFill="1" applyBorder="1" applyAlignment="1">
      <alignment horizontal="center"/>
    </xf>
    <xf numFmtId="43" fontId="0" fillId="7" borderId="35" xfId="7" applyFont="1" applyFill="1" applyBorder="1" applyAlignment="1"/>
    <xf numFmtId="43" fontId="0" fillId="7" borderId="33" xfId="7" applyFont="1" applyFill="1" applyBorder="1" applyAlignment="1"/>
    <xf numFmtId="0" fontId="8" fillId="0" borderId="25" xfId="1" applyBorder="1"/>
    <xf numFmtId="0" fontId="8" fillId="0" borderId="26" xfId="1" applyBorder="1"/>
    <xf numFmtId="167" fontId="8" fillId="0" borderId="26" xfId="1" applyNumberFormat="1" applyBorder="1" applyAlignment="1">
      <alignment horizontal="left"/>
    </xf>
    <xf numFmtId="167" fontId="8" fillId="0" borderId="26" xfId="1" applyNumberFormat="1" applyBorder="1" applyAlignment="1">
      <alignment horizontal="center"/>
    </xf>
    <xf numFmtId="167" fontId="19" fillId="0" borderId="26" xfId="1" applyNumberFormat="1" applyFont="1" applyBorder="1" applyAlignment="1">
      <alignment horizontal="center"/>
    </xf>
    <xf numFmtId="43" fontId="0" fillId="0" borderId="26" xfId="7" applyFont="1" applyBorder="1" applyAlignment="1"/>
    <xf numFmtId="43" fontId="0" fillId="0" borderId="36" xfId="7" applyFont="1" applyBorder="1" applyAlignment="1"/>
    <xf numFmtId="43" fontId="0" fillId="0" borderId="29" xfId="7" applyFont="1" applyBorder="1" applyAlignment="1"/>
    <xf numFmtId="0" fontId="8" fillId="0" borderId="37" xfId="1" applyBorder="1"/>
    <xf numFmtId="0" fontId="8" fillId="0" borderId="38" xfId="1" applyBorder="1"/>
    <xf numFmtId="167" fontId="8" fillId="0" borderId="38" xfId="1" applyNumberFormat="1" applyBorder="1" applyAlignment="1">
      <alignment horizontal="left"/>
    </xf>
    <xf numFmtId="167" fontId="8" fillId="0" borderId="38" xfId="1" applyNumberFormat="1" applyBorder="1" applyAlignment="1">
      <alignment horizontal="center"/>
    </xf>
    <xf numFmtId="167" fontId="19" fillId="0" borderId="38" xfId="1" applyNumberFormat="1" applyFont="1" applyBorder="1" applyAlignment="1">
      <alignment horizontal="center"/>
    </xf>
    <xf numFmtId="43" fontId="0" fillId="0" borderId="38" xfId="7" applyFont="1" applyBorder="1" applyAlignment="1"/>
    <xf numFmtId="43" fontId="0" fillId="0" borderId="39" xfId="7" applyFont="1" applyBorder="1" applyAlignment="1"/>
    <xf numFmtId="43" fontId="0" fillId="0" borderId="40" xfId="7" applyFont="1" applyBorder="1" applyAlignment="1"/>
    <xf numFmtId="43" fontId="0" fillId="0" borderId="38" xfId="7" applyFont="1" applyFill="1" applyBorder="1" applyAlignment="1"/>
    <xf numFmtId="43" fontId="0" fillId="7" borderId="41" xfId="7" applyFont="1" applyFill="1" applyBorder="1" applyAlignment="1"/>
    <xf numFmtId="43" fontId="0" fillId="7" borderId="42" xfId="7" applyFont="1" applyFill="1" applyBorder="1" applyAlignment="1"/>
    <xf numFmtId="43" fontId="0" fillId="7" borderId="43" xfId="7" applyFont="1" applyFill="1" applyBorder="1" applyAlignment="1"/>
    <xf numFmtId="43" fontId="0" fillId="7" borderId="44" xfId="7" applyFont="1" applyFill="1" applyBorder="1" applyAlignment="1"/>
    <xf numFmtId="0" fontId="8" fillId="0" borderId="45" xfId="1" applyBorder="1"/>
    <xf numFmtId="0" fontId="8" fillId="0" borderId="46" xfId="1" applyBorder="1"/>
    <xf numFmtId="167" fontId="8" fillId="0" borderId="46" xfId="1" applyNumberFormat="1" applyBorder="1" applyAlignment="1">
      <alignment horizontal="left"/>
    </xf>
    <xf numFmtId="167" fontId="8" fillId="0" borderId="46" xfId="1" applyNumberFormat="1" applyBorder="1" applyAlignment="1">
      <alignment horizontal="center"/>
    </xf>
    <xf numFmtId="167" fontId="19" fillId="0" borderId="46" xfId="1" applyNumberFormat="1" applyFont="1" applyBorder="1" applyAlignment="1">
      <alignment horizontal="center"/>
    </xf>
    <xf numFmtId="43" fontId="0" fillId="0" borderId="46" xfId="7" applyFont="1" applyBorder="1" applyAlignment="1"/>
    <xf numFmtId="43" fontId="0" fillId="0" borderId="47" xfId="7" applyFont="1" applyBorder="1" applyAlignment="1"/>
    <xf numFmtId="43" fontId="0" fillId="0" borderId="48" xfId="7" applyFont="1" applyBorder="1" applyAlignment="1"/>
    <xf numFmtId="43" fontId="0" fillId="0" borderId="49" xfId="7" applyFont="1" applyBorder="1" applyAlignment="1"/>
    <xf numFmtId="43" fontId="0" fillId="0" borderId="49" xfId="7" applyFont="1" applyFill="1" applyBorder="1" applyAlignment="1"/>
    <xf numFmtId="43" fontId="0" fillId="0" borderId="50" xfId="7" applyFont="1" applyBorder="1" applyAlignment="1"/>
    <xf numFmtId="43" fontId="0" fillId="0" borderId="51" xfId="7" applyFont="1" applyBorder="1" applyAlignment="1"/>
    <xf numFmtId="43" fontId="0" fillId="0" borderId="22" xfId="7" applyFont="1" applyFill="1" applyBorder="1" applyAlignment="1"/>
    <xf numFmtId="43" fontId="14" fillId="0" borderId="38" xfId="7" applyFont="1" applyBorder="1" applyAlignment="1"/>
    <xf numFmtId="43" fontId="13" fillId="7" borderId="35" xfId="7" applyFont="1" applyFill="1" applyBorder="1" applyAlignment="1"/>
    <xf numFmtId="43" fontId="0" fillId="0" borderId="52" xfId="7" applyFont="1" applyBorder="1" applyAlignment="1"/>
    <xf numFmtId="9" fontId="8" fillId="0" borderId="0" xfId="6" applyFont="1" applyBorder="1"/>
    <xf numFmtId="43" fontId="8" fillId="0" borderId="0" xfId="1" applyNumberFormat="1"/>
    <xf numFmtId="43" fontId="13" fillId="0" borderId="38" xfId="7" applyFont="1" applyBorder="1" applyAlignment="1"/>
    <xf numFmtId="43" fontId="13" fillId="0" borderId="22" xfId="7" applyFont="1" applyBorder="1" applyAlignment="1"/>
    <xf numFmtId="43" fontId="13" fillId="0" borderId="46" xfId="7" applyFont="1" applyBorder="1" applyAlignment="1"/>
    <xf numFmtId="0" fontId="8" fillId="0" borderId="53" xfId="1" applyBorder="1"/>
    <xf numFmtId="0" fontId="8" fillId="0" borderId="54" xfId="1" applyBorder="1"/>
    <xf numFmtId="167" fontId="8" fillId="0" borderId="54" xfId="1" applyNumberFormat="1" applyBorder="1" applyAlignment="1">
      <alignment horizontal="left"/>
    </xf>
    <xf numFmtId="167" fontId="8" fillId="0" borderId="54" xfId="1" applyNumberFormat="1" applyBorder="1" applyAlignment="1">
      <alignment horizontal="center"/>
    </xf>
    <xf numFmtId="167" fontId="19" fillId="0" borderId="54" xfId="1" applyNumberFormat="1" applyFont="1" applyBorder="1" applyAlignment="1">
      <alignment horizontal="center"/>
    </xf>
    <xf numFmtId="0" fontId="10" fillId="5" borderId="55" xfId="1" applyFont="1" applyFill="1" applyBorder="1"/>
    <xf numFmtId="0" fontId="10" fillId="5" borderId="56" xfId="1" applyFont="1" applyFill="1" applyBorder="1"/>
    <xf numFmtId="0" fontId="9" fillId="5" borderId="56" xfId="1" applyFont="1" applyFill="1" applyBorder="1" applyAlignment="1">
      <alignment vertical="center"/>
    </xf>
    <xf numFmtId="0" fontId="9" fillId="5" borderId="56" xfId="1" applyFont="1" applyFill="1" applyBorder="1"/>
    <xf numFmtId="167" fontId="10" fillId="5" borderId="56" xfId="1" applyNumberFormat="1" applyFont="1" applyFill="1" applyBorder="1" applyAlignment="1">
      <alignment horizontal="left"/>
    </xf>
    <xf numFmtId="167" fontId="10" fillId="5" borderId="56" xfId="1" applyNumberFormat="1" applyFont="1" applyFill="1" applyBorder="1" applyAlignment="1">
      <alignment horizontal="center"/>
    </xf>
    <xf numFmtId="167" fontId="20" fillId="5" borderId="57" xfId="1" applyNumberFormat="1" applyFont="1" applyFill="1" applyBorder="1" applyAlignment="1">
      <alignment horizontal="center"/>
    </xf>
    <xf numFmtId="43" fontId="0" fillId="7" borderId="58" xfId="7" applyFont="1" applyFill="1" applyBorder="1" applyAlignment="1"/>
    <xf numFmtId="43" fontId="0" fillId="7" borderId="59" xfId="7" applyFont="1" applyFill="1" applyBorder="1" applyAlignment="1"/>
    <xf numFmtId="0" fontId="8" fillId="0" borderId="0" xfId="1" applyAlignment="1">
      <alignment horizontal="left"/>
    </xf>
    <xf numFmtId="0" fontId="8" fillId="0" borderId="0" xfId="1" applyAlignment="1">
      <alignment horizontal="center"/>
    </xf>
    <xf numFmtId="43" fontId="0" fillId="0" borderId="0" xfId="7" applyFont="1" applyAlignment="1"/>
    <xf numFmtId="0" fontId="8" fillId="0" borderId="46" xfId="1" applyBorder="1" applyAlignment="1">
      <alignment horizontal="center" vertical="center" wrapText="1"/>
    </xf>
    <xf numFmtId="0" fontId="8" fillId="0" borderId="46" xfId="1" applyBorder="1" applyAlignment="1">
      <alignment horizontal="center" vertical="center"/>
    </xf>
    <xf numFmtId="0" fontId="24" fillId="8" borderId="1" xfId="0" applyFont="1" applyFill="1" applyBorder="1" applyAlignment="1">
      <alignment horizontal="left"/>
    </xf>
    <xf numFmtId="167" fontId="24" fillId="8" borderId="1" xfId="0" applyNumberFormat="1" applyFont="1" applyFill="1" applyBorder="1" applyAlignment="1">
      <alignment horizontal="left"/>
    </xf>
    <xf numFmtId="168" fontId="24" fillId="8" borderId="1" xfId="0" applyNumberFormat="1" applyFont="1" applyFill="1" applyBorder="1" applyAlignment="1">
      <alignment horizontal="right"/>
    </xf>
    <xf numFmtId="169" fontId="24" fillId="8" borderId="1" xfId="0" applyNumberFormat="1" applyFont="1" applyFill="1" applyBorder="1" applyAlignment="1">
      <alignment horizontal="right"/>
    </xf>
    <xf numFmtId="0" fontId="24" fillId="8" borderId="66" xfId="0" applyFont="1" applyFill="1" applyBorder="1" applyAlignment="1">
      <alignment horizontal="left"/>
    </xf>
    <xf numFmtId="167" fontId="24" fillId="8" borderId="66" xfId="0" applyNumberFormat="1" applyFont="1" applyFill="1" applyBorder="1" applyAlignment="1">
      <alignment horizontal="left"/>
    </xf>
    <xf numFmtId="168" fontId="24" fillId="8" borderId="66" xfId="0" applyNumberFormat="1" applyFont="1" applyFill="1" applyBorder="1" applyAlignment="1">
      <alignment horizontal="right"/>
    </xf>
    <xf numFmtId="169" fontId="24" fillId="8" borderId="66" xfId="0" applyNumberFormat="1" applyFont="1" applyFill="1" applyBorder="1" applyAlignment="1">
      <alignment horizontal="right"/>
    </xf>
    <xf numFmtId="0" fontId="24" fillId="8" borderId="61" xfId="0" applyFont="1" applyFill="1" applyBorder="1" applyAlignment="1">
      <alignment horizontal="left"/>
    </xf>
    <xf numFmtId="167" fontId="24" fillId="8" borderId="61" xfId="0" applyNumberFormat="1" applyFont="1" applyFill="1" applyBorder="1" applyAlignment="1">
      <alignment horizontal="left"/>
    </xf>
    <xf numFmtId="168" fontId="24" fillId="8" borderId="61" xfId="0" applyNumberFormat="1" applyFont="1" applyFill="1" applyBorder="1" applyAlignment="1">
      <alignment horizontal="right"/>
    </xf>
    <xf numFmtId="169" fontId="24" fillId="8" borderId="61" xfId="0" applyNumberFormat="1" applyFont="1" applyFill="1" applyBorder="1" applyAlignment="1">
      <alignment horizontal="right"/>
    </xf>
    <xf numFmtId="0" fontId="26" fillId="5" borderId="68" xfId="0" applyFont="1" applyFill="1" applyBorder="1" applyAlignment="1">
      <alignment horizontal="left"/>
    </xf>
    <xf numFmtId="167" fontId="26" fillId="5" borderId="68" xfId="0" applyNumberFormat="1" applyFont="1" applyFill="1" applyBorder="1" applyAlignment="1">
      <alignment horizontal="left"/>
    </xf>
    <xf numFmtId="168" fontId="27" fillId="9" borderId="68" xfId="0" applyNumberFormat="1" applyFont="1" applyFill="1" applyBorder="1" applyAlignment="1">
      <alignment horizontal="right"/>
    </xf>
    <xf numFmtId="169" fontId="27" fillId="9" borderId="68" xfId="0" applyNumberFormat="1" applyFont="1" applyFill="1" applyBorder="1" applyAlignment="1">
      <alignment horizontal="right"/>
    </xf>
    <xf numFmtId="0" fontId="25" fillId="8" borderId="63" xfId="0" applyFont="1" applyFill="1" applyBorder="1" applyAlignment="1">
      <alignment horizontal="left"/>
    </xf>
    <xf numFmtId="0" fontId="25" fillId="8" borderId="65" xfId="0" applyFont="1" applyFill="1" applyBorder="1" applyAlignment="1">
      <alignment horizontal="left"/>
    </xf>
    <xf numFmtId="0" fontId="26" fillId="5" borderId="69" xfId="0" applyFont="1" applyFill="1" applyBorder="1" applyAlignment="1">
      <alignment horizontal="left"/>
    </xf>
    <xf numFmtId="0" fontId="25" fillId="8" borderId="60" xfId="0" applyFont="1" applyFill="1" applyBorder="1" applyAlignment="1">
      <alignment horizontal="left"/>
    </xf>
    <xf numFmtId="0" fontId="24" fillId="8" borderId="70" xfId="0" applyFont="1" applyFill="1" applyBorder="1" applyAlignment="1">
      <alignment horizontal="left"/>
    </xf>
    <xf numFmtId="0" fontId="24" fillId="8" borderId="71" xfId="0" applyFont="1" applyFill="1" applyBorder="1" applyAlignment="1">
      <alignment horizontal="left"/>
    </xf>
    <xf numFmtId="0" fontId="26" fillId="5" borderId="72" xfId="0" applyFont="1" applyFill="1" applyBorder="1" applyAlignment="1">
      <alignment horizontal="left"/>
    </xf>
    <xf numFmtId="0" fontId="24" fillId="8" borderId="73" xfId="0" applyFont="1" applyFill="1" applyBorder="1" applyAlignment="1">
      <alignment horizontal="left"/>
    </xf>
    <xf numFmtId="169" fontId="24" fillId="8" borderId="64" xfId="0" applyNumberFormat="1" applyFont="1" applyFill="1" applyBorder="1" applyAlignment="1">
      <alignment horizontal="right"/>
    </xf>
    <xf numFmtId="169" fontId="24" fillId="8" borderId="67" xfId="0" applyNumberFormat="1" applyFont="1" applyFill="1" applyBorder="1" applyAlignment="1">
      <alignment horizontal="right"/>
    </xf>
    <xf numFmtId="169" fontId="27" fillId="9" borderId="74" xfId="0" applyNumberFormat="1" applyFont="1" applyFill="1" applyBorder="1" applyAlignment="1">
      <alignment horizontal="right"/>
    </xf>
    <xf numFmtId="169" fontId="24" fillId="8" borderId="62" xfId="0" applyNumberFormat="1" applyFont="1" applyFill="1" applyBorder="1" applyAlignment="1">
      <alignment horizontal="right"/>
    </xf>
    <xf numFmtId="169" fontId="24" fillId="8" borderId="75" xfId="0" applyNumberFormat="1" applyFont="1" applyFill="1" applyBorder="1" applyAlignment="1">
      <alignment horizontal="right"/>
    </xf>
    <xf numFmtId="169" fontId="24" fillId="8" borderId="76" xfId="0" applyNumberFormat="1" applyFont="1" applyFill="1" applyBorder="1" applyAlignment="1">
      <alignment horizontal="right"/>
    </xf>
    <xf numFmtId="169" fontId="27" fillId="9" borderId="77" xfId="0" applyNumberFormat="1" applyFont="1" applyFill="1" applyBorder="1" applyAlignment="1">
      <alignment horizontal="right"/>
    </xf>
    <xf numFmtId="169" fontId="24" fillId="8" borderId="78" xfId="0" applyNumberFormat="1" applyFont="1" applyFill="1" applyBorder="1" applyAlignment="1">
      <alignment horizontal="right"/>
    </xf>
    <xf numFmtId="0" fontId="26" fillId="5" borderId="79" xfId="0" applyFont="1" applyFill="1" applyBorder="1" applyAlignment="1">
      <alignment horizontal="left"/>
    </xf>
    <xf numFmtId="0" fontId="26" fillId="5" borderId="80" xfId="0" applyFont="1" applyFill="1" applyBorder="1" applyAlignment="1">
      <alignment horizontal="left"/>
    </xf>
    <xf numFmtId="0" fontId="26" fillId="5" borderId="81" xfId="0" applyFont="1" applyFill="1" applyBorder="1" applyAlignment="1">
      <alignment horizontal="left"/>
    </xf>
    <xf numFmtId="167" fontId="26" fillId="5" borderId="81" xfId="0" applyNumberFormat="1" applyFont="1" applyFill="1" applyBorder="1" applyAlignment="1">
      <alignment horizontal="left"/>
    </xf>
    <xf numFmtId="168" fontId="27" fillId="9" borderId="81" xfId="0" applyNumberFormat="1" applyFont="1" applyFill="1" applyBorder="1" applyAlignment="1">
      <alignment horizontal="right"/>
    </xf>
    <xf numFmtId="169" fontId="27" fillId="9" borderId="81" xfId="0" applyNumberFormat="1" applyFont="1" applyFill="1" applyBorder="1" applyAlignment="1">
      <alignment horizontal="right"/>
    </xf>
    <xf numFmtId="169" fontId="27" fillId="9" borderId="82" xfId="0" applyNumberFormat="1" applyFont="1" applyFill="1" applyBorder="1" applyAlignment="1">
      <alignment horizontal="right"/>
    </xf>
    <xf numFmtId="169" fontId="27" fillId="9" borderId="83" xfId="0" applyNumberFormat="1" applyFont="1" applyFill="1" applyBorder="1" applyAlignment="1">
      <alignment horizontal="right"/>
    </xf>
    <xf numFmtId="0" fontId="24" fillId="8" borderId="63" xfId="0" applyFont="1" applyFill="1" applyBorder="1" applyAlignment="1">
      <alignment horizontal="left"/>
    </xf>
    <xf numFmtId="0" fontId="24" fillId="8" borderId="65" xfId="0" applyFont="1" applyFill="1" applyBorder="1" applyAlignment="1">
      <alignment horizontal="left"/>
    </xf>
    <xf numFmtId="0" fontId="24" fillId="8" borderId="60" xfId="0" applyFont="1" applyFill="1" applyBorder="1" applyAlignment="1">
      <alignment horizontal="left"/>
    </xf>
    <xf numFmtId="0" fontId="23" fillId="5" borderId="84" xfId="0" applyFont="1" applyFill="1" applyBorder="1" applyAlignment="1">
      <alignment horizontal="center" vertical="center" wrapText="1"/>
    </xf>
    <xf numFmtId="0" fontId="23" fillId="5" borderId="84" xfId="0" applyFont="1" applyFill="1" applyBorder="1" applyAlignment="1">
      <alignment horizontal="left" vertical="center" wrapText="1"/>
    </xf>
    <xf numFmtId="0" fontId="23" fillId="5" borderId="85" xfId="0" applyFont="1" applyFill="1" applyBorder="1" applyAlignment="1">
      <alignment horizontal="center" vertical="center" wrapText="1"/>
    </xf>
    <xf numFmtId="0" fontId="23" fillId="5" borderId="8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</cellXfs>
  <cellStyles count="8">
    <cellStyle name="Normal" xfId="0" builtinId="0"/>
    <cellStyle name="Normal 10" xfId="2" xr:uid="{9BE3F0A6-2837-42D8-9C68-945A208B19ED}"/>
    <cellStyle name="Normal 2" xfId="3" xr:uid="{F5A1501E-09F7-4D95-B183-B2D77BD9020E}"/>
    <cellStyle name="Normal 39 2 2" xfId="1" xr:uid="{259CA8A5-2647-487E-B2CE-F76580DC53BC}"/>
    <cellStyle name="Normal 8" xfId="5" xr:uid="{AA42D001-C5A6-4A50-BF31-0C405BBA3BC4}"/>
    <cellStyle name="Porcentagem 2" xfId="6" xr:uid="{7DFEC2AB-67FC-4285-9168-60B182F50065}"/>
    <cellStyle name="Vírgula 3 2" xfId="4" xr:uid="{FA0AA8DF-4F25-439A-883E-20F003E1C195}"/>
    <cellStyle name="Vírgula 30 2 2" xfId="7" xr:uid="{1AD0A747-53BA-4FF1-AC55-A6CFBBF6C7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167368</xdr:colOff>
      <xdr:row>0</xdr:row>
      <xdr:rowOff>122465</xdr:rowOff>
    </xdr:from>
    <xdr:to>
      <xdr:col>0</xdr:col>
      <xdr:colOff>907869</xdr:colOff>
      <xdr:row>1</xdr:row>
      <xdr:rowOff>169001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38564E08-2B15-431F-9677-45EDC4D3303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67368" y="122465"/>
          <a:ext cx="740501" cy="245200"/>
        </a:xfrm>
        <a:prstGeom prst="rect">
          <a:avLst/>
        </a:prstGeom>
        <a:ln/>
      </xdr:spPr>
    </xdr:pic>
    <xdr:clientData/>
  </xdr:twoCellAnchor>
  <xdr:twoCellAnchor editAs="oneCell">
    <xdr:from>
      <xdr:col>24</xdr:col>
      <xdr:colOff>243840</xdr:colOff>
      <xdr:row>6</xdr:row>
      <xdr:rowOff>121919</xdr:rowOff>
    </xdr:from>
    <xdr:to>
      <xdr:col>31</xdr:col>
      <xdr:colOff>30131</xdr:colOff>
      <xdr:row>60</xdr:row>
      <xdr:rowOff>26493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D54D14-07A8-4201-BD64-A4AF29D2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17915" y="1569719"/>
          <a:ext cx="4053491" cy="11006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TN-TZN_ELT%20-%20Or&#231;amento%20Executivo_R00%20.xlsx" TargetMode="External"/><Relationship Id="rId2" Type="http://schemas.openxmlformats.org/officeDocument/2006/relationships/externalLinkPath" Target="file:///G:\Drives%20compartilhados\03%20CTN%20Projetos\2.%20Projetos%20em%20Andamento\_Executivo_IA\thozen-electra\CTN-TZN_ELT%20-%20Or&#231;amento%20Executivo_R00%20.xlsx" TargetMode="External"/><Relationship Id="rId1" Type="http://schemas.openxmlformats.org/officeDocument/2006/relationships/externalLinkPath" Target="/Drives%20compartilhados/03%20CTN%20Projetos/2.%20Projetos%20em%20Andamento/_Executivo_IA/thozen-electra/CTN-TZN_ELT%20-%20Or&#231;amento%20Executivo_R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er_Executivo_Manual"/>
      <sheetName val="Orçamento"/>
      <sheetName val="Composições"/>
      <sheetName val="Insumos (2)"/>
      <sheetName val="CAPA"/>
      <sheetName val="PROJETOS"/>
      <sheetName val="Ger_Tec e Adm"/>
      <sheetName val="Ger_Executivo_Cartesian"/>
      <sheetName val="EAP"/>
      <sheetName val="EAP - app"/>
      <sheetName val="EPCs"/>
      <sheetName val="CANTEIRO"/>
      <sheetName val="Cont.Tecnol."/>
      <sheetName val="ESQUADRIAS"/>
      <sheetName val="CPU"/>
      <sheetName val="Insumos"/>
      <sheetName val="Estacas"/>
      <sheetName val="Fund. Rasa | Contenção"/>
      <sheetName val="Resumo Estrutura"/>
      <sheetName val="Cálculo de apoio"/>
      <sheetName val="Escoramento"/>
      <sheetName val="IMPERMEABILIZAÇÃO"/>
      <sheetName val="LOUÇAS E METAIS"/>
      <sheetName val="PISCINA"/>
      <sheetName val="Equipamentos Especiais"/>
      <sheetName val="ELÉTRICO"/>
      <sheetName val="HIDROSSANITÁRIO v3"/>
      <sheetName val="HIDROSSANITÁRIO"/>
      <sheetName val="PPCI"/>
      <sheetName val="SPRINKLERS"/>
      <sheetName val="TELECOMUNICAÇÃO (2)"/>
      <sheetName val="MÃO DE OBRA ELETRICA"/>
      <sheetName val="MÃO DE OBRA HIDRO"/>
      <sheetName val="Bombeamento - Extra"/>
      <sheetName val="GÁS"/>
      <sheetName val="AUTOMAÇÃO"/>
      <sheetName val="CLIMATIZAÇÃO"/>
      <sheetName val="ILUMINAÇÃO"/>
      <sheetName val="MOBILIÁRIO"/>
    </sheetNames>
    <sheetDataSet>
      <sheetData sheetId="0"/>
      <sheetData sheetId="1"/>
      <sheetData sheetId="2"/>
      <sheetData sheetId="3"/>
      <sheetData sheetId="4">
        <row r="2">
          <cell r="C2" t="str">
            <v>Elizabeth II Royal Home</v>
          </cell>
        </row>
        <row r="3">
          <cell r="C3" t="str">
            <v>Gessele</v>
          </cell>
        </row>
        <row r="10">
          <cell r="C10">
            <v>16749.670000000002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">
          <cell r="K7">
            <v>83.448554860978874</v>
          </cell>
          <cell r="M7">
            <v>6175</v>
          </cell>
          <cell r="N7">
            <v>41456</v>
          </cell>
        </row>
      </sheetData>
      <sheetData sheetId="17">
        <row r="84">
          <cell r="AD84">
            <v>222.62719999999996</v>
          </cell>
          <cell r="AG84">
            <v>11.390452</v>
          </cell>
        </row>
      </sheetData>
      <sheetData sheetId="18"/>
      <sheetData sheetId="19">
        <row r="6">
          <cell r="E6">
            <v>28.95</v>
          </cell>
        </row>
        <row r="8">
          <cell r="D8">
            <v>23.181759999999997</v>
          </cell>
          <cell r="J8">
            <v>10</v>
          </cell>
          <cell r="K8">
            <v>7.2727272727272725</v>
          </cell>
          <cell r="L8">
            <v>883.63636363636363</v>
          </cell>
          <cell r="M8">
            <v>1337.6363636363635</v>
          </cell>
          <cell r="N8">
            <v>678.81818181818176</v>
          </cell>
          <cell r="O8">
            <v>501.81818181818176</v>
          </cell>
          <cell r="P8">
            <v>0</v>
          </cell>
          <cell r="Q8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DCCC5D-60E8-4282-B9AD-70E119CF0F3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bdc1fb2-5cb0-4be2-918f-d19c7488347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7F3C-3DAC-431F-9ACC-C35B630EFE21}">
  <sheetPr>
    <tabColor rgb="FFFFFF00"/>
  </sheetPr>
  <dimension ref="A1:AL5304"/>
  <sheetViews>
    <sheetView showGridLines="0" zoomScale="70" zoomScaleNormal="70" workbookViewId="0">
      <pane xSplit="14" ySplit="4" topLeftCell="O5" activePane="bottomRight" state="frozen"/>
      <selection activeCell="C1" sqref="C1:C3"/>
      <selection pane="topRight" activeCell="C1" sqref="C1:C3"/>
      <selection pane="bottomLeft" activeCell="C1" sqref="C1:C3"/>
      <selection pane="bottomRight" activeCell="C1" sqref="C1:C3"/>
    </sheetView>
  </sheetViews>
  <sheetFormatPr defaultColWidth="9.140625" defaultRowHeight="15" x14ac:dyDescent="0.25"/>
  <cols>
    <col min="1" max="1" width="16.42578125" style="17" customWidth="1"/>
    <col min="2" max="2" width="19.5703125" style="17" customWidth="1"/>
    <col min="3" max="3" width="22" style="17" customWidth="1"/>
    <col min="4" max="4" width="27.28515625" style="17" customWidth="1"/>
    <col min="5" max="5" width="21.28515625" style="17" bestFit="1" customWidth="1"/>
    <col min="6" max="6" width="28" style="135" hidden="1" customWidth="1"/>
    <col min="7" max="7" width="13.85546875" style="136" customWidth="1"/>
    <col min="8" max="8" width="7.85546875" style="136" customWidth="1"/>
    <col min="9" max="9" width="10.140625" style="137" customWidth="1"/>
    <col min="10" max="10" width="13" style="137" bestFit="1" customWidth="1"/>
    <col min="11" max="11" width="15.85546875" style="137" customWidth="1"/>
    <col min="12" max="12" width="13.28515625" style="137" hidden="1" customWidth="1"/>
    <col min="13" max="13" width="12" style="137" hidden="1" customWidth="1"/>
    <col min="14" max="14" width="13.28515625" style="137" customWidth="1"/>
    <col min="15" max="15" width="10.7109375" style="137" bestFit="1" customWidth="1"/>
    <col min="16" max="23" width="14" style="137" customWidth="1"/>
    <col min="24" max="24" width="14.28515625" style="17" bestFit="1" customWidth="1"/>
    <col min="25" max="38" width="9.140625" style="17"/>
    <col min="39" max="16384" width="9.140625" style="18"/>
  </cols>
  <sheetData>
    <row r="1" spans="1:38" x14ac:dyDescent="0.25">
      <c r="A1" s="12"/>
      <c r="B1" s="13" t="s">
        <v>116</v>
      </c>
      <c r="C1" s="14" t="str">
        <f>[1]CAPA!$C$2</f>
        <v>Elizabeth II Royal Home</v>
      </c>
      <c r="D1" s="14"/>
      <c r="E1" s="14"/>
      <c r="F1" s="15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6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38" x14ac:dyDescent="0.25">
      <c r="A2" s="19"/>
      <c r="B2" s="20" t="s">
        <v>117</v>
      </c>
      <c r="C2" s="21" t="str">
        <f>[1]CAPA!$C$3</f>
        <v>Gessele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1:38" ht="15.75" thickBot="1" x14ac:dyDescent="0.3">
      <c r="A3" s="19"/>
      <c r="B3" s="23" t="s">
        <v>118</v>
      </c>
      <c r="C3" s="24" t="s">
        <v>119</v>
      </c>
      <c r="D3" s="24"/>
      <c r="E3" s="24"/>
      <c r="F3" s="25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6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spans="1:38" ht="38.25" x14ac:dyDescent="0.25">
      <c r="A4" s="27" t="s">
        <v>24</v>
      </c>
      <c r="B4" s="28" t="s">
        <v>120</v>
      </c>
      <c r="C4" s="28" t="s">
        <v>121</v>
      </c>
      <c r="D4" s="28" t="s">
        <v>122</v>
      </c>
      <c r="E4" s="28" t="s">
        <v>123</v>
      </c>
      <c r="F4" s="29" t="s">
        <v>124</v>
      </c>
      <c r="G4" s="29" t="s">
        <v>125</v>
      </c>
      <c r="H4" s="28" t="s">
        <v>126</v>
      </c>
      <c r="I4" s="28" t="s">
        <v>127</v>
      </c>
      <c r="J4" s="29" t="s">
        <v>128</v>
      </c>
      <c r="K4" s="29" t="s">
        <v>129</v>
      </c>
      <c r="L4" s="29" t="s">
        <v>130</v>
      </c>
      <c r="M4" s="29" t="s">
        <v>131</v>
      </c>
      <c r="N4" s="28" t="s">
        <v>132</v>
      </c>
      <c r="O4" s="29" t="s">
        <v>133</v>
      </c>
      <c r="P4" s="29" t="s">
        <v>134</v>
      </c>
      <c r="Q4" s="29" t="s">
        <v>135</v>
      </c>
      <c r="R4" s="29" t="s">
        <v>136</v>
      </c>
      <c r="S4" s="29" t="s">
        <v>137</v>
      </c>
      <c r="T4" s="29" t="s">
        <v>138</v>
      </c>
      <c r="U4" s="29" t="s">
        <v>139</v>
      </c>
      <c r="V4" s="30" t="s">
        <v>140</v>
      </c>
      <c r="W4" s="30" t="s">
        <v>141</v>
      </c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1:38" ht="18.75" x14ac:dyDescent="0.25">
      <c r="A5" s="31" t="s">
        <v>142</v>
      </c>
      <c r="B5" s="32"/>
      <c r="C5" s="32"/>
      <c r="D5" s="32"/>
      <c r="E5" s="32"/>
      <c r="F5" s="33"/>
      <c r="G5" s="34"/>
      <c r="H5" s="32"/>
      <c r="I5" s="32"/>
      <c r="J5" s="34"/>
      <c r="K5" s="34"/>
      <c r="L5" s="34"/>
      <c r="M5" s="34"/>
      <c r="N5" s="32"/>
      <c r="O5" s="35">
        <f ca="1">O81/SUM($O$81:$W$81)</f>
        <v>5.6284418529316529E-3</v>
      </c>
      <c r="P5" s="35">
        <f t="shared" ref="P5:W5" ca="1" si="0">P81/SUM($O$81:$W$81)</f>
        <v>6.3127632005183024E-2</v>
      </c>
      <c r="Q5" s="35">
        <f t="shared" ca="1" si="0"/>
        <v>6.9768383543893753E-2</v>
      </c>
      <c r="R5" s="35">
        <f t="shared" ca="1" si="0"/>
        <v>7.9324586977648187E-2</v>
      </c>
      <c r="S5" s="35">
        <f t="shared" ca="1" si="0"/>
        <v>8.9771622934888246E-2</v>
      </c>
      <c r="T5" s="35">
        <f t="shared" ca="1" si="0"/>
        <v>3.0085843861354069E-2</v>
      </c>
      <c r="U5" s="35">
        <f t="shared" ca="1" si="0"/>
        <v>0.11503887269193391</v>
      </c>
      <c r="V5" s="35">
        <f t="shared" ca="1" si="0"/>
        <v>0.54725461613216719</v>
      </c>
      <c r="W5" s="36">
        <f t="shared" ca="1" si="0"/>
        <v>0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1:38" x14ac:dyDescent="0.25">
      <c r="A6" s="37" t="str">
        <f>A5</f>
        <v>Torre</v>
      </c>
      <c r="B6" s="38" t="s">
        <v>143</v>
      </c>
      <c r="C6" s="38" t="s">
        <v>144</v>
      </c>
      <c r="D6" s="38" t="s">
        <v>144</v>
      </c>
      <c r="E6" s="38" t="s">
        <v>145</v>
      </c>
      <c r="F6" s="39" t="s">
        <v>146</v>
      </c>
      <c r="G6" s="40"/>
      <c r="H6" s="41">
        <v>50</v>
      </c>
      <c r="I6" s="42">
        <f>'[1]Fund. Rasa | Contenção'!AG84</f>
        <v>11.390452</v>
      </c>
      <c r="J6" s="42">
        <f>'[1]Fund. Rasa | Contenção'!AD84</f>
        <v>222.62719999999996</v>
      </c>
      <c r="K6" s="42"/>
      <c r="L6" s="42"/>
      <c r="M6" s="42"/>
      <c r="N6" s="42">
        <f>SUM(O6:W6)</f>
        <v>711.92159999999978</v>
      </c>
      <c r="O6" s="42"/>
      <c r="P6" s="42">
        <f>(30*48+(1.02+1.07+0.07+0.02+0.07+0.17+0.12+0.07+0.02+0.07)*48*2/0.2)*0.245</f>
        <v>670.31999999999982</v>
      </c>
      <c r="Q6" s="42"/>
      <c r="R6" s="42"/>
      <c r="S6" s="42">
        <f>0.45*48*2*0.963</f>
        <v>41.601600000000005</v>
      </c>
      <c r="T6" s="42"/>
      <c r="U6" s="42"/>
      <c r="V6" s="43"/>
      <c r="W6" s="44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1:38" x14ac:dyDescent="0.25">
      <c r="A7" s="37" t="str">
        <f>A5</f>
        <v>Torre</v>
      </c>
      <c r="B7" s="38" t="s">
        <v>143</v>
      </c>
      <c r="C7" s="38" t="s">
        <v>144</v>
      </c>
      <c r="D7" s="38" t="s">
        <v>144</v>
      </c>
      <c r="E7" s="38" t="s">
        <v>147</v>
      </c>
      <c r="F7" s="39"/>
      <c r="G7" s="40"/>
      <c r="H7" s="41">
        <v>50</v>
      </c>
      <c r="I7" s="42">
        <v>210</v>
      </c>
      <c r="J7" s="42">
        <v>1050</v>
      </c>
      <c r="K7" s="42"/>
      <c r="L7" s="42"/>
      <c r="M7" s="42"/>
      <c r="N7" s="42">
        <f>SUM(O7:W7)</f>
        <v>18250</v>
      </c>
      <c r="O7" s="42"/>
      <c r="P7" s="42">
        <v>2282</v>
      </c>
      <c r="Q7" s="42">
        <v>77</v>
      </c>
      <c r="R7" s="42"/>
      <c r="S7" s="42">
        <v>3884</v>
      </c>
      <c r="T7" s="42"/>
      <c r="U7" s="42"/>
      <c r="V7" s="43">
        <v>12007</v>
      </c>
      <c r="W7" s="44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x14ac:dyDescent="0.25">
      <c r="A8" s="37" t="str">
        <f>A7</f>
        <v>Torre</v>
      </c>
      <c r="B8" s="38" t="s">
        <v>143</v>
      </c>
      <c r="C8" s="38" t="s">
        <v>144</v>
      </c>
      <c r="D8" s="38" t="s">
        <v>144</v>
      </c>
      <c r="E8" s="38" t="s">
        <v>148</v>
      </c>
      <c r="F8" s="39" t="s">
        <v>146</v>
      </c>
      <c r="G8" s="40"/>
      <c r="H8" s="41">
        <v>50</v>
      </c>
      <c r="I8" s="42">
        <v>8.4</v>
      </c>
      <c r="J8" s="42">
        <v>37.200000000000003</v>
      </c>
      <c r="K8" s="42"/>
      <c r="L8" s="42"/>
      <c r="M8" s="42"/>
      <c r="N8" s="42">
        <f>SUM(O8:W8)</f>
        <v>608.81818181818176</v>
      </c>
      <c r="O8" s="42"/>
      <c r="P8" s="42"/>
      <c r="Q8" s="42">
        <f>(62+84.7)/1.1</f>
        <v>133.36363636363635</v>
      </c>
      <c r="R8" s="42"/>
      <c r="S8" s="42">
        <f>49.9/1.1</f>
        <v>45.36363636363636</v>
      </c>
      <c r="T8" s="42"/>
      <c r="U8" s="42">
        <f>473.1/1.1</f>
        <v>430.09090909090907</v>
      </c>
      <c r="V8" s="43"/>
      <c r="W8" s="44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1:38" ht="15.75" thickBot="1" x14ac:dyDescent="0.3">
      <c r="A9" s="45" t="str">
        <f>A7</f>
        <v>Torre</v>
      </c>
      <c r="B9" s="46" t="s">
        <v>143</v>
      </c>
      <c r="C9" s="46" t="s">
        <v>144</v>
      </c>
      <c r="D9" s="46" t="s">
        <v>144</v>
      </c>
      <c r="E9" s="46" t="s">
        <v>149</v>
      </c>
      <c r="F9" s="47" t="s">
        <v>150</v>
      </c>
      <c r="G9" s="48"/>
      <c r="H9" s="49">
        <v>50</v>
      </c>
      <c r="I9" s="50">
        <v>9.4</v>
      </c>
      <c r="J9" s="50">
        <v>45.6</v>
      </c>
      <c r="K9" s="50"/>
      <c r="L9" s="50"/>
      <c r="M9" s="50"/>
      <c r="N9" s="50">
        <f>SUM(O9:W9)</f>
        <v>2057.272727272727</v>
      </c>
      <c r="O9" s="50"/>
      <c r="P9" s="50"/>
      <c r="Q9" s="50">
        <f>858/1.1</f>
        <v>779.99999999999989</v>
      </c>
      <c r="R9" s="50"/>
      <c r="S9" s="50"/>
      <c r="T9" s="50">
        <f>1405/1.1</f>
        <v>1277.2727272727273</v>
      </c>
      <c r="U9" s="50"/>
      <c r="V9" s="51"/>
      <c r="W9" s="52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8" customHeight="1" thickTop="1" thickBot="1" x14ac:dyDescent="0.3">
      <c r="A10" s="53"/>
      <c r="B10" s="54"/>
      <c r="C10" s="54"/>
      <c r="D10" s="55" t="s">
        <v>151</v>
      </c>
      <c r="E10" s="56"/>
      <c r="F10" s="57"/>
      <c r="G10" s="58"/>
      <c r="H10" s="59"/>
      <c r="I10" s="60">
        <f t="shared" ref="I10:W10" si="1">SUM(I7:I9)</f>
        <v>227.8</v>
      </c>
      <c r="J10" s="60">
        <f t="shared" si="1"/>
        <v>1132.8</v>
      </c>
      <c r="K10" s="60">
        <f t="shared" si="1"/>
        <v>0</v>
      </c>
      <c r="L10" s="60">
        <f t="shared" si="1"/>
        <v>0</v>
      </c>
      <c r="M10" s="60">
        <f t="shared" si="1"/>
        <v>0</v>
      </c>
      <c r="N10" s="60">
        <f t="shared" si="1"/>
        <v>20916.090909090908</v>
      </c>
      <c r="O10" s="60">
        <f t="shared" si="1"/>
        <v>0</v>
      </c>
      <c r="P10" s="60">
        <f t="shared" si="1"/>
        <v>2282</v>
      </c>
      <c r="Q10" s="60">
        <f t="shared" si="1"/>
        <v>990.36363636363626</v>
      </c>
      <c r="R10" s="60">
        <f t="shared" si="1"/>
        <v>0</v>
      </c>
      <c r="S10" s="60">
        <f t="shared" si="1"/>
        <v>3929.3636363636365</v>
      </c>
      <c r="T10" s="60">
        <f t="shared" si="1"/>
        <v>1277.2727272727273</v>
      </c>
      <c r="U10" s="60">
        <f t="shared" si="1"/>
        <v>430.09090909090907</v>
      </c>
      <c r="V10" s="60">
        <f t="shared" si="1"/>
        <v>12007</v>
      </c>
      <c r="W10" s="61">
        <f t="shared" si="1"/>
        <v>0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6.5" thickTop="1" thickBot="1" x14ac:dyDescent="0.3">
      <c r="A11" s="62" t="str">
        <f>A5</f>
        <v>Torre</v>
      </c>
      <c r="B11" s="63" t="s">
        <v>143</v>
      </c>
      <c r="C11" s="63" t="s">
        <v>152</v>
      </c>
      <c r="D11" s="38" t="s">
        <v>143</v>
      </c>
      <c r="E11" s="63" t="s">
        <v>153</v>
      </c>
      <c r="F11" s="64"/>
      <c r="G11" s="65"/>
      <c r="H11" s="66">
        <v>50</v>
      </c>
      <c r="I11" s="67">
        <f>[1]Estacas!K7</f>
        <v>83.448554860978874</v>
      </c>
      <c r="J11" s="67"/>
      <c r="K11" s="67"/>
      <c r="L11" s="67"/>
      <c r="M11" s="67"/>
      <c r="N11" s="67"/>
      <c r="O11" s="67"/>
      <c r="P11" s="67">
        <f>[1]Estacas!M7</f>
        <v>6175</v>
      </c>
      <c r="Q11" s="67"/>
      <c r="R11" s="67"/>
      <c r="S11" s="67"/>
      <c r="T11" s="67"/>
      <c r="U11" s="67">
        <f>[1]Estacas!N7</f>
        <v>41456</v>
      </c>
      <c r="V11" s="68"/>
      <c r="W11" s="69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8" customHeight="1" thickTop="1" thickBot="1" x14ac:dyDescent="0.3">
      <c r="A12" s="70"/>
      <c r="B12" s="71"/>
      <c r="C12" s="71"/>
      <c r="D12" s="72" t="s">
        <v>154</v>
      </c>
      <c r="E12" s="73"/>
      <c r="F12" s="74"/>
      <c r="G12" s="75"/>
      <c r="H12" s="76"/>
      <c r="I12" s="77">
        <f>SUM(I11)</f>
        <v>83.448554860978874</v>
      </c>
      <c r="J12" s="77">
        <f t="shared" ref="J12:V12" si="2">SUM(J11)</f>
        <v>0</v>
      </c>
      <c r="K12" s="77">
        <f t="shared" si="2"/>
        <v>0</v>
      </c>
      <c r="L12" s="77">
        <f t="shared" si="2"/>
        <v>0</v>
      </c>
      <c r="M12" s="77">
        <f t="shared" si="2"/>
        <v>0</v>
      </c>
      <c r="N12" s="77">
        <f t="shared" si="2"/>
        <v>0</v>
      </c>
      <c r="O12" s="77">
        <f t="shared" si="2"/>
        <v>0</v>
      </c>
      <c r="P12" s="77">
        <f t="shared" si="2"/>
        <v>6175</v>
      </c>
      <c r="Q12" s="77">
        <f t="shared" si="2"/>
        <v>0</v>
      </c>
      <c r="R12" s="77">
        <f t="shared" si="2"/>
        <v>0</v>
      </c>
      <c r="S12" s="77">
        <f t="shared" si="2"/>
        <v>0</v>
      </c>
      <c r="T12" s="77">
        <f t="shared" si="2"/>
        <v>0</v>
      </c>
      <c r="U12" s="77">
        <f t="shared" si="2"/>
        <v>41456</v>
      </c>
      <c r="V12" s="77">
        <f t="shared" si="2"/>
        <v>0</v>
      </c>
      <c r="W12" s="78">
        <f>SUM(W11)</f>
        <v>0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6.5" thickTop="1" thickBot="1" x14ac:dyDescent="0.3">
      <c r="A13" s="79" t="str">
        <f>A5</f>
        <v>Torre</v>
      </c>
      <c r="B13" s="80" t="s">
        <v>143</v>
      </c>
      <c r="C13" s="80" t="s">
        <v>155</v>
      </c>
      <c r="D13" s="80" t="s">
        <v>143</v>
      </c>
      <c r="E13" s="80" t="s">
        <v>56</v>
      </c>
      <c r="F13" s="81" t="s">
        <v>156</v>
      </c>
      <c r="G13" s="82"/>
      <c r="H13" s="83">
        <v>50</v>
      </c>
      <c r="I13" s="84">
        <v>658.5</v>
      </c>
      <c r="J13" s="84">
        <v>524.5</v>
      </c>
      <c r="K13" s="84"/>
      <c r="L13" s="84"/>
      <c r="M13" s="84"/>
      <c r="N13" s="84">
        <f>SUM(O13:W13)</f>
        <v>69835.45454545453</v>
      </c>
      <c r="O13" s="84"/>
      <c r="P13" s="84"/>
      <c r="Q13" s="84"/>
      <c r="R13" s="84"/>
      <c r="S13" s="84">
        <f>581/1.1</f>
        <v>528.18181818181813</v>
      </c>
      <c r="T13" s="84">
        <f>8065/1.1</f>
        <v>7331.8181818181811</v>
      </c>
      <c r="U13" s="84">
        <f>1450/1.1</f>
        <v>1318.181818181818</v>
      </c>
      <c r="V13" s="85">
        <f>66723/1.1</f>
        <v>60657.272727272721</v>
      </c>
      <c r="W13" s="86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spans="1:38" ht="18" customHeight="1" thickTop="1" thickBot="1" x14ac:dyDescent="0.3">
      <c r="A14" s="70"/>
      <c r="B14" s="71"/>
      <c r="C14" s="71"/>
      <c r="D14" s="72" t="s">
        <v>157</v>
      </c>
      <c r="E14" s="73"/>
      <c r="F14" s="74"/>
      <c r="G14" s="75"/>
      <c r="H14" s="76"/>
      <c r="I14" s="77">
        <f>SUM(I13)</f>
        <v>658.5</v>
      </c>
      <c r="J14" s="77">
        <f t="shared" ref="J14:V14" si="3">SUM(J13)</f>
        <v>524.5</v>
      </c>
      <c r="K14" s="77">
        <f t="shared" si="3"/>
        <v>0</v>
      </c>
      <c r="L14" s="77">
        <f t="shared" si="3"/>
        <v>0</v>
      </c>
      <c r="M14" s="77">
        <f t="shared" si="3"/>
        <v>0</v>
      </c>
      <c r="N14" s="77">
        <f t="shared" si="3"/>
        <v>69835.45454545453</v>
      </c>
      <c r="O14" s="77">
        <f t="shared" si="3"/>
        <v>0</v>
      </c>
      <c r="P14" s="77">
        <f t="shared" si="3"/>
        <v>0</v>
      </c>
      <c r="Q14" s="77">
        <f t="shared" si="3"/>
        <v>0</v>
      </c>
      <c r="R14" s="77">
        <f t="shared" si="3"/>
        <v>0</v>
      </c>
      <c r="S14" s="77">
        <f t="shared" si="3"/>
        <v>528.18181818181813</v>
      </c>
      <c r="T14" s="77">
        <f t="shared" si="3"/>
        <v>7331.8181818181811</v>
      </c>
      <c r="U14" s="77">
        <f t="shared" si="3"/>
        <v>1318.181818181818</v>
      </c>
      <c r="V14" s="77">
        <f t="shared" si="3"/>
        <v>60657.272727272721</v>
      </c>
      <c r="W14" s="78">
        <f>SUM(W13)</f>
        <v>0</v>
      </c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spans="1:38" ht="15.75" thickTop="1" x14ac:dyDescent="0.25">
      <c r="A15" s="87" t="str">
        <f>A5</f>
        <v>Torre</v>
      </c>
      <c r="B15" s="88" t="s">
        <v>143</v>
      </c>
      <c r="C15" s="88" t="s">
        <v>158</v>
      </c>
      <c r="D15" s="88" t="s">
        <v>143</v>
      </c>
      <c r="E15" s="88" t="s">
        <v>52</v>
      </c>
      <c r="F15" s="89" t="s">
        <v>156</v>
      </c>
      <c r="G15" s="90"/>
      <c r="H15" s="91">
        <v>50</v>
      </c>
      <c r="I15" s="92">
        <v>18.7</v>
      </c>
      <c r="J15" s="92">
        <v>122.9</v>
      </c>
      <c r="K15" s="92"/>
      <c r="L15" s="92"/>
      <c r="M15" s="92"/>
      <c r="N15" s="92">
        <f>SUM(O15:W15)</f>
        <v>44086</v>
      </c>
      <c r="O15" s="92">
        <f>31</f>
        <v>31</v>
      </c>
      <c r="P15" s="92">
        <f>97+14+12</f>
        <v>123</v>
      </c>
      <c r="Q15" s="92">
        <f>83+15+1</f>
        <v>99</v>
      </c>
      <c r="R15" s="92">
        <f>4397+153+1118</f>
        <v>5668</v>
      </c>
      <c r="S15" s="92">
        <f>4398+60+195</f>
        <v>4653</v>
      </c>
      <c r="T15" s="92">
        <f>484+130</f>
        <v>614</v>
      </c>
      <c r="U15" s="92">
        <f>902</f>
        <v>902</v>
      </c>
      <c r="V15" s="93">
        <f>3332+1348</f>
        <v>4680</v>
      </c>
      <c r="W15" s="94">
        <f>27316</f>
        <v>27316</v>
      </c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spans="1:38" x14ac:dyDescent="0.25">
      <c r="A16" s="87" t="str">
        <f>A5</f>
        <v>Torre</v>
      </c>
      <c r="B16" s="88" t="s">
        <v>143</v>
      </c>
      <c r="C16" s="88" t="s">
        <v>158</v>
      </c>
      <c r="D16" s="88" t="s">
        <v>143</v>
      </c>
      <c r="E16" s="88" t="s">
        <v>51</v>
      </c>
      <c r="F16" s="89"/>
      <c r="G16" s="90"/>
      <c r="H16" s="91">
        <v>50</v>
      </c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3"/>
      <c r="W16" s="94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spans="1:38" x14ac:dyDescent="0.25">
      <c r="A17" s="87" t="str">
        <f>A16</f>
        <v>Torre</v>
      </c>
      <c r="B17" s="88" t="s">
        <v>143</v>
      </c>
      <c r="C17" s="88" t="s">
        <v>158</v>
      </c>
      <c r="D17" s="88" t="s">
        <v>143</v>
      </c>
      <c r="E17" s="88" t="s">
        <v>159</v>
      </c>
      <c r="F17" s="89" t="s">
        <v>160</v>
      </c>
      <c r="G17" s="90"/>
      <c r="H17" s="91">
        <v>50</v>
      </c>
      <c r="I17" s="95">
        <f>1.4*(1.19*2.325)+0.3*(4.2*4.2)</f>
        <v>9.1654499999999999</v>
      </c>
      <c r="J17" s="95">
        <f>4.2*4*0.3+(1.19*2+2.325*2)*1.4</f>
        <v>14.882000000000001</v>
      </c>
      <c r="K17" s="92"/>
      <c r="L17" s="92"/>
      <c r="M17" s="92"/>
      <c r="N17" s="92">
        <f t="shared" ref="N17:N60" si="4">SUM(O17:W17)</f>
        <v>829.90909090909076</v>
      </c>
      <c r="O17" s="92"/>
      <c r="P17" s="92"/>
      <c r="Q17" s="92"/>
      <c r="R17" s="92"/>
      <c r="S17" s="92">
        <f>(191.8+551.8)/1.1</f>
        <v>675.99999999999989</v>
      </c>
      <c r="T17" s="92">
        <f>169.3/1.1</f>
        <v>153.90909090909091</v>
      </c>
      <c r="U17" s="92"/>
      <c r="V17" s="93"/>
      <c r="W17" s="94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spans="1:38" x14ac:dyDescent="0.25">
      <c r="A18" s="87" t="str">
        <f>A5</f>
        <v>Torre</v>
      </c>
      <c r="B18" s="88" t="s">
        <v>143</v>
      </c>
      <c r="C18" s="88" t="s">
        <v>158</v>
      </c>
      <c r="D18" s="88" t="s">
        <v>143</v>
      </c>
      <c r="E18" s="88" t="s">
        <v>161</v>
      </c>
      <c r="F18" s="89"/>
      <c r="G18" s="90"/>
      <c r="H18" s="91">
        <v>50</v>
      </c>
      <c r="I18" s="92"/>
      <c r="J18" s="92"/>
      <c r="K18" s="92"/>
      <c r="L18" s="92"/>
      <c r="M18" s="92"/>
      <c r="N18" s="92">
        <f t="shared" si="4"/>
        <v>17</v>
      </c>
      <c r="O18" s="92">
        <f>11</f>
        <v>11</v>
      </c>
      <c r="P18" s="92"/>
      <c r="Q18" s="92"/>
      <c r="R18" s="92">
        <f>6</f>
        <v>6</v>
      </c>
      <c r="S18" s="92"/>
      <c r="T18" s="92"/>
      <c r="U18" s="92"/>
      <c r="V18" s="93"/>
      <c r="W18" s="94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spans="1:38" x14ac:dyDescent="0.25">
      <c r="A19" s="87" t="str">
        <f>A5</f>
        <v>Torre</v>
      </c>
      <c r="B19" s="88" t="s">
        <v>143</v>
      </c>
      <c r="C19" s="88" t="s">
        <v>158</v>
      </c>
      <c r="D19" s="88" t="s">
        <v>143</v>
      </c>
      <c r="E19" s="88" t="s">
        <v>162</v>
      </c>
      <c r="F19" s="89" t="s">
        <v>163</v>
      </c>
      <c r="G19" s="90"/>
      <c r="H19" s="91">
        <v>50</v>
      </c>
      <c r="I19" s="92">
        <f>'[1]Cálculo de apoio'!D8</f>
        <v>23.181759999999997</v>
      </c>
      <c r="J19" s="92">
        <f>'[1]Cálculo de apoio'!E6</f>
        <v>28.95</v>
      </c>
      <c r="K19" s="92"/>
      <c r="L19" s="92"/>
      <c r="M19" s="92"/>
      <c r="N19" s="92">
        <f t="shared" si="4"/>
        <v>3419.181818181818</v>
      </c>
      <c r="O19" s="92">
        <f>'[1]Cálculo de apoio'!J8</f>
        <v>10</v>
      </c>
      <c r="P19" s="92">
        <f>'[1]Cálculo de apoio'!K8</f>
        <v>7.2727272727272725</v>
      </c>
      <c r="Q19" s="92">
        <f>'[1]Cálculo de apoio'!L8</f>
        <v>883.63636363636363</v>
      </c>
      <c r="R19" s="92">
        <f>'[1]Cálculo de apoio'!M8</f>
        <v>1337.6363636363635</v>
      </c>
      <c r="S19" s="92">
        <f>'[1]Cálculo de apoio'!N8</f>
        <v>678.81818181818176</v>
      </c>
      <c r="T19" s="92">
        <f>'[1]Cálculo de apoio'!O8</f>
        <v>501.81818181818176</v>
      </c>
      <c r="U19" s="92">
        <f>'[1]Cálculo de apoio'!P8</f>
        <v>0</v>
      </c>
      <c r="V19" s="92">
        <f>'[1]Cálculo de apoio'!Q8</f>
        <v>0</v>
      </c>
      <c r="W19" s="94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spans="1:38" ht="15.75" thickBot="1" x14ac:dyDescent="0.3">
      <c r="A20" s="45" t="str">
        <f>A5</f>
        <v>Torre</v>
      </c>
      <c r="B20" s="46" t="s">
        <v>143</v>
      </c>
      <c r="C20" s="88" t="s">
        <v>158</v>
      </c>
      <c r="D20" s="88" t="s">
        <v>143</v>
      </c>
      <c r="E20" s="46" t="s">
        <v>92</v>
      </c>
      <c r="F20" s="47"/>
      <c r="G20" s="48"/>
      <c r="H20" s="49">
        <v>50</v>
      </c>
      <c r="I20" s="50"/>
      <c r="J20" s="50"/>
      <c r="K20" s="50"/>
      <c r="L20" s="50"/>
      <c r="M20" s="50"/>
      <c r="N20" s="50">
        <f t="shared" si="4"/>
        <v>0</v>
      </c>
      <c r="O20" s="50"/>
      <c r="P20" s="50"/>
      <c r="Q20" s="50"/>
      <c r="R20" s="50"/>
      <c r="S20" s="50"/>
      <c r="T20" s="50"/>
      <c r="U20" s="50"/>
      <c r="V20" s="51"/>
      <c r="W20" s="52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spans="1:38" ht="18" customHeight="1" thickTop="1" thickBot="1" x14ac:dyDescent="0.3">
      <c r="A21" s="53"/>
      <c r="B21" s="54"/>
      <c r="C21" s="55" t="s">
        <v>164</v>
      </c>
      <c r="D21" s="55"/>
      <c r="E21" s="56"/>
      <c r="F21" s="57"/>
      <c r="G21" s="58"/>
      <c r="H21" s="59"/>
      <c r="I21" s="96">
        <f>SUM(I15:I20)</f>
        <v>51.047209999999993</v>
      </c>
      <c r="J21" s="97">
        <f t="shared" ref="J21:W21" si="5">SUM(J15:J20)</f>
        <v>166.732</v>
      </c>
      <c r="K21" s="97">
        <f t="shared" si="5"/>
        <v>0</v>
      </c>
      <c r="L21" s="97">
        <f t="shared" si="5"/>
        <v>0</v>
      </c>
      <c r="M21" s="97">
        <f t="shared" si="5"/>
        <v>0</v>
      </c>
      <c r="N21" s="97">
        <f t="shared" si="5"/>
        <v>48352.090909090904</v>
      </c>
      <c r="O21" s="97">
        <f t="shared" si="5"/>
        <v>52</v>
      </c>
      <c r="P21" s="97">
        <f t="shared" si="5"/>
        <v>130.27272727272728</v>
      </c>
      <c r="Q21" s="97">
        <f t="shared" si="5"/>
        <v>982.63636363636363</v>
      </c>
      <c r="R21" s="97">
        <f t="shared" si="5"/>
        <v>7011.636363636364</v>
      </c>
      <c r="S21" s="97">
        <f t="shared" si="5"/>
        <v>6007.818181818182</v>
      </c>
      <c r="T21" s="97">
        <f t="shared" si="5"/>
        <v>1269.7272727272725</v>
      </c>
      <c r="U21" s="97">
        <f t="shared" si="5"/>
        <v>902</v>
      </c>
      <c r="V21" s="98">
        <f t="shared" si="5"/>
        <v>4680</v>
      </c>
      <c r="W21" s="99">
        <f t="shared" si="5"/>
        <v>27316</v>
      </c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spans="1:38" ht="13.9" customHeight="1" thickTop="1" x14ac:dyDescent="0.25">
      <c r="A22" s="100" t="str">
        <f>A20</f>
        <v>Torre</v>
      </c>
      <c r="B22" s="101" t="s">
        <v>165</v>
      </c>
      <c r="C22" s="101" t="s">
        <v>166</v>
      </c>
      <c r="D22" s="101" t="s">
        <v>166</v>
      </c>
      <c r="E22" s="101" t="s">
        <v>52</v>
      </c>
      <c r="F22" s="102"/>
      <c r="G22" s="103"/>
      <c r="H22" s="104">
        <v>50</v>
      </c>
      <c r="I22" s="105"/>
      <c r="J22" s="105"/>
      <c r="K22" s="105">
        <f>J28*3</f>
        <v>1733.3999999999999</v>
      </c>
      <c r="L22" s="105"/>
      <c r="M22" s="105"/>
      <c r="N22" s="105">
        <f>SUM(O22:W22)</f>
        <v>0</v>
      </c>
      <c r="O22" s="105"/>
      <c r="P22" s="105"/>
      <c r="Q22" s="105"/>
      <c r="R22" s="105"/>
      <c r="S22" s="105"/>
      <c r="T22" s="105"/>
      <c r="U22" s="105"/>
      <c r="V22" s="106"/>
      <c r="W22" s="107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spans="1:38" x14ac:dyDescent="0.25">
      <c r="A23" s="87" t="str">
        <f>A22</f>
        <v>Torre</v>
      </c>
      <c r="B23" s="88" t="s">
        <v>165</v>
      </c>
      <c r="C23" s="88" t="s">
        <v>166</v>
      </c>
      <c r="D23" s="88" t="s">
        <v>166</v>
      </c>
      <c r="E23" s="88" t="s">
        <v>51</v>
      </c>
      <c r="F23" s="89"/>
      <c r="G23" s="90"/>
      <c r="H23" s="91">
        <v>50</v>
      </c>
      <c r="I23" s="92">
        <v>106.6</v>
      </c>
      <c r="J23" s="92">
        <v>582.1</v>
      </c>
      <c r="K23" s="92">
        <f>J23*3</f>
        <v>1746.3000000000002</v>
      </c>
      <c r="L23" s="92"/>
      <c r="M23" s="92"/>
      <c r="N23" s="92">
        <f>SUM(O23:W23)</f>
        <v>17598</v>
      </c>
      <c r="O23" s="92"/>
      <c r="P23" s="92">
        <v>1364</v>
      </c>
      <c r="Q23" s="92">
        <v>1169</v>
      </c>
      <c r="R23" s="92">
        <v>2046</v>
      </c>
      <c r="S23" s="92">
        <v>1225</v>
      </c>
      <c r="T23" s="92">
        <v>1240</v>
      </c>
      <c r="U23" s="92">
        <v>3719</v>
      </c>
      <c r="V23" s="93">
        <v>6835</v>
      </c>
      <c r="W23" s="94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spans="1:38" x14ac:dyDescent="0.25">
      <c r="A24" s="87" t="str">
        <f>A23</f>
        <v>Torre</v>
      </c>
      <c r="B24" s="88" t="s">
        <v>165</v>
      </c>
      <c r="C24" s="88" t="s">
        <v>166</v>
      </c>
      <c r="D24" s="88" t="s">
        <v>166</v>
      </c>
      <c r="E24" s="88" t="s">
        <v>53</v>
      </c>
      <c r="F24" s="89"/>
      <c r="G24" s="90"/>
      <c r="H24" s="91">
        <v>50</v>
      </c>
      <c r="I24" s="92">
        <v>97</v>
      </c>
      <c r="J24" s="95"/>
      <c r="K24" s="92">
        <f>J30*3</f>
        <v>1261.1850000000002</v>
      </c>
      <c r="L24" s="92"/>
      <c r="M24" s="92"/>
      <c r="N24" s="92">
        <f>SUM(O24:W24)</f>
        <v>4886.363636363636</v>
      </c>
      <c r="O24" s="92"/>
      <c r="P24" s="92">
        <f>777.2/1.1+909.4/1.1+1201.9/1.1+1189.3/1.1</f>
        <v>3707.090909090909</v>
      </c>
      <c r="Q24" s="92">
        <f>673.2/1.1+292.6/1.1+267.4/1.1+64/1.1</f>
        <v>1179.2727272727273</v>
      </c>
      <c r="R24" s="92"/>
      <c r="S24" s="92"/>
      <c r="T24" s="92"/>
      <c r="U24" s="92"/>
      <c r="V24" s="93"/>
      <c r="W24" s="94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spans="1:38" x14ac:dyDescent="0.25">
      <c r="A25" s="87" t="str">
        <f>A24</f>
        <v>Torre</v>
      </c>
      <c r="B25" s="88" t="s">
        <v>165</v>
      </c>
      <c r="C25" s="88" t="s">
        <v>166</v>
      </c>
      <c r="D25" s="88" t="s">
        <v>166</v>
      </c>
      <c r="E25" s="88" t="s">
        <v>167</v>
      </c>
      <c r="F25" s="89"/>
      <c r="G25" s="90"/>
      <c r="H25" s="91">
        <v>50</v>
      </c>
      <c r="I25" s="108"/>
      <c r="J25" s="109"/>
      <c r="K25" s="108"/>
      <c r="L25" s="108"/>
      <c r="M25" s="108"/>
      <c r="N25" s="92">
        <f>SUM(O25:W25)</f>
        <v>0</v>
      </c>
      <c r="O25" s="108"/>
      <c r="P25" s="108"/>
      <c r="Q25" s="108"/>
      <c r="R25" s="108"/>
      <c r="S25" s="108"/>
      <c r="T25" s="108"/>
      <c r="U25" s="108"/>
      <c r="V25" s="110"/>
      <c r="W25" s="111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spans="1:38" ht="15.75" thickBot="1" x14ac:dyDescent="0.3">
      <c r="A26" s="87" t="str">
        <f>A25</f>
        <v>Torre</v>
      </c>
      <c r="B26" s="88" t="s">
        <v>165</v>
      </c>
      <c r="C26" s="88" t="s">
        <v>166</v>
      </c>
      <c r="D26" s="88" t="s">
        <v>166</v>
      </c>
      <c r="E26" s="88" t="s">
        <v>53</v>
      </c>
      <c r="F26" s="89"/>
      <c r="G26" s="90"/>
      <c r="H26" s="91">
        <v>50</v>
      </c>
      <c r="I26" s="112">
        <v>4.8</v>
      </c>
      <c r="J26" s="50">
        <f>(0.5816+0.5128+(3.01+2.65)*1.2+3.1+3.2*1.2)/1.6*4.8</f>
        <v>44.479199999999992</v>
      </c>
      <c r="K26" s="50">
        <f>J32*3</f>
        <v>133.43759999999997</v>
      </c>
      <c r="L26" s="50"/>
      <c r="M26" s="50"/>
      <c r="N26" s="50">
        <f>SUM(O26:W26)</f>
        <v>302.5454545454545</v>
      </c>
      <c r="O26" s="50"/>
      <c r="P26" s="50">
        <f>10/1.1</f>
        <v>9.0909090909090899</v>
      </c>
      <c r="Q26" s="50">
        <v>9</v>
      </c>
      <c r="R26" s="50">
        <f>55/1.1+36/1.1+25/1.1</f>
        <v>105.45454545454544</v>
      </c>
      <c r="S26" s="50">
        <v>145</v>
      </c>
      <c r="T26" s="50">
        <v>34</v>
      </c>
      <c r="U26" s="50"/>
      <c r="V26" s="51"/>
      <c r="W26" s="52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spans="1:38" ht="18" customHeight="1" thickTop="1" thickBot="1" x14ac:dyDescent="0.3">
      <c r="A27" s="70"/>
      <c r="B27" s="71"/>
      <c r="C27" s="71"/>
      <c r="D27" s="72" t="str">
        <f>"TOTAL - "&amp;UPPER(C26)</f>
        <v>TOTAL - TÉRREO</v>
      </c>
      <c r="E27" s="73"/>
      <c r="F27" s="74"/>
      <c r="G27" s="75"/>
      <c r="H27" s="59"/>
      <c r="I27" s="77">
        <f t="shared" ref="I27:W27" si="6">SUM(I22:I26)</f>
        <v>208.4</v>
      </c>
      <c r="J27" s="77">
        <f t="shared" si="6"/>
        <v>626.57920000000001</v>
      </c>
      <c r="K27" s="77">
        <f t="shared" si="6"/>
        <v>4874.3226000000004</v>
      </c>
      <c r="L27" s="77">
        <f t="shared" si="6"/>
        <v>0</v>
      </c>
      <c r="M27" s="77">
        <f t="shared" si="6"/>
        <v>0</v>
      </c>
      <c r="N27" s="77">
        <f t="shared" si="6"/>
        <v>22786.909090909092</v>
      </c>
      <c r="O27" s="77">
        <f t="shared" si="6"/>
        <v>0</v>
      </c>
      <c r="P27" s="77">
        <f t="shared" si="6"/>
        <v>5080.181818181818</v>
      </c>
      <c r="Q27" s="77">
        <f t="shared" si="6"/>
        <v>2357.272727272727</v>
      </c>
      <c r="R27" s="77">
        <f t="shared" si="6"/>
        <v>2151.4545454545455</v>
      </c>
      <c r="S27" s="77">
        <f t="shared" si="6"/>
        <v>1370</v>
      </c>
      <c r="T27" s="77">
        <f t="shared" si="6"/>
        <v>1274</v>
      </c>
      <c r="U27" s="77">
        <f t="shared" si="6"/>
        <v>3719</v>
      </c>
      <c r="V27" s="77">
        <f t="shared" si="6"/>
        <v>6835</v>
      </c>
      <c r="W27" s="78">
        <f t="shared" si="6"/>
        <v>0</v>
      </c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spans="1:38" ht="13.9" customHeight="1" thickTop="1" x14ac:dyDescent="0.25">
      <c r="A28" s="100" t="str">
        <f>A5</f>
        <v>Torre</v>
      </c>
      <c r="B28" s="101" t="s">
        <v>165</v>
      </c>
      <c r="C28" s="101" t="s">
        <v>168</v>
      </c>
      <c r="D28" s="101" t="s">
        <v>169</v>
      </c>
      <c r="E28" s="101" t="s">
        <v>52</v>
      </c>
      <c r="F28" s="102"/>
      <c r="G28" s="103"/>
      <c r="H28" s="104">
        <v>50</v>
      </c>
      <c r="I28" s="105">
        <v>101.9</v>
      </c>
      <c r="J28" s="105">
        <v>577.79999999999995</v>
      </c>
      <c r="K28" s="105"/>
      <c r="L28" s="105"/>
      <c r="M28" s="105"/>
      <c r="N28" s="105">
        <f t="shared" si="4"/>
        <v>45075</v>
      </c>
      <c r="O28" s="105"/>
      <c r="P28" s="105">
        <v>311</v>
      </c>
      <c r="Q28" s="105">
        <v>278</v>
      </c>
      <c r="R28" s="105">
        <v>6542</v>
      </c>
      <c r="S28" s="105">
        <v>8103</v>
      </c>
      <c r="T28" s="105">
        <v>760</v>
      </c>
      <c r="U28" s="105">
        <v>629</v>
      </c>
      <c r="V28" s="106">
        <v>7983</v>
      </c>
      <c r="W28" s="107">
        <v>20469</v>
      </c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spans="1:38" x14ac:dyDescent="0.25">
      <c r="A29" s="87" t="str">
        <f>A5</f>
        <v>Torre</v>
      </c>
      <c r="B29" s="88" t="s">
        <v>165</v>
      </c>
      <c r="C29" s="88" t="s">
        <v>168</v>
      </c>
      <c r="D29" s="88" t="s">
        <v>169</v>
      </c>
      <c r="E29" s="88" t="s">
        <v>51</v>
      </c>
      <c r="F29" s="89"/>
      <c r="G29" s="90"/>
      <c r="H29" s="91">
        <v>50</v>
      </c>
      <c r="I29" s="92">
        <v>37</v>
      </c>
      <c r="J29" s="92">
        <v>329.6</v>
      </c>
      <c r="K29" s="92"/>
      <c r="L29" s="92"/>
      <c r="M29" s="92"/>
      <c r="N29" s="92">
        <f t="shared" si="4"/>
        <v>7215</v>
      </c>
      <c r="O29" s="92">
        <v>5</v>
      </c>
      <c r="P29" s="92">
        <v>449</v>
      </c>
      <c r="Q29" s="92">
        <v>632</v>
      </c>
      <c r="R29" s="92">
        <v>246</v>
      </c>
      <c r="S29" s="92">
        <v>964</v>
      </c>
      <c r="T29" s="92">
        <v>1526</v>
      </c>
      <c r="U29" s="92">
        <v>1632</v>
      </c>
      <c r="V29" s="93">
        <v>1761</v>
      </c>
      <c r="W29" s="94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spans="1:38" x14ac:dyDescent="0.25">
      <c r="A30" s="87" t="str">
        <f>A5</f>
        <v>Torre</v>
      </c>
      <c r="B30" s="88" t="s">
        <v>165</v>
      </c>
      <c r="C30" s="88" t="s">
        <v>168</v>
      </c>
      <c r="D30" s="88" t="s">
        <v>169</v>
      </c>
      <c r="E30" s="88" t="s">
        <v>53</v>
      </c>
      <c r="F30" s="89"/>
      <c r="G30" s="90"/>
      <c r="H30" s="91">
        <v>50</v>
      </c>
      <c r="I30" s="95">
        <v>101.3</v>
      </c>
      <c r="J30" s="95">
        <f>I30*4.15</f>
        <v>420.39500000000004</v>
      </c>
      <c r="K30" s="92"/>
      <c r="L30" s="92"/>
      <c r="M30" s="92"/>
      <c r="N30" s="92">
        <f t="shared" si="4"/>
        <v>6276</v>
      </c>
      <c r="O30" s="92"/>
      <c r="P30" s="92">
        <v>275</v>
      </c>
      <c r="Q30" s="92">
        <v>4210</v>
      </c>
      <c r="R30" s="92">
        <v>1216</v>
      </c>
      <c r="S30" s="92">
        <v>247</v>
      </c>
      <c r="T30" s="92">
        <v>328</v>
      </c>
      <c r="U30" s="92"/>
      <c r="V30" s="93"/>
      <c r="W30" s="94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spans="1:38" x14ac:dyDescent="0.25">
      <c r="A31" s="87" t="str">
        <f>A7</f>
        <v>Torre</v>
      </c>
      <c r="B31" s="88" t="s">
        <v>165</v>
      </c>
      <c r="C31" s="88" t="s">
        <v>168</v>
      </c>
      <c r="D31" s="88" t="s">
        <v>169</v>
      </c>
      <c r="E31" s="88" t="s">
        <v>167</v>
      </c>
      <c r="F31" s="89"/>
      <c r="G31" s="90"/>
      <c r="H31" s="91">
        <v>50</v>
      </c>
      <c r="I31" s="95"/>
      <c r="J31" s="92"/>
      <c r="K31" s="108"/>
      <c r="L31" s="92"/>
      <c r="M31" s="92"/>
      <c r="N31" s="92">
        <f t="shared" si="4"/>
        <v>580.90909090909076</v>
      </c>
      <c r="O31" s="92"/>
      <c r="P31" s="92">
        <f>7/1.1</f>
        <v>6.3636363636363633</v>
      </c>
      <c r="Q31" s="92">
        <f>8/1.1</f>
        <v>7.2727272727272725</v>
      </c>
      <c r="R31" s="113"/>
      <c r="S31" s="92">
        <f>263/1.1</f>
        <v>239.09090909090907</v>
      </c>
      <c r="T31" s="92">
        <f>361/1.1</f>
        <v>328.18181818181813</v>
      </c>
      <c r="U31" s="92"/>
      <c r="V31" s="93"/>
      <c r="W31" s="94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spans="1:38" ht="15.75" thickBot="1" x14ac:dyDescent="0.3">
      <c r="A32" s="45" t="str">
        <f>A5</f>
        <v>Torre</v>
      </c>
      <c r="B32" s="46" t="s">
        <v>165</v>
      </c>
      <c r="C32" s="46" t="s">
        <v>168</v>
      </c>
      <c r="D32" s="46" t="s">
        <v>169</v>
      </c>
      <c r="E32" s="46" t="s">
        <v>54</v>
      </c>
      <c r="F32" s="47"/>
      <c r="G32" s="48"/>
      <c r="H32" s="91">
        <v>50</v>
      </c>
      <c r="I32" s="112">
        <v>4.8</v>
      </c>
      <c r="J32" s="50">
        <f>(0.5816+0.5128+(3.01+2.65)*1.2+3.1+3.2*1.2)/1.6*4.8</f>
        <v>44.479199999999992</v>
      </c>
      <c r="K32" s="50"/>
      <c r="L32" s="50"/>
      <c r="M32" s="50"/>
      <c r="N32" s="50">
        <f t="shared" si="4"/>
        <v>302.5454545454545</v>
      </c>
      <c r="O32" s="50"/>
      <c r="P32" s="50">
        <f>10/1.1</f>
        <v>9.0909090909090899</v>
      </c>
      <c r="Q32" s="50">
        <v>9</v>
      </c>
      <c r="R32" s="50">
        <f>55/1.1+36/1.1+25/1.1</f>
        <v>105.45454545454544</v>
      </c>
      <c r="S32" s="50">
        <v>145</v>
      </c>
      <c r="T32" s="50">
        <v>34</v>
      </c>
      <c r="U32" s="50"/>
      <c r="V32" s="51"/>
      <c r="W32" s="52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1:38" ht="18" customHeight="1" thickTop="1" thickBot="1" x14ac:dyDescent="0.3">
      <c r="A33" s="70"/>
      <c r="B33" s="71"/>
      <c r="C33" s="71"/>
      <c r="D33" s="72" t="str">
        <f>"TOTAL - "&amp;UPPER(C32)</f>
        <v>TOTAL - MEZANINO G1</v>
      </c>
      <c r="E33" s="73"/>
      <c r="F33" s="74"/>
      <c r="G33" s="75"/>
      <c r="H33" s="59"/>
      <c r="I33" s="77">
        <f>SUM(I28:I32)</f>
        <v>245</v>
      </c>
      <c r="J33" s="77">
        <f>SUM(J28:J32)</f>
        <v>1372.2742000000001</v>
      </c>
      <c r="K33" s="77">
        <f>SUM(K28:K32)</f>
        <v>0</v>
      </c>
      <c r="L33" s="77">
        <f t="shared" ref="L33:V33" si="7">SUM(L28:L32)</f>
        <v>0</v>
      </c>
      <c r="M33" s="77">
        <f t="shared" si="7"/>
        <v>0</v>
      </c>
      <c r="N33" s="77">
        <f t="shared" si="7"/>
        <v>59449.454545454544</v>
      </c>
      <c r="O33" s="77">
        <f t="shared" si="7"/>
        <v>5</v>
      </c>
      <c r="P33" s="77">
        <f t="shared" si="7"/>
        <v>1050.4545454545453</v>
      </c>
      <c r="Q33" s="77">
        <f t="shared" si="7"/>
        <v>5136.272727272727</v>
      </c>
      <c r="R33" s="77">
        <f t="shared" si="7"/>
        <v>8109.454545454545</v>
      </c>
      <c r="S33" s="77">
        <f t="shared" si="7"/>
        <v>9698.0909090909099</v>
      </c>
      <c r="T33" s="77">
        <f t="shared" si="7"/>
        <v>2976.181818181818</v>
      </c>
      <c r="U33" s="77">
        <f t="shared" si="7"/>
        <v>2261</v>
      </c>
      <c r="V33" s="77">
        <f t="shared" si="7"/>
        <v>9744</v>
      </c>
      <c r="W33" s="78">
        <f>SUM(W28:W32)</f>
        <v>20469</v>
      </c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spans="1:38" ht="15.75" thickTop="1" x14ac:dyDescent="0.25">
      <c r="A34" s="100" t="str">
        <f>A5</f>
        <v>Torre</v>
      </c>
      <c r="B34" s="101" t="s">
        <v>165</v>
      </c>
      <c r="C34" s="101" t="s">
        <v>170</v>
      </c>
      <c r="D34" s="101" t="s">
        <v>171</v>
      </c>
      <c r="E34" s="101" t="s">
        <v>52</v>
      </c>
      <c r="F34" s="102"/>
      <c r="G34" s="103"/>
      <c r="H34" s="104">
        <v>50</v>
      </c>
      <c r="I34" s="105">
        <v>73.8</v>
      </c>
      <c r="J34" s="105">
        <v>477.3</v>
      </c>
      <c r="K34" s="105"/>
      <c r="L34" s="105"/>
      <c r="M34" s="105"/>
      <c r="N34" s="105">
        <f t="shared" si="4"/>
        <v>28668</v>
      </c>
      <c r="O34" s="105"/>
      <c r="P34" s="105">
        <v>318</v>
      </c>
      <c r="Q34" s="105">
        <v>265</v>
      </c>
      <c r="R34" s="105">
        <v>3264</v>
      </c>
      <c r="S34" s="105">
        <v>4826</v>
      </c>
      <c r="T34" s="105">
        <v>604</v>
      </c>
      <c r="U34" s="105">
        <v>353</v>
      </c>
      <c r="V34" s="106">
        <v>5463</v>
      </c>
      <c r="W34" s="107">
        <v>13575</v>
      </c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spans="1:38" x14ac:dyDescent="0.25">
      <c r="A35" s="87" t="str">
        <f>A5</f>
        <v>Torre</v>
      </c>
      <c r="B35" s="88" t="s">
        <v>165</v>
      </c>
      <c r="C35" s="88" t="s">
        <v>170</v>
      </c>
      <c r="D35" s="88" t="s">
        <v>171</v>
      </c>
      <c r="E35" s="88" t="s">
        <v>51</v>
      </c>
      <c r="F35" s="89"/>
      <c r="G35" s="90"/>
      <c r="H35" s="91">
        <v>50</v>
      </c>
      <c r="I35" s="92">
        <v>31.8</v>
      </c>
      <c r="J35" s="92">
        <v>303.10000000000002</v>
      </c>
      <c r="K35" s="92"/>
      <c r="L35" s="92"/>
      <c r="M35" s="92"/>
      <c r="N35" s="92">
        <f t="shared" si="4"/>
        <v>6621</v>
      </c>
      <c r="O35" s="92">
        <v>1</v>
      </c>
      <c r="P35" s="92">
        <v>500</v>
      </c>
      <c r="Q35" s="92">
        <v>693</v>
      </c>
      <c r="R35" s="92">
        <v>188</v>
      </c>
      <c r="S35" s="92">
        <v>866</v>
      </c>
      <c r="T35" s="92">
        <v>1890</v>
      </c>
      <c r="U35" s="92">
        <v>1043</v>
      </c>
      <c r="V35" s="93">
        <v>1440</v>
      </c>
      <c r="W35" s="94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spans="1:38" x14ac:dyDescent="0.25">
      <c r="A36" s="87" t="str">
        <f>A5</f>
        <v>Torre</v>
      </c>
      <c r="B36" s="88" t="s">
        <v>165</v>
      </c>
      <c r="C36" s="88" t="s">
        <v>170</v>
      </c>
      <c r="D36" s="88" t="s">
        <v>171</v>
      </c>
      <c r="E36" s="88" t="s">
        <v>53</v>
      </c>
      <c r="F36" s="89"/>
      <c r="G36" s="90"/>
      <c r="H36" s="91">
        <v>50</v>
      </c>
      <c r="I36" s="95">
        <v>174.5</v>
      </c>
      <c r="J36" s="95">
        <f>I36*4.15</f>
        <v>724.17500000000007</v>
      </c>
      <c r="K36" s="92"/>
      <c r="L36" s="92"/>
      <c r="M36" s="92"/>
      <c r="N36" s="92">
        <f t="shared" si="4"/>
        <v>11527</v>
      </c>
      <c r="O36" s="92"/>
      <c r="P36" s="92">
        <v>705</v>
      </c>
      <c r="Q36" s="113">
        <v>7045</v>
      </c>
      <c r="R36" s="92">
        <v>3087</v>
      </c>
      <c r="S36" s="92">
        <v>63</v>
      </c>
      <c r="T36" s="92">
        <v>627</v>
      </c>
      <c r="U36" s="92"/>
      <c r="V36" s="93"/>
      <c r="W36" s="94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 spans="1:38" x14ac:dyDescent="0.25">
      <c r="A37" s="87" t="str">
        <f>A7</f>
        <v>Torre</v>
      </c>
      <c r="B37" s="88" t="s">
        <v>165</v>
      </c>
      <c r="C37" s="88" t="s">
        <v>170</v>
      </c>
      <c r="D37" s="88" t="s">
        <v>171</v>
      </c>
      <c r="E37" s="88" t="s">
        <v>167</v>
      </c>
      <c r="F37" s="89"/>
      <c r="G37" s="90"/>
      <c r="H37" s="91">
        <v>50</v>
      </c>
      <c r="I37" s="95"/>
      <c r="J37" s="92"/>
      <c r="K37" s="108"/>
      <c r="L37" s="92"/>
      <c r="M37" s="92"/>
      <c r="N37" s="92">
        <f>SUM(O37:W37)</f>
        <v>1879.090909090909</v>
      </c>
      <c r="O37" s="92"/>
      <c r="P37" s="92">
        <f>31/1.1</f>
        <v>28.18181818181818</v>
      </c>
      <c r="Q37" s="92">
        <f>40/1.1</f>
        <v>36.36363636363636</v>
      </c>
      <c r="R37" s="113">
        <f>333/1.1</f>
        <v>302.72727272727269</v>
      </c>
      <c r="S37" s="92">
        <f>236/1.1</f>
        <v>214.54545454545453</v>
      </c>
      <c r="T37" s="92">
        <f>1427/1.1</f>
        <v>1297.2727272727273</v>
      </c>
      <c r="U37" s="92"/>
      <c r="V37" s="93"/>
      <c r="W37" s="94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spans="1:38" ht="15.75" thickBot="1" x14ac:dyDescent="0.3">
      <c r="A38" s="45" t="str">
        <f>A5</f>
        <v>Torre</v>
      </c>
      <c r="B38" s="46" t="s">
        <v>165</v>
      </c>
      <c r="C38" s="46" t="s">
        <v>170</v>
      </c>
      <c r="D38" s="46" t="s">
        <v>171</v>
      </c>
      <c r="E38" s="46" t="s">
        <v>54</v>
      </c>
      <c r="F38" s="47"/>
      <c r="G38" s="48"/>
      <c r="H38" s="91">
        <v>50</v>
      </c>
      <c r="I38" s="50">
        <v>1.6</v>
      </c>
      <c r="J38" s="50">
        <f>(0.5816+0.5128+(3.01+2.65)*1.2+3.1+3.2*1.2)*1</f>
        <v>14.8264</v>
      </c>
      <c r="K38" s="50"/>
      <c r="L38" s="50"/>
      <c r="M38" s="50"/>
      <c r="N38" s="50">
        <f>SUM(O38:W38)</f>
        <v>106</v>
      </c>
      <c r="O38" s="50"/>
      <c r="P38" s="50">
        <v>20</v>
      </c>
      <c r="Q38" s="50">
        <v>14</v>
      </c>
      <c r="R38" s="50">
        <v>72</v>
      </c>
      <c r="S38" s="50"/>
      <c r="T38" s="50"/>
      <c r="U38" s="50"/>
      <c r="V38" s="51"/>
      <c r="W38" s="52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spans="1:38" ht="21" customHeight="1" thickTop="1" thickBot="1" x14ac:dyDescent="0.3">
      <c r="A39" s="70"/>
      <c r="B39" s="71"/>
      <c r="C39" s="71"/>
      <c r="D39" s="72" t="str">
        <f>"TOTAL - "&amp;UPPER(C38)</f>
        <v>TOTAL - G2</v>
      </c>
      <c r="E39" s="73"/>
      <c r="F39" s="74"/>
      <c r="G39" s="75"/>
      <c r="H39" s="59"/>
      <c r="I39" s="77">
        <f>SUM(I34:I38)</f>
        <v>281.70000000000005</v>
      </c>
      <c r="J39" s="77">
        <f t="shared" ref="J39:V39" si="8">SUM(J34:J38)</f>
        <v>1519.4014000000002</v>
      </c>
      <c r="K39" s="77">
        <f t="shared" si="8"/>
        <v>0</v>
      </c>
      <c r="L39" s="77">
        <f t="shared" si="8"/>
        <v>0</v>
      </c>
      <c r="M39" s="77">
        <f t="shared" si="8"/>
        <v>0</v>
      </c>
      <c r="N39" s="77">
        <f t="shared" si="8"/>
        <v>48801.090909090912</v>
      </c>
      <c r="O39" s="77">
        <f t="shared" si="8"/>
        <v>1</v>
      </c>
      <c r="P39" s="77">
        <f t="shared" si="8"/>
        <v>1571.1818181818182</v>
      </c>
      <c r="Q39" s="77">
        <f t="shared" si="8"/>
        <v>8053.363636363636</v>
      </c>
      <c r="R39" s="77">
        <f t="shared" si="8"/>
        <v>6913.727272727273</v>
      </c>
      <c r="S39" s="77">
        <f t="shared" si="8"/>
        <v>5969.545454545455</v>
      </c>
      <c r="T39" s="77">
        <f t="shared" si="8"/>
        <v>4418.272727272727</v>
      </c>
      <c r="U39" s="77">
        <f t="shared" si="8"/>
        <v>1396</v>
      </c>
      <c r="V39" s="77">
        <f t="shared" si="8"/>
        <v>6903</v>
      </c>
      <c r="W39" s="78">
        <f>SUM(W34:W38)</f>
        <v>13575</v>
      </c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spans="1:38" ht="15.75" thickTop="1" x14ac:dyDescent="0.25">
      <c r="A40" s="100" t="str">
        <f>A5</f>
        <v>Torre</v>
      </c>
      <c r="B40" s="101" t="s">
        <v>165</v>
      </c>
      <c r="C40" s="101" t="s">
        <v>172</v>
      </c>
      <c r="D40" s="101" t="s">
        <v>173</v>
      </c>
      <c r="E40" s="101" t="s">
        <v>52</v>
      </c>
      <c r="F40" s="102"/>
      <c r="G40" s="103"/>
      <c r="H40" s="104">
        <v>50</v>
      </c>
      <c r="I40" s="105">
        <v>79</v>
      </c>
      <c r="J40" s="105">
        <v>506.1</v>
      </c>
      <c r="K40" s="105"/>
      <c r="L40" s="105"/>
      <c r="M40" s="105"/>
      <c r="N40" s="105">
        <f t="shared" ca="1" si="4"/>
        <v>15968.153704692491</v>
      </c>
      <c r="O40" s="105">
        <f ca="1">O$5*$N40</f>
        <v>89.87582462553685</v>
      </c>
      <c r="P40" s="105">
        <f t="shared" ref="P40:W44" ca="1" si="9">P$5*$N40</f>
        <v>1008.0317308720275</v>
      </c>
      <c r="Q40" s="105">
        <f t="shared" ca="1" si="9"/>
        <v>1114.0722721568336</v>
      </c>
      <c r="R40" s="105">
        <f t="shared" ca="1" si="9"/>
        <v>1266.6671974203346</v>
      </c>
      <c r="S40" s="105">
        <f t="shared" ca="1" si="9"/>
        <v>1433.4870733439932</v>
      </c>
      <c r="T40" s="105">
        <f t="shared" ca="1" si="9"/>
        <v>480.41537911348081</v>
      </c>
      <c r="U40" s="105">
        <f t="shared" ca="1" si="9"/>
        <v>1836.9584011593524</v>
      </c>
      <c r="V40" s="106">
        <f t="shared" ca="1" si="9"/>
        <v>8738.6458260009331</v>
      </c>
      <c r="W40" s="107">
        <f t="shared" ca="1" si="9"/>
        <v>0</v>
      </c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spans="1:38" x14ac:dyDescent="0.25">
      <c r="A41" s="87" t="str">
        <f>A5</f>
        <v>Torre</v>
      </c>
      <c r="B41" s="88" t="s">
        <v>165</v>
      </c>
      <c r="C41" s="88" t="s">
        <v>172</v>
      </c>
      <c r="D41" s="88" t="s">
        <v>173</v>
      </c>
      <c r="E41" s="88" t="s">
        <v>51</v>
      </c>
      <c r="F41" s="89"/>
      <c r="G41" s="90"/>
      <c r="H41" s="91">
        <v>50</v>
      </c>
      <c r="I41" s="92">
        <v>27.5</v>
      </c>
      <c r="J41" s="92">
        <v>263.7</v>
      </c>
      <c r="K41" s="92"/>
      <c r="L41" s="92"/>
      <c r="M41" s="92"/>
      <c r="N41" s="92">
        <f t="shared" ca="1" si="4"/>
        <v>5840.1523508541777</v>
      </c>
      <c r="O41" s="92">
        <f ca="1">O$5*$N41</f>
        <v>32.870957919044834</v>
      </c>
      <c r="P41" s="92">
        <f t="shared" ca="1" si="9"/>
        <v>368.67498845892709</v>
      </c>
      <c r="Q41" s="92">
        <f t="shared" ca="1" si="9"/>
        <v>407.45798916916704</v>
      </c>
      <c r="R41" s="92">
        <f t="shared" ca="1" si="9"/>
        <v>463.26767311804878</v>
      </c>
      <c r="S41" s="92">
        <f t="shared" ca="1" si="9"/>
        <v>524.27995472318241</v>
      </c>
      <c r="T41" s="92">
        <f t="shared" ca="1" si="9"/>
        <v>175.70591175431869</v>
      </c>
      <c r="U41" s="92">
        <f t="shared" ca="1" si="9"/>
        <v>671.84454279141232</v>
      </c>
      <c r="V41" s="93">
        <f t="shared" ca="1" si="9"/>
        <v>3196.0503329200769</v>
      </c>
      <c r="W41" s="94">
        <f t="shared" ca="1" si="9"/>
        <v>0</v>
      </c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spans="1:38" x14ac:dyDescent="0.25">
      <c r="A42" s="87" t="str">
        <f>A5</f>
        <v>Torre</v>
      </c>
      <c r="B42" s="88" t="s">
        <v>165</v>
      </c>
      <c r="C42" s="88" t="s">
        <v>172</v>
      </c>
      <c r="D42" s="88" t="s">
        <v>173</v>
      </c>
      <c r="E42" s="88" t="s">
        <v>53</v>
      </c>
      <c r="F42" s="89"/>
      <c r="G42" s="90"/>
      <c r="H42" s="91">
        <v>50</v>
      </c>
      <c r="I42" s="92">
        <v>175.8</v>
      </c>
      <c r="J42" s="92">
        <v>730.3</v>
      </c>
      <c r="K42" s="92"/>
      <c r="L42" s="92"/>
      <c r="M42" s="92"/>
      <c r="N42" s="92">
        <f t="shared" ca="1" si="4"/>
        <v>14768.804746429741</v>
      </c>
      <c r="O42" s="92">
        <f ca="1">O$5*$N42</f>
        <v>83.125358752580809</v>
      </c>
      <c r="P42" s="92">
        <f t="shared" ca="1" si="9"/>
        <v>932.31967118901707</v>
      </c>
      <c r="Q42" s="92">
        <f t="shared" ca="1" si="9"/>
        <v>1030.3956340337888</v>
      </c>
      <c r="R42" s="92">
        <f t="shared" ca="1" si="9"/>
        <v>1171.5293366640694</v>
      </c>
      <c r="S42" s="92">
        <f t="shared" ca="1" si="9"/>
        <v>1325.8195708954786</v>
      </c>
      <c r="T42" s="92">
        <f t="shared" ca="1" si="9"/>
        <v>444.33195361991005</v>
      </c>
      <c r="U42" s="92">
        <f t="shared" ca="1" si="9"/>
        <v>1698.9866490365603</v>
      </c>
      <c r="V42" s="93">
        <f t="shared" ca="1" si="9"/>
        <v>8082.2965722383369</v>
      </c>
      <c r="W42" s="94">
        <f t="shared" ca="1" si="9"/>
        <v>0</v>
      </c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spans="1:38" x14ac:dyDescent="0.25">
      <c r="A43" s="87" t="str">
        <f>A7</f>
        <v>Torre</v>
      </c>
      <c r="B43" s="88" t="s">
        <v>165</v>
      </c>
      <c r="C43" s="88" t="s">
        <v>172</v>
      </c>
      <c r="D43" s="88" t="s">
        <v>173</v>
      </c>
      <c r="E43" s="88" t="s">
        <v>167</v>
      </c>
      <c r="F43" s="89"/>
      <c r="G43" s="90"/>
      <c r="H43" s="91">
        <v>50</v>
      </c>
      <c r="I43" s="92"/>
      <c r="J43" s="92"/>
      <c r="K43" s="108"/>
      <c r="L43" s="92"/>
      <c r="M43" s="92"/>
      <c r="N43" s="92">
        <f ca="1">SUM(O43:W43)</f>
        <v>0</v>
      </c>
      <c r="O43" s="92">
        <f ca="1">O$5*$N43</f>
        <v>0</v>
      </c>
      <c r="P43" s="92">
        <f t="shared" ca="1" si="9"/>
        <v>0</v>
      </c>
      <c r="Q43" s="92">
        <f t="shared" ca="1" si="9"/>
        <v>0</v>
      </c>
      <c r="R43" s="92">
        <f t="shared" ca="1" si="9"/>
        <v>0</v>
      </c>
      <c r="S43" s="92">
        <f t="shared" ca="1" si="9"/>
        <v>0</v>
      </c>
      <c r="T43" s="92">
        <f t="shared" ca="1" si="9"/>
        <v>0</v>
      </c>
      <c r="U43" s="92">
        <f t="shared" ca="1" si="9"/>
        <v>0</v>
      </c>
      <c r="V43" s="93">
        <f t="shared" ca="1" si="9"/>
        <v>0</v>
      </c>
      <c r="W43" s="94">
        <f t="shared" ca="1" si="9"/>
        <v>0</v>
      </c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spans="1:38" ht="15.75" thickBot="1" x14ac:dyDescent="0.3">
      <c r="A44" s="45" t="str">
        <f>A5</f>
        <v>Torre</v>
      </c>
      <c r="B44" s="46" t="s">
        <v>165</v>
      </c>
      <c r="C44" s="46" t="s">
        <v>172</v>
      </c>
      <c r="D44" s="46" t="s">
        <v>173</v>
      </c>
      <c r="E44" s="46" t="s">
        <v>54</v>
      </c>
      <c r="F44" s="47"/>
      <c r="G44" s="48"/>
      <c r="H44" s="91">
        <v>50</v>
      </c>
      <c r="I44" s="50">
        <v>1.6</v>
      </c>
      <c r="J44" s="50">
        <f>(0.5816+0.5128+(3.01+2.65)*1.2+3.1+3.2*1.2)*1</f>
        <v>14.8264</v>
      </c>
      <c r="K44" s="50"/>
      <c r="L44" s="50"/>
      <c r="M44" s="50"/>
      <c r="N44" s="50">
        <f ca="1">SUM(O44:W44)</f>
        <v>105.38919802358578</v>
      </c>
      <c r="O44" s="50">
        <f ca="1">O$5*$N44</f>
        <v>0.59317697300285199</v>
      </c>
      <c r="P44" s="50">
        <f t="shared" ca="1" si="9"/>
        <v>6.6529705101542849</v>
      </c>
      <c r="Q44" s="50">
        <f t="shared" ca="1" si="9"/>
        <v>7.3528339890929022</v>
      </c>
      <c r="R44" s="50">
        <f t="shared" ca="1" si="9"/>
        <v>8.3599546051265179</v>
      </c>
      <c r="S44" s="50">
        <f t="shared" ca="1" si="9"/>
        <v>9.4609593463836124</v>
      </c>
      <c r="T44" s="50">
        <f t="shared" ca="1" si="9"/>
        <v>3.1707229564109265</v>
      </c>
      <c r="U44" s="50">
        <f t="shared" ca="1" si="9"/>
        <v>12.123854534540298</v>
      </c>
      <c r="V44" s="51">
        <f t="shared" ca="1" si="9"/>
        <v>57.674725108874391</v>
      </c>
      <c r="W44" s="52">
        <f t="shared" ca="1" si="9"/>
        <v>0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spans="1:38" ht="21" customHeight="1" thickTop="1" thickBot="1" x14ac:dyDescent="0.3">
      <c r="A45" s="70"/>
      <c r="B45" s="71"/>
      <c r="C45" s="71"/>
      <c r="D45" s="72" t="str">
        <f>"TOTAL - "&amp;UPPER(C44)</f>
        <v>TOTAL - MEZANINO G2</v>
      </c>
      <c r="E45" s="73"/>
      <c r="F45" s="74"/>
      <c r="G45" s="75"/>
      <c r="H45" s="59"/>
      <c r="I45" s="77">
        <f>SUM(I40:I44)</f>
        <v>283.90000000000003</v>
      </c>
      <c r="J45" s="77">
        <f t="shared" ref="J45:V45" si="10">SUM(J40:J44)</f>
        <v>1514.9263999999998</v>
      </c>
      <c r="K45" s="77">
        <f t="shared" si="10"/>
        <v>0</v>
      </c>
      <c r="L45" s="77">
        <f t="shared" si="10"/>
        <v>0</v>
      </c>
      <c r="M45" s="77">
        <f t="shared" si="10"/>
        <v>0</v>
      </c>
      <c r="N45" s="114">
        <f t="shared" ca="1" si="10"/>
        <v>36682.499999999993</v>
      </c>
      <c r="O45" s="77">
        <f t="shared" ca="1" si="10"/>
        <v>206.46531827016534</v>
      </c>
      <c r="P45" s="77">
        <f t="shared" ca="1" si="10"/>
        <v>2315.6793610301261</v>
      </c>
      <c r="Q45" s="77">
        <f t="shared" ca="1" si="10"/>
        <v>2559.2787293488818</v>
      </c>
      <c r="R45" s="77">
        <f t="shared" ca="1" si="10"/>
        <v>2909.824161807579</v>
      </c>
      <c r="S45" s="77">
        <f t="shared" ca="1" si="10"/>
        <v>3293.0475583090379</v>
      </c>
      <c r="T45" s="77">
        <f t="shared" ca="1" si="10"/>
        <v>1103.6239674441204</v>
      </c>
      <c r="U45" s="77">
        <f t="shared" ca="1" si="10"/>
        <v>4219.9134475218652</v>
      </c>
      <c r="V45" s="77">
        <f t="shared" ca="1" si="10"/>
        <v>20074.66745626822</v>
      </c>
      <c r="W45" s="78">
        <f ca="1">SUM(W40:W44)</f>
        <v>0</v>
      </c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ht="15.75" thickTop="1" x14ac:dyDescent="0.25">
      <c r="A46" s="100" t="str">
        <f>A5</f>
        <v>Torre</v>
      </c>
      <c r="B46" s="101" t="s">
        <v>165</v>
      </c>
      <c r="C46" s="101" t="s">
        <v>174</v>
      </c>
      <c r="D46" s="101" t="s">
        <v>175</v>
      </c>
      <c r="E46" s="101" t="s">
        <v>52</v>
      </c>
      <c r="F46" s="102"/>
      <c r="G46" s="103"/>
      <c r="H46" s="104">
        <v>50</v>
      </c>
      <c r="I46" s="105">
        <v>79</v>
      </c>
      <c r="J46" s="105">
        <v>506.1</v>
      </c>
      <c r="K46" s="105"/>
      <c r="L46" s="105"/>
      <c r="M46" s="105"/>
      <c r="N46" s="105">
        <f t="shared" ca="1" si="4"/>
        <v>15968.153704692491</v>
      </c>
      <c r="O46" s="105">
        <f t="shared" ref="O46:W50" ca="1" si="11">O$5*$N46</f>
        <v>89.87582462553685</v>
      </c>
      <c r="P46" s="105">
        <f t="shared" ca="1" si="11"/>
        <v>1008.0317308720275</v>
      </c>
      <c r="Q46" s="105">
        <f t="shared" ca="1" si="11"/>
        <v>1114.0722721568336</v>
      </c>
      <c r="R46" s="105">
        <f t="shared" ca="1" si="11"/>
        <v>1266.6671974203346</v>
      </c>
      <c r="S46" s="105">
        <f t="shared" ca="1" si="11"/>
        <v>1433.4870733439932</v>
      </c>
      <c r="T46" s="105">
        <f t="shared" ca="1" si="11"/>
        <v>480.41537911348081</v>
      </c>
      <c r="U46" s="105">
        <f t="shared" ca="1" si="11"/>
        <v>1836.9584011593524</v>
      </c>
      <c r="V46" s="106">
        <f t="shared" ca="1" si="11"/>
        <v>8738.6458260009331</v>
      </c>
      <c r="W46" s="107">
        <f t="shared" ca="1" si="11"/>
        <v>0</v>
      </c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spans="1:38" x14ac:dyDescent="0.25">
      <c r="A47" s="87" t="str">
        <f>A5</f>
        <v>Torre</v>
      </c>
      <c r="B47" s="88" t="s">
        <v>165</v>
      </c>
      <c r="C47" s="88" t="s">
        <v>174</v>
      </c>
      <c r="D47" s="88" t="s">
        <v>175</v>
      </c>
      <c r="E47" s="88" t="s">
        <v>51</v>
      </c>
      <c r="F47" s="89"/>
      <c r="G47" s="90"/>
      <c r="H47" s="91">
        <v>50</v>
      </c>
      <c r="I47" s="92">
        <v>27.5</v>
      </c>
      <c r="J47" s="92">
        <v>263.7</v>
      </c>
      <c r="K47" s="92"/>
      <c r="L47" s="92"/>
      <c r="M47" s="92"/>
      <c r="N47" s="92">
        <f t="shared" ca="1" si="4"/>
        <v>5840.1523508541777</v>
      </c>
      <c r="O47" s="92">
        <f t="shared" ca="1" si="11"/>
        <v>32.870957919044834</v>
      </c>
      <c r="P47" s="92">
        <f t="shared" ca="1" si="11"/>
        <v>368.67498845892709</v>
      </c>
      <c r="Q47" s="92">
        <f t="shared" ca="1" si="11"/>
        <v>407.45798916916704</v>
      </c>
      <c r="R47" s="92">
        <f t="shared" ca="1" si="11"/>
        <v>463.26767311804878</v>
      </c>
      <c r="S47" s="92">
        <f t="shared" ca="1" si="11"/>
        <v>524.27995472318241</v>
      </c>
      <c r="T47" s="92">
        <f t="shared" ca="1" si="11"/>
        <v>175.70591175431869</v>
      </c>
      <c r="U47" s="92">
        <f t="shared" ca="1" si="11"/>
        <v>671.84454279141232</v>
      </c>
      <c r="V47" s="93">
        <f t="shared" ca="1" si="11"/>
        <v>3196.0503329200769</v>
      </c>
      <c r="W47" s="94">
        <f t="shared" ca="1" si="11"/>
        <v>0</v>
      </c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spans="1:38" x14ac:dyDescent="0.25">
      <c r="A48" s="87" t="str">
        <f>A5</f>
        <v>Torre</v>
      </c>
      <c r="B48" s="88" t="s">
        <v>165</v>
      </c>
      <c r="C48" s="88" t="s">
        <v>174</v>
      </c>
      <c r="D48" s="88" t="s">
        <v>175</v>
      </c>
      <c r="E48" s="88" t="s">
        <v>53</v>
      </c>
      <c r="F48" s="89"/>
      <c r="G48" s="90"/>
      <c r="H48" s="91">
        <v>50</v>
      </c>
      <c r="I48" s="92">
        <v>176</v>
      </c>
      <c r="J48" s="92">
        <v>730.9</v>
      </c>
      <c r="K48" s="92"/>
      <c r="L48" s="92"/>
      <c r="M48" s="92"/>
      <c r="N48" s="92">
        <f t="shared" ca="1" si="4"/>
        <v>14768.804746429741</v>
      </c>
      <c r="O48" s="92">
        <f t="shared" ca="1" si="11"/>
        <v>83.125358752580809</v>
      </c>
      <c r="P48" s="92">
        <f t="shared" ca="1" si="11"/>
        <v>932.31967118901707</v>
      </c>
      <c r="Q48" s="92">
        <f t="shared" ca="1" si="11"/>
        <v>1030.3956340337888</v>
      </c>
      <c r="R48" s="92">
        <f t="shared" ca="1" si="11"/>
        <v>1171.5293366640694</v>
      </c>
      <c r="S48" s="92">
        <f t="shared" ca="1" si="11"/>
        <v>1325.8195708954786</v>
      </c>
      <c r="T48" s="92">
        <f t="shared" ca="1" si="11"/>
        <v>444.33195361991005</v>
      </c>
      <c r="U48" s="92">
        <f t="shared" ca="1" si="11"/>
        <v>1698.9866490365603</v>
      </c>
      <c r="V48" s="93">
        <f t="shared" ca="1" si="11"/>
        <v>8082.2965722383369</v>
      </c>
      <c r="W48" s="94">
        <f t="shared" ca="1" si="11"/>
        <v>0</v>
      </c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spans="1:38" x14ac:dyDescent="0.25">
      <c r="A49" s="87" t="str">
        <f>A48</f>
        <v>Torre</v>
      </c>
      <c r="B49" s="88" t="s">
        <v>165</v>
      </c>
      <c r="C49" s="88" t="s">
        <v>174</v>
      </c>
      <c r="D49" s="88" t="s">
        <v>175</v>
      </c>
      <c r="E49" s="88" t="s">
        <v>167</v>
      </c>
      <c r="F49" s="89"/>
      <c r="G49" s="90"/>
      <c r="H49" s="91">
        <v>50</v>
      </c>
      <c r="I49" s="108"/>
      <c r="J49" s="109"/>
      <c r="K49" s="108"/>
      <c r="L49" s="108"/>
      <c r="M49" s="108"/>
      <c r="N49" s="92">
        <f ca="1">SUM(O49:W49)</f>
        <v>0</v>
      </c>
      <c r="O49" s="108">
        <f t="shared" ca="1" si="11"/>
        <v>0</v>
      </c>
      <c r="P49" s="108">
        <f t="shared" ca="1" si="11"/>
        <v>0</v>
      </c>
      <c r="Q49" s="108">
        <f t="shared" ca="1" si="11"/>
        <v>0</v>
      </c>
      <c r="R49" s="108">
        <f t="shared" ca="1" si="11"/>
        <v>0</v>
      </c>
      <c r="S49" s="108">
        <f t="shared" ca="1" si="11"/>
        <v>0</v>
      </c>
      <c r="T49" s="108">
        <f t="shared" ca="1" si="11"/>
        <v>0</v>
      </c>
      <c r="U49" s="108">
        <f t="shared" ca="1" si="11"/>
        <v>0</v>
      </c>
      <c r="V49" s="110">
        <f t="shared" ca="1" si="11"/>
        <v>0</v>
      </c>
      <c r="W49" s="111">
        <f t="shared" ca="1" si="11"/>
        <v>0</v>
      </c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spans="1:38" ht="15.75" thickBot="1" x14ac:dyDescent="0.3">
      <c r="A50" s="45" t="str">
        <f>A5</f>
        <v>Torre</v>
      </c>
      <c r="B50" s="46" t="s">
        <v>165</v>
      </c>
      <c r="C50" s="46" t="s">
        <v>174</v>
      </c>
      <c r="D50" s="46" t="s">
        <v>175</v>
      </c>
      <c r="E50" s="46" t="s">
        <v>54</v>
      </c>
      <c r="F50" s="47"/>
      <c r="G50" s="48"/>
      <c r="H50" s="91">
        <v>50</v>
      </c>
      <c r="I50" s="50">
        <f>((0.5816+0.5128)*1.2+0.1123*2.48)</f>
        <v>1.5917840000000001</v>
      </c>
      <c r="J50" s="50">
        <f>(0.5816+0.5128+(3.01+2.65)*1.2+3.1+3.2*1.2)*1</f>
        <v>14.8264</v>
      </c>
      <c r="K50" s="50"/>
      <c r="L50" s="50"/>
      <c r="M50" s="50"/>
      <c r="N50" s="50">
        <f ca="1">SUM(O50:W50)</f>
        <v>105.38919802358578</v>
      </c>
      <c r="O50" s="50">
        <f t="shared" ca="1" si="11"/>
        <v>0.59317697300285199</v>
      </c>
      <c r="P50" s="50">
        <f t="shared" ca="1" si="11"/>
        <v>6.6529705101542849</v>
      </c>
      <c r="Q50" s="50">
        <f t="shared" ca="1" si="11"/>
        <v>7.3528339890929022</v>
      </c>
      <c r="R50" s="50">
        <f t="shared" ca="1" si="11"/>
        <v>8.3599546051265179</v>
      </c>
      <c r="S50" s="50">
        <f t="shared" ca="1" si="11"/>
        <v>9.4609593463836124</v>
      </c>
      <c r="T50" s="50">
        <f t="shared" ca="1" si="11"/>
        <v>3.1707229564109265</v>
      </c>
      <c r="U50" s="50">
        <f t="shared" ca="1" si="11"/>
        <v>12.123854534540298</v>
      </c>
      <c r="V50" s="51">
        <f t="shared" ca="1" si="11"/>
        <v>57.674725108874391</v>
      </c>
      <c r="W50" s="52">
        <f t="shared" ca="1" si="11"/>
        <v>0</v>
      </c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spans="1:38" ht="21" customHeight="1" thickTop="1" thickBot="1" x14ac:dyDescent="0.3">
      <c r="A51" s="70"/>
      <c r="B51" s="71"/>
      <c r="C51" s="71"/>
      <c r="D51" s="72" t="str">
        <f>"TOTAL - "&amp;UPPER(C50)</f>
        <v>TOTAL - G3</v>
      </c>
      <c r="E51" s="73"/>
      <c r="F51" s="74"/>
      <c r="G51" s="75"/>
      <c r="H51" s="59"/>
      <c r="I51" s="77">
        <f>SUM(I46:I50)</f>
        <v>284.09178400000002</v>
      </c>
      <c r="J51" s="77">
        <f t="shared" ref="J51:V51" si="12">SUM(J46:J50)</f>
        <v>1515.5263999999997</v>
      </c>
      <c r="K51" s="77">
        <f t="shared" si="12"/>
        <v>0</v>
      </c>
      <c r="L51" s="77">
        <f t="shared" si="12"/>
        <v>0</v>
      </c>
      <c r="M51" s="77">
        <f t="shared" si="12"/>
        <v>0</v>
      </c>
      <c r="N51" s="77">
        <f t="shared" ca="1" si="12"/>
        <v>36682.499999999993</v>
      </c>
      <c r="O51" s="77">
        <f t="shared" ca="1" si="12"/>
        <v>206.46531827016534</v>
      </c>
      <c r="P51" s="77">
        <f t="shared" ca="1" si="12"/>
        <v>2315.6793610301261</v>
      </c>
      <c r="Q51" s="77">
        <f t="shared" ca="1" si="12"/>
        <v>2559.2787293488818</v>
      </c>
      <c r="R51" s="77">
        <f t="shared" ca="1" si="12"/>
        <v>2909.824161807579</v>
      </c>
      <c r="S51" s="77">
        <f t="shared" ca="1" si="12"/>
        <v>3293.0475583090379</v>
      </c>
      <c r="T51" s="77">
        <f t="shared" ca="1" si="12"/>
        <v>1103.6239674441204</v>
      </c>
      <c r="U51" s="77">
        <f t="shared" ca="1" si="12"/>
        <v>4219.9134475218652</v>
      </c>
      <c r="V51" s="77">
        <f t="shared" ca="1" si="12"/>
        <v>20074.66745626822</v>
      </c>
      <c r="W51" s="78">
        <f ca="1">SUM(W46:W50)</f>
        <v>0</v>
      </c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spans="1:38" ht="15.75" thickTop="1" x14ac:dyDescent="0.25">
      <c r="A52" s="100" t="str">
        <f>A5</f>
        <v>Torre</v>
      </c>
      <c r="B52" s="101" t="s">
        <v>165</v>
      </c>
      <c r="C52" s="101" t="s">
        <v>176</v>
      </c>
      <c r="D52" s="101" t="s">
        <v>177</v>
      </c>
      <c r="E52" s="101" t="s">
        <v>52</v>
      </c>
      <c r="F52" s="102"/>
      <c r="G52" s="103"/>
      <c r="H52" s="104">
        <v>50</v>
      </c>
      <c r="I52" s="105">
        <v>79</v>
      </c>
      <c r="J52" s="105">
        <v>506.1</v>
      </c>
      <c r="K52" s="105"/>
      <c r="L52" s="105"/>
      <c r="M52" s="105"/>
      <c r="N52" s="105">
        <f t="shared" ca="1" si="4"/>
        <v>19129.136411068139</v>
      </c>
      <c r="O52" s="105">
        <f t="shared" ref="O52:W56" ca="1" si="13">O$5*$N52</f>
        <v>107.6672319864947</v>
      </c>
      <c r="P52" s="105">
        <f t="shared" ca="1" si="13"/>
        <v>1207.577083934857</v>
      </c>
      <c r="Q52" s="105">
        <f t="shared" ca="1" si="13"/>
        <v>1334.6089259908651</v>
      </c>
      <c r="R52" s="105">
        <f t="shared" ca="1" si="13"/>
        <v>1517.4108450470715</v>
      </c>
      <c r="S52" s="105">
        <f t="shared" ca="1" si="13"/>
        <v>1717.2536209644504</v>
      </c>
      <c r="T52" s="105">
        <f t="shared" ca="1" si="13"/>
        <v>575.51621126593898</v>
      </c>
      <c r="U52" s="105">
        <f t="shared" ca="1" si="13"/>
        <v>2200.594288299505</v>
      </c>
      <c r="V52" s="106">
        <f t="shared" ca="1" si="13"/>
        <v>10468.508203578956</v>
      </c>
      <c r="W52" s="107">
        <f t="shared" ca="1" si="13"/>
        <v>0</v>
      </c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spans="1:38" x14ac:dyDescent="0.25">
      <c r="A53" s="87" t="str">
        <f>A5</f>
        <v>Torre</v>
      </c>
      <c r="B53" s="88" t="s">
        <v>165</v>
      </c>
      <c r="C53" s="88" t="s">
        <v>176</v>
      </c>
      <c r="D53" s="88" t="s">
        <v>177</v>
      </c>
      <c r="E53" s="88" t="s">
        <v>51</v>
      </c>
      <c r="F53" s="89"/>
      <c r="G53" s="90"/>
      <c r="H53" s="91">
        <v>50</v>
      </c>
      <c r="I53" s="92">
        <v>28.6</v>
      </c>
      <c r="J53" s="92">
        <v>275.8</v>
      </c>
      <c r="K53" s="92"/>
      <c r="L53" s="92"/>
      <c r="M53" s="92"/>
      <c r="N53" s="92">
        <f t="shared" ca="1" si="4"/>
        <v>6996.2422110253119</v>
      </c>
      <c r="O53" s="92">
        <f t="shared" ca="1" si="13"/>
        <v>39.37794247378195</v>
      </c>
      <c r="P53" s="92">
        <f t="shared" ca="1" si="13"/>
        <v>441.6562037167339</v>
      </c>
      <c r="Q53" s="92">
        <f t="shared" ca="1" si="13"/>
        <v>488.11650994479322</v>
      </c>
      <c r="R53" s="92">
        <f t="shared" ca="1" si="13"/>
        <v>554.97402378517097</v>
      </c>
      <c r="S53" s="92">
        <f t="shared" ca="1" si="13"/>
        <v>628.06401772931315</v>
      </c>
      <c r="T53" s="92">
        <f t="shared" ca="1" si="13"/>
        <v>210.48785077712211</v>
      </c>
      <c r="U53" s="92">
        <f t="shared" ca="1" si="13"/>
        <v>804.83981703607515</v>
      </c>
      <c r="V53" s="93">
        <f t="shared" ca="1" si="13"/>
        <v>3828.7258455623219</v>
      </c>
      <c r="W53" s="94">
        <f t="shared" ca="1" si="13"/>
        <v>0</v>
      </c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spans="1:38" x14ac:dyDescent="0.25">
      <c r="A54" s="87" t="str">
        <f>A5</f>
        <v>Torre</v>
      </c>
      <c r="B54" s="88" t="s">
        <v>165</v>
      </c>
      <c r="C54" s="88" t="s">
        <v>176</v>
      </c>
      <c r="D54" s="88" t="s">
        <v>177</v>
      </c>
      <c r="E54" s="88" t="s">
        <v>53</v>
      </c>
      <c r="F54" s="89"/>
      <c r="G54" s="90"/>
      <c r="H54" s="91">
        <v>50</v>
      </c>
      <c r="I54" s="92">
        <v>177.9</v>
      </c>
      <c r="J54" s="92">
        <v>743.5</v>
      </c>
      <c r="K54" s="92"/>
      <c r="L54" s="92"/>
      <c r="M54" s="92"/>
      <c r="N54" s="92">
        <f t="shared" ca="1" si="4"/>
        <v>17692.369816046034</v>
      </c>
      <c r="O54" s="92">
        <f t="shared" ca="1" si="13"/>
        <v>99.580474750178183</v>
      </c>
      <c r="P54" s="92">
        <f t="shared" ca="1" si="13"/>
        <v>1116.8774110469617</v>
      </c>
      <c r="Q54" s="92">
        <f t="shared" ca="1" si="13"/>
        <v>1234.3680431263085</v>
      </c>
      <c r="R54" s="92">
        <f t="shared" ca="1" si="13"/>
        <v>1403.4399283136611</v>
      </c>
      <c r="S54" s="92">
        <f t="shared" ca="1" si="13"/>
        <v>1588.2727519506827</v>
      </c>
      <c r="T54" s="92">
        <f t="shared" ca="1" si="13"/>
        <v>532.2898758228946</v>
      </c>
      <c r="U54" s="92">
        <f t="shared" ca="1" si="13"/>
        <v>2035.3102788867338</v>
      </c>
      <c r="V54" s="93">
        <f t="shared" ca="1" si="13"/>
        <v>9682.2310521486143</v>
      </c>
      <c r="W54" s="94">
        <f t="shared" ca="1" si="13"/>
        <v>0</v>
      </c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spans="1:38" x14ac:dyDescent="0.25">
      <c r="A55" s="87" t="str">
        <f>A54</f>
        <v>Torre</v>
      </c>
      <c r="B55" s="88" t="s">
        <v>165</v>
      </c>
      <c r="C55" s="88" t="s">
        <v>176</v>
      </c>
      <c r="D55" s="88" t="s">
        <v>177</v>
      </c>
      <c r="E55" s="88" t="s">
        <v>167</v>
      </c>
      <c r="F55" s="89"/>
      <c r="G55" s="90"/>
      <c r="H55" s="91">
        <v>50</v>
      </c>
      <c r="I55" s="108"/>
      <c r="J55" s="109"/>
      <c r="K55" s="108"/>
      <c r="L55" s="108"/>
      <c r="M55" s="108"/>
      <c r="N55" s="92">
        <f ca="1">SUM(O55:W55)</f>
        <v>0</v>
      </c>
      <c r="O55" s="108">
        <f t="shared" ca="1" si="13"/>
        <v>0</v>
      </c>
      <c r="P55" s="108">
        <f t="shared" ca="1" si="13"/>
        <v>0</v>
      </c>
      <c r="Q55" s="108">
        <f t="shared" ca="1" si="13"/>
        <v>0</v>
      </c>
      <c r="R55" s="108">
        <f t="shared" ca="1" si="13"/>
        <v>0</v>
      </c>
      <c r="S55" s="108">
        <f t="shared" ca="1" si="13"/>
        <v>0</v>
      </c>
      <c r="T55" s="108">
        <f t="shared" ca="1" si="13"/>
        <v>0</v>
      </c>
      <c r="U55" s="108">
        <f t="shared" ca="1" si="13"/>
        <v>0</v>
      </c>
      <c r="V55" s="110">
        <f t="shared" ca="1" si="13"/>
        <v>0</v>
      </c>
      <c r="W55" s="111">
        <f t="shared" ca="1" si="13"/>
        <v>0</v>
      </c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spans="1:38" ht="15.75" thickBot="1" x14ac:dyDescent="0.3">
      <c r="A56" s="45" t="str">
        <f>A5</f>
        <v>Torre</v>
      </c>
      <c r="B56" s="46" t="s">
        <v>165</v>
      </c>
      <c r="C56" s="46" t="s">
        <v>176</v>
      </c>
      <c r="D56" s="46" t="s">
        <v>177</v>
      </c>
      <c r="E56" s="46" t="s">
        <v>54</v>
      </c>
      <c r="F56" s="47"/>
      <c r="G56" s="48"/>
      <c r="H56" s="91">
        <v>50</v>
      </c>
      <c r="I56" s="50">
        <f>((0.5816+0.5128)*1.2+0.1123*2.48)</f>
        <v>1.5917840000000001</v>
      </c>
      <c r="J56" s="50">
        <f>(0.5816+0.5128+(3.01+2.65)*1.2+3.1+3.2*1.2)*1</f>
        <v>14.8264</v>
      </c>
      <c r="K56" s="50"/>
      <c r="L56" s="50"/>
      <c r="M56" s="50"/>
      <c r="N56" s="50">
        <f ca="1">SUM(O56:W56)</f>
        <v>126.25156186051805</v>
      </c>
      <c r="O56" s="50">
        <f t="shared" ca="1" si="13"/>
        <v>0.71059957477372948</v>
      </c>
      <c r="P56" s="50">
        <f t="shared" ca="1" si="13"/>
        <v>7.9699621372103842</v>
      </c>
      <c r="Q56" s="50">
        <f t="shared" ca="1" si="13"/>
        <v>8.8083673909002513</v>
      </c>
      <c r="R56" s="50">
        <f t="shared" ca="1" si="13"/>
        <v>10.014852999868594</v>
      </c>
      <c r="S56" s="50">
        <f t="shared" ca="1" si="13"/>
        <v>11.333807606283145</v>
      </c>
      <c r="T56" s="50">
        <f t="shared" ca="1" si="13"/>
        <v>3.7983847773876307</v>
      </c>
      <c r="U56" s="50">
        <f t="shared" ca="1" si="13"/>
        <v>14.523837352029956</v>
      </c>
      <c r="V56" s="51">
        <f t="shared" ca="1" si="13"/>
        <v>69.09175002206436</v>
      </c>
      <c r="W56" s="52">
        <f t="shared" ca="1" si="13"/>
        <v>0</v>
      </c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spans="1:38" ht="21" customHeight="1" thickTop="1" thickBot="1" x14ac:dyDescent="0.3">
      <c r="A57" s="70"/>
      <c r="B57" s="71"/>
      <c r="C57" s="71"/>
      <c r="D57" s="72" t="str">
        <f>"TOTAL - "&amp;UPPER(C56)</f>
        <v>TOTAL - MEZANINO G3</v>
      </c>
      <c r="E57" s="73"/>
      <c r="F57" s="74"/>
      <c r="G57" s="75"/>
      <c r="H57" s="59"/>
      <c r="I57" s="77">
        <f>SUM(I52:I56)</f>
        <v>287.09178400000002</v>
      </c>
      <c r="J57" s="77">
        <f t="shared" ref="J57:V57" si="14">SUM(J52:J56)</f>
        <v>1540.2264</v>
      </c>
      <c r="K57" s="77">
        <f t="shared" si="14"/>
        <v>0</v>
      </c>
      <c r="L57" s="77">
        <f t="shared" si="14"/>
        <v>0</v>
      </c>
      <c r="M57" s="77">
        <f t="shared" si="14"/>
        <v>0</v>
      </c>
      <c r="N57" s="77">
        <f t="shared" ca="1" si="14"/>
        <v>43944</v>
      </c>
      <c r="O57" s="77">
        <f t="shared" ca="1" si="14"/>
        <v>247.33624878522858</v>
      </c>
      <c r="P57" s="77">
        <f t="shared" ca="1" si="14"/>
        <v>2774.080660835763</v>
      </c>
      <c r="Q57" s="77">
        <f t="shared" ca="1" si="14"/>
        <v>3065.9018464528672</v>
      </c>
      <c r="R57" s="77">
        <f t="shared" ca="1" si="14"/>
        <v>3485.8396501457719</v>
      </c>
      <c r="S57" s="77">
        <f t="shared" ca="1" si="14"/>
        <v>3944.9241982507297</v>
      </c>
      <c r="T57" s="77">
        <f t="shared" ca="1" si="14"/>
        <v>1322.0923226433433</v>
      </c>
      <c r="U57" s="77">
        <f t="shared" ca="1" si="14"/>
        <v>5055.2682215743434</v>
      </c>
      <c r="V57" s="77">
        <f t="shared" ca="1" si="14"/>
        <v>24048.556851311954</v>
      </c>
      <c r="W57" s="78">
        <f ca="1">SUM(W52:W56)</f>
        <v>0</v>
      </c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spans="1:38" ht="15.75" thickTop="1" x14ac:dyDescent="0.25">
      <c r="A58" s="100" t="str">
        <f>A56</f>
        <v>Torre</v>
      </c>
      <c r="B58" s="101" t="s">
        <v>165</v>
      </c>
      <c r="C58" s="101" t="s">
        <v>178</v>
      </c>
      <c r="D58" s="101" t="s">
        <v>179</v>
      </c>
      <c r="E58" s="101" t="s">
        <v>52</v>
      </c>
      <c r="F58" s="102"/>
      <c r="G58" s="103"/>
      <c r="H58" s="104">
        <v>50</v>
      </c>
      <c r="I58" s="105">
        <v>79</v>
      </c>
      <c r="J58" s="105">
        <v>506.1</v>
      </c>
      <c r="K58" s="105"/>
      <c r="L58" s="105"/>
      <c r="M58" s="105"/>
      <c r="N58" s="105">
        <f ca="1">SUM(O58:W58)</f>
        <v>19129.136411068139</v>
      </c>
      <c r="O58" s="105">
        <f t="shared" ref="O58:W62" ca="1" si="15">O$5*$N58</f>
        <v>107.6672319864947</v>
      </c>
      <c r="P58" s="92">
        <f t="shared" ca="1" si="15"/>
        <v>1207.577083934857</v>
      </c>
      <c r="Q58" s="92">
        <f t="shared" ca="1" si="15"/>
        <v>1334.6089259908651</v>
      </c>
      <c r="R58" s="92">
        <f t="shared" ca="1" si="15"/>
        <v>1517.4108450470715</v>
      </c>
      <c r="S58" s="92">
        <f t="shared" ca="1" si="15"/>
        <v>1717.2536209644504</v>
      </c>
      <c r="T58" s="92">
        <f t="shared" ca="1" si="15"/>
        <v>575.51621126593898</v>
      </c>
      <c r="U58" s="92">
        <f t="shared" ca="1" si="15"/>
        <v>2200.594288299505</v>
      </c>
      <c r="V58" s="106">
        <f t="shared" ca="1" si="15"/>
        <v>10468.508203578956</v>
      </c>
      <c r="W58" s="107">
        <f t="shared" ca="1" si="15"/>
        <v>0</v>
      </c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spans="1:38" x14ac:dyDescent="0.25">
      <c r="A59" s="87" t="str">
        <f>A5</f>
        <v>Torre</v>
      </c>
      <c r="B59" s="88" t="s">
        <v>165</v>
      </c>
      <c r="C59" s="88" t="s">
        <v>178</v>
      </c>
      <c r="D59" s="88" t="s">
        <v>179</v>
      </c>
      <c r="E59" s="88" t="s">
        <v>51</v>
      </c>
      <c r="F59" s="89"/>
      <c r="G59" s="90"/>
      <c r="H59" s="91">
        <v>50</v>
      </c>
      <c r="I59" s="92">
        <v>59.3</v>
      </c>
      <c r="J59" s="92">
        <v>531.20000000000005</v>
      </c>
      <c r="K59" s="92"/>
      <c r="L59" s="92"/>
      <c r="M59" s="92"/>
      <c r="N59" s="92">
        <f t="shared" ca="1" si="4"/>
        <v>6996.2422110253119</v>
      </c>
      <c r="O59" s="92">
        <f t="shared" ca="1" si="15"/>
        <v>39.37794247378195</v>
      </c>
      <c r="P59" s="42">
        <f t="shared" ca="1" si="15"/>
        <v>441.6562037167339</v>
      </c>
      <c r="Q59" s="42">
        <f t="shared" ca="1" si="15"/>
        <v>488.11650994479322</v>
      </c>
      <c r="R59" s="42">
        <f t="shared" ca="1" si="15"/>
        <v>554.97402378517097</v>
      </c>
      <c r="S59" s="42">
        <f t="shared" ca="1" si="15"/>
        <v>628.06401772931315</v>
      </c>
      <c r="T59" s="42">
        <f t="shared" ca="1" si="15"/>
        <v>210.48785077712211</v>
      </c>
      <c r="U59" s="42">
        <f t="shared" ca="1" si="15"/>
        <v>804.83981703607515</v>
      </c>
      <c r="V59" s="93">
        <f t="shared" ca="1" si="15"/>
        <v>3828.7258455623219</v>
      </c>
      <c r="W59" s="94">
        <f t="shared" ca="1" si="15"/>
        <v>0</v>
      </c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spans="1:38" x14ac:dyDescent="0.25">
      <c r="A60" s="87" t="str">
        <f>A5</f>
        <v>Torre</v>
      </c>
      <c r="B60" s="88" t="s">
        <v>165</v>
      </c>
      <c r="C60" s="88" t="s">
        <v>178</v>
      </c>
      <c r="D60" s="88" t="s">
        <v>179</v>
      </c>
      <c r="E60" s="88" t="s">
        <v>53</v>
      </c>
      <c r="F60" s="89"/>
      <c r="G60" s="90"/>
      <c r="H60" s="91">
        <v>50</v>
      </c>
      <c r="I60" s="92">
        <v>159.9</v>
      </c>
      <c r="J60" s="92">
        <v>728.9</v>
      </c>
      <c r="K60" s="92"/>
      <c r="L60" s="92"/>
      <c r="M60" s="92"/>
      <c r="N60" s="92">
        <f t="shared" ca="1" si="4"/>
        <v>17692.369816046034</v>
      </c>
      <c r="O60" s="92">
        <f t="shared" ca="1" si="15"/>
        <v>99.580474750178183</v>
      </c>
      <c r="P60" s="92">
        <f t="shared" ca="1" si="15"/>
        <v>1116.8774110469617</v>
      </c>
      <c r="Q60" s="92">
        <f t="shared" ca="1" si="15"/>
        <v>1234.3680431263085</v>
      </c>
      <c r="R60" s="92">
        <f t="shared" ca="1" si="15"/>
        <v>1403.4399283136611</v>
      </c>
      <c r="S60" s="92">
        <f t="shared" ca="1" si="15"/>
        <v>1588.2727519506827</v>
      </c>
      <c r="T60" s="92">
        <f t="shared" ca="1" si="15"/>
        <v>532.2898758228946</v>
      </c>
      <c r="U60" s="92">
        <f t="shared" ca="1" si="15"/>
        <v>2035.3102788867338</v>
      </c>
      <c r="V60" s="93">
        <f t="shared" ca="1" si="15"/>
        <v>9682.2310521486143</v>
      </c>
      <c r="W60" s="94">
        <f t="shared" ca="1" si="15"/>
        <v>0</v>
      </c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spans="1:38" x14ac:dyDescent="0.25">
      <c r="A61" s="87" t="str">
        <f>A60</f>
        <v>Torre</v>
      </c>
      <c r="B61" s="88" t="s">
        <v>165</v>
      </c>
      <c r="C61" s="88" t="s">
        <v>178</v>
      </c>
      <c r="D61" s="88" t="s">
        <v>179</v>
      </c>
      <c r="E61" s="88" t="s">
        <v>167</v>
      </c>
      <c r="F61" s="89"/>
      <c r="G61" s="90"/>
      <c r="H61" s="91">
        <v>50</v>
      </c>
      <c r="I61" s="108"/>
      <c r="J61" s="109"/>
      <c r="K61" s="108"/>
      <c r="L61" s="108"/>
      <c r="M61" s="108"/>
      <c r="N61" s="92">
        <f ca="1">SUM(O61:W61)</f>
        <v>0</v>
      </c>
      <c r="O61" s="108">
        <f t="shared" ca="1" si="15"/>
        <v>0</v>
      </c>
      <c r="P61" s="108">
        <f t="shared" ca="1" si="15"/>
        <v>0</v>
      </c>
      <c r="Q61" s="108">
        <f t="shared" ca="1" si="15"/>
        <v>0</v>
      </c>
      <c r="R61" s="108">
        <f t="shared" ca="1" si="15"/>
        <v>0</v>
      </c>
      <c r="S61" s="108">
        <f t="shared" ca="1" si="15"/>
        <v>0</v>
      </c>
      <c r="T61" s="108">
        <f t="shared" ca="1" si="15"/>
        <v>0</v>
      </c>
      <c r="U61" s="108">
        <f t="shared" ca="1" si="15"/>
        <v>0</v>
      </c>
      <c r="V61" s="110">
        <f t="shared" ca="1" si="15"/>
        <v>0</v>
      </c>
      <c r="W61" s="111">
        <f t="shared" ca="1" si="15"/>
        <v>0</v>
      </c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spans="1:38" ht="15.75" thickBot="1" x14ac:dyDescent="0.3">
      <c r="A62" s="87" t="str">
        <f>A11</f>
        <v>Torre</v>
      </c>
      <c r="B62" s="88" t="s">
        <v>165</v>
      </c>
      <c r="C62" s="88" t="s">
        <v>178</v>
      </c>
      <c r="D62" s="88" t="s">
        <v>179</v>
      </c>
      <c r="E62" s="88" t="s">
        <v>54</v>
      </c>
      <c r="F62" s="89"/>
      <c r="G62" s="90"/>
      <c r="H62" s="91">
        <v>50</v>
      </c>
      <c r="I62" s="50">
        <f>((0.5816+0.5128)*1.2+0.1123*2.48)</f>
        <v>1.5917840000000001</v>
      </c>
      <c r="J62" s="50">
        <f>(0.5816+0.5128+(3.01+2.65)*1.2+3.1+3.2*1.2)*1</f>
        <v>14.8264</v>
      </c>
      <c r="K62" s="50"/>
      <c r="L62" s="50"/>
      <c r="M62" s="50"/>
      <c r="N62" s="50">
        <f ca="1">SUM(O62:W62)</f>
        <v>126.25156186051805</v>
      </c>
      <c r="O62" s="50">
        <f t="shared" ca="1" si="15"/>
        <v>0.71059957477372948</v>
      </c>
      <c r="P62" s="50">
        <f t="shared" ca="1" si="15"/>
        <v>7.9699621372103842</v>
      </c>
      <c r="Q62" s="50">
        <f t="shared" ca="1" si="15"/>
        <v>8.8083673909002513</v>
      </c>
      <c r="R62" s="50">
        <f t="shared" ca="1" si="15"/>
        <v>10.014852999868594</v>
      </c>
      <c r="S62" s="50">
        <f t="shared" ca="1" si="15"/>
        <v>11.333807606283145</v>
      </c>
      <c r="T62" s="50">
        <f t="shared" ca="1" si="15"/>
        <v>3.7983847773876307</v>
      </c>
      <c r="U62" s="50">
        <f t="shared" ca="1" si="15"/>
        <v>14.523837352029956</v>
      </c>
      <c r="V62" s="51">
        <f t="shared" ca="1" si="15"/>
        <v>69.09175002206436</v>
      </c>
      <c r="W62" s="52">
        <f t="shared" ca="1" si="15"/>
        <v>0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spans="1:38" ht="21" customHeight="1" thickTop="1" thickBot="1" x14ac:dyDescent="0.3">
      <c r="A63" s="70"/>
      <c r="B63" s="71"/>
      <c r="C63" s="71"/>
      <c r="D63" s="72" t="str">
        <f>"TOTAL - "&amp;UPPER(C62)</f>
        <v>TOTAL - GARAGEM/LAZER</v>
      </c>
      <c r="E63" s="73"/>
      <c r="F63" s="74"/>
      <c r="G63" s="75"/>
      <c r="H63" s="59"/>
      <c r="I63" s="77">
        <f>SUM(I58:I62)</f>
        <v>299.79178400000006</v>
      </c>
      <c r="J63" s="77">
        <f>SUM(J58:J62)</f>
        <v>1781.0264000000002</v>
      </c>
      <c r="K63" s="77">
        <f t="shared" ref="K63:W63" si="16">SUM(K58:K62)</f>
        <v>0</v>
      </c>
      <c r="L63" s="77">
        <f t="shared" si="16"/>
        <v>0</v>
      </c>
      <c r="M63" s="77">
        <f t="shared" si="16"/>
        <v>0</v>
      </c>
      <c r="N63" s="77">
        <f t="shared" ca="1" si="16"/>
        <v>43944</v>
      </c>
      <c r="O63" s="77">
        <f t="shared" ca="1" si="16"/>
        <v>247.33624878522858</v>
      </c>
      <c r="P63" s="77">
        <f t="shared" ca="1" si="16"/>
        <v>2774.080660835763</v>
      </c>
      <c r="Q63" s="77">
        <f t="shared" ca="1" si="16"/>
        <v>3065.9018464528672</v>
      </c>
      <c r="R63" s="77">
        <f t="shared" ca="1" si="16"/>
        <v>3485.8396501457719</v>
      </c>
      <c r="S63" s="77">
        <f t="shared" ca="1" si="16"/>
        <v>3944.9241982507297</v>
      </c>
      <c r="T63" s="77">
        <f t="shared" ca="1" si="16"/>
        <v>1322.0923226433433</v>
      </c>
      <c r="U63" s="77">
        <f t="shared" ca="1" si="16"/>
        <v>5055.2682215743434</v>
      </c>
      <c r="V63" s="77">
        <f t="shared" ca="1" si="16"/>
        <v>24048.556851311954</v>
      </c>
      <c r="W63" s="78">
        <f t="shared" ca="1" si="16"/>
        <v>0</v>
      </c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spans="1:38" ht="15.75" thickTop="1" x14ac:dyDescent="0.25">
      <c r="A64" s="87" t="str">
        <f>A62</f>
        <v>Torre</v>
      </c>
      <c r="B64" s="88" t="s">
        <v>165</v>
      </c>
      <c r="C64" s="88" t="s">
        <v>180</v>
      </c>
      <c r="D64" s="88" t="s">
        <v>181</v>
      </c>
      <c r="E64" s="88" t="s">
        <v>52</v>
      </c>
      <c r="F64" s="89"/>
      <c r="G64" s="90"/>
      <c r="H64" s="91">
        <v>50</v>
      </c>
      <c r="I64" s="92">
        <v>70</v>
      </c>
      <c r="J64" s="92">
        <v>437.1</v>
      </c>
      <c r="K64" s="105"/>
      <c r="L64" s="92"/>
      <c r="M64" s="92"/>
      <c r="N64" s="92">
        <f ca="1">SUM(O64:W64)</f>
        <v>11022.629429111184</v>
      </c>
      <c r="O64" s="93">
        <f t="shared" ref="O64:W68" ca="1" si="17">O$5*$N64</f>
        <v>62.040228808165523</v>
      </c>
      <c r="P64" s="92">
        <f t="shared" ca="1" si="17"/>
        <v>695.83249433043147</v>
      </c>
      <c r="Q64" s="92">
        <f t="shared" ca="1" si="17"/>
        <v>769.03103767243977</v>
      </c>
      <c r="R64" s="92">
        <f t="shared" ca="1" si="17"/>
        <v>874.36552687191477</v>
      </c>
      <c r="S64" s="92">
        <f t="shared" ca="1" si="17"/>
        <v>989.51933286117173</v>
      </c>
      <c r="T64" s="92">
        <f t="shared" ca="1" si="17"/>
        <v>331.62510794580544</v>
      </c>
      <c r="U64" s="92">
        <f t="shared" ca="1" si="17"/>
        <v>1268.0308636258858</v>
      </c>
      <c r="V64" s="115">
        <f t="shared" ca="1" si="17"/>
        <v>6032.1848369953705</v>
      </c>
      <c r="W64" s="94">
        <f t="shared" ca="1" si="17"/>
        <v>0</v>
      </c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spans="1:38" x14ac:dyDescent="0.25">
      <c r="A65" s="87" t="str">
        <f>A5</f>
        <v>Torre</v>
      </c>
      <c r="B65" s="88" t="s">
        <v>165</v>
      </c>
      <c r="C65" s="88" t="s">
        <v>180</v>
      </c>
      <c r="D65" s="88" t="s">
        <v>181</v>
      </c>
      <c r="E65" s="88" t="s">
        <v>51</v>
      </c>
      <c r="F65" s="89"/>
      <c r="G65" s="90"/>
      <c r="H65" s="91">
        <v>50</v>
      </c>
      <c r="I65" s="92">
        <v>7.9</v>
      </c>
      <c r="J65" s="92">
        <v>76.8</v>
      </c>
      <c r="K65" s="92"/>
      <c r="L65" s="92"/>
      <c r="M65" s="92"/>
      <c r="N65" s="92">
        <f ca="1">SUM(O65:W65)</f>
        <v>4031.3887480993408</v>
      </c>
      <c r="O65" s="92">
        <f t="shared" ca="1" si="17"/>
        <v>22.690437155240069</v>
      </c>
      <c r="P65" s="42">
        <f t="shared" ca="1" si="17"/>
        <v>254.49202535985066</v>
      </c>
      <c r="Q65" s="42">
        <f t="shared" ca="1" si="17"/>
        <v>281.2634763919325</v>
      </c>
      <c r="R65" s="42">
        <f t="shared" ca="1" si="17"/>
        <v>319.78824738931837</v>
      </c>
      <c r="S65" s="42">
        <f t="shared" ca="1" si="17"/>
        <v>361.9043105983252</v>
      </c>
      <c r="T65" s="42">
        <f t="shared" ca="1" si="17"/>
        <v>121.28773241973641</v>
      </c>
      <c r="U65" s="42">
        <f t="shared" ca="1" si="17"/>
        <v>463.76641696429488</v>
      </c>
      <c r="V65" s="93">
        <f t="shared" ca="1" si="17"/>
        <v>2206.196101820643</v>
      </c>
      <c r="W65" s="94">
        <f t="shared" ca="1" si="17"/>
        <v>0</v>
      </c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spans="1:38" x14ac:dyDescent="0.25">
      <c r="A66" s="87" t="str">
        <f>A5</f>
        <v>Torre</v>
      </c>
      <c r="B66" s="88" t="s">
        <v>165</v>
      </c>
      <c r="C66" s="88" t="s">
        <v>180</v>
      </c>
      <c r="D66" s="88" t="s">
        <v>181</v>
      </c>
      <c r="E66" s="88" t="s">
        <v>53</v>
      </c>
      <c r="F66" s="89"/>
      <c r="G66" s="90"/>
      <c r="H66" s="91">
        <v>50</v>
      </c>
      <c r="I66" s="92">
        <v>1.7</v>
      </c>
      <c r="J66" s="92">
        <v>38.9</v>
      </c>
      <c r="K66" s="92"/>
      <c r="L66" s="92"/>
      <c r="M66" s="92"/>
      <c r="N66" s="92">
        <f ca="1">SUM(O66:W66)</f>
        <v>10194.732894069944</v>
      </c>
      <c r="O66" s="92">
        <f t="shared" ca="1" si="17"/>
        <v>57.380461300442313</v>
      </c>
      <c r="P66" s="92">
        <f t="shared" ca="1" si="17"/>
        <v>643.56934652798202</v>
      </c>
      <c r="Q66" s="92">
        <f t="shared" ca="1" si="17"/>
        <v>711.2700346810218</v>
      </c>
      <c r="R66" s="92">
        <f t="shared" ca="1" si="17"/>
        <v>808.69297616954236</v>
      </c>
      <c r="S66" s="92">
        <f t="shared" ca="1" si="17"/>
        <v>915.19771728834905</v>
      </c>
      <c r="T66" s="92">
        <f t="shared" ca="1" si="17"/>
        <v>306.71714205919864</v>
      </c>
      <c r="U66" s="92">
        <f t="shared" ca="1" si="17"/>
        <v>1172.7905795291833</v>
      </c>
      <c r="V66" s="93">
        <f t="shared" ca="1" si="17"/>
        <v>5579.1146365142249</v>
      </c>
      <c r="W66" s="94">
        <f t="shared" ca="1" si="17"/>
        <v>0</v>
      </c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spans="1:38" x14ac:dyDescent="0.25">
      <c r="A67" s="87" t="str">
        <f>A6</f>
        <v>Torre</v>
      </c>
      <c r="B67" s="88" t="s">
        <v>165</v>
      </c>
      <c r="C67" s="88" t="s">
        <v>180</v>
      </c>
      <c r="D67" s="88" t="s">
        <v>181</v>
      </c>
      <c r="E67" s="88" t="s">
        <v>167</v>
      </c>
      <c r="F67" s="89"/>
      <c r="G67" s="90"/>
      <c r="H67" s="91">
        <v>50</v>
      </c>
      <c r="I67" s="108"/>
      <c r="J67" s="109"/>
      <c r="K67" s="108"/>
      <c r="L67" s="108"/>
      <c r="M67" s="108"/>
      <c r="N67" s="92">
        <f ca="1">SUM(O67:W67)</f>
        <v>0</v>
      </c>
      <c r="O67" s="108">
        <f t="shared" ca="1" si="17"/>
        <v>0</v>
      </c>
      <c r="P67" s="108">
        <f t="shared" ca="1" si="17"/>
        <v>0</v>
      </c>
      <c r="Q67" s="108">
        <f t="shared" ca="1" si="17"/>
        <v>0</v>
      </c>
      <c r="R67" s="108">
        <f t="shared" ca="1" si="17"/>
        <v>0</v>
      </c>
      <c r="S67" s="108">
        <f t="shared" ca="1" si="17"/>
        <v>0</v>
      </c>
      <c r="T67" s="108">
        <f t="shared" ca="1" si="17"/>
        <v>0</v>
      </c>
      <c r="U67" s="108">
        <f t="shared" ca="1" si="17"/>
        <v>0</v>
      </c>
      <c r="V67" s="110">
        <f t="shared" ca="1" si="17"/>
        <v>0</v>
      </c>
      <c r="W67" s="111">
        <f t="shared" ca="1" si="17"/>
        <v>0</v>
      </c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spans="1:38" ht="15.75" thickBot="1" x14ac:dyDescent="0.3">
      <c r="A68" s="45" t="str">
        <f>A5</f>
        <v>Torre</v>
      </c>
      <c r="B68" s="46" t="s">
        <v>165</v>
      </c>
      <c r="C68" s="46" t="s">
        <v>180</v>
      </c>
      <c r="D68" s="46" t="s">
        <v>181</v>
      </c>
      <c r="E68" s="46" t="s">
        <v>54</v>
      </c>
      <c r="F68" s="47"/>
      <c r="G68" s="48"/>
      <c r="H68" s="91">
        <v>50</v>
      </c>
      <c r="I68" s="50">
        <f>((0.5816+0.5128)*1.2+0.1123*2.48)</f>
        <v>1.5917840000000001</v>
      </c>
      <c r="J68" s="50">
        <f>(0.5816+0.5128+(3.01+2.65)*1.2+3.1+3.2*1.2)*1</f>
        <v>14.8264</v>
      </c>
      <c r="K68" s="50"/>
      <c r="L68" s="50"/>
      <c r="M68" s="50"/>
      <c r="N68" s="50">
        <f ca="1">SUM(O68:W68)</f>
        <v>72.748928719531847</v>
      </c>
      <c r="O68" s="50">
        <f t="shared" ca="1" si="17"/>
        <v>0.40946311516095457</v>
      </c>
      <c r="P68" s="50">
        <f t="shared" ca="1" si="17"/>
        <v>4.5924676009778969</v>
      </c>
      <c r="Q68" s="50">
        <f t="shared" ca="1" si="17"/>
        <v>5.0755751613116855</v>
      </c>
      <c r="R68" s="50">
        <f t="shared" ca="1" si="17"/>
        <v>5.7707787237432324</v>
      </c>
      <c r="S68" s="50">
        <f t="shared" ca="1" si="17"/>
        <v>6.530789397926875</v>
      </c>
      <c r="T68" s="50">
        <f t="shared" ca="1" si="17"/>
        <v>2.1887129105366121</v>
      </c>
      <c r="U68" s="50">
        <f t="shared" ca="1" si="17"/>
        <v>8.3689547494407996</v>
      </c>
      <c r="V68" s="51">
        <f t="shared" ca="1" si="17"/>
        <v>39.812187060433793</v>
      </c>
      <c r="W68" s="52">
        <f t="shared" ca="1" si="17"/>
        <v>0</v>
      </c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spans="1:38" ht="21" customHeight="1" thickTop="1" thickBot="1" x14ac:dyDescent="0.3">
      <c r="A69" s="70"/>
      <c r="B69" s="71"/>
      <c r="C69" s="71"/>
      <c r="D69" s="72" t="str">
        <f>"TOTAL - "&amp;UPPER(C68)</f>
        <v>TOTAL - PATAMAR INTERMEDIÁRIO</v>
      </c>
      <c r="E69" s="73"/>
      <c r="F69" s="74"/>
      <c r="G69" s="75"/>
      <c r="H69" s="59"/>
      <c r="I69" s="77">
        <f>SUM(I64:I68)</f>
        <v>81.191784000000013</v>
      </c>
      <c r="J69" s="77">
        <f>SUM(J64:J68)</f>
        <v>567.62639999999999</v>
      </c>
      <c r="K69" s="77">
        <f t="shared" ref="K69:W69" si="18">SUM(K64:K68)</f>
        <v>0</v>
      </c>
      <c r="L69" s="77">
        <f t="shared" si="18"/>
        <v>0</v>
      </c>
      <c r="M69" s="77">
        <f t="shared" si="18"/>
        <v>0</v>
      </c>
      <c r="N69" s="77">
        <f t="shared" ca="1" si="18"/>
        <v>25321.5</v>
      </c>
      <c r="O69" s="77">
        <f t="shared" ca="1" si="18"/>
        <v>142.52059037900884</v>
      </c>
      <c r="P69" s="77">
        <f t="shared" ca="1" si="18"/>
        <v>1598.486333819242</v>
      </c>
      <c r="Q69" s="77">
        <f t="shared" ca="1" si="18"/>
        <v>1766.6401239067059</v>
      </c>
      <c r="R69" s="77">
        <f t="shared" ca="1" si="18"/>
        <v>2008.6175291545187</v>
      </c>
      <c r="S69" s="77">
        <f t="shared" ca="1" si="18"/>
        <v>2273.1521501457728</v>
      </c>
      <c r="T69" s="77">
        <f t="shared" ca="1" si="18"/>
        <v>761.8186953352772</v>
      </c>
      <c r="U69" s="77">
        <f t="shared" ca="1" si="18"/>
        <v>2912.9568148688049</v>
      </c>
      <c r="V69" s="77">
        <f t="shared" ca="1" si="18"/>
        <v>13857.307762390672</v>
      </c>
      <c r="W69" s="78">
        <f t="shared" ca="1" si="18"/>
        <v>0</v>
      </c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spans="1:38" ht="15.75" thickTop="1" x14ac:dyDescent="0.25">
      <c r="A70" s="100" t="str">
        <f>A66</f>
        <v>Torre</v>
      </c>
      <c r="B70" s="101" t="s">
        <v>165</v>
      </c>
      <c r="C70" s="101" t="s">
        <v>182</v>
      </c>
      <c r="D70" s="101" t="s">
        <v>183</v>
      </c>
      <c r="E70" s="101" t="s">
        <v>52</v>
      </c>
      <c r="F70" s="102"/>
      <c r="G70" s="103"/>
      <c r="H70" s="104">
        <v>50</v>
      </c>
      <c r="I70" s="105">
        <v>70</v>
      </c>
      <c r="J70" s="105">
        <v>437.1</v>
      </c>
      <c r="K70" s="105"/>
      <c r="L70" s="105"/>
      <c r="M70" s="105"/>
      <c r="N70" s="105">
        <f ca="1">SUM(O70:W70)</f>
        <v>11022.629429111184</v>
      </c>
      <c r="O70" s="105">
        <f t="shared" ref="O70:W74" ca="1" si="19">O$5*$N70</f>
        <v>62.040228808165523</v>
      </c>
      <c r="P70" s="92">
        <f t="shared" ca="1" si="19"/>
        <v>695.83249433043147</v>
      </c>
      <c r="Q70" s="92">
        <f t="shared" ca="1" si="19"/>
        <v>769.03103767243977</v>
      </c>
      <c r="R70" s="92">
        <f t="shared" ca="1" si="19"/>
        <v>874.36552687191477</v>
      </c>
      <c r="S70" s="92">
        <f t="shared" ca="1" si="19"/>
        <v>989.51933286117173</v>
      </c>
      <c r="T70" s="92">
        <f t="shared" ca="1" si="19"/>
        <v>331.62510794580544</v>
      </c>
      <c r="U70" s="92">
        <f t="shared" ca="1" si="19"/>
        <v>1268.0308636258858</v>
      </c>
      <c r="V70" s="106">
        <f t="shared" ca="1" si="19"/>
        <v>6032.1848369953705</v>
      </c>
      <c r="W70" s="107">
        <f t="shared" ca="1" si="19"/>
        <v>0</v>
      </c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spans="1:38" x14ac:dyDescent="0.25">
      <c r="A71" s="87" t="str">
        <f>A5</f>
        <v>Torre</v>
      </c>
      <c r="B71" s="88" t="s">
        <v>165</v>
      </c>
      <c r="C71" s="88" t="s">
        <v>182</v>
      </c>
      <c r="D71" s="88" t="s">
        <v>183</v>
      </c>
      <c r="E71" s="88" t="s">
        <v>51</v>
      </c>
      <c r="F71" s="89"/>
      <c r="G71" s="90"/>
      <c r="H71" s="91">
        <v>50</v>
      </c>
      <c r="I71" s="92">
        <v>56.5</v>
      </c>
      <c r="J71" s="92">
        <v>478.2</v>
      </c>
      <c r="K71" s="92"/>
      <c r="L71" s="92"/>
      <c r="M71" s="92"/>
      <c r="N71" s="92">
        <f ca="1">SUM(O71:W71)</f>
        <v>4031.3887480993408</v>
      </c>
      <c r="O71" s="92">
        <f t="shared" ca="1" si="19"/>
        <v>22.690437155240069</v>
      </c>
      <c r="P71" s="42">
        <f t="shared" ca="1" si="19"/>
        <v>254.49202535985066</v>
      </c>
      <c r="Q71" s="42">
        <f t="shared" ca="1" si="19"/>
        <v>281.2634763919325</v>
      </c>
      <c r="R71" s="42">
        <f t="shared" ca="1" si="19"/>
        <v>319.78824738931837</v>
      </c>
      <c r="S71" s="42">
        <f t="shared" ca="1" si="19"/>
        <v>361.9043105983252</v>
      </c>
      <c r="T71" s="42">
        <f t="shared" ca="1" si="19"/>
        <v>121.28773241973641</v>
      </c>
      <c r="U71" s="42">
        <f t="shared" ca="1" si="19"/>
        <v>463.76641696429488</v>
      </c>
      <c r="V71" s="93">
        <f t="shared" ca="1" si="19"/>
        <v>2206.196101820643</v>
      </c>
      <c r="W71" s="94">
        <f t="shared" ca="1" si="19"/>
        <v>0</v>
      </c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spans="1:38" x14ac:dyDescent="0.25">
      <c r="A72" s="87" t="str">
        <f>A5</f>
        <v>Torre</v>
      </c>
      <c r="B72" s="88" t="s">
        <v>165</v>
      </c>
      <c r="C72" s="88" t="s">
        <v>182</v>
      </c>
      <c r="D72" s="88" t="s">
        <v>183</v>
      </c>
      <c r="E72" s="88" t="s">
        <v>53</v>
      </c>
      <c r="F72" s="89"/>
      <c r="G72" s="90"/>
      <c r="H72" s="91">
        <v>50</v>
      </c>
      <c r="I72" s="92">
        <v>90.4</v>
      </c>
      <c r="J72" s="92">
        <v>406.1</v>
      </c>
      <c r="K72" s="92"/>
      <c r="L72" s="92"/>
      <c r="M72" s="92"/>
      <c r="N72" s="92">
        <f ca="1">SUM(O72:W72)</f>
        <v>10194.732894069944</v>
      </c>
      <c r="O72" s="92">
        <f t="shared" ca="1" si="19"/>
        <v>57.380461300442313</v>
      </c>
      <c r="P72" s="92">
        <f t="shared" ca="1" si="19"/>
        <v>643.56934652798202</v>
      </c>
      <c r="Q72" s="92">
        <f t="shared" ca="1" si="19"/>
        <v>711.2700346810218</v>
      </c>
      <c r="R72" s="92">
        <f t="shared" ca="1" si="19"/>
        <v>808.69297616954236</v>
      </c>
      <c r="S72" s="92">
        <f t="shared" ca="1" si="19"/>
        <v>915.19771728834905</v>
      </c>
      <c r="T72" s="92">
        <f t="shared" ca="1" si="19"/>
        <v>306.71714205919864</v>
      </c>
      <c r="U72" s="92">
        <f t="shared" ca="1" si="19"/>
        <v>1172.7905795291833</v>
      </c>
      <c r="V72" s="93">
        <f t="shared" ca="1" si="19"/>
        <v>5579.1146365142249</v>
      </c>
      <c r="W72" s="94">
        <f t="shared" ca="1" si="19"/>
        <v>0</v>
      </c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spans="1:38" x14ac:dyDescent="0.25">
      <c r="A73" s="87" t="str">
        <f>A6</f>
        <v>Torre</v>
      </c>
      <c r="B73" s="88" t="s">
        <v>165</v>
      </c>
      <c r="C73" s="88" t="s">
        <v>182</v>
      </c>
      <c r="D73" s="88" t="s">
        <v>183</v>
      </c>
      <c r="E73" s="88" t="s">
        <v>167</v>
      </c>
      <c r="F73" s="89"/>
      <c r="G73" s="90"/>
      <c r="H73" s="91">
        <v>50</v>
      </c>
      <c r="I73" s="108"/>
      <c r="J73" s="109"/>
      <c r="K73" s="108"/>
      <c r="L73" s="108"/>
      <c r="M73" s="108"/>
      <c r="N73" s="92">
        <f ca="1">SUM(O73:W73)</f>
        <v>0</v>
      </c>
      <c r="O73" s="108">
        <f t="shared" ca="1" si="19"/>
        <v>0</v>
      </c>
      <c r="P73" s="108">
        <f t="shared" ca="1" si="19"/>
        <v>0</v>
      </c>
      <c r="Q73" s="108">
        <f t="shared" ca="1" si="19"/>
        <v>0</v>
      </c>
      <c r="R73" s="108">
        <f t="shared" ca="1" si="19"/>
        <v>0</v>
      </c>
      <c r="S73" s="108">
        <f t="shared" ca="1" si="19"/>
        <v>0</v>
      </c>
      <c r="T73" s="108">
        <f t="shared" ca="1" si="19"/>
        <v>0</v>
      </c>
      <c r="U73" s="108">
        <f t="shared" ca="1" si="19"/>
        <v>0</v>
      </c>
      <c r="V73" s="110">
        <f t="shared" ca="1" si="19"/>
        <v>0</v>
      </c>
      <c r="W73" s="111">
        <f t="shared" ca="1" si="19"/>
        <v>0</v>
      </c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spans="1:38" ht="15.75" thickBot="1" x14ac:dyDescent="0.3">
      <c r="A74" s="45" t="str">
        <f>A5</f>
        <v>Torre</v>
      </c>
      <c r="B74" s="46" t="s">
        <v>165</v>
      </c>
      <c r="C74" s="46" t="s">
        <v>182</v>
      </c>
      <c r="D74" s="46" t="s">
        <v>183</v>
      </c>
      <c r="E74" s="46" t="s">
        <v>54</v>
      </c>
      <c r="F74" s="47"/>
      <c r="G74" s="48"/>
      <c r="H74" s="91">
        <v>50</v>
      </c>
      <c r="I74" s="50">
        <f>((0.5816+0.5128)*1.2+0.1123*2.48)</f>
        <v>1.5917840000000001</v>
      </c>
      <c r="J74" s="50">
        <f>(0.5816+0.5128+(3.01+2.65)*1.2+3.1+3.2*1.2)*1</f>
        <v>14.8264</v>
      </c>
      <c r="K74" s="50"/>
      <c r="L74" s="50"/>
      <c r="M74" s="50"/>
      <c r="N74" s="50">
        <f ca="1">SUM(O74:W74)</f>
        <v>72.748928719531847</v>
      </c>
      <c r="O74" s="50">
        <f t="shared" ca="1" si="19"/>
        <v>0.40946311516095457</v>
      </c>
      <c r="P74" s="50">
        <f t="shared" ca="1" si="19"/>
        <v>4.5924676009778969</v>
      </c>
      <c r="Q74" s="50">
        <f t="shared" ca="1" si="19"/>
        <v>5.0755751613116855</v>
      </c>
      <c r="R74" s="50">
        <f t="shared" ca="1" si="19"/>
        <v>5.7707787237432324</v>
      </c>
      <c r="S74" s="50">
        <f t="shared" ca="1" si="19"/>
        <v>6.530789397926875</v>
      </c>
      <c r="T74" s="50">
        <f t="shared" ca="1" si="19"/>
        <v>2.1887129105366121</v>
      </c>
      <c r="U74" s="50">
        <f t="shared" ca="1" si="19"/>
        <v>8.3689547494407996</v>
      </c>
      <c r="V74" s="51">
        <f t="shared" ca="1" si="19"/>
        <v>39.812187060433793</v>
      </c>
      <c r="W74" s="52">
        <f t="shared" ca="1" si="19"/>
        <v>0</v>
      </c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spans="1:38" ht="21" customHeight="1" thickTop="1" thickBot="1" x14ac:dyDescent="0.3">
      <c r="A75" s="70"/>
      <c r="B75" s="71"/>
      <c r="C75" s="71"/>
      <c r="D75" s="72" t="str">
        <f>"TOTAL - "&amp;UPPER(C74)</f>
        <v>TOTAL - LAZER</v>
      </c>
      <c r="E75" s="73"/>
      <c r="F75" s="74"/>
      <c r="G75" s="75"/>
      <c r="H75" s="59"/>
      <c r="I75" s="77">
        <f t="shared" ref="I75:W75" si="20">SUM(I70:I74)</f>
        <v>218.491784</v>
      </c>
      <c r="J75" s="77">
        <f t="shared" si="20"/>
        <v>1336.2264</v>
      </c>
      <c r="K75" s="77">
        <f t="shared" si="20"/>
        <v>0</v>
      </c>
      <c r="L75" s="77">
        <f t="shared" si="20"/>
        <v>0</v>
      </c>
      <c r="M75" s="77">
        <f t="shared" si="20"/>
        <v>0</v>
      </c>
      <c r="N75" s="77">
        <f t="shared" ca="1" si="20"/>
        <v>25321.5</v>
      </c>
      <c r="O75" s="77">
        <f t="shared" ca="1" si="20"/>
        <v>142.52059037900884</v>
      </c>
      <c r="P75" s="77">
        <f t="shared" ca="1" si="20"/>
        <v>1598.486333819242</v>
      </c>
      <c r="Q75" s="77">
        <f t="shared" ca="1" si="20"/>
        <v>1766.6401239067059</v>
      </c>
      <c r="R75" s="77">
        <f t="shared" ca="1" si="20"/>
        <v>2008.6175291545187</v>
      </c>
      <c r="S75" s="77">
        <f t="shared" ca="1" si="20"/>
        <v>2273.1521501457728</v>
      </c>
      <c r="T75" s="77">
        <f t="shared" ca="1" si="20"/>
        <v>761.8186953352772</v>
      </c>
      <c r="U75" s="77">
        <f t="shared" ca="1" si="20"/>
        <v>2912.9568148688049</v>
      </c>
      <c r="V75" s="77">
        <f t="shared" ca="1" si="20"/>
        <v>13857.307762390672</v>
      </c>
      <c r="W75" s="78">
        <f t="shared" ca="1" si="20"/>
        <v>0</v>
      </c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spans="1:38" ht="15.75" thickTop="1" x14ac:dyDescent="0.25">
      <c r="A76" s="100" t="str">
        <f>A44</f>
        <v>Torre</v>
      </c>
      <c r="B76" s="101" t="s">
        <v>165</v>
      </c>
      <c r="C76" s="101" t="s">
        <v>184</v>
      </c>
      <c r="D76" s="101" t="s">
        <v>185</v>
      </c>
      <c r="E76" s="101" t="s">
        <v>52</v>
      </c>
      <c r="F76" s="102"/>
      <c r="G76" s="103"/>
      <c r="H76" s="104">
        <v>50</v>
      </c>
      <c r="I76" s="105">
        <v>76.84</v>
      </c>
      <c r="J76" s="105">
        <v>442.07</v>
      </c>
      <c r="K76" s="105"/>
      <c r="L76" s="105"/>
      <c r="M76" s="105"/>
      <c r="N76" s="105">
        <f ca="1">SUM(O76:W76)</f>
        <v>15226.472951085198</v>
      </c>
      <c r="O76" s="105">
        <f t="shared" ref="O76:W80" ca="1" si="21">O$5*$N76</f>
        <v>85.701317630419666</v>
      </c>
      <c r="P76" s="105">
        <f t="shared" ca="1" si="21"/>
        <v>961.21118119297955</v>
      </c>
      <c r="Q76" s="105">
        <f t="shared" ca="1" si="21"/>
        <v>1062.3264048720359</v>
      </c>
      <c r="R76" s="105">
        <f t="shared" ca="1" si="21"/>
        <v>1207.8336779711651</v>
      </c>
      <c r="S76" s="105">
        <f t="shared" ca="1" si="21"/>
        <v>1366.9051883930954</v>
      </c>
      <c r="T76" s="105">
        <f t="shared" ca="1" si="21"/>
        <v>458.10128776548038</v>
      </c>
      <c r="U76" s="105">
        <f t="shared" ca="1" si="21"/>
        <v>1751.6362833670653</v>
      </c>
      <c r="V76" s="106">
        <f t="shared" ca="1" si="21"/>
        <v>8332.7576098929567</v>
      </c>
      <c r="W76" s="107">
        <f t="shared" ca="1" si="21"/>
        <v>0</v>
      </c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spans="1:38" x14ac:dyDescent="0.25">
      <c r="A77" s="87" t="str">
        <f t="shared" ref="A77:A85" si="22">A76</f>
        <v>Torre</v>
      </c>
      <c r="B77" s="88" t="s">
        <v>165</v>
      </c>
      <c r="C77" s="88" t="s">
        <v>184</v>
      </c>
      <c r="D77" s="88" t="s">
        <v>185</v>
      </c>
      <c r="E77" s="88" t="s">
        <v>51</v>
      </c>
      <c r="F77" s="89" t="s">
        <v>186</v>
      </c>
      <c r="G77" s="90"/>
      <c r="H77" s="91">
        <v>50</v>
      </c>
      <c r="I77" s="92">
        <v>22.75</v>
      </c>
      <c r="J77" s="92">
        <v>212.09</v>
      </c>
      <c r="K77" s="92"/>
      <c r="L77" s="92"/>
      <c r="M77" s="92"/>
      <c r="N77" s="92">
        <f ca="1">SUM(O77:W77)</f>
        <v>6172.9238743116293</v>
      </c>
      <c r="O77" s="92">
        <f t="shared" ca="1" si="21"/>
        <v>34.743943089136586</v>
      </c>
      <c r="P77" s="92">
        <f t="shared" ca="1" si="21"/>
        <v>389.6820667335532</v>
      </c>
      <c r="Q77" s="92">
        <f t="shared" ca="1" si="21"/>
        <v>430.67492045023232</v>
      </c>
      <c r="R77" s="92">
        <f t="shared" ca="1" si="21"/>
        <v>489.66463677423388</v>
      </c>
      <c r="S77" s="92">
        <f t="shared" ca="1" si="21"/>
        <v>554.15339445047312</v>
      </c>
      <c r="T77" s="92">
        <f t="shared" ca="1" si="21"/>
        <v>185.71762385056451</v>
      </c>
      <c r="U77" s="92">
        <f t="shared" ca="1" si="21"/>
        <v>710.12620371393496</v>
      </c>
      <c r="V77" s="93">
        <f t="shared" ca="1" si="21"/>
        <v>3378.161085249501</v>
      </c>
      <c r="W77" s="94">
        <f t="shared" ca="1" si="21"/>
        <v>0</v>
      </c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spans="1:38" x14ac:dyDescent="0.25">
      <c r="A78" s="87" t="str">
        <f t="shared" si="22"/>
        <v>Torre</v>
      </c>
      <c r="B78" s="88" t="s">
        <v>165</v>
      </c>
      <c r="C78" s="88" t="s">
        <v>184</v>
      </c>
      <c r="D78" s="88" t="s">
        <v>185</v>
      </c>
      <c r="E78" s="88" t="s">
        <v>53</v>
      </c>
      <c r="F78" s="89"/>
      <c r="G78" s="90"/>
      <c r="H78" s="91">
        <v>50</v>
      </c>
      <c r="I78" s="92">
        <v>38.630000000000003</v>
      </c>
      <c r="J78" s="92">
        <v>326.77999999999997</v>
      </c>
      <c r="K78" s="92"/>
      <c r="L78" s="92"/>
      <c r="M78" s="92"/>
      <c r="N78" s="92">
        <f ca="1">SUM(O78:W78)</f>
        <v>5381.1603498542272</v>
      </c>
      <c r="O78" s="92">
        <f t="shared" ca="1" si="21"/>
        <v>30.287548130455868</v>
      </c>
      <c r="P78" s="92">
        <f t="shared" ca="1" si="21"/>
        <v>339.6999103264796</v>
      </c>
      <c r="Q78" s="92">
        <f t="shared" ca="1" si="21"/>
        <v>375.43485919982322</v>
      </c>
      <c r="R78" s="92">
        <f t="shared" ca="1" si="21"/>
        <v>426.85832221268339</v>
      </c>
      <c r="S78" s="92">
        <f t="shared" ca="1" si="21"/>
        <v>483.07549787928502</v>
      </c>
      <c r="T78" s="92">
        <f t="shared" ca="1" si="21"/>
        <v>161.89675007862371</v>
      </c>
      <c r="U78" s="92">
        <f t="shared" ca="1" si="21"/>
        <v>619.04262042176299</v>
      </c>
      <c r="V78" s="93">
        <f t="shared" ca="1" si="21"/>
        <v>2944.8648416051137</v>
      </c>
      <c r="W78" s="94">
        <f t="shared" ca="1" si="21"/>
        <v>0</v>
      </c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spans="1:38" x14ac:dyDescent="0.25">
      <c r="A79" s="87" t="str">
        <f t="shared" si="22"/>
        <v>Torre</v>
      </c>
      <c r="B79" s="88" t="s">
        <v>165</v>
      </c>
      <c r="C79" s="88" t="s">
        <v>184</v>
      </c>
      <c r="D79" s="88" t="s">
        <v>185</v>
      </c>
      <c r="E79" s="88" t="s">
        <v>167</v>
      </c>
      <c r="F79" s="89"/>
      <c r="G79" s="90"/>
      <c r="H79" s="91">
        <v>50</v>
      </c>
      <c r="I79" s="108"/>
      <c r="J79" s="109"/>
      <c r="K79" s="108"/>
      <c r="L79" s="108"/>
      <c r="M79" s="108"/>
      <c r="N79" s="92">
        <f ca="1">SUM(O79:W79)</f>
        <v>0</v>
      </c>
      <c r="O79" s="108">
        <f t="shared" ca="1" si="21"/>
        <v>0</v>
      </c>
      <c r="P79" s="108">
        <f t="shared" ca="1" si="21"/>
        <v>0</v>
      </c>
      <c r="Q79" s="108">
        <f t="shared" ca="1" si="21"/>
        <v>0</v>
      </c>
      <c r="R79" s="108">
        <f t="shared" ca="1" si="21"/>
        <v>0</v>
      </c>
      <c r="S79" s="108">
        <f t="shared" ca="1" si="21"/>
        <v>0</v>
      </c>
      <c r="T79" s="108">
        <f t="shared" ca="1" si="21"/>
        <v>0</v>
      </c>
      <c r="U79" s="108">
        <f t="shared" ca="1" si="21"/>
        <v>0</v>
      </c>
      <c r="V79" s="110">
        <f t="shared" ca="1" si="21"/>
        <v>0</v>
      </c>
      <c r="W79" s="111">
        <f t="shared" ca="1" si="21"/>
        <v>0</v>
      </c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spans="1:38" ht="15.75" thickBot="1" x14ac:dyDescent="0.3">
      <c r="A80" s="45" t="str">
        <f>A78</f>
        <v>Torre</v>
      </c>
      <c r="B80" s="46" t="s">
        <v>165</v>
      </c>
      <c r="C80" s="46" t="s">
        <v>184</v>
      </c>
      <c r="D80" s="46" t="s">
        <v>185</v>
      </c>
      <c r="E80" s="46" t="s">
        <v>54</v>
      </c>
      <c r="F80" s="47"/>
      <c r="G80" s="48"/>
      <c r="H80" s="91">
        <v>50</v>
      </c>
      <c r="I80" s="50">
        <f>((0.5816+0.5128)*1.2+0.1123*2.48)</f>
        <v>1.5917840000000001</v>
      </c>
      <c r="J80" s="50">
        <f>(0.5816+0.5128+(3.01+2.65)*1.2+3.1+3.2*1.2)*1</f>
        <v>14.8264</v>
      </c>
      <c r="K80" s="50"/>
      <c r="L80" s="50"/>
      <c r="M80" s="50"/>
      <c r="N80" s="50">
        <f ca="1">SUM(O80:W80)</f>
        <v>115.4428247489472</v>
      </c>
      <c r="O80" s="50">
        <f t="shared" ca="1" si="21"/>
        <v>0.64976322643762852</v>
      </c>
      <c r="P80" s="50">
        <f t="shared" ca="1" si="21"/>
        <v>7.287632158390374</v>
      </c>
      <c r="Q80" s="50">
        <f t="shared" ca="1" si="21"/>
        <v>8.0542592744750579</v>
      </c>
      <c r="R80" s="50">
        <f t="shared" ca="1" si="21"/>
        <v>9.1574543927432597</v>
      </c>
      <c r="S80" s="50">
        <f t="shared" ca="1" si="21"/>
        <v>10.363489733900874</v>
      </c>
      <c r="T80" s="50">
        <f t="shared" ca="1" si="21"/>
        <v>3.4731948003104867</v>
      </c>
      <c r="U80" s="50">
        <f t="shared" ca="1" si="21"/>
        <v>13.280412419491375</v>
      </c>
      <c r="V80" s="51">
        <f t="shared" ca="1" si="21"/>
        <v>63.176618743198155</v>
      </c>
      <c r="W80" s="52">
        <f t="shared" ca="1" si="21"/>
        <v>0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spans="1:38" ht="21" customHeight="1" thickTop="1" thickBot="1" x14ac:dyDescent="0.3">
      <c r="A81" s="70"/>
      <c r="B81" s="71"/>
      <c r="C81" s="71"/>
      <c r="D81" s="72" t="str">
        <f>"TOTAL - "&amp;UPPER(C80)</f>
        <v>TOTAL - TIPO DIFERENCIADO</v>
      </c>
      <c r="E81" s="73"/>
      <c r="F81" s="74"/>
      <c r="G81" s="75"/>
      <c r="H81" s="59"/>
      <c r="I81" s="77">
        <f>SUM(I76:I80)</f>
        <v>139.81178399999999</v>
      </c>
      <c r="J81" s="77">
        <f>SUM(J76:J80)</f>
        <v>995.76639999999998</v>
      </c>
      <c r="K81" s="77">
        <f t="shared" ref="K81:W81" si="23">SUM(K76:K80)</f>
        <v>0</v>
      </c>
      <c r="L81" s="77">
        <f t="shared" si="23"/>
        <v>0</v>
      </c>
      <c r="M81" s="77">
        <f t="shared" si="23"/>
        <v>0</v>
      </c>
      <c r="N81" s="77">
        <f t="shared" ca="1" si="23"/>
        <v>26896.000000000004</v>
      </c>
      <c r="O81" s="77">
        <f t="shared" ca="1" si="23"/>
        <v>151.38257207644975</v>
      </c>
      <c r="P81" s="77">
        <f t="shared" ca="1" si="23"/>
        <v>1697.8807904114026</v>
      </c>
      <c r="Q81" s="77">
        <f t="shared" ca="1" si="23"/>
        <v>1876.4904437965665</v>
      </c>
      <c r="R81" s="77">
        <f t="shared" ca="1" si="23"/>
        <v>2133.5140913508258</v>
      </c>
      <c r="S81" s="77">
        <f t="shared" ca="1" si="23"/>
        <v>2414.4975704567541</v>
      </c>
      <c r="T81" s="77">
        <f t="shared" ca="1" si="23"/>
        <v>809.18885649497906</v>
      </c>
      <c r="U81" s="77">
        <f t="shared" ca="1" si="23"/>
        <v>3094.0855199222547</v>
      </c>
      <c r="V81" s="77">
        <f t="shared" ca="1" si="23"/>
        <v>14718.960155490769</v>
      </c>
      <c r="W81" s="78">
        <f t="shared" ca="1" si="23"/>
        <v>0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spans="1:38" ht="15.75" thickTop="1" x14ac:dyDescent="0.25">
      <c r="A82" s="100" t="str">
        <f>A80</f>
        <v>Torre</v>
      </c>
      <c r="B82" s="101" t="s">
        <v>165</v>
      </c>
      <c r="C82" s="101" t="s">
        <v>187</v>
      </c>
      <c r="D82" s="101" t="s">
        <v>188</v>
      </c>
      <c r="E82" s="101" t="s">
        <v>52</v>
      </c>
      <c r="F82" s="102"/>
      <c r="G82" s="103"/>
      <c r="H82" s="104">
        <v>45</v>
      </c>
      <c r="I82" s="105">
        <v>73.73</v>
      </c>
      <c r="J82" s="105">
        <v>418.2</v>
      </c>
      <c r="K82" s="105">
        <f>J82*2</f>
        <v>836.4</v>
      </c>
      <c r="L82" s="105"/>
      <c r="M82" s="105"/>
      <c r="N82" s="105">
        <f ca="1">SUM(O82:W82)</f>
        <v>13690.578352769679</v>
      </c>
      <c r="O82" s="105">
        <f t="shared" ref="O82:W86" ca="1" si="24">O$5*$N82</f>
        <v>77.056624191568943</v>
      </c>
      <c r="P82" s="105">
        <f t="shared" ca="1" si="24"/>
        <v>864.25379219176909</v>
      </c>
      <c r="Q82" s="105">
        <f t="shared" ca="1" si="24"/>
        <v>955.1695214537641</v>
      </c>
      <c r="R82" s="105">
        <f t="shared" ca="1" si="24"/>
        <v>1085.9994733185858</v>
      </c>
      <c r="S82" s="105">
        <f t="shared" ca="1" si="24"/>
        <v>1229.0254376453829</v>
      </c>
      <c r="T82" s="105">
        <f t="shared" ca="1" si="24"/>
        <v>411.89260269306254</v>
      </c>
      <c r="U82" s="105">
        <f t="shared" ca="1" si="24"/>
        <v>1574.9487002032174</v>
      </c>
      <c r="V82" s="106">
        <f t="shared" ca="1" si="24"/>
        <v>7492.2322010723283</v>
      </c>
      <c r="W82" s="107">
        <f t="shared" ca="1" si="24"/>
        <v>0</v>
      </c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spans="1:38" x14ac:dyDescent="0.25">
      <c r="A83" s="87" t="str">
        <f t="shared" si="22"/>
        <v>Torre</v>
      </c>
      <c r="B83" s="88" t="s">
        <v>165</v>
      </c>
      <c r="C83" s="88" t="s">
        <v>187</v>
      </c>
      <c r="D83" s="88" t="s">
        <v>188</v>
      </c>
      <c r="E83" s="88" t="s">
        <v>51</v>
      </c>
      <c r="F83" s="89" t="s">
        <v>189</v>
      </c>
      <c r="G83" s="90"/>
      <c r="H83" s="91">
        <v>45</v>
      </c>
      <c r="I83" s="92">
        <v>21.475000000000001</v>
      </c>
      <c r="J83" s="92">
        <v>202.02500000000001</v>
      </c>
      <c r="K83" s="92">
        <f>J83*2</f>
        <v>404.05</v>
      </c>
      <c r="L83" s="92"/>
      <c r="M83" s="92"/>
      <c r="N83" s="92">
        <f ca="1">SUM(O83:W83)</f>
        <v>5550.260932944605</v>
      </c>
      <c r="O83" s="92">
        <f t="shared" ca="1" si="24"/>
        <v>31.239320929676897</v>
      </c>
      <c r="P83" s="92">
        <f t="shared" ca="1" si="24"/>
        <v>350.37482970767081</v>
      </c>
      <c r="Q83" s="92">
        <f t="shared" ca="1" si="24"/>
        <v>387.23273353836879</v>
      </c>
      <c r="R83" s="92">
        <f t="shared" ca="1" si="24"/>
        <v>440.2721561240071</v>
      </c>
      <c r="S83" s="92">
        <f t="shared" ca="1" si="24"/>
        <v>498.25593166254413</v>
      </c>
      <c r="T83" s="92">
        <f t="shared" ca="1" si="24"/>
        <v>166.98428381834475</v>
      </c>
      <c r="U83" s="92">
        <f t="shared" ca="1" si="24"/>
        <v>638.49576087202877</v>
      </c>
      <c r="V83" s="93">
        <f t="shared" ca="1" si="24"/>
        <v>3037.4059162919639</v>
      </c>
      <c r="W83" s="94">
        <f t="shared" ca="1" si="24"/>
        <v>0</v>
      </c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spans="1:38" x14ac:dyDescent="0.25">
      <c r="A84" s="87" t="str">
        <f t="shared" si="22"/>
        <v>Torre</v>
      </c>
      <c r="B84" s="88" t="s">
        <v>165</v>
      </c>
      <c r="C84" s="88" t="s">
        <v>187</v>
      </c>
      <c r="D84" s="88" t="s">
        <v>188</v>
      </c>
      <c r="E84" s="88" t="s">
        <v>53</v>
      </c>
      <c r="F84" s="89"/>
      <c r="G84" s="90"/>
      <c r="H84" s="91">
        <v>45</v>
      </c>
      <c r="I84" s="92">
        <v>30.875</v>
      </c>
      <c r="J84" s="92">
        <v>266.63749999999999</v>
      </c>
      <c r="K84" s="92">
        <f>J84*2</f>
        <v>533.27499999999998</v>
      </c>
      <c r="L84" s="92"/>
      <c r="M84" s="92"/>
      <c r="N84" s="92">
        <f ca="1">SUM(O84:W84)</f>
        <v>4838.3626093294451</v>
      </c>
      <c r="O84" s="92">
        <f t="shared" ca="1" si="24"/>
        <v>27.23244261000945</v>
      </c>
      <c r="P84" s="92">
        <f t="shared" ca="1" si="24"/>
        <v>305.43437430938633</v>
      </c>
      <c r="Q84" s="92">
        <f t="shared" ca="1" si="24"/>
        <v>337.56473825213129</v>
      </c>
      <c r="R84" s="92">
        <f t="shared" ca="1" si="24"/>
        <v>383.80111563315438</v>
      </c>
      <c r="S84" s="92">
        <f t="shared" ca="1" si="24"/>
        <v>434.34766378698498</v>
      </c>
      <c r="T84" s="92">
        <f t="shared" ca="1" si="24"/>
        <v>145.56622200889933</v>
      </c>
      <c r="U84" s="92">
        <f t="shared" ca="1" si="24"/>
        <v>556.59978025206317</v>
      </c>
      <c r="V84" s="93">
        <f t="shared" ca="1" si="24"/>
        <v>2647.8162724768163</v>
      </c>
      <c r="W84" s="94">
        <f t="shared" ca="1" si="24"/>
        <v>0</v>
      </c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spans="1:38" x14ac:dyDescent="0.25">
      <c r="A85" s="87" t="str">
        <f t="shared" si="22"/>
        <v>Torre</v>
      </c>
      <c r="B85" s="88" t="s">
        <v>165</v>
      </c>
      <c r="C85" s="88" t="s">
        <v>187</v>
      </c>
      <c r="D85" s="88" t="s">
        <v>188</v>
      </c>
      <c r="E85" s="88" t="s">
        <v>190</v>
      </c>
      <c r="F85" s="89"/>
      <c r="G85" s="90"/>
      <c r="H85" s="91">
        <v>45</v>
      </c>
      <c r="I85" s="92">
        <v>0</v>
      </c>
      <c r="J85" s="92">
        <v>0</v>
      </c>
      <c r="K85" s="92">
        <f>J85*2</f>
        <v>0</v>
      </c>
      <c r="L85" s="92"/>
      <c r="M85" s="92"/>
      <c r="N85" s="92">
        <f ca="1">SUM(O85:W85)</f>
        <v>0</v>
      </c>
      <c r="O85" s="92">
        <f t="shared" ca="1" si="24"/>
        <v>0</v>
      </c>
      <c r="P85" s="92">
        <f t="shared" ca="1" si="24"/>
        <v>0</v>
      </c>
      <c r="Q85" s="92">
        <f t="shared" ca="1" si="24"/>
        <v>0</v>
      </c>
      <c r="R85" s="92">
        <f t="shared" ca="1" si="24"/>
        <v>0</v>
      </c>
      <c r="S85" s="92">
        <f t="shared" ca="1" si="24"/>
        <v>0</v>
      </c>
      <c r="T85" s="92">
        <f t="shared" ca="1" si="24"/>
        <v>0</v>
      </c>
      <c r="U85" s="92">
        <f t="shared" ca="1" si="24"/>
        <v>0</v>
      </c>
      <c r="V85" s="93">
        <f t="shared" ca="1" si="24"/>
        <v>0</v>
      </c>
      <c r="W85" s="94">
        <f t="shared" ca="1" si="24"/>
        <v>0</v>
      </c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spans="1:38" ht="15.75" thickBot="1" x14ac:dyDescent="0.3">
      <c r="A86" s="45" t="str">
        <f>A84</f>
        <v>Torre</v>
      </c>
      <c r="B86" s="46" t="s">
        <v>165</v>
      </c>
      <c r="C86" s="46" t="s">
        <v>187</v>
      </c>
      <c r="D86" s="46" t="s">
        <v>188</v>
      </c>
      <c r="E86" s="46" t="s">
        <v>54</v>
      </c>
      <c r="F86" s="47"/>
      <c r="G86" s="48"/>
      <c r="H86" s="91">
        <v>45</v>
      </c>
      <c r="I86" s="50">
        <v>0.19897300000000001</v>
      </c>
      <c r="J86" s="50">
        <v>1.8532999999999999</v>
      </c>
      <c r="K86" s="50">
        <f>J86*2</f>
        <v>3.7065999999999999</v>
      </c>
      <c r="L86" s="50"/>
      <c r="M86" s="50"/>
      <c r="N86" s="50">
        <f ca="1">SUM(O86:W86)</f>
        <v>103.79810495626819</v>
      </c>
      <c r="O86" s="50">
        <f t="shared" ca="1" si="24"/>
        <v>0.58422159819085229</v>
      </c>
      <c r="P86" s="50">
        <f t="shared" ca="1" si="24"/>
        <v>6.552528572514662</v>
      </c>
      <c r="Q86" s="50">
        <f t="shared" ca="1" si="24"/>
        <v>7.2418259977182577</v>
      </c>
      <c r="R86" s="50">
        <f t="shared" ca="1" si="24"/>
        <v>8.2337418047185515</v>
      </c>
      <c r="S86" s="50">
        <f t="shared" ca="1" si="24"/>
        <v>9.3181243394900619</v>
      </c>
      <c r="T86" s="50">
        <f t="shared" ca="1" si="24"/>
        <v>3.1228535788187268</v>
      </c>
      <c r="U86" s="50">
        <f t="shared" ca="1" si="24"/>
        <v>11.940816981728132</v>
      </c>
      <c r="V86" s="51">
        <f t="shared" ca="1" si="24"/>
        <v>56.80399208308895</v>
      </c>
      <c r="W86" s="52">
        <f t="shared" ca="1" si="24"/>
        <v>0</v>
      </c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spans="1:38" ht="21" customHeight="1" thickTop="1" thickBot="1" x14ac:dyDescent="0.3">
      <c r="A87" s="70"/>
      <c r="B87" s="71"/>
      <c r="C87" s="71"/>
      <c r="D87" s="72" t="str">
        <f>"TOTAL - "&amp;UPPER(C86)</f>
        <v>TOTAL - TIPO - 8X</v>
      </c>
      <c r="E87" s="73"/>
      <c r="F87" s="74"/>
      <c r="G87" s="75"/>
      <c r="H87" s="59"/>
      <c r="I87" s="77">
        <f t="shared" ref="I87:W87" si="25">SUM(I82:I86)</f>
        <v>126.27897300000001</v>
      </c>
      <c r="J87" s="77">
        <f t="shared" si="25"/>
        <v>888.71579999999994</v>
      </c>
      <c r="K87" s="77">
        <f t="shared" si="25"/>
        <v>1777.4315999999999</v>
      </c>
      <c r="L87" s="77">
        <f t="shared" si="25"/>
        <v>0</v>
      </c>
      <c r="M87" s="77">
        <f t="shared" si="25"/>
        <v>0</v>
      </c>
      <c r="N87" s="77">
        <f t="shared" ca="1" si="25"/>
        <v>24182.999999999996</v>
      </c>
      <c r="O87" s="77">
        <f t="shared" ca="1" si="25"/>
        <v>136.11260932944614</v>
      </c>
      <c r="P87" s="77">
        <f t="shared" ca="1" si="25"/>
        <v>1526.6155247813408</v>
      </c>
      <c r="Q87" s="77">
        <f t="shared" ca="1" si="25"/>
        <v>1687.2088192419824</v>
      </c>
      <c r="R87" s="77">
        <f t="shared" ca="1" si="25"/>
        <v>1918.3064868804659</v>
      </c>
      <c r="S87" s="77">
        <f t="shared" ca="1" si="25"/>
        <v>2170.947157434402</v>
      </c>
      <c r="T87" s="77">
        <f t="shared" ca="1" si="25"/>
        <v>727.56596209912539</v>
      </c>
      <c r="U87" s="77">
        <f t="shared" ca="1" si="25"/>
        <v>2781.9850583090374</v>
      </c>
      <c r="V87" s="77">
        <f t="shared" ca="1" si="25"/>
        <v>13234.258381924195</v>
      </c>
      <c r="W87" s="78">
        <f t="shared" ca="1" si="25"/>
        <v>0</v>
      </c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spans="1:38" ht="15.75" thickTop="1" x14ac:dyDescent="0.25">
      <c r="A88" s="100" t="str">
        <f>A86</f>
        <v>Torre</v>
      </c>
      <c r="B88" s="101" t="s">
        <v>165</v>
      </c>
      <c r="C88" s="101" t="s">
        <v>187</v>
      </c>
      <c r="D88" s="101" t="s">
        <v>191</v>
      </c>
      <c r="E88" s="101" t="s">
        <v>52</v>
      </c>
      <c r="F88" s="102"/>
      <c r="G88" s="103"/>
      <c r="H88" s="104">
        <v>45</v>
      </c>
      <c r="I88" s="105">
        <v>73.73</v>
      </c>
      <c r="J88" s="105">
        <v>418.2</v>
      </c>
      <c r="K88" s="105"/>
      <c r="L88" s="105"/>
      <c r="M88" s="105"/>
      <c r="N88" s="105">
        <v>12908.194889860704</v>
      </c>
      <c r="O88" s="105">
        <f t="shared" ref="O88:W98" ca="1" si="26">O$5*$N88</f>
        <v>72.653024363890481</v>
      </c>
      <c r="P88" s="105">
        <f t="shared" ca="1" si="26"/>
        <v>814.86377685831053</v>
      </c>
      <c r="Q88" s="105">
        <f t="shared" ca="1" si="26"/>
        <v>900.58389193513096</v>
      </c>
      <c r="R88" s="105">
        <f t="shared" ca="1" si="26"/>
        <v>1023.9372282651893</v>
      </c>
      <c r="S88" s="105">
        <f t="shared" ca="1" si="26"/>
        <v>1158.7896044226266</v>
      </c>
      <c r="T88" s="105">
        <f t="shared" ca="1" si="26"/>
        <v>388.35393598827761</v>
      </c>
      <c r="U88" s="105">
        <f t="shared" ca="1" si="26"/>
        <v>1484.9441886173574</v>
      </c>
      <c r="V88" s="106">
        <f t="shared" ca="1" si="26"/>
        <v>7064.0692394099215</v>
      </c>
      <c r="W88" s="107">
        <f t="shared" ca="1" si="26"/>
        <v>0</v>
      </c>
      <c r="X88" s="116">
        <v>0.56612406867508902</v>
      </c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spans="1:38" x14ac:dyDescent="0.25">
      <c r="A89" s="87" t="str">
        <f>A88</f>
        <v>Torre</v>
      </c>
      <c r="B89" s="88" t="s">
        <v>165</v>
      </c>
      <c r="C89" s="88" t="s">
        <v>187</v>
      </c>
      <c r="D89" s="88" t="s">
        <v>191</v>
      </c>
      <c r="E89" s="88" t="s">
        <v>51</v>
      </c>
      <c r="F89" s="89" t="s">
        <v>189</v>
      </c>
      <c r="G89" s="90"/>
      <c r="H89" s="91">
        <v>45</v>
      </c>
      <c r="I89" s="92">
        <v>21.475000000000001</v>
      </c>
      <c r="J89" s="92">
        <v>202.02500000000001</v>
      </c>
      <c r="K89" s="92"/>
      <c r="L89" s="92"/>
      <c r="M89" s="92"/>
      <c r="N89" s="92">
        <v>5233.0769355361181</v>
      </c>
      <c r="O89" s="92">
        <f t="shared" ca="1" si="26"/>
        <v>29.454069243582804</v>
      </c>
      <c r="P89" s="92">
        <f t="shared" ca="1" si="26"/>
        <v>330.35175504133497</v>
      </c>
      <c r="Q89" s="92">
        <f t="shared" ca="1" si="26"/>
        <v>365.10331875318803</v>
      </c>
      <c r="R89" s="92">
        <f t="shared" ca="1" si="26"/>
        <v>415.11166653365945</v>
      </c>
      <c r="S89" s="92">
        <f t="shared" ca="1" si="26"/>
        <v>469.78180944620885</v>
      </c>
      <c r="T89" s="92">
        <f t="shared" ca="1" si="26"/>
        <v>157.44153559699288</v>
      </c>
      <c r="U89" s="92">
        <f t="shared" ca="1" si="26"/>
        <v>602.00727137423519</v>
      </c>
      <c r="V89" s="93">
        <f t="shared" ca="1" si="26"/>
        <v>2863.8255095469162</v>
      </c>
      <c r="W89" s="94">
        <f t="shared" ca="1" si="26"/>
        <v>0</v>
      </c>
      <c r="X89" s="116">
        <v>0.22951085195983151</v>
      </c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spans="1:38" x14ac:dyDescent="0.25">
      <c r="A90" s="87" t="str">
        <f>A89</f>
        <v>Torre</v>
      </c>
      <c r="B90" s="88" t="s">
        <v>165</v>
      </c>
      <c r="C90" s="88" t="s">
        <v>187</v>
      </c>
      <c r="D90" s="88" t="s">
        <v>191</v>
      </c>
      <c r="E90" s="88" t="s">
        <v>53</v>
      </c>
      <c r="F90" s="89"/>
      <c r="G90" s="90"/>
      <c r="H90" s="91">
        <v>45</v>
      </c>
      <c r="I90" s="92">
        <v>30.875</v>
      </c>
      <c r="J90" s="92">
        <v>266.63749999999999</v>
      </c>
      <c r="K90" s="92"/>
      <c r="L90" s="92"/>
      <c r="M90" s="92"/>
      <c r="N90" s="92">
        <v>4561.8618804664711</v>
      </c>
      <c r="O90" s="92">
        <f t="shared" ca="1" si="26"/>
        <v>25.676174335310979</v>
      </c>
      <c r="P90" s="92">
        <f t="shared" ca="1" si="26"/>
        <v>287.97953804855962</v>
      </c>
      <c r="Q90" s="92">
        <f t="shared" ca="1" si="26"/>
        <v>318.27372935065313</v>
      </c>
      <c r="R90" s="92">
        <f t="shared" ca="1" si="26"/>
        <v>361.86780951708033</v>
      </c>
      <c r="S90" s="92">
        <f t="shared" ca="1" si="26"/>
        <v>409.52574461427628</v>
      </c>
      <c r="T90" s="92">
        <f t="shared" ca="1" si="26"/>
        <v>137.24746425277732</v>
      </c>
      <c r="U90" s="92">
        <f t="shared" ca="1" si="26"/>
        <v>524.79144810516857</v>
      </c>
      <c r="V90" s="93">
        <f t="shared" ca="1" si="26"/>
        <v>2496.4999722426451</v>
      </c>
      <c r="W90" s="94">
        <f t="shared" ca="1" si="26"/>
        <v>0</v>
      </c>
      <c r="X90" s="116">
        <v>0.20007288629737605</v>
      </c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spans="1:38" x14ac:dyDescent="0.25">
      <c r="A91" s="87" t="str">
        <f>A90</f>
        <v>Torre</v>
      </c>
      <c r="B91" s="88" t="s">
        <v>165</v>
      </c>
      <c r="C91" s="88" t="s">
        <v>187</v>
      </c>
      <c r="D91" s="88" t="s">
        <v>191</v>
      </c>
      <c r="E91" s="88" t="s">
        <v>190</v>
      </c>
      <c r="F91" s="89"/>
      <c r="G91" s="90"/>
      <c r="H91" s="91">
        <v>45</v>
      </c>
      <c r="I91" s="92">
        <v>0</v>
      </c>
      <c r="J91" s="92">
        <v>0</v>
      </c>
      <c r="K91" s="92"/>
      <c r="L91" s="92"/>
      <c r="M91" s="92"/>
      <c r="N91" s="92">
        <v>0</v>
      </c>
      <c r="O91" s="108">
        <f t="shared" ca="1" si="26"/>
        <v>0</v>
      </c>
      <c r="P91" s="108">
        <f t="shared" ca="1" si="26"/>
        <v>0</v>
      </c>
      <c r="Q91" s="108">
        <f t="shared" ca="1" si="26"/>
        <v>0</v>
      </c>
      <c r="R91" s="108">
        <f t="shared" ca="1" si="26"/>
        <v>0</v>
      </c>
      <c r="S91" s="108">
        <f t="shared" ca="1" si="26"/>
        <v>0</v>
      </c>
      <c r="T91" s="108">
        <f t="shared" ca="1" si="26"/>
        <v>0</v>
      </c>
      <c r="U91" s="108">
        <f t="shared" ca="1" si="26"/>
        <v>0</v>
      </c>
      <c r="V91" s="110">
        <f t="shared" ca="1" si="26"/>
        <v>0</v>
      </c>
      <c r="W91" s="111">
        <f t="shared" ca="1" si="26"/>
        <v>0</v>
      </c>
      <c r="X91" s="116">
        <v>0</v>
      </c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spans="1:38" ht="15.75" thickBot="1" x14ac:dyDescent="0.3">
      <c r="A92" s="45" t="str">
        <f>A90</f>
        <v>Torre</v>
      </c>
      <c r="B92" s="46" t="s">
        <v>165</v>
      </c>
      <c r="C92" s="46" t="s">
        <v>187</v>
      </c>
      <c r="D92" s="46" t="s">
        <v>191</v>
      </c>
      <c r="E92" s="46" t="s">
        <v>54</v>
      </c>
      <c r="F92" s="47"/>
      <c r="G92" s="48"/>
      <c r="H92" s="91">
        <v>45</v>
      </c>
      <c r="I92" s="50">
        <v>0.19897300000000001</v>
      </c>
      <c r="J92" s="50">
        <v>1.8532999999999999</v>
      </c>
      <c r="K92" s="50"/>
      <c r="L92" s="50"/>
      <c r="M92" s="50"/>
      <c r="N92" s="50">
        <v>97.86629413670228</v>
      </c>
      <c r="O92" s="50">
        <f t="shared" ca="1" si="26"/>
        <v>0.55083474591033477</v>
      </c>
      <c r="P92" s="50">
        <f t="shared" ca="1" si="26"/>
        <v>6.1780674019727426</v>
      </c>
      <c r="Q92" s="50">
        <f t="shared" ca="1" si="26"/>
        <v>6.8279731453489649</v>
      </c>
      <c r="R92" s="50">
        <f t="shared" ca="1" si="26"/>
        <v>7.7632033614269407</v>
      </c>
      <c r="S92" s="50">
        <f t="shared" ca="1" si="26"/>
        <v>8.7856160552749021</v>
      </c>
      <c r="T92" s="50">
        <f t="shared" ca="1" si="26"/>
        <v>2.9443900446861759</v>
      </c>
      <c r="U92" s="50">
        <f t="shared" ca="1" si="26"/>
        <v>11.258428152023452</v>
      </c>
      <c r="V92" s="51">
        <f t="shared" ca="1" si="26"/>
        <v>53.557781230058772</v>
      </c>
      <c r="W92" s="52">
        <f t="shared" ca="1" si="26"/>
        <v>0</v>
      </c>
      <c r="X92" s="116">
        <v>4.2921930677032706E-3</v>
      </c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spans="1:38" ht="21" customHeight="1" thickTop="1" thickBot="1" x14ac:dyDescent="0.3">
      <c r="A93" s="70"/>
      <c r="B93" s="71"/>
      <c r="C93" s="71"/>
      <c r="D93" s="72" t="str">
        <f>"TOTAL - "&amp;UPPER(C92)</f>
        <v>TOTAL - TIPO - 8X</v>
      </c>
      <c r="E93" s="73"/>
      <c r="F93" s="74"/>
      <c r="G93" s="75"/>
      <c r="H93" s="59"/>
      <c r="I93" s="77">
        <f t="shared" ref="I93:W93" si="27">SUM(I88:I92)</f>
        <v>126.27897300000001</v>
      </c>
      <c r="J93" s="77">
        <f t="shared" si="27"/>
        <v>888.71579999999994</v>
      </c>
      <c r="K93" s="77">
        <f t="shared" si="27"/>
        <v>0</v>
      </c>
      <c r="L93" s="77">
        <f t="shared" si="27"/>
        <v>0</v>
      </c>
      <c r="M93" s="77">
        <f t="shared" si="27"/>
        <v>0</v>
      </c>
      <c r="N93" s="77">
        <f>SUM(N88:N92)</f>
        <v>22800.999999999996</v>
      </c>
      <c r="O93" s="77">
        <f t="shared" ca="1" si="27"/>
        <v>128.3341026886946</v>
      </c>
      <c r="P93" s="77">
        <f t="shared" ca="1" si="27"/>
        <v>1439.373137350178</v>
      </c>
      <c r="Q93" s="77">
        <f t="shared" ca="1" si="27"/>
        <v>1590.7889131843212</v>
      </c>
      <c r="R93" s="77">
        <f t="shared" ca="1" si="27"/>
        <v>1808.6799076773561</v>
      </c>
      <c r="S93" s="77">
        <f t="shared" ca="1" si="27"/>
        <v>2046.8827745383867</v>
      </c>
      <c r="T93" s="77">
        <f t="shared" ca="1" si="27"/>
        <v>685.9873258827339</v>
      </c>
      <c r="U93" s="77">
        <f t="shared" ca="1" si="27"/>
        <v>2623.0013362487848</v>
      </c>
      <c r="V93" s="77">
        <f t="shared" ca="1" si="27"/>
        <v>12477.952502429542</v>
      </c>
      <c r="W93" s="78">
        <f t="shared" ca="1" si="27"/>
        <v>0</v>
      </c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spans="1:38" ht="15.75" thickTop="1" x14ac:dyDescent="0.25">
      <c r="A94" s="100" t="str">
        <f>A92</f>
        <v>Torre</v>
      </c>
      <c r="B94" s="101" t="s">
        <v>165</v>
      </c>
      <c r="C94" s="101" t="s">
        <v>187</v>
      </c>
      <c r="D94" s="101" t="s">
        <v>192</v>
      </c>
      <c r="E94" s="101" t="s">
        <v>52</v>
      </c>
      <c r="F94" s="102"/>
      <c r="G94" s="103"/>
      <c r="H94" s="104">
        <v>45</v>
      </c>
      <c r="I94" s="105">
        <v>73.73</v>
      </c>
      <c r="J94" s="105">
        <v>418.2</v>
      </c>
      <c r="K94" s="105"/>
      <c r="L94" s="105"/>
      <c r="M94" s="105"/>
      <c r="N94" s="105">
        <v>12296.214771622934</v>
      </c>
      <c r="O94" s="105">
        <f t="shared" ca="1" si="26"/>
        <v>69.208529853238943</v>
      </c>
      <c r="P94" s="105">
        <f t="shared" ca="1" si="26"/>
        <v>776.23092115970815</v>
      </c>
      <c r="Q94" s="105">
        <f t="shared" ca="1" si="26"/>
        <v>857.88702832468073</v>
      </c>
      <c r="R94" s="105">
        <f t="shared" ca="1" si="26"/>
        <v>975.3921581474458</v>
      </c>
      <c r="S94" s="105">
        <f t="shared" ca="1" si="26"/>
        <v>1103.851156004537</v>
      </c>
      <c r="T94" s="105">
        <f t="shared" ca="1" si="26"/>
        <v>369.94199770472306</v>
      </c>
      <c r="U94" s="105">
        <f t="shared" ca="1" si="26"/>
        <v>1414.5426857054078</v>
      </c>
      <c r="V94" s="106">
        <f t="shared" ca="1" si="26"/>
        <v>6729.1602947231922</v>
      </c>
      <c r="W94" s="107">
        <f t="shared" ca="1" si="26"/>
        <v>0</v>
      </c>
      <c r="X94" s="116">
        <v>0.56612406867508902</v>
      </c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spans="1:38" x14ac:dyDescent="0.25">
      <c r="A95" s="87" t="str">
        <f>A94</f>
        <v>Torre</v>
      </c>
      <c r="B95" s="88" t="s">
        <v>165</v>
      </c>
      <c r="C95" s="88" t="s">
        <v>187</v>
      </c>
      <c r="D95" s="88" t="s">
        <v>192</v>
      </c>
      <c r="E95" s="88" t="s">
        <v>51</v>
      </c>
      <c r="F95" s="89" t="s">
        <v>189</v>
      </c>
      <c r="G95" s="90"/>
      <c r="H95" s="91">
        <v>45</v>
      </c>
      <c r="I95" s="92">
        <v>21.475000000000001</v>
      </c>
      <c r="J95" s="92">
        <v>202.02500000000001</v>
      </c>
      <c r="K95" s="92"/>
      <c r="L95" s="92"/>
      <c r="M95" s="92"/>
      <c r="N95" s="92">
        <v>4984.9757045675406</v>
      </c>
      <c r="O95" s="92">
        <f t="shared" ca="1" si="26"/>
        <v>28.057645891435399</v>
      </c>
      <c r="P95" s="92">
        <f t="shared" ca="1" si="26"/>
        <v>314.68971183271765</v>
      </c>
      <c r="Q95" s="92">
        <f t="shared" ca="1" si="26"/>
        <v>347.79369691326013</v>
      </c>
      <c r="R95" s="92">
        <f t="shared" ca="1" si="26"/>
        <v>395.43113885843093</v>
      </c>
      <c r="S95" s="92">
        <f t="shared" ca="1" si="26"/>
        <v>447.50935929001611</v>
      </c>
      <c r="T95" s="92">
        <f t="shared" ca="1" si="26"/>
        <v>149.97720070026253</v>
      </c>
      <c r="U95" s="92">
        <f t="shared" ca="1" si="26"/>
        <v>573.46598545012887</v>
      </c>
      <c r="V95" s="93">
        <f t="shared" ca="1" si="26"/>
        <v>2728.0509656312893</v>
      </c>
      <c r="W95" s="94">
        <f t="shared" ca="1" si="26"/>
        <v>0</v>
      </c>
      <c r="X95" s="116">
        <v>0.22951085195983151</v>
      </c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spans="1:38" x14ac:dyDescent="0.25">
      <c r="A96" s="87" t="str">
        <f>A95</f>
        <v>Torre</v>
      </c>
      <c r="B96" s="88" t="s">
        <v>165</v>
      </c>
      <c r="C96" s="88" t="s">
        <v>187</v>
      </c>
      <c r="D96" s="88" t="s">
        <v>192</v>
      </c>
      <c r="E96" s="88" t="s">
        <v>53</v>
      </c>
      <c r="F96" s="89"/>
      <c r="G96" s="90"/>
      <c r="H96" s="91">
        <v>45</v>
      </c>
      <c r="I96" s="92">
        <v>30.875</v>
      </c>
      <c r="J96" s="92">
        <v>266.63749999999999</v>
      </c>
      <c r="K96" s="92"/>
      <c r="L96" s="92"/>
      <c r="M96" s="92"/>
      <c r="N96" s="92">
        <v>4345.5830903790074</v>
      </c>
      <c r="O96" s="92">
        <f t="shared" ca="1" si="26"/>
        <v>24.458861741281279</v>
      </c>
      <c r="P96" s="92">
        <f t="shared" ca="1" si="26"/>
        <v>274.32637017739199</v>
      </c>
      <c r="Q96" s="92">
        <f t="shared" ca="1" si="26"/>
        <v>303.18430777142169</v>
      </c>
      <c r="R96" s="92">
        <f t="shared" ca="1" si="26"/>
        <v>344.71158382136679</v>
      </c>
      <c r="S96" s="92">
        <f t="shared" ca="1" si="26"/>
        <v>390.11004662173065</v>
      </c>
      <c r="T96" s="92">
        <f t="shared" ca="1" si="26"/>
        <v>130.74053434368329</v>
      </c>
      <c r="U96" s="92">
        <f t="shared" ca="1" si="26"/>
        <v>499.91097990633136</v>
      </c>
      <c r="V96" s="93">
        <f t="shared" ca="1" si="26"/>
        <v>2378.1404059958004</v>
      </c>
      <c r="W96" s="94">
        <f t="shared" ca="1" si="26"/>
        <v>0</v>
      </c>
      <c r="X96" s="116">
        <v>0.20007288629737605</v>
      </c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spans="1:38" x14ac:dyDescent="0.25">
      <c r="A97" s="87" t="str">
        <f>A96</f>
        <v>Torre</v>
      </c>
      <c r="B97" s="88" t="s">
        <v>165</v>
      </c>
      <c r="C97" s="88" t="s">
        <v>187</v>
      </c>
      <c r="D97" s="88" t="s">
        <v>192</v>
      </c>
      <c r="E97" s="88" t="s">
        <v>190</v>
      </c>
      <c r="F97" s="89"/>
      <c r="G97" s="90"/>
      <c r="H97" s="91">
        <v>45</v>
      </c>
      <c r="I97" s="92">
        <v>0</v>
      </c>
      <c r="J97" s="92">
        <v>0</v>
      </c>
      <c r="K97" s="92"/>
      <c r="L97" s="92"/>
      <c r="M97" s="92"/>
      <c r="N97" s="92">
        <v>0</v>
      </c>
      <c r="O97" s="108">
        <f t="shared" ca="1" si="26"/>
        <v>0</v>
      </c>
      <c r="P97" s="108">
        <f t="shared" ca="1" si="26"/>
        <v>0</v>
      </c>
      <c r="Q97" s="108">
        <f t="shared" ca="1" si="26"/>
        <v>0</v>
      </c>
      <c r="R97" s="108">
        <f t="shared" ca="1" si="26"/>
        <v>0</v>
      </c>
      <c r="S97" s="108">
        <f t="shared" ca="1" si="26"/>
        <v>0</v>
      </c>
      <c r="T97" s="108">
        <f t="shared" ca="1" si="26"/>
        <v>0</v>
      </c>
      <c r="U97" s="108">
        <f t="shared" ca="1" si="26"/>
        <v>0</v>
      </c>
      <c r="V97" s="110">
        <f t="shared" ca="1" si="26"/>
        <v>0</v>
      </c>
      <c r="W97" s="111">
        <f t="shared" ca="1" si="26"/>
        <v>0</v>
      </c>
      <c r="X97" s="116">
        <v>0</v>
      </c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spans="1:38" ht="15.75" thickBot="1" x14ac:dyDescent="0.3">
      <c r="A98" s="45" t="str">
        <f>A96</f>
        <v>Torre</v>
      </c>
      <c r="B98" s="46" t="s">
        <v>165</v>
      </c>
      <c r="C98" s="46" t="s">
        <v>187</v>
      </c>
      <c r="D98" s="46" t="s">
        <v>192</v>
      </c>
      <c r="E98" s="46" t="s">
        <v>54</v>
      </c>
      <c r="F98" s="47"/>
      <c r="G98" s="48"/>
      <c r="H98" s="91">
        <v>45</v>
      </c>
      <c r="I98" s="50">
        <v>0.19897300000000001</v>
      </c>
      <c r="J98" s="50">
        <v>1.8532999999999999</v>
      </c>
      <c r="K98" s="50"/>
      <c r="L98" s="50"/>
      <c r="M98" s="50"/>
      <c r="N98" s="50">
        <v>93.226433430515044</v>
      </c>
      <c r="O98" s="50">
        <f t="shared" ca="1" si="26"/>
        <v>0.52471955971985751</v>
      </c>
      <c r="P98" s="50">
        <f t="shared" ca="1" si="26"/>
        <v>5.8851639827572457</v>
      </c>
      <c r="Q98" s="50">
        <f t="shared" ca="1" si="26"/>
        <v>6.5042575640094524</v>
      </c>
      <c r="R98" s="50">
        <f t="shared" ca="1" si="26"/>
        <v>7.3951483272748195</v>
      </c>
      <c r="S98" s="50">
        <f t="shared" ca="1" si="26"/>
        <v>8.369088229488657</v>
      </c>
      <c r="T98" s="50">
        <f t="shared" ca="1" si="26"/>
        <v>2.804795919941395</v>
      </c>
      <c r="U98" s="50">
        <f t="shared" ca="1" si="26"/>
        <v>10.724663806936071</v>
      </c>
      <c r="V98" s="51">
        <f t="shared" ca="1" si="26"/>
        <v>51.01859604038755</v>
      </c>
      <c r="W98" s="52">
        <f t="shared" ca="1" si="26"/>
        <v>0</v>
      </c>
      <c r="X98" s="116">
        <v>4.2921930677032706E-3</v>
      </c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spans="1:38" ht="21" customHeight="1" thickTop="1" thickBot="1" x14ac:dyDescent="0.3">
      <c r="A99" s="70"/>
      <c r="B99" s="71"/>
      <c r="C99" s="71"/>
      <c r="D99" s="72" t="str">
        <f>"TOTAL - "&amp;UPPER(C98)</f>
        <v>TOTAL - TIPO - 8X</v>
      </c>
      <c r="E99" s="73"/>
      <c r="F99" s="74"/>
      <c r="G99" s="75"/>
      <c r="H99" s="59"/>
      <c r="I99" s="77">
        <f t="shared" ref="I99:W99" si="28">SUM(I94:I98)</f>
        <v>126.27897300000001</v>
      </c>
      <c r="J99" s="77">
        <f t="shared" si="28"/>
        <v>888.71579999999994</v>
      </c>
      <c r="K99" s="77">
        <f t="shared" si="28"/>
        <v>0</v>
      </c>
      <c r="L99" s="77">
        <f t="shared" si="28"/>
        <v>0</v>
      </c>
      <c r="M99" s="77">
        <f t="shared" si="28"/>
        <v>0</v>
      </c>
      <c r="N99" s="77">
        <f t="shared" si="28"/>
        <v>21719.999999999996</v>
      </c>
      <c r="O99" s="77">
        <f t="shared" ca="1" si="28"/>
        <v>122.24975704567548</v>
      </c>
      <c r="P99" s="77">
        <f t="shared" ca="1" si="28"/>
        <v>1371.132167152575</v>
      </c>
      <c r="Q99" s="77">
        <f t="shared" ca="1" si="28"/>
        <v>1515.3692905733719</v>
      </c>
      <c r="R99" s="77">
        <f t="shared" ca="1" si="28"/>
        <v>1722.9300291545183</v>
      </c>
      <c r="S99" s="77">
        <f t="shared" ca="1" si="28"/>
        <v>1949.8396501457723</v>
      </c>
      <c r="T99" s="77">
        <f t="shared" ca="1" si="28"/>
        <v>653.46452866861023</v>
      </c>
      <c r="U99" s="77">
        <f t="shared" ca="1" si="28"/>
        <v>2498.644314868804</v>
      </c>
      <c r="V99" s="77">
        <f t="shared" ca="1" si="28"/>
        <v>11886.370262390668</v>
      </c>
      <c r="W99" s="78">
        <f t="shared" ca="1" si="28"/>
        <v>0</v>
      </c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spans="1:38" ht="15.75" thickTop="1" x14ac:dyDescent="0.25">
      <c r="A100" s="100" t="str">
        <f>A98</f>
        <v>Torre</v>
      </c>
      <c r="B100" s="101" t="s">
        <v>165</v>
      </c>
      <c r="C100" s="101" t="s">
        <v>187</v>
      </c>
      <c r="D100" s="101" t="s">
        <v>193</v>
      </c>
      <c r="E100" s="101" t="s">
        <v>52</v>
      </c>
      <c r="F100" s="102"/>
      <c r="G100" s="103"/>
      <c r="H100" s="104">
        <v>45</v>
      </c>
      <c r="I100" s="105">
        <v>73.73</v>
      </c>
      <c r="J100" s="105">
        <v>418.2</v>
      </c>
      <c r="K100" s="105"/>
      <c r="L100" s="105"/>
      <c r="M100" s="105"/>
      <c r="N100" s="105">
        <v>11293.042921930675</v>
      </c>
      <c r="O100" s="105">
        <f t="shared" ref="O100:W104" ca="1" si="29">O$5*$N100</f>
        <v>63.562235428748174</v>
      </c>
      <c r="P100" s="105">
        <f t="shared" ca="1" si="29"/>
        <v>712.90305779437654</v>
      </c>
      <c r="Q100" s="105">
        <f t="shared" ca="1" si="29"/>
        <v>787.89734995491392</v>
      </c>
      <c r="R100" s="105">
        <f t="shared" ca="1" si="29"/>
        <v>895.81596550300412</v>
      </c>
      <c r="S100" s="105">
        <f t="shared" ca="1" si="29"/>
        <v>1013.7947909750692</v>
      </c>
      <c r="T100" s="105">
        <f t="shared" ca="1" si="29"/>
        <v>339.76072606877602</v>
      </c>
      <c r="U100" s="105">
        <f t="shared" ca="1" si="29"/>
        <v>1299.1389270005284</v>
      </c>
      <c r="V100" s="106">
        <f t="shared" ca="1" si="29"/>
        <v>6180.1698692052596</v>
      </c>
      <c r="W100" s="107">
        <f t="shared" ca="1" si="29"/>
        <v>0</v>
      </c>
      <c r="X100" s="116">
        <v>0.56612406867508902</v>
      </c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spans="1:38" x14ac:dyDescent="0.25">
      <c r="A101" s="87" t="str">
        <f>A100</f>
        <v>Torre</v>
      </c>
      <c r="B101" s="88" t="s">
        <v>165</v>
      </c>
      <c r="C101" s="88" t="s">
        <v>187</v>
      </c>
      <c r="D101" s="88" t="s">
        <v>193</v>
      </c>
      <c r="E101" s="88" t="s">
        <v>51</v>
      </c>
      <c r="F101" s="89" t="s">
        <v>189</v>
      </c>
      <c r="G101" s="90"/>
      <c r="H101" s="91">
        <v>45</v>
      </c>
      <c r="I101" s="92">
        <v>21.475000000000001</v>
      </c>
      <c r="J101" s="92">
        <v>202.02500000000001</v>
      </c>
      <c r="K101" s="92"/>
      <c r="L101" s="92"/>
      <c r="M101" s="92"/>
      <c r="N101" s="92">
        <v>4578.2824748947187</v>
      </c>
      <c r="O101" s="92">
        <f t="shared" ca="1" si="29"/>
        <v>25.768596696240945</v>
      </c>
      <c r="P101" s="92">
        <f t="shared" ca="1" si="29"/>
        <v>289.01613129093238</v>
      </c>
      <c r="Q101" s="92">
        <f t="shared" ca="1" si="29"/>
        <v>319.41936768074186</v>
      </c>
      <c r="R101" s="92">
        <f t="shared" ca="1" si="29"/>
        <v>363.17036638802853</v>
      </c>
      <c r="S101" s="92">
        <f t="shared" ca="1" si="29"/>
        <v>410.99984802565564</v>
      </c>
      <c r="T101" s="92">
        <f t="shared" ca="1" si="29"/>
        <v>137.74149169285619</v>
      </c>
      <c r="U101" s="92">
        <f t="shared" ca="1" si="29"/>
        <v>526.68045477712565</v>
      </c>
      <c r="V101" s="93">
        <f t="shared" ca="1" si="29"/>
        <v>2505.4862183431378</v>
      </c>
      <c r="W101" s="94">
        <f t="shared" ca="1" si="29"/>
        <v>0</v>
      </c>
      <c r="X101" s="116">
        <v>0.22951085195983151</v>
      </c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spans="1:38" x14ac:dyDescent="0.25">
      <c r="A102" s="87" t="str">
        <f>A101</f>
        <v>Torre</v>
      </c>
      <c r="B102" s="88" t="s">
        <v>165</v>
      </c>
      <c r="C102" s="88" t="s">
        <v>187</v>
      </c>
      <c r="D102" s="88" t="s">
        <v>193</v>
      </c>
      <c r="E102" s="88" t="s">
        <v>53</v>
      </c>
      <c r="F102" s="89"/>
      <c r="G102" s="90"/>
      <c r="H102" s="91">
        <v>45</v>
      </c>
      <c r="I102" s="92">
        <v>30.875</v>
      </c>
      <c r="J102" s="92">
        <v>266.63749999999999</v>
      </c>
      <c r="K102" s="92"/>
      <c r="L102" s="92"/>
      <c r="M102" s="92"/>
      <c r="N102" s="92">
        <v>3991.0539358600572</v>
      </c>
      <c r="O102" s="92">
        <f t="shared" ca="1" si="29"/>
        <v>22.463415009902345</v>
      </c>
      <c r="P102" s="92">
        <f t="shared" ca="1" si="29"/>
        <v>251.94578417581101</v>
      </c>
      <c r="Q102" s="92">
        <f t="shared" ca="1" si="29"/>
        <v>278.44938174145119</v>
      </c>
      <c r="R102" s="92">
        <f t="shared" ca="1" si="29"/>
        <v>316.58870506761622</v>
      </c>
      <c r="S102" s="92">
        <f t="shared" ca="1" si="29"/>
        <v>358.28338904283072</v>
      </c>
      <c r="T102" s="92">
        <f t="shared" ca="1" si="29"/>
        <v>120.0742255565283</v>
      </c>
      <c r="U102" s="92">
        <f t="shared" ca="1" si="29"/>
        <v>459.12634563404691</v>
      </c>
      <c r="V102" s="93">
        <f t="shared" ca="1" si="29"/>
        <v>2184.1226896318708</v>
      </c>
      <c r="W102" s="94">
        <f t="shared" ca="1" si="29"/>
        <v>0</v>
      </c>
      <c r="X102" s="116">
        <v>0.20007288629737605</v>
      </c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spans="1:38" x14ac:dyDescent="0.25">
      <c r="A103" s="87" t="str">
        <f>A102</f>
        <v>Torre</v>
      </c>
      <c r="B103" s="88" t="s">
        <v>165</v>
      </c>
      <c r="C103" s="88" t="s">
        <v>187</v>
      </c>
      <c r="D103" s="88" t="s">
        <v>193</v>
      </c>
      <c r="E103" s="88" t="s">
        <v>190</v>
      </c>
      <c r="F103" s="89"/>
      <c r="G103" s="90"/>
      <c r="H103" s="91">
        <v>45</v>
      </c>
      <c r="I103" s="92">
        <v>0</v>
      </c>
      <c r="J103" s="92">
        <v>0</v>
      </c>
      <c r="K103" s="92"/>
      <c r="L103" s="92"/>
      <c r="M103" s="92"/>
      <c r="N103" s="92">
        <v>0</v>
      </c>
      <c r="O103" s="108">
        <f t="shared" ca="1" si="29"/>
        <v>0</v>
      </c>
      <c r="P103" s="108">
        <f t="shared" ca="1" si="29"/>
        <v>0</v>
      </c>
      <c r="Q103" s="108">
        <f t="shared" ca="1" si="29"/>
        <v>0</v>
      </c>
      <c r="R103" s="108">
        <f t="shared" ca="1" si="29"/>
        <v>0</v>
      </c>
      <c r="S103" s="108">
        <f t="shared" ca="1" si="29"/>
        <v>0</v>
      </c>
      <c r="T103" s="108">
        <f t="shared" ca="1" si="29"/>
        <v>0</v>
      </c>
      <c r="U103" s="108">
        <f t="shared" ca="1" si="29"/>
        <v>0</v>
      </c>
      <c r="V103" s="110">
        <f t="shared" ca="1" si="29"/>
        <v>0</v>
      </c>
      <c r="W103" s="111">
        <f t="shared" ca="1" si="29"/>
        <v>0</v>
      </c>
      <c r="X103" s="116">
        <v>0</v>
      </c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spans="1:38" ht="15.75" thickBot="1" x14ac:dyDescent="0.3">
      <c r="A104" s="45" t="str">
        <f>A102</f>
        <v>Torre</v>
      </c>
      <c r="B104" s="46" t="s">
        <v>165</v>
      </c>
      <c r="C104" s="46" t="s">
        <v>187</v>
      </c>
      <c r="D104" s="46" t="s">
        <v>193</v>
      </c>
      <c r="E104" s="46" t="s">
        <v>54</v>
      </c>
      <c r="F104" s="47"/>
      <c r="G104" s="48"/>
      <c r="H104" s="91">
        <v>45</v>
      </c>
      <c r="I104" s="50">
        <v>0.19897300000000001</v>
      </c>
      <c r="J104" s="50">
        <v>1.8532999999999999</v>
      </c>
      <c r="K104" s="50"/>
      <c r="L104" s="50"/>
      <c r="M104" s="50"/>
      <c r="N104" s="50">
        <v>85.620667314544846</v>
      </c>
      <c r="O104" s="50">
        <f t="shared" ca="1" si="29"/>
        <v>0.48191094738912138</v>
      </c>
      <c r="P104" s="50">
        <f t="shared" ca="1" si="29"/>
        <v>5.4050299782707896</v>
      </c>
      <c r="Q104" s="50">
        <f t="shared" ca="1" si="29"/>
        <v>5.9736155564852922</v>
      </c>
      <c r="R104" s="50">
        <f t="shared" ca="1" si="29"/>
        <v>6.791824071476892</v>
      </c>
      <c r="S104" s="50">
        <f t="shared" ca="1" si="29"/>
        <v>7.6863062615948303</v>
      </c>
      <c r="T104" s="50">
        <f t="shared" ca="1" si="29"/>
        <v>2.5759700281303379</v>
      </c>
      <c r="U104" s="50">
        <f t="shared" ca="1" si="29"/>
        <v>9.8497050469963519</v>
      </c>
      <c r="V104" s="51">
        <f t="shared" ca="1" si="29"/>
        <v>46.856305424201231</v>
      </c>
      <c r="W104" s="52">
        <f t="shared" ca="1" si="29"/>
        <v>0</v>
      </c>
      <c r="X104" s="116">
        <v>4.2921930677032706E-3</v>
      </c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spans="1:38" ht="21" customHeight="1" thickTop="1" thickBot="1" x14ac:dyDescent="0.3">
      <c r="A105" s="70"/>
      <c r="B105" s="71"/>
      <c r="C105" s="71"/>
      <c r="D105" s="72" t="str">
        <f>"TOTAL - "&amp;UPPER(C104)</f>
        <v>TOTAL - TIPO - 8X</v>
      </c>
      <c r="E105" s="73"/>
      <c r="F105" s="74"/>
      <c r="G105" s="75"/>
      <c r="H105" s="59"/>
      <c r="I105" s="77">
        <f t="shared" ref="I105:W105" si="30">SUM(I100:I104)</f>
        <v>126.27897300000001</v>
      </c>
      <c r="J105" s="77">
        <f t="shared" si="30"/>
        <v>888.71579999999994</v>
      </c>
      <c r="K105" s="77">
        <f t="shared" si="30"/>
        <v>0</v>
      </c>
      <c r="L105" s="77">
        <f t="shared" si="30"/>
        <v>0</v>
      </c>
      <c r="M105" s="77">
        <f t="shared" si="30"/>
        <v>0</v>
      </c>
      <c r="N105" s="77">
        <f t="shared" si="30"/>
        <v>19947.999999999996</v>
      </c>
      <c r="O105" s="77">
        <f t="shared" ca="1" si="30"/>
        <v>112.27615808228059</v>
      </c>
      <c r="P105" s="77">
        <f t="shared" ca="1" si="30"/>
        <v>1259.2700032393907</v>
      </c>
      <c r="Q105" s="77">
        <f t="shared" ca="1" si="30"/>
        <v>1391.7397149335923</v>
      </c>
      <c r="R105" s="77">
        <f t="shared" ca="1" si="30"/>
        <v>1582.3668610301258</v>
      </c>
      <c r="S105" s="77">
        <f t="shared" ca="1" si="30"/>
        <v>1790.7643343051504</v>
      </c>
      <c r="T105" s="77">
        <f t="shared" ca="1" si="30"/>
        <v>600.15241334629081</v>
      </c>
      <c r="U105" s="77">
        <f t="shared" ca="1" si="30"/>
        <v>2294.7954324586976</v>
      </c>
      <c r="V105" s="77">
        <f t="shared" ca="1" si="30"/>
        <v>10916.635082604469</v>
      </c>
      <c r="W105" s="78">
        <f t="shared" ca="1" si="30"/>
        <v>0</v>
      </c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spans="1:38" ht="15.75" thickTop="1" x14ac:dyDescent="0.25">
      <c r="A106" s="100" t="str">
        <f>A104</f>
        <v>Torre</v>
      </c>
      <c r="B106" s="101" t="s">
        <v>165</v>
      </c>
      <c r="C106" s="101" t="s">
        <v>187</v>
      </c>
      <c r="D106" s="101" t="s">
        <v>194</v>
      </c>
      <c r="E106" s="101" t="s">
        <v>52</v>
      </c>
      <c r="F106" s="102"/>
      <c r="G106" s="103"/>
      <c r="H106" s="104">
        <v>45</v>
      </c>
      <c r="I106" s="105">
        <v>73.73</v>
      </c>
      <c r="J106" s="105">
        <v>418.2</v>
      </c>
      <c r="K106" s="105"/>
      <c r="L106" s="105"/>
      <c r="M106" s="105"/>
      <c r="N106" s="105">
        <v>11601.014415289925</v>
      </c>
      <c r="O106" s="105">
        <f t="shared" ref="O106:W110" ca="1" si="31">O$5*$N106</f>
        <v>65.295635071481243</v>
      </c>
      <c r="P106" s="105">
        <f t="shared" ca="1" si="31"/>
        <v>732.34456889524586</v>
      </c>
      <c r="Q106" s="105">
        <f t="shared" ca="1" si="31"/>
        <v>809.38402322418779</v>
      </c>
      <c r="R106" s="105">
        <f t="shared" ca="1" si="31"/>
        <v>920.24567701461604</v>
      </c>
      <c r="S106" s="105">
        <f t="shared" ca="1" si="31"/>
        <v>1041.4418917516102</v>
      </c>
      <c r="T106" s="105">
        <f t="shared" ca="1" si="31"/>
        <v>349.02630833173043</v>
      </c>
      <c r="U106" s="105">
        <f t="shared" ca="1" si="31"/>
        <v>1334.5676204178278</v>
      </c>
      <c r="V106" s="106">
        <f t="shared" ca="1" si="31"/>
        <v>6348.7086905832257</v>
      </c>
      <c r="W106" s="107">
        <f t="shared" ca="1" si="31"/>
        <v>0</v>
      </c>
      <c r="X106" s="116">
        <v>0.56612406867508902</v>
      </c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spans="1:38" x14ac:dyDescent="0.25">
      <c r="A107" s="87" t="str">
        <f>A106</f>
        <v>Torre</v>
      </c>
      <c r="B107" s="88" t="s">
        <v>165</v>
      </c>
      <c r="C107" s="88" t="s">
        <v>187</v>
      </c>
      <c r="D107" s="88" t="s">
        <v>194</v>
      </c>
      <c r="E107" s="88" t="s">
        <v>51</v>
      </c>
      <c r="F107" s="89" t="s">
        <v>189</v>
      </c>
      <c r="G107" s="90"/>
      <c r="H107" s="91">
        <v>45</v>
      </c>
      <c r="I107" s="92">
        <v>21.475000000000001</v>
      </c>
      <c r="J107" s="92">
        <v>202.02500000000001</v>
      </c>
      <c r="K107" s="92"/>
      <c r="L107" s="92"/>
      <c r="M107" s="92"/>
      <c r="N107" s="92">
        <v>4703.1363783608676</v>
      </c>
      <c r="O107" s="92">
        <f t="shared" ca="1" si="31"/>
        <v>26.471329632011706</v>
      </c>
      <c r="P107" s="92">
        <f t="shared" ca="1" si="31"/>
        <v>296.89786256335407</v>
      </c>
      <c r="Q107" s="92">
        <f t="shared" ca="1" si="31"/>
        <v>328.13022270472044</v>
      </c>
      <c r="R107" s="92">
        <f t="shared" ca="1" si="31"/>
        <v>373.07435071302791</v>
      </c>
      <c r="S107" s="92">
        <f t="shared" ca="1" si="31"/>
        <v>422.20818556956772</v>
      </c>
      <c r="T107" s="92">
        <f t="shared" ca="1" si="31"/>
        <v>141.49782673801931</v>
      </c>
      <c r="U107" s="92">
        <f t="shared" ca="1" si="31"/>
        <v>541.04350708305901</v>
      </c>
      <c r="V107" s="93">
        <f t="shared" ca="1" si="31"/>
        <v>2573.8130933571078</v>
      </c>
      <c r="W107" s="94">
        <f t="shared" ca="1" si="31"/>
        <v>0</v>
      </c>
      <c r="X107" s="116">
        <v>0.22951085195983151</v>
      </c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spans="1:38" x14ac:dyDescent="0.25">
      <c r="A108" s="87" t="str">
        <f>A107</f>
        <v>Torre</v>
      </c>
      <c r="B108" s="88" t="s">
        <v>165</v>
      </c>
      <c r="C108" s="88" t="s">
        <v>187</v>
      </c>
      <c r="D108" s="88" t="s">
        <v>194</v>
      </c>
      <c r="E108" s="88" t="s">
        <v>53</v>
      </c>
      <c r="F108" s="89"/>
      <c r="G108" s="90"/>
      <c r="H108" s="91">
        <v>45</v>
      </c>
      <c r="I108" s="92">
        <v>30.875</v>
      </c>
      <c r="J108" s="92">
        <v>266.63749999999999</v>
      </c>
      <c r="K108" s="92"/>
      <c r="L108" s="92"/>
      <c r="M108" s="92"/>
      <c r="N108" s="92">
        <v>4099.89358600583</v>
      </c>
      <c r="O108" s="92">
        <f t="shared" ca="1" si="31"/>
        <v>23.076012652041253</v>
      </c>
      <c r="P108" s="92">
        <f t="shared" ca="1" si="31"/>
        <v>258.81657355778623</v>
      </c>
      <c r="Q108" s="92">
        <f t="shared" ca="1" si="31"/>
        <v>286.04294819760469</v>
      </c>
      <c r="R108" s="92">
        <f t="shared" ca="1" si="31"/>
        <v>325.22236536222141</v>
      </c>
      <c r="S108" s="92">
        <f t="shared" ca="1" si="31"/>
        <v>368.05410107608219</v>
      </c>
      <c r="T108" s="92">
        <f t="shared" ca="1" si="31"/>
        <v>123.34875827673842</v>
      </c>
      <c r="U108" s="92">
        <f t="shared" ca="1" si="31"/>
        <v>471.64713629100106</v>
      </c>
      <c r="V108" s="93">
        <f t="shared" ca="1" si="31"/>
        <v>2243.6856905923551</v>
      </c>
      <c r="W108" s="94">
        <f t="shared" ca="1" si="31"/>
        <v>0</v>
      </c>
      <c r="X108" s="116">
        <v>0.20007288629737605</v>
      </c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spans="1:38" x14ac:dyDescent="0.25">
      <c r="A109" s="87" t="str">
        <f>A108</f>
        <v>Torre</v>
      </c>
      <c r="B109" s="88" t="s">
        <v>165</v>
      </c>
      <c r="C109" s="88" t="s">
        <v>187</v>
      </c>
      <c r="D109" s="88" t="s">
        <v>194</v>
      </c>
      <c r="E109" s="88" t="s">
        <v>190</v>
      </c>
      <c r="F109" s="89"/>
      <c r="G109" s="90"/>
      <c r="H109" s="91">
        <v>45</v>
      </c>
      <c r="I109" s="92">
        <v>0</v>
      </c>
      <c r="J109" s="92">
        <v>0</v>
      </c>
      <c r="K109" s="92"/>
      <c r="L109" s="92"/>
      <c r="M109" s="92"/>
      <c r="N109" s="92">
        <v>0</v>
      </c>
      <c r="O109" s="108">
        <f t="shared" ca="1" si="31"/>
        <v>0</v>
      </c>
      <c r="P109" s="108">
        <f t="shared" ca="1" si="31"/>
        <v>0</v>
      </c>
      <c r="Q109" s="108">
        <f t="shared" ca="1" si="31"/>
        <v>0</v>
      </c>
      <c r="R109" s="108">
        <f t="shared" ca="1" si="31"/>
        <v>0</v>
      </c>
      <c r="S109" s="108">
        <f t="shared" ca="1" si="31"/>
        <v>0</v>
      </c>
      <c r="T109" s="108">
        <f t="shared" ca="1" si="31"/>
        <v>0</v>
      </c>
      <c r="U109" s="108">
        <f t="shared" ca="1" si="31"/>
        <v>0</v>
      </c>
      <c r="V109" s="110">
        <f t="shared" ca="1" si="31"/>
        <v>0</v>
      </c>
      <c r="W109" s="111">
        <f t="shared" ca="1" si="31"/>
        <v>0</v>
      </c>
      <c r="X109" s="116">
        <v>0</v>
      </c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spans="1:38" ht="15.75" thickBot="1" x14ac:dyDescent="0.3">
      <c r="A110" s="45" t="str">
        <f>A108</f>
        <v>Torre</v>
      </c>
      <c r="B110" s="46" t="s">
        <v>165</v>
      </c>
      <c r="C110" s="46" t="s">
        <v>187</v>
      </c>
      <c r="D110" s="46" t="s">
        <v>194</v>
      </c>
      <c r="E110" s="46" t="s">
        <v>54</v>
      </c>
      <c r="F110" s="47"/>
      <c r="G110" s="48"/>
      <c r="H110" s="91">
        <v>45</v>
      </c>
      <c r="I110" s="50">
        <v>0.19897300000000001</v>
      </c>
      <c r="J110" s="50">
        <v>1.8532999999999999</v>
      </c>
      <c r="K110" s="50"/>
      <c r="L110" s="50"/>
      <c r="M110" s="50"/>
      <c r="N110" s="50">
        <v>87.955620343375429</v>
      </c>
      <c r="O110" s="50">
        <f t="shared" ca="1" si="31"/>
        <v>0.495053094741221</v>
      </c>
      <c r="P110" s="50">
        <f t="shared" ca="1" si="31"/>
        <v>5.5524300338241934</v>
      </c>
      <c r="Q110" s="50">
        <f t="shared" ca="1" si="31"/>
        <v>6.1365214549577205</v>
      </c>
      <c r="R110" s="50">
        <f t="shared" ca="1" si="31"/>
        <v>6.9770432561010862</v>
      </c>
      <c r="S110" s="50">
        <f t="shared" ca="1" si="31"/>
        <v>7.8959187844696848</v>
      </c>
      <c r="T110" s="50">
        <f t="shared" ca="1" si="31"/>
        <v>2.6462190603793307</v>
      </c>
      <c r="U110" s="50">
        <f t="shared" ca="1" si="31"/>
        <v>10.118315411221639</v>
      </c>
      <c r="V110" s="51">
        <f t="shared" ca="1" si="31"/>
        <v>48.134119247680559</v>
      </c>
      <c r="W110" s="52">
        <f t="shared" ca="1" si="31"/>
        <v>0</v>
      </c>
      <c r="X110" s="116">
        <v>4.2921930677032706E-3</v>
      </c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spans="1:38" ht="21" customHeight="1" thickTop="1" thickBot="1" x14ac:dyDescent="0.3">
      <c r="A111" s="70"/>
      <c r="B111" s="71"/>
      <c r="C111" s="71"/>
      <c r="D111" s="72" t="str">
        <f>"TOTAL - "&amp;UPPER(C110)</f>
        <v>TOTAL - TIPO - 8X</v>
      </c>
      <c r="E111" s="73"/>
      <c r="F111" s="74"/>
      <c r="G111" s="75"/>
      <c r="H111" s="59"/>
      <c r="I111" s="77">
        <f t="shared" ref="I111:W111" si="32">SUM(I106:I110)</f>
        <v>126.27897300000001</v>
      </c>
      <c r="J111" s="77">
        <f t="shared" si="32"/>
        <v>888.71579999999994</v>
      </c>
      <c r="K111" s="77">
        <f t="shared" si="32"/>
        <v>0</v>
      </c>
      <c r="L111" s="77">
        <f t="shared" si="32"/>
        <v>0</v>
      </c>
      <c r="M111" s="77">
        <f t="shared" si="32"/>
        <v>0</v>
      </c>
      <c r="N111" s="77">
        <f t="shared" si="32"/>
        <v>20491.999999999996</v>
      </c>
      <c r="O111" s="77">
        <f t="shared" ca="1" si="32"/>
        <v>115.33803045027543</v>
      </c>
      <c r="P111" s="77">
        <f t="shared" ca="1" si="32"/>
        <v>1293.6114350502103</v>
      </c>
      <c r="Q111" s="77">
        <f t="shared" ca="1" si="32"/>
        <v>1429.6937155814708</v>
      </c>
      <c r="R111" s="77">
        <f t="shared" ca="1" si="32"/>
        <v>1625.5194363459664</v>
      </c>
      <c r="S111" s="77">
        <f t="shared" ca="1" si="32"/>
        <v>1839.6000971817296</v>
      </c>
      <c r="T111" s="77">
        <f t="shared" ca="1" si="32"/>
        <v>616.51911240686741</v>
      </c>
      <c r="U111" s="77">
        <f t="shared" ca="1" si="32"/>
        <v>2357.3765792031095</v>
      </c>
      <c r="V111" s="77">
        <f t="shared" ca="1" si="32"/>
        <v>11214.341593780371</v>
      </c>
      <c r="W111" s="78">
        <f t="shared" ca="1" si="32"/>
        <v>0</v>
      </c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spans="1:38" ht="15.75" thickTop="1" x14ac:dyDescent="0.25">
      <c r="A112" s="100" t="str">
        <f>A110</f>
        <v>Torre</v>
      </c>
      <c r="B112" s="101" t="s">
        <v>165</v>
      </c>
      <c r="C112" s="101" t="s">
        <v>187</v>
      </c>
      <c r="D112" s="101" t="s">
        <v>195</v>
      </c>
      <c r="E112" s="101" t="s">
        <v>52</v>
      </c>
      <c r="F112" s="102"/>
      <c r="G112" s="103"/>
      <c r="H112" s="104">
        <v>45</v>
      </c>
      <c r="I112" s="105">
        <v>73.73</v>
      </c>
      <c r="J112" s="105">
        <v>418.2</v>
      </c>
      <c r="K112" s="105"/>
      <c r="L112" s="105"/>
      <c r="M112" s="105"/>
      <c r="N112" s="105">
        <v>11010.547011661807</v>
      </c>
      <c r="O112" s="105">
        <f t="shared" ref="O112:W116" ca="1" si="33">O$5*$N112</f>
        <v>61.972223624108857</v>
      </c>
      <c r="P112" s="105">
        <f t="shared" ca="1" si="33"/>
        <v>695.06975992795424</v>
      </c>
      <c r="Q112" s="105">
        <f t="shared" ca="1" si="33"/>
        <v>768.1880669376942</v>
      </c>
      <c r="R112" s="105">
        <f t="shared" ca="1" si="33"/>
        <v>873.4070940980514</v>
      </c>
      <c r="S112" s="105">
        <f t="shared" ca="1" si="33"/>
        <v>988.43467463776437</v>
      </c>
      <c r="T112" s="105">
        <f t="shared" ca="1" si="33"/>
        <v>331.26159822095576</v>
      </c>
      <c r="U112" s="105">
        <f t="shared" ca="1" si="33"/>
        <v>1266.6409159431159</v>
      </c>
      <c r="V112" s="106">
        <f t="shared" ca="1" si="33"/>
        <v>6025.5726782721631</v>
      </c>
      <c r="W112" s="107">
        <f t="shared" ca="1" si="33"/>
        <v>0</v>
      </c>
      <c r="X112" s="116">
        <v>0.56612406867508902</v>
      </c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spans="1:38" x14ac:dyDescent="0.25">
      <c r="A113" s="87" t="str">
        <f>A112</f>
        <v>Torre</v>
      </c>
      <c r="B113" s="88" t="s">
        <v>165</v>
      </c>
      <c r="C113" s="88" t="s">
        <v>187</v>
      </c>
      <c r="D113" s="88" t="s">
        <v>195</v>
      </c>
      <c r="E113" s="88" t="s">
        <v>51</v>
      </c>
      <c r="F113" s="89" t="s">
        <v>189</v>
      </c>
      <c r="G113" s="90"/>
      <c r="H113" s="91">
        <v>45</v>
      </c>
      <c r="I113" s="92">
        <v>21.475000000000001</v>
      </c>
      <c r="J113" s="92">
        <v>202.02500000000001</v>
      </c>
      <c r="K113" s="92"/>
      <c r="L113" s="92"/>
      <c r="M113" s="92"/>
      <c r="N113" s="92">
        <v>4463.7565597667626</v>
      </c>
      <c r="O113" s="92">
        <f t="shared" ca="1" si="33"/>
        <v>25.123994242289459</v>
      </c>
      <c r="P113" s="92">
        <f t="shared" ca="1" si="33"/>
        <v>281.78638146567795</v>
      </c>
      <c r="Q113" s="92">
        <f t="shared" ca="1" si="33"/>
        <v>311.42907970837922</v>
      </c>
      <c r="R113" s="92">
        <f t="shared" ca="1" si="33"/>
        <v>354.08564547226621</v>
      </c>
      <c r="S113" s="92">
        <f t="shared" ca="1" si="33"/>
        <v>400.71867075651573</v>
      </c>
      <c r="T113" s="92">
        <f t="shared" ca="1" si="33"/>
        <v>134.29588289223781</v>
      </c>
      <c r="U113" s="92">
        <f t="shared" ca="1" si="33"/>
        <v>513.50552260679353</v>
      </c>
      <c r="V113" s="93">
        <f t="shared" ca="1" si="33"/>
        <v>2442.8113826226031</v>
      </c>
      <c r="W113" s="94">
        <f t="shared" ca="1" si="33"/>
        <v>0</v>
      </c>
      <c r="X113" s="116">
        <v>0.22951085195983151</v>
      </c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spans="1:38" x14ac:dyDescent="0.25">
      <c r="A114" s="87" t="str">
        <f>A113</f>
        <v>Torre</v>
      </c>
      <c r="B114" s="88" t="s">
        <v>165</v>
      </c>
      <c r="C114" s="88" t="s">
        <v>187</v>
      </c>
      <c r="D114" s="88" t="s">
        <v>195</v>
      </c>
      <c r="E114" s="88" t="s">
        <v>53</v>
      </c>
      <c r="F114" s="89"/>
      <c r="G114" s="90"/>
      <c r="H114" s="91">
        <v>45</v>
      </c>
      <c r="I114" s="92">
        <v>30.875</v>
      </c>
      <c r="J114" s="92">
        <v>266.63749999999999</v>
      </c>
      <c r="K114" s="92"/>
      <c r="L114" s="92"/>
      <c r="M114" s="92"/>
      <c r="N114" s="92">
        <v>3891.2175655976666</v>
      </c>
      <c r="O114" s="92">
        <f t="shared" ca="1" si="33"/>
        <v>21.901491805072727</v>
      </c>
      <c r="P114" s="92">
        <f t="shared" ca="1" si="33"/>
        <v>245.64335053315364</v>
      </c>
      <c r="Q114" s="92">
        <f t="shared" ca="1" si="33"/>
        <v>271.48395956935457</v>
      </c>
      <c r="R114" s="92">
        <f t="shared" ca="1" si="33"/>
        <v>308.66922623120456</v>
      </c>
      <c r="S114" s="92">
        <f t="shared" ca="1" si="33"/>
        <v>349.32091605644752</v>
      </c>
      <c r="T114" s="92">
        <f t="shared" ca="1" si="33"/>
        <v>117.07056410912968</v>
      </c>
      <c r="U114" s="92">
        <f t="shared" ca="1" si="33"/>
        <v>447.64128214540699</v>
      </c>
      <c r="V114" s="93">
        <f t="shared" ca="1" si="33"/>
        <v>2129.4867751478973</v>
      </c>
      <c r="W114" s="94">
        <f t="shared" ca="1" si="33"/>
        <v>0</v>
      </c>
      <c r="X114" s="116">
        <v>0.20007288629737605</v>
      </c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spans="1:38" x14ac:dyDescent="0.25">
      <c r="A115" s="87" t="str">
        <f>A114</f>
        <v>Torre</v>
      </c>
      <c r="B115" s="88" t="s">
        <v>165</v>
      </c>
      <c r="C115" s="88" t="s">
        <v>187</v>
      </c>
      <c r="D115" s="88" t="s">
        <v>195</v>
      </c>
      <c r="E115" s="88" t="s">
        <v>190</v>
      </c>
      <c r="F115" s="89"/>
      <c r="G115" s="90"/>
      <c r="H115" s="91">
        <v>45</v>
      </c>
      <c r="I115" s="92">
        <v>0</v>
      </c>
      <c r="J115" s="92">
        <v>0</v>
      </c>
      <c r="K115" s="92"/>
      <c r="L115" s="92"/>
      <c r="M115" s="92"/>
      <c r="N115" s="92">
        <v>0</v>
      </c>
      <c r="O115" s="108">
        <f t="shared" ca="1" si="33"/>
        <v>0</v>
      </c>
      <c r="P115" s="108">
        <f t="shared" ca="1" si="33"/>
        <v>0</v>
      </c>
      <c r="Q115" s="108">
        <f t="shared" ca="1" si="33"/>
        <v>0</v>
      </c>
      <c r="R115" s="108">
        <f t="shared" ca="1" si="33"/>
        <v>0</v>
      </c>
      <c r="S115" s="108">
        <f t="shared" ca="1" si="33"/>
        <v>0</v>
      </c>
      <c r="T115" s="108">
        <f t="shared" ca="1" si="33"/>
        <v>0</v>
      </c>
      <c r="U115" s="108">
        <f t="shared" ca="1" si="33"/>
        <v>0</v>
      </c>
      <c r="V115" s="110">
        <f t="shared" ca="1" si="33"/>
        <v>0</v>
      </c>
      <c r="W115" s="111">
        <f t="shared" ca="1" si="33"/>
        <v>0</v>
      </c>
      <c r="X115" s="116">
        <v>0</v>
      </c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spans="1:38" ht="15.75" thickBot="1" x14ac:dyDescent="0.3">
      <c r="A116" s="45" t="str">
        <f>A114</f>
        <v>Torre</v>
      </c>
      <c r="B116" s="46" t="s">
        <v>165</v>
      </c>
      <c r="C116" s="46" t="s">
        <v>187</v>
      </c>
      <c r="D116" s="46" t="s">
        <v>195</v>
      </c>
      <c r="E116" s="46" t="s">
        <v>54</v>
      </c>
      <c r="F116" s="47"/>
      <c r="G116" s="48"/>
      <c r="H116" s="91">
        <v>45</v>
      </c>
      <c r="I116" s="50">
        <v>0.19897300000000001</v>
      </c>
      <c r="J116" s="50">
        <v>1.8532999999999999</v>
      </c>
      <c r="K116" s="50"/>
      <c r="L116" s="50"/>
      <c r="M116" s="50"/>
      <c r="N116" s="50">
        <v>83.478862973760911</v>
      </c>
      <c r="O116" s="50">
        <f t="shared" ca="1" si="33"/>
        <v>0.46985592619666244</v>
      </c>
      <c r="P116" s="50">
        <f t="shared" ca="1" si="33"/>
        <v>5.2698229420186777</v>
      </c>
      <c r="Q116" s="50">
        <f t="shared" ca="1" si="33"/>
        <v>5.8241853297615025</v>
      </c>
      <c r="R116" s="50">
        <f t="shared" ca="1" si="33"/>
        <v>6.6219263267572721</v>
      </c>
      <c r="S116" s="50">
        <f t="shared" ca="1" si="33"/>
        <v>7.4940330099136681</v>
      </c>
      <c r="T116" s="50">
        <f t="shared" ca="1" si="33"/>
        <v>2.5115320371519423</v>
      </c>
      <c r="U116" s="50">
        <f t="shared" ca="1" si="33"/>
        <v>9.6033142901058763</v>
      </c>
      <c r="V116" s="51">
        <f t="shared" ca="1" si="33"/>
        <v>45.684193111855315</v>
      </c>
      <c r="W116" s="52">
        <f t="shared" ca="1" si="33"/>
        <v>0</v>
      </c>
      <c r="X116" s="116">
        <v>4.2921930677032706E-3</v>
      </c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spans="1:38" ht="21" customHeight="1" thickTop="1" thickBot="1" x14ac:dyDescent="0.3">
      <c r="A117" s="70"/>
      <c r="B117" s="71"/>
      <c r="C117" s="71"/>
      <c r="D117" s="72" t="str">
        <f>"TOTAL - "&amp;UPPER(C116)</f>
        <v>TOTAL - TIPO - 8X</v>
      </c>
      <c r="E117" s="73"/>
      <c r="F117" s="74"/>
      <c r="G117" s="75"/>
      <c r="H117" s="59"/>
      <c r="I117" s="77">
        <f t="shared" ref="I117:W117" si="34">SUM(I112:I116)</f>
        <v>126.27897300000001</v>
      </c>
      <c r="J117" s="77">
        <f t="shared" si="34"/>
        <v>888.71579999999994</v>
      </c>
      <c r="K117" s="77">
        <f t="shared" si="34"/>
        <v>0</v>
      </c>
      <c r="L117" s="77">
        <f t="shared" si="34"/>
        <v>0</v>
      </c>
      <c r="M117" s="77">
        <f t="shared" si="34"/>
        <v>0</v>
      </c>
      <c r="N117" s="77">
        <f t="shared" si="34"/>
        <v>19448.999999999996</v>
      </c>
      <c r="O117" s="77">
        <f t="shared" ca="1" si="34"/>
        <v>109.4675655976677</v>
      </c>
      <c r="P117" s="77">
        <f t="shared" ca="1" si="34"/>
        <v>1227.7693148688045</v>
      </c>
      <c r="Q117" s="77">
        <f t="shared" ca="1" si="34"/>
        <v>1356.9252915451896</v>
      </c>
      <c r="R117" s="77">
        <f t="shared" ca="1" si="34"/>
        <v>1542.7838921282794</v>
      </c>
      <c r="S117" s="77">
        <f t="shared" ca="1" si="34"/>
        <v>1745.9682944606413</v>
      </c>
      <c r="T117" s="77">
        <f t="shared" ca="1" si="34"/>
        <v>585.13957725947523</v>
      </c>
      <c r="U117" s="77">
        <f t="shared" ca="1" si="34"/>
        <v>2237.3910349854223</v>
      </c>
      <c r="V117" s="77">
        <f t="shared" ca="1" si="34"/>
        <v>10643.555029154521</v>
      </c>
      <c r="W117" s="78">
        <f t="shared" ca="1" si="34"/>
        <v>0</v>
      </c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spans="1:38" ht="15.75" thickTop="1" x14ac:dyDescent="0.25">
      <c r="A118" s="100" t="str">
        <f>A116</f>
        <v>Torre</v>
      </c>
      <c r="B118" s="101" t="s">
        <v>165</v>
      </c>
      <c r="C118" s="101" t="s">
        <v>187</v>
      </c>
      <c r="D118" s="101" t="s">
        <v>196</v>
      </c>
      <c r="E118" s="101" t="s">
        <v>52</v>
      </c>
      <c r="F118" s="102"/>
      <c r="G118" s="103"/>
      <c r="H118" s="104">
        <v>45</v>
      </c>
      <c r="I118" s="105">
        <v>73.73</v>
      </c>
      <c r="J118" s="105">
        <v>418.2</v>
      </c>
      <c r="K118" s="105"/>
      <c r="L118" s="105"/>
      <c r="M118" s="105"/>
      <c r="N118" s="105">
        <v>10084.934159378035</v>
      </c>
      <c r="O118" s="105">
        <f t="shared" ref="O118:W122" ca="1" si="35">O$5*$N118</f>
        <v>56.762465506703428</v>
      </c>
      <c r="P118" s="105">
        <f t="shared" ca="1" si="35"/>
        <v>636.63801240971645</v>
      </c>
      <c r="Q118" s="105">
        <f t="shared" ca="1" si="35"/>
        <v>703.60955444640251</v>
      </c>
      <c r="R118" s="105">
        <f t="shared" ca="1" si="35"/>
        <v>799.98323688943833</v>
      </c>
      <c r="S118" s="105">
        <f t="shared" ca="1" si="35"/>
        <v>905.34090667885914</v>
      </c>
      <c r="T118" s="105">
        <f t="shared" ca="1" si="35"/>
        <v>303.41375447108362</v>
      </c>
      <c r="U118" s="105">
        <f t="shared" ca="1" si="35"/>
        <v>1160.1594568672253</v>
      </c>
      <c r="V118" s="106">
        <f t="shared" ca="1" si="35"/>
        <v>5519.0267721086075</v>
      </c>
      <c r="W118" s="107">
        <f t="shared" ca="1" si="35"/>
        <v>0</v>
      </c>
      <c r="X118" s="116">
        <v>0.56612406867508902</v>
      </c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spans="1:38" x14ac:dyDescent="0.25">
      <c r="A119" s="87" t="str">
        <f>A118</f>
        <v>Torre</v>
      </c>
      <c r="B119" s="88" t="s">
        <v>165</v>
      </c>
      <c r="C119" s="88" t="s">
        <v>187</v>
      </c>
      <c r="D119" s="88" t="s">
        <v>196</v>
      </c>
      <c r="E119" s="88" t="s">
        <v>51</v>
      </c>
      <c r="F119" s="89" t="s">
        <v>189</v>
      </c>
      <c r="G119" s="90"/>
      <c r="H119" s="91">
        <v>45</v>
      </c>
      <c r="I119" s="92">
        <v>21.475000000000001</v>
      </c>
      <c r="J119" s="92">
        <v>202.02500000000001</v>
      </c>
      <c r="K119" s="92"/>
      <c r="L119" s="92"/>
      <c r="M119" s="92"/>
      <c r="N119" s="92">
        <v>4088.5063168124384</v>
      </c>
      <c r="O119" s="92">
        <f t="shared" ca="1" si="35"/>
        <v>23.011920069522567</v>
      </c>
      <c r="P119" s="92">
        <f t="shared" ca="1" si="35"/>
        <v>258.09772221860186</v>
      </c>
      <c r="Q119" s="92">
        <f t="shared" ca="1" si="35"/>
        <v>285.2484768330026</v>
      </c>
      <c r="R119" s="92">
        <f t="shared" ca="1" si="35"/>
        <v>324.31907493665233</v>
      </c>
      <c r="S119" s="92">
        <f t="shared" ca="1" si="35"/>
        <v>367.03184743979494</v>
      </c>
      <c r="T119" s="92">
        <f t="shared" ca="1" si="35"/>
        <v>123.00616267377883</v>
      </c>
      <c r="U119" s="92">
        <f t="shared" ca="1" si="35"/>
        <v>470.33715767995375</v>
      </c>
      <c r="V119" s="93">
        <f t="shared" ca="1" si="35"/>
        <v>2237.4539549611318</v>
      </c>
      <c r="W119" s="94">
        <f t="shared" ca="1" si="35"/>
        <v>0</v>
      </c>
      <c r="X119" s="116">
        <v>0.22951085195983151</v>
      </c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spans="1:38" x14ac:dyDescent="0.25">
      <c r="A120" s="87" t="str">
        <f>A119</f>
        <v>Torre</v>
      </c>
      <c r="B120" s="88" t="s">
        <v>165</v>
      </c>
      <c r="C120" s="88" t="s">
        <v>187</v>
      </c>
      <c r="D120" s="88" t="s">
        <v>196</v>
      </c>
      <c r="E120" s="88" t="s">
        <v>53</v>
      </c>
      <c r="F120" s="89"/>
      <c r="G120" s="90"/>
      <c r="H120" s="91">
        <v>45</v>
      </c>
      <c r="I120" s="92">
        <v>30.875</v>
      </c>
      <c r="J120" s="92">
        <v>266.63749999999999</v>
      </c>
      <c r="K120" s="92"/>
      <c r="L120" s="92"/>
      <c r="M120" s="92"/>
      <c r="N120" s="92">
        <v>3564.098396501457</v>
      </c>
      <c r="O120" s="92">
        <f t="shared" ca="1" si="35"/>
        <v>20.060320582835395</v>
      </c>
      <c r="P120" s="92">
        <f t="shared" ca="1" si="35"/>
        <v>224.99309200460686</v>
      </c>
      <c r="Q120" s="92">
        <f t="shared" ca="1" si="35"/>
        <v>248.66138391529037</v>
      </c>
      <c r="R120" s="92">
        <f t="shared" ca="1" si="35"/>
        <v>282.72063325017626</v>
      </c>
      <c r="S120" s="92">
        <f t="shared" ca="1" si="35"/>
        <v>319.95489735356864</v>
      </c>
      <c r="T120" s="92">
        <f t="shared" ca="1" si="35"/>
        <v>107.22890786364525</v>
      </c>
      <c r="U120" s="92">
        <f t="shared" ca="1" si="35"/>
        <v>410.00986169665691</v>
      </c>
      <c r="V120" s="93">
        <f t="shared" ca="1" si="35"/>
        <v>1950.4692998346775</v>
      </c>
      <c r="W120" s="94">
        <f t="shared" ca="1" si="35"/>
        <v>0</v>
      </c>
      <c r="X120" s="116">
        <v>0.20007288629737605</v>
      </c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spans="1:38" x14ac:dyDescent="0.25">
      <c r="A121" s="87" t="str">
        <f>A120</f>
        <v>Torre</v>
      </c>
      <c r="B121" s="88" t="s">
        <v>165</v>
      </c>
      <c r="C121" s="88" t="s">
        <v>187</v>
      </c>
      <c r="D121" s="88" t="s">
        <v>196</v>
      </c>
      <c r="E121" s="88" t="s">
        <v>190</v>
      </c>
      <c r="F121" s="89"/>
      <c r="G121" s="90"/>
      <c r="H121" s="91">
        <v>45</v>
      </c>
      <c r="I121" s="92">
        <v>0</v>
      </c>
      <c r="J121" s="92">
        <v>0</v>
      </c>
      <c r="K121" s="92"/>
      <c r="L121" s="92"/>
      <c r="M121" s="92"/>
      <c r="N121" s="92">
        <v>0</v>
      </c>
      <c r="O121" s="108">
        <f t="shared" ca="1" si="35"/>
        <v>0</v>
      </c>
      <c r="P121" s="108">
        <f t="shared" ca="1" si="35"/>
        <v>0</v>
      </c>
      <c r="Q121" s="108">
        <f t="shared" ca="1" si="35"/>
        <v>0</v>
      </c>
      <c r="R121" s="108">
        <f t="shared" ca="1" si="35"/>
        <v>0</v>
      </c>
      <c r="S121" s="108">
        <f t="shared" ca="1" si="35"/>
        <v>0</v>
      </c>
      <c r="T121" s="108">
        <f t="shared" ca="1" si="35"/>
        <v>0</v>
      </c>
      <c r="U121" s="108">
        <f t="shared" ca="1" si="35"/>
        <v>0</v>
      </c>
      <c r="V121" s="110">
        <f t="shared" ca="1" si="35"/>
        <v>0</v>
      </c>
      <c r="W121" s="111">
        <f t="shared" ca="1" si="35"/>
        <v>0</v>
      </c>
      <c r="X121" s="116">
        <v>0</v>
      </c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spans="1:38" ht="15.75" thickBot="1" x14ac:dyDescent="0.3">
      <c r="A122" s="45" t="str">
        <f>A120</f>
        <v>Torre</v>
      </c>
      <c r="B122" s="46" t="s">
        <v>165</v>
      </c>
      <c r="C122" s="46" t="s">
        <v>187</v>
      </c>
      <c r="D122" s="46" t="s">
        <v>196</v>
      </c>
      <c r="E122" s="46" t="s">
        <v>54</v>
      </c>
      <c r="F122" s="47"/>
      <c r="G122" s="48"/>
      <c r="H122" s="91">
        <v>45</v>
      </c>
      <c r="I122" s="50">
        <v>0.19897300000000001</v>
      </c>
      <c r="J122" s="50">
        <v>1.8532999999999999</v>
      </c>
      <c r="K122" s="50"/>
      <c r="L122" s="50"/>
      <c r="M122" s="50"/>
      <c r="N122" s="50">
        <v>76.461127308066068</v>
      </c>
      <c r="O122" s="50">
        <f t="shared" ca="1" si="35"/>
        <v>0.43035700906305441</v>
      </c>
      <c r="P122" s="50">
        <f t="shared" ca="1" si="35"/>
        <v>4.8268099074050452</v>
      </c>
      <c r="Q122" s="50">
        <f t="shared" ca="1" si="35"/>
        <v>5.3345692562276419</v>
      </c>
      <c r="R122" s="50">
        <f t="shared" ca="1" si="35"/>
        <v>6.0652473435577177</v>
      </c>
      <c r="S122" s="50">
        <f t="shared" ca="1" si="35"/>
        <v>6.8640394898761938</v>
      </c>
      <c r="T122" s="50">
        <f t="shared" ca="1" si="35"/>
        <v>2.3003975376535917</v>
      </c>
      <c r="U122" s="50">
        <f t="shared" ca="1" si="35"/>
        <v>8.7960018902743649</v>
      </c>
      <c r="V122" s="51">
        <f t="shared" ca="1" si="35"/>
        <v>41.843704874008459</v>
      </c>
      <c r="W122" s="52">
        <f t="shared" ca="1" si="35"/>
        <v>0</v>
      </c>
      <c r="X122" s="116">
        <v>4.2921930677032706E-3</v>
      </c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spans="1:38" ht="21" customHeight="1" thickTop="1" thickBot="1" x14ac:dyDescent="0.3">
      <c r="A123" s="70"/>
      <c r="B123" s="71"/>
      <c r="C123" s="71"/>
      <c r="D123" s="72" t="str">
        <f>"TOTAL - "&amp;UPPER(C122)</f>
        <v>TOTAL - TIPO - 8X</v>
      </c>
      <c r="E123" s="73"/>
      <c r="F123" s="74"/>
      <c r="G123" s="75"/>
      <c r="H123" s="59"/>
      <c r="I123" s="77">
        <f t="shared" ref="I123:W123" si="36">SUM(I118:I122)</f>
        <v>126.27897300000001</v>
      </c>
      <c r="J123" s="77">
        <f t="shared" si="36"/>
        <v>888.71579999999994</v>
      </c>
      <c r="K123" s="77">
        <f t="shared" si="36"/>
        <v>0</v>
      </c>
      <c r="L123" s="77">
        <f t="shared" si="36"/>
        <v>0</v>
      </c>
      <c r="M123" s="77">
        <f t="shared" si="36"/>
        <v>0</v>
      </c>
      <c r="N123" s="77">
        <f t="shared" si="36"/>
        <v>17813.999999999996</v>
      </c>
      <c r="O123" s="77">
        <f t="shared" ca="1" si="36"/>
        <v>100.26506316812446</v>
      </c>
      <c r="P123" s="77">
        <f t="shared" ca="1" si="36"/>
        <v>1124.5556365403302</v>
      </c>
      <c r="Q123" s="77">
        <f t="shared" ca="1" si="36"/>
        <v>1242.8539844509232</v>
      </c>
      <c r="R123" s="77">
        <f t="shared" ca="1" si="36"/>
        <v>1413.0881924198247</v>
      </c>
      <c r="S123" s="77">
        <f t="shared" ca="1" si="36"/>
        <v>1599.1916909620988</v>
      </c>
      <c r="T123" s="77">
        <f t="shared" ca="1" si="36"/>
        <v>535.9492225461612</v>
      </c>
      <c r="U123" s="77">
        <f t="shared" ca="1" si="36"/>
        <v>2049.3024781341105</v>
      </c>
      <c r="V123" s="77">
        <f t="shared" ca="1" si="36"/>
        <v>9748.7937317784254</v>
      </c>
      <c r="W123" s="78">
        <f t="shared" ca="1" si="36"/>
        <v>0</v>
      </c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spans="1:38" ht="15.75" thickTop="1" x14ac:dyDescent="0.25">
      <c r="A124" s="100" t="str">
        <f>A122</f>
        <v>Torre</v>
      </c>
      <c r="B124" s="101" t="s">
        <v>165</v>
      </c>
      <c r="C124" s="101" t="s">
        <v>187</v>
      </c>
      <c r="D124" s="101" t="s">
        <v>197</v>
      </c>
      <c r="E124" s="101" t="s">
        <v>52</v>
      </c>
      <c r="F124" s="102"/>
      <c r="G124" s="103"/>
      <c r="H124" s="104">
        <v>45</v>
      </c>
      <c r="I124" s="105">
        <v>73.73</v>
      </c>
      <c r="J124" s="105">
        <v>418.2</v>
      </c>
      <c r="K124" s="105"/>
      <c r="L124" s="105"/>
      <c r="M124" s="105"/>
      <c r="N124" s="105">
        <v>9995.4865565273722</v>
      </c>
      <c r="O124" s="105">
        <f t="shared" ref="O124:W128" ca="1" si="37">O$5*$N124</f>
        <v>56.259014875174351</v>
      </c>
      <c r="P124" s="105">
        <f t="shared" ca="1" si="37"/>
        <v>630.99139705321397</v>
      </c>
      <c r="Q124" s="105">
        <f t="shared" ca="1" si="37"/>
        <v>697.3689397836356</v>
      </c>
      <c r="R124" s="105">
        <f t="shared" ca="1" si="37"/>
        <v>792.88784273716874</v>
      </c>
      <c r="S124" s="105">
        <f t="shared" ca="1" si="37"/>
        <v>897.31105020331972</v>
      </c>
      <c r="T124" s="105">
        <f t="shared" ca="1" si="37"/>
        <v>300.72264785794619</v>
      </c>
      <c r="U124" s="105">
        <f t="shared" ca="1" si="37"/>
        <v>1149.8695054702894</v>
      </c>
      <c r="V124" s="106">
        <f t="shared" ca="1" si="37"/>
        <v>5470.0761585466244</v>
      </c>
      <c r="W124" s="107">
        <f t="shared" ca="1" si="37"/>
        <v>0</v>
      </c>
      <c r="X124" s="116">
        <v>0.56612406867508902</v>
      </c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spans="1:38" x14ac:dyDescent="0.25">
      <c r="A125" s="87" t="str">
        <f>A124</f>
        <v>Torre</v>
      </c>
      <c r="B125" s="88" t="s">
        <v>165</v>
      </c>
      <c r="C125" s="88" t="s">
        <v>187</v>
      </c>
      <c r="D125" s="88" t="s">
        <v>197</v>
      </c>
      <c r="E125" s="88" t="s">
        <v>51</v>
      </c>
      <c r="F125" s="89" t="s">
        <v>189</v>
      </c>
      <c r="G125" s="90"/>
      <c r="H125" s="91">
        <v>45</v>
      </c>
      <c r="I125" s="92">
        <v>21.475000000000001</v>
      </c>
      <c r="J125" s="92">
        <v>202.02500000000001</v>
      </c>
      <c r="K125" s="92"/>
      <c r="L125" s="92"/>
      <c r="M125" s="92"/>
      <c r="N125" s="92">
        <v>4052.243602202785</v>
      </c>
      <c r="O125" s="92">
        <f t="shared" ca="1" si="37"/>
        <v>22.807817488912679</v>
      </c>
      <c r="P125" s="92">
        <f t="shared" ca="1" si="37"/>
        <v>255.80854291521467</v>
      </c>
      <c r="Q125" s="92">
        <f t="shared" ca="1" si="37"/>
        <v>282.71848585177355</v>
      </c>
      <c r="R125" s="92">
        <f t="shared" ca="1" si="37"/>
        <v>321.44255007755322</v>
      </c>
      <c r="S125" s="92">
        <f t="shared" ca="1" si="37"/>
        <v>363.77648469726171</v>
      </c>
      <c r="T125" s="92">
        <f t="shared" ca="1" si="37"/>
        <v>121.91516830404396</v>
      </c>
      <c r="U125" s="92">
        <f t="shared" ca="1" si="37"/>
        <v>466.16553587050987</v>
      </c>
      <c r="V125" s="93">
        <f t="shared" ca="1" si="37"/>
        <v>2217.6090169975155</v>
      </c>
      <c r="W125" s="94">
        <f t="shared" ca="1" si="37"/>
        <v>0</v>
      </c>
      <c r="X125" s="116">
        <v>0.22951085195983151</v>
      </c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spans="1:38" x14ac:dyDescent="0.25">
      <c r="A126" s="87" t="str">
        <f>A125</f>
        <v>Torre</v>
      </c>
      <c r="B126" s="88" t="s">
        <v>165</v>
      </c>
      <c r="C126" s="88" t="s">
        <v>187</v>
      </c>
      <c r="D126" s="88" t="s">
        <v>197</v>
      </c>
      <c r="E126" s="88" t="s">
        <v>53</v>
      </c>
      <c r="F126" s="89"/>
      <c r="G126" s="90"/>
      <c r="H126" s="91">
        <v>45</v>
      </c>
      <c r="I126" s="92">
        <v>30.875</v>
      </c>
      <c r="J126" s="92">
        <v>266.63749999999999</v>
      </c>
      <c r="K126" s="92"/>
      <c r="L126" s="92"/>
      <c r="M126" s="92"/>
      <c r="N126" s="92">
        <v>3532.4868804664716</v>
      </c>
      <c r="O126" s="92">
        <f t="shared" ca="1" si="37"/>
        <v>19.88239700294946</v>
      </c>
      <c r="P126" s="92">
        <f t="shared" ca="1" si="37"/>
        <v>222.99753185322436</v>
      </c>
      <c r="Q126" s="92">
        <f t="shared" ca="1" si="37"/>
        <v>246.45589954015756</v>
      </c>
      <c r="R126" s="92">
        <f t="shared" ca="1" si="37"/>
        <v>280.21306279696375</v>
      </c>
      <c r="S126" s="92">
        <f t="shared" ca="1" si="37"/>
        <v>317.11708025567572</v>
      </c>
      <c r="T126" s="92">
        <f t="shared" ca="1" si="37"/>
        <v>106.27784872799597</v>
      </c>
      <c r="U126" s="92">
        <f t="shared" ca="1" si="37"/>
        <v>406.37330852790922</v>
      </c>
      <c r="V126" s="93">
        <f t="shared" ca="1" si="37"/>
        <v>1933.1697517615958</v>
      </c>
      <c r="W126" s="94">
        <f t="shared" ca="1" si="37"/>
        <v>0</v>
      </c>
      <c r="X126" s="116">
        <v>0.20007288629737605</v>
      </c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spans="1:38" x14ac:dyDescent="0.25">
      <c r="A127" s="87" t="str">
        <f>A126</f>
        <v>Torre</v>
      </c>
      <c r="B127" s="88" t="s">
        <v>165</v>
      </c>
      <c r="C127" s="88" t="s">
        <v>187</v>
      </c>
      <c r="D127" s="88" t="s">
        <v>197</v>
      </c>
      <c r="E127" s="88" t="s">
        <v>190</v>
      </c>
      <c r="F127" s="89"/>
      <c r="G127" s="90"/>
      <c r="H127" s="91">
        <v>45</v>
      </c>
      <c r="I127" s="92">
        <v>0</v>
      </c>
      <c r="J127" s="92">
        <v>0</v>
      </c>
      <c r="K127" s="92"/>
      <c r="L127" s="92"/>
      <c r="M127" s="92"/>
      <c r="N127" s="92">
        <v>0</v>
      </c>
      <c r="O127" s="108">
        <f t="shared" ca="1" si="37"/>
        <v>0</v>
      </c>
      <c r="P127" s="108">
        <f t="shared" ca="1" si="37"/>
        <v>0</v>
      </c>
      <c r="Q127" s="108">
        <f t="shared" ca="1" si="37"/>
        <v>0</v>
      </c>
      <c r="R127" s="108">
        <f t="shared" ca="1" si="37"/>
        <v>0</v>
      </c>
      <c r="S127" s="108">
        <f t="shared" ca="1" si="37"/>
        <v>0</v>
      </c>
      <c r="T127" s="108">
        <f t="shared" ca="1" si="37"/>
        <v>0</v>
      </c>
      <c r="U127" s="108">
        <f t="shared" ca="1" si="37"/>
        <v>0</v>
      </c>
      <c r="V127" s="110">
        <f t="shared" ca="1" si="37"/>
        <v>0</v>
      </c>
      <c r="W127" s="111">
        <f t="shared" ca="1" si="37"/>
        <v>0</v>
      </c>
      <c r="X127" s="116">
        <v>0</v>
      </c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spans="1:38" ht="15.75" thickBot="1" x14ac:dyDescent="0.3">
      <c r="A128" s="45" t="str">
        <f>A126</f>
        <v>Torre</v>
      </c>
      <c r="B128" s="46" t="s">
        <v>165</v>
      </c>
      <c r="C128" s="46" t="s">
        <v>187</v>
      </c>
      <c r="D128" s="46" t="s">
        <v>197</v>
      </c>
      <c r="E128" s="46" t="s">
        <v>54</v>
      </c>
      <c r="F128" s="47"/>
      <c r="G128" s="48"/>
      <c r="H128" s="91">
        <v>45</v>
      </c>
      <c r="I128" s="50">
        <v>0.19897300000000001</v>
      </c>
      <c r="J128" s="50">
        <v>1.8532999999999999</v>
      </c>
      <c r="K128" s="50"/>
      <c r="L128" s="50"/>
      <c r="M128" s="50"/>
      <c r="N128" s="50">
        <v>75.782960803368951</v>
      </c>
      <c r="O128" s="50">
        <f t="shared" ca="1" si="37"/>
        <v>0.42653998832476075</v>
      </c>
      <c r="P128" s="50">
        <f t="shared" ca="1" si="37"/>
        <v>4.7839988618582847</v>
      </c>
      <c r="Q128" s="50">
        <f t="shared" ca="1" si="37"/>
        <v>5.2872546754213117</v>
      </c>
      <c r="R128" s="50">
        <f t="shared" ca="1" si="37"/>
        <v>6.0114520656705439</v>
      </c>
      <c r="S128" s="50">
        <f t="shared" ca="1" si="37"/>
        <v>6.8031593821294534</v>
      </c>
      <c r="T128" s="50">
        <f t="shared" ca="1" si="37"/>
        <v>2.2799943260812738</v>
      </c>
      <c r="U128" s="50">
        <f t="shared" ca="1" si="37"/>
        <v>8.717986380076578</v>
      </c>
      <c r="V128" s="51">
        <f t="shared" ca="1" si="37"/>
        <v>41.472575123806749</v>
      </c>
      <c r="W128" s="52">
        <f t="shared" ca="1" si="37"/>
        <v>0</v>
      </c>
      <c r="X128" s="116">
        <v>4.2921930677032706E-3</v>
      </c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spans="1:38" ht="21" customHeight="1" thickTop="1" thickBot="1" x14ac:dyDescent="0.3">
      <c r="A129" s="70"/>
      <c r="B129" s="71"/>
      <c r="C129" s="71"/>
      <c r="D129" s="72" t="str">
        <f>"TOTAL - "&amp;UPPER(C128)</f>
        <v>TOTAL - TIPO - 8X</v>
      </c>
      <c r="E129" s="73"/>
      <c r="F129" s="74"/>
      <c r="G129" s="75"/>
      <c r="H129" s="59"/>
      <c r="I129" s="77">
        <f t="shared" ref="I129:W129" si="38">SUM(I124:I128)</f>
        <v>126.27897300000001</v>
      </c>
      <c r="J129" s="77">
        <f t="shared" si="38"/>
        <v>888.71579999999994</v>
      </c>
      <c r="K129" s="77">
        <f t="shared" si="38"/>
        <v>0</v>
      </c>
      <c r="L129" s="77">
        <f t="shared" si="38"/>
        <v>0</v>
      </c>
      <c r="M129" s="77">
        <f t="shared" si="38"/>
        <v>0</v>
      </c>
      <c r="N129" s="77">
        <f t="shared" si="38"/>
        <v>17655.999999999996</v>
      </c>
      <c r="O129" s="77">
        <f t="shared" ca="1" si="38"/>
        <v>99.375769355361257</v>
      </c>
      <c r="P129" s="77">
        <f t="shared" ca="1" si="38"/>
        <v>1114.581470683511</v>
      </c>
      <c r="Q129" s="77">
        <f t="shared" ca="1" si="38"/>
        <v>1231.830579850988</v>
      </c>
      <c r="R129" s="77">
        <f t="shared" ca="1" si="38"/>
        <v>1400.5549076773561</v>
      </c>
      <c r="S129" s="77">
        <f t="shared" ca="1" si="38"/>
        <v>1585.0077745383867</v>
      </c>
      <c r="T129" s="77">
        <f t="shared" ca="1" si="38"/>
        <v>531.19565921606738</v>
      </c>
      <c r="U129" s="77">
        <f t="shared" ca="1" si="38"/>
        <v>2031.1263362487848</v>
      </c>
      <c r="V129" s="77">
        <f t="shared" ca="1" si="38"/>
        <v>9662.3275024295435</v>
      </c>
      <c r="W129" s="78">
        <f t="shared" ca="1" si="38"/>
        <v>0</v>
      </c>
      <c r="X129" s="117">
        <f ca="1">(SUM(N82:N129))/2</f>
        <v>164062.99999999997</v>
      </c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spans="1:38" ht="15.75" thickTop="1" x14ac:dyDescent="0.25">
      <c r="A130" s="100" t="str">
        <f>A86</f>
        <v>Torre</v>
      </c>
      <c r="B130" s="101" t="s">
        <v>165</v>
      </c>
      <c r="C130" s="101" t="s">
        <v>198</v>
      </c>
      <c r="D130" s="101" t="s">
        <v>199</v>
      </c>
      <c r="E130" s="101" t="s">
        <v>52</v>
      </c>
      <c r="F130" s="102"/>
      <c r="G130" s="103"/>
      <c r="H130" s="104">
        <v>45</v>
      </c>
      <c r="I130" s="105">
        <f>1548.3/21</f>
        <v>73.728571428571428</v>
      </c>
      <c r="J130" s="105">
        <v>418.20000000000005</v>
      </c>
      <c r="K130" s="105">
        <f>J130*3</f>
        <v>1254.6000000000001</v>
      </c>
      <c r="L130" s="105"/>
      <c r="M130" s="105"/>
      <c r="N130" s="105">
        <v>10003.978417557499</v>
      </c>
      <c r="O130" s="105">
        <f t="shared" ref="O130:W134" ca="1" si="39">O$5*$N130</f>
        <v>56.306810821205595</v>
      </c>
      <c r="P130" s="105">
        <f t="shared" ca="1" si="39"/>
        <v>631.52746813136298</v>
      </c>
      <c r="Q130" s="105">
        <f t="shared" ca="1" si="39"/>
        <v>697.96140320098687</v>
      </c>
      <c r="R130" s="105">
        <f t="shared" ca="1" si="39"/>
        <v>793.56145610605506</v>
      </c>
      <c r="S130" s="105">
        <f t="shared" ca="1" si="39"/>
        <v>898.0733783497318</v>
      </c>
      <c r="T130" s="105">
        <f t="shared" ca="1" si="39"/>
        <v>300.97813266299084</v>
      </c>
      <c r="U130" s="105">
        <f t="shared" ca="1" si="39"/>
        <v>1150.8463995902516</v>
      </c>
      <c r="V130" s="106">
        <f t="shared" ca="1" si="39"/>
        <v>5474.7233686949139</v>
      </c>
      <c r="W130" s="107">
        <f t="shared" ca="1" si="39"/>
        <v>0</v>
      </c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spans="1:38" x14ac:dyDescent="0.25">
      <c r="A131" s="87" t="str">
        <f>A130</f>
        <v>Torre</v>
      </c>
      <c r="B131" s="88" t="s">
        <v>165</v>
      </c>
      <c r="C131" s="88" t="s">
        <v>198</v>
      </c>
      <c r="D131" s="88" t="s">
        <v>199</v>
      </c>
      <c r="E131" s="88" t="s">
        <v>51</v>
      </c>
      <c r="F131" s="89" t="s">
        <v>200</v>
      </c>
      <c r="G131" s="90"/>
      <c r="H131" s="91">
        <v>45</v>
      </c>
      <c r="I131" s="92">
        <f>447.7/21</f>
        <v>21.31904761904762</v>
      </c>
      <c r="J131" s="92">
        <v>199.96190476190475</v>
      </c>
      <c r="K131" s="92">
        <f>(4199.2+180.6)/22*3</f>
        <v>597.24545454545455</v>
      </c>
      <c r="L131" s="92"/>
      <c r="M131" s="92"/>
      <c r="N131" s="92">
        <v>4055.6862649821824</v>
      </c>
      <c r="O131" s="92">
        <f t="shared" ca="1" si="39"/>
        <v>22.827194316185768</v>
      </c>
      <c r="P131" s="92">
        <f t="shared" ca="1" si="39"/>
        <v>256.02587006427041</v>
      </c>
      <c r="Q131" s="92">
        <f t="shared" ca="1" si="39"/>
        <v>282.95867486897879</v>
      </c>
      <c r="R131" s="92">
        <f t="shared" ca="1" si="39"/>
        <v>321.71563788063224</v>
      </c>
      <c r="S131" s="92">
        <f t="shared" ca="1" si="39"/>
        <v>364.08553812218571</v>
      </c>
      <c r="T131" s="92">
        <f t="shared" ca="1" si="39"/>
        <v>122.0187437188922</v>
      </c>
      <c r="U131" s="92">
        <f t="shared" ca="1" si="39"/>
        <v>466.56157591571025</v>
      </c>
      <c r="V131" s="93">
        <f t="shared" ca="1" si="39"/>
        <v>2219.493030095327</v>
      </c>
      <c r="W131" s="94">
        <f t="shared" ca="1" si="39"/>
        <v>0</v>
      </c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spans="1:38" x14ac:dyDescent="0.25">
      <c r="A132" s="87" t="str">
        <f>A131</f>
        <v>Torre</v>
      </c>
      <c r="B132" s="88" t="s">
        <v>165</v>
      </c>
      <c r="C132" s="88" t="s">
        <v>198</v>
      </c>
      <c r="D132" s="88" t="s">
        <v>199</v>
      </c>
      <c r="E132" s="88" t="s">
        <v>53</v>
      </c>
      <c r="F132" s="89"/>
      <c r="G132" s="90"/>
      <c r="H132" s="91">
        <v>45</v>
      </c>
      <c r="I132" s="118">
        <v>30.39</v>
      </c>
      <c r="J132" s="92">
        <v>260.8857142857143</v>
      </c>
      <c r="K132" s="92">
        <f>(5478.6+250.95)/22*3</f>
        <v>781.30227272727279</v>
      </c>
      <c r="L132" s="92"/>
      <c r="M132" s="92"/>
      <c r="N132" s="92">
        <v>3535.4879737609322</v>
      </c>
      <c r="O132" s="92">
        <f t="shared" ca="1" si="39"/>
        <v>19.899288482052555</v>
      </c>
      <c r="P132" s="92">
        <f t="shared" ca="1" si="39"/>
        <v>223.18698376633029</v>
      </c>
      <c r="Q132" s="92">
        <f t="shared" ca="1" si="39"/>
        <v>246.66528096817649</v>
      </c>
      <c r="R132" s="92">
        <f t="shared" ca="1" si="39"/>
        <v>280.45112328302821</v>
      </c>
      <c r="S132" s="92">
        <f t="shared" ca="1" si="39"/>
        <v>317.38649327129849</v>
      </c>
      <c r="T132" s="92">
        <f t="shared" ca="1" si="39"/>
        <v>106.36813915226648</v>
      </c>
      <c r="U132" s="92">
        <f t="shared" ca="1" si="39"/>
        <v>406.71855091734727</v>
      </c>
      <c r="V132" s="93">
        <f t="shared" ca="1" si="39"/>
        <v>1934.8121139204325</v>
      </c>
      <c r="W132" s="94">
        <f t="shared" ca="1" si="39"/>
        <v>0</v>
      </c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spans="1:38" x14ac:dyDescent="0.25">
      <c r="A133" s="87" t="str">
        <f>A132</f>
        <v>Torre</v>
      </c>
      <c r="B133" s="88" t="s">
        <v>165</v>
      </c>
      <c r="C133" s="88" t="s">
        <v>198</v>
      </c>
      <c r="D133" s="88" t="s">
        <v>199</v>
      </c>
      <c r="E133" s="88" t="s">
        <v>190</v>
      </c>
      <c r="F133" s="89"/>
      <c r="G133" s="90"/>
      <c r="H133" s="91">
        <v>45</v>
      </c>
      <c r="I133" s="118"/>
      <c r="J133" s="92">
        <v>0</v>
      </c>
      <c r="K133" s="92">
        <f>J133*3</f>
        <v>0</v>
      </c>
      <c r="L133" s="92"/>
      <c r="M133" s="92"/>
      <c r="N133" s="92">
        <v>0</v>
      </c>
      <c r="O133" s="92">
        <f t="shared" ca="1" si="39"/>
        <v>0</v>
      </c>
      <c r="P133" s="92">
        <f t="shared" ca="1" si="39"/>
        <v>0</v>
      </c>
      <c r="Q133" s="92">
        <f t="shared" ca="1" si="39"/>
        <v>0</v>
      </c>
      <c r="R133" s="92">
        <f t="shared" ca="1" si="39"/>
        <v>0</v>
      </c>
      <c r="S133" s="92">
        <f t="shared" ca="1" si="39"/>
        <v>0</v>
      </c>
      <c r="T133" s="92">
        <f t="shared" ca="1" si="39"/>
        <v>0</v>
      </c>
      <c r="U133" s="92">
        <f t="shared" ca="1" si="39"/>
        <v>0</v>
      </c>
      <c r="V133" s="93">
        <f t="shared" ca="1" si="39"/>
        <v>0</v>
      </c>
      <c r="W133" s="94">
        <f t="shared" ca="1" si="39"/>
        <v>0</v>
      </c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spans="1:38" ht="15.75" thickBot="1" x14ac:dyDescent="0.3">
      <c r="A134" s="45" t="str">
        <f>A132</f>
        <v>Torre</v>
      </c>
      <c r="B134" s="46" t="s">
        <v>165</v>
      </c>
      <c r="C134" s="46" t="s">
        <v>198</v>
      </c>
      <c r="D134" s="46" t="s">
        <v>199</v>
      </c>
      <c r="E134" s="46" t="s">
        <v>54</v>
      </c>
      <c r="F134" s="47"/>
      <c r="G134" s="48"/>
      <c r="H134" s="91">
        <v>45</v>
      </c>
      <c r="I134" s="119">
        <f>((0.5816+0.5128)*1.2+0.1123*2.48)</f>
        <v>1.5917840000000001</v>
      </c>
      <c r="J134" s="50">
        <v>14.8264</v>
      </c>
      <c r="K134" s="50">
        <f>(311.35+14.83)/22*3</f>
        <v>44.479090909090907</v>
      </c>
      <c r="L134" s="50"/>
      <c r="M134" s="50"/>
      <c r="N134" s="50">
        <v>75.847343699384496</v>
      </c>
      <c r="O134" s="50">
        <f t="shared" ca="1" si="39"/>
        <v>0.42690236371130758</v>
      </c>
      <c r="P134" s="50">
        <f t="shared" ca="1" si="39"/>
        <v>4.7880632016253815</v>
      </c>
      <c r="Q134" s="50">
        <f t="shared" ca="1" si="39"/>
        <v>5.2917465660041909</v>
      </c>
      <c r="R134" s="50">
        <f t="shared" ca="1" si="39"/>
        <v>6.0165592123054017</v>
      </c>
      <c r="S134" s="50">
        <f t="shared" ca="1" si="39"/>
        <v>6.8089391391940168</v>
      </c>
      <c r="T134" s="50">
        <f t="shared" ca="1" si="39"/>
        <v>2.2819313398381391</v>
      </c>
      <c r="U134" s="50">
        <f t="shared" ca="1" si="39"/>
        <v>8.7253929158548491</v>
      </c>
      <c r="V134" s="51">
        <f t="shared" ca="1" si="39"/>
        <v>41.507808960851214</v>
      </c>
      <c r="W134" s="52">
        <f t="shared" ca="1" si="39"/>
        <v>0</v>
      </c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spans="1:38" ht="21" customHeight="1" thickTop="1" thickBot="1" x14ac:dyDescent="0.3">
      <c r="A135" s="70"/>
      <c r="B135" s="71"/>
      <c r="C135" s="71"/>
      <c r="D135" s="72" t="str">
        <f>"TOTAL - "&amp;UPPER(C134)</f>
        <v>TOTAL - PENTHOUSE - 22X</v>
      </c>
      <c r="E135" s="73"/>
      <c r="F135" s="74"/>
      <c r="G135" s="75"/>
      <c r="H135" s="59"/>
      <c r="I135" s="77">
        <f t="shared" ref="I135:W135" si="40">SUM(I130:I134)</f>
        <v>127.02940304761906</v>
      </c>
      <c r="J135" s="77">
        <f t="shared" si="40"/>
        <v>893.87401904761907</v>
      </c>
      <c r="K135" s="77">
        <f t="shared" si="40"/>
        <v>2677.6268181818182</v>
      </c>
      <c r="L135" s="77">
        <f t="shared" si="40"/>
        <v>0</v>
      </c>
      <c r="M135" s="77">
        <f t="shared" si="40"/>
        <v>0</v>
      </c>
      <c r="N135" s="77">
        <f t="shared" si="40"/>
        <v>17671</v>
      </c>
      <c r="O135" s="77">
        <f t="shared" ca="1" si="40"/>
        <v>99.460195983155231</v>
      </c>
      <c r="P135" s="77">
        <f t="shared" ca="1" si="40"/>
        <v>1115.5283851635891</v>
      </c>
      <c r="Q135" s="77">
        <f t="shared" ca="1" si="40"/>
        <v>1232.8771056041462</v>
      </c>
      <c r="R135" s="77">
        <f t="shared" ca="1" si="40"/>
        <v>1401.7447764820208</v>
      </c>
      <c r="S135" s="77">
        <f t="shared" ca="1" si="40"/>
        <v>1586.3543488824102</v>
      </c>
      <c r="T135" s="77">
        <f t="shared" ca="1" si="40"/>
        <v>531.64694687398764</v>
      </c>
      <c r="U135" s="77">
        <f t="shared" ca="1" si="40"/>
        <v>2032.8519193391642</v>
      </c>
      <c r="V135" s="77">
        <f t="shared" ca="1" si="40"/>
        <v>9670.5363216715232</v>
      </c>
      <c r="W135" s="78">
        <f t="shared" ca="1" si="40"/>
        <v>0</v>
      </c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spans="1:38" ht="15.75" thickTop="1" x14ac:dyDescent="0.25">
      <c r="A136" s="100" t="str">
        <f>A92</f>
        <v>Torre</v>
      </c>
      <c r="B136" s="101" t="s">
        <v>165</v>
      </c>
      <c r="C136" s="101" t="s">
        <v>198</v>
      </c>
      <c r="D136" s="101" t="s">
        <v>201</v>
      </c>
      <c r="E136" s="101" t="s">
        <v>52</v>
      </c>
      <c r="F136" s="102"/>
      <c r="G136" s="103"/>
      <c r="H136" s="104">
        <v>45</v>
      </c>
      <c r="I136" s="105">
        <f>1548.3/21</f>
        <v>73.728571428571428</v>
      </c>
      <c r="J136" s="105">
        <v>418.20000000000005</v>
      </c>
      <c r="K136" s="105"/>
      <c r="L136" s="105"/>
      <c r="M136" s="105"/>
      <c r="N136" s="105">
        <v>9019.4886621315181</v>
      </c>
      <c r="O136" s="105">
        <f t="shared" ref="O136:W140" ca="1" si="41">O$5*$N136</f>
        <v>50.765667477983556</v>
      </c>
      <c r="P136" s="105">
        <f t="shared" ca="1" si="41"/>
        <v>569.37896113795898</v>
      </c>
      <c r="Q136" s="105">
        <f t="shared" ca="1" si="41"/>
        <v>629.27514434939292</v>
      </c>
      <c r="R136" s="105">
        <f t="shared" ca="1" si="41"/>
        <v>715.46721287316325</v>
      </c>
      <c r="S136" s="105">
        <f t="shared" ca="1" si="41"/>
        <v>809.69413524237029</v>
      </c>
      <c r="T136" s="105">
        <f t="shared" ca="1" si="41"/>
        <v>271.35892759814215</v>
      </c>
      <c r="U136" s="105">
        <f t="shared" ca="1" si="41"/>
        <v>1037.591807949289</v>
      </c>
      <c r="V136" s="106">
        <f t="shared" ca="1" si="41"/>
        <v>4935.9568055032178</v>
      </c>
      <c r="W136" s="107">
        <f t="shared" ca="1" si="41"/>
        <v>0</v>
      </c>
      <c r="X136" s="116">
        <v>0.56612406867508902</v>
      </c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spans="1:38" x14ac:dyDescent="0.25">
      <c r="A137" s="87" t="str">
        <f>A136</f>
        <v>Torre</v>
      </c>
      <c r="B137" s="88" t="s">
        <v>165</v>
      </c>
      <c r="C137" s="88" t="s">
        <v>198</v>
      </c>
      <c r="D137" s="88" t="s">
        <v>201</v>
      </c>
      <c r="E137" s="88" t="s">
        <v>51</v>
      </c>
      <c r="F137" s="89" t="s">
        <v>200</v>
      </c>
      <c r="G137" s="90"/>
      <c r="H137" s="91">
        <v>45</v>
      </c>
      <c r="I137" s="92">
        <f>447.7/21</f>
        <v>21.31904761904762</v>
      </c>
      <c r="J137" s="92">
        <v>199.96190476190475</v>
      </c>
      <c r="K137" s="92"/>
      <c r="L137" s="92"/>
      <c r="M137" s="92"/>
      <c r="N137" s="92">
        <v>3656.5668934240357</v>
      </c>
      <c r="O137" s="92">
        <f t="shared" ca="1" si="41"/>
        <v>20.580774140992116</v>
      </c>
      <c r="P137" s="92">
        <f t="shared" ca="1" si="41"/>
        <v>230.83040925040783</v>
      </c>
      <c r="Q137" s="92">
        <f t="shared" ca="1" si="41"/>
        <v>255.11276147431218</v>
      </c>
      <c r="R137" s="92">
        <f t="shared" ca="1" si="41"/>
        <v>290.05565857700373</v>
      </c>
      <c r="S137" s="92">
        <f t="shared" ca="1" si="41"/>
        <v>328.25594439265825</v>
      </c>
      <c r="T137" s="92">
        <f t="shared" ca="1" si="41"/>
        <v>110.01090062415204</v>
      </c>
      <c r="U137" s="92">
        <f t="shared" ca="1" si="41"/>
        <v>420.64733334214793</v>
      </c>
      <c r="V137" s="93">
        <f t="shared" ca="1" si="41"/>
        <v>2001.0731116223617</v>
      </c>
      <c r="W137" s="94">
        <f t="shared" ca="1" si="41"/>
        <v>0</v>
      </c>
      <c r="X137" s="116">
        <v>0.22951085195983151</v>
      </c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spans="1:38" x14ac:dyDescent="0.25">
      <c r="A138" s="87" t="str">
        <f>A137</f>
        <v>Torre</v>
      </c>
      <c r="B138" s="88" t="s">
        <v>165</v>
      </c>
      <c r="C138" s="88" t="s">
        <v>198</v>
      </c>
      <c r="D138" s="88" t="s">
        <v>201</v>
      </c>
      <c r="E138" s="88" t="s">
        <v>53</v>
      </c>
      <c r="F138" s="89"/>
      <c r="G138" s="90"/>
      <c r="H138" s="91">
        <v>45</v>
      </c>
      <c r="I138" s="118">
        <v>30.39</v>
      </c>
      <c r="J138" s="92">
        <v>260.8857142857143</v>
      </c>
      <c r="K138" s="92"/>
      <c r="L138" s="92"/>
      <c r="M138" s="92"/>
      <c r="N138" s="92">
        <v>3187.5612244897952</v>
      </c>
      <c r="O138" s="92">
        <f t="shared" ca="1" si="41"/>
        <v>17.941003004700431</v>
      </c>
      <c r="P138" s="92">
        <f t="shared" ca="1" si="41"/>
        <v>201.22319197358237</v>
      </c>
      <c r="Q138" s="92">
        <f t="shared" ca="1" si="41"/>
        <v>222.39099407984764</v>
      </c>
      <c r="R138" s="92">
        <f t="shared" ca="1" si="41"/>
        <v>252.85197759861953</v>
      </c>
      <c r="S138" s="92">
        <f t="shared" ca="1" si="41"/>
        <v>286.15254432676858</v>
      </c>
      <c r="T138" s="92">
        <f t="shared" ca="1" si="41"/>
        <v>95.900469298506565</v>
      </c>
      <c r="U138" s="92">
        <f t="shared" ca="1" si="41"/>
        <v>366.69344990182651</v>
      </c>
      <c r="V138" s="93">
        <f t="shared" ca="1" si="41"/>
        <v>1744.4075943059438</v>
      </c>
      <c r="W138" s="94">
        <f t="shared" ca="1" si="41"/>
        <v>0</v>
      </c>
      <c r="X138" s="116">
        <v>0.20007288629737605</v>
      </c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spans="1:38" x14ac:dyDescent="0.25">
      <c r="A139" s="87" t="str">
        <f>A138</f>
        <v>Torre</v>
      </c>
      <c r="B139" s="88" t="s">
        <v>165</v>
      </c>
      <c r="C139" s="88" t="s">
        <v>198</v>
      </c>
      <c r="D139" s="88" t="s">
        <v>201</v>
      </c>
      <c r="E139" s="88" t="s">
        <v>190</v>
      </c>
      <c r="F139" s="89"/>
      <c r="G139" s="90"/>
      <c r="H139" s="91">
        <v>45</v>
      </c>
      <c r="I139" s="118"/>
      <c r="J139" s="92">
        <v>0</v>
      </c>
      <c r="K139" s="92"/>
      <c r="L139" s="92"/>
      <c r="M139" s="92"/>
      <c r="N139" s="92">
        <v>0</v>
      </c>
      <c r="O139" s="108">
        <f t="shared" ca="1" si="41"/>
        <v>0</v>
      </c>
      <c r="P139" s="108">
        <f t="shared" ca="1" si="41"/>
        <v>0</v>
      </c>
      <c r="Q139" s="108">
        <f t="shared" ca="1" si="41"/>
        <v>0</v>
      </c>
      <c r="R139" s="108">
        <f t="shared" ca="1" si="41"/>
        <v>0</v>
      </c>
      <c r="S139" s="108">
        <f t="shared" ca="1" si="41"/>
        <v>0</v>
      </c>
      <c r="T139" s="108">
        <f t="shared" ca="1" si="41"/>
        <v>0</v>
      </c>
      <c r="U139" s="108">
        <f t="shared" ca="1" si="41"/>
        <v>0</v>
      </c>
      <c r="V139" s="110">
        <f t="shared" ca="1" si="41"/>
        <v>0</v>
      </c>
      <c r="W139" s="111">
        <f t="shared" ca="1" si="41"/>
        <v>0</v>
      </c>
      <c r="X139" s="116">
        <v>0</v>
      </c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spans="1:38" ht="15.75" thickBot="1" x14ac:dyDescent="0.3">
      <c r="A140" s="45" t="str">
        <f>A138</f>
        <v>Torre</v>
      </c>
      <c r="B140" s="46" t="s">
        <v>165</v>
      </c>
      <c r="C140" s="46" t="s">
        <v>198</v>
      </c>
      <c r="D140" s="46" t="s">
        <v>201</v>
      </c>
      <c r="E140" s="46" t="s">
        <v>54</v>
      </c>
      <c r="F140" s="47"/>
      <c r="G140" s="48"/>
      <c r="H140" s="91">
        <v>45</v>
      </c>
      <c r="I140" s="119">
        <f>((0.5816+0.5128)*1.2+0.1123*2.48)</f>
        <v>1.5917840000000001</v>
      </c>
      <c r="J140" s="50">
        <v>14.8264</v>
      </c>
      <c r="K140" s="50"/>
      <c r="L140" s="50"/>
      <c r="M140" s="50"/>
      <c r="N140" s="50">
        <v>68.38321995464851</v>
      </c>
      <c r="O140" s="50">
        <f t="shared" ca="1" si="41"/>
        <v>0.38489097723097465</v>
      </c>
      <c r="P140" s="50">
        <f t="shared" ca="1" si="41"/>
        <v>4.3168707446265397</v>
      </c>
      <c r="Q140" s="50">
        <f t="shared" ca="1" si="41"/>
        <v>4.7709867177623657</v>
      </c>
      <c r="R140" s="50">
        <f t="shared" ca="1" si="41"/>
        <v>5.4244706791041626</v>
      </c>
      <c r="S140" s="50">
        <f t="shared" ca="1" si="41"/>
        <v>6.1388726368422315</v>
      </c>
      <c r="T140" s="50">
        <f t="shared" ca="1" si="41"/>
        <v>2.057366878292187</v>
      </c>
      <c r="U140" s="50">
        <f t="shared" ca="1" si="41"/>
        <v>7.8667285346273248</v>
      </c>
      <c r="V140" s="51">
        <f t="shared" ca="1" si="41"/>
        <v>37.423032786162729</v>
      </c>
      <c r="W140" s="52">
        <f t="shared" ca="1" si="41"/>
        <v>0</v>
      </c>
      <c r="X140" s="116">
        <v>4.2921930677032706E-3</v>
      </c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spans="1:38" ht="21" customHeight="1" thickTop="1" thickBot="1" x14ac:dyDescent="0.3">
      <c r="A141" s="70"/>
      <c r="B141" s="71"/>
      <c r="C141" s="71"/>
      <c r="D141" s="72" t="str">
        <f>"TOTAL - "&amp;UPPER(C134)</f>
        <v>TOTAL - PENTHOUSE - 22X</v>
      </c>
      <c r="E141" s="73"/>
      <c r="F141" s="74"/>
      <c r="G141" s="75"/>
      <c r="H141" s="59"/>
      <c r="I141" s="77">
        <f>SUM(I136:I140)</f>
        <v>127.02940304761906</v>
      </c>
      <c r="J141" s="77">
        <f>SUM(J136:J140)</f>
        <v>893.87401904761907</v>
      </c>
      <c r="K141" s="77">
        <f>SUM(K136:K140)</f>
        <v>0</v>
      </c>
      <c r="L141" s="77">
        <f t="shared" ref="L141:W141" si="42">SUM(L136:L140)</f>
        <v>0</v>
      </c>
      <c r="M141" s="77">
        <f t="shared" si="42"/>
        <v>0</v>
      </c>
      <c r="N141" s="77">
        <f t="shared" si="42"/>
        <v>15931.999999999998</v>
      </c>
      <c r="O141" s="77">
        <f t="shared" ca="1" si="42"/>
        <v>89.67233560090709</v>
      </c>
      <c r="P141" s="77">
        <f t="shared" ca="1" si="42"/>
        <v>1005.7494331065757</v>
      </c>
      <c r="Q141" s="77">
        <f t="shared" ca="1" si="42"/>
        <v>1111.549886621315</v>
      </c>
      <c r="R141" s="77">
        <f t="shared" ca="1" si="42"/>
        <v>1263.7993197278906</v>
      </c>
      <c r="S141" s="77">
        <f t="shared" ca="1" si="42"/>
        <v>1430.2414965986393</v>
      </c>
      <c r="T141" s="77">
        <f t="shared" ca="1" si="42"/>
        <v>479.32766439909295</v>
      </c>
      <c r="U141" s="77">
        <f t="shared" ca="1" si="42"/>
        <v>1832.7993197278906</v>
      </c>
      <c r="V141" s="77">
        <f t="shared" ca="1" si="42"/>
        <v>8718.8605442176849</v>
      </c>
      <c r="W141" s="78">
        <f t="shared" ca="1" si="42"/>
        <v>0</v>
      </c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spans="1:38" ht="15.75" thickTop="1" x14ac:dyDescent="0.25">
      <c r="A142" s="100" t="str">
        <f>A98</f>
        <v>Torre</v>
      </c>
      <c r="B142" s="101" t="s">
        <v>165</v>
      </c>
      <c r="C142" s="101" t="s">
        <v>198</v>
      </c>
      <c r="D142" s="101" t="s">
        <v>202</v>
      </c>
      <c r="E142" s="101" t="s">
        <v>52</v>
      </c>
      <c r="F142" s="102"/>
      <c r="G142" s="103"/>
      <c r="H142" s="104">
        <v>45</v>
      </c>
      <c r="I142" s="105">
        <f>1548.3/21</f>
        <v>73.728571428571428</v>
      </c>
      <c r="J142" s="105">
        <v>418.20000000000005</v>
      </c>
      <c r="K142" s="105"/>
      <c r="L142" s="105"/>
      <c r="M142" s="105"/>
      <c r="N142" s="105">
        <v>8910.7928409459018</v>
      </c>
      <c r="O142" s="105">
        <f t="shared" ref="O142:W146" ca="1" si="43">O$5*$N142</f>
        <v>50.153879368783656</v>
      </c>
      <c r="P142" s="105">
        <f t="shared" ca="1" si="43"/>
        <v>562.51725133765228</v>
      </c>
      <c r="Q142" s="105">
        <f t="shared" ca="1" si="43"/>
        <v>621.69161260729629</v>
      </c>
      <c r="R142" s="105">
        <f t="shared" ca="1" si="43"/>
        <v>706.84496175141794</v>
      </c>
      <c r="S142" s="105">
        <f t="shared" ca="1" si="43"/>
        <v>799.93633496829716</v>
      </c>
      <c r="T142" s="105">
        <f t="shared" ca="1" si="43"/>
        <v>268.08872209357003</v>
      </c>
      <c r="U142" s="105">
        <f t="shared" ca="1" si="43"/>
        <v>1025.0875632137718</v>
      </c>
      <c r="V142" s="106">
        <f t="shared" ca="1" si="43"/>
        <v>4876.4725156051127</v>
      </c>
      <c r="W142" s="107">
        <f t="shared" ca="1" si="43"/>
        <v>0</v>
      </c>
      <c r="X142" s="116">
        <v>0.56612406867508902</v>
      </c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spans="1:38" x14ac:dyDescent="0.25">
      <c r="A143" s="87" t="str">
        <f>A142</f>
        <v>Torre</v>
      </c>
      <c r="B143" s="88" t="s">
        <v>165</v>
      </c>
      <c r="C143" s="88" t="s">
        <v>198</v>
      </c>
      <c r="D143" s="88" t="s">
        <v>202</v>
      </c>
      <c r="E143" s="88" t="s">
        <v>51</v>
      </c>
      <c r="F143" s="89" t="s">
        <v>200</v>
      </c>
      <c r="G143" s="90"/>
      <c r="H143" s="91">
        <v>45</v>
      </c>
      <c r="I143" s="92">
        <f>447.7/21</f>
        <v>21.31904761904762</v>
      </c>
      <c r="J143" s="92">
        <v>199.96190476190475</v>
      </c>
      <c r="K143" s="92"/>
      <c r="L143" s="92"/>
      <c r="M143" s="92"/>
      <c r="N143" s="92">
        <v>3612.5008098477479</v>
      </c>
      <c r="O143" s="92">
        <f t="shared" ca="1" si="43"/>
        <v>20.332750751896555</v>
      </c>
      <c r="P143" s="92">
        <f t="shared" ca="1" si="43"/>
        <v>228.04862174249428</v>
      </c>
      <c r="Q143" s="92">
        <f t="shared" ca="1" si="43"/>
        <v>252.03834205408447</v>
      </c>
      <c r="R143" s="92">
        <f t="shared" ca="1" si="43"/>
        <v>286.56013469759216</v>
      </c>
      <c r="S143" s="92">
        <f t="shared" ca="1" si="43"/>
        <v>324.30006055363043</v>
      </c>
      <c r="T143" s="92">
        <f t="shared" ca="1" si="43"/>
        <v>108.68513531409447</v>
      </c>
      <c r="U143" s="92">
        <f t="shared" ca="1" si="43"/>
        <v>415.57802076358325</v>
      </c>
      <c r="V143" s="93">
        <f t="shared" ca="1" si="43"/>
        <v>1976.9577439703723</v>
      </c>
      <c r="W143" s="94">
        <f t="shared" ca="1" si="43"/>
        <v>0</v>
      </c>
      <c r="X143" s="116">
        <v>0.22951085195983151</v>
      </c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spans="1:38" x14ac:dyDescent="0.25">
      <c r="A144" s="87" t="str">
        <f>A143</f>
        <v>Torre</v>
      </c>
      <c r="B144" s="88" t="s">
        <v>165</v>
      </c>
      <c r="C144" s="88" t="s">
        <v>198</v>
      </c>
      <c r="D144" s="88" t="s">
        <v>202</v>
      </c>
      <c r="E144" s="88" t="s">
        <v>53</v>
      </c>
      <c r="F144" s="89"/>
      <c r="G144" s="90"/>
      <c r="H144" s="91">
        <v>45</v>
      </c>
      <c r="I144" s="118">
        <v>30.39</v>
      </c>
      <c r="J144" s="92">
        <v>260.8857142857143</v>
      </c>
      <c r="K144" s="92"/>
      <c r="L144" s="92"/>
      <c r="M144" s="92"/>
      <c r="N144" s="92">
        <v>3149.1472303206988</v>
      </c>
      <c r="O144" s="92">
        <f t="shared" ca="1" si="43"/>
        <v>17.724792072180815</v>
      </c>
      <c r="P144" s="92">
        <f t="shared" ca="1" si="43"/>
        <v>198.79820748582642</v>
      </c>
      <c r="Q144" s="92">
        <f t="shared" ca="1" si="43"/>
        <v>219.71091180120524</v>
      </c>
      <c r="R144" s="92">
        <f t="shared" ca="1" si="43"/>
        <v>249.80480337699416</v>
      </c>
      <c r="S144" s="92">
        <f t="shared" ca="1" si="43"/>
        <v>282.70405772679743</v>
      </c>
      <c r="T144" s="92">
        <f t="shared" ca="1" si="43"/>
        <v>94.744751867844158</v>
      </c>
      <c r="U144" s="92">
        <f t="shared" ca="1" si="43"/>
        <v>362.27434731701914</v>
      </c>
      <c r="V144" s="93">
        <f t="shared" ca="1" si="43"/>
        <v>1723.3853586728314</v>
      </c>
      <c r="W144" s="94">
        <f t="shared" ca="1" si="43"/>
        <v>0</v>
      </c>
      <c r="X144" s="116">
        <v>0.20007288629737605</v>
      </c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spans="1:38" x14ac:dyDescent="0.25">
      <c r="A145" s="87" t="str">
        <f>A144</f>
        <v>Torre</v>
      </c>
      <c r="B145" s="88" t="s">
        <v>165</v>
      </c>
      <c r="C145" s="88" t="s">
        <v>198</v>
      </c>
      <c r="D145" s="88" t="s">
        <v>202</v>
      </c>
      <c r="E145" s="88" t="s">
        <v>190</v>
      </c>
      <c r="F145" s="89"/>
      <c r="G145" s="90"/>
      <c r="H145" s="91">
        <v>45</v>
      </c>
      <c r="I145" s="118"/>
      <c r="J145" s="92">
        <v>0</v>
      </c>
      <c r="K145" s="92"/>
      <c r="L145" s="92"/>
      <c r="M145" s="92"/>
      <c r="N145" s="92">
        <v>0</v>
      </c>
      <c r="O145" s="108">
        <f t="shared" ca="1" si="43"/>
        <v>0</v>
      </c>
      <c r="P145" s="108">
        <f t="shared" ca="1" si="43"/>
        <v>0</v>
      </c>
      <c r="Q145" s="108">
        <f t="shared" ca="1" si="43"/>
        <v>0</v>
      </c>
      <c r="R145" s="108">
        <f t="shared" ca="1" si="43"/>
        <v>0</v>
      </c>
      <c r="S145" s="108">
        <f t="shared" ca="1" si="43"/>
        <v>0</v>
      </c>
      <c r="T145" s="108">
        <f t="shared" ca="1" si="43"/>
        <v>0</v>
      </c>
      <c r="U145" s="108">
        <f t="shared" ca="1" si="43"/>
        <v>0</v>
      </c>
      <c r="V145" s="110">
        <f t="shared" ca="1" si="43"/>
        <v>0</v>
      </c>
      <c r="W145" s="111">
        <f t="shared" ca="1" si="43"/>
        <v>0</v>
      </c>
      <c r="X145" s="116">
        <v>0</v>
      </c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spans="1:38" ht="15.75" thickBot="1" x14ac:dyDescent="0.3">
      <c r="A146" s="45" t="str">
        <f>A144</f>
        <v>Torre</v>
      </c>
      <c r="B146" s="46" t="s">
        <v>165</v>
      </c>
      <c r="C146" s="46" t="s">
        <v>198</v>
      </c>
      <c r="D146" s="46" t="s">
        <v>202</v>
      </c>
      <c r="E146" s="46" t="s">
        <v>54</v>
      </c>
      <c r="F146" s="47"/>
      <c r="G146" s="48"/>
      <c r="H146" s="91">
        <v>45</v>
      </c>
      <c r="I146" s="119">
        <f>((0.5816+0.5128)*1.2+0.1123*2.48)</f>
        <v>1.5917840000000001</v>
      </c>
      <c r="J146" s="50">
        <v>14.8264</v>
      </c>
      <c r="K146" s="50"/>
      <c r="L146" s="50"/>
      <c r="M146" s="50"/>
      <c r="N146" s="50">
        <v>67.559118885649482</v>
      </c>
      <c r="O146" s="50">
        <f t="shared" ca="1" si="43"/>
        <v>0.38025257228317477</v>
      </c>
      <c r="P146" s="50">
        <f t="shared" ca="1" si="43"/>
        <v>4.2648471956076914</v>
      </c>
      <c r="Q146" s="50">
        <f t="shared" ca="1" si="43"/>
        <v>4.7134905183015086</v>
      </c>
      <c r="R146" s="50">
        <f t="shared" ca="1" si="43"/>
        <v>5.3590992021779762</v>
      </c>
      <c r="S146" s="50">
        <f t="shared" ca="1" si="43"/>
        <v>6.064891746415813</v>
      </c>
      <c r="T146" s="50">
        <f t="shared" ca="1" si="43"/>
        <v>2.0325731022043074</v>
      </c>
      <c r="U146" s="50">
        <f t="shared" ca="1" si="43"/>
        <v>7.7719248766654587</v>
      </c>
      <c r="V146" s="51">
        <f t="shared" ca="1" si="43"/>
        <v>36.972039671993556</v>
      </c>
      <c r="W146" s="52">
        <f t="shared" ca="1" si="43"/>
        <v>0</v>
      </c>
      <c r="X146" s="116">
        <v>4.2921930677032706E-3</v>
      </c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spans="1:38" ht="21" customHeight="1" thickTop="1" thickBot="1" x14ac:dyDescent="0.3">
      <c r="A147" s="70"/>
      <c r="B147" s="71"/>
      <c r="C147" s="71"/>
      <c r="D147" s="72" t="str">
        <f>"TOTAL - "&amp;UPPER(C140)</f>
        <v>TOTAL - PENTHOUSE - 22X</v>
      </c>
      <c r="E147" s="73"/>
      <c r="F147" s="74"/>
      <c r="G147" s="75"/>
      <c r="H147" s="59"/>
      <c r="I147" s="77">
        <f>SUM(I142:I146)</f>
        <v>127.02940304761906</v>
      </c>
      <c r="J147" s="77">
        <f>SUM(J142:J146)</f>
        <v>893.87401904761907</v>
      </c>
      <c r="K147" s="77">
        <f>SUM(K142:K146)</f>
        <v>0</v>
      </c>
      <c r="L147" s="77">
        <f t="shared" ref="L147:W147" si="44">SUM(L142:L146)</f>
        <v>0</v>
      </c>
      <c r="M147" s="77">
        <f t="shared" si="44"/>
        <v>0</v>
      </c>
      <c r="N147" s="77">
        <f t="shared" si="44"/>
        <v>15739.999999999998</v>
      </c>
      <c r="O147" s="77">
        <f t="shared" ca="1" si="44"/>
        <v>88.591674765144205</v>
      </c>
      <c r="P147" s="77">
        <f t="shared" ca="1" si="44"/>
        <v>993.6289277615806</v>
      </c>
      <c r="Q147" s="77">
        <f t="shared" ca="1" si="44"/>
        <v>1098.1543569808875</v>
      </c>
      <c r="R147" s="77">
        <f t="shared" ca="1" si="44"/>
        <v>1248.5689990281821</v>
      </c>
      <c r="S147" s="77">
        <f t="shared" ca="1" si="44"/>
        <v>1413.0053449951408</v>
      </c>
      <c r="T147" s="77">
        <f t="shared" ca="1" si="44"/>
        <v>473.55118237771296</v>
      </c>
      <c r="U147" s="77">
        <f t="shared" ca="1" si="44"/>
        <v>1810.7118561710397</v>
      </c>
      <c r="V147" s="77">
        <f t="shared" ca="1" si="44"/>
        <v>8613.7876579203094</v>
      </c>
      <c r="W147" s="78">
        <f t="shared" ca="1" si="44"/>
        <v>0</v>
      </c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spans="1:38" ht="15.75" thickTop="1" x14ac:dyDescent="0.25">
      <c r="A148" s="100" t="str">
        <f>A104</f>
        <v>Torre</v>
      </c>
      <c r="B148" s="101" t="s">
        <v>165</v>
      </c>
      <c r="C148" s="101" t="s">
        <v>198</v>
      </c>
      <c r="D148" s="101" t="s">
        <v>203</v>
      </c>
      <c r="E148" s="101" t="s">
        <v>52</v>
      </c>
      <c r="F148" s="102"/>
      <c r="G148" s="103"/>
      <c r="H148" s="104">
        <v>45</v>
      </c>
      <c r="I148" s="105">
        <f>1548.3/21</f>
        <v>73.728571428571428</v>
      </c>
      <c r="J148" s="105">
        <v>418.20000000000005</v>
      </c>
      <c r="K148" s="105"/>
      <c r="L148" s="105"/>
      <c r="M148" s="105"/>
      <c r="N148" s="105">
        <v>8687.7399578879158</v>
      </c>
      <c r="O148" s="105">
        <f t="shared" ref="O148:W152" ca="1" si="45">O$5*$N148</f>
        <v>48.898439186363021</v>
      </c>
      <c r="P148" s="105">
        <f t="shared" ca="1" si="45"/>
        <v>548.43645101827258</v>
      </c>
      <c r="Q148" s="105">
        <f t="shared" ca="1" si="45"/>
        <v>606.12957351153545</v>
      </c>
      <c r="R148" s="105">
        <f t="shared" ca="1" si="45"/>
        <v>689.15138392866959</v>
      </c>
      <c r="S148" s="105">
        <f t="shared" ca="1" si="45"/>
        <v>779.91251565587584</v>
      </c>
      <c r="T148" s="105">
        <f t="shared" ca="1" si="45"/>
        <v>261.37798788106261</v>
      </c>
      <c r="U148" s="105">
        <f t="shared" ca="1" si="45"/>
        <v>999.42781099609522</v>
      </c>
      <c r="V148" s="106">
        <f t="shared" ca="1" si="45"/>
        <v>4754.4057957100422</v>
      </c>
      <c r="W148" s="107">
        <f t="shared" ca="1" si="45"/>
        <v>0</v>
      </c>
      <c r="X148" s="116">
        <v>0.56612406867508902</v>
      </c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spans="1:38" x14ac:dyDescent="0.25">
      <c r="A149" s="87" t="str">
        <f>A148</f>
        <v>Torre</v>
      </c>
      <c r="B149" s="88" t="s">
        <v>165</v>
      </c>
      <c r="C149" s="88" t="s">
        <v>198</v>
      </c>
      <c r="D149" s="88" t="s">
        <v>203</v>
      </c>
      <c r="E149" s="88" t="s">
        <v>51</v>
      </c>
      <c r="F149" s="89" t="s">
        <v>200</v>
      </c>
      <c r="G149" s="90"/>
      <c r="H149" s="91">
        <v>45</v>
      </c>
      <c r="I149" s="92">
        <f>447.7/21</f>
        <v>21.31904761904762</v>
      </c>
      <c r="J149" s="92">
        <v>199.96190476190475</v>
      </c>
      <c r="K149" s="92"/>
      <c r="L149" s="92"/>
      <c r="M149" s="92"/>
      <c r="N149" s="92">
        <v>3522.0735341755744</v>
      </c>
      <c r="O149" s="92">
        <f t="shared" ca="1" si="45"/>
        <v>19.823786088856707</v>
      </c>
      <c r="P149" s="92">
        <f t="shared" ca="1" si="45"/>
        <v>222.34016196063007</v>
      </c>
      <c r="Q149" s="92">
        <f t="shared" ca="1" si="45"/>
        <v>245.72937720215884</v>
      </c>
      <c r="R149" s="92">
        <f t="shared" ca="1" si="45"/>
        <v>279.38702840338311</v>
      </c>
      <c r="S149" s="92">
        <f t="shared" ca="1" si="45"/>
        <v>316.18225725895888</v>
      </c>
      <c r="T149" s="92">
        <f t="shared" ca="1" si="45"/>
        <v>105.96455441741384</v>
      </c>
      <c r="U149" s="92">
        <f t="shared" ca="1" si="45"/>
        <v>405.17536890965363</v>
      </c>
      <c r="V149" s="93">
        <f t="shared" ca="1" si="45"/>
        <v>1927.4709999345193</v>
      </c>
      <c r="W149" s="94">
        <f t="shared" ca="1" si="45"/>
        <v>0</v>
      </c>
      <c r="X149" s="116">
        <v>0.22951085195983151</v>
      </c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spans="1:38" x14ac:dyDescent="0.25">
      <c r="A150" s="87" t="str">
        <f>A149</f>
        <v>Torre</v>
      </c>
      <c r="B150" s="88" t="s">
        <v>165</v>
      </c>
      <c r="C150" s="88" t="s">
        <v>198</v>
      </c>
      <c r="D150" s="88" t="s">
        <v>203</v>
      </c>
      <c r="E150" s="88" t="s">
        <v>53</v>
      </c>
      <c r="F150" s="89"/>
      <c r="G150" s="90"/>
      <c r="H150" s="91">
        <v>45</v>
      </c>
      <c r="I150" s="118">
        <v>30.39</v>
      </c>
      <c r="J150" s="92">
        <v>260.8857142857143</v>
      </c>
      <c r="K150" s="92"/>
      <c r="L150" s="92"/>
      <c r="M150" s="92"/>
      <c r="N150" s="92">
        <v>3070.3185131195328</v>
      </c>
      <c r="O150" s="92">
        <f t="shared" ca="1" si="45"/>
        <v>17.28110922107286</v>
      </c>
      <c r="P150" s="92">
        <f t="shared" ca="1" si="45"/>
        <v>193.82193723491056</v>
      </c>
      <c r="Q150" s="92">
        <f t="shared" ca="1" si="45"/>
        <v>214.21115962524115</v>
      </c>
      <c r="R150" s="92">
        <f t="shared" ca="1" si="45"/>
        <v>243.55174794303383</v>
      </c>
      <c r="S150" s="92">
        <f t="shared" ca="1" si="45"/>
        <v>275.62747584977342</v>
      </c>
      <c r="T150" s="92">
        <f t="shared" ca="1" si="45"/>
        <v>92.373123390339046</v>
      </c>
      <c r="U150" s="92">
        <f t="shared" ca="1" si="45"/>
        <v>353.20598055444577</v>
      </c>
      <c r="V150" s="93">
        <f t="shared" ca="1" si="45"/>
        <v>1680.2459793007163</v>
      </c>
      <c r="W150" s="94">
        <f t="shared" ca="1" si="45"/>
        <v>0</v>
      </c>
      <c r="X150" s="116">
        <v>0.20007288629737605</v>
      </c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spans="1:38" x14ac:dyDescent="0.25">
      <c r="A151" s="87" t="str">
        <f>A150</f>
        <v>Torre</v>
      </c>
      <c r="B151" s="88" t="s">
        <v>165</v>
      </c>
      <c r="C151" s="88" t="s">
        <v>198</v>
      </c>
      <c r="D151" s="88" t="s">
        <v>203</v>
      </c>
      <c r="E151" s="88" t="s">
        <v>190</v>
      </c>
      <c r="F151" s="89"/>
      <c r="G151" s="90"/>
      <c r="H151" s="91">
        <v>45</v>
      </c>
      <c r="I151" s="118"/>
      <c r="J151" s="92">
        <v>0</v>
      </c>
      <c r="K151" s="92"/>
      <c r="L151" s="92"/>
      <c r="M151" s="92"/>
      <c r="N151" s="92">
        <v>0</v>
      </c>
      <c r="O151" s="108">
        <f t="shared" ca="1" si="45"/>
        <v>0</v>
      </c>
      <c r="P151" s="108">
        <f t="shared" ca="1" si="45"/>
        <v>0</v>
      </c>
      <c r="Q151" s="108">
        <f t="shared" ca="1" si="45"/>
        <v>0</v>
      </c>
      <c r="R151" s="108">
        <f t="shared" ca="1" si="45"/>
        <v>0</v>
      </c>
      <c r="S151" s="108">
        <f t="shared" ca="1" si="45"/>
        <v>0</v>
      </c>
      <c r="T151" s="108">
        <f t="shared" ca="1" si="45"/>
        <v>0</v>
      </c>
      <c r="U151" s="108">
        <f t="shared" ca="1" si="45"/>
        <v>0</v>
      </c>
      <c r="V151" s="110">
        <f t="shared" ca="1" si="45"/>
        <v>0</v>
      </c>
      <c r="W151" s="111">
        <f t="shared" ca="1" si="45"/>
        <v>0</v>
      </c>
      <c r="X151" s="116">
        <v>0</v>
      </c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spans="1:38" ht="15.75" thickBot="1" x14ac:dyDescent="0.3">
      <c r="A152" s="45" t="str">
        <f>A150</f>
        <v>Torre</v>
      </c>
      <c r="B152" s="46" t="s">
        <v>165</v>
      </c>
      <c r="C152" s="46" t="s">
        <v>198</v>
      </c>
      <c r="D152" s="46" t="s">
        <v>203</v>
      </c>
      <c r="E152" s="46" t="s">
        <v>54</v>
      </c>
      <c r="F152" s="47"/>
      <c r="G152" s="48"/>
      <c r="H152" s="91">
        <v>45</v>
      </c>
      <c r="I152" s="119">
        <f>((0.5816+0.5128)*1.2+0.1123*2.48)</f>
        <v>1.5917840000000001</v>
      </c>
      <c r="J152" s="50">
        <v>14.8264</v>
      </c>
      <c r="K152" s="50"/>
      <c r="L152" s="50"/>
      <c r="M152" s="50"/>
      <c r="N152" s="50">
        <v>65.867994816974388</v>
      </c>
      <c r="O152" s="50">
        <f t="shared" ca="1" si="45"/>
        <v>0.37073417879654386</v>
      </c>
      <c r="P152" s="50">
        <f t="shared" ca="1" si="45"/>
        <v>4.1580905377252622</v>
      </c>
      <c r="Q152" s="50">
        <f t="shared" ca="1" si="45"/>
        <v>4.5955035256578745</v>
      </c>
      <c r="R152" s="50">
        <f t="shared" ca="1" si="45"/>
        <v>5.2249514839023652</v>
      </c>
      <c r="S152" s="50">
        <f t="shared" ca="1" si="45"/>
        <v>5.9130767941865985</v>
      </c>
      <c r="T152" s="50">
        <f t="shared" ca="1" si="45"/>
        <v>1.9816942075239705</v>
      </c>
      <c r="U152" s="50">
        <f t="shared" ca="1" si="45"/>
        <v>7.5773798702228792</v>
      </c>
      <c r="V152" s="51">
        <f t="shared" ca="1" si="45"/>
        <v>36.046564218958899</v>
      </c>
      <c r="W152" s="52">
        <f t="shared" ca="1" si="45"/>
        <v>0</v>
      </c>
      <c r="X152" s="116">
        <v>4.2921930677032706E-3</v>
      </c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spans="1:38" ht="21" customHeight="1" thickTop="1" thickBot="1" x14ac:dyDescent="0.3">
      <c r="A153" s="70"/>
      <c r="B153" s="71"/>
      <c r="C153" s="71"/>
      <c r="D153" s="72" t="str">
        <f>"TOTAL - "&amp;UPPER(C146)</f>
        <v>TOTAL - PENTHOUSE - 22X</v>
      </c>
      <c r="E153" s="73"/>
      <c r="F153" s="74"/>
      <c r="G153" s="75"/>
      <c r="H153" s="59"/>
      <c r="I153" s="77">
        <f>SUM(I148:I152)</f>
        <v>127.02940304761906</v>
      </c>
      <c r="J153" s="77">
        <f>SUM(J148:J152)</f>
        <v>893.87401904761907</v>
      </c>
      <c r="K153" s="77">
        <f>SUM(K148:K152)</f>
        <v>0</v>
      </c>
      <c r="L153" s="77">
        <f t="shared" ref="L153:W153" si="46">SUM(L148:L152)</f>
        <v>0</v>
      </c>
      <c r="M153" s="77">
        <f t="shared" si="46"/>
        <v>0</v>
      </c>
      <c r="N153" s="77">
        <f t="shared" si="46"/>
        <v>15345.999999999998</v>
      </c>
      <c r="O153" s="77">
        <f t="shared" ca="1" si="46"/>
        <v>86.37406867508912</v>
      </c>
      <c r="P153" s="77">
        <f t="shared" ca="1" si="46"/>
        <v>968.7566407515385</v>
      </c>
      <c r="Q153" s="77">
        <f t="shared" ca="1" si="46"/>
        <v>1070.6656138645933</v>
      </c>
      <c r="R153" s="77">
        <f t="shared" ca="1" si="46"/>
        <v>1217.3151117589889</v>
      </c>
      <c r="S153" s="77">
        <f t="shared" ca="1" si="46"/>
        <v>1377.6353255587946</v>
      </c>
      <c r="T153" s="77">
        <f t="shared" ca="1" si="46"/>
        <v>461.69735989633949</v>
      </c>
      <c r="U153" s="77">
        <f t="shared" ca="1" si="46"/>
        <v>1765.3865403304173</v>
      </c>
      <c r="V153" s="77">
        <f t="shared" ca="1" si="46"/>
        <v>8398.1693391642366</v>
      </c>
      <c r="W153" s="78">
        <f t="shared" ca="1" si="46"/>
        <v>0</v>
      </c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spans="1:38" ht="15.75" thickTop="1" x14ac:dyDescent="0.25">
      <c r="A154" s="100" t="str">
        <f>A110</f>
        <v>Torre</v>
      </c>
      <c r="B154" s="101" t="s">
        <v>165</v>
      </c>
      <c r="C154" s="101" t="s">
        <v>198</v>
      </c>
      <c r="D154" s="101" t="s">
        <v>204</v>
      </c>
      <c r="E154" s="101" t="s">
        <v>52</v>
      </c>
      <c r="F154" s="102"/>
      <c r="G154" s="103"/>
      <c r="H154" s="104">
        <v>45</v>
      </c>
      <c r="I154" s="105">
        <f>1548.3/21</f>
        <v>73.728571428571428</v>
      </c>
      <c r="J154" s="105">
        <v>418.20000000000005</v>
      </c>
      <c r="K154" s="105"/>
      <c r="L154" s="105"/>
      <c r="M154" s="105"/>
      <c r="N154" s="105">
        <v>8560.9281665046965</v>
      </c>
      <c r="O154" s="105">
        <f t="shared" ref="O154:W158" ca="1" si="47">O$5*$N154</f>
        <v>48.18468639229647</v>
      </c>
      <c r="P154" s="105">
        <f t="shared" ca="1" si="47"/>
        <v>540.43112291791465</v>
      </c>
      <c r="Q154" s="105">
        <f t="shared" ca="1" si="47"/>
        <v>597.28211981242282</v>
      </c>
      <c r="R154" s="105">
        <f t="shared" ca="1" si="47"/>
        <v>679.09209095330004</v>
      </c>
      <c r="S154" s="105">
        <f t="shared" ca="1" si="47"/>
        <v>768.52841533612377</v>
      </c>
      <c r="T154" s="105">
        <f t="shared" ca="1" si="47"/>
        <v>257.56274812572849</v>
      </c>
      <c r="U154" s="105">
        <f t="shared" ca="1" si="47"/>
        <v>984.83952547132503</v>
      </c>
      <c r="V154" s="106">
        <f t="shared" ca="1" si="47"/>
        <v>4685.0074574955852</v>
      </c>
      <c r="W154" s="107">
        <f t="shared" ca="1" si="47"/>
        <v>0</v>
      </c>
      <c r="X154" s="116">
        <v>0.56612406867508902</v>
      </c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spans="1:38" x14ac:dyDescent="0.25">
      <c r="A155" s="87" t="str">
        <f>A154</f>
        <v>Torre</v>
      </c>
      <c r="B155" s="88" t="s">
        <v>165</v>
      </c>
      <c r="C155" s="88" t="s">
        <v>198</v>
      </c>
      <c r="D155" s="88" t="s">
        <v>204</v>
      </c>
      <c r="E155" s="88" t="s">
        <v>51</v>
      </c>
      <c r="F155" s="89" t="s">
        <v>200</v>
      </c>
      <c r="G155" s="90"/>
      <c r="H155" s="91">
        <v>45</v>
      </c>
      <c r="I155" s="92">
        <f>447.7/21</f>
        <v>21.31904761904762</v>
      </c>
      <c r="J155" s="92">
        <v>199.96190476190475</v>
      </c>
      <c r="K155" s="92"/>
      <c r="L155" s="92"/>
      <c r="M155" s="92"/>
      <c r="N155" s="92">
        <v>3470.663103336572</v>
      </c>
      <c r="O155" s="92">
        <f t="shared" ca="1" si="47"/>
        <v>19.534425468245217</v>
      </c>
      <c r="P155" s="92">
        <f t="shared" ca="1" si="47"/>
        <v>219.09474320139762</v>
      </c>
      <c r="Q155" s="92">
        <f t="shared" ca="1" si="47"/>
        <v>242.14255454522652</v>
      </c>
      <c r="R155" s="92">
        <f t="shared" ca="1" si="47"/>
        <v>275.3089172107363</v>
      </c>
      <c r="S155" s="92">
        <f t="shared" ca="1" si="47"/>
        <v>311.5670594467598</v>
      </c>
      <c r="T155" s="92">
        <f t="shared" ca="1" si="47"/>
        <v>104.41782822234667</v>
      </c>
      <c r="U155" s="92">
        <f t="shared" ca="1" si="47"/>
        <v>399.26117090132817</v>
      </c>
      <c r="V155" s="93">
        <f t="shared" ca="1" si="47"/>
        <v>1899.3364043405318</v>
      </c>
      <c r="W155" s="94">
        <f t="shared" ca="1" si="47"/>
        <v>0</v>
      </c>
      <c r="X155" s="116">
        <v>0.22951085195983151</v>
      </c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spans="1:38" x14ac:dyDescent="0.25">
      <c r="A156" s="87" t="str">
        <f>A155</f>
        <v>Torre</v>
      </c>
      <c r="B156" s="88" t="s">
        <v>165</v>
      </c>
      <c r="C156" s="88" t="s">
        <v>198</v>
      </c>
      <c r="D156" s="88" t="s">
        <v>204</v>
      </c>
      <c r="E156" s="88" t="s">
        <v>53</v>
      </c>
      <c r="F156" s="89"/>
      <c r="G156" s="90"/>
      <c r="H156" s="91">
        <v>45</v>
      </c>
      <c r="I156" s="118">
        <v>30.39</v>
      </c>
      <c r="J156" s="92">
        <v>260.8857142857143</v>
      </c>
      <c r="K156" s="92"/>
      <c r="L156" s="92"/>
      <c r="M156" s="92"/>
      <c r="N156" s="92">
        <v>3025.5021865889207</v>
      </c>
      <c r="O156" s="92">
        <f t="shared" ca="1" si="47"/>
        <v>17.028863133133314</v>
      </c>
      <c r="P156" s="92">
        <f t="shared" ca="1" si="47"/>
        <v>190.99278866586198</v>
      </c>
      <c r="Q156" s="92">
        <f t="shared" ca="1" si="47"/>
        <v>211.08439696682501</v>
      </c>
      <c r="R156" s="92">
        <f t="shared" ca="1" si="47"/>
        <v>239.99671135113761</v>
      </c>
      <c r="S156" s="92">
        <f t="shared" ca="1" si="47"/>
        <v>271.60424148314047</v>
      </c>
      <c r="T156" s="92">
        <f t="shared" ca="1" si="47"/>
        <v>91.024786387899596</v>
      </c>
      <c r="U156" s="92">
        <f t="shared" ca="1" si="47"/>
        <v>348.05036087217053</v>
      </c>
      <c r="V156" s="93">
        <f t="shared" ca="1" si="47"/>
        <v>1655.7200377287522</v>
      </c>
      <c r="W156" s="94">
        <f t="shared" ca="1" si="47"/>
        <v>0</v>
      </c>
      <c r="X156" s="116">
        <v>0.20007288629737605</v>
      </c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spans="1:38" x14ac:dyDescent="0.25">
      <c r="A157" s="87" t="str">
        <f>A156</f>
        <v>Torre</v>
      </c>
      <c r="B157" s="88" t="s">
        <v>165</v>
      </c>
      <c r="C157" s="88" t="s">
        <v>198</v>
      </c>
      <c r="D157" s="88" t="s">
        <v>204</v>
      </c>
      <c r="E157" s="88" t="s">
        <v>190</v>
      </c>
      <c r="F157" s="89"/>
      <c r="G157" s="90"/>
      <c r="H157" s="91">
        <v>45</v>
      </c>
      <c r="I157" s="118"/>
      <c r="J157" s="92">
        <v>0</v>
      </c>
      <c r="K157" s="92"/>
      <c r="L157" s="92"/>
      <c r="M157" s="92"/>
      <c r="N157" s="92">
        <v>0</v>
      </c>
      <c r="O157" s="108">
        <f t="shared" ca="1" si="47"/>
        <v>0</v>
      </c>
      <c r="P157" s="108">
        <f t="shared" ca="1" si="47"/>
        <v>0</v>
      </c>
      <c r="Q157" s="108">
        <f t="shared" ca="1" si="47"/>
        <v>0</v>
      </c>
      <c r="R157" s="108">
        <f t="shared" ca="1" si="47"/>
        <v>0</v>
      </c>
      <c r="S157" s="108">
        <f t="shared" ca="1" si="47"/>
        <v>0</v>
      </c>
      <c r="T157" s="108">
        <f t="shared" ca="1" si="47"/>
        <v>0</v>
      </c>
      <c r="U157" s="108">
        <f t="shared" ca="1" si="47"/>
        <v>0</v>
      </c>
      <c r="V157" s="110">
        <f t="shared" ca="1" si="47"/>
        <v>0</v>
      </c>
      <c r="W157" s="111">
        <f t="shared" ca="1" si="47"/>
        <v>0</v>
      </c>
      <c r="X157" s="116">
        <v>0</v>
      </c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spans="1:38" ht="15.75" thickBot="1" x14ac:dyDescent="0.3">
      <c r="A158" s="45" t="str">
        <f>A156</f>
        <v>Torre</v>
      </c>
      <c r="B158" s="46" t="s">
        <v>165</v>
      </c>
      <c r="C158" s="46" t="s">
        <v>198</v>
      </c>
      <c r="D158" s="46" t="s">
        <v>204</v>
      </c>
      <c r="E158" s="46" t="s">
        <v>54</v>
      </c>
      <c r="F158" s="47"/>
      <c r="G158" s="48"/>
      <c r="H158" s="91">
        <v>45</v>
      </c>
      <c r="I158" s="119">
        <f>((0.5816+0.5128)*1.2+0.1123*2.48)</f>
        <v>1.5917840000000001</v>
      </c>
      <c r="J158" s="50">
        <v>14.8264</v>
      </c>
      <c r="K158" s="50"/>
      <c r="L158" s="50"/>
      <c r="M158" s="50"/>
      <c r="N158" s="50">
        <v>64.906543569808861</v>
      </c>
      <c r="O158" s="50">
        <f t="shared" ca="1" si="47"/>
        <v>0.36532270635744407</v>
      </c>
      <c r="P158" s="50">
        <f t="shared" ca="1" si="47"/>
        <v>4.0973963972032719</v>
      </c>
      <c r="Q158" s="50">
        <f t="shared" ca="1" si="47"/>
        <v>4.528424626286875</v>
      </c>
      <c r="R158" s="50">
        <f t="shared" ca="1" si="47"/>
        <v>5.1486847608218147</v>
      </c>
      <c r="S158" s="50">
        <f t="shared" ca="1" si="47"/>
        <v>5.8267657553557761</v>
      </c>
      <c r="T158" s="50">
        <f t="shared" ca="1" si="47"/>
        <v>1.9527681354214443</v>
      </c>
      <c r="U158" s="50">
        <f t="shared" ca="1" si="47"/>
        <v>7.4667756026007028</v>
      </c>
      <c r="V158" s="51">
        <f t="shared" ca="1" si="47"/>
        <v>35.52040558576153</v>
      </c>
      <c r="W158" s="52">
        <f t="shared" ca="1" si="47"/>
        <v>0</v>
      </c>
      <c r="X158" s="116">
        <v>4.2921930677032706E-3</v>
      </c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spans="1:38" ht="21" customHeight="1" thickTop="1" thickBot="1" x14ac:dyDescent="0.3">
      <c r="A159" s="70"/>
      <c r="B159" s="71"/>
      <c r="C159" s="71"/>
      <c r="D159" s="72" t="str">
        <f>"TOTAL - "&amp;UPPER(C152)</f>
        <v>TOTAL - PENTHOUSE - 22X</v>
      </c>
      <c r="E159" s="73"/>
      <c r="F159" s="74"/>
      <c r="G159" s="75"/>
      <c r="H159" s="59"/>
      <c r="I159" s="77">
        <f>SUM(I154:I158)</f>
        <v>127.02940304761906</v>
      </c>
      <c r="J159" s="77">
        <f>SUM(J154:J158)</f>
        <v>893.87401904761907</v>
      </c>
      <c r="K159" s="77">
        <f>SUM(K154:K158)</f>
        <v>0</v>
      </c>
      <c r="L159" s="77">
        <f t="shared" ref="L159:W159" si="48">SUM(L154:L158)</f>
        <v>0</v>
      </c>
      <c r="M159" s="77">
        <f t="shared" si="48"/>
        <v>0</v>
      </c>
      <c r="N159" s="77">
        <f t="shared" si="48"/>
        <v>15121.999999999998</v>
      </c>
      <c r="O159" s="77">
        <f t="shared" ca="1" si="48"/>
        <v>85.113297700032447</v>
      </c>
      <c r="P159" s="77">
        <f t="shared" ca="1" si="48"/>
        <v>954.61605118237753</v>
      </c>
      <c r="Q159" s="77">
        <f t="shared" ca="1" si="48"/>
        <v>1055.0374959507612</v>
      </c>
      <c r="R159" s="77">
        <f t="shared" ca="1" si="48"/>
        <v>1199.5464042759957</v>
      </c>
      <c r="S159" s="77">
        <f t="shared" ca="1" si="48"/>
        <v>1357.5264820213799</v>
      </c>
      <c r="T159" s="77">
        <f t="shared" ca="1" si="48"/>
        <v>454.95813087139618</v>
      </c>
      <c r="U159" s="77">
        <f t="shared" ca="1" si="48"/>
        <v>1739.6178328474243</v>
      </c>
      <c r="V159" s="77">
        <f t="shared" ca="1" si="48"/>
        <v>8275.5843051506308</v>
      </c>
      <c r="W159" s="78">
        <f t="shared" ca="1" si="48"/>
        <v>0</v>
      </c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spans="1:38" ht="15.75" thickTop="1" x14ac:dyDescent="0.25">
      <c r="A160" s="100" t="str">
        <f>A116</f>
        <v>Torre</v>
      </c>
      <c r="B160" s="101" t="s">
        <v>165</v>
      </c>
      <c r="C160" s="101" t="s">
        <v>198</v>
      </c>
      <c r="D160" s="101" t="s">
        <v>205</v>
      </c>
      <c r="E160" s="101" t="s">
        <v>52</v>
      </c>
      <c r="F160" s="102"/>
      <c r="G160" s="103"/>
      <c r="H160" s="104">
        <v>45</v>
      </c>
      <c r="I160" s="105">
        <f>1548.3/21</f>
        <v>73.728571428571428</v>
      </c>
      <c r="J160" s="105">
        <v>418.20000000000005</v>
      </c>
      <c r="K160" s="105"/>
      <c r="L160" s="105"/>
      <c r="M160" s="105"/>
      <c r="N160" s="105">
        <v>8490.7287819889843</v>
      </c>
      <c r="O160" s="105">
        <f t="shared" ref="O160:W164" ca="1" si="49">O$5*$N160</f>
        <v>47.789573238438194</v>
      </c>
      <c r="P160" s="105">
        <f t="shared" ca="1" si="49"/>
        <v>535.9996020052165</v>
      </c>
      <c r="Q160" s="105">
        <f t="shared" ca="1" si="49"/>
        <v>592.38442222898527</v>
      </c>
      <c r="R160" s="105">
        <f t="shared" ca="1" si="49"/>
        <v>673.52355377050606</v>
      </c>
      <c r="S160" s="105">
        <f t="shared" ca="1" si="49"/>
        <v>762.22650265911807</v>
      </c>
      <c r="T160" s="105">
        <f t="shared" ca="1" si="49"/>
        <v>255.45074040402559</v>
      </c>
      <c r="U160" s="105">
        <f t="shared" ca="1" si="49"/>
        <v>976.76386741296983</v>
      </c>
      <c r="V160" s="106">
        <f t="shared" ca="1" si="49"/>
        <v>4646.5905202697249</v>
      </c>
      <c r="W160" s="107">
        <f t="shared" ca="1" si="49"/>
        <v>0</v>
      </c>
      <c r="X160" s="116">
        <v>0.56612406867508902</v>
      </c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spans="1:38" x14ac:dyDescent="0.25">
      <c r="A161" s="87" t="str">
        <f>A160</f>
        <v>Torre</v>
      </c>
      <c r="B161" s="88" t="s">
        <v>165</v>
      </c>
      <c r="C161" s="88" t="s">
        <v>198</v>
      </c>
      <c r="D161" s="88" t="s">
        <v>205</v>
      </c>
      <c r="E161" s="88" t="s">
        <v>51</v>
      </c>
      <c r="F161" s="89" t="s">
        <v>200</v>
      </c>
      <c r="G161" s="90"/>
      <c r="H161" s="91">
        <v>45</v>
      </c>
      <c r="I161" s="92">
        <f>447.7/21</f>
        <v>21.31904761904762</v>
      </c>
      <c r="J161" s="92">
        <v>199.96190476190475</v>
      </c>
      <c r="K161" s="92"/>
      <c r="L161" s="92"/>
      <c r="M161" s="92"/>
      <c r="N161" s="92">
        <v>3442.2037576935531</v>
      </c>
      <c r="O161" s="92">
        <f t="shared" ca="1" si="49"/>
        <v>19.374243696120999</v>
      </c>
      <c r="P161" s="92">
        <f t="shared" ca="1" si="49"/>
        <v>217.29817210253682</v>
      </c>
      <c r="Q161" s="92">
        <f t="shared" ca="1" si="49"/>
        <v>240.15699200299613</v>
      </c>
      <c r="R161" s="92">
        <f t="shared" ca="1" si="49"/>
        <v>273.05139137194971</v>
      </c>
      <c r="S161" s="92">
        <f t="shared" ca="1" si="49"/>
        <v>309.01221780072109</v>
      </c>
      <c r="T161" s="92">
        <f t="shared" ca="1" si="49"/>
        <v>103.56160479293449</v>
      </c>
      <c r="U161" s="92">
        <f t="shared" ca="1" si="49"/>
        <v>395.98723986100521</v>
      </c>
      <c r="V161" s="93">
        <f t="shared" ca="1" si="49"/>
        <v>1883.761896065289</v>
      </c>
      <c r="W161" s="94">
        <f t="shared" ca="1" si="49"/>
        <v>0</v>
      </c>
      <c r="X161" s="116">
        <v>0.22951085195983151</v>
      </c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spans="1:38" x14ac:dyDescent="0.25">
      <c r="A162" s="87" t="str">
        <f>A161</f>
        <v>Torre</v>
      </c>
      <c r="B162" s="88" t="s">
        <v>165</v>
      </c>
      <c r="C162" s="88" t="s">
        <v>198</v>
      </c>
      <c r="D162" s="88" t="s">
        <v>205</v>
      </c>
      <c r="E162" s="88" t="s">
        <v>53</v>
      </c>
      <c r="F162" s="89"/>
      <c r="G162" s="90"/>
      <c r="H162" s="91">
        <v>45</v>
      </c>
      <c r="I162" s="118">
        <v>30.39</v>
      </c>
      <c r="J162" s="92">
        <v>260.8857142857143</v>
      </c>
      <c r="K162" s="92"/>
      <c r="L162" s="92"/>
      <c r="M162" s="92"/>
      <c r="N162" s="92">
        <v>3000.6931486880458</v>
      </c>
      <c r="O162" s="92">
        <f t="shared" ca="1" si="49"/>
        <v>16.88922690588106</v>
      </c>
      <c r="P162" s="92">
        <f t="shared" ca="1" si="49"/>
        <v>189.42665285085289</v>
      </c>
      <c r="Q162" s="92">
        <f t="shared" ca="1" si="49"/>
        <v>209.35351049520179</v>
      </c>
      <c r="R162" s="92">
        <f t="shared" ca="1" si="49"/>
        <v>238.0287446663379</v>
      </c>
      <c r="S162" s="92">
        <f t="shared" ca="1" si="49"/>
        <v>269.37709388732577</v>
      </c>
      <c r="T162" s="92">
        <f t="shared" ca="1" si="49"/>
        <v>90.278385547263454</v>
      </c>
      <c r="U162" s="92">
        <f t="shared" ca="1" si="49"/>
        <v>345.1963571194824</v>
      </c>
      <c r="V162" s="93">
        <f t="shared" ca="1" si="49"/>
        <v>1642.1431772157007</v>
      </c>
      <c r="W162" s="94">
        <f t="shared" ca="1" si="49"/>
        <v>0</v>
      </c>
      <c r="X162" s="116">
        <v>0.20007288629737605</v>
      </c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spans="1:38" x14ac:dyDescent="0.25">
      <c r="A163" s="87" t="str">
        <f>A162</f>
        <v>Torre</v>
      </c>
      <c r="B163" s="88" t="s">
        <v>165</v>
      </c>
      <c r="C163" s="88" t="s">
        <v>198</v>
      </c>
      <c r="D163" s="88" t="s">
        <v>205</v>
      </c>
      <c r="E163" s="88" t="s">
        <v>190</v>
      </c>
      <c r="F163" s="89"/>
      <c r="G163" s="90"/>
      <c r="H163" s="91">
        <v>45</v>
      </c>
      <c r="I163" s="118"/>
      <c r="J163" s="92">
        <v>0</v>
      </c>
      <c r="K163" s="92"/>
      <c r="L163" s="92"/>
      <c r="M163" s="92"/>
      <c r="N163" s="92">
        <v>0</v>
      </c>
      <c r="O163" s="108">
        <f t="shared" ca="1" si="49"/>
        <v>0</v>
      </c>
      <c r="P163" s="108">
        <f t="shared" ca="1" si="49"/>
        <v>0</v>
      </c>
      <c r="Q163" s="108">
        <f t="shared" ca="1" si="49"/>
        <v>0</v>
      </c>
      <c r="R163" s="108">
        <f t="shared" ca="1" si="49"/>
        <v>0</v>
      </c>
      <c r="S163" s="108">
        <f t="shared" ca="1" si="49"/>
        <v>0</v>
      </c>
      <c r="T163" s="108">
        <f t="shared" ca="1" si="49"/>
        <v>0</v>
      </c>
      <c r="U163" s="108">
        <f t="shared" ca="1" si="49"/>
        <v>0</v>
      </c>
      <c r="V163" s="110">
        <f t="shared" ca="1" si="49"/>
        <v>0</v>
      </c>
      <c r="W163" s="111">
        <f t="shared" ca="1" si="49"/>
        <v>0</v>
      </c>
      <c r="X163" s="116">
        <v>0</v>
      </c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spans="1:38" ht="15.75" thickBot="1" x14ac:dyDescent="0.3">
      <c r="A164" s="45" t="str">
        <f>A162</f>
        <v>Torre</v>
      </c>
      <c r="B164" s="46" t="s">
        <v>165</v>
      </c>
      <c r="C164" s="46" t="s">
        <v>198</v>
      </c>
      <c r="D164" s="46" t="s">
        <v>205</v>
      </c>
      <c r="E164" s="46" t="s">
        <v>54</v>
      </c>
      <c r="F164" s="47"/>
      <c r="G164" s="48"/>
      <c r="H164" s="91">
        <v>45</v>
      </c>
      <c r="I164" s="119">
        <f>((0.5816+0.5128)*1.2+0.1123*2.48)</f>
        <v>1.5917840000000001</v>
      </c>
      <c r="J164" s="50">
        <v>14.8264</v>
      </c>
      <c r="K164" s="50"/>
      <c r="L164" s="50"/>
      <c r="M164" s="50"/>
      <c r="N164" s="50">
        <v>64.374311629413654</v>
      </c>
      <c r="O164" s="50">
        <f t="shared" ca="1" si="49"/>
        <v>0.36232706982865664</v>
      </c>
      <c r="P164" s="50">
        <f t="shared" ca="1" si="49"/>
        <v>4.0637978551285991</v>
      </c>
      <c r="Q164" s="50">
        <f t="shared" ca="1" si="49"/>
        <v>4.4912916641350717</v>
      </c>
      <c r="R164" s="50">
        <f t="shared" ca="1" si="49"/>
        <v>5.1064656819736527</v>
      </c>
      <c r="S164" s="50">
        <f t="shared" ca="1" si="49"/>
        <v>5.7789864302887137</v>
      </c>
      <c r="T164" s="50">
        <f t="shared" ca="1" si="49"/>
        <v>1.9367554883646887</v>
      </c>
      <c r="U164" s="50">
        <f t="shared" ca="1" si="49"/>
        <v>7.4055482401669979</v>
      </c>
      <c r="V164" s="51">
        <f t="shared" ca="1" si="49"/>
        <v>35.229139199527275</v>
      </c>
      <c r="W164" s="52">
        <f t="shared" ca="1" si="49"/>
        <v>0</v>
      </c>
      <c r="X164" s="116">
        <v>4.2921930677032706E-3</v>
      </c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spans="1:38" ht="21" customHeight="1" thickTop="1" thickBot="1" x14ac:dyDescent="0.3">
      <c r="A165" s="70"/>
      <c r="B165" s="71"/>
      <c r="C165" s="71"/>
      <c r="D165" s="72" t="str">
        <f>"TOTAL - "&amp;UPPER(C158)</f>
        <v>TOTAL - PENTHOUSE - 22X</v>
      </c>
      <c r="E165" s="73"/>
      <c r="F165" s="74"/>
      <c r="G165" s="75"/>
      <c r="H165" s="59"/>
      <c r="I165" s="77">
        <f>SUM(I160:I164)</f>
        <v>127.02940304761906</v>
      </c>
      <c r="J165" s="77">
        <f>SUM(J160:J164)</f>
        <v>893.87401904761907</v>
      </c>
      <c r="K165" s="77">
        <f>SUM(K160:K164)</f>
        <v>0</v>
      </c>
      <c r="L165" s="77">
        <f t="shared" ref="L165:W165" si="50">SUM(L160:L164)</f>
        <v>0</v>
      </c>
      <c r="M165" s="77">
        <f t="shared" si="50"/>
        <v>0</v>
      </c>
      <c r="N165" s="77">
        <f t="shared" si="50"/>
        <v>14997.999999999996</v>
      </c>
      <c r="O165" s="77">
        <f t="shared" ca="1" si="50"/>
        <v>84.415370910268905</v>
      </c>
      <c r="P165" s="77">
        <f t="shared" ca="1" si="50"/>
        <v>946.78822481373481</v>
      </c>
      <c r="Q165" s="77">
        <f t="shared" ca="1" si="50"/>
        <v>1046.3862163913184</v>
      </c>
      <c r="R165" s="77">
        <f t="shared" ca="1" si="50"/>
        <v>1189.7101554907674</v>
      </c>
      <c r="S165" s="77">
        <f t="shared" ca="1" si="50"/>
        <v>1346.3948007774538</v>
      </c>
      <c r="T165" s="77">
        <f t="shared" ca="1" si="50"/>
        <v>451.22748623258821</v>
      </c>
      <c r="U165" s="77">
        <f t="shared" ca="1" si="50"/>
        <v>1725.3530126336245</v>
      </c>
      <c r="V165" s="77">
        <f t="shared" ca="1" si="50"/>
        <v>8207.7247327502428</v>
      </c>
      <c r="W165" s="78">
        <f t="shared" ca="1" si="50"/>
        <v>0</v>
      </c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spans="1:38" ht="15.75" thickTop="1" x14ac:dyDescent="0.25">
      <c r="A166" s="100" t="str">
        <f>A122</f>
        <v>Torre</v>
      </c>
      <c r="B166" s="101" t="s">
        <v>165</v>
      </c>
      <c r="C166" s="101" t="s">
        <v>198</v>
      </c>
      <c r="D166" s="101" t="s">
        <v>206</v>
      </c>
      <c r="E166" s="101" t="s">
        <v>52</v>
      </c>
      <c r="F166" s="102"/>
      <c r="G166" s="103"/>
      <c r="H166" s="104">
        <v>45</v>
      </c>
      <c r="I166" s="105">
        <f>1548.3/21</f>
        <v>73.728571428571428</v>
      </c>
      <c r="J166" s="105">
        <v>418.20000000000005</v>
      </c>
      <c r="K166" s="105"/>
      <c r="L166" s="105"/>
      <c r="M166" s="105"/>
      <c r="N166" s="105">
        <v>8361.0863702623901</v>
      </c>
      <c r="O166" s="105">
        <f t="shared" ref="O166:W170" ca="1" si="51">O$5*$N166</f>
        <v>47.059888462361236</v>
      </c>
      <c r="P166" s="105">
        <f t="shared" ca="1" si="51"/>
        <v>527.81558354547565</v>
      </c>
      <c r="Q166" s="105">
        <f t="shared" ca="1" si="51"/>
        <v>583.33948072408884</v>
      </c>
      <c r="R166" s="105">
        <f t="shared" ca="1" si="51"/>
        <v>663.2397230055077</v>
      </c>
      <c r="S166" s="105">
        <f t="shared" ca="1" si="51"/>
        <v>750.58829295722865</v>
      </c>
      <c r="T166" s="105">
        <f t="shared" ca="1" si="51"/>
        <v>251.55033904700991</v>
      </c>
      <c r="U166" s="105">
        <f t="shared" ca="1" si="51"/>
        <v>961.84995051487897</v>
      </c>
      <c r="V166" s="106">
        <f t="shared" ca="1" si="51"/>
        <v>4575.6431120058396</v>
      </c>
      <c r="W166" s="107">
        <f t="shared" ca="1" si="51"/>
        <v>0</v>
      </c>
      <c r="X166" s="116">
        <v>0.56612406867508902</v>
      </c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spans="1:38" x14ac:dyDescent="0.25">
      <c r="A167" s="87" t="str">
        <f>A166</f>
        <v>Torre</v>
      </c>
      <c r="B167" s="88" t="s">
        <v>165</v>
      </c>
      <c r="C167" s="88" t="s">
        <v>198</v>
      </c>
      <c r="D167" s="88" t="s">
        <v>206</v>
      </c>
      <c r="E167" s="88" t="s">
        <v>51</v>
      </c>
      <c r="F167" s="89" t="s">
        <v>200</v>
      </c>
      <c r="G167" s="90"/>
      <c r="H167" s="91">
        <v>45</v>
      </c>
      <c r="I167" s="92">
        <f>447.7/21</f>
        <v>21.31904761904762</v>
      </c>
      <c r="J167" s="92">
        <v>199.96190476190475</v>
      </c>
      <c r="K167" s="92"/>
      <c r="L167" s="92"/>
      <c r="M167" s="92"/>
      <c r="N167" s="92">
        <v>3389.6457725947516</v>
      </c>
      <c r="O167" s="92">
        <f t="shared" ca="1" si="51"/>
        <v>19.078424133085147</v>
      </c>
      <c r="P167" s="92">
        <f t="shared" ca="1" si="51"/>
        <v>213.98031096028578</v>
      </c>
      <c r="Q167" s="92">
        <f t="shared" ca="1" si="51"/>
        <v>236.49010634032871</v>
      </c>
      <c r="R167" s="92">
        <f t="shared" ca="1" si="51"/>
        <v>268.88225091160984</v>
      </c>
      <c r="S167" s="92">
        <f t="shared" ca="1" si="51"/>
        <v>304.29400218021397</v>
      </c>
      <c r="T167" s="92">
        <f t="shared" ca="1" si="51"/>
        <v>101.98035345958458</v>
      </c>
      <c r="U167" s="92">
        <f t="shared" ca="1" si="51"/>
        <v>389.94102850427959</v>
      </c>
      <c r="V167" s="93">
        <f t="shared" ca="1" si="51"/>
        <v>1854.999296105364</v>
      </c>
      <c r="W167" s="94">
        <f t="shared" ca="1" si="51"/>
        <v>0</v>
      </c>
      <c r="X167" s="116">
        <v>0.22951085195983151</v>
      </c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spans="1:38" x14ac:dyDescent="0.25">
      <c r="A168" s="87" t="str">
        <f>A167</f>
        <v>Torre</v>
      </c>
      <c r="B168" s="88" t="s">
        <v>165</v>
      </c>
      <c r="C168" s="88" t="s">
        <v>198</v>
      </c>
      <c r="D168" s="88" t="s">
        <v>206</v>
      </c>
      <c r="E168" s="88" t="s">
        <v>53</v>
      </c>
      <c r="F168" s="89"/>
      <c r="G168" s="90"/>
      <c r="H168" s="91">
        <v>45</v>
      </c>
      <c r="I168" s="118">
        <v>30.39</v>
      </c>
      <c r="J168" s="92">
        <v>260.8857142857143</v>
      </c>
      <c r="K168" s="92"/>
      <c r="L168" s="92"/>
      <c r="M168" s="92"/>
      <c r="N168" s="92">
        <v>2954.8764577259467</v>
      </c>
      <c r="O168" s="92">
        <f t="shared" ca="1" si="51"/>
        <v>16.631350324907146</v>
      </c>
      <c r="P168" s="92">
        <f t="shared" ca="1" si="51"/>
        <v>186.53435364410231</v>
      </c>
      <c r="Q168" s="92">
        <f t="shared" ca="1" si="51"/>
        <v>206.15695402744601</v>
      </c>
      <c r="R168" s="92">
        <f t="shared" ca="1" si="51"/>
        <v>234.39435457908684</v>
      </c>
      <c r="S168" s="92">
        <f t="shared" ca="1" si="51"/>
        <v>265.26405518215194</v>
      </c>
      <c r="T168" s="92">
        <f t="shared" ca="1" si="51"/>
        <v>88.899951736733826</v>
      </c>
      <c r="U168" s="92">
        <f t="shared" ca="1" si="51"/>
        <v>339.92565664072782</v>
      </c>
      <c r="V168" s="93">
        <f t="shared" ca="1" si="51"/>
        <v>1617.0697815907909</v>
      </c>
      <c r="W168" s="94">
        <f t="shared" ca="1" si="51"/>
        <v>0</v>
      </c>
      <c r="X168" s="116">
        <v>0.20007288629737605</v>
      </c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spans="1:38" x14ac:dyDescent="0.25">
      <c r="A169" s="87" t="str">
        <f>A168</f>
        <v>Torre</v>
      </c>
      <c r="B169" s="88" t="s">
        <v>165</v>
      </c>
      <c r="C169" s="88" t="s">
        <v>198</v>
      </c>
      <c r="D169" s="88" t="s">
        <v>206</v>
      </c>
      <c r="E169" s="88" t="s">
        <v>190</v>
      </c>
      <c r="F169" s="89"/>
      <c r="G169" s="90"/>
      <c r="H169" s="91">
        <v>45</v>
      </c>
      <c r="I169" s="118"/>
      <c r="J169" s="92">
        <v>0</v>
      </c>
      <c r="K169" s="92"/>
      <c r="L169" s="92"/>
      <c r="M169" s="92"/>
      <c r="N169" s="92">
        <v>0</v>
      </c>
      <c r="O169" s="108">
        <f t="shared" ca="1" si="51"/>
        <v>0</v>
      </c>
      <c r="P169" s="108">
        <f t="shared" ca="1" si="51"/>
        <v>0</v>
      </c>
      <c r="Q169" s="108">
        <f t="shared" ca="1" si="51"/>
        <v>0</v>
      </c>
      <c r="R169" s="108">
        <f t="shared" ca="1" si="51"/>
        <v>0</v>
      </c>
      <c r="S169" s="108">
        <f t="shared" ca="1" si="51"/>
        <v>0</v>
      </c>
      <c r="T169" s="108">
        <f t="shared" ca="1" si="51"/>
        <v>0</v>
      </c>
      <c r="U169" s="108">
        <f t="shared" ca="1" si="51"/>
        <v>0</v>
      </c>
      <c r="V169" s="110">
        <f t="shared" ca="1" si="51"/>
        <v>0</v>
      </c>
      <c r="W169" s="111">
        <f t="shared" ca="1" si="51"/>
        <v>0</v>
      </c>
      <c r="X169" s="116">
        <v>0</v>
      </c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spans="1:38" ht="15.75" thickBot="1" x14ac:dyDescent="0.3">
      <c r="A170" s="45" t="str">
        <f>A168</f>
        <v>Torre</v>
      </c>
      <c r="B170" s="46" t="s">
        <v>165</v>
      </c>
      <c r="C170" s="46" t="s">
        <v>198</v>
      </c>
      <c r="D170" s="46" t="s">
        <v>206</v>
      </c>
      <c r="E170" s="46" t="s">
        <v>54</v>
      </c>
      <c r="F170" s="47"/>
      <c r="G170" s="48"/>
      <c r="H170" s="91">
        <v>45</v>
      </c>
      <c r="I170" s="119">
        <f>((0.5816+0.5128)*1.2+0.1123*2.48)</f>
        <v>1.5917840000000001</v>
      </c>
      <c r="J170" s="50">
        <v>14.8264</v>
      </c>
      <c r="K170" s="50"/>
      <c r="L170" s="50"/>
      <c r="M170" s="50"/>
      <c r="N170" s="50">
        <v>63.391399416909607</v>
      </c>
      <c r="O170" s="50">
        <f t="shared" ca="1" si="51"/>
        <v>0.3567948055940412</v>
      </c>
      <c r="P170" s="50">
        <f t="shared" ca="1" si="51"/>
        <v>4.001748934684243</v>
      </c>
      <c r="Q170" s="50">
        <f t="shared" ca="1" si="51"/>
        <v>4.422715467903112</v>
      </c>
      <c r="R170" s="50">
        <f t="shared" ca="1" si="51"/>
        <v>5.0284965766814826</v>
      </c>
      <c r="S170" s="50">
        <f t="shared" ca="1" si="51"/>
        <v>5.6907488057697035</v>
      </c>
      <c r="T170" s="50">
        <f t="shared" ca="1" si="51"/>
        <v>1.9071837450098739</v>
      </c>
      <c r="U170" s="50">
        <f t="shared" ca="1" si="51"/>
        <v>7.2924751272853978</v>
      </c>
      <c r="V170" s="51">
        <f t="shared" ca="1" si="51"/>
        <v>34.691235953981753</v>
      </c>
      <c r="W170" s="52">
        <f t="shared" ca="1" si="51"/>
        <v>0</v>
      </c>
      <c r="X170" s="116">
        <v>4.2921930677032706E-3</v>
      </c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spans="1:38" ht="21" customHeight="1" thickTop="1" thickBot="1" x14ac:dyDescent="0.3">
      <c r="A171" s="70"/>
      <c r="B171" s="71"/>
      <c r="C171" s="71"/>
      <c r="D171" s="72" t="str">
        <f>"TOTAL - "&amp;UPPER(C164)</f>
        <v>TOTAL - PENTHOUSE - 22X</v>
      </c>
      <c r="E171" s="73"/>
      <c r="F171" s="74"/>
      <c r="G171" s="75"/>
      <c r="H171" s="59"/>
      <c r="I171" s="77">
        <f>SUM(I166:I170)</f>
        <v>127.02940304761906</v>
      </c>
      <c r="J171" s="77">
        <f>SUM(J166:J170)</f>
        <v>893.87401904761907</v>
      </c>
      <c r="K171" s="77">
        <f>SUM(K166:K170)</f>
        <v>0</v>
      </c>
      <c r="L171" s="77">
        <f t="shared" ref="L171:W171" si="52">SUM(L166:L170)</f>
        <v>0</v>
      </c>
      <c r="M171" s="77">
        <f t="shared" si="52"/>
        <v>0</v>
      </c>
      <c r="N171" s="77">
        <f t="shared" si="52"/>
        <v>14768.999999999996</v>
      </c>
      <c r="O171" s="77">
        <f t="shared" ca="1" si="52"/>
        <v>83.12645772594756</v>
      </c>
      <c r="P171" s="77">
        <f t="shared" ca="1" si="52"/>
        <v>932.33199708454799</v>
      </c>
      <c r="Q171" s="77">
        <f t="shared" ca="1" si="52"/>
        <v>1030.4092565597666</v>
      </c>
      <c r="R171" s="77">
        <f t="shared" ca="1" si="52"/>
        <v>1171.5448250728857</v>
      </c>
      <c r="S171" s="77">
        <f t="shared" ca="1" si="52"/>
        <v>1325.8370991253644</v>
      </c>
      <c r="T171" s="77">
        <f t="shared" ca="1" si="52"/>
        <v>444.33782798833823</v>
      </c>
      <c r="U171" s="77">
        <f t="shared" ca="1" si="52"/>
        <v>1699.0091107871717</v>
      </c>
      <c r="V171" s="77">
        <f t="shared" ca="1" si="52"/>
        <v>8082.4034256559762</v>
      </c>
      <c r="W171" s="78">
        <f t="shared" ca="1" si="52"/>
        <v>0</v>
      </c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spans="1:38" ht="15.75" thickTop="1" x14ac:dyDescent="0.25">
      <c r="A172" s="100" t="str">
        <f>A128</f>
        <v>Torre</v>
      </c>
      <c r="B172" s="101" t="s">
        <v>165</v>
      </c>
      <c r="C172" s="101" t="s">
        <v>198</v>
      </c>
      <c r="D172" s="101" t="s">
        <v>207</v>
      </c>
      <c r="E172" s="101" t="s">
        <v>52</v>
      </c>
      <c r="F172" s="102"/>
      <c r="G172" s="103"/>
      <c r="H172" s="104">
        <v>45</v>
      </c>
      <c r="I172" s="105">
        <f>1548.3/21</f>
        <v>73.728571428571428</v>
      </c>
      <c r="J172" s="105">
        <v>418.20000000000005</v>
      </c>
      <c r="K172" s="105"/>
      <c r="L172" s="105"/>
      <c r="M172" s="105"/>
      <c r="N172" s="105">
        <v>7969.894638807903</v>
      </c>
      <c r="O172" s="105">
        <f t="shared" ref="O172:W176" ca="1" si="53">O$5*$N172</f>
        <v>44.858088548521998</v>
      </c>
      <c r="P172" s="105">
        <f t="shared" ca="1" si="53"/>
        <v>503.12057587874637</v>
      </c>
      <c r="Q172" s="105">
        <f t="shared" ca="1" si="53"/>
        <v>556.04666596477239</v>
      </c>
      <c r="R172" s="105">
        <f t="shared" ca="1" si="53"/>
        <v>632.20860047880944</v>
      </c>
      <c r="S172" s="105">
        <f t="shared" ca="1" si="53"/>
        <v>715.47037634585047</v>
      </c>
      <c r="T172" s="105">
        <f t="shared" ca="1" si="53"/>
        <v>239.78100569461745</v>
      </c>
      <c r="U172" s="105">
        <f t="shared" ca="1" si="53"/>
        <v>916.84769472194898</v>
      </c>
      <c r="V172" s="106">
        <f t="shared" ca="1" si="53"/>
        <v>4361.5616311746362</v>
      </c>
      <c r="W172" s="107">
        <f t="shared" ca="1" si="53"/>
        <v>0</v>
      </c>
      <c r="X172" s="116">
        <v>0.56612406867508902</v>
      </c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spans="1:38" x14ac:dyDescent="0.25">
      <c r="A173" s="87" t="str">
        <f>A172</f>
        <v>Torre</v>
      </c>
      <c r="B173" s="88" t="s">
        <v>165</v>
      </c>
      <c r="C173" s="88" t="s">
        <v>198</v>
      </c>
      <c r="D173" s="88" t="s">
        <v>207</v>
      </c>
      <c r="E173" s="88" t="s">
        <v>51</v>
      </c>
      <c r="F173" s="89" t="s">
        <v>200</v>
      </c>
      <c r="G173" s="90"/>
      <c r="H173" s="91">
        <v>45</v>
      </c>
      <c r="I173" s="92">
        <f>447.7/21</f>
        <v>21.31904761904762</v>
      </c>
      <c r="J173" s="92">
        <v>199.96190476190475</v>
      </c>
      <c r="K173" s="92"/>
      <c r="L173" s="92"/>
      <c r="M173" s="92"/>
      <c r="N173" s="92">
        <v>3231.0537738905082</v>
      </c>
      <c r="O173" s="92">
        <f t="shared" ca="1" si="53"/>
        <v>18.1857982900381</v>
      </c>
      <c r="P173" s="92">
        <f t="shared" ca="1" si="53"/>
        <v>203.96877362711783</v>
      </c>
      <c r="Q173" s="92">
        <f t="shared" ca="1" si="53"/>
        <v>225.42539894773833</v>
      </c>
      <c r="R173" s="92">
        <f t="shared" ca="1" si="53"/>
        <v>256.30200611643602</v>
      </c>
      <c r="S173" s="92">
        <f t="shared" ca="1" si="53"/>
        <v>290.05694107204636</v>
      </c>
      <c r="T173" s="92">
        <f t="shared" ca="1" si="53"/>
        <v>97.208979348908642</v>
      </c>
      <c r="U173" s="92">
        <f t="shared" ca="1" si="53"/>
        <v>371.6967837553828</v>
      </c>
      <c r="V173" s="93">
        <f t="shared" ca="1" si="53"/>
        <v>1768.2090927328402</v>
      </c>
      <c r="W173" s="94">
        <f t="shared" ca="1" si="53"/>
        <v>0</v>
      </c>
      <c r="X173" s="116">
        <v>0.22951085195983151</v>
      </c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spans="1:38" x14ac:dyDescent="0.25">
      <c r="A174" s="87" t="str">
        <f>A173</f>
        <v>Torre</v>
      </c>
      <c r="B174" s="88" t="s">
        <v>165</v>
      </c>
      <c r="C174" s="88" t="s">
        <v>198</v>
      </c>
      <c r="D174" s="88" t="s">
        <v>207</v>
      </c>
      <c r="E174" s="88" t="s">
        <v>53</v>
      </c>
      <c r="F174" s="89"/>
      <c r="G174" s="90"/>
      <c r="H174" s="91">
        <v>45</v>
      </c>
      <c r="I174" s="118">
        <v>30.39</v>
      </c>
      <c r="J174" s="92">
        <v>260.8857142857143</v>
      </c>
      <c r="K174" s="92"/>
      <c r="L174" s="92"/>
      <c r="M174" s="92"/>
      <c r="N174" s="92">
        <v>2816.6260932944601</v>
      </c>
      <c r="O174" s="92">
        <f t="shared" ca="1" si="53"/>
        <v>15.853216187557914</v>
      </c>
      <c r="P174" s="92">
        <f t="shared" ca="1" si="53"/>
        <v>177.80693551368898</v>
      </c>
      <c r="Q174" s="92">
        <f t="shared" ca="1" si="53"/>
        <v>196.51144957670695</v>
      </c>
      <c r="R174" s="92">
        <f t="shared" ca="1" si="53"/>
        <v>223.42770152104981</v>
      </c>
      <c r="S174" s="92">
        <f t="shared" ca="1" si="53"/>
        <v>252.85309559579764</v>
      </c>
      <c r="T174" s="92">
        <f t="shared" ca="1" si="53"/>
        <v>84.74057285867282</v>
      </c>
      <c r="U174" s="92">
        <f t="shared" ca="1" si="53"/>
        <v>324.02149056728058</v>
      </c>
      <c r="V174" s="93">
        <f t="shared" ca="1" si="53"/>
        <v>1541.4116314737055</v>
      </c>
      <c r="W174" s="94">
        <f t="shared" ca="1" si="53"/>
        <v>0</v>
      </c>
      <c r="X174" s="116">
        <v>0.20007288629737605</v>
      </c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spans="1:38" x14ac:dyDescent="0.25">
      <c r="A175" s="87" t="str">
        <f>A174</f>
        <v>Torre</v>
      </c>
      <c r="B175" s="88" t="s">
        <v>165</v>
      </c>
      <c r="C175" s="88" t="s">
        <v>198</v>
      </c>
      <c r="D175" s="88" t="s">
        <v>207</v>
      </c>
      <c r="E175" s="88" t="s">
        <v>190</v>
      </c>
      <c r="F175" s="89"/>
      <c r="G175" s="90"/>
      <c r="H175" s="91">
        <v>45</v>
      </c>
      <c r="I175" s="118"/>
      <c r="J175" s="92">
        <v>0</v>
      </c>
      <c r="K175" s="92"/>
      <c r="L175" s="92"/>
      <c r="M175" s="92"/>
      <c r="N175" s="92">
        <v>0</v>
      </c>
      <c r="O175" s="108">
        <f t="shared" ca="1" si="53"/>
        <v>0</v>
      </c>
      <c r="P175" s="108">
        <f t="shared" ca="1" si="53"/>
        <v>0</v>
      </c>
      <c r="Q175" s="108">
        <f t="shared" ca="1" si="53"/>
        <v>0</v>
      </c>
      <c r="R175" s="108">
        <f t="shared" ca="1" si="53"/>
        <v>0</v>
      </c>
      <c r="S175" s="108">
        <f t="shared" ca="1" si="53"/>
        <v>0</v>
      </c>
      <c r="T175" s="108">
        <f t="shared" ca="1" si="53"/>
        <v>0</v>
      </c>
      <c r="U175" s="108">
        <f t="shared" ca="1" si="53"/>
        <v>0</v>
      </c>
      <c r="V175" s="110">
        <f t="shared" ca="1" si="53"/>
        <v>0</v>
      </c>
      <c r="W175" s="111">
        <f t="shared" ca="1" si="53"/>
        <v>0</v>
      </c>
      <c r="X175" s="116">
        <v>0</v>
      </c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spans="1:38" ht="15.75" thickBot="1" x14ac:dyDescent="0.3">
      <c r="A176" s="45" t="str">
        <f>A174</f>
        <v>Torre</v>
      </c>
      <c r="B176" s="46" t="s">
        <v>165</v>
      </c>
      <c r="C176" s="46" t="s">
        <v>198</v>
      </c>
      <c r="D176" s="46" t="s">
        <v>207</v>
      </c>
      <c r="E176" s="46" t="s">
        <v>54</v>
      </c>
      <c r="F176" s="47"/>
      <c r="G176" s="48"/>
      <c r="H176" s="91">
        <v>45</v>
      </c>
      <c r="I176" s="119">
        <f>((0.5816+0.5128)*1.2+0.1123*2.48)</f>
        <v>1.5917840000000001</v>
      </c>
      <c r="J176" s="50">
        <v>14.8264</v>
      </c>
      <c r="K176" s="50"/>
      <c r="L176" s="50"/>
      <c r="M176" s="50"/>
      <c r="N176" s="50">
        <v>60.425494007126645</v>
      </c>
      <c r="O176" s="50">
        <f t="shared" ca="1" si="53"/>
        <v>0.34010137945378238</v>
      </c>
      <c r="P176" s="50">
        <f t="shared" ca="1" si="53"/>
        <v>3.8145183494132828</v>
      </c>
      <c r="Q176" s="50">
        <f t="shared" ca="1" si="53"/>
        <v>4.2157890417184651</v>
      </c>
      <c r="R176" s="50">
        <f t="shared" ca="1" si="53"/>
        <v>4.7932273550356772</v>
      </c>
      <c r="S176" s="50">
        <f t="shared" ca="1" si="53"/>
        <v>5.4244946636621227</v>
      </c>
      <c r="T176" s="50">
        <f t="shared" ca="1" si="53"/>
        <v>1.8179519779435982</v>
      </c>
      <c r="U176" s="50">
        <f t="shared" ca="1" si="53"/>
        <v>6.951280712433058</v>
      </c>
      <c r="V176" s="51">
        <f t="shared" ca="1" si="53"/>
        <v>33.068130527466664</v>
      </c>
      <c r="W176" s="52">
        <f t="shared" ca="1" si="53"/>
        <v>0</v>
      </c>
      <c r="X176" s="116">
        <v>4.2921930677032706E-3</v>
      </c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spans="1:38" ht="21" customHeight="1" thickTop="1" thickBot="1" x14ac:dyDescent="0.3">
      <c r="A177" s="70"/>
      <c r="B177" s="71"/>
      <c r="C177" s="71"/>
      <c r="D177" s="72" t="str">
        <f>"TOTAL - "&amp;UPPER(C170)</f>
        <v>TOTAL - PENTHOUSE - 22X</v>
      </c>
      <c r="E177" s="73"/>
      <c r="F177" s="74"/>
      <c r="G177" s="75"/>
      <c r="H177" s="59"/>
      <c r="I177" s="77">
        <f>SUM(I172:I176)</f>
        <v>127.02940304761906</v>
      </c>
      <c r="J177" s="77">
        <f>SUM(J172:J176)</f>
        <v>893.87401904761907</v>
      </c>
      <c r="K177" s="77">
        <f>SUM(K172:K176)</f>
        <v>0</v>
      </c>
      <c r="L177" s="77">
        <f t="shared" ref="L177:W177" si="54">SUM(L172:L176)</f>
        <v>0</v>
      </c>
      <c r="M177" s="77">
        <f t="shared" si="54"/>
        <v>0</v>
      </c>
      <c r="N177" s="77">
        <f t="shared" si="54"/>
        <v>14077.999999999998</v>
      </c>
      <c r="O177" s="77">
        <f t="shared" ca="1" si="54"/>
        <v>79.237204405571802</v>
      </c>
      <c r="P177" s="77">
        <f t="shared" ca="1" si="54"/>
        <v>888.71080336896659</v>
      </c>
      <c r="Q177" s="77">
        <f t="shared" ca="1" si="54"/>
        <v>982.19930353093616</v>
      </c>
      <c r="R177" s="77">
        <f t="shared" ca="1" si="54"/>
        <v>1116.731535471331</v>
      </c>
      <c r="S177" s="77">
        <f t="shared" ca="1" si="54"/>
        <v>1263.8049076773566</v>
      </c>
      <c r="T177" s="77">
        <f t="shared" ca="1" si="54"/>
        <v>423.54850988014249</v>
      </c>
      <c r="U177" s="77">
        <f t="shared" ca="1" si="54"/>
        <v>1619.5172497570454</v>
      </c>
      <c r="V177" s="77">
        <f t="shared" ca="1" si="54"/>
        <v>7704.2504859086484</v>
      </c>
      <c r="W177" s="78">
        <f t="shared" ca="1" si="54"/>
        <v>0</v>
      </c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spans="1:38" ht="15.75" thickTop="1" x14ac:dyDescent="0.25">
      <c r="A178" s="100" t="str">
        <f>A134</f>
        <v>Torre</v>
      </c>
      <c r="B178" s="101" t="s">
        <v>165</v>
      </c>
      <c r="C178" s="101" t="s">
        <v>198</v>
      </c>
      <c r="D178" s="101" t="s">
        <v>208</v>
      </c>
      <c r="E178" s="101" t="s">
        <v>52</v>
      </c>
      <c r="F178" s="102"/>
      <c r="G178" s="103"/>
      <c r="H178" s="104">
        <v>45</v>
      </c>
      <c r="I178" s="105">
        <f>1548.3/21</f>
        <v>73.728571428571428</v>
      </c>
      <c r="J178" s="105">
        <v>418.20000000000005</v>
      </c>
      <c r="K178" s="105"/>
      <c r="L178" s="105"/>
      <c r="M178" s="105"/>
      <c r="N178" s="105">
        <v>8081.421080336896</v>
      </c>
      <c r="O178" s="105">
        <f t="shared" ref="O178:W182" ca="1" si="55">O$5*$N178</f>
        <v>45.485808639732319</v>
      </c>
      <c r="P178" s="105">
        <f t="shared" ca="1" si="55"/>
        <v>510.16097603843622</v>
      </c>
      <c r="Q178" s="105">
        <f t="shared" ca="1" si="55"/>
        <v>563.82768551265281</v>
      </c>
      <c r="R178" s="105">
        <f t="shared" ca="1" si="55"/>
        <v>641.05538939018368</v>
      </c>
      <c r="S178" s="105">
        <f t="shared" ca="1" si="55"/>
        <v>725.48228600206107</v>
      </c>
      <c r="T178" s="105">
        <f t="shared" ca="1" si="55"/>
        <v>243.13637280087116</v>
      </c>
      <c r="U178" s="105">
        <f t="shared" ca="1" si="55"/>
        <v>929.6775708307872</v>
      </c>
      <c r="V178" s="106">
        <f t="shared" ca="1" si="55"/>
        <v>4422.5949911221724</v>
      </c>
      <c r="W178" s="107">
        <f t="shared" ca="1" si="55"/>
        <v>0</v>
      </c>
      <c r="X178" s="116">
        <v>0.56612406867508902</v>
      </c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spans="1:38" x14ac:dyDescent="0.25">
      <c r="A179" s="87" t="str">
        <f>A178</f>
        <v>Torre</v>
      </c>
      <c r="B179" s="88" t="s">
        <v>165</v>
      </c>
      <c r="C179" s="88" t="s">
        <v>198</v>
      </c>
      <c r="D179" s="88" t="s">
        <v>208</v>
      </c>
      <c r="E179" s="88" t="s">
        <v>51</v>
      </c>
      <c r="F179" s="89" t="s">
        <v>200</v>
      </c>
      <c r="G179" s="90"/>
      <c r="H179" s="91">
        <v>45</v>
      </c>
      <c r="I179" s="92">
        <f>447.7/21</f>
        <v>21.31904761904762</v>
      </c>
      <c r="J179" s="92">
        <v>199.96190476190475</v>
      </c>
      <c r="K179" s="92"/>
      <c r="L179" s="92"/>
      <c r="M179" s="92"/>
      <c r="N179" s="92">
        <v>3276.2674117265947</v>
      </c>
      <c r="O179" s="92">
        <f t="shared" ca="1" si="55"/>
        <v>18.440280621558024</v>
      </c>
      <c r="P179" s="92">
        <f t="shared" ca="1" si="55"/>
        <v>206.82300351804992</v>
      </c>
      <c r="Q179" s="92">
        <f t="shared" ca="1" si="55"/>
        <v>228.57988137370111</v>
      </c>
      <c r="R179" s="92">
        <f t="shared" ca="1" si="55"/>
        <v>259.88855926354057</v>
      </c>
      <c r="S179" s="92">
        <f t="shared" ca="1" si="55"/>
        <v>294.1158427193821</v>
      </c>
      <c r="T179" s="92">
        <f t="shared" ca="1" si="55"/>
        <v>98.56926979724895</v>
      </c>
      <c r="U179" s="92">
        <f t="shared" ca="1" si="55"/>
        <v>376.89810968234758</v>
      </c>
      <c r="V179" s="93">
        <f t="shared" ca="1" si="55"/>
        <v>1792.9524647507665</v>
      </c>
      <c r="W179" s="94">
        <f t="shared" ca="1" si="55"/>
        <v>0</v>
      </c>
      <c r="X179" s="116">
        <v>0.22951085195983151</v>
      </c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spans="1:38" x14ac:dyDescent="0.25">
      <c r="A180" s="87" t="str">
        <f>A179</f>
        <v>Torre</v>
      </c>
      <c r="B180" s="88" t="s">
        <v>165</v>
      </c>
      <c r="C180" s="88" t="s">
        <v>198</v>
      </c>
      <c r="D180" s="88" t="s">
        <v>208</v>
      </c>
      <c r="E180" s="88" t="s">
        <v>53</v>
      </c>
      <c r="F180" s="89"/>
      <c r="G180" s="90"/>
      <c r="H180" s="91">
        <v>45</v>
      </c>
      <c r="I180" s="118">
        <v>30.39</v>
      </c>
      <c r="J180" s="92">
        <v>260.8857142857143</v>
      </c>
      <c r="K180" s="92"/>
      <c r="L180" s="92"/>
      <c r="M180" s="92"/>
      <c r="N180" s="92">
        <v>2856.0404518950431</v>
      </c>
      <c r="O180" s="92">
        <f t="shared" ca="1" si="55"/>
        <v>16.075057613111891</v>
      </c>
      <c r="P180" s="92">
        <f t="shared" ca="1" si="55"/>
        <v>180.2950706391469</v>
      </c>
      <c r="Q180" s="92">
        <f t="shared" ca="1" si="55"/>
        <v>199.261325664689</v>
      </c>
      <c r="R180" s="92">
        <f t="shared" ca="1" si="55"/>
        <v>226.55422923802999</v>
      </c>
      <c r="S180" s="92">
        <f t="shared" ca="1" si="55"/>
        <v>256.39138653430962</v>
      </c>
      <c r="T180" s="92">
        <f t="shared" ca="1" si="55"/>
        <v>85.92638709742539</v>
      </c>
      <c r="U180" s="92">
        <f t="shared" ca="1" si="55"/>
        <v>328.55567394856729</v>
      </c>
      <c r="V180" s="93">
        <f t="shared" ca="1" si="55"/>
        <v>1562.9813211597632</v>
      </c>
      <c r="W180" s="94">
        <f t="shared" ca="1" si="55"/>
        <v>0</v>
      </c>
      <c r="X180" s="116">
        <v>0.20007288629737605</v>
      </c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spans="1:38" x14ac:dyDescent="0.25">
      <c r="A181" s="87" t="str">
        <f>A180</f>
        <v>Torre</v>
      </c>
      <c r="B181" s="88" t="s">
        <v>165</v>
      </c>
      <c r="C181" s="88" t="s">
        <v>198</v>
      </c>
      <c r="D181" s="88" t="s">
        <v>208</v>
      </c>
      <c r="E181" s="88" t="s">
        <v>190</v>
      </c>
      <c r="F181" s="89"/>
      <c r="G181" s="90"/>
      <c r="H181" s="91">
        <v>45</v>
      </c>
      <c r="I181" s="118"/>
      <c r="J181" s="92">
        <v>0</v>
      </c>
      <c r="K181" s="92"/>
      <c r="L181" s="92"/>
      <c r="M181" s="92"/>
      <c r="N181" s="92">
        <v>0</v>
      </c>
      <c r="O181" s="108">
        <f t="shared" ca="1" si="55"/>
        <v>0</v>
      </c>
      <c r="P181" s="108">
        <f t="shared" ca="1" si="55"/>
        <v>0</v>
      </c>
      <c r="Q181" s="108">
        <f t="shared" ca="1" si="55"/>
        <v>0</v>
      </c>
      <c r="R181" s="108">
        <f t="shared" ca="1" si="55"/>
        <v>0</v>
      </c>
      <c r="S181" s="108">
        <f t="shared" ca="1" si="55"/>
        <v>0</v>
      </c>
      <c r="T181" s="108">
        <f t="shared" ca="1" si="55"/>
        <v>0</v>
      </c>
      <c r="U181" s="108">
        <f t="shared" ca="1" si="55"/>
        <v>0</v>
      </c>
      <c r="V181" s="110">
        <f t="shared" ca="1" si="55"/>
        <v>0</v>
      </c>
      <c r="W181" s="111">
        <f t="shared" ca="1" si="55"/>
        <v>0</v>
      </c>
      <c r="X181" s="116">
        <v>0</v>
      </c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spans="1:38" ht="15.75" thickBot="1" x14ac:dyDescent="0.3">
      <c r="A182" s="45" t="str">
        <f>A180</f>
        <v>Torre</v>
      </c>
      <c r="B182" s="46" t="s">
        <v>165</v>
      </c>
      <c r="C182" s="46" t="s">
        <v>198</v>
      </c>
      <c r="D182" s="46" t="s">
        <v>208</v>
      </c>
      <c r="E182" s="46" t="s">
        <v>54</v>
      </c>
      <c r="F182" s="47"/>
      <c r="G182" s="48"/>
      <c r="H182" s="91">
        <v>45</v>
      </c>
      <c r="I182" s="119">
        <f>((0.5816+0.5128)*1.2+0.1123*2.48)</f>
        <v>1.5917840000000001</v>
      </c>
      <c r="J182" s="50">
        <v>14.8264</v>
      </c>
      <c r="K182" s="50"/>
      <c r="L182" s="50"/>
      <c r="M182" s="50"/>
      <c r="N182" s="50">
        <v>61.271056041464192</v>
      </c>
      <c r="O182" s="50">
        <f t="shared" ca="1" si="55"/>
        <v>0.34486057619709787</v>
      </c>
      <c r="P182" s="50">
        <f t="shared" ca="1" si="55"/>
        <v>3.8678966783544975</v>
      </c>
      <c r="Q182" s="50">
        <f t="shared" ca="1" si="55"/>
        <v>4.2747825380402826</v>
      </c>
      <c r="R182" s="50">
        <f t="shared" ca="1" si="55"/>
        <v>4.8603012141734832</v>
      </c>
      <c r="S182" s="50">
        <f t="shared" ca="1" si="55"/>
        <v>5.50040213977673</v>
      </c>
      <c r="T182" s="50">
        <f t="shared" ca="1" si="55"/>
        <v>1.8433914252837666</v>
      </c>
      <c r="U182" s="50">
        <f t="shared" ca="1" si="55"/>
        <v>7.0485532156543478</v>
      </c>
      <c r="V182" s="51">
        <f t="shared" ca="1" si="55"/>
        <v>33.530868253983989</v>
      </c>
      <c r="W182" s="52">
        <f t="shared" ca="1" si="55"/>
        <v>0</v>
      </c>
      <c r="X182" s="116">
        <v>4.2921930677032706E-3</v>
      </c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spans="1:38" ht="21" customHeight="1" thickTop="1" thickBot="1" x14ac:dyDescent="0.3">
      <c r="A183" s="70"/>
      <c r="B183" s="71"/>
      <c r="C183" s="71"/>
      <c r="D183" s="72" t="str">
        <f>"TOTAL - "&amp;UPPER(C176)</f>
        <v>TOTAL - PENTHOUSE - 22X</v>
      </c>
      <c r="E183" s="73"/>
      <c r="F183" s="74"/>
      <c r="G183" s="75"/>
      <c r="H183" s="59"/>
      <c r="I183" s="77">
        <f>SUM(I178:I182)</f>
        <v>127.02940304761906</v>
      </c>
      <c r="J183" s="77">
        <f>SUM(J178:J182)</f>
        <v>893.87401904761907</v>
      </c>
      <c r="K183" s="77">
        <f>SUM(K178:K182)</f>
        <v>0</v>
      </c>
      <c r="L183" s="77">
        <f t="shared" ref="L183:W183" si="56">SUM(L178:L182)</f>
        <v>0</v>
      </c>
      <c r="M183" s="77">
        <f t="shared" si="56"/>
        <v>0</v>
      </c>
      <c r="N183" s="77">
        <f t="shared" si="56"/>
        <v>14274.999999999998</v>
      </c>
      <c r="O183" s="77">
        <f t="shared" ca="1" si="56"/>
        <v>80.34600745059933</v>
      </c>
      <c r="P183" s="77">
        <f t="shared" ca="1" si="56"/>
        <v>901.14694687398753</v>
      </c>
      <c r="Q183" s="77">
        <f t="shared" ca="1" si="56"/>
        <v>995.94367508908329</v>
      </c>
      <c r="R183" s="77">
        <f t="shared" ca="1" si="56"/>
        <v>1132.3584791059277</v>
      </c>
      <c r="S183" s="77">
        <f t="shared" ca="1" si="56"/>
        <v>1281.4899173955296</v>
      </c>
      <c r="T183" s="77">
        <f t="shared" ca="1" si="56"/>
        <v>429.47542112082925</v>
      </c>
      <c r="U183" s="77">
        <f t="shared" ca="1" si="56"/>
        <v>1642.1799076773564</v>
      </c>
      <c r="V183" s="77">
        <f t="shared" ca="1" si="56"/>
        <v>7812.0596452866857</v>
      </c>
      <c r="W183" s="78">
        <f t="shared" ca="1" si="56"/>
        <v>0</v>
      </c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spans="1:38" ht="15.75" thickTop="1" x14ac:dyDescent="0.25">
      <c r="A184" s="100" t="str">
        <f>A140</f>
        <v>Torre</v>
      </c>
      <c r="B184" s="101" t="s">
        <v>165</v>
      </c>
      <c r="C184" s="101" t="s">
        <v>198</v>
      </c>
      <c r="D184" s="101" t="s">
        <v>209</v>
      </c>
      <c r="E184" s="101" t="s">
        <v>52</v>
      </c>
      <c r="F184" s="102"/>
      <c r="G184" s="103"/>
      <c r="H184" s="104">
        <v>45</v>
      </c>
      <c r="I184" s="105">
        <f>1548.3/21</f>
        <v>73.728571428571428</v>
      </c>
      <c r="J184" s="105">
        <v>418.20000000000005</v>
      </c>
      <c r="K184" s="105"/>
      <c r="L184" s="105"/>
      <c r="M184" s="105"/>
      <c r="N184" s="105">
        <v>7663.6215176546802</v>
      </c>
      <c r="O184" s="105">
        <f t="shared" ref="O184:W188" ca="1" si="57">O$5*$N184</f>
        <v>43.134248094995193</v>
      </c>
      <c r="P184" s="105">
        <f t="shared" ca="1" si="57"/>
        <v>483.78627899350687</v>
      </c>
      <c r="Q184" s="105">
        <f t="shared" ca="1" si="57"/>
        <v>534.67848537896884</v>
      </c>
      <c r="R184" s="105">
        <f t="shared" ca="1" si="57"/>
        <v>607.91361164097486</v>
      </c>
      <c r="S184" s="105">
        <f t="shared" ca="1" si="57"/>
        <v>687.975741198592</v>
      </c>
      <c r="T184" s="105">
        <f t="shared" ca="1" si="57"/>
        <v>230.566520392672</v>
      </c>
      <c r="U184" s="105">
        <f t="shared" ca="1" si="57"/>
        <v>881.6143801286421</v>
      </c>
      <c r="V184" s="106">
        <f t="shared" ca="1" si="57"/>
        <v>4193.9522518263284</v>
      </c>
      <c r="W184" s="107">
        <f t="shared" ca="1" si="57"/>
        <v>0</v>
      </c>
      <c r="X184" s="116">
        <v>0.56612406867508902</v>
      </c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spans="1:38" x14ac:dyDescent="0.25">
      <c r="A185" s="87" t="str">
        <f>A184</f>
        <v>Torre</v>
      </c>
      <c r="B185" s="88" t="s">
        <v>165</v>
      </c>
      <c r="C185" s="88" t="s">
        <v>198</v>
      </c>
      <c r="D185" s="88" t="s">
        <v>209</v>
      </c>
      <c r="E185" s="88" t="s">
        <v>51</v>
      </c>
      <c r="F185" s="89" t="s">
        <v>200</v>
      </c>
      <c r="G185" s="90"/>
      <c r="H185" s="91">
        <v>45</v>
      </c>
      <c r="I185" s="92">
        <f>447.7/21</f>
        <v>21.31904761904762</v>
      </c>
      <c r="J185" s="92">
        <v>199.96190476190475</v>
      </c>
      <c r="K185" s="92"/>
      <c r="L185" s="92"/>
      <c r="M185" s="92"/>
      <c r="N185" s="92">
        <v>3106.8884029802393</v>
      </c>
      <c r="O185" s="92">
        <f t="shared" ca="1" si="57"/>
        <v>17.486940719721961</v>
      </c>
      <c r="P185" s="92">
        <f t="shared" ca="1" si="57"/>
        <v>196.13050778450733</v>
      </c>
      <c r="Q185" s="92">
        <f t="shared" ca="1" si="57"/>
        <v>216.76258172720088</v>
      </c>
      <c r="R185" s="92">
        <f t="shared" ca="1" si="57"/>
        <v>246.45263935205247</v>
      </c>
      <c r="S185" s="92">
        <f t="shared" ca="1" si="57"/>
        <v>278.91041421311917</v>
      </c>
      <c r="T185" s="92">
        <f t="shared" ca="1" si="57"/>
        <v>93.473359386715174</v>
      </c>
      <c r="U185" s="92">
        <f t="shared" ca="1" si="57"/>
        <v>357.41293945848963</v>
      </c>
      <c r="V185" s="93">
        <f t="shared" ca="1" si="57"/>
        <v>1700.2590203384329</v>
      </c>
      <c r="W185" s="94">
        <f t="shared" ca="1" si="57"/>
        <v>0</v>
      </c>
      <c r="X185" s="116">
        <v>0.22951085195983151</v>
      </c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spans="1:38" x14ac:dyDescent="0.25">
      <c r="A186" s="87" t="str">
        <f>A185</f>
        <v>Torre</v>
      </c>
      <c r="B186" s="88" t="s">
        <v>165</v>
      </c>
      <c r="C186" s="88" t="s">
        <v>198</v>
      </c>
      <c r="D186" s="88" t="s">
        <v>209</v>
      </c>
      <c r="E186" s="88" t="s">
        <v>53</v>
      </c>
      <c r="F186" s="89"/>
      <c r="G186" s="90"/>
      <c r="H186" s="91">
        <v>45</v>
      </c>
      <c r="I186" s="118">
        <v>30.39</v>
      </c>
      <c r="J186" s="92">
        <v>260.8857142857143</v>
      </c>
      <c r="K186" s="92"/>
      <c r="L186" s="92"/>
      <c r="M186" s="92"/>
      <c r="N186" s="92">
        <v>2708.3866618075795</v>
      </c>
      <c r="O186" s="92">
        <f t="shared" ca="1" si="57"/>
        <v>15.243996841239627</v>
      </c>
      <c r="P186" s="92">
        <f t="shared" ca="1" si="57"/>
        <v>170.97403651433495</v>
      </c>
      <c r="Q186" s="92">
        <f t="shared" ca="1" si="57"/>
        <v>188.95975940615727</v>
      </c>
      <c r="R186" s="92">
        <f t="shared" ca="1" si="57"/>
        <v>214.84165332365757</v>
      </c>
      <c r="S186" s="92">
        <f t="shared" ca="1" si="57"/>
        <v>243.13626616567072</v>
      </c>
      <c r="T186" s="92">
        <f t="shared" ca="1" si="57"/>
        <v>81.484098223316806</v>
      </c>
      <c r="U186" s="92">
        <f t="shared" ca="1" si="57"/>
        <v>311.56974838821401</v>
      </c>
      <c r="V186" s="93">
        <f t="shared" ca="1" si="57"/>
        <v>1482.1771029449885</v>
      </c>
      <c r="W186" s="94">
        <f t="shared" ca="1" si="57"/>
        <v>0</v>
      </c>
      <c r="X186" s="116">
        <v>0.20007288629737605</v>
      </c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spans="1:38" x14ac:dyDescent="0.25">
      <c r="A187" s="87" t="str">
        <f>A186</f>
        <v>Torre</v>
      </c>
      <c r="B187" s="88" t="s">
        <v>165</v>
      </c>
      <c r="C187" s="88" t="s">
        <v>198</v>
      </c>
      <c r="D187" s="88" t="s">
        <v>209</v>
      </c>
      <c r="E187" s="88" t="s">
        <v>190</v>
      </c>
      <c r="F187" s="89"/>
      <c r="G187" s="90"/>
      <c r="H187" s="91">
        <v>45</v>
      </c>
      <c r="I187" s="118"/>
      <c r="J187" s="92">
        <v>0</v>
      </c>
      <c r="K187" s="92"/>
      <c r="L187" s="92"/>
      <c r="M187" s="92"/>
      <c r="N187" s="92">
        <v>0</v>
      </c>
      <c r="O187" s="108">
        <f t="shared" ca="1" si="57"/>
        <v>0</v>
      </c>
      <c r="P187" s="108">
        <f t="shared" ca="1" si="57"/>
        <v>0</v>
      </c>
      <c r="Q187" s="108">
        <f t="shared" ca="1" si="57"/>
        <v>0</v>
      </c>
      <c r="R187" s="108">
        <f t="shared" ca="1" si="57"/>
        <v>0</v>
      </c>
      <c r="S187" s="108">
        <f t="shared" ca="1" si="57"/>
        <v>0</v>
      </c>
      <c r="T187" s="108">
        <f t="shared" ca="1" si="57"/>
        <v>0</v>
      </c>
      <c r="U187" s="108">
        <f t="shared" ca="1" si="57"/>
        <v>0</v>
      </c>
      <c r="V187" s="110">
        <f t="shared" ca="1" si="57"/>
        <v>0</v>
      </c>
      <c r="W187" s="111">
        <f t="shared" ca="1" si="57"/>
        <v>0</v>
      </c>
      <c r="X187" s="116">
        <v>0</v>
      </c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spans="1:38" ht="15.75" thickBot="1" x14ac:dyDescent="0.3">
      <c r="A188" s="45" t="str">
        <f>A186</f>
        <v>Torre</v>
      </c>
      <c r="B188" s="46" t="s">
        <v>165</v>
      </c>
      <c r="C188" s="46" t="s">
        <v>198</v>
      </c>
      <c r="D188" s="46" t="s">
        <v>209</v>
      </c>
      <c r="E188" s="46" t="s">
        <v>54</v>
      </c>
      <c r="F188" s="47"/>
      <c r="G188" s="48"/>
      <c r="H188" s="91">
        <v>45</v>
      </c>
      <c r="I188" s="119">
        <f>((0.5816+0.5128)*1.2+0.1123*2.48)</f>
        <v>1.5917840000000001</v>
      </c>
      <c r="J188" s="50">
        <v>14.8264</v>
      </c>
      <c r="K188" s="50"/>
      <c r="L188" s="50"/>
      <c r="M188" s="50"/>
      <c r="N188" s="50">
        <v>58.103417557499178</v>
      </c>
      <c r="O188" s="50">
        <f t="shared" ca="1" si="57"/>
        <v>0.32703170717899221</v>
      </c>
      <c r="P188" s="50">
        <f t="shared" ca="1" si="57"/>
        <v>3.6679311618132981</v>
      </c>
      <c r="Q188" s="50">
        <f t="shared" ca="1" si="57"/>
        <v>4.0537815213626134</v>
      </c>
      <c r="R188" s="50">
        <f t="shared" ca="1" si="57"/>
        <v>4.6090295997384541</v>
      </c>
      <c r="S188" s="50">
        <f t="shared" ca="1" si="57"/>
        <v>5.2160380922001819</v>
      </c>
      <c r="T188" s="50">
        <f t="shared" ca="1" si="57"/>
        <v>1.7480903484459789</v>
      </c>
      <c r="U188" s="50">
        <f t="shared" ca="1" si="57"/>
        <v>6.6841516553634257</v>
      </c>
      <c r="V188" s="51">
        <f t="shared" ca="1" si="57"/>
        <v>31.797363471396235</v>
      </c>
      <c r="W188" s="52">
        <f t="shared" ca="1" si="57"/>
        <v>0</v>
      </c>
      <c r="X188" s="116">
        <v>4.2921930677032706E-3</v>
      </c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spans="1:38" ht="21" customHeight="1" thickTop="1" thickBot="1" x14ac:dyDescent="0.3">
      <c r="A189" s="70"/>
      <c r="B189" s="71"/>
      <c r="C189" s="71"/>
      <c r="D189" s="72" t="str">
        <f>"TOTAL - "&amp;UPPER(C182)</f>
        <v>TOTAL - PENTHOUSE - 22X</v>
      </c>
      <c r="E189" s="73"/>
      <c r="F189" s="74"/>
      <c r="G189" s="75"/>
      <c r="H189" s="59"/>
      <c r="I189" s="77">
        <f>SUM(I184:I188)</f>
        <v>127.02940304761906</v>
      </c>
      <c r="J189" s="77">
        <f>SUM(J184:J188)</f>
        <v>893.87401904761907</v>
      </c>
      <c r="K189" s="77">
        <f>SUM(K184:K188)</f>
        <v>0</v>
      </c>
      <c r="L189" s="77">
        <f t="shared" ref="L189:W189" si="58">SUM(L184:L188)</f>
        <v>0</v>
      </c>
      <c r="M189" s="77">
        <f t="shared" si="58"/>
        <v>0</v>
      </c>
      <c r="N189" s="77">
        <f t="shared" si="58"/>
        <v>13536.999999999996</v>
      </c>
      <c r="O189" s="77">
        <f t="shared" ca="1" si="58"/>
        <v>76.192217363135768</v>
      </c>
      <c r="P189" s="77">
        <f t="shared" ca="1" si="58"/>
        <v>854.55875445416234</v>
      </c>
      <c r="Q189" s="77">
        <f t="shared" ca="1" si="58"/>
        <v>944.45460803368962</v>
      </c>
      <c r="R189" s="77">
        <f t="shared" ca="1" si="58"/>
        <v>1073.8169339164233</v>
      </c>
      <c r="S189" s="77">
        <f t="shared" ca="1" si="58"/>
        <v>1215.2384596695822</v>
      </c>
      <c r="T189" s="77">
        <f t="shared" ca="1" si="58"/>
        <v>407.27206835114998</v>
      </c>
      <c r="U189" s="77">
        <f t="shared" ca="1" si="58"/>
        <v>1557.2812196307093</v>
      </c>
      <c r="V189" s="77">
        <f t="shared" ca="1" si="58"/>
        <v>7408.1857385811454</v>
      </c>
      <c r="W189" s="78">
        <f t="shared" ca="1" si="58"/>
        <v>0</v>
      </c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spans="1:38" ht="15.75" thickTop="1" x14ac:dyDescent="0.25">
      <c r="A190" s="100" t="str">
        <f>A146</f>
        <v>Torre</v>
      </c>
      <c r="B190" s="101" t="s">
        <v>165</v>
      </c>
      <c r="C190" s="101" t="s">
        <v>198</v>
      </c>
      <c r="D190" s="101" t="s">
        <v>210</v>
      </c>
      <c r="E190" s="101" t="s">
        <v>52</v>
      </c>
      <c r="F190" s="102"/>
      <c r="G190" s="103"/>
      <c r="H190" s="104">
        <v>45</v>
      </c>
      <c r="I190" s="105">
        <f>1548.3/21</f>
        <v>73.728571428571428</v>
      </c>
      <c r="J190" s="105">
        <v>418.20000000000005</v>
      </c>
      <c r="K190" s="105"/>
      <c r="L190" s="105"/>
      <c r="M190" s="105"/>
      <c r="N190" s="105">
        <v>7629.0879494655001</v>
      </c>
      <c r="O190" s="105">
        <f t="shared" ref="O190:W194" ca="1" si="59">O$5*$N190</f>
        <v>42.939877914468141</v>
      </c>
      <c r="P190" s="105">
        <f t="shared" ca="1" si="59"/>
        <v>481.6062566090344</v>
      </c>
      <c r="Q190" s="105">
        <f t="shared" ca="1" si="59"/>
        <v>532.26913414840692</v>
      </c>
      <c r="R190" s="105">
        <f t="shared" ca="1" si="59"/>
        <v>605.17425060750372</v>
      </c>
      <c r="S190" s="105">
        <f t="shared" ca="1" si="59"/>
        <v>684.8756067365166</v>
      </c>
      <c r="T190" s="105">
        <f t="shared" ca="1" si="59"/>
        <v>229.52754885215691</v>
      </c>
      <c r="U190" s="105">
        <f t="shared" ca="1" si="59"/>
        <v>877.64167737412879</v>
      </c>
      <c r="V190" s="106">
        <f t="shared" ca="1" si="59"/>
        <v>4175.0535972232847</v>
      </c>
      <c r="W190" s="107">
        <f t="shared" ca="1" si="59"/>
        <v>0</v>
      </c>
      <c r="X190" s="116">
        <v>0.56612406867508902</v>
      </c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spans="1:38" x14ac:dyDescent="0.25">
      <c r="A191" s="87" t="str">
        <f>A190</f>
        <v>Torre</v>
      </c>
      <c r="B191" s="88" t="s">
        <v>165</v>
      </c>
      <c r="C191" s="88" t="s">
        <v>198</v>
      </c>
      <c r="D191" s="88" t="s">
        <v>210</v>
      </c>
      <c r="E191" s="88" t="s">
        <v>51</v>
      </c>
      <c r="F191" s="89" t="s">
        <v>200</v>
      </c>
      <c r="G191" s="90"/>
      <c r="H191" s="91">
        <v>45</v>
      </c>
      <c r="I191" s="92">
        <f>447.7/21</f>
        <v>21.31904761904762</v>
      </c>
      <c r="J191" s="92">
        <v>199.96190476190475</v>
      </c>
      <c r="K191" s="92"/>
      <c r="L191" s="92"/>
      <c r="M191" s="92"/>
      <c r="N191" s="92">
        <v>3092.8882410106894</v>
      </c>
      <c r="O191" s="92">
        <f t="shared" ca="1" si="59"/>
        <v>17.408141622144726</v>
      </c>
      <c r="P191" s="92">
        <f t="shared" ca="1" si="59"/>
        <v>195.24671071168063</v>
      </c>
      <c r="Q191" s="92">
        <f t="shared" ca="1" si="59"/>
        <v>215.78581305723267</v>
      </c>
      <c r="R191" s="92">
        <f t="shared" ca="1" si="59"/>
        <v>245.34208228619775</v>
      </c>
      <c r="S191" s="92">
        <f t="shared" ca="1" si="59"/>
        <v>277.65359695176136</v>
      </c>
      <c r="T191" s="92">
        <f t="shared" ca="1" si="59"/>
        <v>93.052152699665641</v>
      </c>
      <c r="U191" s="92">
        <f t="shared" ca="1" si="59"/>
        <v>355.8023766080081</v>
      </c>
      <c r="V191" s="93">
        <f t="shared" ca="1" si="59"/>
        <v>1692.5973670739986</v>
      </c>
      <c r="W191" s="94">
        <f t="shared" ca="1" si="59"/>
        <v>0</v>
      </c>
      <c r="X191" s="116">
        <v>0.22951085195983151</v>
      </c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spans="1:38" x14ac:dyDescent="0.25">
      <c r="A192" s="87" t="str">
        <f>A191</f>
        <v>Torre</v>
      </c>
      <c r="B192" s="88" t="s">
        <v>165</v>
      </c>
      <c r="C192" s="88" t="s">
        <v>198</v>
      </c>
      <c r="D192" s="88" t="s">
        <v>210</v>
      </c>
      <c r="E192" s="88" t="s">
        <v>53</v>
      </c>
      <c r="F192" s="89"/>
      <c r="G192" s="90"/>
      <c r="H192" s="91">
        <v>45</v>
      </c>
      <c r="I192" s="118">
        <v>30.39</v>
      </c>
      <c r="J192" s="92">
        <v>260.8857142857143</v>
      </c>
      <c r="K192" s="92"/>
      <c r="L192" s="92"/>
      <c r="M192" s="92"/>
      <c r="N192" s="92">
        <v>2696.1822157434394</v>
      </c>
      <c r="O192" s="92">
        <f t="shared" ca="1" si="59"/>
        <v>15.175304826220374</v>
      </c>
      <c r="P192" s="92">
        <f t="shared" ca="1" si="59"/>
        <v>170.20359873437081</v>
      </c>
      <c r="Q192" s="92">
        <f t="shared" ca="1" si="59"/>
        <v>188.10827493221356</v>
      </c>
      <c r="R192" s="92">
        <f t="shared" ca="1" si="59"/>
        <v>213.87354068032866</v>
      </c>
      <c r="S192" s="92">
        <f t="shared" ca="1" si="59"/>
        <v>242.04065323547155</v>
      </c>
      <c r="T192" s="92">
        <f t="shared" ca="1" si="59"/>
        <v>81.116917164616765</v>
      </c>
      <c r="U192" s="92">
        <f t="shared" ca="1" si="59"/>
        <v>310.16576267116585</v>
      </c>
      <c r="V192" s="93">
        <f t="shared" ca="1" si="59"/>
        <v>1475.498163499052</v>
      </c>
      <c r="W192" s="94">
        <f t="shared" ca="1" si="59"/>
        <v>0</v>
      </c>
      <c r="X192" s="116">
        <v>0.20007288629737605</v>
      </c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spans="1:38" x14ac:dyDescent="0.25">
      <c r="A193" s="87" t="str">
        <f>A192</f>
        <v>Torre</v>
      </c>
      <c r="B193" s="88" t="s">
        <v>165</v>
      </c>
      <c r="C193" s="88" t="s">
        <v>198</v>
      </c>
      <c r="D193" s="88" t="s">
        <v>210</v>
      </c>
      <c r="E193" s="88" t="s">
        <v>190</v>
      </c>
      <c r="F193" s="89"/>
      <c r="G193" s="90"/>
      <c r="H193" s="91">
        <v>45</v>
      </c>
      <c r="I193" s="118"/>
      <c r="J193" s="92">
        <v>0</v>
      </c>
      <c r="K193" s="92"/>
      <c r="L193" s="92"/>
      <c r="M193" s="92"/>
      <c r="N193" s="92">
        <v>0</v>
      </c>
      <c r="O193" s="108">
        <f t="shared" ca="1" si="59"/>
        <v>0</v>
      </c>
      <c r="P193" s="108">
        <f t="shared" ca="1" si="59"/>
        <v>0</v>
      </c>
      <c r="Q193" s="108">
        <f t="shared" ca="1" si="59"/>
        <v>0</v>
      </c>
      <c r="R193" s="108">
        <f t="shared" ca="1" si="59"/>
        <v>0</v>
      </c>
      <c r="S193" s="108">
        <f t="shared" ca="1" si="59"/>
        <v>0</v>
      </c>
      <c r="T193" s="108">
        <f t="shared" ca="1" si="59"/>
        <v>0</v>
      </c>
      <c r="U193" s="108">
        <f t="shared" ca="1" si="59"/>
        <v>0</v>
      </c>
      <c r="V193" s="110">
        <f t="shared" ca="1" si="59"/>
        <v>0</v>
      </c>
      <c r="W193" s="111">
        <f t="shared" ca="1" si="59"/>
        <v>0</v>
      </c>
      <c r="X193" s="116">
        <v>0</v>
      </c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spans="1:38" ht="15.75" thickBot="1" x14ac:dyDescent="0.3">
      <c r="A194" s="45" t="str">
        <f>A192</f>
        <v>Torre</v>
      </c>
      <c r="B194" s="46" t="s">
        <v>165</v>
      </c>
      <c r="C194" s="46" t="s">
        <v>198</v>
      </c>
      <c r="D194" s="46" t="s">
        <v>210</v>
      </c>
      <c r="E194" s="46" t="s">
        <v>54</v>
      </c>
      <c r="F194" s="47"/>
      <c r="G194" s="48"/>
      <c r="H194" s="91">
        <v>45</v>
      </c>
      <c r="I194" s="119">
        <f>((0.5816+0.5128)*1.2+0.1123*2.48)</f>
        <v>1.5917840000000001</v>
      </c>
      <c r="J194" s="50">
        <v>14.8264</v>
      </c>
      <c r="K194" s="50"/>
      <c r="L194" s="50"/>
      <c r="M194" s="50"/>
      <c r="N194" s="50">
        <v>57.841593780369273</v>
      </c>
      <c r="O194" s="50">
        <f t="shared" ca="1" si="59"/>
        <v>0.32555804727370158</v>
      </c>
      <c r="P194" s="50">
        <f t="shared" ca="1" si="59"/>
        <v>3.6514028467604347</v>
      </c>
      <c r="Q194" s="50">
        <f t="shared" ca="1" si="59"/>
        <v>4.0355144996589027</v>
      </c>
      <c r="R194" s="50">
        <f t="shared" ca="1" si="59"/>
        <v>4.5882605367566969</v>
      </c>
      <c r="S194" s="50">
        <f t="shared" ca="1" si="59"/>
        <v>5.1925337468042878</v>
      </c>
      <c r="T194" s="50">
        <f t="shared" ca="1" si="59"/>
        <v>1.7402131591680585</v>
      </c>
      <c r="U194" s="50">
        <f t="shared" ca="1" si="59"/>
        <v>6.6540317431984572</v>
      </c>
      <c r="V194" s="51">
        <f t="shared" ca="1" si="59"/>
        <v>31.654079200748736</v>
      </c>
      <c r="W194" s="52">
        <f t="shared" ca="1" si="59"/>
        <v>0</v>
      </c>
      <c r="X194" s="116">
        <v>4.2921930677032706E-3</v>
      </c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spans="1:38" ht="21" customHeight="1" thickTop="1" thickBot="1" x14ac:dyDescent="0.3">
      <c r="A195" s="70"/>
      <c r="B195" s="71"/>
      <c r="C195" s="71"/>
      <c r="D195" s="72" t="str">
        <f>"TOTAL - "&amp;UPPER(C188)</f>
        <v>TOTAL - PENTHOUSE - 22X</v>
      </c>
      <c r="E195" s="73"/>
      <c r="F195" s="74"/>
      <c r="G195" s="75"/>
      <c r="H195" s="59"/>
      <c r="I195" s="77">
        <f>SUM(I190:I194)</f>
        <v>127.02940304761906</v>
      </c>
      <c r="J195" s="77">
        <f>SUM(J190:J194)</f>
        <v>893.87401904761907</v>
      </c>
      <c r="K195" s="77">
        <f>SUM(K190:K194)</f>
        <v>0</v>
      </c>
      <c r="L195" s="77">
        <f t="shared" ref="L195:W195" si="60">SUM(L190:L194)</f>
        <v>0</v>
      </c>
      <c r="M195" s="77">
        <f t="shared" si="60"/>
        <v>0</v>
      </c>
      <c r="N195" s="77">
        <f t="shared" si="60"/>
        <v>13475.999999999998</v>
      </c>
      <c r="O195" s="77">
        <f t="shared" ca="1" si="60"/>
        <v>75.848882410106938</v>
      </c>
      <c r="P195" s="77">
        <f t="shared" ca="1" si="60"/>
        <v>850.70796890184624</v>
      </c>
      <c r="Q195" s="77">
        <f t="shared" ca="1" si="60"/>
        <v>940.19873663751207</v>
      </c>
      <c r="R195" s="77">
        <f t="shared" ca="1" si="60"/>
        <v>1068.9781341107869</v>
      </c>
      <c r="S195" s="77">
        <f t="shared" ca="1" si="60"/>
        <v>1209.7623906705537</v>
      </c>
      <c r="T195" s="77">
        <f t="shared" ca="1" si="60"/>
        <v>405.43683187560737</v>
      </c>
      <c r="U195" s="77">
        <f t="shared" ca="1" si="60"/>
        <v>1550.2638483965011</v>
      </c>
      <c r="V195" s="77">
        <f t="shared" ca="1" si="60"/>
        <v>7374.8032069970841</v>
      </c>
      <c r="W195" s="78">
        <f t="shared" ca="1" si="60"/>
        <v>0</v>
      </c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spans="1:38" ht="15.75" thickTop="1" x14ac:dyDescent="0.25">
      <c r="A196" s="100" t="str">
        <f>A152</f>
        <v>Torre</v>
      </c>
      <c r="B196" s="101" t="s">
        <v>165</v>
      </c>
      <c r="C196" s="101" t="s">
        <v>198</v>
      </c>
      <c r="D196" s="101" t="s">
        <v>211</v>
      </c>
      <c r="E196" s="101" t="s">
        <v>52</v>
      </c>
      <c r="F196" s="102"/>
      <c r="G196" s="103"/>
      <c r="H196" s="104">
        <v>45</v>
      </c>
      <c r="I196" s="105">
        <f>1548.3/21</f>
        <v>73.728571428571428</v>
      </c>
      <c r="J196" s="105">
        <v>418.20000000000005</v>
      </c>
      <c r="K196" s="105"/>
      <c r="L196" s="105"/>
      <c r="M196" s="105"/>
      <c r="N196" s="105">
        <v>7096.9313249109164</v>
      </c>
      <c r="O196" s="105">
        <f t="shared" ref="O196:W200" ca="1" si="61">O$5*$N196</f>
        <v>39.944665296510287</v>
      </c>
      <c r="P196" s="105">
        <f t="shared" ca="1" si="61"/>
        <v>448.01246904503233</v>
      </c>
      <c r="Q196" s="105">
        <f t="shared" ca="1" si="61"/>
        <v>495.14142666105886</v>
      </c>
      <c r="R196" s="105">
        <f t="shared" ca="1" si="61"/>
        <v>562.96114615729198</v>
      </c>
      <c r="S196" s="105">
        <f t="shared" ca="1" si="61"/>
        <v>637.10304289469968</v>
      </c>
      <c r="T196" s="105">
        <f t="shared" ca="1" si="61"/>
        <v>213.51716773602249</v>
      </c>
      <c r="U196" s="105">
        <f t="shared" ca="1" si="61"/>
        <v>816.42297918982479</v>
      </c>
      <c r="V196" s="106">
        <f t="shared" ca="1" si="61"/>
        <v>3883.8284279304762</v>
      </c>
      <c r="W196" s="107">
        <f t="shared" ca="1" si="61"/>
        <v>0</v>
      </c>
      <c r="X196" s="116">
        <v>0.56612406867508902</v>
      </c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spans="1:38" x14ac:dyDescent="0.25">
      <c r="A197" s="87" t="str">
        <f>A196</f>
        <v>Torre</v>
      </c>
      <c r="B197" s="88" t="s">
        <v>165</v>
      </c>
      <c r="C197" s="88" t="s">
        <v>198</v>
      </c>
      <c r="D197" s="88" t="s">
        <v>211</v>
      </c>
      <c r="E197" s="88" t="s">
        <v>51</v>
      </c>
      <c r="F197" s="89" t="s">
        <v>200</v>
      </c>
      <c r="G197" s="92"/>
      <c r="H197" s="91">
        <v>45</v>
      </c>
      <c r="I197" s="92">
        <f>447.7/21</f>
        <v>21.31904761904762</v>
      </c>
      <c r="J197" s="92">
        <v>199.96190476190475</v>
      </c>
      <c r="K197" s="92"/>
      <c r="L197" s="92"/>
      <c r="M197" s="92"/>
      <c r="N197" s="92">
        <v>2877.148040168448</v>
      </c>
      <c r="O197" s="92">
        <f t="shared" ca="1" si="61"/>
        <v>16.193860446364372</v>
      </c>
      <c r="P197" s="92">
        <f t="shared" ca="1" si="61"/>
        <v>181.62754270418733</v>
      </c>
      <c r="Q197" s="92">
        <f t="shared" ca="1" si="61"/>
        <v>200.7339679790345</v>
      </c>
      <c r="R197" s="92">
        <f t="shared" ca="1" si="61"/>
        <v>228.22857995991208</v>
      </c>
      <c r="S197" s="92">
        <f t="shared" ca="1" si="61"/>
        <v>258.28624898985464</v>
      </c>
      <c r="T197" s="92">
        <f t="shared" ca="1" si="61"/>
        <v>86.561426702508797</v>
      </c>
      <c r="U197" s="92">
        <f t="shared" ca="1" si="61"/>
        <v>330.98386710878526</v>
      </c>
      <c r="V197" s="93">
        <f t="shared" ca="1" si="61"/>
        <v>1574.5325462778012</v>
      </c>
      <c r="W197" s="94">
        <f t="shared" ca="1" si="61"/>
        <v>0</v>
      </c>
      <c r="X197" s="116">
        <v>0.22951085195983151</v>
      </c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spans="1:38" x14ac:dyDescent="0.25">
      <c r="A198" s="87" t="str">
        <f>A197</f>
        <v>Torre</v>
      </c>
      <c r="B198" s="88" t="s">
        <v>165</v>
      </c>
      <c r="C198" s="88" t="s">
        <v>198</v>
      </c>
      <c r="D198" s="88" t="s">
        <v>211</v>
      </c>
      <c r="E198" s="88" t="s">
        <v>53</v>
      </c>
      <c r="F198" s="89"/>
      <c r="G198" s="90"/>
      <c r="H198" s="91">
        <v>45</v>
      </c>
      <c r="I198" s="118">
        <v>30.39</v>
      </c>
      <c r="J198" s="92">
        <v>260.8857142857143</v>
      </c>
      <c r="K198" s="92"/>
      <c r="L198" s="92"/>
      <c r="M198" s="92"/>
      <c r="N198" s="92">
        <v>2508.1137026239062</v>
      </c>
      <c r="O198" s="92">
        <f t="shared" ca="1" si="61"/>
        <v>14.116772135759767</v>
      </c>
      <c r="P198" s="92">
        <f t="shared" ca="1" si="61"/>
        <v>158.33127884639899</v>
      </c>
      <c r="Q198" s="92">
        <f t="shared" ca="1" si="61"/>
        <v>174.98703877636018</v>
      </c>
      <c r="R198" s="92">
        <f t="shared" ca="1" si="61"/>
        <v>198.95508355362128</v>
      </c>
      <c r="S198" s="92">
        <f t="shared" ca="1" si="61"/>
        <v>225.15743758977973</v>
      </c>
      <c r="T198" s="92">
        <f t="shared" ca="1" si="61"/>
        <v>75.458717243665475</v>
      </c>
      <c r="U198" s="92">
        <f t="shared" ca="1" si="61"/>
        <v>288.53057293304653</v>
      </c>
      <c r="V198" s="93">
        <f t="shared" ca="1" si="61"/>
        <v>1372.5768015452743</v>
      </c>
      <c r="W198" s="94">
        <f t="shared" ca="1" si="61"/>
        <v>0</v>
      </c>
      <c r="X198" s="116">
        <v>0.20007288629737605</v>
      </c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spans="1:38" x14ac:dyDescent="0.25">
      <c r="A199" s="87" t="str">
        <f>A198</f>
        <v>Torre</v>
      </c>
      <c r="B199" s="88" t="s">
        <v>165</v>
      </c>
      <c r="C199" s="88" t="s">
        <v>198</v>
      </c>
      <c r="D199" s="88" t="s">
        <v>211</v>
      </c>
      <c r="E199" s="88" t="s">
        <v>190</v>
      </c>
      <c r="F199" s="89"/>
      <c r="G199" s="90"/>
      <c r="H199" s="91">
        <v>45</v>
      </c>
      <c r="I199" s="118"/>
      <c r="J199" s="92">
        <v>0</v>
      </c>
      <c r="K199" s="92"/>
      <c r="L199" s="92"/>
      <c r="M199" s="92"/>
      <c r="N199" s="92">
        <v>0</v>
      </c>
      <c r="O199" s="108">
        <f t="shared" ca="1" si="61"/>
        <v>0</v>
      </c>
      <c r="P199" s="108">
        <f t="shared" ca="1" si="61"/>
        <v>0</v>
      </c>
      <c r="Q199" s="108">
        <f t="shared" ca="1" si="61"/>
        <v>0</v>
      </c>
      <c r="R199" s="108">
        <f t="shared" ca="1" si="61"/>
        <v>0</v>
      </c>
      <c r="S199" s="108">
        <f t="shared" ca="1" si="61"/>
        <v>0</v>
      </c>
      <c r="T199" s="108">
        <f t="shared" ca="1" si="61"/>
        <v>0</v>
      </c>
      <c r="U199" s="108">
        <f t="shared" ca="1" si="61"/>
        <v>0</v>
      </c>
      <c r="V199" s="110">
        <f t="shared" ca="1" si="61"/>
        <v>0</v>
      </c>
      <c r="W199" s="111">
        <f t="shared" ca="1" si="61"/>
        <v>0</v>
      </c>
      <c r="X199" s="116">
        <v>0</v>
      </c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spans="1:38" ht="15.75" thickBot="1" x14ac:dyDescent="0.3">
      <c r="A200" s="45" t="str">
        <f>A198</f>
        <v>Torre</v>
      </c>
      <c r="B200" s="46" t="s">
        <v>165</v>
      </c>
      <c r="C200" s="46" t="s">
        <v>198</v>
      </c>
      <c r="D200" s="46" t="s">
        <v>211</v>
      </c>
      <c r="E200" s="46" t="s">
        <v>54</v>
      </c>
      <c r="F200" s="47"/>
      <c r="G200" s="48"/>
      <c r="H200" s="91">
        <v>45</v>
      </c>
      <c r="I200" s="119">
        <f>((0.5816+0.5128)*1.2+0.1123*2.48)</f>
        <v>1.5917840000000001</v>
      </c>
      <c r="J200" s="50">
        <v>14.8264</v>
      </c>
      <c r="K200" s="50"/>
      <c r="L200" s="50"/>
      <c r="M200" s="50"/>
      <c r="N200" s="50">
        <v>53.806932296728199</v>
      </c>
      <c r="O200" s="50">
        <f t="shared" ca="1" si="61"/>
        <v>0.30284918971676489</v>
      </c>
      <c r="P200" s="50">
        <f t="shared" ca="1" si="61"/>
        <v>3.3967042213556553</v>
      </c>
      <c r="Q200" s="50">
        <f t="shared" ca="1" si="61"/>
        <v>3.754022689798457</v>
      </c>
      <c r="R200" s="50">
        <f t="shared" ca="1" si="61"/>
        <v>4.2682126809722432</v>
      </c>
      <c r="S200" s="50">
        <f t="shared" ca="1" si="61"/>
        <v>4.8303356374249447</v>
      </c>
      <c r="T200" s="50">
        <f t="shared" ca="1" si="61"/>
        <v>1.6188269637378141</v>
      </c>
      <c r="U200" s="50">
        <f t="shared" ca="1" si="61"/>
        <v>6.1898888344268226</v>
      </c>
      <c r="V200" s="51">
        <f t="shared" ca="1" si="61"/>
        <v>29.4460920792955</v>
      </c>
      <c r="W200" s="52">
        <f t="shared" ca="1" si="61"/>
        <v>0</v>
      </c>
      <c r="X200" s="116">
        <v>4.2921930677032706E-3</v>
      </c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spans="1:38" ht="21" customHeight="1" thickTop="1" thickBot="1" x14ac:dyDescent="0.3">
      <c r="A201" s="70"/>
      <c r="B201" s="71"/>
      <c r="C201" s="71"/>
      <c r="D201" s="72" t="str">
        <f>"TOTAL - "&amp;UPPER(C194)</f>
        <v>TOTAL - PENTHOUSE - 22X</v>
      </c>
      <c r="E201" s="73"/>
      <c r="F201" s="74"/>
      <c r="G201" s="75"/>
      <c r="H201" s="59"/>
      <c r="I201" s="77">
        <f>SUM(I196:I200)</f>
        <v>127.02940304761906</v>
      </c>
      <c r="J201" s="77">
        <f>SUM(J196:J200)</f>
        <v>893.87401904761907</v>
      </c>
      <c r="K201" s="77">
        <f>SUM(K196:K200)</f>
        <v>0</v>
      </c>
      <c r="L201" s="77">
        <f t="shared" ref="L201:W201" si="62">SUM(L196:L200)</f>
        <v>0</v>
      </c>
      <c r="M201" s="77">
        <f t="shared" si="62"/>
        <v>0</v>
      </c>
      <c r="N201" s="77">
        <f t="shared" si="62"/>
        <v>12535.999999999998</v>
      </c>
      <c r="O201" s="77">
        <f t="shared" ca="1" si="62"/>
        <v>70.55814706835119</v>
      </c>
      <c r="P201" s="77">
        <f t="shared" ca="1" si="62"/>
        <v>791.36799481697426</v>
      </c>
      <c r="Q201" s="77">
        <f t="shared" ca="1" si="62"/>
        <v>874.61645610625203</v>
      </c>
      <c r="R201" s="77">
        <f t="shared" ca="1" si="62"/>
        <v>994.41302235179762</v>
      </c>
      <c r="S201" s="77">
        <f t="shared" ca="1" si="62"/>
        <v>1125.3770651117588</v>
      </c>
      <c r="T201" s="77">
        <f t="shared" ca="1" si="62"/>
        <v>377.15613864593462</v>
      </c>
      <c r="U201" s="77">
        <f t="shared" ca="1" si="62"/>
        <v>1442.1273080660835</v>
      </c>
      <c r="V201" s="77">
        <f t="shared" ca="1" si="62"/>
        <v>6860.3838678328466</v>
      </c>
      <c r="W201" s="78">
        <f t="shared" ca="1" si="62"/>
        <v>0</v>
      </c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spans="1:38" ht="15.75" thickTop="1" x14ac:dyDescent="0.25">
      <c r="A202" s="100" t="str">
        <f>A158</f>
        <v>Torre</v>
      </c>
      <c r="B202" s="101" t="s">
        <v>165</v>
      </c>
      <c r="C202" s="101" t="s">
        <v>198</v>
      </c>
      <c r="D202" s="101" t="s">
        <v>212</v>
      </c>
      <c r="E202" s="101" t="s">
        <v>52</v>
      </c>
      <c r="F202" s="102"/>
      <c r="G202" s="103"/>
      <c r="H202" s="104">
        <v>45</v>
      </c>
      <c r="I202" s="105">
        <f>1548.3/21</f>
        <v>73.728571428571428</v>
      </c>
      <c r="J202" s="105">
        <v>418.20000000000005</v>
      </c>
      <c r="K202" s="105"/>
      <c r="L202" s="105"/>
      <c r="M202" s="105"/>
      <c r="N202" s="105">
        <v>7052.7736475542588</v>
      </c>
      <c r="O202" s="105">
        <f t="shared" ref="O202:W206" ca="1" si="63">O$5*$N202</f>
        <v>39.696126377147827</v>
      </c>
      <c r="P202" s="105">
        <f t="shared" ca="1" si="63"/>
        <v>445.22489943865764</v>
      </c>
      <c r="Q202" s="105">
        <f t="shared" ca="1" si="63"/>
        <v>492.06061689083208</v>
      </c>
      <c r="R202" s="105">
        <f t="shared" ca="1" si="63"/>
        <v>559.45835663908281</v>
      </c>
      <c r="S202" s="105">
        <f t="shared" ca="1" si="63"/>
        <v>633.13893653335731</v>
      </c>
      <c r="T202" s="105">
        <f t="shared" ca="1" si="63"/>
        <v>212.18864674979005</v>
      </c>
      <c r="U202" s="105">
        <f t="shared" ca="1" si="63"/>
        <v>811.34312976602075</v>
      </c>
      <c r="V202" s="106">
        <f t="shared" ca="1" si="63"/>
        <v>3859.6629351593706</v>
      </c>
      <c r="W202" s="107">
        <f t="shared" ca="1" si="63"/>
        <v>0</v>
      </c>
      <c r="X202" s="116">
        <v>0.56612406867508902</v>
      </c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 spans="1:38" x14ac:dyDescent="0.25">
      <c r="A203" s="87" t="str">
        <f>A202</f>
        <v>Torre</v>
      </c>
      <c r="B203" s="88" t="s">
        <v>165</v>
      </c>
      <c r="C203" s="88" t="s">
        <v>198</v>
      </c>
      <c r="D203" s="88" t="s">
        <v>212</v>
      </c>
      <c r="E203" s="88" t="s">
        <v>51</v>
      </c>
      <c r="F203" s="89" t="s">
        <v>200</v>
      </c>
      <c r="G203" s="90"/>
      <c r="H203" s="91">
        <v>45</v>
      </c>
      <c r="I203" s="92">
        <f>447.7/21</f>
        <v>21.31904761904762</v>
      </c>
      <c r="J203" s="92">
        <v>199.96190476190475</v>
      </c>
      <c r="K203" s="92"/>
      <c r="L203" s="92"/>
      <c r="M203" s="92"/>
      <c r="N203" s="92">
        <v>2859.2461937155808</v>
      </c>
      <c r="O203" s="92">
        <f t="shared" ca="1" si="63"/>
        <v>16.0931009445443</v>
      </c>
      <c r="P203" s="92">
        <f t="shared" ca="1" si="63"/>
        <v>180.49744152909744</v>
      </c>
      <c r="Q203" s="92">
        <f t="shared" ca="1" si="63"/>
        <v>199.48498508956698</v>
      </c>
      <c r="R203" s="92">
        <f t="shared" ca="1" si="63"/>
        <v>226.8085233839011</v>
      </c>
      <c r="S203" s="92">
        <f t="shared" ca="1" si="63"/>
        <v>256.67917118024957</v>
      </c>
      <c r="T203" s="92">
        <f t="shared" ca="1" si="63"/>
        <v>86.022834545297897</v>
      </c>
      <c r="U203" s="92">
        <f t="shared" ca="1" si="63"/>
        <v>328.92445887374333</v>
      </c>
      <c r="V203" s="93">
        <f t="shared" ca="1" si="63"/>
        <v>1564.7356781691803</v>
      </c>
      <c r="W203" s="94">
        <f t="shared" ca="1" si="63"/>
        <v>0</v>
      </c>
      <c r="X203" s="116">
        <v>0.22951085195983151</v>
      </c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</row>
    <row r="204" spans="1:38" x14ac:dyDescent="0.25">
      <c r="A204" s="87" t="str">
        <f>A203</f>
        <v>Torre</v>
      </c>
      <c r="B204" s="88" t="s">
        <v>165</v>
      </c>
      <c r="C204" s="88" t="s">
        <v>198</v>
      </c>
      <c r="D204" s="88" t="s">
        <v>212</v>
      </c>
      <c r="E204" s="88" t="s">
        <v>53</v>
      </c>
      <c r="F204" s="89"/>
      <c r="G204" s="90"/>
      <c r="H204" s="91">
        <v>45</v>
      </c>
      <c r="I204" s="118">
        <v>30.39</v>
      </c>
      <c r="J204" s="92">
        <v>260.8857142857143</v>
      </c>
      <c r="K204" s="92"/>
      <c r="L204" s="92"/>
      <c r="M204" s="92"/>
      <c r="N204" s="92">
        <v>2492.5080174927107</v>
      </c>
      <c r="O204" s="92">
        <f t="shared" ca="1" si="63"/>
        <v>14.028936444423673</v>
      </c>
      <c r="P204" s="92">
        <f t="shared" ca="1" si="63"/>
        <v>157.34612889824814</v>
      </c>
      <c r="Q204" s="92">
        <f t="shared" ca="1" si="63"/>
        <v>173.89825535066169</v>
      </c>
      <c r="R204" s="92">
        <f t="shared" ca="1" si="63"/>
        <v>197.71716902608597</v>
      </c>
      <c r="S204" s="92">
        <f t="shared" ca="1" si="63"/>
        <v>223.75648990854145</v>
      </c>
      <c r="T204" s="92">
        <f t="shared" ca="1" si="63"/>
        <v>74.989207037458868</v>
      </c>
      <c r="U204" s="92">
        <f t="shared" ca="1" si="63"/>
        <v>286.73531250796856</v>
      </c>
      <c r="V204" s="93">
        <f t="shared" ca="1" si="63"/>
        <v>1364.0365183193223</v>
      </c>
      <c r="W204" s="94">
        <f t="shared" ca="1" si="63"/>
        <v>0</v>
      </c>
      <c r="X204" s="116">
        <v>0.20007288629737605</v>
      </c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</row>
    <row r="205" spans="1:38" x14ac:dyDescent="0.25">
      <c r="A205" s="87" t="str">
        <f>A204</f>
        <v>Torre</v>
      </c>
      <c r="B205" s="88" t="s">
        <v>165</v>
      </c>
      <c r="C205" s="88" t="s">
        <v>198</v>
      </c>
      <c r="D205" s="88" t="s">
        <v>212</v>
      </c>
      <c r="E205" s="88" t="s">
        <v>190</v>
      </c>
      <c r="F205" s="89"/>
      <c r="G205" s="90"/>
      <c r="H205" s="91">
        <v>45</v>
      </c>
      <c r="I205" s="118"/>
      <c r="J205" s="92">
        <v>0</v>
      </c>
      <c r="K205" s="92"/>
      <c r="L205" s="92"/>
      <c r="M205" s="92"/>
      <c r="N205" s="92">
        <v>0</v>
      </c>
      <c r="O205" s="108">
        <f t="shared" ca="1" si="63"/>
        <v>0</v>
      </c>
      <c r="P205" s="108">
        <f t="shared" ca="1" si="63"/>
        <v>0</v>
      </c>
      <c r="Q205" s="108">
        <f t="shared" ca="1" si="63"/>
        <v>0</v>
      </c>
      <c r="R205" s="108">
        <f t="shared" ca="1" si="63"/>
        <v>0</v>
      </c>
      <c r="S205" s="108">
        <f t="shared" ca="1" si="63"/>
        <v>0</v>
      </c>
      <c r="T205" s="108">
        <f t="shared" ca="1" si="63"/>
        <v>0</v>
      </c>
      <c r="U205" s="108">
        <f t="shared" ca="1" si="63"/>
        <v>0</v>
      </c>
      <c r="V205" s="110">
        <f t="shared" ca="1" si="63"/>
        <v>0</v>
      </c>
      <c r="W205" s="111">
        <f t="shared" ca="1" si="63"/>
        <v>0</v>
      </c>
      <c r="X205" s="116">
        <v>0</v>
      </c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</row>
    <row r="206" spans="1:38" ht="15.75" thickBot="1" x14ac:dyDescent="0.3">
      <c r="A206" s="45" t="str">
        <f>A204</f>
        <v>Torre</v>
      </c>
      <c r="B206" s="46" t="s">
        <v>165</v>
      </c>
      <c r="C206" s="46" t="s">
        <v>198</v>
      </c>
      <c r="D206" s="46" t="s">
        <v>212</v>
      </c>
      <c r="E206" s="46" t="s">
        <v>54</v>
      </c>
      <c r="F206" s="47"/>
      <c r="G206" s="48"/>
      <c r="H206" s="91">
        <v>45</v>
      </c>
      <c r="I206" s="119">
        <f>((0.5816+0.5128)*1.2+0.1123*2.48)</f>
        <v>1.5917840000000001</v>
      </c>
      <c r="J206" s="50">
        <v>14.8264</v>
      </c>
      <c r="K206" s="50"/>
      <c r="L206" s="50"/>
      <c r="M206" s="50"/>
      <c r="N206" s="50">
        <v>53.472141237447346</v>
      </c>
      <c r="O206" s="50">
        <f t="shared" ca="1" si="63"/>
        <v>0.30096483770672117</v>
      </c>
      <c r="P206" s="50">
        <f t="shared" ca="1" si="63"/>
        <v>3.375569654566748</v>
      </c>
      <c r="Q206" s="50">
        <f t="shared" ca="1" si="63"/>
        <v>3.7306648587674838</v>
      </c>
      <c r="R206" s="50">
        <f t="shared" ca="1" si="63"/>
        <v>4.2416555184709805</v>
      </c>
      <c r="S206" s="50">
        <f t="shared" ca="1" si="63"/>
        <v>4.800280900689212</v>
      </c>
      <c r="T206" s="50">
        <f t="shared" ca="1" si="63"/>
        <v>1.6087544922021131</v>
      </c>
      <c r="U206" s="50">
        <f t="shared" ca="1" si="63"/>
        <v>6.151374848379815</v>
      </c>
      <c r="V206" s="51">
        <f t="shared" ca="1" si="63"/>
        <v>29.262876126664274</v>
      </c>
      <c r="W206" s="52">
        <f t="shared" ca="1" si="63"/>
        <v>0</v>
      </c>
      <c r="X206" s="116">
        <v>4.2921930677032706E-3</v>
      </c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 spans="1:38" ht="21" customHeight="1" thickTop="1" thickBot="1" x14ac:dyDescent="0.3">
      <c r="A207" s="70"/>
      <c r="B207" s="71"/>
      <c r="C207" s="71"/>
      <c r="D207" s="72" t="str">
        <f>"TOTAL - "&amp;UPPER(C200)</f>
        <v>TOTAL - PENTHOUSE - 22X</v>
      </c>
      <c r="E207" s="73"/>
      <c r="F207" s="74"/>
      <c r="G207" s="75"/>
      <c r="H207" s="59"/>
      <c r="I207" s="77">
        <f>SUM(I202:I206)</f>
        <v>127.02940304761906</v>
      </c>
      <c r="J207" s="77">
        <f>SUM(J202:J206)</f>
        <v>893.87401904761907</v>
      </c>
      <c r="K207" s="77">
        <f>SUM(K202:K206)</f>
        <v>0</v>
      </c>
      <c r="L207" s="77">
        <f t="shared" ref="L207:W207" si="64">SUM(L202:L206)</f>
        <v>0</v>
      </c>
      <c r="M207" s="77">
        <f t="shared" si="64"/>
        <v>0</v>
      </c>
      <c r="N207" s="77">
        <f t="shared" si="64"/>
        <v>12457.999999999998</v>
      </c>
      <c r="O207" s="77">
        <f t="shared" ca="1" si="64"/>
        <v>70.119128603822517</v>
      </c>
      <c r="P207" s="77">
        <f t="shared" ca="1" si="64"/>
        <v>786.44403952057007</v>
      </c>
      <c r="Q207" s="77">
        <f t="shared" ca="1" si="64"/>
        <v>869.17452218982817</v>
      </c>
      <c r="R207" s="77">
        <f t="shared" ca="1" si="64"/>
        <v>988.2257045675409</v>
      </c>
      <c r="S207" s="77">
        <f t="shared" ca="1" si="64"/>
        <v>1118.3748785228374</v>
      </c>
      <c r="T207" s="77">
        <f t="shared" ca="1" si="64"/>
        <v>374.80944282474894</v>
      </c>
      <c r="U207" s="77">
        <f t="shared" ca="1" si="64"/>
        <v>1433.1542759961126</v>
      </c>
      <c r="V207" s="77">
        <f t="shared" ca="1" si="64"/>
        <v>6817.6980077745375</v>
      </c>
      <c r="W207" s="78">
        <f t="shared" ca="1" si="64"/>
        <v>0</v>
      </c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</row>
    <row r="208" spans="1:38" ht="15.75" thickTop="1" x14ac:dyDescent="0.25">
      <c r="A208" s="100" t="str">
        <f>A164</f>
        <v>Torre</v>
      </c>
      <c r="B208" s="101" t="s">
        <v>165</v>
      </c>
      <c r="C208" s="101" t="s">
        <v>198</v>
      </c>
      <c r="D208" s="101" t="s">
        <v>213</v>
      </c>
      <c r="E208" s="101" t="s">
        <v>52</v>
      </c>
      <c r="F208" s="102"/>
      <c r="G208" s="103"/>
      <c r="H208" s="104">
        <v>45</v>
      </c>
      <c r="I208" s="105">
        <f>1548.3/21</f>
        <v>73.728571428571428</v>
      </c>
      <c r="J208" s="105">
        <v>418.20000000000005</v>
      </c>
      <c r="K208" s="105"/>
      <c r="L208" s="105"/>
      <c r="M208" s="105"/>
      <c r="N208" s="105">
        <v>7059.0010123096854</v>
      </c>
      <c r="O208" s="105">
        <f t="shared" ref="O208:W212" ca="1" si="65">O$5*$N208</f>
        <v>39.731176737570742</v>
      </c>
      <c r="P208" s="105">
        <f t="shared" ca="1" si="65"/>
        <v>445.61801822930028</v>
      </c>
      <c r="Q208" s="105">
        <f t="shared" ca="1" si="65"/>
        <v>492.4950900635564</v>
      </c>
      <c r="R208" s="105">
        <f t="shared" ca="1" si="65"/>
        <v>559.95233977626629</v>
      </c>
      <c r="S208" s="105">
        <f t="shared" ca="1" si="65"/>
        <v>633.69797717405947</v>
      </c>
      <c r="T208" s="105">
        <f t="shared" ca="1" si="65"/>
        <v>212.37600227348952</v>
      </c>
      <c r="U208" s="105">
        <f t="shared" ca="1" si="65"/>
        <v>812.05951878732651</v>
      </c>
      <c r="V208" s="106">
        <f t="shared" ca="1" si="65"/>
        <v>3863.0708892681164</v>
      </c>
      <c r="W208" s="107">
        <f t="shared" ca="1" si="65"/>
        <v>0</v>
      </c>
      <c r="X208" s="116">
        <v>0.56612406867508902</v>
      </c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</row>
    <row r="209" spans="1:38" x14ac:dyDescent="0.25">
      <c r="A209" s="87" t="str">
        <f>A208</f>
        <v>Torre</v>
      </c>
      <c r="B209" s="88" t="s">
        <v>165</v>
      </c>
      <c r="C209" s="88" t="s">
        <v>198</v>
      </c>
      <c r="D209" s="88" t="s">
        <v>213</v>
      </c>
      <c r="E209" s="88" t="s">
        <v>51</v>
      </c>
      <c r="F209" s="89" t="s">
        <v>200</v>
      </c>
      <c r="G209" s="90"/>
      <c r="H209" s="91">
        <v>45</v>
      </c>
      <c r="I209" s="92">
        <f>447.7/21</f>
        <v>21.31904761904762</v>
      </c>
      <c r="J209" s="92">
        <v>199.96190476190475</v>
      </c>
      <c r="K209" s="92"/>
      <c r="L209" s="92"/>
      <c r="M209" s="92"/>
      <c r="N209" s="92">
        <v>2861.7708130871392</v>
      </c>
      <c r="O209" s="92">
        <f t="shared" ca="1" si="65"/>
        <v>16.1073106178779</v>
      </c>
      <c r="P209" s="92">
        <f t="shared" ca="1" si="65"/>
        <v>180.65681477173834</v>
      </c>
      <c r="Q209" s="92">
        <f t="shared" ca="1" si="65"/>
        <v>199.6611237021842</v>
      </c>
      <c r="R209" s="92">
        <f t="shared" ca="1" si="65"/>
        <v>227.00878777282574</v>
      </c>
      <c r="S209" s="92">
        <f t="shared" ca="1" si="65"/>
        <v>256.90581035852722</v>
      </c>
      <c r="T209" s="92">
        <f t="shared" ca="1" si="65"/>
        <v>86.098789849519946</v>
      </c>
      <c r="U209" s="92">
        <f t="shared" ca="1" si="65"/>
        <v>329.21488824022362</v>
      </c>
      <c r="V209" s="93">
        <f t="shared" ca="1" si="65"/>
        <v>1566.1172877742424</v>
      </c>
      <c r="W209" s="94">
        <f t="shared" ca="1" si="65"/>
        <v>0</v>
      </c>
      <c r="X209" s="116">
        <v>0.22951085195983151</v>
      </c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 spans="1:38" x14ac:dyDescent="0.25">
      <c r="A210" s="87" t="str">
        <f>A209</f>
        <v>Torre</v>
      </c>
      <c r="B210" s="88" t="s">
        <v>165</v>
      </c>
      <c r="C210" s="88" t="s">
        <v>198</v>
      </c>
      <c r="D210" s="88" t="s">
        <v>213</v>
      </c>
      <c r="E210" s="88" t="s">
        <v>53</v>
      </c>
      <c r="F210" s="89"/>
      <c r="G210" s="90"/>
      <c r="H210" s="91">
        <v>45</v>
      </c>
      <c r="I210" s="118">
        <v>30.39</v>
      </c>
      <c r="J210" s="92">
        <v>260.8857142857143</v>
      </c>
      <c r="K210" s="92"/>
      <c r="L210" s="92"/>
      <c r="M210" s="92"/>
      <c r="N210" s="92">
        <v>2494.7088192419819</v>
      </c>
      <c r="O210" s="92">
        <f t="shared" ca="1" si="65"/>
        <v>14.041323529099277</v>
      </c>
      <c r="P210" s="92">
        <f t="shared" ca="1" si="65"/>
        <v>157.48506030119248</v>
      </c>
      <c r="Q210" s="92">
        <f t="shared" ca="1" si="65"/>
        <v>174.05180173120891</v>
      </c>
      <c r="R210" s="92">
        <f t="shared" ca="1" si="65"/>
        <v>197.89174671586662</v>
      </c>
      <c r="S210" s="92">
        <f t="shared" ca="1" si="65"/>
        <v>223.95405945333147</v>
      </c>
      <c r="T210" s="92">
        <f t="shared" ca="1" si="65"/>
        <v>75.055420015257241</v>
      </c>
      <c r="U210" s="92">
        <f t="shared" ca="1" si="65"/>
        <v>286.98849026022316</v>
      </c>
      <c r="V210" s="93">
        <f t="shared" ca="1" si="65"/>
        <v>1365.240917235803</v>
      </c>
      <c r="W210" s="94">
        <f t="shared" ca="1" si="65"/>
        <v>0</v>
      </c>
      <c r="X210" s="116">
        <v>0.20007288629737605</v>
      </c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 spans="1:38" x14ac:dyDescent="0.25">
      <c r="A211" s="87" t="str">
        <f>A210</f>
        <v>Torre</v>
      </c>
      <c r="B211" s="88" t="s">
        <v>165</v>
      </c>
      <c r="C211" s="88" t="s">
        <v>198</v>
      </c>
      <c r="D211" s="88" t="s">
        <v>213</v>
      </c>
      <c r="E211" s="88" t="s">
        <v>190</v>
      </c>
      <c r="F211" s="89"/>
      <c r="G211" s="90"/>
      <c r="H211" s="91">
        <v>45</v>
      </c>
      <c r="I211" s="118"/>
      <c r="J211" s="92">
        <v>0</v>
      </c>
      <c r="K211" s="92"/>
      <c r="L211" s="92"/>
      <c r="M211" s="92"/>
      <c r="N211" s="92">
        <v>0</v>
      </c>
      <c r="O211" s="108">
        <f t="shared" ca="1" si="65"/>
        <v>0</v>
      </c>
      <c r="P211" s="108">
        <f t="shared" ca="1" si="65"/>
        <v>0</v>
      </c>
      <c r="Q211" s="108">
        <f t="shared" ca="1" si="65"/>
        <v>0</v>
      </c>
      <c r="R211" s="108">
        <f t="shared" ca="1" si="65"/>
        <v>0</v>
      </c>
      <c r="S211" s="108">
        <f t="shared" ca="1" si="65"/>
        <v>0</v>
      </c>
      <c r="T211" s="108">
        <f t="shared" ca="1" si="65"/>
        <v>0</v>
      </c>
      <c r="U211" s="108">
        <f t="shared" ca="1" si="65"/>
        <v>0</v>
      </c>
      <c r="V211" s="110">
        <f t="shared" ca="1" si="65"/>
        <v>0</v>
      </c>
      <c r="W211" s="111">
        <f t="shared" ca="1" si="65"/>
        <v>0</v>
      </c>
      <c r="X211" s="116">
        <v>0</v>
      </c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 spans="1:38" ht="15.75" thickBot="1" x14ac:dyDescent="0.3">
      <c r="A212" s="45" t="str">
        <f>A210</f>
        <v>Torre</v>
      </c>
      <c r="B212" s="46" t="s">
        <v>165</v>
      </c>
      <c r="C212" s="46" t="s">
        <v>198</v>
      </c>
      <c r="D212" s="46" t="s">
        <v>213</v>
      </c>
      <c r="E212" s="46" t="s">
        <v>54</v>
      </c>
      <c r="F212" s="47"/>
      <c r="G212" s="48"/>
      <c r="H212" s="91">
        <v>45</v>
      </c>
      <c r="I212" s="119">
        <f>((0.5816+0.5128)*1.2+0.1123*2.48)</f>
        <v>1.5917840000000001</v>
      </c>
      <c r="J212" s="50">
        <v>14.8264</v>
      </c>
      <c r="K212" s="50"/>
      <c r="L212" s="50"/>
      <c r="M212" s="50"/>
      <c r="N212" s="50">
        <v>53.519355361192083</v>
      </c>
      <c r="O212" s="50">
        <f t="shared" ca="1" si="65"/>
        <v>0.30123057965685557</v>
      </c>
      <c r="P212" s="50">
        <f t="shared" ca="1" si="65"/>
        <v>3.3785501703959531</v>
      </c>
      <c r="Q212" s="50">
        <f t="shared" ca="1" si="65"/>
        <v>3.7339589118615955</v>
      </c>
      <c r="R212" s="50">
        <f t="shared" ca="1" si="65"/>
        <v>4.245400759336543</v>
      </c>
      <c r="S212" s="50">
        <f t="shared" ca="1" si="65"/>
        <v>4.8045193892032252</v>
      </c>
      <c r="T212" s="50">
        <f t="shared" ca="1" si="65"/>
        <v>1.6101749689571478</v>
      </c>
      <c r="U212" s="50">
        <f t="shared" ca="1" si="65"/>
        <v>6.1568063079505464</v>
      </c>
      <c r="V212" s="51">
        <f t="shared" ca="1" si="65"/>
        <v>29.28871427383022</v>
      </c>
      <c r="W212" s="52">
        <f t="shared" ca="1" si="65"/>
        <v>0</v>
      </c>
      <c r="X212" s="116">
        <v>4.2921930677032706E-3</v>
      </c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</row>
    <row r="213" spans="1:38" ht="21" customHeight="1" thickTop="1" thickBot="1" x14ac:dyDescent="0.3">
      <c r="A213" s="70"/>
      <c r="B213" s="71"/>
      <c r="C213" s="71"/>
      <c r="D213" s="72" t="str">
        <f>"TOTAL - "&amp;UPPER(C206)</f>
        <v>TOTAL - PENTHOUSE - 22X</v>
      </c>
      <c r="E213" s="73"/>
      <c r="F213" s="74"/>
      <c r="G213" s="75"/>
      <c r="H213" s="59"/>
      <c r="I213" s="77">
        <f>SUM(I208:I212)</f>
        <v>127.02940304761906</v>
      </c>
      <c r="J213" s="77">
        <f>SUM(J208:J212)</f>
        <v>893.87401904761907</v>
      </c>
      <c r="K213" s="77">
        <f>SUM(K208:K212)</f>
        <v>0</v>
      </c>
      <c r="L213" s="77">
        <f t="shared" ref="L213:W213" si="66">SUM(L208:L212)</f>
        <v>0</v>
      </c>
      <c r="M213" s="77">
        <f t="shared" si="66"/>
        <v>0</v>
      </c>
      <c r="N213" s="77">
        <f t="shared" si="66"/>
        <v>12468.999999999998</v>
      </c>
      <c r="O213" s="77">
        <f t="shared" ca="1" si="66"/>
        <v>70.181041464204782</v>
      </c>
      <c r="P213" s="77">
        <f t="shared" ca="1" si="66"/>
        <v>787.13844347262693</v>
      </c>
      <c r="Q213" s="77">
        <f t="shared" ca="1" si="66"/>
        <v>869.94197440881112</v>
      </c>
      <c r="R213" s="77">
        <f t="shared" ca="1" si="66"/>
        <v>989.09827502429516</v>
      </c>
      <c r="S213" s="77">
        <f t="shared" ca="1" si="66"/>
        <v>1119.3623663751214</v>
      </c>
      <c r="T213" s="77">
        <f t="shared" ca="1" si="66"/>
        <v>375.14038710722389</v>
      </c>
      <c r="U213" s="77">
        <f t="shared" ca="1" si="66"/>
        <v>1434.4197035957238</v>
      </c>
      <c r="V213" s="77">
        <f t="shared" ca="1" si="66"/>
        <v>6823.7178085519918</v>
      </c>
      <c r="W213" s="78">
        <f t="shared" ca="1" si="66"/>
        <v>0</v>
      </c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 spans="1:38" ht="15.75" thickTop="1" x14ac:dyDescent="0.25">
      <c r="A214" s="100" t="str">
        <f>A170</f>
        <v>Torre</v>
      </c>
      <c r="B214" s="101" t="s">
        <v>165</v>
      </c>
      <c r="C214" s="101" t="s">
        <v>198</v>
      </c>
      <c r="D214" s="101" t="s">
        <v>214</v>
      </c>
      <c r="E214" s="101" t="s">
        <v>52</v>
      </c>
      <c r="F214" s="102"/>
      <c r="G214" s="103"/>
      <c r="H214" s="104">
        <v>45</v>
      </c>
      <c r="I214" s="105">
        <f>1548.3/21</f>
        <v>73.728571428571428</v>
      </c>
      <c r="J214" s="105">
        <v>418.20000000000005</v>
      </c>
      <c r="K214" s="105"/>
      <c r="L214" s="105"/>
      <c r="M214" s="105"/>
      <c r="N214" s="105">
        <v>7039.7527939747324</v>
      </c>
      <c r="O214" s="105">
        <f t="shared" ref="O214:W218" ca="1" si="67">O$5*$N214</f>
        <v>39.622839259899926</v>
      </c>
      <c r="P214" s="105">
        <f t="shared" ca="1" si="67"/>
        <v>444.40292378549594</v>
      </c>
      <c r="Q214" s="105">
        <f t="shared" ca="1" si="67"/>
        <v>491.15217298422681</v>
      </c>
      <c r="R214" s="105">
        <f t="shared" ca="1" si="67"/>
        <v>558.42548280679046</v>
      </c>
      <c r="S214" s="105">
        <f t="shared" ca="1" si="67"/>
        <v>631.97003337552565</v>
      </c>
      <c r="T214" s="105">
        <f t="shared" ca="1" si="67"/>
        <v>211.79690338205486</v>
      </c>
      <c r="U214" s="105">
        <f t="shared" ca="1" si="67"/>
        <v>809.84522544874528</v>
      </c>
      <c r="V214" s="106">
        <f t="shared" ca="1" si="67"/>
        <v>3852.5372129319935</v>
      </c>
      <c r="W214" s="107">
        <f t="shared" ca="1" si="67"/>
        <v>0</v>
      </c>
      <c r="X214" s="116">
        <v>0.56612406867508902</v>
      </c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 spans="1:38" x14ac:dyDescent="0.25">
      <c r="A215" s="87" t="str">
        <f>A214</f>
        <v>Torre</v>
      </c>
      <c r="B215" s="88" t="s">
        <v>165</v>
      </c>
      <c r="C215" s="88" t="s">
        <v>198</v>
      </c>
      <c r="D215" s="88" t="s">
        <v>214</v>
      </c>
      <c r="E215" s="88" t="s">
        <v>51</v>
      </c>
      <c r="F215" s="89" t="s">
        <v>200</v>
      </c>
      <c r="G215" s="90"/>
      <c r="H215" s="91">
        <v>45</v>
      </c>
      <c r="I215" s="92">
        <f>447.7/21</f>
        <v>21.31904761904762</v>
      </c>
      <c r="J215" s="92">
        <v>199.96190476190475</v>
      </c>
      <c r="K215" s="92"/>
      <c r="L215" s="92"/>
      <c r="M215" s="92"/>
      <c r="N215" s="92">
        <v>2853.9674441205048</v>
      </c>
      <c r="O215" s="92">
        <f t="shared" ca="1" si="67"/>
        <v>16.063389809392227</v>
      </c>
      <c r="P215" s="92">
        <f t="shared" ca="1" si="67"/>
        <v>180.16420656721198</v>
      </c>
      <c r="Q215" s="92">
        <f t="shared" ca="1" si="67"/>
        <v>199.11669526318553</v>
      </c>
      <c r="R215" s="92">
        <f t="shared" ca="1" si="67"/>
        <v>226.38978875251328</v>
      </c>
      <c r="S215" s="92">
        <f t="shared" ca="1" si="67"/>
        <v>256.20528926203269</v>
      </c>
      <c r="T215" s="92">
        <f t="shared" ca="1" si="67"/>
        <v>85.864018909197256</v>
      </c>
      <c r="U215" s="92">
        <f t="shared" ca="1" si="67"/>
        <v>328.31719747110276</v>
      </c>
      <c r="V215" s="93">
        <f t="shared" ca="1" si="67"/>
        <v>1561.8468580858691</v>
      </c>
      <c r="W215" s="94">
        <f t="shared" ca="1" si="67"/>
        <v>0</v>
      </c>
      <c r="X215" s="116">
        <v>0.22951085195983151</v>
      </c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 spans="1:38" x14ac:dyDescent="0.25">
      <c r="A216" s="87" t="str">
        <f>A215</f>
        <v>Torre</v>
      </c>
      <c r="B216" s="88" t="s">
        <v>165</v>
      </c>
      <c r="C216" s="88" t="s">
        <v>198</v>
      </c>
      <c r="D216" s="88" t="s">
        <v>214</v>
      </c>
      <c r="E216" s="88" t="s">
        <v>53</v>
      </c>
      <c r="F216" s="89"/>
      <c r="G216" s="90"/>
      <c r="H216" s="91">
        <v>45</v>
      </c>
      <c r="I216" s="118">
        <v>30.39</v>
      </c>
      <c r="J216" s="92">
        <v>260.8857142857143</v>
      </c>
      <c r="K216" s="92"/>
      <c r="L216" s="92"/>
      <c r="M216" s="92"/>
      <c r="N216" s="92">
        <v>2487.906341107871</v>
      </c>
      <c r="O216" s="92">
        <f t="shared" ca="1" si="67"/>
        <v>14.003036176465594</v>
      </c>
      <c r="P216" s="92">
        <f t="shared" ca="1" si="67"/>
        <v>157.05563596481903</v>
      </c>
      <c r="Q216" s="92">
        <f t="shared" ca="1" si="67"/>
        <v>173.57720382769929</v>
      </c>
      <c r="R216" s="92">
        <f t="shared" ca="1" si="67"/>
        <v>197.35214294745376</v>
      </c>
      <c r="S216" s="92">
        <f t="shared" ca="1" si="67"/>
        <v>223.34338995125324</v>
      </c>
      <c r="T216" s="92">
        <f t="shared" ca="1" si="67"/>
        <v>74.850761720244108</v>
      </c>
      <c r="U216" s="92">
        <f t="shared" ca="1" si="67"/>
        <v>286.20594084416348</v>
      </c>
      <c r="V216" s="93">
        <f t="shared" ca="1" si="67"/>
        <v>1361.5182296757725</v>
      </c>
      <c r="W216" s="94">
        <f t="shared" ca="1" si="67"/>
        <v>0</v>
      </c>
      <c r="X216" s="116">
        <v>0.20007288629737605</v>
      </c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</row>
    <row r="217" spans="1:38" x14ac:dyDescent="0.25">
      <c r="A217" s="87" t="str">
        <f>A216</f>
        <v>Torre</v>
      </c>
      <c r="B217" s="88" t="s">
        <v>165</v>
      </c>
      <c r="C217" s="88" t="s">
        <v>198</v>
      </c>
      <c r="D217" s="88" t="s">
        <v>214</v>
      </c>
      <c r="E217" s="88" t="s">
        <v>190</v>
      </c>
      <c r="F217" s="89"/>
      <c r="G217" s="90"/>
      <c r="H217" s="91">
        <v>45</v>
      </c>
      <c r="I217" s="118"/>
      <c r="J217" s="92">
        <v>0</v>
      </c>
      <c r="K217" s="92"/>
      <c r="L217" s="92"/>
      <c r="M217" s="92"/>
      <c r="N217" s="92">
        <v>0</v>
      </c>
      <c r="O217" s="108">
        <f t="shared" ca="1" si="67"/>
        <v>0</v>
      </c>
      <c r="P217" s="108">
        <f t="shared" ca="1" si="67"/>
        <v>0</v>
      </c>
      <c r="Q217" s="108">
        <f t="shared" ca="1" si="67"/>
        <v>0</v>
      </c>
      <c r="R217" s="108">
        <f t="shared" ca="1" si="67"/>
        <v>0</v>
      </c>
      <c r="S217" s="108">
        <f t="shared" ca="1" si="67"/>
        <v>0</v>
      </c>
      <c r="T217" s="108">
        <f t="shared" ca="1" si="67"/>
        <v>0</v>
      </c>
      <c r="U217" s="108">
        <f t="shared" ca="1" si="67"/>
        <v>0</v>
      </c>
      <c r="V217" s="110">
        <f t="shared" ca="1" si="67"/>
        <v>0</v>
      </c>
      <c r="W217" s="111">
        <f t="shared" ca="1" si="67"/>
        <v>0</v>
      </c>
      <c r="X217" s="116">
        <v>0</v>
      </c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 spans="1:38" ht="15.75" thickBot="1" x14ac:dyDescent="0.3">
      <c r="A218" s="45" t="str">
        <f>A216</f>
        <v>Torre</v>
      </c>
      <c r="B218" s="46" t="s">
        <v>165</v>
      </c>
      <c r="C218" s="46" t="s">
        <v>198</v>
      </c>
      <c r="D218" s="46" t="s">
        <v>214</v>
      </c>
      <c r="E218" s="46" t="s">
        <v>54</v>
      </c>
      <c r="F218" s="47"/>
      <c r="G218" s="48"/>
      <c r="H218" s="91">
        <v>45</v>
      </c>
      <c r="I218" s="119">
        <f>((0.5816+0.5128)*1.2+0.1123*2.48)</f>
        <v>1.5917840000000001</v>
      </c>
      <c r="J218" s="50">
        <v>14.8264</v>
      </c>
      <c r="K218" s="50"/>
      <c r="L218" s="50"/>
      <c r="M218" s="50"/>
      <c r="N218" s="50">
        <v>53.373420796890173</v>
      </c>
      <c r="O218" s="50">
        <f t="shared" ca="1" si="67"/>
        <v>0.30040919544734934</v>
      </c>
      <c r="P218" s="50">
        <f t="shared" ca="1" si="67"/>
        <v>3.3693376669238653</v>
      </c>
      <c r="Q218" s="50">
        <f t="shared" ca="1" si="67"/>
        <v>3.723777293207069</v>
      </c>
      <c r="R218" s="50">
        <f t="shared" ca="1" si="67"/>
        <v>4.2338245602975313</v>
      </c>
      <c r="S218" s="50">
        <f t="shared" ca="1" si="67"/>
        <v>4.7914186065235471</v>
      </c>
      <c r="T218" s="50">
        <f t="shared" ca="1" si="67"/>
        <v>1.6057844044415859</v>
      </c>
      <c r="U218" s="50">
        <f t="shared" ca="1" si="67"/>
        <v>6.1400181601864663</v>
      </c>
      <c r="V218" s="51">
        <f t="shared" ca="1" si="67"/>
        <v>29.208850909862761</v>
      </c>
      <c r="W218" s="52">
        <f t="shared" ca="1" si="67"/>
        <v>0</v>
      </c>
      <c r="X218" s="116">
        <v>4.2921930677032706E-3</v>
      </c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 spans="1:38" ht="21" customHeight="1" thickTop="1" thickBot="1" x14ac:dyDescent="0.3">
      <c r="A219" s="70"/>
      <c r="B219" s="71"/>
      <c r="C219" s="71"/>
      <c r="D219" s="72" t="str">
        <f>"TOTAL - "&amp;UPPER(C212)</f>
        <v>TOTAL - PENTHOUSE - 22X</v>
      </c>
      <c r="E219" s="73"/>
      <c r="F219" s="74"/>
      <c r="G219" s="75"/>
      <c r="H219" s="59"/>
      <c r="I219" s="77">
        <f>SUM(I214:I218)</f>
        <v>127.02940304761906</v>
      </c>
      <c r="J219" s="77">
        <f>SUM(J214:J218)</f>
        <v>893.87401904761907</v>
      </c>
      <c r="K219" s="77">
        <f>SUM(K214:K218)</f>
        <v>0</v>
      </c>
      <c r="L219" s="77">
        <f t="shared" ref="L219:W219" si="68">SUM(L214:L218)</f>
        <v>0</v>
      </c>
      <c r="M219" s="77">
        <f t="shared" si="68"/>
        <v>0</v>
      </c>
      <c r="N219" s="77">
        <f t="shared" si="68"/>
        <v>12434.999999999998</v>
      </c>
      <c r="O219" s="77">
        <f t="shared" ca="1" si="68"/>
        <v>69.989674441205096</v>
      </c>
      <c r="P219" s="77">
        <f t="shared" ca="1" si="68"/>
        <v>784.99210398445075</v>
      </c>
      <c r="Q219" s="77">
        <f t="shared" ca="1" si="68"/>
        <v>867.56984936831861</v>
      </c>
      <c r="R219" s="77">
        <f t="shared" ca="1" si="68"/>
        <v>986.40123906705503</v>
      </c>
      <c r="S219" s="77">
        <f t="shared" ca="1" si="68"/>
        <v>1116.3101311953351</v>
      </c>
      <c r="T219" s="77">
        <f t="shared" ca="1" si="68"/>
        <v>374.11746841593782</v>
      </c>
      <c r="U219" s="77">
        <f t="shared" ca="1" si="68"/>
        <v>1430.5083819241979</v>
      </c>
      <c r="V219" s="77">
        <f t="shared" ca="1" si="68"/>
        <v>6805.111151603498</v>
      </c>
      <c r="W219" s="78">
        <f t="shared" ca="1" si="68"/>
        <v>0</v>
      </c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 spans="1:38" ht="15.75" thickTop="1" x14ac:dyDescent="0.25">
      <c r="A220" s="100" t="str">
        <f>A176</f>
        <v>Torre</v>
      </c>
      <c r="B220" s="101" t="s">
        <v>165</v>
      </c>
      <c r="C220" s="101" t="s">
        <v>198</v>
      </c>
      <c r="D220" s="101" t="s">
        <v>215</v>
      </c>
      <c r="E220" s="101" t="s">
        <v>52</v>
      </c>
      <c r="F220" s="102"/>
      <c r="G220" s="103"/>
      <c r="H220" s="104">
        <v>45</v>
      </c>
      <c r="I220" s="105">
        <f>1548.3/21</f>
        <v>73.728571428571428</v>
      </c>
      <c r="J220" s="105">
        <v>418.20000000000005</v>
      </c>
      <c r="K220" s="105"/>
      <c r="L220" s="105"/>
      <c r="M220" s="105"/>
      <c r="N220" s="105">
        <v>7030.6948088759309</v>
      </c>
      <c r="O220" s="105">
        <f t="shared" ref="O220:W224" ca="1" si="69">O$5*$N220</f>
        <v>39.571856917466597</v>
      </c>
      <c r="P220" s="105">
        <f t="shared" ca="1" si="69"/>
        <v>443.83111463547039</v>
      </c>
      <c r="Q220" s="105">
        <f t="shared" ca="1" si="69"/>
        <v>490.52021200571875</v>
      </c>
      <c r="R220" s="105">
        <f t="shared" ca="1" si="69"/>
        <v>557.70696187997839</v>
      </c>
      <c r="S220" s="105">
        <f t="shared" ca="1" si="69"/>
        <v>631.15688335268624</v>
      </c>
      <c r="T220" s="105">
        <f t="shared" ca="1" si="69"/>
        <v>211.52438625667384</v>
      </c>
      <c r="U220" s="105">
        <f t="shared" ca="1" si="69"/>
        <v>808.80320505411885</v>
      </c>
      <c r="V220" s="106">
        <f t="shared" ca="1" si="69"/>
        <v>3847.580188773818</v>
      </c>
      <c r="W220" s="107">
        <f t="shared" ca="1" si="69"/>
        <v>0</v>
      </c>
      <c r="X220" s="116">
        <v>0.56612406867508902</v>
      </c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</row>
    <row r="221" spans="1:38" x14ac:dyDescent="0.25">
      <c r="A221" s="87" t="str">
        <f>A220</f>
        <v>Torre</v>
      </c>
      <c r="B221" s="88" t="s">
        <v>165</v>
      </c>
      <c r="C221" s="88" t="s">
        <v>198</v>
      </c>
      <c r="D221" s="88" t="s">
        <v>215</v>
      </c>
      <c r="E221" s="88" t="s">
        <v>51</v>
      </c>
      <c r="F221" s="89" t="s">
        <v>200</v>
      </c>
      <c r="G221" s="90"/>
      <c r="H221" s="91">
        <v>45</v>
      </c>
      <c r="I221" s="92">
        <f>447.7/21</f>
        <v>21.31904761904762</v>
      </c>
      <c r="J221" s="92">
        <v>199.96190476190475</v>
      </c>
      <c r="K221" s="92"/>
      <c r="L221" s="92"/>
      <c r="M221" s="92"/>
      <c r="N221" s="92">
        <v>2850.2952704891477</v>
      </c>
      <c r="O221" s="92">
        <f t="shared" ca="1" si="69"/>
        <v>16.042721193634264</v>
      </c>
      <c r="P221" s="92">
        <f t="shared" ca="1" si="69"/>
        <v>179.93239094155251</v>
      </c>
      <c r="Q221" s="92">
        <f t="shared" ca="1" si="69"/>
        <v>198.86049364483324</v>
      </c>
      <c r="R221" s="92">
        <f t="shared" ca="1" si="69"/>
        <v>226.09849509589566</v>
      </c>
      <c r="S221" s="92">
        <f t="shared" ca="1" si="69"/>
        <v>255.87563227544706</v>
      </c>
      <c r="T221" s="92">
        <f t="shared" ca="1" si="69"/>
        <v>85.753538466692461</v>
      </c>
      <c r="U221" s="92">
        <f t="shared" ca="1" si="69"/>
        <v>327.89475475622243</v>
      </c>
      <c r="V221" s="93">
        <f t="shared" ca="1" si="69"/>
        <v>1559.8372441148701</v>
      </c>
      <c r="W221" s="94">
        <f t="shared" ca="1" si="69"/>
        <v>0</v>
      </c>
      <c r="X221" s="116">
        <v>0.22951085195983151</v>
      </c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</row>
    <row r="222" spans="1:38" x14ac:dyDescent="0.25">
      <c r="A222" s="87" t="str">
        <f>A221</f>
        <v>Torre</v>
      </c>
      <c r="B222" s="88" t="s">
        <v>165</v>
      </c>
      <c r="C222" s="88" t="s">
        <v>198</v>
      </c>
      <c r="D222" s="88" t="s">
        <v>215</v>
      </c>
      <c r="E222" s="88" t="s">
        <v>53</v>
      </c>
      <c r="F222" s="89"/>
      <c r="G222" s="90"/>
      <c r="H222" s="91">
        <v>45</v>
      </c>
      <c r="I222" s="118">
        <v>30.39</v>
      </c>
      <c r="J222" s="92">
        <v>260.8857142857143</v>
      </c>
      <c r="K222" s="92"/>
      <c r="L222" s="92"/>
      <c r="M222" s="92"/>
      <c r="N222" s="92">
        <v>2484.7051749271131</v>
      </c>
      <c r="O222" s="92">
        <f t="shared" ca="1" si="69"/>
        <v>13.985018598755628</v>
      </c>
      <c r="P222" s="92">
        <f t="shared" ca="1" si="69"/>
        <v>156.8535539241727</v>
      </c>
      <c r="Q222" s="92">
        <f t="shared" ca="1" si="69"/>
        <v>173.35386363781245</v>
      </c>
      <c r="R222" s="92">
        <f t="shared" ca="1" si="69"/>
        <v>197.09821176231833</v>
      </c>
      <c r="S222" s="92">
        <f t="shared" ca="1" si="69"/>
        <v>223.05601606792234</v>
      </c>
      <c r="T222" s="92">
        <f t="shared" ca="1" si="69"/>
        <v>74.754451934355572</v>
      </c>
      <c r="U222" s="92">
        <f t="shared" ca="1" si="69"/>
        <v>285.83768229542954</v>
      </c>
      <c r="V222" s="93">
        <f t="shared" ca="1" si="69"/>
        <v>1359.7663767063466</v>
      </c>
      <c r="W222" s="94">
        <f t="shared" ca="1" si="69"/>
        <v>0</v>
      </c>
      <c r="X222" s="116">
        <v>0.20007288629737605</v>
      </c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 spans="1:38" x14ac:dyDescent="0.25">
      <c r="A223" s="87" t="str">
        <f>A222</f>
        <v>Torre</v>
      </c>
      <c r="B223" s="88" t="s">
        <v>165</v>
      </c>
      <c r="C223" s="88" t="s">
        <v>198</v>
      </c>
      <c r="D223" s="88" t="s">
        <v>215</v>
      </c>
      <c r="E223" s="88" t="s">
        <v>190</v>
      </c>
      <c r="F223" s="89"/>
      <c r="G223" s="90"/>
      <c r="H223" s="91">
        <v>45</v>
      </c>
      <c r="I223" s="118"/>
      <c r="J223" s="92">
        <v>0</v>
      </c>
      <c r="K223" s="92"/>
      <c r="L223" s="92"/>
      <c r="M223" s="92"/>
      <c r="N223" s="92">
        <v>0</v>
      </c>
      <c r="O223" s="108">
        <f t="shared" ca="1" si="69"/>
        <v>0</v>
      </c>
      <c r="P223" s="108">
        <f t="shared" ca="1" si="69"/>
        <v>0</v>
      </c>
      <c r="Q223" s="108">
        <f t="shared" ca="1" si="69"/>
        <v>0</v>
      </c>
      <c r="R223" s="108">
        <f t="shared" ca="1" si="69"/>
        <v>0</v>
      </c>
      <c r="S223" s="108">
        <f t="shared" ca="1" si="69"/>
        <v>0</v>
      </c>
      <c r="T223" s="108">
        <f t="shared" ca="1" si="69"/>
        <v>0</v>
      </c>
      <c r="U223" s="108">
        <f t="shared" ca="1" si="69"/>
        <v>0</v>
      </c>
      <c r="V223" s="110">
        <f t="shared" ca="1" si="69"/>
        <v>0</v>
      </c>
      <c r="W223" s="111">
        <f t="shared" ca="1" si="69"/>
        <v>0</v>
      </c>
      <c r="X223" s="116">
        <v>0</v>
      </c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 spans="1:38" ht="15.75" thickBot="1" x14ac:dyDescent="0.3">
      <c r="A224" s="45" t="str">
        <f>A222</f>
        <v>Torre</v>
      </c>
      <c r="B224" s="46" t="s">
        <v>165</v>
      </c>
      <c r="C224" s="46" t="s">
        <v>198</v>
      </c>
      <c r="D224" s="46" t="s">
        <v>215</v>
      </c>
      <c r="E224" s="46" t="s">
        <v>54</v>
      </c>
      <c r="F224" s="47"/>
      <c r="G224" s="48"/>
      <c r="H224" s="91">
        <v>45</v>
      </c>
      <c r="I224" s="119">
        <f>((0.5816+0.5128)*1.2+0.1123*2.48)</f>
        <v>1.5917840000000001</v>
      </c>
      <c r="J224" s="50">
        <v>14.8264</v>
      </c>
      <c r="K224" s="50"/>
      <c r="L224" s="50"/>
      <c r="M224" s="50"/>
      <c r="N224" s="50">
        <v>53.304745707806916</v>
      </c>
      <c r="O224" s="50">
        <f t="shared" ca="1" si="69"/>
        <v>0.30002266170169933</v>
      </c>
      <c r="P224" s="50">
        <f t="shared" ca="1" si="69"/>
        <v>3.3650023711722943</v>
      </c>
      <c r="Q224" s="50">
        <f t="shared" ca="1" si="69"/>
        <v>3.7189859432519974</v>
      </c>
      <c r="R224" s="50">
        <f t="shared" ca="1" si="69"/>
        <v>4.2283769372203484</v>
      </c>
      <c r="S224" s="50">
        <f t="shared" ca="1" si="69"/>
        <v>4.7852535323213452</v>
      </c>
      <c r="T224" s="50">
        <f t="shared" ca="1" si="69"/>
        <v>1.6037182564342622</v>
      </c>
      <c r="U224" s="50">
        <f t="shared" ca="1" si="69"/>
        <v>6.1321178553563103</v>
      </c>
      <c r="V224" s="51">
        <f t="shared" ca="1" si="69"/>
        <v>29.171268150348659</v>
      </c>
      <c r="W224" s="52">
        <f t="shared" ca="1" si="69"/>
        <v>0</v>
      </c>
      <c r="X224" s="116">
        <v>4.2921930677032706E-3</v>
      </c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</row>
    <row r="225" spans="1:38" ht="21" customHeight="1" thickTop="1" thickBot="1" x14ac:dyDescent="0.3">
      <c r="A225" s="70"/>
      <c r="B225" s="71"/>
      <c r="C225" s="71"/>
      <c r="D225" s="72" t="str">
        <f>"TOTAL - "&amp;UPPER(C218)</f>
        <v>TOTAL - PENTHOUSE - 22X</v>
      </c>
      <c r="E225" s="73"/>
      <c r="F225" s="74"/>
      <c r="G225" s="75"/>
      <c r="H225" s="59"/>
      <c r="I225" s="77">
        <f>SUM(I220:I224)</f>
        <v>127.02940304761906</v>
      </c>
      <c r="J225" s="77">
        <f>SUM(J220:J224)</f>
        <v>893.87401904761907</v>
      </c>
      <c r="K225" s="77">
        <f>SUM(K220:K224)</f>
        <v>0</v>
      </c>
      <c r="L225" s="77">
        <f t="shared" ref="L225:W225" si="70">SUM(L220:L224)</f>
        <v>0</v>
      </c>
      <c r="M225" s="77">
        <f t="shared" si="70"/>
        <v>0</v>
      </c>
      <c r="N225" s="77">
        <f t="shared" si="70"/>
        <v>12418.999999999996</v>
      </c>
      <c r="O225" s="77">
        <f t="shared" ca="1" si="70"/>
        <v>69.899619371558188</v>
      </c>
      <c r="P225" s="77">
        <f t="shared" ca="1" si="70"/>
        <v>783.98206187236792</v>
      </c>
      <c r="Q225" s="77">
        <f t="shared" ca="1" si="70"/>
        <v>866.45355523161652</v>
      </c>
      <c r="R225" s="77">
        <f t="shared" ca="1" si="70"/>
        <v>985.13204567541266</v>
      </c>
      <c r="S225" s="77">
        <f t="shared" ca="1" si="70"/>
        <v>1114.8737852283771</v>
      </c>
      <c r="T225" s="77">
        <f t="shared" ca="1" si="70"/>
        <v>373.63609491415616</v>
      </c>
      <c r="U225" s="77">
        <f t="shared" ca="1" si="70"/>
        <v>1428.6677599611271</v>
      </c>
      <c r="V225" s="77">
        <f t="shared" ca="1" si="70"/>
        <v>6796.3550777453838</v>
      </c>
      <c r="W225" s="78">
        <f t="shared" ca="1" si="70"/>
        <v>0</v>
      </c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 spans="1:38" ht="15.75" thickTop="1" x14ac:dyDescent="0.25">
      <c r="A226" s="100" t="str">
        <f>A182</f>
        <v>Torre</v>
      </c>
      <c r="B226" s="101" t="s">
        <v>165</v>
      </c>
      <c r="C226" s="101" t="s">
        <v>198</v>
      </c>
      <c r="D226" s="101" t="s">
        <v>216</v>
      </c>
      <c r="E226" s="101" t="s">
        <v>52</v>
      </c>
      <c r="F226" s="102"/>
      <c r="G226" s="103"/>
      <c r="H226" s="104">
        <v>45</v>
      </c>
      <c r="I226" s="105">
        <f>1548.3/21</f>
        <v>73.728571428571428</v>
      </c>
      <c r="J226" s="105">
        <v>418.20000000000005</v>
      </c>
      <c r="K226" s="105"/>
      <c r="L226" s="105"/>
      <c r="M226" s="105"/>
      <c r="N226" s="105">
        <v>6510.9929138321986</v>
      </c>
      <c r="O226" s="105">
        <f t="shared" ref="O226:W230" ca="1" si="71">O$5*$N226</f>
        <v>36.646745020354565</v>
      </c>
      <c r="P226" s="105">
        <f t="shared" ca="1" si="71"/>
        <v>411.02356465275335</v>
      </c>
      <c r="Q226" s="105">
        <f t="shared" ca="1" si="71"/>
        <v>454.26145086381922</v>
      </c>
      <c r="R226" s="105">
        <f t="shared" ca="1" si="71"/>
        <v>516.48182370413326</v>
      </c>
      <c r="S226" s="105">
        <f t="shared" ca="1" si="71"/>
        <v>584.50240079227342</v>
      </c>
      <c r="T226" s="105">
        <f t="shared" ca="1" si="71"/>
        <v>195.88871618793829</v>
      </c>
      <c r="U226" s="105">
        <f t="shared" ca="1" si="71"/>
        <v>749.01728491242613</v>
      </c>
      <c r="V226" s="106">
        <f t="shared" ca="1" si="71"/>
        <v>3563.1709276985007</v>
      </c>
      <c r="W226" s="107">
        <f t="shared" ca="1" si="71"/>
        <v>0</v>
      </c>
      <c r="X226" s="116">
        <v>0.56612406867508902</v>
      </c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 spans="1:38" x14ac:dyDescent="0.25">
      <c r="A227" s="87" t="str">
        <f>A226</f>
        <v>Torre</v>
      </c>
      <c r="B227" s="88" t="s">
        <v>165</v>
      </c>
      <c r="C227" s="88" t="s">
        <v>198</v>
      </c>
      <c r="D227" s="88" t="s">
        <v>216</v>
      </c>
      <c r="E227" s="88" t="s">
        <v>51</v>
      </c>
      <c r="F227" s="89" t="s">
        <v>200</v>
      </c>
      <c r="G227" s="90"/>
      <c r="H227" s="91">
        <v>45</v>
      </c>
      <c r="I227" s="92">
        <f>447.7/21</f>
        <v>21.31904761904762</v>
      </c>
      <c r="J227" s="92">
        <v>199.96190476190475</v>
      </c>
      <c r="K227" s="92"/>
      <c r="L227" s="92"/>
      <c r="M227" s="92"/>
      <c r="N227" s="92">
        <v>2639.6043083900222</v>
      </c>
      <c r="O227" s="92">
        <f t="shared" ca="1" si="71"/>
        <v>14.85685936452111</v>
      </c>
      <c r="P227" s="92">
        <f t="shared" ca="1" si="71"/>
        <v>166.63196941934098</v>
      </c>
      <c r="Q227" s="92">
        <f t="shared" ca="1" si="71"/>
        <v>184.16092579186949</v>
      </c>
      <c r="R227" s="92">
        <f t="shared" ca="1" si="71"/>
        <v>209.38552154745921</v>
      </c>
      <c r="S227" s="92">
        <f t="shared" ca="1" si="71"/>
        <v>236.96156267009553</v>
      </c>
      <c r="T227" s="92">
        <f t="shared" ca="1" si="71"/>
        <v>79.414723077979701</v>
      </c>
      <c r="U227" s="92">
        <f t="shared" ca="1" si="71"/>
        <v>303.65710398996004</v>
      </c>
      <c r="V227" s="93">
        <f t="shared" ca="1" si="71"/>
        <v>1444.5356425287962</v>
      </c>
      <c r="W227" s="94">
        <f t="shared" ca="1" si="71"/>
        <v>0</v>
      </c>
      <c r="X227" s="116">
        <v>0.22951085195983151</v>
      </c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 spans="1:38" x14ac:dyDescent="0.25">
      <c r="A228" s="87" t="str">
        <f>A227</f>
        <v>Torre</v>
      </c>
      <c r="B228" s="88" t="s">
        <v>165</v>
      </c>
      <c r="C228" s="88" t="s">
        <v>198</v>
      </c>
      <c r="D228" s="88" t="s">
        <v>216</v>
      </c>
      <c r="E228" s="88" t="s">
        <v>53</v>
      </c>
      <c r="F228" s="89"/>
      <c r="G228" s="90"/>
      <c r="H228" s="91">
        <v>45</v>
      </c>
      <c r="I228" s="118">
        <v>30.39</v>
      </c>
      <c r="J228" s="92">
        <v>260.8857142857143</v>
      </c>
      <c r="K228" s="92"/>
      <c r="L228" s="92"/>
      <c r="M228" s="92"/>
      <c r="N228" s="92">
        <v>2301.038265306122</v>
      </c>
      <c r="O228" s="92">
        <f t="shared" ca="1" si="71"/>
        <v>12.951260077646225</v>
      </c>
      <c r="P228" s="92">
        <f t="shared" ca="1" si="71"/>
        <v>145.25909684208958</v>
      </c>
      <c r="Q228" s="92">
        <f t="shared" ca="1" si="71"/>
        <v>160.53972024305347</v>
      </c>
      <c r="R228" s="92">
        <f t="shared" ca="1" si="71"/>
        <v>182.52891001517219</v>
      </c>
      <c r="S228" s="92">
        <f t="shared" ca="1" si="71"/>
        <v>206.56793951181052</v>
      </c>
      <c r="T228" s="92">
        <f t="shared" ca="1" si="71"/>
        <v>69.228677969000998</v>
      </c>
      <c r="U228" s="92">
        <f t="shared" ca="1" si="71"/>
        <v>264.70884806181942</v>
      </c>
      <c r="V228" s="93">
        <f t="shared" ca="1" si="71"/>
        <v>1259.2538125855297</v>
      </c>
      <c r="W228" s="94">
        <f t="shared" ca="1" si="71"/>
        <v>0</v>
      </c>
      <c r="X228" s="116">
        <v>0.20007288629737605</v>
      </c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</row>
    <row r="229" spans="1:38" x14ac:dyDescent="0.25">
      <c r="A229" s="87" t="str">
        <f>A228</f>
        <v>Torre</v>
      </c>
      <c r="B229" s="88" t="s">
        <v>165</v>
      </c>
      <c r="C229" s="88" t="s">
        <v>198</v>
      </c>
      <c r="D229" s="88" t="s">
        <v>216</v>
      </c>
      <c r="E229" s="88" t="s">
        <v>190</v>
      </c>
      <c r="F229" s="89"/>
      <c r="G229" s="90"/>
      <c r="H229" s="91">
        <v>45</v>
      </c>
      <c r="I229" s="118"/>
      <c r="J229" s="92">
        <v>0</v>
      </c>
      <c r="K229" s="92"/>
      <c r="L229" s="92"/>
      <c r="M229" s="92"/>
      <c r="N229" s="92">
        <v>0</v>
      </c>
      <c r="O229" s="108">
        <f t="shared" ca="1" si="71"/>
        <v>0</v>
      </c>
      <c r="P229" s="108">
        <f t="shared" ca="1" si="71"/>
        <v>0</v>
      </c>
      <c r="Q229" s="108">
        <f t="shared" ca="1" si="71"/>
        <v>0</v>
      </c>
      <c r="R229" s="108">
        <f t="shared" ca="1" si="71"/>
        <v>0</v>
      </c>
      <c r="S229" s="108">
        <f t="shared" ca="1" si="71"/>
        <v>0</v>
      </c>
      <c r="T229" s="108">
        <f t="shared" ca="1" si="71"/>
        <v>0</v>
      </c>
      <c r="U229" s="108">
        <f t="shared" ca="1" si="71"/>
        <v>0</v>
      </c>
      <c r="V229" s="110">
        <f t="shared" ca="1" si="71"/>
        <v>0</v>
      </c>
      <c r="W229" s="111">
        <f t="shared" ca="1" si="71"/>
        <v>0</v>
      </c>
      <c r="X229" s="116">
        <v>0</v>
      </c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</row>
    <row r="230" spans="1:38" ht="15.75" thickBot="1" x14ac:dyDescent="0.3">
      <c r="A230" s="45" t="str">
        <f>A228</f>
        <v>Torre</v>
      </c>
      <c r="B230" s="46" t="s">
        <v>165</v>
      </c>
      <c r="C230" s="46" t="s">
        <v>198</v>
      </c>
      <c r="D230" s="46" t="s">
        <v>216</v>
      </c>
      <c r="E230" s="46" t="s">
        <v>54</v>
      </c>
      <c r="F230" s="47"/>
      <c r="G230" s="48"/>
      <c r="H230" s="91">
        <v>45</v>
      </c>
      <c r="I230" s="119">
        <f>((0.5816+0.5128)*1.2+0.1123*2.48)</f>
        <v>1.5917840000000001</v>
      </c>
      <c r="J230" s="50">
        <v>14.8264</v>
      </c>
      <c r="K230" s="50"/>
      <c r="L230" s="50"/>
      <c r="M230" s="50"/>
      <c r="N230" s="50">
        <v>49.364512471655317</v>
      </c>
      <c r="O230" s="50">
        <f t="shared" ca="1" si="71"/>
        <v>0.27784528804503134</v>
      </c>
      <c r="P230" s="50">
        <f t="shared" ca="1" si="71"/>
        <v>3.1162647774259247</v>
      </c>
      <c r="Q230" s="50">
        <f t="shared" ca="1" si="71"/>
        <v>3.4440822395797746</v>
      </c>
      <c r="R230" s="50">
        <f t="shared" ca="1" si="71"/>
        <v>3.915819563167021</v>
      </c>
      <c r="S230" s="50">
        <f t="shared" ca="1" si="71"/>
        <v>4.4315323999700293</v>
      </c>
      <c r="T230" s="50">
        <f t="shared" ca="1" si="71"/>
        <v>1.4851730145140876</v>
      </c>
      <c r="U230" s="50">
        <f t="shared" ca="1" si="71"/>
        <v>5.6788378657261402</v>
      </c>
      <c r="V230" s="51">
        <f t="shared" ca="1" si="71"/>
        <v>27.014957323227311</v>
      </c>
      <c r="W230" s="52">
        <f t="shared" ca="1" si="71"/>
        <v>0</v>
      </c>
      <c r="X230" s="116">
        <v>4.2921930677032706E-3</v>
      </c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 spans="1:38" ht="21" customHeight="1" thickTop="1" thickBot="1" x14ac:dyDescent="0.3">
      <c r="A231" s="70"/>
      <c r="B231" s="71"/>
      <c r="C231" s="71"/>
      <c r="D231" s="72" t="str">
        <f>"TOTAL - "&amp;UPPER(C224)</f>
        <v>TOTAL - PENTHOUSE - 22X</v>
      </c>
      <c r="E231" s="73"/>
      <c r="F231" s="74"/>
      <c r="G231" s="75"/>
      <c r="H231" s="59"/>
      <c r="I231" s="77">
        <f>SUM(I226:I230)</f>
        <v>127.02940304761906</v>
      </c>
      <c r="J231" s="77">
        <f>SUM(J226:J230)</f>
        <v>893.87401904761907</v>
      </c>
      <c r="K231" s="77">
        <f>SUM(K226:K230)</f>
        <v>0</v>
      </c>
      <c r="L231" s="77">
        <f t="shared" ref="L231:W231" si="72">SUM(L226:L230)</f>
        <v>0</v>
      </c>
      <c r="M231" s="77">
        <f t="shared" si="72"/>
        <v>0</v>
      </c>
      <c r="N231" s="77">
        <f t="shared" si="72"/>
        <v>11500.999999999998</v>
      </c>
      <c r="O231" s="77">
        <f t="shared" ca="1" si="72"/>
        <v>64.732709750566926</v>
      </c>
      <c r="P231" s="77">
        <f t="shared" ca="1" si="72"/>
        <v>726.03089569160977</v>
      </c>
      <c r="Q231" s="77">
        <f t="shared" ca="1" si="72"/>
        <v>802.40617913832193</v>
      </c>
      <c r="R231" s="77">
        <f t="shared" ca="1" si="72"/>
        <v>912.3120748299317</v>
      </c>
      <c r="S231" s="77">
        <f t="shared" ca="1" si="72"/>
        <v>1032.4634353741496</v>
      </c>
      <c r="T231" s="77">
        <f t="shared" ca="1" si="72"/>
        <v>346.01729024943307</v>
      </c>
      <c r="U231" s="77">
        <f t="shared" ca="1" si="72"/>
        <v>1323.0620748299318</v>
      </c>
      <c r="V231" s="77">
        <f t="shared" ca="1" si="72"/>
        <v>6293.975340136054</v>
      </c>
      <c r="W231" s="78">
        <f t="shared" ca="1" si="72"/>
        <v>0</v>
      </c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</row>
    <row r="232" spans="1:38" ht="15.75" thickTop="1" x14ac:dyDescent="0.25">
      <c r="A232" s="100" t="str">
        <f>A188</f>
        <v>Torre</v>
      </c>
      <c r="B232" s="101" t="s">
        <v>165</v>
      </c>
      <c r="C232" s="101" t="s">
        <v>198</v>
      </c>
      <c r="D232" s="101" t="s">
        <v>217</v>
      </c>
      <c r="E232" s="101" t="s">
        <v>52</v>
      </c>
      <c r="F232" s="102"/>
      <c r="G232" s="103"/>
      <c r="H232" s="104">
        <v>45</v>
      </c>
      <c r="I232" s="105">
        <f>1548.3/21</f>
        <v>73.728571428571428</v>
      </c>
      <c r="J232" s="105">
        <v>418.20000000000005</v>
      </c>
      <c r="K232" s="105"/>
      <c r="L232" s="105"/>
      <c r="M232" s="105"/>
      <c r="N232" s="105">
        <v>6501.9349287333971</v>
      </c>
      <c r="O232" s="105">
        <f t="shared" ref="O232:W236" ca="1" si="73">O$5*$N232</f>
        <v>36.595762677921236</v>
      </c>
      <c r="P232" s="105">
        <f t="shared" ca="1" si="73"/>
        <v>410.45175550272779</v>
      </c>
      <c r="Q232" s="105">
        <f t="shared" ca="1" si="73"/>
        <v>453.62948988531116</v>
      </c>
      <c r="R232" s="105">
        <f t="shared" ca="1" si="73"/>
        <v>515.76330277732109</v>
      </c>
      <c r="S232" s="105">
        <f t="shared" ca="1" si="73"/>
        <v>583.68925076943401</v>
      </c>
      <c r="T232" s="105">
        <f t="shared" ca="1" si="73"/>
        <v>195.61619906255729</v>
      </c>
      <c r="U232" s="105">
        <f t="shared" ca="1" si="73"/>
        <v>747.9752645177997</v>
      </c>
      <c r="V232" s="106">
        <f t="shared" ca="1" si="73"/>
        <v>3558.2139035403252</v>
      </c>
      <c r="W232" s="107">
        <f t="shared" ca="1" si="73"/>
        <v>0</v>
      </c>
      <c r="X232" s="116">
        <v>0.56612406867508902</v>
      </c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spans="1:38" x14ac:dyDescent="0.25">
      <c r="A233" s="87" t="str">
        <f>A232</f>
        <v>Torre</v>
      </c>
      <c r="B233" s="88" t="s">
        <v>165</v>
      </c>
      <c r="C233" s="88" t="s">
        <v>198</v>
      </c>
      <c r="D233" s="88" t="s">
        <v>217</v>
      </c>
      <c r="E233" s="88" t="s">
        <v>51</v>
      </c>
      <c r="F233" s="89" t="s">
        <v>200</v>
      </c>
      <c r="G233" s="90"/>
      <c r="H233" s="91">
        <v>45</v>
      </c>
      <c r="I233" s="92">
        <f>447.7/21</f>
        <v>21.31904761904762</v>
      </c>
      <c r="J233" s="92">
        <v>199.96190476190475</v>
      </c>
      <c r="K233" s="92"/>
      <c r="L233" s="92"/>
      <c r="M233" s="92"/>
      <c r="N233" s="92">
        <v>2635.9321347586647</v>
      </c>
      <c r="O233" s="92">
        <f t="shared" ca="1" si="73"/>
        <v>14.836190748763146</v>
      </c>
      <c r="P233" s="92">
        <f t="shared" ca="1" si="73"/>
        <v>166.40015379368148</v>
      </c>
      <c r="Q233" s="92">
        <f t="shared" ca="1" si="73"/>
        <v>183.90472417351714</v>
      </c>
      <c r="R233" s="92">
        <f t="shared" ca="1" si="73"/>
        <v>209.09422789084155</v>
      </c>
      <c r="S233" s="92">
        <f t="shared" ca="1" si="73"/>
        <v>236.63190568350987</v>
      </c>
      <c r="T233" s="92">
        <f t="shared" ca="1" si="73"/>
        <v>79.304242635474893</v>
      </c>
      <c r="U233" s="92">
        <f t="shared" ca="1" si="73"/>
        <v>303.23466127507959</v>
      </c>
      <c r="V233" s="93">
        <f t="shared" ca="1" si="73"/>
        <v>1442.526028557797</v>
      </c>
      <c r="W233" s="94">
        <f t="shared" ca="1" si="73"/>
        <v>0</v>
      </c>
      <c r="X233" s="116">
        <v>0.22951085195983151</v>
      </c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</row>
    <row r="234" spans="1:38" x14ac:dyDescent="0.25">
      <c r="A234" s="87" t="str">
        <f>A233</f>
        <v>Torre</v>
      </c>
      <c r="B234" s="88" t="s">
        <v>165</v>
      </c>
      <c r="C234" s="88" t="s">
        <v>198</v>
      </c>
      <c r="D234" s="88" t="s">
        <v>217</v>
      </c>
      <c r="E234" s="88" t="s">
        <v>53</v>
      </c>
      <c r="F234" s="89"/>
      <c r="G234" s="90"/>
      <c r="H234" s="91">
        <v>45</v>
      </c>
      <c r="I234" s="118">
        <v>30.39</v>
      </c>
      <c r="J234" s="92">
        <v>260.8857142857143</v>
      </c>
      <c r="K234" s="92"/>
      <c r="L234" s="92"/>
      <c r="M234" s="92"/>
      <c r="N234" s="92">
        <v>2297.8370991253637</v>
      </c>
      <c r="O234" s="92">
        <f t="shared" ca="1" si="73"/>
        <v>12.933242499936256</v>
      </c>
      <c r="P234" s="92">
        <f t="shared" ca="1" si="73"/>
        <v>145.05701480144322</v>
      </c>
      <c r="Q234" s="92">
        <f t="shared" ca="1" si="73"/>
        <v>160.31638005316657</v>
      </c>
      <c r="R234" s="92">
        <f t="shared" ca="1" si="73"/>
        <v>182.2749788300367</v>
      </c>
      <c r="S234" s="92">
        <f t="shared" ca="1" si="73"/>
        <v>206.28056562847956</v>
      </c>
      <c r="T234" s="92">
        <f t="shared" ca="1" si="73"/>
        <v>69.132368183112462</v>
      </c>
      <c r="U234" s="92">
        <f t="shared" ca="1" si="73"/>
        <v>264.34058951308543</v>
      </c>
      <c r="V234" s="93">
        <f t="shared" ca="1" si="73"/>
        <v>1257.5019596161035</v>
      </c>
      <c r="W234" s="94">
        <f t="shared" ca="1" si="73"/>
        <v>0</v>
      </c>
      <c r="X234" s="116">
        <v>0.20007288629737605</v>
      </c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 x14ac:dyDescent="0.25">
      <c r="A235" s="87" t="str">
        <f>A234</f>
        <v>Torre</v>
      </c>
      <c r="B235" s="88" t="s">
        <v>165</v>
      </c>
      <c r="C235" s="88" t="s">
        <v>198</v>
      </c>
      <c r="D235" s="88" t="s">
        <v>217</v>
      </c>
      <c r="E235" s="88" t="s">
        <v>190</v>
      </c>
      <c r="F235" s="89"/>
      <c r="G235" s="90"/>
      <c r="H235" s="91">
        <v>45</v>
      </c>
      <c r="I235" s="118"/>
      <c r="J235" s="92">
        <v>0</v>
      </c>
      <c r="K235" s="92"/>
      <c r="L235" s="92"/>
      <c r="M235" s="92"/>
      <c r="N235" s="92">
        <v>0</v>
      </c>
      <c r="O235" s="108">
        <f t="shared" ca="1" si="73"/>
        <v>0</v>
      </c>
      <c r="P235" s="108">
        <f t="shared" ca="1" si="73"/>
        <v>0</v>
      </c>
      <c r="Q235" s="108">
        <f t="shared" ca="1" si="73"/>
        <v>0</v>
      </c>
      <c r="R235" s="108">
        <f t="shared" ca="1" si="73"/>
        <v>0</v>
      </c>
      <c r="S235" s="108">
        <f t="shared" ca="1" si="73"/>
        <v>0</v>
      </c>
      <c r="T235" s="108">
        <f t="shared" ca="1" si="73"/>
        <v>0</v>
      </c>
      <c r="U235" s="108">
        <f t="shared" ca="1" si="73"/>
        <v>0</v>
      </c>
      <c r="V235" s="110">
        <f t="shared" ca="1" si="73"/>
        <v>0</v>
      </c>
      <c r="W235" s="111">
        <f t="shared" ca="1" si="73"/>
        <v>0</v>
      </c>
      <c r="X235" s="116">
        <v>0</v>
      </c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</row>
    <row r="236" spans="1:38" ht="15.75" thickBot="1" x14ac:dyDescent="0.3">
      <c r="A236" s="45" t="str">
        <f>A234</f>
        <v>Torre</v>
      </c>
      <c r="B236" s="46" t="s">
        <v>165</v>
      </c>
      <c r="C236" s="46" t="s">
        <v>198</v>
      </c>
      <c r="D236" s="46" t="s">
        <v>217</v>
      </c>
      <c r="E236" s="46" t="s">
        <v>54</v>
      </c>
      <c r="F236" s="47"/>
      <c r="G236" s="48"/>
      <c r="H236" s="91">
        <v>45</v>
      </c>
      <c r="I236" s="119">
        <f>((0.5816+0.5128)*1.2+0.1123*2.48)</f>
        <v>1.5917840000000001</v>
      </c>
      <c r="J236" s="50">
        <v>14.8264</v>
      </c>
      <c r="K236" s="50"/>
      <c r="L236" s="50"/>
      <c r="M236" s="50"/>
      <c r="N236" s="50">
        <v>49.29583738257206</v>
      </c>
      <c r="O236" s="50">
        <f t="shared" ca="1" si="73"/>
        <v>0.27745875429938133</v>
      </c>
      <c r="P236" s="50">
        <f t="shared" ca="1" si="73"/>
        <v>3.1119294816743537</v>
      </c>
      <c r="Q236" s="50">
        <f t="shared" ca="1" si="73"/>
        <v>3.439290889624703</v>
      </c>
      <c r="R236" s="50">
        <f t="shared" ca="1" si="73"/>
        <v>3.9103719400898385</v>
      </c>
      <c r="S236" s="50">
        <f t="shared" ca="1" si="73"/>
        <v>4.4253673257678274</v>
      </c>
      <c r="T236" s="50">
        <f t="shared" ca="1" si="73"/>
        <v>1.4831068665067639</v>
      </c>
      <c r="U236" s="50">
        <f t="shared" ca="1" si="73"/>
        <v>5.6709375608959842</v>
      </c>
      <c r="V236" s="51">
        <f t="shared" ca="1" si="73"/>
        <v>26.977374563713209</v>
      </c>
      <c r="W236" s="52">
        <f t="shared" ca="1" si="73"/>
        <v>0</v>
      </c>
      <c r="X236" s="116">
        <v>4.2921930677032706E-3</v>
      </c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</row>
    <row r="237" spans="1:38" ht="21" customHeight="1" thickTop="1" thickBot="1" x14ac:dyDescent="0.3">
      <c r="A237" s="70"/>
      <c r="B237" s="71"/>
      <c r="C237" s="71"/>
      <c r="D237" s="72" t="str">
        <f>"TOTAL - "&amp;UPPER(C230)</f>
        <v>TOTAL - PENTHOUSE - 22X</v>
      </c>
      <c r="E237" s="73"/>
      <c r="F237" s="74"/>
      <c r="G237" s="75"/>
      <c r="H237" s="59"/>
      <c r="I237" s="77">
        <f>SUM(I232:I236)</f>
        <v>127.02940304761906</v>
      </c>
      <c r="J237" s="77">
        <f>SUM(J232:J236)</f>
        <v>893.87401904761907</v>
      </c>
      <c r="K237" s="77">
        <f>SUM(K232:K236)</f>
        <v>0</v>
      </c>
      <c r="L237" s="77">
        <f t="shared" ref="L237:W237" si="74">SUM(L232:L236)</f>
        <v>0</v>
      </c>
      <c r="M237" s="77">
        <f t="shared" si="74"/>
        <v>0</v>
      </c>
      <c r="N237" s="77">
        <f t="shared" si="74"/>
        <v>11484.999999999996</v>
      </c>
      <c r="O237" s="77">
        <f t="shared" ca="1" si="74"/>
        <v>64.642654680920003</v>
      </c>
      <c r="P237" s="77">
        <f t="shared" ca="1" si="74"/>
        <v>725.02085357952683</v>
      </c>
      <c r="Q237" s="77">
        <f t="shared" ca="1" si="74"/>
        <v>801.2898850016195</v>
      </c>
      <c r="R237" s="77">
        <f t="shared" ca="1" si="74"/>
        <v>911.04288143828921</v>
      </c>
      <c r="S237" s="77">
        <f t="shared" ca="1" si="74"/>
        <v>1031.0270894071914</v>
      </c>
      <c r="T237" s="77">
        <f t="shared" ca="1" si="74"/>
        <v>345.53591674765141</v>
      </c>
      <c r="U237" s="77">
        <f t="shared" ca="1" si="74"/>
        <v>1321.2214528668608</v>
      </c>
      <c r="V237" s="77">
        <f t="shared" ca="1" si="74"/>
        <v>6285.2192662779389</v>
      </c>
      <c r="W237" s="78">
        <f t="shared" ca="1" si="74"/>
        <v>0</v>
      </c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spans="1:38" ht="15.75" thickTop="1" x14ac:dyDescent="0.25">
      <c r="A238" s="100" t="str">
        <f>A194</f>
        <v>Torre</v>
      </c>
      <c r="B238" s="101" t="s">
        <v>165</v>
      </c>
      <c r="C238" s="101" t="s">
        <v>198</v>
      </c>
      <c r="D238" s="101" t="s">
        <v>218</v>
      </c>
      <c r="E238" s="101" t="s">
        <v>52</v>
      </c>
      <c r="F238" s="102"/>
      <c r="G238" s="103"/>
      <c r="H238" s="104">
        <v>45</v>
      </c>
      <c r="I238" s="105">
        <f>1548.3/21</f>
        <v>73.728571428571428</v>
      </c>
      <c r="J238" s="105">
        <v>418.20000000000005</v>
      </c>
      <c r="K238" s="105"/>
      <c r="L238" s="105"/>
      <c r="M238" s="105"/>
      <c r="N238" s="105">
        <v>6765.182620667314</v>
      </c>
      <c r="O238" s="105">
        <f t="shared" ref="O238:W242" ca="1" si="75">O$5*$N238</f>
        <v>38.077437004889752</v>
      </c>
      <c r="P238" s="105">
        <f t="shared" ca="1" si="75"/>
        <v>427.06995892534587</v>
      </c>
      <c r="Q238" s="105">
        <f t="shared" ca="1" si="75"/>
        <v>471.99585582320145</v>
      </c>
      <c r="R238" s="105">
        <f t="shared" ca="1" si="75"/>
        <v>536.6453172127982</v>
      </c>
      <c r="S238" s="105">
        <f t="shared" ca="1" si="75"/>
        <v>607.32142330820523</v>
      </c>
      <c r="T238" s="105">
        <f t="shared" ca="1" si="75"/>
        <v>203.53622801894295</v>
      </c>
      <c r="U238" s="105">
        <f t="shared" ca="1" si="75"/>
        <v>778.25898223663103</v>
      </c>
      <c r="V238" s="106">
        <f t="shared" ca="1" si="75"/>
        <v>3702.2774181372997</v>
      </c>
      <c r="W238" s="107">
        <f t="shared" ca="1" si="75"/>
        <v>0</v>
      </c>
      <c r="X238" s="116">
        <v>0.56612406867508902</v>
      </c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</row>
    <row r="239" spans="1:38" x14ac:dyDescent="0.25">
      <c r="A239" s="87" t="str">
        <f>A238</f>
        <v>Torre</v>
      </c>
      <c r="B239" s="88" t="s">
        <v>165</v>
      </c>
      <c r="C239" s="88" t="s">
        <v>198</v>
      </c>
      <c r="D239" s="88" t="s">
        <v>218</v>
      </c>
      <c r="E239" s="88" t="s">
        <v>51</v>
      </c>
      <c r="F239" s="89" t="s">
        <v>200</v>
      </c>
      <c r="G239" s="90"/>
      <c r="H239" s="91">
        <v>45</v>
      </c>
      <c r="I239" s="92">
        <f>447.7/21</f>
        <v>21.31904761904762</v>
      </c>
      <c r="J239" s="92">
        <v>199.96190476190475</v>
      </c>
      <c r="K239" s="92"/>
      <c r="L239" s="92"/>
      <c r="M239" s="92"/>
      <c r="N239" s="92">
        <v>2742.6546809199867</v>
      </c>
      <c r="O239" s="92">
        <f t="shared" ca="1" si="75"/>
        <v>15.436872394228962</v>
      </c>
      <c r="P239" s="92">
        <f t="shared" ca="1" si="75"/>
        <v>173.13729541440958</v>
      </c>
      <c r="Q239" s="92">
        <f t="shared" ca="1" si="75"/>
        <v>191.35058370688117</v>
      </c>
      <c r="R239" s="92">
        <f t="shared" ca="1" si="75"/>
        <v>217.55994978629141</v>
      </c>
      <c r="S239" s="92">
        <f t="shared" ca="1" si="75"/>
        <v>246.21256185615528</v>
      </c>
      <c r="T239" s="92">
        <f t="shared" ca="1" si="75"/>
        <v>82.51508049577059</v>
      </c>
      <c r="U239" s="92">
        <f t="shared" ca="1" si="75"/>
        <v>315.51190267629096</v>
      </c>
      <c r="V239" s="93">
        <f t="shared" ca="1" si="75"/>
        <v>1500.9304345899588</v>
      </c>
      <c r="W239" s="94">
        <f t="shared" ca="1" si="75"/>
        <v>0</v>
      </c>
      <c r="X239" s="116">
        <v>0.22951085195983151</v>
      </c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</row>
    <row r="240" spans="1:38" x14ac:dyDescent="0.25">
      <c r="A240" s="87" t="str">
        <f>A239</f>
        <v>Torre</v>
      </c>
      <c r="B240" s="88" t="s">
        <v>165</v>
      </c>
      <c r="C240" s="88" t="s">
        <v>198</v>
      </c>
      <c r="D240" s="88" t="s">
        <v>218</v>
      </c>
      <c r="E240" s="88" t="s">
        <v>53</v>
      </c>
      <c r="F240" s="89"/>
      <c r="G240" s="90"/>
      <c r="H240" s="91">
        <v>45</v>
      </c>
      <c r="I240" s="118">
        <v>30.39</v>
      </c>
      <c r="J240" s="92">
        <v>260.8857142857143</v>
      </c>
      <c r="K240" s="92"/>
      <c r="L240" s="92"/>
      <c r="M240" s="92"/>
      <c r="N240" s="92">
        <v>2390.8709912536438</v>
      </c>
      <c r="O240" s="92">
        <f t="shared" ca="1" si="75"/>
        <v>13.456878352132197</v>
      </c>
      <c r="P240" s="92">
        <f t="shared" ca="1" si="75"/>
        <v>150.93002410772718</v>
      </c>
      <c r="Q240" s="92">
        <f t="shared" ca="1" si="75"/>
        <v>166.80720432175366</v>
      </c>
      <c r="R240" s="92">
        <f t="shared" ca="1" si="75"/>
        <v>189.65485389803561</v>
      </c>
      <c r="S240" s="92">
        <f t="shared" ca="1" si="75"/>
        <v>214.6323691127846</v>
      </c>
      <c r="T240" s="92">
        <f t="shared" ca="1" si="75"/>
        <v>71.931371335497957</v>
      </c>
      <c r="U240" s="92">
        <f t="shared" ca="1" si="75"/>
        <v>275.04310358566579</v>
      </c>
      <c r="V240" s="93">
        <f t="shared" ca="1" si="75"/>
        <v>1308.415186540047</v>
      </c>
      <c r="W240" s="94">
        <f t="shared" ca="1" si="75"/>
        <v>0</v>
      </c>
      <c r="X240" s="116">
        <v>0.20007288629737605</v>
      </c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</row>
    <row r="241" spans="1:38" x14ac:dyDescent="0.25">
      <c r="A241" s="87" t="str">
        <f>A240</f>
        <v>Torre</v>
      </c>
      <c r="B241" s="88" t="s">
        <v>165</v>
      </c>
      <c r="C241" s="88" t="s">
        <v>198</v>
      </c>
      <c r="D241" s="88" t="s">
        <v>218</v>
      </c>
      <c r="E241" s="88" t="s">
        <v>190</v>
      </c>
      <c r="F241" s="89"/>
      <c r="G241" s="90"/>
      <c r="H241" s="91">
        <v>45</v>
      </c>
      <c r="I241" s="118"/>
      <c r="J241" s="92">
        <v>0</v>
      </c>
      <c r="K241" s="92"/>
      <c r="L241" s="92"/>
      <c r="M241" s="92"/>
      <c r="N241" s="92">
        <v>0</v>
      </c>
      <c r="O241" s="108">
        <f t="shared" ca="1" si="75"/>
        <v>0</v>
      </c>
      <c r="P241" s="108">
        <f t="shared" ca="1" si="75"/>
        <v>0</v>
      </c>
      <c r="Q241" s="108">
        <f t="shared" ca="1" si="75"/>
        <v>0</v>
      </c>
      <c r="R241" s="108">
        <f t="shared" ca="1" si="75"/>
        <v>0</v>
      </c>
      <c r="S241" s="108">
        <f t="shared" ca="1" si="75"/>
        <v>0</v>
      </c>
      <c r="T241" s="108">
        <f t="shared" ca="1" si="75"/>
        <v>0</v>
      </c>
      <c r="U241" s="108">
        <f t="shared" ca="1" si="75"/>
        <v>0</v>
      </c>
      <c r="V241" s="110">
        <f t="shared" ca="1" si="75"/>
        <v>0</v>
      </c>
      <c r="W241" s="111">
        <f t="shared" ca="1" si="75"/>
        <v>0</v>
      </c>
      <c r="X241" s="116">
        <v>0</v>
      </c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</row>
    <row r="242" spans="1:38" ht="15.75" thickBot="1" x14ac:dyDescent="0.3">
      <c r="A242" s="45" t="str">
        <f>A240</f>
        <v>Torre</v>
      </c>
      <c r="B242" s="46" t="s">
        <v>165</v>
      </c>
      <c r="C242" s="46" t="s">
        <v>198</v>
      </c>
      <c r="D242" s="46" t="s">
        <v>218</v>
      </c>
      <c r="E242" s="46" t="s">
        <v>54</v>
      </c>
      <c r="F242" s="47"/>
      <c r="G242" s="48"/>
      <c r="H242" s="91">
        <v>45</v>
      </c>
      <c r="I242" s="119">
        <f>((0.5816+0.5128)*1.2+0.1123*2.48)</f>
        <v>1.5917840000000001</v>
      </c>
      <c r="J242" s="50">
        <v>14.8264</v>
      </c>
      <c r="K242" s="50"/>
      <c r="L242" s="50"/>
      <c r="M242" s="50"/>
      <c r="N242" s="50">
        <v>51.291707159054084</v>
      </c>
      <c r="O242" s="50">
        <f t="shared" ca="1" si="75"/>
        <v>0.28869239128233409</v>
      </c>
      <c r="P242" s="50">
        <f t="shared" ca="1" si="75"/>
        <v>3.2379240144543777</v>
      </c>
      <c r="Q242" s="50">
        <f t="shared" ca="1" si="75"/>
        <v>3.5785394976939662</v>
      </c>
      <c r="R242" s="50">
        <f t="shared" ca="1" si="75"/>
        <v>4.0686934857704458</v>
      </c>
      <c r="S242" s="50">
        <f t="shared" ca="1" si="75"/>
        <v>4.6045397947693116</v>
      </c>
      <c r="T242" s="50">
        <f t="shared" ca="1" si="75"/>
        <v>1.5431542929695978</v>
      </c>
      <c r="U242" s="50">
        <f t="shared" ca="1" si="75"/>
        <v>5.9005401700223779</v>
      </c>
      <c r="V242" s="51">
        <f t="shared" ca="1" si="75"/>
        <v>28.069623512091674</v>
      </c>
      <c r="W242" s="52">
        <f t="shared" ca="1" si="75"/>
        <v>0</v>
      </c>
      <c r="X242" s="116">
        <v>4.2921930677032706E-3</v>
      </c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</row>
    <row r="243" spans="1:38" ht="21" customHeight="1" thickTop="1" thickBot="1" x14ac:dyDescent="0.3">
      <c r="A243" s="70"/>
      <c r="B243" s="71"/>
      <c r="C243" s="71"/>
      <c r="D243" s="72" t="str">
        <f>"TOTAL - "&amp;UPPER(C236)</f>
        <v>TOTAL - PENTHOUSE - 22X</v>
      </c>
      <c r="E243" s="73"/>
      <c r="F243" s="74"/>
      <c r="G243" s="75"/>
      <c r="H243" s="59"/>
      <c r="I243" s="77">
        <f>SUM(I238:I242)</f>
        <v>127.02940304761906</v>
      </c>
      <c r="J243" s="77">
        <f>SUM(J238:J242)</f>
        <v>893.87401904761907</v>
      </c>
      <c r="K243" s="77">
        <f>SUM(K238:K242)</f>
        <v>0</v>
      </c>
      <c r="L243" s="77">
        <f t="shared" ref="L243:W243" si="76">SUM(L238:L242)</f>
        <v>0</v>
      </c>
      <c r="M243" s="77">
        <f t="shared" si="76"/>
        <v>0</v>
      </c>
      <c r="N243" s="77">
        <f t="shared" si="76"/>
        <v>11949.999999999998</v>
      </c>
      <c r="O243" s="77">
        <f t="shared" ca="1" si="76"/>
        <v>67.259880142533248</v>
      </c>
      <c r="P243" s="77">
        <f t="shared" ca="1" si="76"/>
        <v>754.37520246193696</v>
      </c>
      <c r="Q243" s="77">
        <f t="shared" ca="1" si="76"/>
        <v>833.73218334953026</v>
      </c>
      <c r="R243" s="77">
        <f t="shared" ca="1" si="76"/>
        <v>947.92881438289578</v>
      </c>
      <c r="S243" s="77">
        <f t="shared" ca="1" si="76"/>
        <v>1072.7708940719144</v>
      </c>
      <c r="T243" s="77">
        <f t="shared" ca="1" si="76"/>
        <v>359.52583414318104</v>
      </c>
      <c r="U243" s="77">
        <f t="shared" ca="1" si="76"/>
        <v>1374.71452866861</v>
      </c>
      <c r="V243" s="77">
        <f t="shared" ca="1" si="76"/>
        <v>6539.6926627793973</v>
      </c>
      <c r="W243" s="78">
        <f t="shared" ca="1" si="76"/>
        <v>0</v>
      </c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</row>
    <row r="244" spans="1:38" ht="15.75" thickTop="1" x14ac:dyDescent="0.25">
      <c r="A244" s="100" t="str">
        <f>A200</f>
        <v>Torre</v>
      </c>
      <c r="B244" s="101" t="s">
        <v>165</v>
      </c>
      <c r="C244" s="101" t="s">
        <v>198</v>
      </c>
      <c r="D244" s="101" t="s">
        <v>219</v>
      </c>
      <c r="E244" s="101" t="s">
        <v>52</v>
      </c>
      <c r="F244" s="102"/>
      <c r="G244" s="103"/>
      <c r="H244" s="104">
        <v>45</v>
      </c>
      <c r="I244" s="105">
        <f>1548.3/21</f>
        <v>73.728571428571428</v>
      </c>
      <c r="J244" s="105">
        <v>418.20000000000005</v>
      </c>
      <c r="K244" s="105"/>
      <c r="L244" s="105"/>
      <c r="M244" s="105"/>
      <c r="N244" s="105">
        <v>6501.9349287333971</v>
      </c>
      <c r="O244" s="105">
        <f t="shared" ref="O244:W248" ca="1" si="77">O$5*$N244</f>
        <v>36.595762677921236</v>
      </c>
      <c r="P244" s="105">
        <f t="shared" ca="1" si="77"/>
        <v>410.45175550272779</v>
      </c>
      <c r="Q244" s="105">
        <f t="shared" ca="1" si="77"/>
        <v>453.62948988531116</v>
      </c>
      <c r="R244" s="105">
        <f t="shared" ca="1" si="77"/>
        <v>515.76330277732109</v>
      </c>
      <c r="S244" s="105">
        <f t="shared" ca="1" si="77"/>
        <v>583.68925076943401</v>
      </c>
      <c r="T244" s="105">
        <f t="shared" ca="1" si="77"/>
        <v>195.61619906255729</v>
      </c>
      <c r="U244" s="105">
        <f t="shared" ca="1" si="77"/>
        <v>747.9752645177997</v>
      </c>
      <c r="V244" s="106">
        <f t="shared" ca="1" si="77"/>
        <v>3558.2139035403252</v>
      </c>
      <c r="W244" s="107">
        <f t="shared" ca="1" si="77"/>
        <v>0</v>
      </c>
      <c r="X244" s="116">
        <v>0.56612406867508902</v>
      </c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</row>
    <row r="245" spans="1:38" x14ac:dyDescent="0.25">
      <c r="A245" s="87" t="str">
        <f>A244</f>
        <v>Torre</v>
      </c>
      <c r="B245" s="88" t="s">
        <v>165</v>
      </c>
      <c r="C245" s="88" t="s">
        <v>198</v>
      </c>
      <c r="D245" s="88" t="s">
        <v>219</v>
      </c>
      <c r="E245" s="88" t="s">
        <v>51</v>
      </c>
      <c r="F245" s="89" t="s">
        <v>200</v>
      </c>
      <c r="G245" s="90"/>
      <c r="H245" s="91">
        <v>45</v>
      </c>
      <c r="I245" s="92">
        <f>447.7/21</f>
        <v>21.31904761904762</v>
      </c>
      <c r="J245" s="92">
        <v>199.96190476190475</v>
      </c>
      <c r="K245" s="92"/>
      <c r="L245" s="92"/>
      <c r="M245" s="92"/>
      <c r="N245" s="92">
        <v>2635.9321347586647</v>
      </c>
      <c r="O245" s="92">
        <f t="shared" ca="1" si="77"/>
        <v>14.836190748763146</v>
      </c>
      <c r="P245" s="92">
        <f t="shared" ca="1" si="77"/>
        <v>166.40015379368148</v>
      </c>
      <c r="Q245" s="92">
        <f t="shared" ca="1" si="77"/>
        <v>183.90472417351714</v>
      </c>
      <c r="R245" s="92">
        <f t="shared" ca="1" si="77"/>
        <v>209.09422789084155</v>
      </c>
      <c r="S245" s="92">
        <f t="shared" ca="1" si="77"/>
        <v>236.63190568350987</v>
      </c>
      <c r="T245" s="92">
        <f t="shared" ca="1" si="77"/>
        <v>79.304242635474893</v>
      </c>
      <c r="U245" s="92">
        <f t="shared" ca="1" si="77"/>
        <v>303.23466127507959</v>
      </c>
      <c r="V245" s="93">
        <f t="shared" ca="1" si="77"/>
        <v>1442.526028557797</v>
      </c>
      <c r="W245" s="94">
        <f t="shared" ca="1" si="77"/>
        <v>0</v>
      </c>
      <c r="X245" s="116">
        <v>0.22951085195983151</v>
      </c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</row>
    <row r="246" spans="1:38" x14ac:dyDescent="0.25">
      <c r="A246" s="87" t="str">
        <f>A245</f>
        <v>Torre</v>
      </c>
      <c r="B246" s="88" t="s">
        <v>165</v>
      </c>
      <c r="C246" s="88" t="s">
        <v>198</v>
      </c>
      <c r="D246" s="88" t="s">
        <v>219</v>
      </c>
      <c r="E246" s="88" t="s">
        <v>53</v>
      </c>
      <c r="F246" s="89"/>
      <c r="G246" s="90"/>
      <c r="H246" s="91">
        <v>45</v>
      </c>
      <c r="I246" s="118">
        <v>30.39</v>
      </c>
      <c r="J246" s="92">
        <v>260.8857142857143</v>
      </c>
      <c r="K246" s="92"/>
      <c r="L246" s="92"/>
      <c r="M246" s="92"/>
      <c r="N246" s="92">
        <v>2297.8370991253637</v>
      </c>
      <c r="O246" s="92">
        <f t="shared" ca="1" si="77"/>
        <v>12.933242499936256</v>
      </c>
      <c r="P246" s="92">
        <f t="shared" ca="1" si="77"/>
        <v>145.05701480144322</v>
      </c>
      <c r="Q246" s="92">
        <f t="shared" ca="1" si="77"/>
        <v>160.31638005316657</v>
      </c>
      <c r="R246" s="92">
        <f t="shared" ca="1" si="77"/>
        <v>182.2749788300367</v>
      </c>
      <c r="S246" s="92">
        <f t="shared" ca="1" si="77"/>
        <v>206.28056562847956</v>
      </c>
      <c r="T246" s="92">
        <f t="shared" ca="1" si="77"/>
        <v>69.132368183112462</v>
      </c>
      <c r="U246" s="92">
        <f t="shared" ca="1" si="77"/>
        <v>264.34058951308543</v>
      </c>
      <c r="V246" s="93">
        <f t="shared" ca="1" si="77"/>
        <v>1257.5019596161035</v>
      </c>
      <c r="W246" s="94">
        <f t="shared" ca="1" si="77"/>
        <v>0</v>
      </c>
      <c r="X246" s="116">
        <v>0.20007288629737605</v>
      </c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</row>
    <row r="247" spans="1:38" x14ac:dyDescent="0.25">
      <c r="A247" s="87" t="str">
        <f>A246</f>
        <v>Torre</v>
      </c>
      <c r="B247" s="88" t="s">
        <v>165</v>
      </c>
      <c r="C247" s="88" t="s">
        <v>198</v>
      </c>
      <c r="D247" s="88" t="s">
        <v>219</v>
      </c>
      <c r="E247" s="88" t="s">
        <v>190</v>
      </c>
      <c r="F247" s="89"/>
      <c r="G247" s="90"/>
      <c r="H247" s="91">
        <v>45</v>
      </c>
      <c r="I247" s="118"/>
      <c r="J247" s="92">
        <v>0</v>
      </c>
      <c r="K247" s="92"/>
      <c r="L247" s="92"/>
      <c r="M247" s="92"/>
      <c r="N247" s="92">
        <v>0</v>
      </c>
      <c r="O247" s="108">
        <f t="shared" ca="1" si="77"/>
        <v>0</v>
      </c>
      <c r="P247" s="108">
        <f t="shared" ca="1" si="77"/>
        <v>0</v>
      </c>
      <c r="Q247" s="108">
        <f t="shared" ca="1" si="77"/>
        <v>0</v>
      </c>
      <c r="R247" s="108">
        <f t="shared" ca="1" si="77"/>
        <v>0</v>
      </c>
      <c r="S247" s="108">
        <f t="shared" ca="1" si="77"/>
        <v>0</v>
      </c>
      <c r="T247" s="108">
        <f t="shared" ca="1" si="77"/>
        <v>0</v>
      </c>
      <c r="U247" s="108">
        <f t="shared" ca="1" si="77"/>
        <v>0</v>
      </c>
      <c r="V247" s="110">
        <f t="shared" ca="1" si="77"/>
        <v>0</v>
      </c>
      <c r="W247" s="111">
        <f t="shared" ca="1" si="77"/>
        <v>0</v>
      </c>
      <c r="X247" s="116">
        <v>0</v>
      </c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</row>
    <row r="248" spans="1:38" ht="15.75" thickBot="1" x14ac:dyDescent="0.3">
      <c r="A248" s="45" t="str">
        <f>A246</f>
        <v>Torre</v>
      </c>
      <c r="B248" s="46" t="s">
        <v>165</v>
      </c>
      <c r="C248" s="46" t="s">
        <v>198</v>
      </c>
      <c r="D248" s="46" t="s">
        <v>219</v>
      </c>
      <c r="E248" s="46" t="s">
        <v>54</v>
      </c>
      <c r="F248" s="47"/>
      <c r="G248" s="48"/>
      <c r="H248" s="91">
        <v>45</v>
      </c>
      <c r="I248" s="119">
        <f>((0.5816+0.5128)*1.2+0.1123*2.48)</f>
        <v>1.5917840000000001</v>
      </c>
      <c r="J248" s="50">
        <v>14.8264</v>
      </c>
      <c r="K248" s="50"/>
      <c r="L248" s="50"/>
      <c r="M248" s="50"/>
      <c r="N248" s="50">
        <v>49.29583738257206</v>
      </c>
      <c r="O248" s="50">
        <f t="shared" ca="1" si="77"/>
        <v>0.27745875429938133</v>
      </c>
      <c r="P248" s="50">
        <f t="shared" ca="1" si="77"/>
        <v>3.1119294816743537</v>
      </c>
      <c r="Q248" s="50">
        <f t="shared" ca="1" si="77"/>
        <v>3.439290889624703</v>
      </c>
      <c r="R248" s="50">
        <f t="shared" ca="1" si="77"/>
        <v>3.9103719400898385</v>
      </c>
      <c r="S248" s="50">
        <f t="shared" ca="1" si="77"/>
        <v>4.4253673257678274</v>
      </c>
      <c r="T248" s="50">
        <f t="shared" ca="1" si="77"/>
        <v>1.4831068665067639</v>
      </c>
      <c r="U248" s="50">
        <f t="shared" ca="1" si="77"/>
        <v>5.6709375608959842</v>
      </c>
      <c r="V248" s="51">
        <f t="shared" ca="1" si="77"/>
        <v>26.977374563713209</v>
      </c>
      <c r="W248" s="52">
        <f t="shared" ca="1" si="77"/>
        <v>0</v>
      </c>
      <c r="X248" s="116">
        <v>4.2921930677032706E-3</v>
      </c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</row>
    <row r="249" spans="1:38" ht="21" customHeight="1" thickTop="1" thickBot="1" x14ac:dyDescent="0.3">
      <c r="A249" s="70"/>
      <c r="B249" s="71"/>
      <c r="C249" s="71"/>
      <c r="D249" s="72" t="str">
        <f>"TOTAL - "&amp;UPPER(C242)</f>
        <v>TOTAL - PENTHOUSE - 22X</v>
      </c>
      <c r="E249" s="73"/>
      <c r="F249" s="74"/>
      <c r="G249" s="75"/>
      <c r="H249" s="59"/>
      <c r="I249" s="77">
        <f>SUM(I244:I248)</f>
        <v>127.02940304761906</v>
      </c>
      <c r="J249" s="77">
        <f>SUM(J244:J248)</f>
        <v>893.87401904761907</v>
      </c>
      <c r="K249" s="77">
        <f>SUM(K244:K248)</f>
        <v>0</v>
      </c>
      <c r="L249" s="77">
        <f t="shared" ref="L249:W249" si="78">SUM(L244:L248)</f>
        <v>0</v>
      </c>
      <c r="M249" s="77">
        <f t="shared" si="78"/>
        <v>0</v>
      </c>
      <c r="N249" s="77">
        <f t="shared" si="78"/>
        <v>11484.999999999996</v>
      </c>
      <c r="O249" s="77">
        <f t="shared" ca="1" si="78"/>
        <v>64.642654680920003</v>
      </c>
      <c r="P249" s="77">
        <f t="shared" ca="1" si="78"/>
        <v>725.02085357952683</v>
      </c>
      <c r="Q249" s="77">
        <f t="shared" ca="1" si="78"/>
        <v>801.2898850016195</v>
      </c>
      <c r="R249" s="77">
        <f t="shared" ca="1" si="78"/>
        <v>911.04288143828921</v>
      </c>
      <c r="S249" s="77">
        <f t="shared" ca="1" si="78"/>
        <v>1031.0270894071914</v>
      </c>
      <c r="T249" s="77">
        <f t="shared" ca="1" si="78"/>
        <v>345.53591674765141</v>
      </c>
      <c r="U249" s="77">
        <f t="shared" ca="1" si="78"/>
        <v>1321.2214528668608</v>
      </c>
      <c r="V249" s="77">
        <f t="shared" ca="1" si="78"/>
        <v>6285.2192662779389</v>
      </c>
      <c r="W249" s="78">
        <f t="shared" ca="1" si="78"/>
        <v>0</v>
      </c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</row>
    <row r="250" spans="1:38" ht="15.75" thickTop="1" x14ac:dyDescent="0.25">
      <c r="A250" s="100" t="str">
        <f>A206</f>
        <v>Torre</v>
      </c>
      <c r="B250" s="101" t="s">
        <v>165</v>
      </c>
      <c r="C250" s="101" t="s">
        <v>198</v>
      </c>
      <c r="D250" s="101" t="s">
        <v>220</v>
      </c>
      <c r="E250" s="101" t="s">
        <v>52</v>
      </c>
      <c r="F250" s="102"/>
      <c r="G250" s="103"/>
      <c r="H250" s="104">
        <v>45</v>
      </c>
      <c r="I250" s="105">
        <f>1548.3/21</f>
        <v>73.728571428571428</v>
      </c>
      <c r="J250" s="105">
        <v>418.20000000000005</v>
      </c>
      <c r="K250" s="105"/>
      <c r="L250" s="105"/>
      <c r="M250" s="105"/>
      <c r="N250" s="105">
        <v>6768.0132410106889</v>
      </c>
      <c r="O250" s="105">
        <f t="shared" ref="O250:W254" ca="1" si="79">O$5*$N250</f>
        <v>38.093368986900167</v>
      </c>
      <c r="P250" s="105">
        <f t="shared" ca="1" si="79"/>
        <v>427.24864928472886</v>
      </c>
      <c r="Q250" s="105">
        <f t="shared" ca="1" si="79"/>
        <v>472.19334362898519</v>
      </c>
      <c r="R250" s="105">
        <f t="shared" ca="1" si="79"/>
        <v>536.86985500242702</v>
      </c>
      <c r="S250" s="105">
        <f t="shared" ca="1" si="79"/>
        <v>607.57553269034247</v>
      </c>
      <c r="T250" s="105">
        <f t="shared" ca="1" si="79"/>
        <v>203.62138962062448</v>
      </c>
      <c r="U250" s="105">
        <f t="shared" ca="1" si="79"/>
        <v>778.5846136099517</v>
      </c>
      <c r="V250" s="106">
        <f t="shared" ca="1" si="79"/>
        <v>3703.8264881867294</v>
      </c>
      <c r="W250" s="107">
        <f t="shared" ca="1" si="79"/>
        <v>0</v>
      </c>
      <c r="X250" s="116">
        <v>0.56612406867508902</v>
      </c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</row>
    <row r="251" spans="1:38" x14ac:dyDescent="0.25">
      <c r="A251" s="87" t="str">
        <f>A250</f>
        <v>Torre</v>
      </c>
      <c r="B251" s="88" t="s">
        <v>165</v>
      </c>
      <c r="C251" s="88" t="s">
        <v>198</v>
      </c>
      <c r="D251" s="88" t="s">
        <v>220</v>
      </c>
      <c r="E251" s="88" t="s">
        <v>51</v>
      </c>
      <c r="F251" s="89" t="s">
        <v>200</v>
      </c>
      <c r="G251" s="90"/>
      <c r="H251" s="91">
        <v>45</v>
      </c>
      <c r="I251" s="92">
        <f>447.7/21</f>
        <v>21.31904761904762</v>
      </c>
      <c r="J251" s="92">
        <v>199.96190476190475</v>
      </c>
      <c r="K251" s="92"/>
      <c r="L251" s="92"/>
      <c r="M251" s="92"/>
      <c r="N251" s="92">
        <v>2743.8022351797858</v>
      </c>
      <c r="O251" s="92">
        <f t="shared" ca="1" si="79"/>
        <v>15.443331336653324</v>
      </c>
      <c r="P251" s="92">
        <f t="shared" ca="1" si="79"/>
        <v>173.20973779742818</v>
      </c>
      <c r="Q251" s="92">
        <f t="shared" ca="1" si="79"/>
        <v>191.43064671261627</v>
      </c>
      <c r="R251" s="92">
        <f t="shared" ca="1" si="79"/>
        <v>217.65097905398443</v>
      </c>
      <c r="S251" s="92">
        <f t="shared" ca="1" si="79"/>
        <v>246.31557966446329</v>
      </c>
      <c r="T251" s="92">
        <f t="shared" ca="1" si="79"/>
        <v>82.549605634053336</v>
      </c>
      <c r="U251" s="92">
        <f t="shared" ca="1" si="79"/>
        <v>315.64391602469112</v>
      </c>
      <c r="V251" s="93">
        <f t="shared" ca="1" si="79"/>
        <v>1501.558438955896</v>
      </c>
      <c r="W251" s="94">
        <f t="shared" ca="1" si="79"/>
        <v>0</v>
      </c>
      <c r="X251" s="116">
        <v>0.22951085195983151</v>
      </c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</row>
    <row r="252" spans="1:38" x14ac:dyDescent="0.25">
      <c r="A252" s="87" t="str">
        <f>A251</f>
        <v>Torre</v>
      </c>
      <c r="B252" s="88" t="s">
        <v>165</v>
      </c>
      <c r="C252" s="88" t="s">
        <v>198</v>
      </c>
      <c r="D252" s="88" t="s">
        <v>220</v>
      </c>
      <c r="E252" s="88" t="s">
        <v>53</v>
      </c>
      <c r="F252" s="89"/>
      <c r="G252" s="90"/>
      <c r="H252" s="91">
        <v>45</v>
      </c>
      <c r="I252" s="118">
        <v>30.39</v>
      </c>
      <c r="J252" s="92">
        <v>260.8857142857143</v>
      </c>
      <c r="K252" s="92"/>
      <c r="L252" s="92"/>
      <c r="M252" s="92"/>
      <c r="N252" s="92">
        <v>2391.8713556851308</v>
      </c>
      <c r="O252" s="92">
        <f t="shared" ca="1" si="79"/>
        <v>13.462508845166562</v>
      </c>
      <c r="P252" s="92">
        <f t="shared" ca="1" si="79"/>
        <v>150.99317474542917</v>
      </c>
      <c r="Q252" s="92">
        <f t="shared" ca="1" si="79"/>
        <v>166.87699813109333</v>
      </c>
      <c r="R252" s="92">
        <f t="shared" ca="1" si="79"/>
        <v>189.73420739339045</v>
      </c>
      <c r="S252" s="92">
        <f t="shared" ca="1" si="79"/>
        <v>214.72217345132552</v>
      </c>
      <c r="T252" s="92">
        <f t="shared" ca="1" si="79"/>
        <v>71.961468143588121</v>
      </c>
      <c r="U252" s="92">
        <f t="shared" ca="1" si="79"/>
        <v>275.15818438214512</v>
      </c>
      <c r="V252" s="93">
        <f t="shared" ca="1" si="79"/>
        <v>1308.9626405929926</v>
      </c>
      <c r="W252" s="94">
        <f t="shared" ca="1" si="79"/>
        <v>0</v>
      </c>
      <c r="X252" s="116">
        <v>0.20007288629737605</v>
      </c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</row>
    <row r="253" spans="1:38" x14ac:dyDescent="0.25">
      <c r="A253" s="87" t="str">
        <f>A252</f>
        <v>Torre</v>
      </c>
      <c r="B253" s="88" t="s">
        <v>165</v>
      </c>
      <c r="C253" s="88" t="s">
        <v>198</v>
      </c>
      <c r="D253" s="88" t="s">
        <v>220</v>
      </c>
      <c r="E253" s="88" t="s">
        <v>190</v>
      </c>
      <c r="F253" s="89"/>
      <c r="G253" s="90"/>
      <c r="H253" s="91">
        <v>45</v>
      </c>
      <c r="I253" s="118"/>
      <c r="J253" s="92">
        <v>0</v>
      </c>
      <c r="K253" s="92"/>
      <c r="L253" s="92"/>
      <c r="M253" s="92"/>
      <c r="N253" s="92">
        <v>0</v>
      </c>
      <c r="O253" s="108">
        <f t="shared" ca="1" si="79"/>
        <v>0</v>
      </c>
      <c r="P253" s="108">
        <f t="shared" ca="1" si="79"/>
        <v>0</v>
      </c>
      <c r="Q253" s="108">
        <f t="shared" ca="1" si="79"/>
        <v>0</v>
      </c>
      <c r="R253" s="108">
        <f t="shared" ca="1" si="79"/>
        <v>0</v>
      </c>
      <c r="S253" s="108">
        <f t="shared" ca="1" si="79"/>
        <v>0</v>
      </c>
      <c r="T253" s="108">
        <f t="shared" ca="1" si="79"/>
        <v>0</v>
      </c>
      <c r="U253" s="108">
        <f t="shared" ca="1" si="79"/>
        <v>0</v>
      </c>
      <c r="V253" s="110">
        <f t="shared" ca="1" si="79"/>
        <v>0</v>
      </c>
      <c r="W253" s="111">
        <f t="shared" ca="1" si="79"/>
        <v>0</v>
      </c>
      <c r="X253" s="116">
        <v>0</v>
      </c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</row>
    <row r="254" spans="1:38" ht="15.75" thickBot="1" x14ac:dyDescent="0.3">
      <c r="A254" s="45" t="str">
        <f>A252</f>
        <v>Torre</v>
      </c>
      <c r="B254" s="46" t="s">
        <v>165</v>
      </c>
      <c r="C254" s="46" t="s">
        <v>198</v>
      </c>
      <c r="D254" s="46" t="s">
        <v>220</v>
      </c>
      <c r="E254" s="46" t="s">
        <v>54</v>
      </c>
      <c r="F254" s="47"/>
      <c r="G254" s="48"/>
      <c r="H254" s="91">
        <v>45</v>
      </c>
      <c r="I254" s="119">
        <f>((0.5816+0.5128)*1.2+0.1123*2.48)</f>
        <v>1.5917840000000001</v>
      </c>
      <c r="J254" s="50">
        <v>14.8264</v>
      </c>
      <c r="K254" s="50"/>
      <c r="L254" s="50"/>
      <c r="M254" s="50"/>
      <c r="N254" s="50">
        <v>51.313168124392604</v>
      </c>
      <c r="O254" s="50">
        <f t="shared" ca="1" si="79"/>
        <v>0.28881318307784976</v>
      </c>
      <c r="P254" s="50">
        <f t="shared" ca="1" si="79"/>
        <v>3.239278794376744</v>
      </c>
      <c r="Q254" s="50">
        <f t="shared" ca="1" si="79"/>
        <v>3.5800367945549265</v>
      </c>
      <c r="R254" s="50">
        <f t="shared" ca="1" si="79"/>
        <v>4.0703958679820653</v>
      </c>
      <c r="S254" s="50">
        <f t="shared" ca="1" si="79"/>
        <v>4.6064663804574995</v>
      </c>
      <c r="T254" s="50">
        <f t="shared" ca="1" si="79"/>
        <v>1.5437999642218865</v>
      </c>
      <c r="U254" s="50">
        <f t="shared" ca="1" si="79"/>
        <v>5.9030090152818024</v>
      </c>
      <c r="V254" s="51">
        <f t="shared" ca="1" si="79"/>
        <v>28.08136812443983</v>
      </c>
      <c r="W254" s="52">
        <f t="shared" ca="1" si="79"/>
        <v>0</v>
      </c>
      <c r="X254" s="116">
        <v>4.2921930677032706E-3</v>
      </c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</row>
    <row r="255" spans="1:38" ht="21" customHeight="1" thickTop="1" thickBot="1" x14ac:dyDescent="0.3">
      <c r="A255" s="70"/>
      <c r="B255" s="71"/>
      <c r="C255" s="71"/>
      <c r="D255" s="72" t="str">
        <f>"TOTAL - "&amp;UPPER(C248)</f>
        <v>TOTAL - PENTHOUSE - 22X</v>
      </c>
      <c r="E255" s="73"/>
      <c r="F255" s="74"/>
      <c r="G255" s="75"/>
      <c r="H255" s="59"/>
      <c r="I255" s="77">
        <f>SUM(I250:I254)</f>
        <v>127.02940304761906</v>
      </c>
      <c r="J255" s="77">
        <f>SUM(J250:J254)</f>
        <v>893.87401904761907</v>
      </c>
      <c r="K255" s="77">
        <f>SUM(K250:K254)</f>
        <v>0</v>
      </c>
      <c r="L255" s="77">
        <f t="shared" ref="L255:W255" si="80">SUM(L250:L254)</f>
        <v>0</v>
      </c>
      <c r="M255" s="77">
        <f t="shared" si="80"/>
        <v>0</v>
      </c>
      <c r="N255" s="77">
        <f t="shared" si="80"/>
        <v>11954.999999999998</v>
      </c>
      <c r="O255" s="77">
        <f t="shared" ca="1" si="80"/>
        <v>67.288022351797906</v>
      </c>
      <c r="P255" s="77">
        <f t="shared" ca="1" si="80"/>
        <v>754.69084062196305</v>
      </c>
      <c r="Q255" s="77">
        <f t="shared" ca="1" si="80"/>
        <v>834.08102526724974</v>
      </c>
      <c r="R255" s="77">
        <f t="shared" ca="1" si="80"/>
        <v>948.32543731778389</v>
      </c>
      <c r="S255" s="77">
        <f t="shared" ca="1" si="80"/>
        <v>1073.2197521865887</v>
      </c>
      <c r="T255" s="77">
        <f t="shared" ca="1" si="80"/>
        <v>359.67626336248782</v>
      </c>
      <c r="U255" s="77">
        <f t="shared" ca="1" si="80"/>
        <v>1375.28972303207</v>
      </c>
      <c r="V255" s="77">
        <f t="shared" ca="1" si="80"/>
        <v>6542.4289358600581</v>
      </c>
      <c r="W255" s="78">
        <f t="shared" ca="1" si="80"/>
        <v>0</v>
      </c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</row>
    <row r="256" spans="1:38" ht="15.75" thickTop="1" x14ac:dyDescent="0.25">
      <c r="A256" s="100" t="str">
        <f>A132</f>
        <v>Torre</v>
      </c>
      <c r="B256" s="101" t="s">
        <v>165</v>
      </c>
      <c r="C256" s="101" t="s">
        <v>198</v>
      </c>
      <c r="D256" s="101" t="s">
        <v>221</v>
      </c>
      <c r="E256" s="101" t="s">
        <v>52</v>
      </c>
      <c r="F256" s="102"/>
      <c r="G256" s="103"/>
      <c r="H256" s="104">
        <v>45</v>
      </c>
      <c r="I256" s="120">
        <v>73.73</v>
      </c>
      <c r="J256" s="105">
        <v>418.2</v>
      </c>
      <c r="K256" s="105"/>
      <c r="L256" s="105"/>
      <c r="M256" s="105"/>
      <c r="N256" s="92">
        <v>6143.5783932620661</v>
      </c>
      <c r="O256" s="105">
        <f t="shared" ref="O256:W260" ca="1" si="81">O$5*$N256</f>
        <v>34.578773755402807</v>
      </c>
      <c r="P256" s="105">
        <f t="shared" ca="1" si="81"/>
        <v>387.82955600484132</v>
      </c>
      <c r="Q256" s="105">
        <f t="shared" ca="1" si="81"/>
        <v>428.62753367308636</v>
      </c>
      <c r="R256" s="105">
        <f t="shared" ca="1" si="81"/>
        <v>487.33681861031687</v>
      </c>
      <c r="S256" s="105">
        <f t="shared" ca="1" si="81"/>
        <v>551.51900299084878</v>
      </c>
      <c r="T256" s="105">
        <f t="shared" ca="1" si="81"/>
        <v>184.83474028967103</v>
      </c>
      <c r="U256" s="105">
        <f t="shared" ca="1" si="81"/>
        <v>706.75033265539071</v>
      </c>
      <c r="V256" s="106">
        <f t="shared" ca="1" si="81"/>
        <v>3362.1016352825086</v>
      </c>
      <c r="W256" s="107">
        <f t="shared" ca="1" si="81"/>
        <v>0</v>
      </c>
      <c r="X256" s="116">
        <v>0.56612406867508902</v>
      </c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 spans="1:38" x14ac:dyDescent="0.25">
      <c r="A257" s="87" t="str">
        <f>A256</f>
        <v>Torre</v>
      </c>
      <c r="B257" s="88" t="s">
        <v>165</v>
      </c>
      <c r="C257" s="88" t="s">
        <v>198</v>
      </c>
      <c r="D257" s="88" t="s">
        <v>221</v>
      </c>
      <c r="E257" s="88" t="s">
        <v>51</v>
      </c>
      <c r="F257" s="89" t="s">
        <v>222</v>
      </c>
      <c r="G257" s="90"/>
      <c r="H257" s="91">
        <v>45</v>
      </c>
      <c r="I257" s="118">
        <v>19.55</v>
      </c>
      <c r="J257" s="92">
        <v>180.6</v>
      </c>
      <c r="K257" s="92"/>
      <c r="L257" s="92"/>
      <c r="M257" s="92"/>
      <c r="N257" s="92">
        <v>2490.6517654680915</v>
      </c>
      <c r="O257" s="92">
        <f t="shared" ca="1" si="81"/>
        <v>14.018488637838718</v>
      </c>
      <c r="P257" s="92">
        <f t="shared" ca="1" si="81"/>
        <v>157.22894810352909</v>
      </c>
      <c r="Q257" s="92">
        <f t="shared" ca="1" si="81"/>
        <v>173.76874764745392</v>
      </c>
      <c r="R257" s="92">
        <f t="shared" ca="1" si="81"/>
        <v>197.56992260090664</v>
      </c>
      <c r="S257" s="92">
        <f t="shared" ca="1" si="81"/>
        <v>223.58985115171524</v>
      </c>
      <c r="T257" s="92">
        <f t="shared" ca="1" si="81"/>
        <v>74.93336012887886</v>
      </c>
      <c r="U257" s="92">
        <f t="shared" ca="1" si="81"/>
        <v>286.52177136762424</v>
      </c>
      <c r="V257" s="93">
        <f t="shared" ca="1" si="81"/>
        <v>1363.0206758301449</v>
      </c>
      <c r="W257" s="94">
        <f t="shared" ca="1" si="81"/>
        <v>0</v>
      </c>
      <c r="X257" s="116">
        <v>0.22951085195983151</v>
      </c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</row>
    <row r="258" spans="1:38" x14ac:dyDescent="0.25">
      <c r="A258" s="87" t="str">
        <f>A257</f>
        <v>Torre</v>
      </c>
      <c r="B258" s="88" t="s">
        <v>165</v>
      </c>
      <c r="C258" s="88" t="s">
        <v>198</v>
      </c>
      <c r="D258" s="88" t="s">
        <v>221</v>
      </c>
      <c r="E258" s="88" t="s">
        <v>53</v>
      </c>
      <c r="F258" s="89"/>
      <c r="G258" s="90"/>
      <c r="H258" s="91">
        <v>45</v>
      </c>
      <c r="I258" s="118">
        <v>30.43</v>
      </c>
      <c r="J258" s="92">
        <v>250.95</v>
      </c>
      <c r="K258" s="92"/>
      <c r="L258" s="92"/>
      <c r="M258" s="92"/>
      <c r="N258" s="92">
        <v>2171.190962099125</v>
      </c>
      <c r="O258" s="92">
        <f t="shared" ca="1" si="81"/>
        <v>12.220422081785658</v>
      </c>
      <c r="P258" s="92">
        <f t="shared" ca="1" si="81"/>
        <v>137.06214406837285</v>
      </c>
      <c r="Q258" s="92">
        <f t="shared" ca="1" si="81"/>
        <v>151.48048379076744</v>
      </c>
      <c r="R258" s="92">
        <f t="shared" ca="1" si="81"/>
        <v>172.22882631811569</v>
      </c>
      <c r="S258" s="92">
        <f t="shared" ca="1" si="81"/>
        <v>194.91133636919989</v>
      </c>
      <c r="T258" s="92">
        <f t="shared" ca="1" si="81"/>
        <v>65.322112278897393</v>
      </c>
      <c r="U258" s="92">
        <f t="shared" ca="1" si="81"/>
        <v>249.77136067879874</v>
      </c>
      <c r="V258" s="93">
        <f t="shared" ca="1" si="81"/>
        <v>1188.1942765131873</v>
      </c>
      <c r="W258" s="94">
        <f t="shared" ca="1" si="81"/>
        <v>0</v>
      </c>
      <c r="X258" s="116">
        <v>0.20007288629737605</v>
      </c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</row>
    <row r="259" spans="1:38" x14ac:dyDescent="0.25">
      <c r="A259" s="87" t="str">
        <f>A258</f>
        <v>Torre</v>
      </c>
      <c r="B259" s="88" t="s">
        <v>165</v>
      </c>
      <c r="C259" s="88" t="s">
        <v>198</v>
      </c>
      <c r="D259" s="88" t="s">
        <v>221</v>
      </c>
      <c r="E259" s="88" t="s">
        <v>190</v>
      </c>
      <c r="F259" s="89"/>
      <c r="G259" s="90"/>
      <c r="H259" s="91">
        <v>45</v>
      </c>
      <c r="I259" s="118"/>
      <c r="J259" s="92"/>
      <c r="K259" s="92"/>
      <c r="L259" s="92"/>
      <c r="M259" s="92"/>
      <c r="N259" s="92">
        <v>0</v>
      </c>
      <c r="O259" s="108">
        <f t="shared" ca="1" si="81"/>
        <v>0</v>
      </c>
      <c r="P259" s="108">
        <f t="shared" ca="1" si="81"/>
        <v>0</v>
      </c>
      <c r="Q259" s="108">
        <f t="shared" ca="1" si="81"/>
        <v>0</v>
      </c>
      <c r="R259" s="108">
        <f t="shared" ca="1" si="81"/>
        <v>0</v>
      </c>
      <c r="S259" s="108">
        <f t="shared" ca="1" si="81"/>
        <v>0</v>
      </c>
      <c r="T259" s="108">
        <f t="shared" ca="1" si="81"/>
        <v>0</v>
      </c>
      <c r="U259" s="108">
        <f t="shared" ca="1" si="81"/>
        <v>0</v>
      </c>
      <c r="V259" s="110">
        <f t="shared" ca="1" si="81"/>
        <v>0</v>
      </c>
      <c r="W259" s="111">
        <f t="shared" ca="1" si="81"/>
        <v>0</v>
      </c>
      <c r="X259" s="116">
        <v>0</v>
      </c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</row>
    <row r="260" spans="1:38" ht="15.75" thickBot="1" x14ac:dyDescent="0.3">
      <c r="A260" s="45" t="str">
        <f>A258</f>
        <v>Torre</v>
      </c>
      <c r="B260" s="46" t="s">
        <v>165</v>
      </c>
      <c r="C260" s="46" t="s">
        <v>198</v>
      </c>
      <c r="D260" s="46" t="s">
        <v>221</v>
      </c>
      <c r="E260" s="46" t="s">
        <v>54</v>
      </c>
      <c r="F260" s="47"/>
      <c r="G260" s="48"/>
      <c r="H260" s="91">
        <v>45</v>
      </c>
      <c r="I260" s="50">
        <f>((0.5816+0.5128)*1.2+0.1123*2.48)</f>
        <v>1.5917840000000001</v>
      </c>
      <c r="J260" s="50">
        <f>(0.5816+0.5128+(3.01+2.65)*1.2+3.1+3.2*1.2)*1</f>
        <v>14.8264</v>
      </c>
      <c r="K260" s="50"/>
      <c r="L260" s="50"/>
      <c r="M260" s="50"/>
      <c r="N260" s="50">
        <v>46.578879170715894</v>
      </c>
      <c r="O260" s="50">
        <f t="shared" ca="1" si="81"/>
        <v>0.26216651298710375</v>
      </c>
      <c r="P260" s="50">
        <f t="shared" ca="1" si="81"/>
        <v>2.9404143435028374</v>
      </c>
      <c r="Q260" s="50">
        <f t="shared" ca="1" si="81"/>
        <v>3.2497331070271902</v>
      </c>
      <c r="R260" s="50">
        <f t="shared" ca="1" si="81"/>
        <v>3.6948503520988183</v>
      </c>
      <c r="S260" s="50">
        <f t="shared" ca="1" si="81"/>
        <v>4.1814615776432271</v>
      </c>
      <c r="T260" s="50">
        <f t="shared" ca="1" si="81"/>
        <v>1.4013648859670356</v>
      </c>
      <c r="U260" s="50">
        <f t="shared" ca="1" si="81"/>
        <v>5.3583817510529581</v>
      </c>
      <c r="V260" s="51">
        <f t="shared" ca="1" si="81"/>
        <v>25.490506640436724</v>
      </c>
      <c r="W260" s="52">
        <f t="shared" ca="1" si="81"/>
        <v>0</v>
      </c>
      <c r="X260" s="116">
        <v>4.2921930677032706E-3</v>
      </c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 spans="1:38" ht="21" customHeight="1" thickTop="1" thickBot="1" x14ac:dyDescent="0.3">
      <c r="A261" s="70"/>
      <c r="B261" s="71"/>
      <c r="C261" s="71"/>
      <c r="D261" s="72" t="str">
        <f>"TOTAL - "&amp;UPPER(C134)</f>
        <v>TOTAL - PENTHOUSE - 22X</v>
      </c>
      <c r="E261" s="73"/>
      <c r="F261" s="74"/>
      <c r="G261" s="75"/>
      <c r="H261" s="59"/>
      <c r="I261" s="77">
        <f t="shared" ref="I261:W261" si="82">SUM(I256:I260)</f>
        <v>125.30178400000001</v>
      </c>
      <c r="J261" s="77">
        <f t="shared" si="82"/>
        <v>864.57640000000004</v>
      </c>
      <c r="K261" s="77">
        <f t="shared" si="82"/>
        <v>0</v>
      </c>
      <c r="L261" s="77">
        <f t="shared" si="82"/>
        <v>0</v>
      </c>
      <c r="M261" s="77">
        <f t="shared" si="82"/>
        <v>0</v>
      </c>
      <c r="N261" s="77">
        <f t="shared" si="82"/>
        <v>10851.999999999998</v>
      </c>
      <c r="O261" s="77">
        <f t="shared" ca="1" si="82"/>
        <v>61.079850988014279</v>
      </c>
      <c r="P261" s="77">
        <f t="shared" ca="1" si="82"/>
        <v>685.0610625202462</v>
      </c>
      <c r="Q261" s="77">
        <f t="shared" ca="1" si="82"/>
        <v>757.12649821833497</v>
      </c>
      <c r="R261" s="77">
        <f t="shared" ca="1" si="82"/>
        <v>860.83041788143805</v>
      </c>
      <c r="S261" s="77">
        <f t="shared" ca="1" si="82"/>
        <v>974.20165208940716</v>
      </c>
      <c r="T261" s="77">
        <f t="shared" ca="1" si="82"/>
        <v>326.49157758341437</v>
      </c>
      <c r="U261" s="77">
        <f t="shared" ca="1" si="82"/>
        <v>1248.4018464528667</v>
      </c>
      <c r="V261" s="77">
        <f t="shared" ca="1" si="82"/>
        <v>5938.807094266278</v>
      </c>
      <c r="W261" s="78">
        <f t="shared" ca="1" si="82"/>
        <v>0</v>
      </c>
      <c r="X261" s="117">
        <f>(SUM(N130:N261))/2</f>
        <v>296489</v>
      </c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</row>
    <row r="262" spans="1:38" ht="15.75" thickTop="1" x14ac:dyDescent="0.25">
      <c r="A262" s="100" t="str">
        <f>A134</f>
        <v>Torre</v>
      </c>
      <c r="B262" s="101" t="s">
        <v>165</v>
      </c>
      <c r="C262" s="101" t="s">
        <v>223</v>
      </c>
      <c r="D262" s="101" t="s">
        <v>223</v>
      </c>
      <c r="E262" s="101" t="s">
        <v>52</v>
      </c>
      <c r="F262" s="102"/>
      <c r="G262" s="103"/>
      <c r="H262" s="104">
        <v>40</v>
      </c>
      <c r="I262" s="105">
        <v>68.44</v>
      </c>
      <c r="J262" s="105">
        <v>395.52</v>
      </c>
      <c r="K262" s="105">
        <f>J262</f>
        <v>395.52</v>
      </c>
      <c r="L262" s="105"/>
      <c r="M262" s="105"/>
      <c r="N262" s="105">
        <v>5314.2066326530603</v>
      </c>
      <c r="O262" s="105">
        <f t="shared" ref="O262:V270" ca="1" si="83">O$5*$N262</f>
        <v>29.91070302635147</v>
      </c>
      <c r="P262" s="105">
        <f t="shared" ca="1" si="83"/>
        <v>335.47328070562526</v>
      </c>
      <c r="Q262" s="105">
        <f t="shared" ca="1" si="83"/>
        <v>370.76360657844282</v>
      </c>
      <c r="R262" s="105">
        <f t="shared" ca="1" si="83"/>
        <v>421.54724624908255</v>
      </c>
      <c r="S262" s="105">
        <f t="shared" ca="1" si="83"/>
        <v>477.06495402461269</v>
      </c>
      <c r="T262" s="105">
        <f t="shared" ca="1" si="83"/>
        <v>159.88239099697216</v>
      </c>
      <c r="U262" s="105">
        <f t="shared" ca="1" si="83"/>
        <v>611.34034027240625</v>
      </c>
      <c r="V262" s="106">
        <f t="shared" ca="1" si="83"/>
        <v>2908.2241107995674</v>
      </c>
      <c r="W262" s="107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</row>
    <row r="263" spans="1:38" x14ac:dyDescent="0.25">
      <c r="A263" s="87" t="str">
        <f>A262</f>
        <v>Torre</v>
      </c>
      <c r="B263" s="88" t="s">
        <v>165</v>
      </c>
      <c r="C263" s="88" t="s">
        <v>223</v>
      </c>
      <c r="D263" s="88" t="s">
        <v>223</v>
      </c>
      <c r="E263" s="88" t="s">
        <v>51</v>
      </c>
      <c r="F263" s="89" t="s">
        <v>224</v>
      </c>
      <c r="G263" s="90"/>
      <c r="H263" s="91">
        <v>40</v>
      </c>
      <c r="I263" s="92">
        <v>20.8</v>
      </c>
      <c r="J263" s="92">
        <v>244.3</v>
      </c>
      <c r="K263" s="92">
        <f>J263</f>
        <v>244.3</v>
      </c>
      <c r="L263" s="92"/>
      <c r="M263" s="92"/>
      <c r="N263" s="92">
        <v>2154.4183673469383</v>
      </c>
      <c r="O263" s="92">
        <f t="shared" ca="1" si="83"/>
        <v>12.126018507500188</v>
      </c>
      <c r="P263" s="92">
        <f t="shared" ca="1" si="83"/>
        <v>136.00332987908473</v>
      </c>
      <c r="Q263" s="92">
        <f t="shared" ca="1" si="83"/>
        <v>150.31028696707057</v>
      </c>
      <c r="R263" s="92">
        <f t="shared" ca="1" si="83"/>
        <v>170.89834716685502</v>
      </c>
      <c r="S263" s="92">
        <f t="shared" ca="1" si="83"/>
        <v>193.40563331746691</v>
      </c>
      <c r="T263" s="92">
        <f t="shared" ca="1" si="83"/>
        <v>64.817494612033343</v>
      </c>
      <c r="U263" s="92">
        <f t="shared" ca="1" si="83"/>
        <v>247.84186028638854</v>
      </c>
      <c r="V263" s="93">
        <f t="shared" ca="1" si="83"/>
        <v>1179.015396610539</v>
      </c>
      <c r="W263" s="94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</row>
    <row r="264" spans="1:38" x14ac:dyDescent="0.25">
      <c r="A264" s="87" t="str">
        <f>A263</f>
        <v>Torre</v>
      </c>
      <c r="B264" s="88" t="s">
        <v>165</v>
      </c>
      <c r="C264" s="88" t="s">
        <v>223</v>
      </c>
      <c r="D264" s="88" t="s">
        <v>223</v>
      </c>
      <c r="E264" s="88" t="s">
        <v>53</v>
      </c>
      <c r="F264" s="89" t="s">
        <v>225</v>
      </c>
      <c r="G264" s="90"/>
      <c r="H264" s="91">
        <v>40</v>
      </c>
      <c r="I264" s="92">
        <v>32.58</v>
      </c>
      <c r="J264" s="92">
        <v>263.77999999999997</v>
      </c>
      <c r="K264" s="92">
        <f>J264</f>
        <v>263.77999999999997</v>
      </c>
      <c r="L264" s="92"/>
      <c r="M264" s="92"/>
      <c r="N264" s="92">
        <v>1878.0841836734689</v>
      </c>
      <c r="O264" s="92">
        <f t="shared" ca="1" si="83"/>
        <v>10.570687622716731</v>
      </c>
      <c r="P264" s="92">
        <f t="shared" ca="1" si="83"/>
        <v>118.55900722169331</v>
      </c>
      <c r="Q264" s="92">
        <f t="shared" ca="1" si="83"/>
        <v>131.03089765425119</v>
      </c>
      <c r="R264" s="92">
        <f t="shared" ca="1" si="83"/>
        <v>148.97825217915147</v>
      </c>
      <c r="S264" s="92">
        <f t="shared" ca="1" si="83"/>
        <v>168.59866517671205</v>
      </c>
      <c r="T264" s="92">
        <f t="shared" ca="1" si="83"/>
        <v>56.503747508478604</v>
      </c>
      <c r="U264" s="92">
        <f t="shared" ca="1" si="83"/>
        <v>216.05268731034681</v>
      </c>
      <c r="V264" s="93">
        <f t="shared" ca="1" si="83"/>
        <v>1027.7902390001188</v>
      </c>
      <c r="W264" s="94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</row>
    <row r="265" spans="1:38" ht="15.75" thickBot="1" x14ac:dyDescent="0.3">
      <c r="A265" s="45" t="str">
        <f>A264</f>
        <v>Torre</v>
      </c>
      <c r="B265" s="46" t="s">
        <v>165</v>
      </c>
      <c r="C265" s="46" t="s">
        <v>223</v>
      </c>
      <c r="D265" s="46" t="s">
        <v>223</v>
      </c>
      <c r="E265" s="46" t="s">
        <v>54</v>
      </c>
      <c r="F265" s="47"/>
      <c r="G265" s="48"/>
      <c r="H265" s="91">
        <v>40</v>
      </c>
      <c r="I265" s="50">
        <f>((0.5816+0.5128)*1.2+0.1123*2.48)</f>
        <v>1.5917840000000001</v>
      </c>
      <c r="J265" s="50">
        <f>(0.5816+0.5128+(3.01+2.65)*1.2+3.1+3.2*1.2)*1</f>
        <v>14.8264</v>
      </c>
      <c r="K265" s="50">
        <f>J265</f>
        <v>14.8264</v>
      </c>
      <c r="L265" s="50"/>
      <c r="M265" s="50"/>
      <c r="N265" s="50">
        <v>40.290816326530603</v>
      </c>
      <c r="O265" s="50">
        <f t="shared" ca="1" si="83"/>
        <v>0.22677451690102679</v>
      </c>
      <c r="P265" s="50">
        <f t="shared" ca="1" si="83"/>
        <v>2.5434638262496438</v>
      </c>
      <c r="Q265" s="50">
        <f t="shared" ca="1" si="83"/>
        <v>2.8110251267659634</v>
      </c>
      <c r="R265" s="50">
        <f t="shared" ca="1" si="83"/>
        <v>3.1960523640943244</v>
      </c>
      <c r="S265" s="50">
        <f t="shared" ca="1" si="83"/>
        <v>3.6169719710041446</v>
      </c>
      <c r="T265" s="50">
        <f t="shared" ca="1" si="83"/>
        <v>1.212183209046495</v>
      </c>
      <c r="U265" s="50">
        <f t="shared" ca="1" si="83"/>
        <v>4.6350100900418463</v>
      </c>
      <c r="V265" s="51">
        <f t="shared" ca="1" si="83"/>
        <v>22.04933522242716</v>
      </c>
      <c r="W265" s="52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</row>
    <row r="266" spans="1:38" ht="21" customHeight="1" thickTop="1" thickBot="1" x14ac:dyDescent="0.3">
      <c r="A266" s="70"/>
      <c r="B266" s="71"/>
      <c r="C266" s="71"/>
      <c r="D266" s="72" t="str">
        <f>"TOTAL - "&amp;UPPER(C265)</f>
        <v>TOTAL - DUPLEX INFERIOR</v>
      </c>
      <c r="E266" s="73"/>
      <c r="F266" s="74"/>
      <c r="G266" s="75"/>
      <c r="H266" s="59"/>
      <c r="I266" s="77">
        <f t="shared" ref="I266:W266" si="84">SUM(I262:I265)</f>
        <v>123.411784</v>
      </c>
      <c r="J266" s="77">
        <f t="shared" si="84"/>
        <v>918.42639999999994</v>
      </c>
      <c r="K266" s="77">
        <f t="shared" si="84"/>
        <v>918.42639999999994</v>
      </c>
      <c r="L266" s="77">
        <f t="shared" si="84"/>
        <v>0</v>
      </c>
      <c r="M266" s="77">
        <f t="shared" si="84"/>
        <v>0</v>
      </c>
      <c r="N266" s="77">
        <f>SUM(N262:N265)</f>
        <v>9386.9999999999982</v>
      </c>
      <c r="O266" s="77">
        <f t="shared" ca="1" si="84"/>
        <v>52.834183673469418</v>
      </c>
      <c r="P266" s="77">
        <f t="shared" ca="1" si="84"/>
        <v>592.5790816326529</v>
      </c>
      <c r="Q266" s="77">
        <f t="shared" ca="1" si="84"/>
        <v>654.91581632653049</v>
      </c>
      <c r="R266" s="77">
        <f t="shared" ca="1" si="84"/>
        <v>744.61989795918328</v>
      </c>
      <c r="S266" s="77">
        <f t="shared" ca="1" si="84"/>
        <v>842.68622448979579</v>
      </c>
      <c r="T266" s="77">
        <f t="shared" ca="1" si="84"/>
        <v>282.4158163265306</v>
      </c>
      <c r="U266" s="77">
        <f t="shared" ca="1" si="84"/>
        <v>1079.8698979591834</v>
      </c>
      <c r="V266" s="77">
        <f t="shared" ca="1" si="84"/>
        <v>5137.0790816326526</v>
      </c>
      <c r="W266" s="78">
        <f t="shared" si="84"/>
        <v>0</v>
      </c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</row>
    <row r="267" spans="1:38" ht="15.75" thickTop="1" x14ac:dyDescent="0.25">
      <c r="A267" s="100" t="str">
        <f>A265</f>
        <v>Torre</v>
      </c>
      <c r="B267" s="101" t="s">
        <v>165</v>
      </c>
      <c r="C267" s="101" t="s">
        <v>226</v>
      </c>
      <c r="D267" s="101" t="s">
        <v>226</v>
      </c>
      <c r="E267" s="101" t="s">
        <v>52</v>
      </c>
      <c r="F267" s="102"/>
      <c r="G267" s="103"/>
      <c r="H267" s="104">
        <v>40</v>
      </c>
      <c r="I267" s="105">
        <v>58.76</v>
      </c>
      <c r="J267" s="105">
        <v>349.34</v>
      </c>
      <c r="K267" s="105"/>
      <c r="L267" s="105"/>
      <c r="M267" s="105"/>
      <c r="N267" s="105">
        <v>4573.1502267573687</v>
      </c>
      <c r="O267" s="105">
        <f t="shared" ca="1" si="83"/>
        <v>25.739710136025053</v>
      </c>
      <c r="P267" s="105">
        <f t="shared" ca="1" si="83"/>
        <v>288.69214461915846</v>
      </c>
      <c r="Q267" s="105">
        <f t="shared" ca="1" si="83"/>
        <v>319.06129902425278</v>
      </c>
      <c r="R267" s="105">
        <f t="shared" ca="1" si="83"/>
        <v>362.76325292426645</v>
      </c>
      <c r="S267" s="105">
        <f t="shared" ca="1" si="83"/>
        <v>410.53911778106118</v>
      </c>
      <c r="T267" s="105">
        <f t="shared" ca="1" si="83"/>
        <v>137.58708367673816</v>
      </c>
      <c r="U267" s="105">
        <f t="shared" ca="1" si="83"/>
        <v>526.09004673702964</v>
      </c>
      <c r="V267" s="106">
        <f t="shared" ca="1" si="83"/>
        <v>2502.6775718588374</v>
      </c>
      <c r="W267" s="107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</row>
    <row r="268" spans="1:38" x14ac:dyDescent="0.25">
      <c r="A268" s="87" t="str">
        <f>A267</f>
        <v>Torre</v>
      </c>
      <c r="B268" s="88" t="s">
        <v>165</v>
      </c>
      <c r="C268" s="88" t="s">
        <v>226</v>
      </c>
      <c r="D268" s="88" t="s">
        <v>226</v>
      </c>
      <c r="E268" s="88" t="s">
        <v>51</v>
      </c>
      <c r="F268" s="89" t="s">
        <v>227</v>
      </c>
      <c r="G268" s="90"/>
      <c r="H268" s="91">
        <v>40</v>
      </c>
      <c r="I268" s="92">
        <v>18.8</v>
      </c>
      <c r="J268" s="92">
        <v>216.4</v>
      </c>
      <c r="K268" s="92"/>
      <c r="L268" s="92"/>
      <c r="M268" s="92"/>
      <c r="N268" s="92">
        <v>1853.9886621315188</v>
      </c>
      <c r="O268" s="92">
        <f t="shared" ca="1" si="83"/>
        <v>10.435067380801803</v>
      </c>
      <c r="P268" s="92">
        <f t="shared" ca="1" si="83"/>
        <v>117.03791400482012</v>
      </c>
      <c r="Q268" s="92">
        <f t="shared" ca="1" si="83"/>
        <v>129.34979206562224</v>
      </c>
      <c r="R268" s="92">
        <f t="shared" ca="1" si="83"/>
        <v>147.06688488482527</v>
      </c>
      <c r="S268" s="92">
        <f t="shared" ca="1" si="83"/>
        <v>166.43557110242864</v>
      </c>
      <c r="T268" s="92">
        <f t="shared" ca="1" si="83"/>
        <v>55.778813409609597</v>
      </c>
      <c r="U268" s="92">
        <f t="shared" ca="1" si="83"/>
        <v>213.28076567523667</v>
      </c>
      <c r="V268" s="93">
        <f t="shared" ca="1" si="83"/>
        <v>1014.6038536081745</v>
      </c>
      <c r="W268" s="94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</row>
    <row r="269" spans="1:38" x14ac:dyDescent="0.25">
      <c r="A269" s="87" t="str">
        <f>A268</f>
        <v>Torre</v>
      </c>
      <c r="B269" s="88" t="s">
        <v>165</v>
      </c>
      <c r="C269" s="88" t="s">
        <v>226</v>
      </c>
      <c r="D269" s="88" t="s">
        <v>226</v>
      </c>
      <c r="E269" s="88" t="s">
        <v>53</v>
      </c>
      <c r="F269" s="89" t="s">
        <v>228</v>
      </c>
      <c r="G269" s="90"/>
      <c r="H269" s="91">
        <v>40</v>
      </c>
      <c r="I269" s="92">
        <v>35.1</v>
      </c>
      <c r="J269" s="92">
        <v>246.77</v>
      </c>
      <c r="K269" s="92"/>
      <c r="L269" s="92"/>
      <c r="M269" s="92"/>
      <c r="N269" s="92">
        <v>1616.1887755102036</v>
      </c>
      <c r="O269" s="92">
        <f t="shared" ca="1" si="83"/>
        <v>9.0966245463199904</v>
      </c>
      <c r="P269" s="92">
        <f t="shared" ca="1" si="83"/>
        <v>102.02617027131549</v>
      </c>
      <c r="Q269" s="92">
        <f t="shared" ca="1" si="83"/>
        <v>112.75887836913189</v>
      </c>
      <c r="R269" s="92">
        <f t="shared" ca="1" si="83"/>
        <v>128.20350709525786</v>
      </c>
      <c r="S269" s="92">
        <f t="shared" ca="1" si="83"/>
        <v>145.08788934670073</v>
      </c>
      <c r="T269" s="92">
        <f t="shared" ca="1" si="83"/>
        <v>48.624403150473007</v>
      </c>
      <c r="U269" s="92">
        <f t="shared" ca="1" si="83"/>
        <v>185.92453479205088</v>
      </c>
      <c r="V269" s="93">
        <f t="shared" ca="1" si="83"/>
        <v>884.46676793895381</v>
      </c>
      <c r="W269" s="94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</row>
    <row r="270" spans="1:38" ht="15.75" thickBot="1" x14ac:dyDescent="0.3">
      <c r="A270" s="121" t="str">
        <f>A269</f>
        <v>Torre</v>
      </c>
      <c r="B270" s="122" t="s">
        <v>165</v>
      </c>
      <c r="C270" s="46" t="s">
        <v>226</v>
      </c>
      <c r="D270" s="46" t="s">
        <v>226</v>
      </c>
      <c r="E270" s="122" t="s">
        <v>54</v>
      </c>
      <c r="F270" s="123"/>
      <c r="G270" s="124"/>
      <c r="H270" s="125">
        <v>40</v>
      </c>
      <c r="I270" s="50">
        <f>((0.5816+0.5128)*1.2+0.1123*2.48)</f>
        <v>1.5917840000000001</v>
      </c>
      <c r="J270" s="50">
        <f>(0.5816+0.5128+(3.01+2.65)*1.2+3.1+3.2*1.2)*1</f>
        <v>14.8264</v>
      </c>
      <c r="K270" s="50"/>
      <c r="L270" s="50"/>
      <c r="M270" s="50"/>
      <c r="N270" s="50">
        <v>34.672335600907019</v>
      </c>
      <c r="O270" s="50">
        <f t="shared" ca="1" si="83"/>
        <v>0.19515122483503722</v>
      </c>
      <c r="P270" s="50">
        <f t="shared" ca="1" si="83"/>
        <v>2.1887824425742646</v>
      </c>
      <c r="Q270" s="50">
        <f t="shared" ca="1" si="83"/>
        <v>2.4190328085666826</v>
      </c>
      <c r="R270" s="50">
        <f t="shared" ca="1" si="83"/>
        <v>2.7503687010923565</v>
      </c>
      <c r="S270" s="50">
        <f t="shared" ca="1" si="83"/>
        <v>3.1125918378365269</v>
      </c>
      <c r="T270" s="50">
        <f t="shared" ca="1" si="83"/>
        <v>1.0431464751973565</v>
      </c>
      <c r="U270" s="50">
        <f t="shared" ca="1" si="83"/>
        <v>3.9886664011247506</v>
      </c>
      <c r="V270" s="51">
        <f t="shared" ca="1" si="83"/>
        <v>18.974595709680045</v>
      </c>
      <c r="W270" s="52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</row>
    <row r="271" spans="1:38" ht="21" customHeight="1" thickTop="1" thickBot="1" x14ac:dyDescent="0.3">
      <c r="A271" s="70"/>
      <c r="B271" s="71"/>
      <c r="C271" s="71"/>
      <c r="D271" s="72" t="str">
        <f>"TOTAL - "&amp;UPPER(C270)</f>
        <v>TOTAL - DUPLEX SUPERIOR</v>
      </c>
      <c r="E271" s="73"/>
      <c r="F271" s="74"/>
      <c r="G271" s="75"/>
      <c r="H271" s="59"/>
      <c r="I271" s="77">
        <f t="shared" ref="I271:W271" si="85">SUM(I267:I270)</f>
        <v>114.251784</v>
      </c>
      <c r="J271" s="77">
        <f t="shared" si="85"/>
        <v>827.33640000000003</v>
      </c>
      <c r="K271" s="77">
        <f t="shared" si="85"/>
        <v>0</v>
      </c>
      <c r="L271" s="77">
        <f t="shared" si="85"/>
        <v>0</v>
      </c>
      <c r="M271" s="77">
        <f t="shared" si="85"/>
        <v>0</v>
      </c>
      <c r="N271" s="77">
        <f t="shared" si="85"/>
        <v>8077.9999999999982</v>
      </c>
      <c r="O271" s="77">
        <f t="shared" ca="1" si="85"/>
        <v>45.466553287981888</v>
      </c>
      <c r="P271" s="77">
        <f t="shared" ca="1" si="85"/>
        <v>509.94501133786838</v>
      </c>
      <c r="Q271" s="77">
        <f t="shared" ca="1" si="85"/>
        <v>563.58900226757362</v>
      </c>
      <c r="R271" s="77">
        <f t="shared" ca="1" si="85"/>
        <v>640.78401360544194</v>
      </c>
      <c r="S271" s="77">
        <f t="shared" ca="1" si="85"/>
        <v>725.175170068027</v>
      </c>
      <c r="T271" s="77">
        <f t="shared" ca="1" si="85"/>
        <v>243.0334467120181</v>
      </c>
      <c r="U271" s="77">
        <f t="shared" ca="1" si="85"/>
        <v>929.28401360544194</v>
      </c>
      <c r="V271" s="77">
        <f t="shared" ca="1" si="85"/>
        <v>4420.7227891156463</v>
      </c>
      <c r="W271" s="78">
        <f t="shared" si="85"/>
        <v>0</v>
      </c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</row>
    <row r="272" spans="1:38" ht="15.75" thickTop="1" x14ac:dyDescent="0.25">
      <c r="A272" s="100" t="str">
        <f>A74</f>
        <v>Torre</v>
      </c>
      <c r="B272" s="101" t="s">
        <v>165</v>
      </c>
      <c r="C272" s="101" t="s">
        <v>229</v>
      </c>
      <c r="D272" s="101" t="s">
        <v>230</v>
      </c>
      <c r="E272" s="101" t="s">
        <v>52</v>
      </c>
      <c r="F272" s="102"/>
      <c r="G272" s="103"/>
      <c r="H272" s="104">
        <v>35</v>
      </c>
      <c r="I272" s="105">
        <v>52.64</v>
      </c>
      <c r="J272" s="105">
        <v>307.67</v>
      </c>
      <c r="K272" s="105">
        <f>J272</f>
        <v>307.67</v>
      </c>
      <c r="L272" s="105"/>
      <c r="M272" s="105"/>
      <c r="N272" s="105">
        <f t="shared" ref="N272:N281" si="86">SUM(O272:W272)</f>
        <v>3054.74</v>
      </c>
      <c r="O272" s="105">
        <v>320</v>
      </c>
      <c r="P272" s="105">
        <v>716</v>
      </c>
      <c r="Q272" s="105"/>
      <c r="R272" s="105"/>
      <c r="S272" s="105">
        <f>1827-0.26</f>
        <v>1826.74</v>
      </c>
      <c r="T272" s="105">
        <v>192</v>
      </c>
      <c r="U272" s="105"/>
      <c r="V272" s="106"/>
      <c r="W272" s="107"/>
      <c r="X272" s="117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 spans="1:38" x14ac:dyDescent="0.25">
      <c r="A273" s="87" t="str">
        <f t="shared" ref="A273:A278" si="87">A272</f>
        <v>Torre</v>
      </c>
      <c r="B273" s="88" t="s">
        <v>165</v>
      </c>
      <c r="C273" s="88" t="s">
        <v>229</v>
      </c>
      <c r="D273" s="88" t="s">
        <v>230</v>
      </c>
      <c r="E273" s="88" t="s">
        <v>51</v>
      </c>
      <c r="F273" s="89"/>
      <c r="G273" s="90"/>
      <c r="H273" s="91">
        <v>35</v>
      </c>
      <c r="I273" s="92">
        <v>13.76</v>
      </c>
      <c r="J273" s="92">
        <v>143.83000000000001</v>
      </c>
      <c r="K273" s="92">
        <f>J273</f>
        <v>143.83000000000001</v>
      </c>
      <c r="L273" s="92"/>
      <c r="M273" s="92"/>
      <c r="N273" s="92">
        <f t="shared" si="86"/>
        <v>1768.8</v>
      </c>
      <c r="O273" s="92">
        <f>1768.8*0.2</f>
        <v>353.76</v>
      </c>
      <c r="P273" s="92"/>
      <c r="Q273" s="92"/>
      <c r="R273" s="92"/>
      <c r="S273" s="92">
        <f>1768.8*0.8</f>
        <v>1415.04</v>
      </c>
      <c r="T273" s="92"/>
      <c r="U273" s="92"/>
      <c r="V273" s="93"/>
      <c r="W273" s="94"/>
      <c r="X273" s="117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</row>
    <row r="274" spans="1:38" x14ac:dyDescent="0.25">
      <c r="A274" s="87" t="str">
        <f t="shared" si="87"/>
        <v>Torre</v>
      </c>
      <c r="B274" s="88" t="s">
        <v>165</v>
      </c>
      <c r="C274" s="88" t="s">
        <v>229</v>
      </c>
      <c r="D274" s="88" t="s">
        <v>230</v>
      </c>
      <c r="E274" s="88" t="s">
        <v>53</v>
      </c>
      <c r="F274" s="89"/>
      <c r="G274" s="90"/>
      <c r="H274" s="91">
        <v>35</v>
      </c>
      <c r="I274" s="92">
        <v>22.57</v>
      </c>
      <c r="J274" s="92">
        <v>184.06</v>
      </c>
      <c r="K274" s="92">
        <f t="shared" ref="K274:K281" si="88">J274</f>
        <v>184.06</v>
      </c>
      <c r="L274" s="92"/>
      <c r="M274" s="92"/>
      <c r="N274" s="92">
        <f t="shared" si="86"/>
        <v>2227.0100000000002</v>
      </c>
      <c r="O274" s="92">
        <f>2227.01*0.2</f>
        <v>445.40200000000004</v>
      </c>
      <c r="P274" s="92"/>
      <c r="Q274" s="92"/>
      <c r="R274" s="92"/>
      <c r="S274" s="92">
        <f>2227.01*0.8</f>
        <v>1781.6080000000002</v>
      </c>
      <c r="T274" s="92"/>
      <c r="U274" s="92"/>
      <c r="V274" s="93"/>
      <c r="W274" s="94"/>
      <c r="X274" s="117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</row>
    <row r="275" spans="1:38" ht="15.75" thickBot="1" x14ac:dyDescent="0.3">
      <c r="A275" s="45" t="str">
        <f t="shared" si="87"/>
        <v>Torre</v>
      </c>
      <c r="B275" s="46" t="s">
        <v>165</v>
      </c>
      <c r="C275" s="46" t="s">
        <v>229</v>
      </c>
      <c r="D275" s="46" t="s">
        <v>230</v>
      </c>
      <c r="E275" s="46" t="s">
        <v>54</v>
      </c>
      <c r="F275" s="47"/>
      <c r="G275" s="48"/>
      <c r="H275" s="91">
        <v>35</v>
      </c>
      <c r="I275" s="50">
        <f>((0.5816+0.5128)*1.2+0.1123*2.48)</f>
        <v>1.5917840000000001</v>
      </c>
      <c r="J275" s="50">
        <f>(0.5816+0.5128+(3.01+2.65)*1.2+3.1+3.2*1.2)*1</f>
        <v>14.8264</v>
      </c>
      <c r="K275" s="50">
        <f t="shared" si="88"/>
        <v>14.8264</v>
      </c>
      <c r="L275" s="50"/>
      <c r="M275" s="50"/>
      <c r="N275" s="50">
        <f t="shared" si="86"/>
        <v>104.45</v>
      </c>
      <c r="O275" s="50"/>
      <c r="P275" s="50">
        <v>19</v>
      </c>
      <c r="Q275" s="50">
        <v>14</v>
      </c>
      <c r="R275" s="50">
        <f>72-0.55</f>
        <v>71.45</v>
      </c>
      <c r="S275" s="50"/>
      <c r="T275" s="50"/>
      <c r="U275" s="50"/>
      <c r="V275" s="51"/>
      <c r="W275" s="52"/>
      <c r="X275" s="117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</row>
    <row r="276" spans="1:38" ht="15.75" thickTop="1" x14ac:dyDescent="0.25">
      <c r="A276" s="100" t="str">
        <f t="shared" si="87"/>
        <v>Torre</v>
      </c>
      <c r="B276" s="101" t="s">
        <v>165</v>
      </c>
      <c r="C276" s="101" t="s">
        <v>229</v>
      </c>
      <c r="D276" s="101" t="s">
        <v>231</v>
      </c>
      <c r="E276" s="101" t="s">
        <v>52</v>
      </c>
      <c r="F276" s="102"/>
      <c r="G276" s="103"/>
      <c r="H276" s="104">
        <v>35</v>
      </c>
      <c r="I276" s="105">
        <v>8.68</v>
      </c>
      <c r="J276" s="105">
        <v>72.39</v>
      </c>
      <c r="K276" s="105">
        <f t="shared" si="88"/>
        <v>72.39</v>
      </c>
      <c r="L276" s="105"/>
      <c r="M276" s="105"/>
      <c r="N276" s="105">
        <f t="shared" si="86"/>
        <v>1014</v>
      </c>
      <c r="O276" s="105">
        <v>172</v>
      </c>
      <c r="P276" s="105">
        <v>67</v>
      </c>
      <c r="Q276" s="105"/>
      <c r="R276" s="105">
        <v>41</v>
      </c>
      <c r="S276" s="105">
        <v>441</v>
      </c>
      <c r="T276" s="105">
        <v>293</v>
      </c>
      <c r="U276" s="105"/>
      <c r="V276" s="106"/>
      <c r="W276" s="107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 spans="1:38" x14ac:dyDescent="0.25">
      <c r="A277" s="87" t="str">
        <f t="shared" si="87"/>
        <v>Torre</v>
      </c>
      <c r="B277" s="88" t="s">
        <v>165</v>
      </c>
      <c r="C277" s="88" t="s">
        <v>229</v>
      </c>
      <c r="D277" s="88" t="s">
        <v>231</v>
      </c>
      <c r="E277" s="88" t="s">
        <v>51</v>
      </c>
      <c r="F277" s="89"/>
      <c r="G277" s="90"/>
      <c r="H277" s="91">
        <v>35</v>
      </c>
      <c r="I277" s="92">
        <v>1.37</v>
      </c>
      <c r="J277" s="92">
        <v>15.05</v>
      </c>
      <c r="K277" s="92">
        <f t="shared" si="88"/>
        <v>15.05</v>
      </c>
      <c r="L277" s="92"/>
      <c r="M277" s="92"/>
      <c r="N277" s="92">
        <f t="shared" si="86"/>
        <v>126.00000000000001</v>
      </c>
      <c r="O277" s="92">
        <f>126*0.2</f>
        <v>25.200000000000003</v>
      </c>
      <c r="P277" s="92"/>
      <c r="Q277" s="92"/>
      <c r="R277" s="92">
        <f>126*0.8</f>
        <v>100.80000000000001</v>
      </c>
      <c r="S277" s="92"/>
      <c r="T277" s="92"/>
      <c r="U277" s="92"/>
      <c r="V277" s="93"/>
      <c r="W277" s="94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</row>
    <row r="278" spans="1:38" ht="15.75" thickBot="1" x14ac:dyDescent="0.3">
      <c r="A278" s="87" t="str">
        <f t="shared" si="87"/>
        <v>Torre</v>
      </c>
      <c r="B278" s="88" t="s">
        <v>165</v>
      </c>
      <c r="C278" s="88" t="s">
        <v>229</v>
      </c>
      <c r="D278" s="88" t="s">
        <v>231</v>
      </c>
      <c r="E278" s="88" t="s">
        <v>53</v>
      </c>
      <c r="F278" s="89"/>
      <c r="G278" s="90"/>
      <c r="H278" s="91">
        <v>35</v>
      </c>
      <c r="I278" s="92">
        <v>1.83</v>
      </c>
      <c r="J278" s="92">
        <v>12.23</v>
      </c>
      <c r="K278" s="92">
        <f t="shared" si="88"/>
        <v>12.23</v>
      </c>
      <c r="L278" s="92"/>
      <c r="M278" s="92"/>
      <c r="N278" s="92">
        <f t="shared" si="86"/>
        <v>180</v>
      </c>
      <c r="O278" s="92">
        <f>180*0.2</f>
        <v>36</v>
      </c>
      <c r="P278" s="92"/>
      <c r="Q278" s="92"/>
      <c r="R278" s="92">
        <f>180*0.8</f>
        <v>144</v>
      </c>
      <c r="S278" s="92"/>
      <c r="T278" s="92"/>
      <c r="U278" s="92"/>
      <c r="V278" s="93"/>
      <c r="W278" s="94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</row>
    <row r="279" spans="1:38" ht="15.75" thickTop="1" x14ac:dyDescent="0.25">
      <c r="A279" s="100" t="str">
        <f>A5</f>
        <v>Torre</v>
      </c>
      <c r="B279" s="101" t="s">
        <v>165</v>
      </c>
      <c r="C279" s="101" t="s">
        <v>229</v>
      </c>
      <c r="D279" s="101" t="s">
        <v>232</v>
      </c>
      <c r="E279" s="101" t="s">
        <v>52</v>
      </c>
      <c r="F279" s="102"/>
      <c r="G279" s="103"/>
      <c r="H279" s="104">
        <v>35</v>
      </c>
      <c r="I279" s="105">
        <v>7.53</v>
      </c>
      <c r="J279" s="105">
        <v>57.98</v>
      </c>
      <c r="K279" s="105">
        <f t="shared" si="88"/>
        <v>57.98</v>
      </c>
      <c r="L279" s="105"/>
      <c r="M279" s="105"/>
      <c r="N279" s="105">
        <f t="shared" si="86"/>
        <v>334</v>
      </c>
      <c r="O279" s="105">
        <v>29</v>
      </c>
      <c r="P279" s="105">
        <v>60</v>
      </c>
      <c r="Q279" s="105"/>
      <c r="R279" s="105"/>
      <c r="S279" s="105">
        <v>38</v>
      </c>
      <c r="T279" s="105">
        <v>207</v>
      </c>
      <c r="U279" s="105"/>
      <c r="V279" s="106"/>
      <c r="W279" s="107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 spans="1:38" x14ac:dyDescent="0.25">
      <c r="A280" s="87" t="str">
        <f>A5</f>
        <v>Torre</v>
      </c>
      <c r="B280" s="88" t="s">
        <v>165</v>
      </c>
      <c r="C280" s="88" t="s">
        <v>229</v>
      </c>
      <c r="D280" s="88" t="s">
        <v>232</v>
      </c>
      <c r="E280" s="88" t="s">
        <v>51</v>
      </c>
      <c r="F280" s="89"/>
      <c r="G280" s="90"/>
      <c r="H280" s="91">
        <v>35</v>
      </c>
      <c r="I280" s="92">
        <v>6.54</v>
      </c>
      <c r="J280" s="92">
        <v>68.069999999999993</v>
      </c>
      <c r="K280" s="92">
        <f t="shared" si="88"/>
        <v>68.069999999999993</v>
      </c>
      <c r="L280" s="92"/>
      <c r="M280" s="92"/>
      <c r="N280" s="92">
        <f t="shared" si="86"/>
        <v>650</v>
      </c>
      <c r="O280" s="92">
        <f>650*0.2</f>
        <v>130</v>
      </c>
      <c r="P280" s="92"/>
      <c r="Q280" s="92"/>
      <c r="R280" s="92">
        <f>650*0.8</f>
        <v>520</v>
      </c>
      <c r="S280" s="92"/>
      <c r="T280" s="92"/>
      <c r="U280" s="92"/>
      <c r="V280" s="93"/>
      <c r="W280" s="94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</row>
    <row r="281" spans="1:38" ht="15.75" thickBot="1" x14ac:dyDescent="0.3">
      <c r="A281" s="87" t="str">
        <f>A5</f>
        <v>Torre</v>
      </c>
      <c r="B281" s="88" t="s">
        <v>165</v>
      </c>
      <c r="C281" s="88" t="s">
        <v>229</v>
      </c>
      <c r="D281" s="88" t="s">
        <v>232</v>
      </c>
      <c r="E281" s="88" t="s">
        <v>53</v>
      </c>
      <c r="F281" s="89"/>
      <c r="G281" s="90"/>
      <c r="H281" s="91">
        <v>35</v>
      </c>
      <c r="I281" s="92">
        <v>9.41</v>
      </c>
      <c r="J281" s="92">
        <v>62.75</v>
      </c>
      <c r="K281" s="92">
        <f t="shared" si="88"/>
        <v>62.75</v>
      </c>
      <c r="L281" s="92"/>
      <c r="M281" s="92"/>
      <c r="N281" s="92">
        <f t="shared" si="86"/>
        <v>940</v>
      </c>
      <c r="O281" s="92">
        <f>940*0.2</f>
        <v>188</v>
      </c>
      <c r="P281" s="92"/>
      <c r="Q281" s="92"/>
      <c r="R281" s="92">
        <f>940*0.8</f>
        <v>752</v>
      </c>
      <c r="S281" s="92"/>
      <c r="T281" s="92"/>
      <c r="U281" s="92"/>
      <c r="V281" s="93"/>
      <c r="W281" s="94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</row>
    <row r="282" spans="1:38" ht="21" customHeight="1" thickTop="1" thickBot="1" x14ac:dyDescent="0.3">
      <c r="A282" s="70"/>
      <c r="B282" s="71"/>
      <c r="C282" s="71"/>
      <c r="D282" s="72" t="str">
        <f>"TOTAL - "&amp;UPPER(C280)</f>
        <v>TOTAL - COBERTURA/BARRILETE</v>
      </c>
      <c r="E282" s="73"/>
      <c r="F282" s="74"/>
      <c r="G282" s="75"/>
      <c r="H282" s="59"/>
      <c r="I282" s="77">
        <f t="shared" ref="I282:W282" si="89">SUM(I272:I281)</f>
        <v>125.921784</v>
      </c>
      <c r="J282" s="77">
        <f t="shared" si="89"/>
        <v>938.85639999999989</v>
      </c>
      <c r="K282" s="77">
        <f t="shared" si="89"/>
        <v>938.85639999999989</v>
      </c>
      <c r="L282" s="77">
        <f t="shared" si="89"/>
        <v>0</v>
      </c>
      <c r="M282" s="77">
        <f t="shared" si="89"/>
        <v>0</v>
      </c>
      <c r="N282" s="77">
        <f t="shared" si="89"/>
        <v>10399</v>
      </c>
      <c r="O282" s="77">
        <f t="shared" si="89"/>
        <v>1699.3620000000001</v>
      </c>
      <c r="P282" s="77">
        <f t="shared" si="89"/>
        <v>862</v>
      </c>
      <c r="Q282" s="77">
        <f t="shared" si="89"/>
        <v>14</v>
      </c>
      <c r="R282" s="77">
        <f t="shared" si="89"/>
        <v>1629.25</v>
      </c>
      <c r="S282" s="77">
        <f t="shared" si="89"/>
        <v>5502.3879999999999</v>
      </c>
      <c r="T282" s="77">
        <f t="shared" si="89"/>
        <v>692</v>
      </c>
      <c r="U282" s="77">
        <f t="shared" si="89"/>
        <v>0</v>
      </c>
      <c r="V282" s="77">
        <f t="shared" si="89"/>
        <v>0</v>
      </c>
      <c r="W282" s="78">
        <f t="shared" si="89"/>
        <v>0</v>
      </c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</row>
    <row r="283" spans="1:38" ht="15.75" thickTop="1" x14ac:dyDescent="0.25">
      <c r="A283" s="100" t="str">
        <f>A5</f>
        <v>Torre</v>
      </c>
      <c r="B283" s="101" t="s">
        <v>165</v>
      </c>
      <c r="C283" s="101" t="s">
        <v>233</v>
      </c>
      <c r="D283" s="101" t="s">
        <v>233</v>
      </c>
      <c r="E283" s="101" t="s">
        <v>52</v>
      </c>
      <c r="F283" s="102"/>
      <c r="G283" s="103"/>
      <c r="H283" s="104">
        <v>35</v>
      </c>
      <c r="I283" s="105">
        <f>5.83+9.09</f>
        <v>14.92</v>
      </c>
      <c r="J283" s="105">
        <f>44.85+70.02</f>
        <v>114.87</v>
      </c>
      <c r="K283" s="105">
        <f>J283</f>
        <v>114.87</v>
      </c>
      <c r="L283" s="105"/>
      <c r="M283" s="105"/>
      <c r="N283" s="105">
        <f>SUM(O283:W283)</f>
        <v>978</v>
      </c>
      <c r="O283" s="105">
        <v>156</v>
      </c>
      <c r="P283" s="105">
        <v>120</v>
      </c>
      <c r="Q283" s="105"/>
      <c r="R283" s="105"/>
      <c r="S283" s="105">
        <v>372</v>
      </c>
      <c r="T283" s="105">
        <v>330</v>
      </c>
      <c r="U283" s="105"/>
      <c r="V283" s="106"/>
      <c r="W283" s="107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</row>
    <row r="284" spans="1:38" x14ac:dyDescent="0.25">
      <c r="A284" s="87" t="str">
        <f>A5</f>
        <v>Torre</v>
      </c>
      <c r="B284" s="88" t="s">
        <v>165</v>
      </c>
      <c r="C284" s="88" t="s">
        <v>233</v>
      </c>
      <c r="D284" s="88" t="s">
        <v>233</v>
      </c>
      <c r="E284" s="88" t="s">
        <v>51</v>
      </c>
      <c r="F284" s="89"/>
      <c r="G284" s="90"/>
      <c r="H284" s="91">
        <v>35</v>
      </c>
      <c r="I284" s="92">
        <f>24.38+4.4</f>
        <v>28.78</v>
      </c>
      <c r="J284" s="92">
        <f>242.12+42.19</f>
        <v>284.31</v>
      </c>
      <c r="K284" s="92">
        <f>J284</f>
        <v>284.31</v>
      </c>
      <c r="L284" s="92"/>
      <c r="M284" s="92"/>
      <c r="N284" s="92">
        <f>SUM(O284:W284)</f>
        <v>4320</v>
      </c>
      <c r="O284" s="92">
        <f>(660+3660)*0.2</f>
        <v>864</v>
      </c>
      <c r="P284" s="92"/>
      <c r="Q284" s="92"/>
      <c r="R284" s="92">
        <f>(660+3660)*0.8</f>
        <v>3456</v>
      </c>
      <c r="S284" s="92"/>
      <c r="T284" s="92"/>
      <c r="U284" s="92"/>
      <c r="V284" s="93"/>
      <c r="W284" s="94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</row>
    <row r="285" spans="1:38" ht="15.75" thickBot="1" x14ac:dyDescent="0.3">
      <c r="A285" s="87" t="str">
        <f>A5</f>
        <v>Torre</v>
      </c>
      <c r="B285" s="88" t="s">
        <v>165</v>
      </c>
      <c r="C285" s="88" t="s">
        <v>233</v>
      </c>
      <c r="D285" s="88" t="s">
        <v>233</v>
      </c>
      <c r="E285" s="88" t="s">
        <v>53</v>
      </c>
      <c r="F285" s="89"/>
      <c r="G285" s="90"/>
      <c r="H285" s="91">
        <v>35</v>
      </c>
      <c r="I285" s="92">
        <f>12.95+12.95</f>
        <v>25.9</v>
      </c>
      <c r="J285" s="92">
        <f>64.74+64.75</f>
        <v>129.49</v>
      </c>
      <c r="K285" s="92">
        <f>J285</f>
        <v>129.49</v>
      </c>
      <c r="L285" s="92"/>
      <c r="M285" s="92"/>
      <c r="N285" s="92">
        <f>SUM(O285:W285)</f>
        <v>2470</v>
      </c>
      <c r="O285" s="92">
        <f>(1300+1170)*0.2</f>
        <v>494</v>
      </c>
      <c r="P285" s="92"/>
      <c r="Q285" s="92"/>
      <c r="R285" s="92">
        <f>(1170+1300)*0.8</f>
        <v>1976</v>
      </c>
      <c r="S285" s="92"/>
      <c r="T285" s="92"/>
      <c r="U285" s="92"/>
      <c r="V285" s="93"/>
      <c r="W285" s="94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</row>
    <row r="286" spans="1:38" ht="21" customHeight="1" thickTop="1" thickBot="1" x14ac:dyDescent="0.3">
      <c r="A286" s="126"/>
      <c r="B286" s="127"/>
      <c r="C286" s="127"/>
      <c r="D286" s="128" t="str">
        <f>"TOTAL - "&amp;UPPER(D285)</f>
        <v>TOTAL - RESERVATÓRIO</v>
      </c>
      <c r="E286" s="129"/>
      <c r="F286" s="130"/>
      <c r="G286" s="131"/>
      <c r="H286" s="132"/>
      <c r="I286" s="133">
        <f>SUM(I283:I285)</f>
        <v>69.599999999999994</v>
      </c>
      <c r="J286" s="133">
        <f>SUM(J283:J285)</f>
        <v>528.67000000000007</v>
      </c>
      <c r="K286" s="133">
        <f>SUM(K283:K285)</f>
        <v>528.67000000000007</v>
      </c>
      <c r="L286" s="133">
        <f>SUM(L277:L285)</f>
        <v>0</v>
      </c>
      <c r="M286" s="133">
        <f>SUM(M277:M285)</f>
        <v>0</v>
      </c>
      <c r="N286" s="133">
        <f t="shared" ref="N286:T286" si="90">SUM(N283:N285)</f>
        <v>7768</v>
      </c>
      <c r="O286" s="133">
        <f t="shared" si="90"/>
        <v>1514</v>
      </c>
      <c r="P286" s="133">
        <f t="shared" si="90"/>
        <v>120</v>
      </c>
      <c r="Q286" s="133">
        <f t="shared" si="90"/>
        <v>0</v>
      </c>
      <c r="R286" s="133">
        <f t="shared" si="90"/>
        <v>5432</v>
      </c>
      <c r="S286" s="133">
        <f t="shared" si="90"/>
        <v>372</v>
      </c>
      <c r="T286" s="133">
        <f t="shared" si="90"/>
        <v>330</v>
      </c>
      <c r="U286" s="133">
        <f>SUM(U277:U285)</f>
        <v>0</v>
      </c>
      <c r="V286" s="133">
        <f>SUM(V277:V285)</f>
        <v>0</v>
      </c>
      <c r="W286" s="134">
        <f>SUM(W277:W285)</f>
        <v>0</v>
      </c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</row>
    <row r="287" spans="1:38" x14ac:dyDescent="0.25">
      <c r="L287" s="17"/>
      <c r="M287" s="17"/>
      <c r="U287" s="17"/>
      <c r="V287" s="17"/>
      <c r="W287" s="17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</row>
    <row r="288" spans="1:38" x14ac:dyDescent="0.25">
      <c r="I288" s="137">
        <f>SUM(I22:I286)/2</f>
        <v>6565.8070880000141</v>
      </c>
      <c r="J288" s="137">
        <f>SUM(J22:J286)/2</f>
        <v>42728.526000000005</v>
      </c>
      <c r="K288" s="137">
        <f>SUM(K22:K286)/2</f>
        <v>11715.333818181822</v>
      </c>
      <c r="L288" s="17"/>
      <c r="M288" s="17"/>
      <c r="N288" s="137">
        <f ca="1">SUM(N22:N286)/2</f>
        <v>866013.45454545459</v>
      </c>
      <c r="U288" s="17"/>
      <c r="V288" s="17"/>
      <c r="W288" s="17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</row>
    <row r="289" spans="9:38" x14ac:dyDescent="0.25">
      <c r="I289" s="137">
        <f>I288/[1]CAPA!C10</f>
        <v>0.3919962057759952</v>
      </c>
      <c r="L289" s="17"/>
      <c r="M289" s="17"/>
      <c r="N289" s="137">
        <f ca="1">N288/I288</f>
        <v>131.89748692559405</v>
      </c>
      <c r="U289" s="17"/>
      <c r="V289" s="17"/>
      <c r="W289" s="17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</row>
    <row r="290" spans="9:38" x14ac:dyDescent="0.25">
      <c r="L290" s="17"/>
      <c r="M290" s="17"/>
      <c r="U290" s="17"/>
      <c r="V290" s="17"/>
      <c r="W290" s="17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 spans="9:38" x14ac:dyDescent="0.25">
      <c r="L291" s="17"/>
      <c r="M291" s="17"/>
      <c r="U291" s="17"/>
      <c r="V291" s="17"/>
      <c r="W291" s="17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</row>
    <row r="292" spans="9:38" ht="15.75" thickBot="1" x14ac:dyDescent="0.3">
      <c r="L292" s="17"/>
      <c r="M292" s="17"/>
      <c r="N292" s="137">
        <f ca="1">SUM(N40:N286)</f>
        <v>1469952</v>
      </c>
      <c r="U292" s="17"/>
      <c r="V292" s="17"/>
      <c r="W292" s="17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</row>
    <row r="293" spans="9:38" ht="45.75" thickTop="1" x14ac:dyDescent="0.25">
      <c r="K293" s="138" t="s">
        <v>234</v>
      </c>
      <c r="L293" s="139"/>
      <c r="M293" s="139"/>
      <c r="N293" s="139">
        <f ca="1">N292/2</f>
        <v>734976</v>
      </c>
      <c r="U293" s="17"/>
      <c r="V293" s="17"/>
      <c r="W293" s="17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</row>
    <row r="294" spans="9:38" x14ac:dyDescent="0.25">
      <c r="L294" s="17"/>
      <c r="M294" s="17"/>
      <c r="U294" s="17"/>
      <c r="V294" s="17"/>
      <c r="W294" s="17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 spans="9:38" x14ac:dyDescent="0.25">
      <c r="L295" s="17"/>
      <c r="M295" s="17"/>
      <c r="U295" s="17"/>
      <c r="V295" s="17"/>
      <c r="W295" s="17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</row>
    <row r="296" spans="9:38" x14ac:dyDescent="0.25">
      <c r="L296" s="17"/>
      <c r="M296" s="17"/>
      <c r="U296" s="17"/>
      <c r="V296" s="17"/>
      <c r="W296" s="17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</row>
    <row r="297" spans="9:38" x14ac:dyDescent="0.25">
      <c r="L297" s="17"/>
      <c r="M297" s="17"/>
      <c r="U297" s="17"/>
      <c r="V297" s="17"/>
      <c r="W297" s="17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</row>
    <row r="298" spans="9:38" x14ac:dyDescent="0.25">
      <c r="L298" s="17"/>
      <c r="M298" s="17"/>
      <c r="U298" s="17"/>
      <c r="V298" s="17"/>
      <c r="W298" s="17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</row>
    <row r="299" spans="9:38" x14ac:dyDescent="0.25">
      <c r="L299" s="17"/>
      <c r="M299" s="17"/>
      <c r="U299" s="17"/>
      <c r="V299" s="17"/>
      <c r="W299" s="17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</row>
    <row r="300" spans="9:38" x14ac:dyDescent="0.25">
      <c r="L300" s="17"/>
      <c r="M300" s="17"/>
      <c r="U300" s="17"/>
      <c r="V300" s="17"/>
      <c r="W300" s="17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</row>
    <row r="301" spans="9:38" x14ac:dyDescent="0.25">
      <c r="L301" s="17"/>
      <c r="M301" s="17"/>
      <c r="U301" s="17"/>
      <c r="V301" s="17"/>
      <c r="W301" s="17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</row>
    <row r="302" spans="9:38" x14ac:dyDescent="0.25">
      <c r="L302" s="17"/>
      <c r="M302" s="17"/>
      <c r="U302" s="17"/>
      <c r="V302" s="17"/>
      <c r="W302" s="17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</row>
    <row r="303" spans="9:38" x14ac:dyDescent="0.25">
      <c r="L303" s="17"/>
      <c r="M303" s="17"/>
      <c r="U303" s="17"/>
      <c r="V303" s="17"/>
      <c r="W303" s="17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</row>
    <row r="304" spans="9:38" x14ac:dyDescent="0.25">
      <c r="L304" s="17"/>
      <c r="M304" s="17"/>
      <c r="U304" s="17"/>
      <c r="V304" s="17"/>
      <c r="W304" s="17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</row>
    <row r="305" s="18" customFormat="1" ht="12.75" x14ac:dyDescent="0.2"/>
    <row r="306" s="18" customFormat="1" ht="12.75" x14ac:dyDescent="0.2"/>
    <row r="307" s="18" customFormat="1" ht="12.75" x14ac:dyDescent="0.2"/>
    <row r="308" s="18" customFormat="1" ht="12.75" x14ac:dyDescent="0.2"/>
    <row r="309" s="18" customFormat="1" ht="12.75" x14ac:dyDescent="0.2"/>
    <row r="310" s="18" customFormat="1" ht="12.75" x14ac:dyDescent="0.2"/>
    <row r="311" s="18" customFormat="1" ht="12.75" x14ac:dyDescent="0.2"/>
    <row r="312" s="18" customFormat="1" ht="12.75" x14ac:dyDescent="0.2"/>
    <row r="313" s="18" customFormat="1" ht="12.75" x14ac:dyDescent="0.2"/>
    <row r="314" s="18" customFormat="1" ht="12.75" x14ac:dyDescent="0.2"/>
    <row r="315" s="18" customFormat="1" ht="12.75" x14ac:dyDescent="0.2"/>
    <row r="316" s="18" customFormat="1" ht="12.75" x14ac:dyDescent="0.2"/>
    <row r="317" s="18" customFormat="1" ht="12.75" x14ac:dyDescent="0.2"/>
    <row r="318" s="18" customFormat="1" ht="12.75" x14ac:dyDescent="0.2"/>
    <row r="319" s="18" customFormat="1" ht="12.75" x14ac:dyDescent="0.2"/>
    <row r="320" s="18" customFormat="1" ht="12.75" x14ac:dyDescent="0.2"/>
    <row r="321" s="18" customFormat="1" ht="12.75" x14ac:dyDescent="0.2"/>
    <row r="322" s="18" customFormat="1" ht="12.75" x14ac:dyDescent="0.2"/>
    <row r="323" s="18" customFormat="1" ht="12.75" x14ac:dyDescent="0.2"/>
    <row r="324" s="18" customFormat="1" ht="12.75" x14ac:dyDescent="0.2"/>
    <row r="325" s="18" customFormat="1" ht="12.75" x14ac:dyDescent="0.2"/>
    <row r="326" s="18" customFormat="1" ht="12.75" x14ac:dyDescent="0.2"/>
    <row r="327" s="18" customFormat="1" ht="12.75" x14ac:dyDescent="0.2"/>
    <row r="328" s="18" customFormat="1" ht="12.75" x14ac:dyDescent="0.2"/>
    <row r="329" s="18" customFormat="1" ht="12.75" x14ac:dyDescent="0.2"/>
    <row r="330" s="18" customFormat="1" ht="12.75" x14ac:dyDescent="0.2"/>
    <row r="331" s="18" customFormat="1" ht="12.75" x14ac:dyDescent="0.2"/>
    <row r="332" s="18" customFormat="1" ht="12.75" x14ac:dyDescent="0.2"/>
    <row r="333" s="18" customFormat="1" ht="12.75" x14ac:dyDescent="0.2"/>
    <row r="334" s="18" customFormat="1" ht="12.75" x14ac:dyDescent="0.2"/>
    <row r="335" s="18" customFormat="1" ht="12.75" x14ac:dyDescent="0.2"/>
    <row r="336" s="18" customFormat="1" ht="12.75" x14ac:dyDescent="0.2"/>
    <row r="337" s="18" customFormat="1" ht="12.75" x14ac:dyDescent="0.2"/>
    <row r="338" s="18" customFormat="1" ht="12.75" x14ac:dyDescent="0.2"/>
    <row r="339" s="18" customFormat="1" ht="12.75" x14ac:dyDescent="0.2"/>
    <row r="340" s="18" customFormat="1" ht="12.75" x14ac:dyDescent="0.2"/>
    <row r="341" s="18" customFormat="1" ht="12.75" x14ac:dyDescent="0.2"/>
    <row r="342" s="18" customFormat="1" ht="12.75" x14ac:dyDescent="0.2"/>
    <row r="343" s="18" customFormat="1" ht="12.75" x14ac:dyDescent="0.2"/>
    <row r="344" s="18" customFormat="1" ht="12.75" x14ac:dyDescent="0.2"/>
    <row r="345" s="18" customFormat="1" ht="12.75" x14ac:dyDescent="0.2"/>
    <row r="346" s="18" customFormat="1" ht="12.75" x14ac:dyDescent="0.2"/>
    <row r="347" s="18" customFormat="1" ht="12.75" x14ac:dyDescent="0.2"/>
    <row r="348" s="18" customFormat="1" ht="12.75" x14ac:dyDescent="0.2"/>
    <row r="349" s="18" customFormat="1" ht="12.75" x14ac:dyDescent="0.2"/>
    <row r="350" s="18" customFormat="1" ht="12.75" x14ac:dyDescent="0.2"/>
    <row r="351" s="18" customFormat="1" ht="12.75" x14ac:dyDescent="0.2"/>
    <row r="352" s="18" customFormat="1" ht="12.75" x14ac:dyDescent="0.2"/>
    <row r="353" s="18" customFormat="1" ht="12.75" x14ac:dyDescent="0.2"/>
    <row r="354" s="18" customFormat="1" ht="12.75" x14ac:dyDescent="0.2"/>
    <row r="355" s="18" customFormat="1" ht="12.75" x14ac:dyDescent="0.2"/>
    <row r="356" s="18" customFormat="1" ht="12.75" x14ac:dyDescent="0.2"/>
    <row r="357" s="18" customFormat="1" ht="12.75" x14ac:dyDescent="0.2"/>
    <row r="358" s="18" customFormat="1" ht="12.75" x14ac:dyDescent="0.2"/>
    <row r="359" s="18" customFormat="1" ht="12.75" x14ac:dyDescent="0.2"/>
    <row r="360" s="18" customFormat="1" ht="12.75" x14ac:dyDescent="0.2"/>
    <row r="361" s="18" customFormat="1" ht="12.75" x14ac:dyDescent="0.2"/>
    <row r="362" s="18" customFormat="1" ht="12.75" x14ac:dyDescent="0.2"/>
    <row r="363" s="18" customFormat="1" ht="12.75" x14ac:dyDescent="0.2"/>
    <row r="364" s="18" customFormat="1" ht="12.75" x14ac:dyDescent="0.2"/>
    <row r="365" s="18" customFormat="1" ht="12.75" x14ac:dyDescent="0.2"/>
    <row r="366" s="18" customFormat="1" ht="12.75" x14ac:dyDescent="0.2"/>
    <row r="367" s="18" customFormat="1" ht="12.75" x14ac:dyDescent="0.2"/>
    <row r="368" s="18" customFormat="1" ht="12.75" x14ac:dyDescent="0.2"/>
    <row r="369" s="18" customFormat="1" ht="12.75" x14ac:dyDescent="0.2"/>
    <row r="370" s="18" customFormat="1" ht="12.75" x14ac:dyDescent="0.2"/>
    <row r="371" s="18" customFormat="1" ht="12.75" x14ac:dyDescent="0.2"/>
    <row r="372" s="18" customFormat="1" ht="12.75" x14ac:dyDescent="0.2"/>
    <row r="373" s="18" customFormat="1" ht="12.75" x14ac:dyDescent="0.2"/>
    <row r="374" s="18" customFormat="1" ht="12.75" x14ac:dyDescent="0.2"/>
    <row r="375" s="18" customFormat="1" ht="12.75" x14ac:dyDescent="0.2"/>
    <row r="376" s="18" customFormat="1" ht="12.75" x14ac:dyDescent="0.2"/>
    <row r="377" s="18" customFormat="1" ht="12.75" x14ac:dyDescent="0.2"/>
    <row r="378" s="18" customFormat="1" ht="12.75" x14ac:dyDescent="0.2"/>
    <row r="379" s="18" customFormat="1" ht="12.75" x14ac:dyDescent="0.2"/>
    <row r="380" s="18" customFormat="1" ht="12.75" x14ac:dyDescent="0.2"/>
    <row r="381" s="18" customFormat="1" ht="12.75" x14ac:dyDescent="0.2"/>
    <row r="382" s="18" customFormat="1" ht="12.75" x14ac:dyDescent="0.2"/>
    <row r="383" s="18" customFormat="1" ht="12.75" x14ac:dyDescent="0.2"/>
    <row r="384" s="18" customFormat="1" ht="12.75" x14ac:dyDescent="0.2"/>
    <row r="385" s="18" customFormat="1" ht="12.75" x14ac:dyDescent="0.2"/>
    <row r="386" s="18" customFormat="1" ht="12.75" x14ac:dyDescent="0.2"/>
    <row r="387" s="18" customFormat="1" ht="12.75" x14ac:dyDescent="0.2"/>
    <row r="388" s="18" customFormat="1" ht="12.75" x14ac:dyDescent="0.2"/>
    <row r="389" s="18" customFormat="1" ht="12.75" x14ac:dyDescent="0.2"/>
    <row r="390" s="18" customFormat="1" ht="12.75" x14ac:dyDescent="0.2"/>
    <row r="391" s="18" customFormat="1" ht="12.75" x14ac:dyDescent="0.2"/>
    <row r="392" s="18" customFormat="1" ht="12.75" x14ac:dyDescent="0.2"/>
    <row r="393" s="18" customFormat="1" ht="12.75" x14ac:dyDescent="0.2"/>
    <row r="394" s="18" customFormat="1" ht="12.75" x14ac:dyDescent="0.2"/>
    <row r="395" s="18" customFormat="1" ht="12.75" x14ac:dyDescent="0.2"/>
    <row r="396" s="18" customFormat="1" ht="12.75" x14ac:dyDescent="0.2"/>
    <row r="397" s="18" customFormat="1" ht="12.75" x14ac:dyDescent="0.2"/>
    <row r="398" s="18" customFormat="1" ht="12.75" x14ac:dyDescent="0.2"/>
    <row r="399" s="18" customFormat="1" ht="12.75" x14ac:dyDescent="0.2"/>
    <row r="400" s="18" customFormat="1" ht="12.75" x14ac:dyDescent="0.2"/>
    <row r="401" s="18" customFormat="1" ht="12.75" x14ac:dyDescent="0.2"/>
    <row r="402" s="18" customFormat="1" ht="12.75" x14ac:dyDescent="0.2"/>
    <row r="403" s="18" customFormat="1" ht="12.75" x14ac:dyDescent="0.2"/>
    <row r="404" s="18" customFormat="1" ht="12.75" x14ac:dyDescent="0.2"/>
    <row r="405" s="18" customFormat="1" ht="12.75" x14ac:dyDescent="0.2"/>
    <row r="406" s="18" customFormat="1" ht="12.75" x14ac:dyDescent="0.2"/>
    <row r="407" s="18" customFormat="1" ht="12.75" x14ac:dyDescent="0.2"/>
    <row r="408" s="18" customFormat="1" ht="12.75" x14ac:dyDescent="0.2"/>
    <row r="409" s="18" customFormat="1" ht="12.75" x14ac:dyDescent="0.2"/>
    <row r="410" s="18" customFormat="1" ht="12.75" x14ac:dyDescent="0.2"/>
    <row r="411" s="18" customFormat="1" ht="12.75" x14ac:dyDescent="0.2"/>
    <row r="412" s="18" customFormat="1" ht="12.75" x14ac:dyDescent="0.2"/>
    <row r="413" s="18" customFormat="1" ht="12.75" x14ac:dyDescent="0.2"/>
    <row r="414" s="18" customFormat="1" ht="12.75" x14ac:dyDescent="0.2"/>
    <row r="415" s="18" customFormat="1" ht="12.75" x14ac:dyDescent="0.2"/>
    <row r="416" s="18" customFormat="1" ht="12.75" x14ac:dyDescent="0.2"/>
    <row r="417" s="18" customFormat="1" ht="12.75" x14ac:dyDescent="0.2"/>
    <row r="418" s="18" customFormat="1" ht="12.75" x14ac:dyDescent="0.2"/>
    <row r="419" s="18" customFormat="1" ht="12.75" x14ac:dyDescent="0.2"/>
    <row r="420" s="18" customFormat="1" ht="12.75" x14ac:dyDescent="0.2"/>
    <row r="421" s="18" customFormat="1" ht="12.75" x14ac:dyDescent="0.2"/>
    <row r="422" s="18" customFormat="1" ht="12.75" x14ac:dyDescent="0.2"/>
    <row r="423" s="18" customFormat="1" ht="12.75" x14ac:dyDescent="0.2"/>
    <row r="424" s="18" customFormat="1" ht="12.75" x14ac:dyDescent="0.2"/>
    <row r="425" s="18" customFormat="1" ht="12.75" x14ac:dyDescent="0.2"/>
    <row r="426" s="18" customFormat="1" ht="12.75" x14ac:dyDescent="0.2"/>
    <row r="427" s="18" customFormat="1" ht="12.75" x14ac:dyDescent="0.2"/>
    <row r="428" s="18" customFormat="1" ht="12.75" x14ac:dyDescent="0.2"/>
    <row r="429" s="18" customFormat="1" ht="12.75" x14ac:dyDescent="0.2"/>
    <row r="430" s="18" customFormat="1" ht="12.75" x14ac:dyDescent="0.2"/>
    <row r="431" s="18" customFormat="1" ht="12.75" x14ac:dyDescent="0.2"/>
    <row r="432" s="18" customFormat="1" ht="12.75" x14ac:dyDescent="0.2"/>
    <row r="433" s="18" customFormat="1" ht="12.75" x14ac:dyDescent="0.2"/>
    <row r="434" s="18" customFormat="1" ht="12.75" x14ac:dyDescent="0.2"/>
    <row r="435" s="18" customFormat="1" ht="12.75" x14ac:dyDescent="0.2"/>
    <row r="436" s="18" customFormat="1" ht="12.75" x14ac:dyDescent="0.2"/>
    <row r="437" s="18" customFormat="1" ht="12.75" x14ac:dyDescent="0.2"/>
    <row r="438" s="18" customFormat="1" ht="12.75" x14ac:dyDescent="0.2"/>
    <row r="439" s="18" customFormat="1" ht="12.75" x14ac:dyDescent="0.2"/>
    <row r="440" s="18" customFormat="1" ht="12.75" x14ac:dyDescent="0.2"/>
    <row r="441" s="18" customFormat="1" ht="12.75" x14ac:dyDescent="0.2"/>
    <row r="442" s="18" customFormat="1" ht="12.75" x14ac:dyDescent="0.2"/>
    <row r="443" s="18" customFormat="1" ht="12.75" x14ac:dyDescent="0.2"/>
    <row r="444" s="18" customFormat="1" ht="12.75" x14ac:dyDescent="0.2"/>
    <row r="445" s="18" customFormat="1" ht="12.75" x14ac:dyDescent="0.2"/>
    <row r="446" s="18" customFormat="1" ht="12.75" x14ac:dyDescent="0.2"/>
    <row r="447" s="18" customFormat="1" ht="12.75" x14ac:dyDescent="0.2"/>
    <row r="448" s="18" customFormat="1" ht="12.75" x14ac:dyDescent="0.2"/>
    <row r="449" s="18" customFormat="1" ht="12.75" x14ac:dyDescent="0.2"/>
    <row r="450" s="18" customFormat="1" ht="12.75" x14ac:dyDescent="0.2"/>
    <row r="451" s="18" customFormat="1" ht="12.75" x14ac:dyDescent="0.2"/>
    <row r="452" s="18" customFormat="1" ht="12.75" x14ac:dyDescent="0.2"/>
    <row r="453" s="18" customFormat="1" ht="12.75" x14ac:dyDescent="0.2"/>
    <row r="454" s="18" customFormat="1" ht="12.75" x14ac:dyDescent="0.2"/>
    <row r="455" s="18" customFormat="1" ht="12.75" x14ac:dyDescent="0.2"/>
    <row r="456" s="18" customFormat="1" ht="12.75" x14ac:dyDescent="0.2"/>
    <row r="457" s="18" customFormat="1" ht="12.75" x14ac:dyDescent="0.2"/>
    <row r="458" s="18" customFormat="1" ht="12.75" x14ac:dyDescent="0.2"/>
    <row r="459" s="18" customFormat="1" ht="12.75" x14ac:dyDescent="0.2"/>
    <row r="460" s="18" customFormat="1" ht="12.75" x14ac:dyDescent="0.2"/>
    <row r="461" s="18" customFormat="1" ht="12.75" x14ac:dyDescent="0.2"/>
    <row r="462" s="18" customFormat="1" ht="12.75" x14ac:dyDescent="0.2"/>
    <row r="463" s="18" customFormat="1" ht="12.75" x14ac:dyDescent="0.2"/>
    <row r="464" s="18" customFormat="1" ht="12.75" x14ac:dyDescent="0.2"/>
    <row r="465" s="18" customFormat="1" ht="12.75" x14ac:dyDescent="0.2"/>
    <row r="466" s="18" customFormat="1" ht="12.75" x14ac:dyDescent="0.2"/>
    <row r="467" s="18" customFormat="1" ht="12.75" x14ac:dyDescent="0.2"/>
    <row r="468" s="18" customFormat="1" ht="12.75" x14ac:dyDescent="0.2"/>
    <row r="469" s="18" customFormat="1" ht="12.75" x14ac:dyDescent="0.2"/>
    <row r="470" s="18" customFormat="1" ht="12.75" x14ac:dyDescent="0.2"/>
    <row r="471" s="18" customFormat="1" ht="12.75" x14ac:dyDescent="0.2"/>
    <row r="472" s="18" customFormat="1" ht="12.75" x14ac:dyDescent="0.2"/>
    <row r="473" s="18" customFormat="1" ht="12.75" x14ac:dyDescent="0.2"/>
    <row r="474" s="18" customFormat="1" ht="12.75" x14ac:dyDescent="0.2"/>
    <row r="475" s="18" customFormat="1" ht="12.75" x14ac:dyDescent="0.2"/>
    <row r="476" s="18" customFormat="1" ht="12.75" x14ac:dyDescent="0.2"/>
    <row r="477" s="18" customFormat="1" ht="12.75" x14ac:dyDescent="0.2"/>
    <row r="478" s="18" customFormat="1" ht="12.75" x14ac:dyDescent="0.2"/>
    <row r="479" s="18" customFormat="1" ht="12.75" x14ac:dyDescent="0.2"/>
    <row r="480" s="18" customFormat="1" ht="12.75" x14ac:dyDescent="0.2"/>
    <row r="481" s="18" customFormat="1" ht="12.75" x14ac:dyDescent="0.2"/>
    <row r="482" s="18" customFormat="1" ht="12.75" x14ac:dyDescent="0.2"/>
    <row r="483" s="18" customFormat="1" ht="12.75" x14ac:dyDescent="0.2"/>
    <row r="484" s="18" customFormat="1" ht="12.75" x14ac:dyDescent="0.2"/>
    <row r="485" s="18" customFormat="1" ht="12.75" x14ac:dyDescent="0.2"/>
    <row r="486" s="18" customFormat="1" ht="12.75" x14ac:dyDescent="0.2"/>
    <row r="487" s="18" customFormat="1" ht="12.75" x14ac:dyDescent="0.2"/>
    <row r="488" s="18" customFormat="1" ht="12.75" x14ac:dyDescent="0.2"/>
    <row r="489" s="18" customFormat="1" ht="12.75" x14ac:dyDescent="0.2"/>
    <row r="490" s="18" customFormat="1" ht="12.75" x14ac:dyDescent="0.2"/>
    <row r="491" s="18" customFormat="1" ht="12.75" x14ac:dyDescent="0.2"/>
    <row r="492" s="18" customFormat="1" ht="12.75" x14ac:dyDescent="0.2"/>
    <row r="493" s="18" customFormat="1" ht="12.75" x14ac:dyDescent="0.2"/>
    <row r="494" s="18" customFormat="1" ht="12.75" x14ac:dyDescent="0.2"/>
    <row r="495" s="18" customFormat="1" ht="12.75" x14ac:dyDescent="0.2"/>
    <row r="496" s="18" customFormat="1" ht="12.75" x14ac:dyDescent="0.2"/>
    <row r="497" s="18" customFormat="1" ht="12.75" x14ac:dyDescent="0.2"/>
    <row r="498" s="18" customFormat="1" ht="12.75" x14ac:dyDescent="0.2"/>
    <row r="499" s="18" customFormat="1" ht="12.75" x14ac:dyDescent="0.2"/>
    <row r="500" s="18" customFormat="1" ht="12.75" x14ac:dyDescent="0.2"/>
    <row r="501" s="18" customFormat="1" ht="12.75" x14ac:dyDescent="0.2"/>
    <row r="502" s="18" customFormat="1" ht="12.75" x14ac:dyDescent="0.2"/>
    <row r="503" s="18" customFormat="1" ht="12.75" x14ac:dyDescent="0.2"/>
    <row r="504" s="18" customFormat="1" ht="12.75" x14ac:dyDescent="0.2"/>
    <row r="505" s="18" customFormat="1" ht="12.75" x14ac:dyDescent="0.2"/>
    <row r="506" s="18" customFormat="1" ht="12.75" x14ac:dyDescent="0.2"/>
    <row r="507" s="18" customFormat="1" ht="12.75" x14ac:dyDescent="0.2"/>
    <row r="508" s="18" customFormat="1" ht="12.75" x14ac:dyDescent="0.2"/>
    <row r="509" s="18" customFormat="1" ht="12.75" x14ac:dyDescent="0.2"/>
    <row r="510" s="18" customFormat="1" ht="12.75" x14ac:dyDescent="0.2"/>
    <row r="511" s="18" customFormat="1" ht="12.75" x14ac:dyDescent="0.2"/>
    <row r="512" s="18" customFormat="1" ht="12.75" x14ac:dyDescent="0.2"/>
    <row r="513" s="18" customFormat="1" ht="12.75" x14ac:dyDescent="0.2"/>
    <row r="514" s="18" customFormat="1" ht="12.75" x14ac:dyDescent="0.2"/>
    <row r="515" s="18" customFormat="1" ht="12.75" x14ac:dyDescent="0.2"/>
    <row r="516" s="18" customFormat="1" ht="12.75" x14ac:dyDescent="0.2"/>
    <row r="517" s="18" customFormat="1" ht="12.75" x14ac:dyDescent="0.2"/>
    <row r="518" s="18" customFormat="1" ht="12.75" x14ac:dyDescent="0.2"/>
    <row r="519" s="18" customFormat="1" ht="12.75" x14ac:dyDescent="0.2"/>
    <row r="520" s="18" customFormat="1" ht="12.75" x14ac:dyDescent="0.2"/>
    <row r="521" s="18" customFormat="1" ht="12.75" x14ac:dyDescent="0.2"/>
    <row r="522" s="18" customFormat="1" ht="12.75" x14ac:dyDescent="0.2"/>
    <row r="523" s="18" customFormat="1" ht="12.75" x14ac:dyDescent="0.2"/>
    <row r="524" s="18" customFormat="1" ht="12.75" x14ac:dyDescent="0.2"/>
    <row r="525" s="18" customFormat="1" ht="12.75" x14ac:dyDescent="0.2"/>
    <row r="526" s="18" customFormat="1" ht="12.75" x14ac:dyDescent="0.2"/>
    <row r="527" s="18" customFormat="1" ht="12.75" x14ac:dyDescent="0.2"/>
    <row r="528" s="18" customFormat="1" ht="12.75" x14ac:dyDescent="0.2"/>
    <row r="529" s="18" customFormat="1" ht="12.75" x14ac:dyDescent="0.2"/>
    <row r="530" s="18" customFormat="1" ht="12.75" x14ac:dyDescent="0.2"/>
    <row r="531" s="18" customFormat="1" ht="12.75" x14ac:dyDescent="0.2"/>
    <row r="532" s="18" customFormat="1" ht="12.75" x14ac:dyDescent="0.2"/>
    <row r="533" s="18" customFormat="1" ht="12.75" x14ac:dyDescent="0.2"/>
    <row r="534" s="18" customFormat="1" ht="12.75" x14ac:dyDescent="0.2"/>
    <row r="535" s="18" customFormat="1" ht="12.75" x14ac:dyDescent="0.2"/>
    <row r="536" s="18" customFormat="1" ht="12.75" x14ac:dyDescent="0.2"/>
    <row r="537" s="18" customFormat="1" ht="12.75" x14ac:dyDescent="0.2"/>
    <row r="538" s="18" customFormat="1" ht="12.75" x14ac:dyDescent="0.2"/>
    <row r="539" s="18" customFormat="1" ht="12.75" x14ac:dyDescent="0.2"/>
    <row r="540" s="18" customFormat="1" ht="12.75" x14ac:dyDescent="0.2"/>
    <row r="541" s="18" customFormat="1" ht="12.75" x14ac:dyDescent="0.2"/>
    <row r="542" s="18" customFormat="1" ht="12.75" x14ac:dyDescent="0.2"/>
    <row r="543" s="18" customFormat="1" ht="12.75" x14ac:dyDescent="0.2"/>
    <row r="544" s="18" customFormat="1" ht="12.75" x14ac:dyDescent="0.2"/>
    <row r="545" s="18" customFormat="1" ht="12.75" x14ac:dyDescent="0.2"/>
    <row r="546" s="18" customFormat="1" ht="12.75" x14ac:dyDescent="0.2"/>
    <row r="547" s="18" customFormat="1" ht="12.75" x14ac:dyDescent="0.2"/>
    <row r="548" s="18" customFormat="1" ht="12.75" x14ac:dyDescent="0.2"/>
    <row r="549" s="18" customFormat="1" ht="12.75" x14ac:dyDescent="0.2"/>
    <row r="550" s="18" customFormat="1" ht="12.75" x14ac:dyDescent="0.2"/>
    <row r="551" s="18" customFormat="1" ht="12.75" x14ac:dyDescent="0.2"/>
    <row r="552" s="18" customFormat="1" ht="12.75" x14ac:dyDescent="0.2"/>
    <row r="553" s="18" customFormat="1" ht="12.75" x14ac:dyDescent="0.2"/>
    <row r="554" s="18" customFormat="1" ht="12.75" x14ac:dyDescent="0.2"/>
    <row r="555" s="18" customFormat="1" ht="12.75" x14ac:dyDescent="0.2"/>
    <row r="556" s="18" customFormat="1" ht="12.75" x14ac:dyDescent="0.2"/>
    <row r="557" s="18" customFormat="1" ht="12.75" x14ac:dyDescent="0.2"/>
    <row r="558" s="18" customFormat="1" ht="12.75" x14ac:dyDescent="0.2"/>
    <row r="559" s="18" customFormat="1" ht="12.75" x14ac:dyDescent="0.2"/>
    <row r="560" s="18" customFormat="1" ht="12.75" x14ac:dyDescent="0.2"/>
    <row r="561" s="18" customFormat="1" ht="12.75" x14ac:dyDescent="0.2"/>
    <row r="562" s="18" customFormat="1" ht="12.75" x14ac:dyDescent="0.2"/>
    <row r="563" s="18" customFormat="1" ht="12.75" x14ac:dyDescent="0.2"/>
    <row r="564" s="18" customFormat="1" ht="12.75" x14ac:dyDescent="0.2"/>
    <row r="565" s="18" customFormat="1" ht="12.75" x14ac:dyDescent="0.2"/>
    <row r="566" s="18" customFormat="1" ht="12.75" x14ac:dyDescent="0.2"/>
    <row r="567" s="18" customFormat="1" ht="12.75" x14ac:dyDescent="0.2"/>
    <row r="568" s="18" customFormat="1" ht="12.75" x14ac:dyDescent="0.2"/>
    <row r="569" s="18" customFormat="1" ht="12.75" x14ac:dyDescent="0.2"/>
    <row r="570" s="18" customFormat="1" ht="12.75" x14ac:dyDescent="0.2"/>
    <row r="571" s="18" customFormat="1" ht="12.75" x14ac:dyDescent="0.2"/>
    <row r="572" s="18" customFormat="1" ht="12.75" x14ac:dyDescent="0.2"/>
    <row r="573" s="18" customFormat="1" ht="12.75" x14ac:dyDescent="0.2"/>
    <row r="574" s="18" customFormat="1" ht="12.75" x14ac:dyDescent="0.2"/>
    <row r="575" s="18" customFormat="1" ht="12.75" x14ac:dyDescent="0.2"/>
    <row r="576" s="18" customFormat="1" ht="12.75" x14ac:dyDescent="0.2"/>
    <row r="577" s="18" customFormat="1" ht="12.75" x14ac:dyDescent="0.2"/>
    <row r="578" s="18" customFormat="1" ht="12.75" x14ac:dyDescent="0.2"/>
    <row r="579" s="18" customFormat="1" ht="12.75" x14ac:dyDescent="0.2"/>
    <row r="580" s="18" customFormat="1" ht="12.75" x14ac:dyDescent="0.2"/>
    <row r="581" s="18" customFormat="1" ht="12.75" x14ac:dyDescent="0.2"/>
    <row r="582" s="18" customFormat="1" ht="12.75" x14ac:dyDescent="0.2"/>
    <row r="583" s="18" customFormat="1" ht="12.75" x14ac:dyDescent="0.2"/>
    <row r="584" s="18" customFormat="1" ht="12.75" x14ac:dyDescent="0.2"/>
    <row r="585" s="18" customFormat="1" ht="12.75" x14ac:dyDescent="0.2"/>
    <row r="586" s="18" customFormat="1" ht="12.75" x14ac:dyDescent="0.2"/>
    <row r="587" s="18" customFormat="1" ht="12.75" x14ac:dyDescent="0.2"/>
    <row r="588" s="18" customFormat="1" ht="12.75" x14ac:dyDescent="0.2"/>
    <row r="589" s="18" customFormat="1" ht="12.75" x14ac:dyDescent="0.2"/>
    <row r="590" s="18" customFormat="1" ht="12.75" x14ac:dyDescent="0.2"/>
    <row r="591" s="18" customFormat="1" ht="12.75" x14ac:dyDescent="0.2"/>
    <row r="592" s="18" customFormat="1" ht="12.75" x14ac:dyDescent="0.2"/>
    <row r="593" s="18" customFormat="1" ht="12.75" x14ac:dyDescent="0.2"/>
    <row r="594" s="18" customFormat="1" ht="12.75" x14ac:dyDescent="0.2"/>
    <row r="595" s="18" customFormat="1" ht="12.75" x14ac:dyDescent="0.2"/>
    <row r="596" s="18" customFormat="1" ht="12.75" x14ac:dyDescent="0.2"/>
    <row r="597" s="18" customFormat="1" ht="12.75" x14ac:dyDescent="0.2"/>
    <row r="598" s="18" customFormat="1" ht="12.75" x14ac:dyDescent="0.2"/>
    <row r="599" s="18" customFormat="1" ht="12.75" x14ac:dyDescent="0.2"/>
    <row r="600" s="18" customFormat="1" ht="12.75" x14ac:dyDescent="0.2"/>
    <row r="601" s="18" customFormat="1" ht="12.75" x14ac:dyDescent="0.2"/>
    <row r="602" s="18" customFormat="1" ht="12.75" x14ac:dyDescent="0.2"/>
    <row r="603" s="18" customFormat="1" ht="12.75" x14ac:dyDescent="0.2"/>
    <row r="604" s="18" customFormat="1" ht="12.75" x14ac:dyDescent="0.2"/>
    <row r="605" s="18" customFormat="1" ht="12.75" x14ac:dyDescent="0.2"/>
    <row r="606" s="18" customFormat="1" ht="12.75" x14ac:dyDescent="0.2"/>
    <row r="607" s="18" customFormat="1" ht="12.75" x14ac:dyDescent="0.2"/>
    <row r="608" s="18" customFormat="1" ht="12.75" x14ac:dyDescent="0.2"/>
    <row r="609" s="18" customFormat="1" ht="12.75" x14ac:dyDescent="0.2"/>
    <row r="610" s="18" customFormat="1" ht="12.75" x14ac:dyDescent="0.2"/>
    <row r="611" s="18" customFormat="1" ht="12.75" x14ac:dyDescent="0.2"/>
    <row r="612" s="18" customFormat="1" ht="12.75" x14ac:dyDescent="0.2"/>
    <row r="613" s="18" customFormat="1" ht="12.75" x14ac:dyDescent="0.2"/>
    <row r="614" s="18" customFormat="1" ht="12.75" x14ac:dyDescent="0.2"/>
    <row r="615" s="18" customFormat="1" ht="12.75" x14ac:dyDescent="0.2"/>
    <row r="616" s="18" customFormat="1" ht="12.75" x14ac:dyDescent="0.2"/>
    <row r="617" s="18" customFormat="1" ht="12.75" x14ac:dyDescent="0.2"/>
    <row r="618" s="18" customFormat="1" ht="12.75" x14ac:dyDescent="0.2"/>
    <row r="619" s="18" customFormat="1" ht="12.75" x14ac:dyDescent="0.2"/>
    <row r="620" s="18" customFormat="1" ht="12.75" x14ac:dyDescent="0.2"/>
    <row r="621" s="18" customFormat="1" ht="12.75" x14ac:dyDescent="0.2"/>
    <row r="622" s="18" customFormat="1" ht="12.75" x14ac:dyDescent="0.2"/>
    <row r="623" s="18" customFormat="1" ht="12.75" x14ac:dyDescent="0.2"/>
    <row r="624" s="18" customFormat="1" ht="12.75" x14ac:dyDescent="0.2"/>
    <row r="625" s="18" customFormat="1" ht="12.75" x14ac:dyDescent="0.2"/>
    <row r="626" s="18" customFormat="1" ht="12.75" x14ac:dyDescent="0.2"/>
    <row r="627" s="18" customFormat="1" ht="12.75" x14ac:dyDescent="0.2"/>
    <row r="628" s="18" customFormat="1" ht="12.75" x14ac:dyDescent="0.2"/>
    <row r="629" s="18" customFormat="1" ht="12.75" x14ac:dyDescent="0.2"/>
    <row r="630" s="18" customFormat="1" ht="12.75" x14ac:dyDescent="0.2"/>
    <row r="631" s="18" customFormat="1" ht="12.75" x14ac:dyDescent="0.2"/>
    <row r="632" s="18" customFormat="1" ht="12.75" x14ac:dyDescent="0.2"/>
    <row r="633" s="18" customFormat="1" ht="12.75" x14ac:dyDescent="0.2"/>
    <row r="634" s="18" customFormat="1" ht="12.75" x14ac:dyDescent="0.2"/>
    <row r="635" s="18" customFormat="1" ht="12.75" x14ac:dyDescent="0.2"/>
    <row r="636" s="18" customFormat="1" ht="12.75" x14ac:dyDescent="0.2"/>
    <row r="637" s="18" customFormat="1" ht="12.75" x14ac:dyDescent="0.2"/>
    <row r="638" s="18" customFormat="1" ht="12.75" x14ac:dyDescent="0.2"/>
    <row r="639" s="18" customFormat="1" ht="12.75" x14ac:dyDescent="0.2"/>
    <row r="640" s="18" customFormat="1" ht="12.75" x14ac:dyDescent="0.2"/>
    <row r="641" s="18" customFormat="1" ht="12.75" x14ac:dyDescent="0.2"/>
    <row r="642" s="18" customFormat="1" ht="12.75" x14ac:dyDescent="0.2"/>
    <row r="643" s="18" customFormat="1" ht="12.75" x14ac:dyDescent="0.2"/>
    <row r="644" s="18" customFormat="1" ht="12.75" x14ac:dyDescent="0.2"/>
    <row r="645" s="18" customFormat="1" ht="12.75" x14ac:dyDescent="0.2"/>
    <row r="646" s="18" customFormat="1" ht="12.75" x14ac:dyDescent="0.2"/>
    <row r="647" s="18" customFormat="1" ht="12.75" x14ac:dyDescent="0.2"/>
    <row r="648" s="18" customFormat="1" ht="12.75" x14ac:dyDescent="0.2"/>
    <row r="649" s="18" customFormat="1" ht="12.75" x14ac:dyDescent="0.2"/>
    <row r="650" s="18" customFormat="1" ht="12.75" x14ac:dyDescent="0.2"/>
    <row r="651" s="18" customFormat="1" ht="12.75" x14ac:dyDescent="0.2"/>
    <row r="652" s="18" customFormat="1" ht="12.75" x14ac:dyDescent="0.2"/>
    <row r="653" s="18" customFormat="1" ht="12.75" x14ac:dyDescent="0.2"/>
    <row r="654" s="18" customFormat="1" ht="12.75" x14ac:dyDescent="0.2"/>
    <row r="655" s="18" customFormat="1" ht="12.75" x14ac:dyDescent="0.2"/>
    <row r="656" s="18" customFormat="1" ht="12.75" x14ac:dyDescent="0.2"/>
    <row r="657" s="18" customFormat="1" ht="12.75" x14ac:dyDescent="0.2"/>
    <row r="658" s="18" customFormat="1" ht="12.75" x14ac:dyDescent="0.2"/>
    <row r="659" s="18" customFormat="1" ht="12.75" x14ac:dyDescent="0.2"/>
    <row r="660" s="18" customFormat="1" ht="12.75" x14ac:dyDescent="0.2"/>
    <row r="661" s="18" customFormat="1" ht="12.75" x14ac:dyDescent="0.2"/>
    <row r="662" s="18" customFormat="1" ht="12.75" x14ac:dyDescent="0.2"/>
    <row r="663" s="18" customFormat="1" ht="12.75" x14ac:dyDescent="0.2"/>
    <row r="664" s="18" customFormat="1" ht="12.75" x14ac:dyDescent="0.2"/>
    <row r="665" s="18" customFormat="1" ht="12.75" x14ac:dyDescent="0.2"/>
    <row r="666" s="18" customFormat="1" ht="12.75" x14ac:dyDescent="0.2"/>
    <row r="667" s="18" customFormat="1" ht="12.75" x14ac:dyDescent="0.2"/>
    <row r="668" s="18" customFormat="1" ht="12.75" x14ac:dyDescent="0.2"/>
    <row r="669" s="18" customFormat="1" ht="12.75" x14ac:dyDescent="0.2"/>
    <row r="670" s="18" customFormat="1" ht="12.75" x14ac:dyDescent="0.2"/>
    <row r="671" s="18" customFormat="1" ht="12.75" x14ac:dyDescent="0.2"/>
    <row r="672" s="18" customFormat="1" ht="12.75" x14ac:dyDescent="0.2"/>
    <row r="673" s="18" customFormat="1" ht="12.75" x14ac:dyDescent="0.2"/>
    <row r="674" s="18" customFormat="1" ht="12.75" x14ac:dyDescent="0.2"/>
    <row r="675" s="18" customFormat="1" ht="12.75" x14ac:dyDescent="0.2"/>
    <row r="676" s="18" customFormat="1" ht="12.75" x14ac:dyDescent="0.2"/>
    <row r="677" s="18" customFormat="1" ht="12.75" x14ac:dyDescent="0.2"/>
    <row r="678" s="18" customFormat="1" ht="12.75" x14ac:dyDescent="0.2"/>
    <row r="679" s="18" customFormat="1" ht="12.75" x14ac:dyDescent="0.2"/>
    <row r="680" s="18" customFormat="1" ht="12.75" x14ac:dyDescent="0.2"/>
    <row r="681" s="18" customFormat="1" ht="12.75" x14ac:dyDescent="0.2"/>
    <row r="682" s="18" customFormat="1" ht="12.75" x14ac:dyDescent="0.2"/>
    <row r="683" s="18" customFormat="1" ht="12.75" x14ac:dyDescent="0.2"/>
    <row r="684" s="18" customFormat="1" ht="12.75" x14ac:dyDescent="0.2"/>
    <row r="685" s="18" customFormat="1" ht="12.75" x14ac:dyDescent="0.2"/>
    <row r="686" s="18" customFormat="1" ht="12.75" x14ac:dyDescent="0.2"/>
    <row r="687" s="18" customFormat="1" ht="12.75" x14ac:dyDescent="0.2"/>
    <row r="688" s="18" customFormat="1" ht="12.75" x14ac:dyDescent="0.2"/>
    <row r="689" s="18" customFormat="1" ht="12.75" x14ac:dyDescent="0.2"/>
    <row r="690" s="18" customFormat="1" ht="12.75" x14ac:dyDescent="0.2"/>
    <row r="691" s="18" customFormat="1" ht="12.75" x14ac:dyDescent="0.2"/>
    <row r="692" s="18" customFormat="1" ht="12.75" x14ac:dyDescent="0.2"/>
    <row r="693" s="18" customFormat="1" ht="12.75" x14ac:dyDescent="0.2"/>
    <row r="694" s="18" customFormat="1" ht="12.75" x14ac:dyDescent="0.2"/>
    <row r="695" s="18" customFormat="1" ht="12.75" x14ac:dyDescent="0.2"/>
    <row r="696" s="18" customFormat="1" ht="12.75" x14ac:dyDescent="0.2"/>
    <row r="697" s="18" customFormat="1" ht="12.75" x14ac:dyDescent="0.2"/>
    <row r="698" s="18" customFormat="1" ht="12.75" x14ac:dyDescent="0.2"/>
    <row r="699" s="18" customFormat="1" ht="12.75" x14ac:dyDescent="0.2"/>
    <row r="700" s="18" customFormat="1" ht="12.75" x14ac:dyDescent="0.2"/>
    <row r="701" s="18" customFormat="1" ht="12.75" x14ac:dyDescent="0.2"/>
    <row r="702" s="18" customFormat="1" ht="12.75" x14ac:dyDescent="0.2"/>
    <row r="703" s="18" customFormat="1" ht="12.75" x14ac:dyDescent="0.2"/>
    <row r="704" s="18" customFormat="1" ht="12.75" x14ac:dyDescent="0.2"/>
    <row r="705" s="18" customFormat="1" ht="12.75" x14ac:dyDescent="0.2"/>
    <row r="706" s="18" customFormat="1" ht="12.75" x14ac:dyDescent="0.2"/>
    <row r="707" s="18" customFormat="1" ht="12.75" x14ac:dyDescent="0.2"/>
    <row r="708" s="18" customFormat="1" ht="12.75" x14ac:dyDescent="0.2"/>
    <row r="709" s="18" customFormat="1" ht="12.75" x14ac:dyDescent="0.2"/>
    <row r="710" s="18" customFormat="1" ht="12.75" x14ac:dyDescent="0.2"/>
    <row r="711" s="18" customFormat="1" ht="12.75" x14ac:dyDescent="0.2"/>
    <row r="712" s="18" customFormat="1" ht="12.75" x14ac:dyDescent="0.2"/>
    <row r="713" s="18" customFormat="1" ht="12.75" x14ac:dyDescent="0.2"/>
    <row r="714" s="18" customFormat="1" ht="12.75" x14ac:dyDescent="0.2"/>
    <row r="715" s="18" customFormat="1" ht="12.75" x14ac:dyDescent="0.2"/>
    <row r="716" s="18" customFormat="1" ht="12.75" x14ac:dyDescent="0.2"/>
    <row r="717" s="18" customFormat="1" ht="12.75" x14ac:dyDescent="0.2"/>
    <row r="718" s="18" customFormat="1" ht="12.75" x14ac:dyDescent="0.2"/>
    <row r="719" s="18" customFormat="1" ht="12.75" x14ac:dyDescent="0.2"/>
    <row r="720" s="18" customFormat="1" ht="12.75" x14ac:dyDescent="0.2"/>
    <row r="721" s="18" customFormat="1" ht="12.75" x14ac:dyDescent="0.2"/>
    <row r="722" s="18" customFormat="1" ht="12.75" x14ac:dyDescent="0.2"/>
    <row r="723" s="18" customFormat="1" ht="12.75" x14ac:dyDescent="0.2"/>
    <row r="724" s="18" customFormat="1" ht="12.75" x14ac:dyDescent="0.2"/>
    <row r="725" s="18" customFormat="1" ht="12.75" x14ac:dyDescent="0.2"/>
    <row r="726" s="18" customFormat="1" ht="12.75" x14ac:dyDescent="0.2"/>
    <row r="727" s="18" customFormat="1" ht="12.75" x14ac:dyDescent="0.2"/>
    <row r="728" s="18" customFormat="1" ht="12.75" x14ac:dyDescent="0.2"/>
    <row r="729" s="18" customFormat="1" ht="12.75" x14ac:dyDescent="0.2"/>
    <row r="730" s="18" customFormat="1" ht="12.75" x14ac:dyDescent="0.2"/>
    <row r="731" s="18" customFormat="1" ht="12.75" x14ac:dyDescent="0.2"/>
    <row r="732" s="18" customFormat="1" ht="12.75" x14ac:dyDescent="0.2"/>
    <row r="733" s="18" customFormat="1" ht="12.75" x14ac:dyDescent="0.2"/>
    <row r="734" s="18" customFormat="1" ht="12.75" x14ac:dyDescent="0.2"/>
    <row r="735" s="18" customFormat="1" ht="12.75" x14ac:dyDescent="0.2"/>
    <row r="736" s="18" customFormat="1" ht="12.75" x14ac:dyDescent="0.2"/>
    <row r="737" s="18" customFormat="1" ht="12.75" x14ac:dyDescent="0.2"/>
    <row r="738" s="18" customFormat="1" ht="12.75" x14ac:dyDescent="0.2"/>
    <row r="739" s="18" customFormat="1" ht="12.75" x14ac:dyDescent="0.2"/>
    <row r="740" s="18" customFormat="1" ht="12.75" x14ac:dyDescent="0.2"/>
    <row r="741" s="18" customFormat="1" ht="12.75" x14ac:dyDescent="0.2"/>
    <row r="742" s="18" customFormat="1" ht="12.75" x14ac:dyDescent="0.2"/>
    <row r="743" s="18" customFormat="1" ht="12.75" x14ac:dyDescent="0.2"/>
    <row r="744" s="18" customFormat="1" ht="12.75" x14ac:dyDescent="0.2"/>
    <row r="745" s="18" customFormat="1" ht="12.75" x14ac:dyDescent="0.2"/>
    <row r="746" s="18" customFormat="1" ht="12.75" x14ac:dyDescent="0.2"/>
    <row r="747" s="18" customFormat="1" ht="12.75" x14ac:dyDescent="0.2"/>
    <row r="748" s="18" customFormat="1" ht="12.75" x14ac:dyDescent="0.2"/>
    <row r="749" s="18" customFormat="1" ht="12.75" x14ac:dyDescent="0.2"/>
    <row r="750" s="18" customFormat="1" ht="12.75" x14ac:dyDescent="0.2"/>
    <row r="751" s="18" customFormat="1" ht="12.75" x14ac:dyDescent="0.2"/>
    <row r="752" s="18" customFormat="1" ht="12.75" x14ac:dyDescent="0.2"/>
    <row r="753" s="18" customFormat="1" ht="12.75" x14ac:dyDescent="0.2"/>
    <row r="754" s="18" customFormat="1" ht="12.75" x14ac:dyDescent="0.2"/>
    <row r="755" s="18" customFormat="1" ht="12.75" x14ac:dyDescent="0.2"/>
    <row r="756" s="18" customFormat="1" ht="12.75" x14ac:dyDescent="0.2"/>
    <row r="757" s="18" customFormat="1" ht="12.75" x14ac:dyDescent="0.2"/>
    <row r="758" s="18" customFormat="1" ht="12.75" x14ac:dyDescent="0.2"/>
    <row r="759" s="18" customFormat="1" ht="12.75" x14ac:dyDescent="0.2"/>
    <row r="760" s="18" customFormat="1" ht="12.75" x14ac:dyDescent="0.2"/>
    <row r="761" s="18" customFormat="1" ht="12.75" x14ac:dyDescent="0.2"/>
    <row r="762" s="18" customFormat="1" ht="12.75" x14ac:dyDescent="0.2"/>
    <row r="763" s="18" customFormat="1" ht="12.75" x14ac:dyDescent="0.2"/>
    <row r="764" s="18" customFormat="1" ht="12.75" x14ac:dyDescent="0.2"/>
    <row r="765" s="18" customFormat="1" ht="12.75" x14ac:dyDescent="0.2"/>
    <row r="766" s="18" customFormat="1" ht="12.75" x14ac:dyDescent="0.2"/>
    <row r="767" s="18" customFormat="1" ht="12.75" x14ac:dyDescent="0.2"/>
    <row r="768" s="18" customFormat="1" ht="12.75" x14ac:dyDescent="0.2"/>
    <row r="769" s="18" customFormat="1" ht="12.75" x14ac:dyDescent="0.2"/>
    <row r="770" s="18" customFormat="1" ht="12.75" x14ac:dyDescent="0.2"/>
    <row r="771" s="18" customFormat="1" ht="12.75" x14ac:dyDescent="0.2"/>
    <row r="772" s="18" customFormat="1" ht="12.75" x14ac:dyDescent="0.2"/>
    <row r="773" s="18" customFormat="1" ht="12.75" x14ac:dyDescent="0.2"/>
    <row r="774" s="18" customFormat="1" ht="12.75" x14ac:dyDescent="0.2"/>
    <row r="775" s="18" customFormat="1" ht="12.75" x14ac:dyDescent="0.2"/>
    <row r="776" s="18" customFormat="1" ht="12.75" x14ac:dyDescent="0.2"/>
    <row r="777" s="18" customFormat="1" ht="12.75" x14ac:dyDescent="0.2"/>
    <row r="778" s="18" customFormat="1" ht="12.75" x14ac:dyDescent="0.2"/>
    <row r="779" s="18" customFormat="1" ht="12.75" x14ac:dyDescent="0.2"/>
    <row r="780" s="18" customFormat="1" ht="12.75" x14ac:dyDescent="0.2"/>
    <row r="781" s="18" customFormat="1" ht="12.75" x14ac:dyDescent="0.2"/>
    <row r="782" s="18" customFormat="1" ht="12.75" x14ac:dyDescent="0.2"/>
    <row r="783" s="18" customFormat="1" ht="12.75" x14ac:dyDescent="0.2"/>
    <row r="784" s="18" customFormat="1" ht="12.75" x14ac:dyDescent="0.2"/>
    <row r="785" s="18" customFormat="1" ht="12.75" x14ac:dyDescent="0.2"/>
    <row r="786" s="18" customFormat="1" ht="12.75" x14ac:dyDescent="0.2"/>
    <row r="787" s="18" customFormat="1" ht="12.75" x14ac:dyDescent="0.2"/>
    <row r="788" s="18" customFormat="1" ht="12.75" x14ac:dyDescent="0.2"/>
    <row r="789" s="18" customFormat="1" ht="12.75" x14ac:dyDescent="0.2"/>
    <row r="790" s="18" customFormat="1" ht="12.75" x14ac:dyDescent="0.2"/>
    <row r="791" s="18" customFormat="1" ht="12.75" x14ac:dyDescent="0.2"/>
    <row r="792" s="18" customFormat="1" ht="12.75" x14ac:dyDescent="0.2"/>
    <row r="793" s="18" customFormat="1" ht="12.75" x14ac:dyDescent="0.2"/>
    <row r="794" s="18" customFormat="1" ht="12.75" x14ac:dyDescent="0.2"/>
    <row r="795" s="18" customFormat="1" ht="12.75" x14ac:dyDescent="0.2"/>
    <row r="796" s="18" customFormat="1" ht="12.75" x14ac:dyDescent="0.2"/>
    <row r="797" s="18" customFormat="1" ht="12.75" x14ac:dyDescent="0.2"/>
    <row r="798" s="18" customFormat="1" ht="12.75" x14ac:dyDescent="0.2"/>
    <row r="799" s="18" customFormat="1" ht="12.75" x14ac:dyDescent="0.2"/>
    <row r="800" s="18" customFormat="1" ht="12.75" x14ac:dyDescent="0.2"/>
    <row r="801" s="18" customFormat="1" ht="12.75" x14ac:dyDescent="0.2"/>
    <row r="802" s="18" customFormat="1" ht="12.75" x14ac:dyDescent="0.2"/>
    <row r="803" s="18" customFormat="1" ht="12.75" x14ac:dyDescent="0.2"/>
    <row r="804" s="18" customFormat="1" ht="12.75" x14ac:dyDescent="0.2"/>
    <row r="805" s="18" customFormat="1" ht="12.75" x14ac:dyDescent="0.2"/>
    <row r="806" s="18" customFormat="1" ht="12.75" x14ac:dyDescent="0.2"/>
    <row r="807" s="18" customFormat="1" ht="12.75" x14ac:dyDescent="0.2"/>
    <row r="808" s="18" customFormat="1" ht="12.75" x14ac:dyDescent="0.2"/>
    <row r="809" s="18" customFormat="1" ht="12.75" x14ac:dyDescent="0.2"/>
    <row r="810" s="18" customFormat="1" ht="12.75" x14ac:dyDescent="0.2"/>
    <row r="811" s="18" customFormat="1" ht="12.75" x14ac:dyDescent="0.2"/>
    <row r="812" s="18" customFormat="1" ht="12.75" x14ac:dyDescent="0.2"/>
    <row r="813" s="18" customFormat="1" ht="12.75" x14ac:dyDescent="0.2"/>
    <row r="814" s="18" customFormat="1" ht="12.75" x14ac:dyDescent="0.2"/>
    <row r="815" s="18" customFormat="1" ht="12.75" x14ac:dyDescent="0.2"/>
    <row r="816" s="18" customFormat="1" ht="12.75" x14ac:dyDescent="0.2"/>
    <row r="817" s="18" customFormat="1" ht="12.75" x14ac:dyDescent="0.2"/>
    <row r="818" s="18" customFormat="1" ht="12.75" x14ac:dyDescent="0.2"/>
    <row r="819" s="18" customFormat="1" ht="12.75" x14ac:dyDescent="0.2"/>
    <row r="820" s="18" customFormat="1" ht="12.75" x14ac:dyDescent="0.2"/>
    <row r="821" s="18" customFormat="1" ht="12.75" x14ac:dyDescent="0.2"/>
    <row r="822" s="18" customFormat="1" ht="12.75" x14ac:dyDescent="0.2"/>
    <row r="823" s="18" customFormat="1" ht="12.75" x14ac:dyDescent="0.2"/>
    <row r="824" s="18" customFormat="1" ht="12.75" x14ac:dyDescent="0.2"/>
    <row r="825" s="18" customFormat="1" ht="12.75" x14ac:dyDescent="0.2"/>
    <row r="826" s="18" customFormat="1" ht="12.75" x14ac:dyDescent="0.2"/>
    <row r="827" s="18" customFormat="1" ht="12.75" x14ac:dyDescent="0.2"/>
    <row r="828" s="18" customFormat="1" ht="12.75" x14ac:dyDescent="0.2"/>
    <row r="829" s="18" customFormat="1" ht="12.75" x14ac:dyDescent="0.2"/>
    <row r="830" s="18" customFormat="1" ht="12.75" x14ac:dyDescent="0.2"/>
    <row r="831" s="18" customFormat="1" ht="12.75" x14ac:dyDescent="0.2"/>
    <row r="832" s="18" customFormat="1" ht="12.75" x14ac:dyDescent="0.2"/>
    <row r="833" s="18" customFormat="1" ht="12.75" x14ac:dyDescent="0.2"/>
    <row r="834" s="18" customFormat="1" ht="12.75" x14ac:dyDescent="0.2"/>
    <row r="835" s="18" customFormat="1" ht="12.75" x14ac:dyDescent="0.2"/>
    <row r="836" s="18" customFormat="1" ht="12.75" x14ac:dyDescent="0.2"/>
    <row r="837" s="18" customFormat="1" ht="12.75" x14ac:dyDescent="0.2"/>
    <row r="838" s="18" customFormat="1" ht="12.75" x14ac:dyDescent="0.2"/>
    <row r="839" s="18" customFormat="1" ht="12.75" x14ac:dyDescent="0.2"/>
    <row r="840" s="18" customFormat="1" ht="12.75" x14ac:dyDescent="0.2"/>
    <row r="841" s="18" customFormat="1" ht="12.75" x14ac:dyDescent="0.2"/>
    <row r="842" s="18" customFormat="1" ht="12.75" x14ac:dyDescent="0.2"/>
    <row r="843" s="18" customFormat="1" ht="12.75" x14ac:dyDescent="0.2"/>
    <row r="844" s="18" customFormat="1" ht="12.75" x14ac:dyDescent="0.2"/>
    <row r="845" s="18" customFormat="1" ht="12.75" x14ac:dyDescent="0.2"/>
    <row r="846" s="18" customFormat="1" ht="12.75" x14ac:dyDescent="0.2"/>
    <row r="847" s="18" customFormat="1" ht="12.75" x14ac:dyDescent="0.2"/>
    <row r="848" s="18" customFormat="1" ht="12.75" x14ac:dyDescent="0.2"/>
    <row r="849" s="18" customFormat="1" ht="12.75" x14ac:dyDescent="0.2"/>
    <row r="850" s="18" customFormat="1" ht="12.75" x14ac:dyDescent="0.2"/>
    <row r="851" s="18" customFormat="1" ht="12.75" x14ac:dyDescent="0.2"/>
    <row r="852" s="18" customFormat="1" ht="12.75" x14ac:dyDescent="0.2"/>
    <row r="853" s="18" customFormat="1" ht="12.75" x14ac:dyDescent="0.2"/>
    <row r="854" s="18" customFormat="1" ht="12.75" x14ac:dyDescent="0.2"/>
    <row r="855" s="18" customFormat="1" ht="12.75" x14ac:dyDescent="0.2"/>
    <row r="856" s="18" customFormat="1" ht="12.75" x14ac:dyDescent="0.2"/>
    <row r="857" s="18" customFormat="1" ht="12.75" x14ac:dyDescent="0.2"/>
    <row r="858" s="18" customFormat="1" ht="12.75" x14ac:dyDescent="0.2"/>
    <row r="859" s="18" customFormat="1" ht="12.75" x14ac:dyDescent="0.2"/>
    <row r="860" s="18" customFormat="1" ht="12.75" x14ac:dyDescent="0.2"/>
    <row r="861" s="18" customFormat="1" ht="12.75" x14ac:dyDescent="0.2"/>
    <row r="862" s="18" customFormat="1" ht="12.75" x14ac:dyDescent="0.2"/>
    <row r="863" s="18" customFormat="1" ht="12.75" x14ac:dyDescent="0.2"/>
    <row r="864" s="18" customFormat="1" ht="12.75" x14ac:dyDescent="0.2"/>
    <row r="865" s="18" customFormat="1" ht="12.75" x14ac:dyDescent="0.2"/>
    <row r="866" s="18" customFormat="1" ht="12.75" x14ac:dyDescent="0.2"/>
    <row r="867" s="18" customFormat="1" ht="12.75" x14ac:dyDescent="0.2"/>
    <row r="868" s="18" customFormat="1" ht="12.75" x14ac:dyDescent="0.2"/>
    <row r="869" s="18" customFormat="1" ht="12.75" x14ac:dyDescent="0.2"/>
    <row r="870" s="18" customFormat="1" ht="12.75" x14ac:dyDescent="0.2"/>
    <row r="871" s="18" customFormat="1" ht="12.75" x14ac:dyDescent="0.2"/>
    <row r="872" s="18" customFormat="1" ht="12.75" x14ac:dyDescent="0.2"/>
    <row r="873" s="18" customFormat="1" ht="12.75" x14ac:dyDescent="0.2"/>
    <row r="874" s="18" customFormat="1" ht="12.75" x14ac:dyDescent="0.2"/>
    <row r="875" s="18" customFormat="1" ht="12.75" x14ac:dyDescent="0.2"/>
    <row r="876" s="18" customFormat="1" ht="12.75" x14ac:dyDescent="0.2"/>
    <row r="877" s="18" customFormat="1" ht="12.75" x14ac:dyDescent="0.2"/>
    <row r="878" s="18" customFormat="1" ht="12.75" x14ac:dyDescent="0.2"/>
    <row r="879" s="18" customFormat="1" ht="12.75" x14ac:dyDescent="0.2"/>
    <row r="880" s="18" customFormat="1" ht="12.75" x14ac:dyDescent="0.2"/>
    <row r="881" s="18" customFormat="1" ht="12.75" x14ac:dyDescent="0.2"/>
    <row r="882" s="18" customFormat="1" ht="12.75" x14ac:dyDescent="0.2"/>
    <row r="883" s="18" customFormat="1" ht="12.75" x14ac:dyDescent="0.2"/>
    <row r="884" s="18" customFormat="1" ht="12.75" x14ac:dyDescent="0.2"/>
    <row r="885" s="18" customFormat="1" ht="12.75" x14ac:dyDescent="0.2"/>
    <row r="886" s="18" customFormat="1" ht="12.75" x14ac:dyDescent="0.2"/>
    <row r="887" s="18" customFormat="1" ht="12.75" x14ac:dyDescent="0.2"/>
    <row r="888" s="18" customFormat="1" ht="12.75" x14ac:dyDescent="0.2"/>
    <row r="889" s="18" customFormat="1" ht="12.75" x14ac:dyDescent="0.2"/>
    <row r="890" s="18" customFormat="1" ht="12.75" x14ac:dyDescent="0.2"/>
    <row r="891" s="18" customFormat="1" ht="12.75" x14ac:dyDescent="0.2"/>
    <row r="892" s="18" customFormat="1" ht="12.75" x14ac:dyDescent="0.2"/>
    <row r="893" s="18" customFormat="1" ht="12.75" x14ac:dyDescent="0.2"/>
    <row r="894" s="18" customFormat="1" ht="12.75" x14ac:dyDescent="0.2"/>
    <row r="895" s="18" customFormat="1" ht="12.75" x14ac:dyDescent="0.2"/>
    <row r="896" s="18" customFormat="1" ht="12.75" x14ac:dyDescent="0.2"/>
    <row r="897" s="18" customFormat="1" ht="12.75" x14ac:dyDescent="0.2"/>
    <row r="898" s="18" customFormat="1" ht="12.75" x14ac:dyDescent="0.2"/>
    <row r="899" s="18" customFormat="1" ht="12.75" x14ac:dyDescent="0.2"/>
    <row r="900" s="18" customFormat="1" ht="12.75" x14ac:dyDescent="0.2"/>
    <row r="901" s="18" customFormat="1" ht="12.75" x14ac:dyDescent="0.2"/>
    <row r="902" s="18" customFormat="1" ht="12.75" x14ac:dyDescent="0.2"/>
    <row r="903" s="18" customFormat="1" ht="12.75" x14ac:dyDescent="0.2"/>
    <row r="904" s="18" customFormat="1" ht="12.75" x14ac:dyDescent="0.2"/>
    <row r="905" s="18" customFormat="1" ht="12.75" x14ac:dyDescent="0.2"/>
    <row r="906" s="18" customFormat="1" ht="12.75" x14ac:dyDescent="0.2"/>
    <row r="907" s="18" customFormat="1" ht="12.75" x14ac:dyDescent="0.2"/>
    <row r="908" s="18" customFormat="1" ht="12.75" x14ac:dyDescent="0.2"/>
    <row r="909" s="18" customFormat="1" ht="12.75" x14ac:dyDescent="0.2"/>
    <row r="910" s="18" customFormat="1" ht="12.75" x14ac:dyDescent="0.2"/>
    <row r="911" s="18" customFormat="1" ht="12.75" x14ac:dyDescent="0.2"/>
    <row r="912" s="18" customFormat="1" ht="12.75" x14ac:dyDescent="0.2"/>
    <row r="913" s="18" customFormat="1" ht="12.75" x14ac:dyDescent="0.2"/>
    <row r="914" s="18" customFormat="1" ht="12.75" x14ac:dyDescent="0.2"/>
    <row r="915" s="18" customFormat="1" ht="12.75" x14ac:dyDescent="0.2"/>
    <row r="916" s="18" customFormat="1" ht="12.75" x14ac:dyDescent="0.2"/>
    <row r="917" s="18" customFormat="1" ht="12.75" x14ac:dyDescent="0.2"/>
    <row r="918" s="18" customFormat="1" ht="12.75" x14ac:dyDescent="0.2"/>
    <row r="919" s="18" customFormat="1" ht="12.75" x14ac:dyDescent="0.2"/>
    <row r="920" s="18" customFormat="1" ht="12.75" x14ac:dyDescent="0.2"/>
    <row r="921" s="18" customFormat="1" ht="12.75" x14ac:dyDescent="0.2"/>
    <row r="922" s="18" customFormat="1" ht="12.75" x14ac:dyDescent="0.2"/>
    <row r="923" s="18" customFormat="1" ht="12.75" x14ac:dyDescent="0.2"/>
    <row r="924" s="18" customFormat="1" ht="12.75" x14ac:dyDescent="0.2"/>
    <row r="925" s="18" customFormat="1" ht="12.75" x14ac:dyDescent="0.2"/>
    <row r="926" s="18" customFormat="1" ht="12.75" x14ac:dyDescent="0.2"/>
    <row r="927" s="18" customFormat="1" ht="12.75" x14ac:dyDescent="0.2"/>
    <row r="928" s="18" customFormat="1" ht="12.75" x14ac:dyDescent="0.2"/>
    <row r="929" s="18" customFormat="1" ht="12.75" x14ac:dyDescent="0.2"/>
    <row r="930" s="18" customFormat="1" ht="12.75" x14ac:dyDescent="0.2"/>
    <row r="931" s="18" customFormat="1" ht="12.75" x14ac:dyDescent="0.2"/>
    <row r="932" s="18" customFormat="1" ht="12.75" x14ac:dyDescent="0.2"/>
    <row r="933" s="18" customFormat="1" ht="12.75" x14ac:dyDescent="0.2"/>
    <row r="934" s="18" customFormat="1" ht="12.75" x14ac:dyDescent="0.2"/>
    <row r="935" s="18" customFormat="1" ht="12.75" x14ac:dyDescent="0.2"/>
    <row r="936" s="18" customFormat="1" ht="12.75" x14ac:dyDescent="0.2"/>
    <row r="937" s="18" customFormat="1" ht="12.75" x14ac:dyDescent="0.2"/>
    <row r="938" s="18" customFormat="1" ht="12.75" x14ac:dyDescent="0.2"/>
    <row r="939" s="18" customFormat="1" ht="12.75" x14ac:dyDescent="0.2"/>
    <row r="940" s="18" customFormat="1" ht="12.75" x14ac:dyDescent="0.2"/>
    <row r="941" s="18" customFormat="1" ht="12.75" x14ac:dyDescent="0.2"/>
    <row r="942" s="18" customFormat="1" ht="12.75" x14ac:dyDescent="0.2"/>
    <row r="943" s="18" customFormat="1" ht="12.75" x14ac:dyDescent="0.2"/>
    <row r="944" s="18" customFormat="1" ht="12.75" x14ac:dyDescent="0.2"/>
    <row r="945" s="18" customFormat="1" ht="12.75" x14ac:dyDescent="0.2"/>
    <row r="946" s="18" customFormat="1" ht="12.75" x14ac:dyDescent="0.2"/>
    <row r="947" s="18" customFormat="1" ht="12.75" x14ac:dyDescent="0.2"/>
    <row r="948" s="18" customFormat="1" ht="12.75" x14ac:dyDescent="0.2"/>
    <row r="949" s="18" customFormat="1" ht="12.75" x14ac:dyDescent="0.2"/>
    <row r="950" s="18" customFormat="1" ht="12.75" x14ac:dyDescent="0.2"/>
    <row r="951" s="18" customFormat="1" ht="12.75" x14ac:dyDescent="0.2"/>
    <row r="952" s="18" customFormat="1" ht="12.75" x14ac:dyDescent="0.2"/>
    <row r="953" s="18" customFormat="1" ht="12.75" x14ac:dyDescent="0.2"/>
    <row r="954" s="18" customFormat="1" ht="12.75" x14ac:dyDescent="0.2"/>
    <row r="955" s="18" customFormat="1" ht="12.75" x14ac:dyDescent="0.2"/>
    <row r="956" s="18" customFormat="1" ht="12.75" x14ac:dyDescent="0.2"/>
    <row r="957" s="18" customFormat="1" ht="12.75" x14ac:dyDescent="0.2"/>
    <row r="958" s="18" customFormat="1" ht="12.75" x14ac:dyDescent="0.2"/>
    <row r="959" s="18" customFormat="1" ht="12.75" x14ac:dyDescent="0.2"/>
    <row r="960" s="18" customFormat="1" ht="12.75" x14ac:dyDescent="0.2"/>
    <row r="961" s="18" customFormat="1" ht="12.75" x14ac:dyDescent="0.2"/>
    <row r="962" s="18" customFormat="1" ht="12.75" x14ac:dyDescent="0.2"/>
    <row r="963" s="18" customFormat="1" ht="12.75" x14ac:dyDescent="0.2"/>
    <row r="964" s="18" customFormat="1" ht="12.75" x14ac:dyDescent="0.2"/>
    <row r="965" s="18" customFormat="1" ht="12.75" x14ac:dyDescent="0.2"/>
    <row r="966" s="18" customFormat="1" ht="12.75" x14ac:dyDescent="0.2"/>
    <row r="967" s="18" customFormat="1" ht="12.75" x14ac:dyDescent="0.2"/>
    <row r="968" s="18" customFormat="1" ht="12.75" x14ac:dyDescent="0.2"/>
    <row r="969" s="18" customFormat="1" ht="12.75" x14ac:dyDescent="0.2"/>
    <row r="970" s="18" customFormat="1" ht="12.75" x14ac:dyDescent="0.2"/>
    <row r="971" s="18" customFormat="1" ht="12.75" x14ac:dyDescent="0.2"/>
    <row r="972" s="18" customFormat="1" ht="12.75" x14ac:dyDescent="0.2"/>
    <row r="973" s="18" customFormat="1" ht="12.75" x14ac:dyDescent="0.2"/>
    <row r="974" s="18" customFormat="1" ht="12.75" x14ac:dyDescent="0.2"/>
    <row r="975" s="18" customFormat="1" ht="12.75" x14ac:dyDescent="0.2"/>
    <row r="976" s="18" customFormat="1" ht="12.75" x14ac:dyDescent="0.2"/>
    <row r="977" s="18" customFormat="1" ht="12.75" x14ac:dyDescent="0.2"/>
    <row r="978" s="18" customFormat="1" ht="12.75" x14ac:dyDescent="0.2"/>
    <row r="979" s="18" customFormat="1" ht="12.75" x14ac:dyDescent="0.2"/>
    <row r="980" s="18" customFormat="1" ht="12.75" x14ac:dyDescent="0.2"/>
    <row r="981" s="18" customFormat="1" ht="12.75" x14ac:dyDescent="0.2"/>
    <row r="982" s="18" customFormat="1" ht="12.75" x14ac:dyDescent="0.2"/>
    <row r="983" s="18" customFormat="1" ht="12.75" x14ac:dyDescent="0.2"/>
    <row r="984" s="18" customFormat="1" ht="12.75" x14ac:dyDescent="0.2"/>
    <row r="985" s="18" customFormat="1" ht="12.75" x14ac:dyDescent="0.2"/>
    <row r="986" s="18" customFormat="1" ht="12.75" x14ac:dyDescent="0.2"/>
    <row r="987" s="18" customFormat="1" ht="12.75" x14ac:dyDescent="0.2"/>
    <row r="988" s="18" customFormat="1" ht="12.75" x14ac:dyDescent="0.2"/>
    <row r="989" s="18" customFormat="1" ht="12.75" x14ac:dyDescent="0.2"/>
    <row r="990" s="18" customFormat="1" ht="12.75" x14ac:dyDescent="0.2"/>
    <row r="991" s="18" customFormat="1" ht="12.75" x14ac:dyDescent="0.2"/>
    <row r="992" s="18" customFormat="1" ht="12.75" x14ac:dyDescent="0.2"/>
    <row r="993" s="18" customFormat="1" ht="12.75" x14ac:dyDescent="0.2"/>
    <row r="994" s="18" customFormat="1" ht="12.75" x14ac:dyDescent="0.2"/>
    <row r="995" s="18" customFormat="1" ht="12.75" x14ac:dyDescent="0.2"/>
    <row r="996" s="18" customFormat="1" ht="12.75" x14ac:dyDescent="0.2"/>
    <row r="997" s="18" customFormat="1" ht="12.75" x14ac:dyDescent="0.2"/>
    <row r="998" s="18" customFormat="1" ht="12.75" x14ac:dyDescent="0.2"/>
    <row r="999" s="18" customFormat="1" ht="12.75" x14ac:dyDescent="0.2"/>
    <row r="1000" s="18" customFormat="1" ht="12.75" x14ac:dyDescent="0.2"/>
    <row r="1001" s="18" customFormat="1" ht="12.75" x14ac:dyDescent="0.2"/>
    <row r="1002" s="18" customFormat="1" ht="12.75" x14ac:dyDescent="0.2"/>
    <row r="1003" s="18" customFormat="1" ht="12.75" x14ac:dyDescent="0.2"/>
    <row r="1004" s="18" customFormat="1" ht="12.75" x14ac:dyDescent="0.2"/>
    <row r="1005" s="18" customFormat="1" ht="12.75" x14ac:dyDescent="0.2"/>
    <row r="1006" s="18" customFormat="1" ht="12.75" x14ac:dyDescent="0.2"/>
    <row r="1007" s="18" customFormat="1" ht="12.75" x14ac:dyDescent="0.2"/>
    <row r="1008" s="18" customFormat="1" ht="12.75" x14ac:dyDescent="0.2"/>
    <row r="1009" s="18" customFormat="1" ht="12.75" x14ac:dyDescent="0.2"/>
    <row r="1010" s="18" customFormat="1" ht="12.75" x14ac:dyDescent="0.2"/>
    <row r="1011" s="18" customFormat="1" ht="12.75" x14ac:dyDescent="0.2"/>
    <row r="1012" s="18" customFormat="1" ht="12.75" x14ac:dyDescent="0.2"/>
    <row r="1013" s="18" customFormat="1" ht="12.75" x14ac:dyDescent="0.2"/>
    <row r="1014" s="18" customFormat="1" ht="12.75" x14ac:dyDescent="0.2"/>
    <row r="1015" s="18" customFormat="1" ht="12.75" x14ac:dyDescent="0.2"/>
    <row r="1016" s="18" customFormat="1" ht="12.75" x14ac:dyDescent="0.2"/>
    <row r="1017" s="18" customFormat="1" ht="12.75" x14ac:dyDescent="0.2"/>
    <row r="1018" s="18" customFormat="1" ht="12.75" x14ac:dyDescent="0.2"/>
    <row r="1019" s="18" customFormat="1" ht="12.75" x14ac:dyDescent="0.2"/>
    <row r="1020" s="18" customFormat="1" ht="12.75" x14ac:dyDescent="0.2"/>
    <row r="1021" s="18" customFormat="1" ht="12.75" x14ac:dyDescent="0.2"/>
    <row r="1022" s="18" customFormat="1" ht="12.75" x14ac:dyDescent="0.2"/>
    <row r="1023" s="18" customFormat="1" ht="12.75" x14ac:dyDescent="0.2"/>
    <row r="1024" s="18" customFormat="1" ht="12.75" x14ac:dyDescent="0.2"/>
    <row r="1025" s="18" customFormat="1" ht="12.75" x14ac:dyDescent="0.2"/>
    <row r="1026" s="18" customFormat="1" ht="12.75" x14ac:dyDescent="0.2"/>
    <row r="1027" s="18" customFormat="1" ht="12.75" x14ac:dyDescent="0.2"/>
    <row r="1028" s="18" customFormat="1" ht="12.75" x14ac:dyDescent="0.2"/>
    <row r="1029" s="18" customFormat="1" ht="12.75" x14ac:dyDescent="0.2"/>
    <row r="1030" s="18" customFormat="1" ht="12.75" x14ac:dyDescent="0.2"/>
    <row r="1031" s="18" customFormat="1" ht="12.75" x14ac:dyDescent="0.2"/>
    <row r="1032" s="18" customFormat="1" ht="12.75" x14ac:dyDescent="0.2"/>
    <row r="1033" s="18" customFormat="1" ht="12.75" x14ac:dyDescent="0.2"/>
    <row r="1034" s="18" customFormat="1" ht="12.75" x14ac:dyDescent="0.2"/>
    <row r="1035" s="18" customFormat="1" ht="12.75" x14ac:dyDescent="0.2"/>
    <row r="1036" s="18" customFormat="1" ht="12.75" x14ac:dyDescent="0.2"/>
    <row r="1037" s="18" customFormat="1" ht="12.75" x14ac:dyDescent="0.2"/>
    <row r="1038" s="18" customFormat="1" ht="12.75" x14ac:dyDescent="0.2"/>
    <row r="1039" s="18" customFormat="1" ht="12.75" x14ac:dyDescent="0.2"/>
    <row r="1040" s="18" customFormat="1" ht="12.75" x14ac:dyDescent="0.2"/>
    <row r="1041" s="18" customFormat="1" ht="12.75" x14ac:dyDescent="0.2"/>
    <row r="1042" s="18" customFormat="1" ht="12.75" x14ac:dyDescent="0.2"/>
    <row r="1043" s="18" customFormat="1" ht="12.75" x14ac:dyDescent="0.2"/>
    <row r="1044" s="18" customFormat="1" ht="12.75" x14ac:dyDescent="0.2"/>
    <row r="1045" s="18" customFormat="1" ht="12.75" x14ac:dyDescent="0.2"/>
    <row r="1046" s="18" customFormat="1" ht="12.75" x14ac:dyDescent="0.2"/>
    <row r="1047" s="18" customFormat="1" ht="12.75" x14ac:dyDescent="0.2"/>
    <row r="1048" s="18" customFormat="1" ht="12.75" x14ac:dyDescent="0.2"/>
    <row r="1049" s="18" customFormat="1" ht="12.75" x14ac:dyDescent="0.2"/>
    <row r="1050" s="18" customFormat="1" ht="12.75" x14ac:dyDescent="0.2"/>
    <row r="1051" s="18" customFormat="1" ht="12.75" x14ac:dyDescent="0.2"/>
    <row r="1052" s="18" customFormat="1" ht="12.75" x14ac:dyDescent="0.2"/>
    <row r="1053" s="18" customFormat="1" ht="12.75" x14ac:dyDescent="0.2"/>
    <row r="1054" s="18" customFormat="1" ht="12.75" x14ac:dyDescent="0.2"/>
    <row r="1055" s="18" customFormat="1" ht="12.75" x14ac:dyDescent="0.2"/>
    <row r="1056" s="18" customFormat="1" ht="12.75" x14ac:dyDescent="0.2"/>
    <row r="1057" s="18" customFormat="1" ht="12.75" x14ac:dyDescent="0.2"/>
    <row r="1058" s="18" customFormat="1" ht="12.75" x14ac:dyDescent="0.2"/>
    <row r="1059" s="18" customFormat="1" ht="12.75" x14ac:dyDescent="0.2"/>
    <row r="1060" s="18" customFormat="1" ht="12.75" x14ac:dyDescent="0.2"/>
    <row r="1061" s="18" customFormat="1" ht="12.75" x14ac:dyDescent="0.2"/>
    <row r="1062" s="18" customFormat="1" ht="12.75" x14ac:dyDescent="0.2"/>
    <row r="1063" s="18" customFormat="1" ht="12.75" x14ac:dyDescent="0.2"/>
    <row r="1064" s="18" customFormat="1" ht="12.75" x14ac:dyDescent="0.2"/>
    <row r="1065" s="18" customFormat="1" ht="12.75" x14ac:dyDescent="0.2"/>
    <row r="1066" s="18" customFormat="1" ht="12.75" x14ac:dyDescent="0.2"/>
    <row r="1067" s="18" customFormat="1" ht="12.75" x14ac:dyDescent="0.2"/>
    <row r="1068" s="18" customFormat="1" ht="12.75" x14ac:dyDescent="0.2"/>
    <row r="1069" s="18" customFormat="1" ht="12.75" x14ac:dyDescent="0.2"/>
    <row r="1070" s="18" customFormat="1" ht="12.75" x14ac:dyDescent="0.2"/>
    <row r="1071" s="18" customFormat="1" ht="12.75" x14ac:dyDescent="0.2"/>
    <row r="1072" s="18" customFormat="1" ht="12.75" x14ac:dyDescent="0.2"/>
    <row r="1073" s="18" customFormat="1" ht="12.75" x14ac:dyDescent="0.2"/>
    <row r="1074" s="18" customFormat="1" ht="12.75" x14ac:dyDescent="0.2"/>
    <row r="1075" s="18" customFormat="1" ht="12.75" x14ac:dyDescent="0.2"/>
    <row r="1076" s="18" customFormat="1" ht="12.75" x14ac:dyDescent="0.2"/>
    <row r="1077" s="18" customFormat="1" ht="12.75" x14ac:dyDescent="0.2"/>
    <row r="1078" s="18" customFormat="1" ht="12.75" x14ac:dyDescent="0.2"/>
    <row r="1079" s="18" customFormat="1" ht="12.75" x14ac:dyDescent="0.2"/>
    <row r="1080" s="18" customFormat="1" ht="12.75" x14ac:dyDescent="0.2"/>
    <row r="1081" s="18" customFormat="1" ht="12.75" x14ac:dyDescent="0.2"/>
    <row r="1082" s="18" customFormat="1" ht="12.75" x14ac:dyDescent="0.2"/>
    <row r="1083" s="18" customFormat="1" ht="12.75" x14ac:dyDescent="0.2"/>
    <row r="1084" s="18" customFormat="1" ht="12.75" x14ac:dyDescent="0.2"/>
    <row r="1085" s="18" customFormat="1" ht="12.75" x14ac:dyDescent="0.2"/>
    <row r="1086" s="18" customFormat="1" ht="12.75" x14ac:dyDescent="0.2"/>
    <row r="1087" s="18" customFormat="1" ht="12.75" x14ac:dyDescent="0.2"/>
    <row r="1088" s="18" customFormat="1" ht="12.75" x14ac:dyDescent="0.2"/>
    <row r="1089" s="18" customFormat="1" ht="12.75" x14ac:dyDescent="0.2"/>
    <row r="1090" s="18" customFormat="1" ht="12.75" x14ac:dyDescent="0.2"/>
    <row r="1091" s="18" customFormat="1" ht="12.75" x14ac:dyDescent="0.2"/>
    <row r="1092" s="18" customFormat="1" ht="12.75" x14ac:dyDescent="0.2"/>
    <row r="1093" s="18" customFormat="1" ht="12.75" x14ac:dyDescent="0.2"/>
    <row r="1094" s="18" customFormat="1" ht="12.75" x14ac:dyDescent="0.2"/>
    <row r="1095" s="18" customFormat="1" ht="12.75" x14ac:dyDescent="0.2"/>
    <row r="1096" s="18" customFormat="1" ht="12.75" x14ac:dyDescent="0.2"/>
    <row r="1097" s="18" customFormat="1" ht="12.75" x14ac:dyDescent="0.2"/>
    <row r="1098" s="18" customFormat="1" ht="12.75" x14ac:dyDescent="0.2"/>
    <row r="1099" s="18" customFormat="1" ht="12.75" x14ac:dyDescent="0.2"/>
    <row r="1100" s="18" customFormat="1" ht="12.75" x14ac:dyDescent="0.2"/>
    <row r="1101" s="18" customFormat="1" ht="12.75" x14ac:dyDescent="0.2"/>
    <row r="1102" s="18" customFormat="1" ht="12.75" x14ac:dyDescent="0.2"/>
    <row r="1103" s="18" customFormat="1" ht="12.75" x14ac:dyDescent="0.2"/>
    <row r="1104" s="18" customFormat="1" ht="12.75" x14ac:dyDescent="0.2"/>
    <row r="1105" s="18" customFormat="1" ht="12.75" x14ac:dyDescent="0.2"/>
    <row r="1106" s="18" customFormat="1" ht="12.75" x14ac:dyDescent="0.2"/>
    <row r="1107" s="18" customFormat="1" ht="12.75" x14ac:dyDescent="0.2"/>
    <row r="1108" s="18" customFormat="1" ht="12.75" x14ac:dyDescent="0.2"/>
    <row r="1109" s="18" customFormat="1" ht="12.75" x14ac:dyDescent="0.2"/>
    <row r="1110" s="18" customFormat="1" ht="12.75" x14ac:dyDescent="0.2"/>
    <row r="1111" s="18" customFormat="1" ht="12.75" x14ac:dyDescent="0.2"/>
    <row r="1112" s="18" customFormat="1" ht="12.75" x14ac:dyDescent="0.2"/>
    <row r="1113" s="18" customFormat="1" ht="12.75" x14ac:dyDescent="0.2"/>
    <row r="1114" s="18" customFormat="1" ht="12.75" x14ac:dyDescent="0.2"/>
    <row r="1115" s="18" customFormat="1" ht="12.75" x14ac:dyDescent="0.2"/>
    <row r="1116" s="18" customFormat="1" ht="12.75" x14ac:dyDescent="0.2"/>
    <row r="1117" s="18" customFormat="1" ht="12.75" x14ac:dyDescent="0.2"/>
    <row r="1118" s="18" customFormat="1" ht="12.75" x14ac:dyDescent="0.2"/>
    <row r="1119" s="18" customFormat="1" ht="12.75" x14ac:dyDescent="0.2"/>
    <row r="1120" s="18" customFormat="1" ht="12.75" x14ac:dyDescent="0.2"/>
    <row r="1121" s="18" customFormat="1" ht="12.75" x14ac:dyDescent="0.2"/>
    <row r="1122" s="18" customFormat="1" ht="12.75" x14ac:dyDescent="0.2"/>
    <row r="1123" s="18" customFormat="1" ht="12.75" x14ac:dyDescent="0.2"/>
    <row r="1124" s="18" customFormat="1" ht="12.75" x14ac:dyDescent="0.2"/>
    <row r="1125" s="18" customFormat="1" ht="12.75" x14ac:dyDescent="0.2"/>
    <row r="1126" s="18" customFormat="1" ht="12.75" x14ac:dyDescent="0.2"/>
    <row r="1127" s="18" customFormat="1" ht="12.75" x14ac:dyDescent="0.2"/>
    <row r="1128" s="18" customFormat="1" ht="12.75" x14ac:dyDescent="0.2"/>
    <row r="1129" s="18" customFormat="1" ht="12.75" x14ac:dyDescent="0.2"/>
    <row r="1130" s="18" customFormat="1" ht="12.75" x14ac:dyDescent="0.2"/>
    <row r="1131" s="18" customFormat="1" ht="12.75" x14ac:dyDescent="0.2"/>
    <row r="1132" s="18" customFormat="1" ht="12.75" x14ac:dyDescent="0.2"/>
    <row r="1133" s="18" customFormat="1" ht="12.75" x14ac:dyDescent="0.2"/>
    <row r="1134" s="18" customFormat="1" ht="12.75" x14ac:dyDescent="0.2"/>
    <row r="1135" s="18" customFormat="1" ht="12.75" x14ac:dyDescent="0.2"/>
    <row r="1136" s="18" customFormat="1" ht="12.75" x14ac:dyDescent="0.2"/>
    <row r="1137" s="18" customFormat="1" ht="12.75" x14ac:dyDescent="0.2"/>
    <row r="1138" s="18" customFormat="1" ht="12.75" x14ac:dyDescent="0.2"/>
    <row r="1139" s="18" customFormat="1" ht="12.75" x14ac:dyDescent="0.2"/>
    <row r="1140" s="18" customFormat="1" ht="12.75" x14ac:dyDescent="0.2"/>
    <row r="1141" s="18" customFormat="1" ht="12.75" x14ac:dyDescent="0.2"/>
    <row r="1142" s="18" customFormat="1" ht="12.75" x14ac:dyDescent="0.2"/>
    <row r="1143" s="18" customFormat="1" ht="12.75" x14ac:dyDescent="0.2"/>
    <row r="1144" s="18" customFormat="1" ht="12.75" x14ac:dyDescent="0.2"/>
    <row r="1145" s="18" customFormat="1" ht="12.75" x14ac:dyDescent="0.2"/>
    <row r="1146" s="18" customFormat="1" ht="12.75" x14ac:dyDescent="0.2"/>
    <row r="1147" s="18" customFormat="1" ht="12.75" x14ac:dyDescent="0.2"/>
    <row r="1148" s="18" customFormat="1" ht="12.75" x14ac:dyDescent="0.2"/>
    <row r="1149" s="18" customFormat="1" ht="12.75" x14ac:dyDescent="0.2"/>
    <row r="1150" s="18" customFormat="1" ht="12.75" x14ac:dyDescent="0.2"/>
    <row r="1151" s="18" customFormat="1" ht="12.75" x14ac:dyDescent="0.2"/>
    <row r="1152" s="18" customFormat="1" ht="12.75" x14ac:dyDescent="0.2"/>
    <row r="1153" s="18" customFormat="1" ht="12.75" x14ac:dyDescent="0.2"/>
    <row r="1154" s="18" customFormat="1" ht="12.75" x14ac:dyDescent="0.2"/>
    <row r="1155" s="18" customFormat="1" ht="12.75" x14ac:dyDescent="0.2"/>
    <row r="1156" s="18" customFormat="1" ht="12.75" x14ac:dyDescent="0.2"/>
    <row r="1157" s="18" customFormat="1" ht="12.75" x14ac:dyDescent="0.2"/>
    <row r="1158" s="18" customFormat="1" ht="12.75" x14ac:dyDescent="0.2"/>
    <row r="1159" s="18" customFormat="1" ht="12.75" x14ac:dyDescent="0.2"/>
    <row r="1160" s="18" customFormat="1" ht="12.75" x14ac:dyDescent="0.2"/>
    <row r="1161" s="18" customFormat="1" ht="12.75" x14ac:dyDescent="0.2"/>
    <row r="1162" s="18" customFormat="1" ht="12.75" x14ac:dyDescent="0.2"/>
    <row r="1163" s="18" customFormat="1" ht="12.75" x14ac:dyDescent="0.2"/>
    <row r="1164" s="18" customFormat="1" ht="12.75" x14ac:dyDescent="0.2"/>
    <row r="1165" s="18" customFormat="1" ht="12.75" x14ac:dyDescent="0.2"/>
    <row r="1166" s="18" customFormat="1" ht="12.75" x14ac:dyDescent="0.2"/>
    <row r="1167" s="18" customFormat="1" ht="12.75" x14ac:dyDescent="0.2"/>
    <row r="1168" s="18" customFormat="1" ht="12.75" x14ac:dyDescent="0.2"/>
    <row r="1169" s="18" customFormat="1" ht="12.75" x14ac:dyDescent="0.2"/>
    <row r="1170" s="18" customFormat="1" ht="12.75" x14ac:dyDescent="0.2"/>
    <row r="1171" s="18" customFormat="1" ht="12.75" x14ac:dyDescent="0.2"/>
    <row r="1172" s="18" customFormat="1" ht="12.75" x14ac:dyDescent="0.2"/>
    <row r="1173" s="18" customFormat="1" ht="12.75" x14ac:dyDescent="0.2"/>
    <row r="1174" s="18" customFormat="1" ht="12.75" x14ac:dyDescent="0.2"/>
    <row r="1175" s="18" customFormat="1" ht="12.75" x14ac:dyDescent="0.2"/>
    <row r="1176" s="18" customFormat="1" ht="12.75" x14ac:dyDescent="0.2"/>
    <row r="1177" s="18" customFormat="1" ht="12.75" x14ac:dyDescent="0.2"/>
    <row r="1178" s="18" customFormat="1" ht="12.75" x14ac:dyDescent="0.2"/>
    <row r="1179" s="18" customFormat="1" ht="12.75" x14ac:dyDescent="0.2"/>
    <row r="1180" s="18" customFormat="1" ht="12.75" x14ac:dyDescent="0.2"/>
    <row r="1181" s="18" customFormat="1" ht="12.75" x14ac:dyDescent="0.2"/>
    <row r="1182" s="18" customFormat="1" ht="12.75" x14ac:dyDescent="0.2"/>
    <row r="1183" s="18" customFormat="1" ht="12.75" x14ac:dyDescent="0.2"/>
    <row r="1184" s="18" customFormat="1" ht="12.75" x14ac:dyDescent="0.2"/>
    <row r="1185" s="18" customFormat="1" ht="12.75" x14ac:dyDescent="0.2"/>
    <row r="1186" s="18" customFormat="1" ht="12.75" x14ac:dyDescent="0.2"/>
    <row r="1187" s="18" customFormat="1" ht="12.75" x14ac:dyDescent="0.2"/>
    <row r="1188" s="18" customFormat="1" ht="12.75" x14ac:dyDescent="0.2"/>
    <row r="1189" s="18" customFormat="1" ht="12.75" x14ac:dyDescent="0.2"/>
    <row r="1190" s="18" customFormat="1" ht="12.75" x14ac:dyDescent="0.2"/>
    <row r="1191" s="18" customFormat="1" ht="12.75" x14ac:dyDescent="0.2"/>
    <row r="1192" s="18" customFormat="1" ht="12.75" x14ac:dyDescent="0.2"/>
    <row r="1193" s="18" customFormat="1" ht="12.75" x14ac:dyDescent="0.2"/>
    <row r="1194" s="18" customFormat="1" ht="12.75" x14ac:dyDescent="0.2"/>
    <row r="1195" s="18" customFormat="1" ht="12.75" x14ac:dyDescent="0.2"/>
    <row r="1196" s="18" customFormat="1" ht="12.75" x14ac:dyDescent="0.2"/>
    <row r="1197" s="18" customFormat="1" ht="12.75" x14ac:dyDescent="0.2"/>
    <row r="1198" s="18" customFormat="1" ht="12.75" x14ac:dyDescent="0.2"/>
    <row r="1199" s="18" customFormat="1" ht="12.75" x14ac:dyDescent="0.2"/>
    <row r="1200" s="18" customFormat="1" ht="12.75" x14ac:dyDescent="0.2"/>
    <row r="1201" s="18" customFormat="1" ht="12.75" x14ac:dyDescent="0.2"/>
    <row r="1202" s="18" customFormat="1" ht="12.75" x14ac:dyDescent="0.2"/>
    <row r="1203" s="18" customFormat="1" ht="12.75" x14ac:dyDescent="0.2"/>
    <row r="1204" s="18" customFormat="1" ht="12.75" x14ac:dyDescent="0.2"/>
    <row r="1205" s="18" customFormat="1" ht="12.75" x14ac:dyDescent="0.2"/>
    <row r="1206" s="18" customFormat="1" ht="12.75" x14ac:dyDescent="0.2"/>
    <row r="1207" s="18" customFormat="1" ht="12.75" x14ac:dyDescent="0.2"/>
    <row r="1208" s="18" customFormat="1" ht="12.75" x14ac:dyDescent="0.2"/>
    <row r="1209" s="18" customFormat="1" ht="12.75" x14ac:dyDescent="0.2"/>
    <row r="1210" s="18" customFormat="1" ht="12.75" x14ac:dyDescent="0.2"/>
    <row r="1211" s="18" customFormat="1" ht="12.75" x14ac:dyDescent="0.2"/>
    <row r="1212" s="18" customFormat="1" ht="12.75" x14ac:dyDescent="0.2"/>
    <row r="1213" s="18" customFormat="1" ht="12.75" x14ac:dyDescent="0.2"/>
    <row r="1214" s="18" customFormat="1" ht="12.75" x14ac:dyDescent="0.2"/>
    <row r="1215" s="18" customFormat="1" ht="12.75" x14ac:dyDescent="0.2"/>
    <row r="1216" s="18" customFormat="1" ht="12.75" x14ac:dyDescent="0.2"/>
    <row r="1217" s="18" customFormat="1" ht="12.75" x14ac:dyDescent="0.2"/>
    <row r="1218" s="18" customFormat="1" ht="12.75" x14ac:dyDescent="0.2"/>
    <row r="1219" s="18" customFormat="1" ht="12.75" x14ac:dyDescent="0.2"/>
    <row r="1220" s="18" customFormat="1" ht="12.75" x14ac:dyDescent="0.2"/>
    <row r="1221" s="18" customFormat="1" ht="12.75" x14ac:dyDescent="0.2"/>
    <row r="1222" s="18" customFormat="1" ht="12.75" x14ac:dyDescent="0.2"/>
    <row r="1223" s="18" customFormat="1" ht="12.75" x14ac:dyDescent="0.2"/>
    <row r="1224" s="18" customFormat="1" ht="12.75" x14ac:dyDescent="0.2"/>
    <row r="1225" s="18" customFormat="1" ht="12.75" x14ac:dyDescent="0.2"/>
    <row r="1226" s="18" customFormat="1" ht="12.75" x14ac:dyDescent="0.2"/>
    <row r="1227" s="18" customFormat="1" ht="12.75" x14ac:dyDescent="0.2"/>
    <row r="1228" s="18" customFormat="1" ht="12.75" x14ac:dyDescent="0.2"/>
    <row r="1229" s="18" customFormat="1" ht="12.75" x14ac:dyDescent="0.2"/>
    <row r="1230" s="18" customFormat="1" ht="12.75" x14ac:dyDescent="0.2"/>
    <row r="1231" s="18" customFormat="1" ht="12.75" x14ac:dyDescent="0.2"/>
    <row r="1232" s="18" customFormat="1" ht="12.75" x14ac:dyDescent="0.2"/>
    <row r="1233" s="18" customFormat="1" ht="12.75" x14ac:dyDescent="0.2"/>
    <row r="1234" s="18" customFormat="1" ht="12.75" x14ac:dyDescent="0.2"/>
    <row r="1235" s="18" customFormat="1" ht="12.75" x14ac:dyDescent="0.2"/>
    <row r="1236" s="18" customFormat="1" ht="12.75" x14ac:dyDescent="0.2"/>
    <row r="1237" s="18" customFormat="1" ht="12.75" x14ac:dyDescent="0.2"/>
    <row r="1238" s="18" customFormat="1" ht="12.75" x14ac:dyDescent="0.2"/>
    <row r="1239" s="18" customFormat="1" ht="12.75" x14ac:dyDescent="0.2"/>
    <row r="1240" s="18" customFormat="1" ht="12.75" x14ac:dyDescent="0.2"/>
    <row r="1241" s="18" customFormat="1" ht="12.75" x14ac:dyDescent="0.2"/>
    <row r="1242" s="18" customFormat="1" ht="12.75" x14ac:dyDescent="0.2"/>
    <row r="1243" s="18" customFormat="1" ht="12.75" x14ac:dyDescent="0.2"/>
    <row r="1244" s="18" customFormat="1" ht="12.75" x14ac:dyDescent="0.2"/>
    <row r="1245" s="18" customFormat="1" ht="12.75" x14ac:dyDescent="0.2"/>
    <row r="1246" s="18" customFormat="1" ht="12.75" x14ac:dyDescent="0.2"/>
    <row r="1247" s="18" customFormat="1" ht="12.75" x14ac:dyDescent="0.2"/>
    <row r="1248" s="18" customFormat="1" ht="12.75" x14ac:dyDescent="0.2"/>
    <row r="1249" s="18" customFormat="1" ht="12.75" x14ac:dyDescent="0.2"/>
    <row r="1250" s="18" customFormat="1" ht="12.75" x14ac:dyDescent="0.2"/>
    <row r="1251" s="18" customFormat="1" ht="12.75" x14ac:dyDescent="0.2"/>
    <row r="1252" s="18" customFormat="1" ht="12.75" x14ac:dyDescent="0.2"/>
    <row r="1253" s="18" customFormat="1" ht="12.75" x14ac:dyDescent="0.2"/>
    <row r="1254" s="18" customFormat="1" ht="12.75" x14ac:dyDescent="0.2"/>
    <row r="1255" s="18" customFormat="1" ht="12.75" x14ac:dyDescent="0.2"/>
    <row r="1256" s="18" customFormat="1" ht="12.75" x14ac:dyDescent="0.2"/>
    <row r="1257" s="18" customFormat="1" ht="12.75" x14ac:dyDescent="0.2"/>
    <row r="1258" s="18" customFormat="1" ht="12.75" x14ac:dyDescent="0.2"/>
    <row r="1259" s="18" customFormat="1" ht="12.75" x14ac:dyDescent="0.2"/>
    <row r="1260" s="18" customFormat="1" ht="12.75" x14ac:dyDescent="0.2"/>
    <row r="1261" s="18" customFormat="1" ht="12.75" x14ac:dyDescent="0.2"/>
    <row r="1262" s="18" customFormat="1" ht="12.75" x14ac:dyDescent="0.2"/>
    <row r="1263" s="18" customFormat="1" ht="12.75" x14ac:dyDescent="0.2"/>
    <row r="1264" s="18" customFormat="1" ht="12.75" x14ac:dyDescent="0.2"/>
    <row r="1265" s="18" customFormat="1" ht="12.75" x14ac:dyDescent="0.2"/>
    <row r="1266" s="18" customFormat="1" ht="12.75" x14ac:dyDescent="0.2"/>
    <row r="1267" s="18" customFormat="1" ht="12.75" x14ac:dyDescent="0.2"/>
    <row r="1268" s="18" customFormat="1" ht="12.75" x14ac:dyDescent="0.2"/>
    <row r="1269" s="18" customFormat="1" ht="12.75" x14ac:dyDescent="0.2"/>
    <row r="1270" s="18" customFormat="1" ht="12.75" x14ac:dyDescent="0.2"/>
    <row r="1271" s="18" customFormat="1" ht="12.75" x14ac:dyDescent="0.2"/>
    <row r="1272" s="18" customFormat="1" ht="12.75" x14ac:dyDescent="0.2"/>
    <row r="1273" s="18" customFormat="1" ht="12.75" x14ac:dyDescent="0.2"/>
    <row r="1274" s="18" customFormat="1" ht="12.75" x14ac:dyDescent="0.2"/>
    <row r="1275" s="18" customFormat="1" ht="12.75" x14ac:dyDescent="0.2"/>
    <row r="1276" s="18" customFormat="1" ht="12.75" x14ac:dyDescent="0.2"/>
    <row r="1277" s="18" customFormat="1" ht="12.75" x14ac:dyDescent="0.2"/>
    <row r="1278" s="18" customFormat="1" ht="12.75" x14ac:dyDescent="0.2"/>
    <row r="1279" s="18" customFormat="1" ht="12.75" x14ac:dyDescent="0.2"/>
    <row r="1280" s="18" customFormat="1" ht="12.75" x14ac:dyDescent="0.2"/>
    <row r="1281" s="18" customFormat="1" ht="12.75" x14ac:dyDescent="0.2"/>
    <row r="1282" s="18" customFormat="1" ht="12.75" x14ac:dyDescent="0.2"/>
    <row r="1283" s="18" customFormat="1" ht="12.75" x14ac:dyDescent="0.2"/>
    <row r="1284" s="18" customFormat="1" ht="12.75" x14ac:dyDescent="0.2"/>
    <row r="1285" s="18" customFormat="1" ht="12.75" x14ac:dyDescent="0.2"/>
    <row r="1286" s="18" customFormat="1" ht="12.75" x14ac:dyDescent="0.2"/>
    <row r="1287" s="18" customFormat="1" ht="12.75" x14ac:dyDescent="0.2"/>
    <row r="1288" s="18" customFormat="1" ht="12.75" x14ac:dyDescent="0.2"/>
    <row r="1289" s="18" customFormat="1" ht="12.75" x14ac:dyDescent="0.2"/>
    <row r="1290" s="18" customFormat="1" ht="12.75" x14ac:dyDescent="0.2"/>
    <row r="1291" s="18" customFormat="1" ht="12.75" x14ac:dyDescent="0.2"/>
    <row r="1292" s="18" customFormat="1" ht="12.75" x14ac:dyDescent="0.2"/>
    <row r="1293" s="18" customFormat="1" ht="12.75" x14ac:dyDescent="0.2"/>
    <row r="1294" s="18" customFormat="1" ht="12.75" x14ac:dyDescent="0.2"/>
    <row r="1295" s="18" customFormat="1" ht="12.75" x14ac:dyDescent="0.2"/>
    <row r="1296" s="18" customFormat="1" ht="12.75" x14ac:dyDescent="0.2"/>
    <row r="1297" s="18" customFormat="1" ht="12.75" x14ac:dyDescent="0.2"/>
    <row r="1298" s="18" customFormat="1" ht="12.75" x14ac:dyDescent="0.2"/>
    <row r="1299" s="18" customFormat="1" ht="12.75" x14ac:dyDescent="0.2"/>
    <row r="1300" s="18" customFormat="1" ht="12.75" x14ac:dyDescent="0.2"/>
    <row r="1301" s="18" customFormat="1" ht="12.75" x14ac:dyDescent="0.2"/>
    <row r="1302" s="18" customFormat="1" ht="12.75" x14ac:dyDescent="0.2"/>
    <row r="1303" s="18" customFormat="1" ht="12.75" x14ac:dyDescent="0.2"/>
    <row r="1304" s="18" customFormat="1" ht="12.75" x14ac:dyDescent="0.2"/>
    <row r="1305" s="18" customFormat="1" ht="12.75" x14ac:dyDescent="0.2"/>
    <row r="1306" s="18" customFormat="1" ht="12.75" x14ac:dyDescent="0.2"/>
    <row r="1307" s="18" customFormat="1" ht="12.75" x14ac:dyDescent="0.2"/>
    <row r="1308" s="18" customFormat="1" ht="12.75" x14ac:dyDescent="0.2"/>
    <row r="1309" s="18" customFormat="1" ht="12.75" x14ac:dyDescent="0.2"/>
    <row r="1310" s="18" customFormat="1" ht="12.75" x14ac:dyDescent="0.2"/>
    <row r="1311" s="18" customFormat="1" ht="12.75" x14ac:dyDescent="0.2"/>
    <row r="1312" s="18" customFormat="1" ht="12.75" x14ac:dyDescent="0.2"/>
    <row r="1313" s="18" customFormat="1" ht="12.75" x14ac:dyDescent="0.2"/>
    <row r="1314" s="18" customFormat="1" ht="12.75" x14ac:dyDescent="0.2"/>
    <row r="1315" s="18" customFormat="1" ht="12.75" x14ac:dyDescent="0.2"/>
    <row r="1316" s="18" customFormat="1" ht="12.75" x14ac:dyDescent="0.2"/>
    <row r="1317" s="18" customFormat="1" ht="12.75" x14ac:dyDescent="0.2"/>
    <row r="1318" s="18" customFormat="1" ht="12.75" x14ac:dyDescent="0.2"/>
    <row r="1319" s="18" customFormat="1" ht="12.75" x14ac:dyDescent="0.2"/>
    <row r="1320" s="18" customFormat="1" ht="12.75" x14ac:dyDescent="0.2"/>
    <row r="1321" s="18" customFormat="1" ht="12.75" x14ac:dyDescent="0.2"/>
    <row r="1322" s="18" customFormat="1" ht="12.75" x14ac:dyDescent="0.2"/>
    <row r="1323" s="18" customFormat="1" ht="12.75" x14ac:dyDescent="0.2"/>
    <row r="1324" s="18" customFormat="1" ht="12.75" x14ac:dyDescent="0.2"/>
    <row r="1325" s="18" customFormat="1" ht="12.75" x14ac:dyDescent="0.2"/>
    <row r="1326" s="18" customFormat="1" ht="12.75" x14ac:dyDescent="0.2"/>
    <row r="1327" s="18" customFormat="1" ht="12.75" x14ac:dyDescent="0.2"/>
    <row r="1328" s="18" customFormat="1" ht="12.75" x14ac:dyDescent="0.2"/>
    <row r="1329" s="18" customFormat="1" ht="12.75" x14ac:dyDescent="0.2"/>
    <row r="1330" s="18" customFormat="1" ht="12.75" x14ac:dyDescent="0.2"/>
    <row r="1331" s="18" customFormat="1" ht="12.75" x14ac:dyDescent="0.2"/>
    <row r="1332" s="18" customFormat="1" ht="12.75" x14ac:dyDescent="0.2"/>
    <row r="1333" s="18" customFormat="1" ht="12.75" x14ac:dyDescent="0.2"/>
    <row r="1334" s="18" customFormat="1" ht="12.75" x14ac:dyDescent="0.2"/>
    <row r="1335" s="18" customFormat="1" ht="12.75" x14ac:dyDescent="0.2"/>
    <row r="1336" s="18" customFormat="1" ht="12.75" x14ac:dyDescent="0.2"/>
    <row r="1337" s="18" customFormat="1" ht="12.75" x14ac:dyDescent="0.2"/>
    <row r="1338" s="18" customFormat="1" ht="12.75" x14ac:dyDescent="0.2"/>
    <row r="1339" s="18" customFormat="1" ht="12.75" x14ac:dyDescent="0.2"/>
    <row r="1340" s="18" customFormat="1" ht="12.75" x14ac:dyDescent="0.2"/>
    <row r="1341" s="18" customFormat="1" ht="12.75" x14ac:dyDescent="0.2"/>
    <row r="1342" s="18" customFormat="1" ht="12.75" x14ac:dyDescent="0.2"/>
    <row r="1343" s="18" customFormat="1" ht="12.75" x14ac:dyDescent="0.2"/>
    <row r="1344" s="18" customFormat="1" ht="12.75" x14ac:dyDescent="0.2"/>
    <row r="1345" s="18" customFormat="1" ht="12.75" x14ac:dyDescent="0.2"/>
    <row r="1346" s="18" customFormat="1" ht="12.75" x14ac:dyDescent="0.2"/>
    <row r="1347" s="18" customFormat="1" ht="12.75" x14ac:dyDescent="0.2"/>
    <row r="1348" s="18" customFormat="1" ht="12.75" x14ac:dyDescent="0.2"/>
    <row r="1349" s="18" customFormat="1" ht="12.75" x14ac:dyDescent="0.2"/>
    <row r="1350" s="18" customFormat="1" ht="12.75" x14ac:dyDescent="0.2"/>
    <row r="1351" s="18" customFormat="1" ht="12.75" x14ac:dyDescent="0.2"/>
    <row r="1352" s="18" customFormat="1" ht="12.75" x14ac:dyDescent="0.2"/>
    <row r="1353" s="18" customFormat="1" ht="12.75" x14ac:dyDescent="0.2"/>
    <row r="1354" s="18" customFormat="1" ht="12.75" x14ac:dyDescent="0.2"/>
    <row r="1355" s="18" customFormat="1" ht="12.75" x14ac:dyDescent="0.2"/>
    <row r="1356" s="18" customFormat="1" ht="12.75" x14ac:dyDescent="0.2"/>
    <row r="1357" s="18" customFormat="1" ht="12.75" x14ac:dyDescent="0.2"/>
    <row r="1358" s="18" customFormat="1" ht="12.75" x14ac:dyDescent="0.2"/>
    <row r="1359" s="18" customFormat="1" ht="12.75" x14ac:dyDescent="0.2"/>
    <row r="1360" s="18" customFormat="1" ht="12.75" x14ac:dyDescent="0.2"/>
    <row r="1361" s="18" customFormat="1" ht="12.75" x14ac:dyDescent="0.2"/>
    <row r="1362" s="18" customFormat="1" ht="12.75" x14ac:dyDescent="0.2"/>
    <row r="1363" s="18" customFormat="1" ht="12.75" x14ac:dyDescent="0.2"/>
    <row r="1364" s="18" customFormat="1" ht="12.75" x14ac:dyDescent="0.2"/>
    <row r="1365" s="18" customFormat="1" ht="12.75" x14ac:dyDescent="0.2"/>
    <row r="1366" s="18" customFormat="1" ht="12.75" x14ac:dyDescent="0.2"/>
    <row r="1367" s="18" customFormat="1" ht="12.75" x14ac:dyDescent="0.2"/>
    <row r="1368" s="18" customFormat="1" ht="12.75" x14ac:dyDescent="0.2"/>
    <row r="1369" s="18" customFormat="1" ht="12.75" x14ac:dyDescent="0.2"/>
    <row r="1370" s="18" customFormat="1" ht="12.75" x14ac:dyDescent="0.2"/>
    <row r="1371" s="18" customFormat="1" ht="12.75" x14ac:dyDescent="0.2"/>
    <row r="1372" s="18" customFormat="1" ht="12.75" x14ac:dyDescent="0.2"/>
    <row r="1373" s="18" customFormat="1" ht="12.75" x14ac:dyDescent="0.2"/>
    <row r="1374" s="18" customFormat="1" ht="12.75" x14ac:dyDescent="0.2"/>
    <row r="1375" s="18" customFormat="1" ht="12.75" x14ac:dyDescent="0.2"/>
    <row r="1376" s="18" customFormat="1" ht="12.75" x14ac:dyDescent="0.2"/>
    <row r="1377" s="18" customFormat="1" ht="12.75" x14ac:dyDescent="0.2"/>
    <row r="1378" s="18" customFormat="1" ht="12.75" x14ac:dyDescent="0.2"/>
    <row r="1379" s="18" customFormat="1" ht="12.75" x14ac:dyDescent="0.2"/>
    <row r="1380" s="18" customFormat="1" ht="12.75" x14ac:dyDescent="0.2"/>
    <row r="1381" s="18" customFormat="1" ht="12.75" x14ac:dyDescent="0.2"/>
    <row r="1382" s="18" customFormat="1" ht="12.75" x14ac:dyDescent="0.2"/>
    <row r="1383" s="18" customFormat="1" ht="12.75" x14ac:dyDescent="0.2"/>
    <row r="1384" s="18" customFormat="1" ht="12.75" x14ac:dyDescent="0.2"/>
    <row r="1385" s="18" customFormat="1" ht="12.75" x14ac:dyDescent="0.2"/>
    <row r="1386" s="18" customFormat="1" ht="12.75" x14ac:dyDescent="0.2"/>
    <row r="1387" s="18" customFormat="1" ht="12.75" x14ac:dyDescent="0.2"/>
    <row r="1388" s="18" customFormat="1" ht="12.75" x14ac:dyDescent="0.2"/>
    <row r="1389" s="18" customFormat="1" ht="12.75" x14ac:dyDescent="0.2"/>
    <row r="1390" s="18" customFormat="1" ht="12.75" x14ac:dyDescent="0.2"/>
    <row r="1391" s="18" customFormat="1" ht="12.75" x14ac:dyDescent="0.2"/>
    <row r="1392" s="18" customFormat="1" ht="12.75" x14ac:dyDescent="0.2"/>
    <row r="1393" s="18" customFormat="1" ht="12.75" x14ac:dyDescent="0.2"/>
    <row r="1394" s="18" customFormat="1" ht="12.75" x14ac:dyDescent="0.2"/>
    <row r="1395" s="18" customFormat="1" ht="12.75" x14ac:dyDescent="0.2"/>
    <row r="1396" s="18" customFormat="1" ht="12.75" x14ac:dyDescent="0.2"/>
    <row r="1397" s="18" customFormat="1" ht="12.75" x14ac:dyDescent="0.2"/>
    <row r="1398" s="18" customFormat="1" ht="12.75" x14ac:dyDescent="0.2"/>
    <row r="1399" s="18" customFormat="1" ht="12.75" x14ac:dyDescent="0.2"/>
    <row r="1400" s="18" customFormat="1" ht="12.75" x14ac:dyDescent="0.2"/>
    <row r="1401" s="18" customFormat="1" ht="12.75" x14ac:dyDescent="0.2"/>
    <row r="1402" s="18" customFormat="1" ht="12.75" x14ac:dyDescent="0.2"/>
    <row r="1403" s="18" customFormat="1" ht="12.75" x14ac:dyDescent="0.2"/>
    <row r="1404" s="18" customFormat="1" ht="12.75" x14ac:dyDescent="0.2"/>
    <row r="1405" s="18" customFormat="1" ht="12.75" x14ac:dyDescent="0.2"/>
    <row r="1406" s="18" customFormat="1" ht="12.75" x14ac:dyDescent="0.2"/>
    <row r="1407" s="18" customFormat="1" ht="12.75" x14ac:dyDescent="0.2"/>
    <row r="1408" s="18" customFormat="1" ht="12.75" x14ac:dyDescent="0.2"/>
    <row r="1409" s="18" customFormat="1" ht="12.75" x14ac:dyDescent="0.2"/>
    <row r="1410" s="18" customFormat="1" ht="12.75" x14ac:dyDescent="0.2"/>
    <row r="1411" s="18" customFormat="1" ht="12.75" x14ac:dyDescent="0.2"/>
    <row r="1412" s="18" customFormat="1" ht="12.75" x14ac:dyDescent="0.2"/>
    <row r="1413" s="18" customFormat="1" ht="12.75" x14ac:dyDescent="0.2"/>
    <row r="1414" s="18" customFormat="1" ht="12.75" x14ac:dyDescent="0.2"/>
    <row r="1415" s="18" customFormat="1" ht="12.75" x14ac:dyDescent="0.2"/>
    <row r="1416" s="18" customFormat="1" ht="12.75" x14ac:dyDescent="0.2"/>
    <row r="1417" s="18" customFormat="1" ht="12.75" x14ac:dyDescent="0.2"/>
    <row r="1418" s="18" customFormat="1" ht="12.75" x14ac:dyDescent="0.2"/>
    <row r="1419" s="18" customFormat="1" ht="12.75" x14ac:dyDescent="0.2"/>
    <row r="1420" s="18" customFormat="1" ht="12.75" x14ac:dyDescent="0.2"/>
    <row r="1421" s="18" customFormat="1" ht="12.75" x14ac:dyDescent="0.2"/>
    <row r="1422" s="18" customFormat="1" ht="12.75" x14ac:dyDescent="0.2"/>
    <row r="1423" s="18" customFormat="1" ht="12.75" x14ac:dyDescent="0.2"/>
    <row r="1424" s="18" customFormat="1" ht="12.75" x14ac:dyDescent="0.2"/>
    <row r="1425" s="18" customFormat="1" ht="12.75" x14ac:dyDescent="0.2"/>
    <row r="1426" s="18" customFormat="1" ht="12.75" x14ac:dyDescent="0.2"/>
    <row r="1427" s="18" customFormat="1" ht="12.75" x14ac:dyDescent="0.2"/>
    <row r="1428" s="18" customFormat="1" ht="12.75" x14ac:dyDescent="0.2"/>
    <row r="1429" s="18" customFormat="1" ht="12.75" x14ac:dyDescent="0.2"/>
    <row r="1430" s="18" customFormat="1" ht="12.75" x14ac:dyDescent="0.2"/>
    <row r="1431" s="18" customFormat="1" ht="12.75" x14ac:dyDescent="0.2"/>
    <row r="1432" s="18" customFormat="1" ht="12.75" x14ac:dyDescent="0.2"/>
    <row r="1433" s="18" customFormat="1" ht="12.75" x14ac:dyDescent="0.2"/>
    <row r="1434" s="18" customFormat="1" ht="12.75" x14ac:dyDescent="0.2"/>
    <row r="1435" s="18" customFormat="1" ht="12.75" x14ac:dyDescent="0.2"/>
    <row r="1436" s="18" customFormat="1" ht="12.75" x14ac:dyDescent="0.2"/>
    <row r="1437" s="18" customFormat="1" ht="12.75" x14ac:dyDescent="0.2"/>
    <row r="1438" s="18" customFormat="1" ht="12.75" x14ac:dyDescent="0.2"/>
    <row r="1439" s="18" customFormat="1" ht="12.75" x14ac:dyDescent="0.2"/>
    <row r="1440" s="18" customFormat="1" ht="12.75" x14ac:dyDescent="0.2"/>
    <row r="1441" s="18" customFormat="1" ht="12.75" x14ac:dyDescent="0.2"/>
    <row r="1442" s="18" customFormat="1" ht="12.75" x14ac:dyDescent="0.2"/>
    <row r="1443" s="18" customFormat="1" ht="12.75" x14ac:dyDescent="0.2"/>
    <row r="1444" s="18" customFormat="1" ht="12.75" x14ac:dyDescent="0.2"/>
    <row r="1445" s="18" customFormat="1" ht="12.75" x14ac:dyDescent="0.2"/>
    <row r="1446" s="18" customFormat="1" ht="12.75" x14ac:dyDescent="0.2"/>
    <row r="1447" s="18" customFormat="1" ht="12.75" x14ac:dyDescent="0.2"/>
    <row r="1448" s="18" customFormat="1" ht="12.75" x14ac:dyDescent="0.2"/>
    <row r="1449" s="18" customFormat="1" ht="12.75" x14ac:dyDescent="0.2"/>
    <row r="1450" s="18" customFormat="1" ht="12.75" x14ac:dyDescent="0.2"/>
    <row r="1451" s="18" customFormat="1" ht="12.75" x14ac:dyDescent="0.2"/>
    <row r="1452" s="18" customFormat="1" ht="12.75" x14ac:dyDescent="0.2"/>
    <row r="1453" s="18" customFormat="1" ht="12.75" x14ac:dyDescent="0.2"/>
    <row r="1454" s="18" customFormat="1" ht="12.75" x14ac:dyDescent="0.2"/>
    <row r="1455" s="18" customFormat="1" ht="12.75" x14ac:dyDescent="0.2"/>
    <row r="1456" s="18" customFormat="1" ht="12.75" x14ac:dyDescent="0.2"/>
    <row r="1457" s="18" customFormat="1" ht="12.75" x14ac:dyDescent="0.2"/>
    <row r="1458" s="18" customFormat="1" ht="12.75" x14ac:dyDescent="0.2"/>
    <row r="1459" s="18" customFormat="1" ht="12.75" x14ac:dyDescent="0.2"/>
    <row r="1460" s="18" customFormat="1" ht="12.75" x14ac:dyDescent="0.2"/>
    <row r="1461" s="18" customFormat="1" ht="12.75" x14ac:dyDescent="0.2"/>
    <row r="1462" s="18" customFormat="1" ht="12.75" x14ac:dyDescent="0.2"/>
    <row r="1463" s="18" customFormat="1" ht="12.75" x14ac:dyDescent="0.2"/>
    <row r="1464" s="18" customFormat="1" ht="12.75" x14ac:dyDescent="0.2"/>
    <row r="1465" s="18" customFormat="1" ht="12.75" x14ac:dyDescent="0.2"/>
    <row r="1466" s="18" customFormat="1" ht="12.75" x14ac:dyDescent="0.2"/>
    <row r="1467" s="18" customFormat="1" ht="12.75" x14ac:dyDescent="0.2"/>
    <row r="1468" s="18" customFormat="1" ht="12.75" x14ac:dyDescent="0.2"/>
    <row r="1469" s="18" customFormat="1" ht="12.75" x14ac:dyDescent="0.2"/>
    <row r="1470" s="18" customFormat="1" ht="12.75" x14ac:dyDescent="0.2"/>
    <row r="1471" s="18" customFormat="1" ht="12.75" x14ac:dyDescent="0.2"/>
    <row r="1472" s="18" customFormat="1" ht="12.75" x14ac:dyDescent="0.2"/>
    <row r="1473" s="18" customFormat="1" ht="12.75" x14ac:dyDescent="0.2"/>
    <row r="1474" s="18" customFormat="1" ht="12.75" x14ac:dyDescent="0.2"/>
    <row r="1475" s="18" customFormat="1" ht="12.75" x14ac:dyDescent="0.2"/>
    <row r="1476" s="18" customFormat="1" ht="12.75" x14ac:dyDescent="0.2"/>
    <row r="1477" s="18" customFormat="1" ht="12.75" x14ac:dyDescent="0.2"/>
    <row r="1478" s="18" customFormat="1" ht="12.75" x14ac:dyDescent="0.2"/>
    <row r="1479" s="18" customFormat="1" ht="12.75" x14ac:dyDescent="0.2"/>
    <row r="1480" s="18" customFormat="1" ht="12.75" x14ac:dyDescent="0.2"/>
    <row r="1481" s="18" customFormat="1" ht="12.75" x14ac:dyDescent="0.2"/>
    <row r="1482" s="18" customFormat="1" ht="12.75" x14ac:dyDescent="0.2"/>
    <row r="1483" s="18" customFormat="1" ht="12.75" x14ac:dyDescent="0.2"/>
    <row r="1484" s="18" customFormat="1" ht="12.75" x14ac:dyDescent="0.2"/>
    <row r="1485" s="18" customFormat="1" ht="12.75" x14ac:dyDescent="0.2"/>
    <row r="1486" s="18" customFormat="1" ht="12.75" x14ac:dyDescent="0.2"/>
    <row r="1487" s="18" customFormat="1" ht="12.75" x14ac:dyDescent="0.2"/>
    <row r="1488" s="18" customFormat="1" ht="12.75" x14ac:dyDescent="0.2"/>
    <row r="1489" s="18" customFormat="1" ht="12.75" x14ac:dyDescent="0.2"/>
    <row r="1490" s="18" customFormat="1" ht="12.75" x14ac:dyDescent="0.2"/>
    <row r="1491" s="18" customFormat="1" ht="12.75" x14ac:dyDescent="0.2"/>
    <row r="1492" s="18" customFormat="1" ht="12.75" x14ac:dyDescent="0.2"/>
    <row r="1493" s="18" customFormat="1" ht="12.75" x14ac:dyDescent="0.2"/>
    <row r="1494" s="18" customFormat="1" ht="12.75" x14ac:dyDescent="0.2"/>
    <row r="1495" s="18" customFormat="1" ht="12.75" x14ac:dyDescent="0.2"/>
    <row r="1496" s="18" customFormat="1" ht="12.75" x14ac:dyDescent="0.2"/>
    <row r="1497" s="18" customFormat="1" ht="12.75" x14ac:dyDescent="0.2"/>
    <row r="1498" s="18" customFormat="1" ht="12.75" x14ac:dyDescent="0.2"/>
    <row r="1499" s="18" customFormat="1" ht="12.75" x14ac:dyDescent="0.2"/>
    <row r="1500" s="18" customFormat="1" ht="12.75" x14ac:dyDescent="0.2"/>
    <row r="1501" s="18" customFormat="1" ht="12.75" x14ac:dyDescent="0.2"/>
    <row r="1502" s="18" customFormat="1" ht="12.75" x14ac:dyDescent="0.2"/>
    <row r="1503" s="18" customFormat="1" ht="12.75" x14ac:dyDescent="0.2"/>
    <row r="1504" s="18" customFormat="1" ht="12.75" x14ac:dyDescent="0.2"/>
    <row r="1505" s="18" customFormat="1" ht="12.75" x14ac:dyDescent="0.2"/>
    <row r="1506" s="18" customFormat="1" ht="12.75" x14ac:dyDescent="0.2"/>
    <row r="1507" s="18" customFormat="1" ht="12.75" x14ac:dyDescent="0.2"/>
    <row r="1508" s="18" customFormat="1" ht="12.75" x14ac:dyDescent="0.2"/>
    <row r="1509" s="18" customFormat="1" ht="12.75" x14ac:dyDescent="0.2"/>
    <row r="1510" s="18" customFormat="1" ht="12.75" x14ac:dyDescent="0.2"/>
    <row r="1511" s="18" customFormat="1" ht="12.75" x14ac:dyDescent="0.2"/>
    <row r="1512" s="18" customFormat="1" ht="12.75" x14ac:dyDescent="0.2"/>
    <row r="1513" s="18" customFormat="1" ht="12.75" x14ac:dyDescent="0.2"/>
    <row r="1514" s="18" customFormat="1" ht="12.75" x14ac:dyDescent="0.2"/>
    <row r="1515" s="18" customFormat="1" ht="12.75" x14ac:dyDescent="0.2"/>
    <row r="1516" s="18" customFormat="1" ht="12.75" x14ac:dyDescent="0.2"/>
    <row r="1517" s="18" customFormat="1" ht="12.75" x14ac:dyDescent="0.2"/>
    <row r="1518" s="18" customFormat="1" ht="12.75" x14ac:dyDescent="0.2"/>
    <row r="1519" s="18" customFormat="1" ht="12.75" x14ac:dyDescent="0.2"/>
    <row r="1520" s="18" customFormat="1" ht="12.75" x14ac:dyDescent="0.2"/>
    <row r="1521" s="18" customFormat="1" ht="12.75" x14ac:dyDescent="0.2"/>
    <row r="1522" s="18" customFormat="1" ht="12.75" x14ac:dyDescent="0.2"/>
    <row r="1523" s="18" customFormat="1" ht="12.75" x14ac:dyDescent="0.2"/>
    <row r="1524" s="18" customFormat="1" ht="12.75" x14ac:dyDescent="0.2"/>
    <row r="1525" s="18" customFormat="1" ht="12.75" x14ac:dyDescent="0.2"/>
    <row r="1526" s="18" customFormat="1" ht="12.75" x14ac:dyDescent="0.2"/>
    <row r="1527" s="18" customFormat="1" ht="12.75" x14ac:dyDescent="0.2"/>
    <row r="1528" s="18" customFormat="1" ht="12.75" x14ac:dyDescent="0.2"/>
    <row r="1529" s="18" customFormat="1" ht="12.75" x14ac:dyDescent="0.2"/>
    <row r="1530" s="18" customFormat="1" ht="12.75" x14ac:dyDescent="0.2"/>
    <row r="1531" s="18" customFormat="1" ht="12.75" x14ac:dyDescent="0.2"/>
    <row r="1532" s="18" customFormat="1" ht="12.75" x14ac:dyDescent="0.2"/>
    <row r="1533" s="18" customFormat="1" ht="12.75" x14ac:dyDescent="0.2"/>
    <row r="1534" s="18" customFormat="1" ht="12.75" x14ac:dyDescent="0.2"/>
    <row r="1535" s="18" customFormat="1" ht="12.75" x14ac:dyDescent="0.2"/>
    <row r="1536" s="18" customFormat="1" ht="12.75" x14ac:dyDescent="0.2"/>
    <row r="1537" s="18" customFormat="1" ht="12.75" x14ac:dyDescent="0.2"/>
    <row r="1538" s="18" customFormat="1" ht="12.75" x14ac:dyDescent="0.2"/>
    <row r="1539" s="18" customFormat="1" ht="12.75" x14ac:dyDescent="0.2"/>
    <row r="1540" s="18" customFormat="1" ht="12.75" x14ac:dyDescent="0.2"/>
    <row r="1541" s="18" customFormat="1" ht="12.75" x14ac:dyDescent="0.2"/>
    <row r="1542" s="18" customFormat="1" ht="12.75" x14ac:dyDescent="0.2"/>
    <row r="1543" s="18" customFormat="1" ht="12.75" x14ac:dyDescent="0.2"/>
    <row r="1544" s="18" customFormat="1" ht="12.75" x14ac:dyDescent="0.2"/>
    <row r="1545" s="18" customFormat="1" ht="12.75" x14ac:dyDescent="0.2"/>
    <row r="1546" s="18" customFormat="1" ht="12.75" x14ac:dyDescent="0.2"/>
    <row r="1547" s="18" customFormat="1" ht="12.75" x14ac:dyDescent="0.2"/>
    <row r="1548" s="18" customFormat="1" ht="12.75" x14ac:dyDescent="0.2"/>
    <row r="1549" s="18" customFormat="1" ht="12.75" x14ac:dyDescent="0.2"/>
    <row r="1550" s="18" customFormat="1" ht="12.75" x14ac:dyDescent="0.2"/>
    <row r="1551" s="18" customFormat="1" ht="12.75" x14ac:dyDescent="0.2"/>
    <row r="1552" s="18" customFormat="1" ht="12.75" x14ac:dyDescent="0.2"/>
    <row r="1553" s="18" customFormat="1" ht="12.75" x14ac:dyDescent="0.2"/>
    <row r="1554" s="18" customFormat="1" ht="12.75" x14ac:dyDescent="0.2"/>
    <row r="1555" s="18" customFormat="1" ht="12.75" x14ac:dyDescent="0.2"/>
    <row r="1556" s="18" customFormat="1" ht="12.75" x14ac:dyDescent="0.2"/>
    <row r="1557" s="18" customFormat="1" ht="12.75" x14ac:dyDescent="0.2"/>
    <row r="1558" s="18" customFormat="1" ht="12.75" x14ac:dyDescent="0.2"/>
    <row r="1559" s="18" customFormat="1" ht="12.75" x14ac:dyDescent="0.2"/>
    <row r="1560" s="18" customFormat="1" ht="12.75" x14ac:dyDescent="0.2"/>
    <row r="1561" s="18" customFormat="1" ht="12.75" x14ac:dyDescent="0.2"/>
    <row r="1562" s="18" customFormat="1" ht="12.75" x14ac:dyDescent="0.2"/>
    <row r="1563" s="18" customFormat="1" ht="12.75" x14ac:dyDescent="0.2"/>
    <row r="1564" s="18" customFormat="1" ht="12.75" x14ac:dyDescent="0.2"/>
    <row r="1565" s="18" customFormat="1" ht="12.75" x14ac:dyDescent="0.2"/>
    <row r="1566" s="18" customFormat="1" ht="12.75" x14ac:dyDescent="0.2"/>
    <row r="1567" s="18" customFormat="1" ht="12.75" x14ac:dyDescent="0.2"/>
    <row r="1568" s="18" customFormat="1" ht="12.75" x14ac:dyDescent="0.2"/>
    <row r="1569" s="18" customFormat="1" ht="12.75" x14ac:dyDescent="0.2"/>
    <row r="1570" s="18" customFormat="1" ht="12.75" x14ac:dyDescent="0.2"/>
    <row r="1571" s="18" customFormat="1" ht="12.75" x14ac:dyDescent="0.2"/>
    <row r="1572" s="18" customFormat="1" ht="12.75" x14ac:dyDescent="0.2"/>
    <row r="1573" s="18" customFormat="1" ht="12.75" x14ac:dyDescent="0.2"/>
    <row r="1574" s="18" customFormat="1" ht="12.75" x14ac:dyDescent="0.2"/>
    <row r="1575" s="18" customFormat="1" ht="12.75" x14ac:dyDescent="0.2"/>
    <row r="1576" s="18" customFormat="1" ht="12.75" x14ac:dyDescent="0.2"/>
    <row r="1577" s="18" customFormat="1" ht="12.75" x14ac:dyDescent="0.2"/>
    <row r="1578" s="18" customFormat="1" ht="12.75" x14ac:dyDescent="0.2"/>
    <row r="1579" s="18" customFormat="1" ht="12.75" x14ac:dyDescent="0.2"/>
    <row r="1580" s="18" customFormat="1" ht="12.75" x14ac:dyDescent="0.2"/>
    <row r="1581" s="18" customFormat="1" ht="12.75" x14ac:dyDescent="0.2"/>
    <row r="1582" s="18" customFormat="1" ht="12.75" x14ac:dyDescent="0.2"/>
    <row r="1583" s="18" customFormat="1" ht="12.75" x14ac:dyDescent="0.2"/>
    <row r="1584" s="18" customFormat="1" ht="12.75" x14ac:dyDescent="0.2"/>
    <row r="1585" s="18" customFormat="1" ht="12.75" x14ac:dyDescent="0.2"/>
    <row r="1586" s="18" customFormat="1" ht="12.75" x14ac:dyDescent="0.2"/>
    <row r="1587" s="18" customFormat="1" ht="12.75" x14ac:dyDescent="0.2"/>
    <row r="1588" s="18" customFormat="1" ht="12.75" x14ac:dyDescent="0.2"/>
    <row r="1589" s="18" customFormat="1" ht="12.75" x14ac:dyDescent="0.2"/>
    <row r="1590" s="18" customFormat="1" ht="12.75" x14ac:dyDescent="0.2"/>
    <row r="1591" s="18" customFormat="1" ht="12.75" x14ac:dyDescent="0.2"/>
    <row r="1592" s="18" customFormat="1" ht="12.75" x14ac:dyDescent="0.2"/>
    <row r="1593" s="18" customFormat="1" ht="12.75" x14ac:dyDescent="0.2"/>
    <row r="1594" s="18" customFormat="1" ht="12.75" x14ac:dyDescent="0.2"/>
    <row r="1595" s="18" customFormat="1" ht="12.75" x14ac:dyDescent="0.2"/>
    <row r="1596" s="18" customFormat="1" ht="12.75" x14ac:dyDescent="0.2"/>
    <row r="1597" s="18" customFormat="1" ht="12.75" x14ac:dyDescent="0.2"/>
    <row r="1598" s="18" customFormat="1" ht="12.75" x14ac:dyDescent="0.2"/>
    <row r="1599" s="18" customFormat="1" ht="12.75" x14ac:dyDescent="0.2"/>
    <row r="1600" s="18" customFormat="1" ht="12.75" x14ac:dyDescent="0.2"/>
    <row r="1601" s="18" customFormat="1" ht="12.75" x14ac:dyDescent="0.2"/>
    <row r="1602" s="18" customFormat="1" ht="12.75" x14ac:dyDescent="0.2"/>
    <row r="1603" s="18" customFormat="1" ht="12.75" x14ac:dyDescent="0.2"/>
    <row r="1604" s="18" customFormat="1" ht="12.75" x14ac:dyDescent="0.2"/>
    <row r="1605" s="18" customFormat="1" ht="12.75" x14ac:dyDescent="0.2"/>
    <row r="1606" s="18" customFormat="1" ht="12.75" x14ac:dyDescent="0.2"/>
    <row r="1607" s="18" customFormat="1" ht="12.75" x14ac:dyDescent="0.2"/>
    <row r="1608" s="18" customFormat="1" ht="12.75" x14ac:dyDescent="0.2"/>
    <row r="1609" s="18" customFormat="1" ht="12.75" x14ac:dyDescent="0.2"/>
    <row r="1610" s="18" customFormat="1" ht="12.75" x14ac:dyDescent="0.2"/>
    <row r="1611" s="18" customFormat="1" ht="12.75" x14ac:dyDescent="0.2"/>
    <row r="1612" s="18" customFormat="1" ht="12.75" x14ac:dyDescent="0.2"/>
    <row r="1613" s="18" customFormat="1" ht="12.75" x14ac:dyDescent="0.2"/>
    <row r="1614" s="18" customFormat="1" ht="12.75" x14ac:dyDescent="0.2"/>
    <row r="1615" s="18" customFormat="1" ht="12.75" x14ac:dyDescent="0.2"/>
    <row r="1616" s="18" customFormat="1" ht="12.75" x14ac:dyDescent="0.2"/>
    <row r="1617" s="18" customFormat="1" ht="12.75" x14ac:dyDescent="0.2"/>
    <row r="1618" s="18" customFormat="1" ht="12.75" x14ac:dyDescent="0.2"/>
    <row r="1619" s="18" customFormat="1" ht="12.75" x14ac:dyDescent="0.2"/>
    <row r="1620" s="18" customFormat="1" ht="12.75" x14ac:dyDescent="0.2"/>
    <row r="1621" s="18" customFormat="1" ht="12.75" x14ac:dyDescent="0.2"/>
    <row r="1622" s="18" customFormat="1" ht="12.75" x14ac:dyDescent="0.2"/>
    <row r="1623" s="18" customFormat="1" ht="12.75" x14ac:dyDescent="0.2"/>
    <row r="1624" s="18" customFormat="1" ht="12.75" x14ac:dyDescent="0.2"/>
    <row r="1625" s="18" customFormat="1" ht="12.75" x14ac:dyDescent="0.2"/>
    <row r="1626" s="18" customFormat="1" ht="12.75" x14ac:dyDescent="0.2"/>
    <row r="1627" s="18" customFormat="1" ht="12.75" x14ac:dyDescent="0.2"/>
    <row r="1628" s="18" customFormat="1" ht="12.75" x14ac:dyDescent="0.2"/>
    <row r="1629" s="18" customFormat="1" ht="12.75" x14ac:dyDescent="0.2"/>
    <row r="1630" s="18" customFormat="1" ht="12.75" x14ac:dyDescent="0.2"/>
    <row r="1631" s="18" customFormat="1" ht="12.75" x14ac:dyDescent="0.2"/>
    <row r="1632" s="18" customFormat="1" ht="12.75" x14ac:dyDescent="0.2"/>
    <row r="1633" s="18" customFormat="1" ht="12.75" x14ac:dyDescent="0.2"/>
    <row r="1634" s="18" customFormat="1" ht="12.75" x14ac:dyDescent="0.2"/>
    <row r="1635" s="18" customFormat="1" ht="12.75" x14ac:dyDescent="0.2"/>
    <row r="1636" s="18" customFormat="1" ht="12.75" x14ac:dyDescent="0.2"/>
    <row r="1637" s="18" customFormat="1" ht="12.75" x14ac:dyDescent="0.2"/>
    <row r="1638" s="18" customFormat="1" ht="12.75" x14ac:dyDescent="0.2"/>
    <row r="1639" s="18" customFormat="1" ht="12.75" x14ac:dyDescent="0.2"/>
    <row r="1640" s="18" customFormat="1" ht="12.75" x14ac:dyDescent="0.2"/>
    <row r="1641" s="18" customFormat="1" ht="12.75" x14ac:dyDescent="0.2"/>
    <row r="1642" s="18" customFormat="1" ht="12.75" x14ac:dyDescent="0.2"/>
    <row r="1643" s="18" customFormat="1" ht="12.75" x14ac:dyDescent="0.2"/>
    <row r="1644" s="18" customFormat="1" ht="12.75" x14ac:dyDescent="0.2"/>
    <row r="1645" s="18" customFormat="1" ht="12.75" x14ac:dyDescent="0.2"/>
    <row r="1646" s="18" customFormat="1" ht="12.75" x14ac:dyDescent="0.2"/>
    <row r="1647" s="18" customFormat="1" ht="12.75" x14ac:dyDescent="0.2"/>
    <row r="1648" s="18" customFormat="1" ht="12.75" x14ac:dyDescent="0.2"/>
    <row r="1649" s="18" customFormat="1" ht="12.75" x14ac:dyDescent="0.2"/>
    <row r="1650" s="18" customFormat="1" ht="12.75" x14ac:dyDescent="0.2"/>
    <row r="1651" s="18" customFormat="1" ht="12.75" x14ac:dyDescent="0.2"/>
    <row r="1652" s="18" customFormat="1" ht="12.75" x14ac:dyDescent="0.2"/>
    <row r="1653" s="18" customFormat="1" ht="12.75" x14ac:dyDescent="0.2"/>
    <row r="1654" s="18" customFormat="1" ht="12.75" x14ac:dyDescent="0.2"/>
    <row r="1655" s="18" customFormat="1" ht="12.75" x14ac:dyDescent="0.2"/>
    <row r="1656" s="18" customFormat="1" ht="12.75" x14ac:dyDescent="0.2"/>
    <row r="1657" s="18" customFormat="1" ht="12.75" x14ac:dyDescent="0.2"/>
    <row r="1658" s="18" customFormat="1" ht="12.75" x14ac:dyDescent="0.2"/>
    <row r="1659" s="18" customFormat="1" ht="12.75" x14ac:dyDescent="0.2"/>
    <row r="1660" s="18" customFormat="1" ht="12.75" x14ac:dyDescent="0.2"/>
    <row r="1661" s="18" customFormat="1" ht="12.75" x14ac:dyDescent="0.2"/>
    <row r="1662" s="18" customFormat="1" ht="12.75" x14ac:dyDescent="0.2"/>
    <row r="1663" s="18" customFormat="1" ht="12.75" x14ac:dyDescent="0.2"/>
    <row r="1664" s="18" customFormat="1" ht="12.75" x14ac:dyDescent="0.2"/>
    <row r="1665" s="18" customFormat="1" ht="12.75" x14ac:dyDescent="0.2"/>
    <row r="1666" s="18" customFormat="1" ht="12.75" x14ac:dyDescent="0.2"/>
    <row r="1667" s="18" customFormat="1" ht="12.75" x14ac:dyDescent="0.2"/>
    <row r="1668" s="18" customFormat="1" ht="12.75" x14ac:dyDescent="0.2"/>
    <row r="1669" s="18" customFormat="1" ht="12.75" x14ac:dyDescent="0.2"/>
    <row r="1670" s="18" customFormat="1" ht="12.75" x14ac:dyDescent="0.2"/>
    <row r="1671" s="18" customFormat="1" ht="12.75" x14ac:dyDescent="0.2"/>
    <row r="1672" s="18" customFormat="1" ht="12.75" x14ac:dyDescent="0.2"/>
    <row r="1673" s="18" customFormat="1" ht="12.75" x14ac:dyDescent="0.2"/>
    <row r="1674" s="18" customFormat="1" ht="12.75" x14ac:dyDescent="0.2"/>
    <row r="1675" s="18" customFormat="1" ht="12.75" x14ac:dyDescent="0.2"/>
    <row r="1676" s="18" customFormat="1" ht="12.75" x14ac:dyDescent="0.2"/>
    <row r="1677" s="18" customFormat="1" ht="12.75" x14ac:dyDescent="0.2"/>
    <row r="1678" s="18" customFormat="1" ht="12.75" x14ac:dyDescent="0.2"/>
    <row r="1679" s="18" customFormat="1" ht="12.75" x14ac:dyDescent="0.2"/>
    <row r="1680" s="18" customFormat="1" ht="12.75" x14ac:dyDescent="0.2"/>
    <row r="1681" s="18" customFormat="1" ht="12.75" x14ac:dyDescent="0.2"/>
    <row r="1682" s="18" customFormat="1" ht="12.75" x14ac:dyDescent="0.2"/>
    <row r="1683" s="18" customFormat="1" ht="12.75" x14ac:dyDescent="0.2"/>
    <row r="1684" s="18" customFormat="1" ht="12.75" x14ac:dyDescent="0.2"/>
    <row r="1685" s="18" customFormat="1" ht="12.75" x14ac:dyDescent="0.2"/>
    <row r="1686" s="18" customFormat="1" ht="12.75" x14ac:dyDescent="0.2"/>
    <row r="1687" s="18" customFormat="1" ht="12.75" x14ac:dyDescent="0.2"/>
    <row r="1688" s="18" customFormat="1" ht="12.75" x14ac:dyDescent="0.2"/>
    <row r="1689" s="18" customFormat="1" ht="12.75" x14ac:dyDescent="0.2"/>
    <row r="1690" s="18" customFormat="1" ht="12.75" x14ac:dyDescent="0.2"/>
    <row r="1691" s="18" customFormat="1" ht="12.75" x14ac:dyDescent="0.2"/>
    <row r="1692" s="18" customFormat="1" ht="12.75" x14ac:dyDescent="0.2"/>
    <row r="1693" s="18" customFormat="1" ht="12.75" x14ac:dyDescent="0.2"/>
    <row r="1694" s="18" customFormat="1" ht="12.75" x14ac:dyDescent="0.2"/>
    <row r="1695" s="18" customFormat="1" ht="12.75" x14ac:dyDescent="0.2"/>
    <row r="1696" s="18" customFormat="1" ht="12.75" x14ac:dyDescent="0.2"/>
    <row r="1697" s="18" customFormat="1" ht="12.75" x14ac:dyDescent="0.2"/>
    <row r="1698" s="18" customFormat="1" ht="12.75" x14ac:dyDescent="0.2"/>
    <row r="1699" s="18" customFormat="1" ht="12.75" x14ac:dyDescent="0.2"/>
    <row r="1700" s="18" customFormat="1" ht="12.75" x14ac:dyDescent="0.2"/>
    <row r="1701" s="18" customFormat="1" ht="12.75" x14ac:dyDescent="0.2"/>
    <row r="1702" s="18" customFormat="1" ht="12.75" x14ac:dyDescent="0.2"/>
    <row r="1703" s="18" customFormat="1" ht="12.75" x14ac:dyDescent="0.2"/>
    <row r="1704" s="18" customFormat="1" ht="12.75" x14ac:dyDescent="0.2"/>
    <row r="1705" s="18" customFormat="1" ht="12.75" x14ac:dyDescent="0.2"/>
    <row r="1706" s="18" customFormat="1" ht="12.75" x14ac:dyDescent="0.2"/>
    <row r="1707" s="18" customFormat="1" ht="12.75" x14ac:dyDescent="0.2"/>
    <row r="1708" s="18" customFormat="1" ht="12.75" x14ac:dyDescent="0.2"/>
    <row r="1709" s="18" customFormat="1" ht="12.75" x14ac:dyDescent="0.2"/>
    <row r="1710" s="18" customFormat="1" ht="12.75" x14ac:dyDescent="0.2"/>
    <row r="1711" s="18" customFormat="1" ht="12.75" x14ac:dyDescent="0.2"/>
    <row r="1712" s="18" customFormat="1" ht="12.75" x14ac:dyDescent="0.2"/>
    <row r="1713" s="18" customFormat="1" ht="12.75" x14ac:dyDescent="0.2"/>
    <row r="1714" s="18" customFormat="1" ht="12.75" x14ac:dyDescent="0.2"/>
    <row r="1715" s="18" customFormat="1" ht="12.75" x14ac:dyDescent="0.2"/>
    <row r="1716" s="18" customFormat="1" ht="12.75" x14ac:dyDescent="0.2"/>
    <row r="1717" s="18" customFormat="1" ht="12.75" x14ac:dyDescent="0.2"/>
    <row r="1718" s="18" customFormat="1" ht="12.75" x14ac:dyDescent="0.2"/>
    <row r="1719" s="18" customFormat="1" ht="12.75" x14ac:dyDescent="0.2"/>
    <row r="1720" s="18" customFormat="1" ht="12.75" x14ac:dyDescent="0.2"/>
    <row r="1721" s="18" customFormat="1" ht="12.75" x14ac:dyDescent="0.2"/>
    <row r="1722" s="18" customFormat="1" ht="12.75" x14ac:dyDescent="0.2"/>
    <row r="1723" s="18" customFormat="1" ht="12.75" x14ac:dyDescent="0.2"/>
    <row r="1724" s="18" customFormat="1" ht="12.75" x14ac:dyDescent="0.2"/>
    <row r="1725" s="18" customFormat="1" ht="12.75" x14ac:dyDescent="0.2"/>
    <row r="1726" s="18" customFormat="1" ht="12.75" x14ac:dyDescent="0.2"/>
    <row r="1727" s="18" customFormat="1" ht="12.75" x14ac:dyDescent="0.2"/>
    <row r="1728" s="18" customFormat="1" ht="12.75" x14ac:dyDescent="0.2"/>
    <row r="1729" s="18" customFormat="1" ht="12.75" x14ac:dyDescent="0.2"/>
    <row r="1730" s="18" customFormat="1" ht="12.75" x14ac:dyDescent="0.2"/>
    <row r="1731" s="18" customFormat="1" ht="12.75" x14ac:dyDescent="0.2"/>
    <row r="1732" s="18" customFormat="1" ht="12.75" x14ac:dyDescent="0.2"/>
    <row r="1733" s="18" customFormat="1" ht="12.75" x14ac:dyDescent="0.2"/>
    <row r="1734" s="18" customFormat="1" ht="12.75" x14ac:dyDescent="0.2"/>
    <row r="1735" s="18" customFormat="1" ht="12.75" x14ac:dyDescent="0.2"/>
    <row r="1736" s="18" customFormat="1" ht="12.75" x14ac:dyDescent="0.2"/>
    <row r="1737" s="18" customFormat="1" ht="12.75" x14ac:dyDescent="0.2"/>
    <row r="1738" s="18" customFormat="1" ht="12.75" x14ac:dyDescent="0.2"/>
    <row r="1739" s="18" customFormat="1" ht="12.75" x14ac:dyDescent="0.2"/>
    <row r="1740" s="18" customFormat="1" ht="12.75" x14ac:dyDescent="0.2"/>
    <row r="1741" s="18" customFormat="1" ht="12.75" x14ac:dyDescent="0.2"/>
    <row r="1742" s="18" customFormat="1" ht="12.75" x14ac:dyDescent="0.2"/>
    <row r="1743" s="18" customFormat="1" ht="12.75" x14ac:dyDescent="0.2"/>
    <row r="1744" s="18" customFormat="1" ht="12.75" x14ac:dyDescent="0.2"/>
    <row r="1745" s="18" customFormat="1" ht="12.75" x14ac:dyDescent="0.2"/>
    <row r="1746" s="18" customFormat="1" ht="12.75" x14ac:dyDescent="0.2"/>
    <row r="1747" s="18" customFormat="1" ht="12.75" x14ac:dyDescent="0.2"/>
    <row r="1748" s="18" customFormat="1" ht="12.75" x14ac:dyDescent="0.2"/>
    <row r="1749" s="18" customFormat="1" ht="12.75" x14ac:dyDescent="0.2"/>
    <row r="1750" s="18" customFormat="1" ht="12.75" x14ac:dyDescent="0.2"/>
    <row r="1751" s="18" customFormat="1" ht="12.75" x14ac:dyDescent="0.2"/>
    <row r="1752" s="18" customFormat="1" ht="12.75" x14ac:dyDescent="0.2"/>
    <row r="1753" s="18" customFormat="1" ht="12.75" x14ac:dyDescent="0.2"/>
    <row r="1754" s="18" customFormat="1" ht="12.75" x14ac:dyDescent="0.2"/>
    <row r="1755" s="18" customFormat="1" ht="12.75" x14ac:dyDescent="0.2"/>
    <row r="1756" s="18" customFormat="1" ht="12.75" x14ac:dyDescent="0.2"/>
    <row r="1757" s="18" customFormat="1" ht="12.75" x14ac:dyDescent="0.2"/>
    <row r="1758" s="18" customFormat="1" ht="12.75" x14ac:dyDescent="0.2"/>
    <row r="1759" s="18" customFormat="1" ht="12.75" x14ac:dyDescent="0.2"/>
    <row r="1760" s="18" customFormat="1" ht="12.75" x14ac:dyDescent="0.2"/>
    <row r="1761" s="18" customFormat="1" ht="12.75" x14ac:dyDescent="0.2"/>
    <row r="1762" s="18" customFormat="1" ht="12.75" x14ac:dyDescent="0.2"/>
    <row r="1763" s="18" customFormat="1" ht="12.75" x14ac:dyDescent="0.2"/>
    <row r="1764" s="18" customFormat="1" ht="12.75" x14ac:dyDescent="0.2"/>
    <row r="1765" s="18" customFormat="1" ht="12.75" x14ac:dyDescent="0.2"/>
    <row r="1766" s="18" customFormat="1" ht="12.75" x14ac:dyDescent="0.2"/>
    <row r="1767" s="18" customFormat="1" ht="12.75" x14ac:dyDescent="0.2"/>
    <row r="1768" s="18" customFormat="1" ht="12.75" x14ac:dyDescent="0.2"/>
    <row r="1769" s="18" customFormat="1" ht="12.75" x14ac:dyDescent="0.2"/>
    <row r="1770" s="18" customFormat="1" ht="12.75" x14ac:dyDescent="0.2"/>
    <row r="1771" s="18" customFormat="1" ht="12.75" x14ac:dyDescent="0.2"/>
    <row r="1772" s="18" customFormat="1" ht="12.75" x14ac:dyDescent="0.2"/>
    <row r="1773" s="18" customFormat="1" ht="12.75" x14ac:dyDescent="0.2"/>
    <row r="1774" s="18" customFormat="1" ht="12.75" x14ac:dyDescent="0.2"/>
    <row r="1775" s="18" customFormat="1" ht="12.75" x14ac:dyDescent="0.2"/>
    <row r="1776" s="18" customFormat="1" ht="12.75" x14ac:dyDescent="0.2"/>
    <row r="1777" s="18" customFormat="1" ht="12.75" x14ac:dyDescent="0.2"/>
    <row r="1778" s="18" customFormat="1" ht="12.75" x14ac:dyDescent="0.2"/>
    <row r="1779" s="18" customFormat="1" ht="12.75" x14ac:dyDescent="0.2"/>
    <row r="1780" s="18" customFormat="1" ht="12.75" x14ac:dyDescent="0.2"/>
    <row r="1781" s="18" customFormat="1" ht="12.75" x14ac:dyDescent="0.2"/>
    <row r="1782" s="18" customFormat="1" ht="12.75" x14ac:dyDescent="0.2"/>
    <row r="1783" s="18" customFormat="1" ht="12.75" x14ac:dyDescent="0.2"/>
    <row r="1784" s="18" customFormat="1" ht="12.75" x14ac:dyDescent="0.2"/>
    <row r="1785" s="18" customFormat="1" ht="12.75" x14ac:dyDescent="0.2"/>
    <row r="1786" s="18" customFormat="1" ht="12.75" x14ac:dyDescent="0.2"/>
    <row r="1787" s="18" customFormat="1" ht="12.75" x14ac:dyDescent="0.2"/>
    <row r="1788" s="18" customFormat="1" ht="12.75" x14ac:dyDescent="0.2"/>
    <row r="1789" s="18" customFormat="1" ht="12.75" x14ac:dyDescent="0.2"/>
    <row r="1790" s="18" customFormat="1" ht="12.75" x14ac:dyDescent="0.2"/>
    <row r="1791" s="18" customFormat="1" ht="12.75" x14ac:dyDescent="0.2"/>
    <row r="1792" s="18" customFormat="1" ht="12.75" x14ac:dyDescent="0.2"/>
    <row r="1793" s="18" customFormat="1" ht="12.75" x14ac:dyDescent="0.2"/>
    <row r="1794" s="18" customFormat="1" ht="12.75" x14ac:dyDescent="0.2"/>
    <row r="1795" s="18" customFormat="1" ht="12.75" x14ac:dyDescent="0.2"/>
    <row r="1796" s="18" customFormat="1" ht="12.75" x14ac:dyDescent="0.2"/>
    <row r="1797" s="18" customFormat="1" ht="12.75" x14ac:dyDescent="0.2"/>
    <row r="1798" s="18" customFormat="1" ht="12.75" x14ac:dyDescent="0.2"/>
    <row r="1799" s="18" customFormat="1" ht="12.75" x14ac:dyDescent="0.2"/>
    <row r="1800" s="18" customFormat="1" ht="12.75" x14ac:dyDescent="0.2"/>
    <row r="1801" s="18" customFormat="1" ht="12.75" x14ac:dyDescent="0.2"/>
    <row r="1802" s="18" customFormat="1" ht="12.75" x14ac:dyDescent="0.2"/>
    <row r="1803" s="18" customFormat="1" ht="12.75" x14ac:dyDescent="0.2"/>
    <row r="1804" s="18" customFormat="1" ht="12.75" x14ac:dyDescent="0.2"/>
    <row r="1805" s="18" customFormat="1" ht="12.75" x14ac:dyDescent="0.2"/>
    <row r="1806" s="18" customFormat="1" ht="12.75" x14ac:dyDescent="0.2"/>
    <row r="1807" s="18" customFormat="1" ht="12.75" x14ac:dyDescent="0.2"/>
    <row r="1808" s="18" customFormat="1" ht="12.75" x14ac:dyDescent="0.2"/>
    <row r="1809" s="18" customFormat="1" ht="12.75" x14ac:dyDescent="0.2"/>
    <row r="1810" s="18" customFormat="1" ht="12.75" x14ac:dyDescent="0.2"/>
    <row r="1811" s="18" customFormat="1" ht="12.75" x14ac:dyDescent="0.2"/>
    <row r="1812" s="18" customFormat="1" ht="12.75" x14ac:dyDescent="0.2"/>
    <row r="1813" s="18" customFormat="1" ht="12.75" x14ac:dyDescent="0.2"/>
    <row r="1814" s="18" customFormat="1" ht="12.75" x14ac:dyDescent="0.2"/>
    <row r="1815" s="18" customFormat="1" ht="12.75" x14ac:dyDescent="0.2"/>
    <row r="1816" s="18" customFormat="1" ht="12.75" x14ac:dyDescent="0.2"/>
    <row r="1817" s="18" customFormat="1" ht="12.75" x14ac:dyDescent="0.2"/>
    <row r="1818" s="18" customFormat="1" ht="12.75" x14ac:dyDescent="0.2"/>
    <row r="1819" s="18" customFormat="1" ht="12.75" x14ac:dyDescent="0.2"/>
    <row r="1820" s="18" customFormat="1" ht="12.75" x14ac:dyDescent="0.2"/>
    <row r="1821" s="18" customFormat="1" ht="12.75" x14ac:dyDescent="0.2"/>
    <row r="1822" s="18" customFormat="1" ht="12.75" x14ac:dyDescent="0.2"/>
    <row r="1823" s="18" customFormat="1" ht="12.75" x14ac:dyDescent="0.2"/>
    <row r="1824" s="18" customFormat="1" ht="12.75" x14ac:dyDescent="0.2"/>
    <row r="1825" s="18" customFormat="1" ht="12.75" x14ac:dyDescent="0.2"/>
    <row r="1826" s="18" customFormat="1" ht="12.75" x14ac:dyDescent="0.2"/>
    <row r="1827" s="18" customFormat="1" ht="12.75" x14ac:dyDescent="0.2"/>
    <row r="1828" s="18" customFormat="1" ht="12.75" x14ac:dyDescent="0.2"/>
    <row r="1829" s="18" customFormat="1" ht="12.75" x14ac:dyDescent="0.2"/>
    <row r="1830" s="18" customFormat="1" ht="12.75" x14ac:dyDescent="0.2"/>
    <row r="1831" s="18" customFormat="1" ht="12.75" x14ac:dyDescent="0.2"/>
    <row r="1832" s="18" customFormat="1" ht="12.75" x14ac:dyDescent="0.2"/>
    <row r="1833" s="18" customFormat="1" ht="12.75" x14ac:dyDescent="0.2"/>
    <row r="1834" s="18" customFormat="1" ht="12.75" x14ac:dyDescent="0.2"/>
    <row r="1835" s="18" customFormat="1" ht="12.75" x14ac:dyDescent="0.2"/>
    <row r="1836" s="18" customFormat="1" ht="12.75" x14ac:dyDescent="0.2"/>
    <row r="1837" s="18" customFormat="1" ht="12.75" x14ac:dyDescent="0.2"/>
    <row r="1838" s="18" customFormat="1" ht="12.75" x14ac:dyDescent="0.2"/>
    <row r="1839" s="18" customFormat="1" ht="12.75" x14ac:dyDescent="0.2"/>
    <row r="1840" s="18" customFormat="1" ht="12.75" x14ac:dyDescent="0.2"/>
    <row r="1841" s="18" customFormat="1" ht="12.75" x14ac:dyDescent="0.2"/>
    <row r="1842" s="18" customFormat="1" ht="12.75" x14ac:dyDescent="0.2"/>
    <row r="1843" s="18" customFormat="1" ht="12.75" x14ac:dyDescent="0.2"/>
    <row r="1844" s="18" customFormat="1" ht="12.75" x14ac:dyDescent="0.2"/>
    <row r="1845" s="18" customFormat="1" ht="12.75" x14ac:dyDescent="0.2"/>
    <row r="1846" s="18" customFormat="1" ht="12.75" x14ac:dyDescent="0.2"/>
    <row r="1847" s="18" customFormat="1" ht="12.75" x14ac:dyDescent="0.2"/>
    <row r="1848" s="18" customFormat="1" ht="12.75" x14ac:dyDescent="0.2"/>
    <row r="1849" s="18" customFormat="1" ht="12.75" x14ac:dyDescent="0.2"/>
    <row r="1850" s="18" customFormat="1" ht="12.75" x14ac:dyDescent="0.2"/>
    <row r="1851" s="18" customFormat="1" ht="12.75" x14ac:dyDescent="0.2"/>
    <row r="1852" s="18" customFormat="1" ht="12.75" x14ac:dyDescent="0.2"/>
    <row r="1853" s="18" customFormat="1" ht="12.75" x14ac:dyDescent="0.2"/>
    <row r="1854" s="18" customFormat="1" ht="12.75" x14ac:dyDescent="0.2"/>
    <row r="1855" s="18" customFormat="1" ht="12.75" x14ac:dyDescent="0.2"/>
    <row r="1856" s="18" customFormat="1" ht="12.75" x14ac:dyDescent="0.2"/>
    <row r="1857" s="18" customFormat="1" ht="12.75" x14ac:dyDescent="0.2"/>
    <row r="1858" s="18" customFormat="1" ht="12.75" x14ac:dyDescent="0.2"/>
    <row r="1859" s="18" customFormat="1" ht="12.75" x14ac:dyDescent="0.2"/>
    <row r="1860" s="18" customFormat="1" ht="12.75" x14ac:dyDescent="0.2"/>
    <row r="1861" s="18" customFormat="1" ht="12.75" x14ac:dyDescent="0.2"/>
    <row r="1862" s="18" customFormat="1" ht="12.75" x14ac:dyDescent="0.2"/>
    <row r="1863" s="18" customFormat="1" ht="12.75" x14ac:dyDescent="0.2"/>
    <row r="1864" s="18" customFormat="1" ht="12.75" x14ac:dyDescent="0.2"/>
    <row r="1865" s="18" customFormat="1" ht="12.75" x14ac:dyDescent="0.2"/>
    <row r="1866" s="18" customFormat="1" ht="12.75" x14ac:dyDescent="0.2"/>
    <row r="1867" s="18" customFormat="1" ht="12.75" x14ac:dyDescent="0.2"/>
    <row r="1868" s="18" customFormat="1" ht="12.75" x14ac:dyDescent="0.2"/>
    <row r="1869" s="18" customFormat="1" ht="12.75" x14ac:dyDescent="0.2"/>
    <row r="1870" s="18" customFormat="1" ht="12.75" x14ac:dyDescent="0.2"/>
    <row r="1871" s="18" customFormat="1" ht="12.75" x14ac:dyDescent="0.2"/>
    <row r="1872" s="18" customFormat="1" ht="12.75" x14ac:dyDescent="0.2"/>
    <row r="1873" s="18" customFormat="1" ht="12.75" x14ac:dyDescent="0.2"/>
    <row r="1874" s="18" customFormat="1" ht="12.75" x14ac:dyDescent="0.2"/>
    <row r="1875" s="18" customFormat="1" ht="12.75" x14ac:dyDescent="0.2"/>
    <row r="1876" s="18" customFormat="1" ht="12.75" x14ac:dyDescent="0.2"/>
    <row r="1877" s="18" customFormat="1" ht="12.75" x14ac:dyDescent="0.2"/>
    <row r="1878" s="18" customFormat="1" ht="12.75" x14ac:dyDescent="0.2"/>
    <row r="1879" s="18" customFormat="1" ht="12.75" x14ac:dyDescent="0.2"/>
    <row r="1880" s="18" customFormat="1" ht="12.75" x14ac:dyDescent="0.2"/>
    <row r="1881" s="18" customFormat="1" ht="12.75" x14ac:dyDescent="0.2"/>
    <row r="1882" s="18" customFormat="1" ht="12.75" x14ac:dyDescent="0.2"/>
    <row r="1883" s="18" customFormat="1" ht="12.75" x14ac:dyDescent="0.2"/>
    <row r="1884" s="18" customFormat="1" ht="12.75" x14ac:dyDescent="0.2"/>
    <row r="1885" s="18" customFormat="1" ht="12.75" x14ac:dyDescent="0.2"/>
    <row r="1886" s="18" customFormat="1" ht="12.75" x14ac:dyDescent="0.2"/>
    <row r="1887" s="18" customFormat="1" ht="12.75" x14ac:dyDescent="0.2"/>
    <row r="1888" s="18" customFormat="1" ht="12.75" x14ac:dyDescent="0.2"/>
    <row r="1889" s="18" customFormat="1" ht="12.75" x14ac:dyDescent="0.2"/>
    <row r="1890" s="18" customFormat="1" ht="12.75" x14ac:dyDescent="0.2"/>
    <row r="1891" s="18" customFormat="1" ht="12.75" x14ac:dyDescent="0.2"/>
    <row r="1892" s="18" customFormat="1" ht="12.75" x14ac:dyDescent="0.2"/>
    <row r="1893" s="18" customFormat="1" ht="12.75" x14ac:dyDescent="0.2"/>
    <row r="1894" s="18" customFormat="1" ht="12.75" x14ac:dyDescent="0.2"/>
    <row r="1895" s="18" customFormat="1" ht="12.75" x14ac:dyDescent="0.2"/>
    <row r="1896" s="18" customFormat="1" ht="12.75" x14ac:dyDescent="0.2"/>
    <row r="1897" s="18" customFormat="1" ht="12.75" x14ac:dyDescent="0.2"/>
    <row r="1898" s="18" customFormat="1" ht="12.75" x14ac:dyDescent="0.2"/>
    <row r="1899" s="18" customFormat="1" ht="12.75" x14ac:dyDescent="0.2"/>
    <row r="1900" s="18" customFormat="1" ht="12.75" x14ac:dyDescent="0.2"/>
    <row r="1901" s="18" customFormat="1" ht="12.75" x14ac:dyDescent="0.2"/>
    <row r="1902" s="18" customFormat="1" ht="12.75" x14ac:dyDescent="0.2"/>
    <row r="1903" s="18" customFormat="1" ht="12.75" x14ac:dyDescent="0.2"/>
    <row r="1904" s="18" customFormat="1" ht="12.75" x14ac:dyDescent="0.2"/>
    <row r="1905" s="18" customFormat="1" ht="12.75" x14ac:dyDescent="0.2"/>
    <row r="1906" s="18" customFormat="1" ht="12.75" x14ac:dyDescent="0.2"/>
    <row r="1907" s="18" customFormat="1" ht="12.75" x14ac:dyDescent="0.2"/>
    <row r="1908" s="18" customFormat="1" ht="12.75" x14ac:dyDescent="0.2"/>
    <row r="1909" s="18" customFormat="1" ht="12.75" x14ac:dyDescent="0.2"/>
    <row r="1910" s="18" customFormat="1" ht="12.75" x14ac:dyDescent="0.2"/>
    <row r="1911" s="18" customFormat="1" ht="12.75" x14ac:dyDescent="0.2"/>
    <row r="1912" s="18" customFormat="1" ht="12.75" x14ac:dyDescent="0.2"/>
    <row r="1913" s="18" customFormat="1" ht="12.75" x14ac:dyDescent="0.2"/>
    <row r="1914" s="18" customFormat="1" ht="12.75" x14ac:dyDescent="0.2"/>
    <row r="1915" s="18" customFormat="1" ht="12.75" x14ac:dyDescent="0.2"/>
    <row r="1916" s="18" customFormat="1" ht="12.75" x14ac:dyDescent="0.2"/>
    <row r="1917" s="18" customFormat="1" ht="12.75" x14ac:dyDescent="0.2"/>
    <row r="1918" s="18" customFormat="1" ht="12.75" x14ac:dyDescent="0.2"/>
    <row r="1919" s="18" customFormat="1" ht="12.75" x14ac:dyDescent="0.2"/>
    <row r="1920" s="18" customFormat="1" ht="12.75" x14ac:dyDescent="0.2"/>
    <row r="1921" s="18" customFormat="1" ht="12.75" x14ac:dyDescent="0.2"/>
    <row r="1922" s="18" customFormat="1" ht="12.75" x14ac:dyDescent="0.2"/>
    <row r="1923" s="18" customFormat="1" ht="12.75" x14ac:dyDescent="0.2"/>
    <row r="1924" s="18" customFormat="1" ht="12.75" x14ac:dyDescent="0.2"/>
    <row r="1925" s="18" customFormat="1" ht="12.75" x14ac:dyDescent="0.2"/>
    <row r="1926" s="18" customFormat="1" ht="12.75" x14ac:dyDescent="0.2"/>
    <row r="1927" s="18" customFormat="1" ht="12.75" x14ac:dyDescent="0.2"/>
    <row r="1928" s="18" customFormat="1" ht="12.75" x14ac:dyDescent="0.2"/>
    <row r="1929" s="18" customFormat="1" ht="12.75" x14ac:dyDescent="0.2"/>
    <row r="1930" s="18" customFormat="1" ht="12.75" x14ac:dyDescent="0.2"/>
    <row r="1931" s="18" customFormat="1" ht="12.75" x14ac:dyDescent="0.2"/>
    <row r="1932" s="18" customFormat="1" ht="12.75" x14ac:dyDescent="0.2"/>
    <row r="1933" s="18" customFormat="1" ht="12.75" x14ac:dyDescent="0.2"/>
    <row r="1934" s="18" customFormat="1" ht="12.75" x14ac:dyDescent="0.2"/>
    <row r="1935" s="18" customFormat="1" ht="12.75" x14ac:dyDescent="0.2"/>
    <row r="1936" s="18" customFormat="1" ht="12.75" x14ac:dyDescent="0.2"/>
    <row r="1937" s="18" customFormat="1" ht="12.75" x14ac:dyDescent="0.2"/>
    <row r="1938" s="18" customFormat="1" ht="12.75" x14ac:dyDescent="0.2"/>
    <row r="1939" s="18" customFormat="1" ht="12.75" x14ac:dyDescent="0.2"/>
    <row r="1940" s="18" customFormat="1" ht="12.75" x14ac:dyDescent="0.2"/>
    <row r="1941" s="18" customFormat="1" ht="12.75" x14ac:dyDescent="0.2"/>
    <row r="1942" s="18" customFormat="1" ht="12.75" x14ac:dyDescent="0.2"/>
    <row r="1943" s="18" customFormat="1" ht="12.75" x14ac:dyDescent="0.2"/>
    <row r="1944" s="18" customFormat="1" ht="12.75" x14ac:dyDescent="0.2"/>
    <row r="1945" s="18" customFormat="1" ht="12.75" x14ac:dyDescent="0.2"/>
    <row r="1946" s="18" customFormat="1" ht="12.75" x14ac:dyDescent="0.2"/>
    <row r="1947" s="18" customFormat="1" ht="12.75" x14ac:dyDescent="0.2"/>
    <row r="1948" s="18" customFormat="1" ht="12.75" x14ac:dyDescent="0.2"/>
    <row r="1949" s="18" customFormat="1" ht="12.75" x14ac:dyDescent="0.2"/>
    <row r="1950" s="18" customFormat="1" ht="12.75" x14ac:dyDescent="0.2"/>
    <row r="1951" s="18" customFormat="1" ht="12.75" x14ac:dyDescent="0.2"/>
    <row r="1952" s="18" customFormat="1" ht="12.75" x14ac:dyDescent="0.2"/>
    <row r="1953" s="18" customFormat="1" ht="12.75" x14ac:dyDescent="0.2"/>
    <row r="1954" s="18" customFormat="1" ht="12.75" x14ac:dyDescent="0.2"/>
    <row r="1955" s="18" customFormat="1" ht="12.75" x14ac:dyDescent="0.2"/>
    <row r="1956" s="18" customFormat="1" ht="12.75" x14ac:dyDescent="0.2"/>
    <row r="1957" s="18" customFormat="1" ht="12.75" x14ac:dyDescent="0.2"/>
    <row r="1958" s="18" customFormat="1" ht="12.75" x14ac:dyDescent="0.2"/>
    <row r="1959" s="18" customFormat="1" ht="12.75" x14ac:dyDescent="0.2"/>
    <row r="1960" s="18" customFormat="1" ht="12.75" x14ac:dyDescent="0.2"/>
    <row r="1961" s="18" customFormat="1" ht="12.75" x14ac:dyDescent="0.2"/>
    <row r="1962" s="18" customFormat="1" ht="12.75" x14ac:dyDescent="0.2"/>
    <row r="1963" s="18" customFormat="1" ht="12.75" x14ac:dyDescent="0.2"/>
    <row r="1964" s="18" customFormat="1" ht="12.75" x14ac:dyDescent="0.2"/>
    <row r="1965" s="18" customFormat="1" ht="12.75" x14ac:dyDescent="0.2"/>
    <row r="1966" s="18" customFormat="1" ht="12.75" x14ac:dyDescent="0.2"/>
    <row r="1967" s="18" customFormat="1" ht="12.75" x14ac:dyDescent="0.2"/>
    <row r="1968" s="18" customFormat="1" ht="12.75" x14ac:dyDescent="0.2"/>
    <row r="1969" s="18" customFormat="1" ht="12.75" x14ac:dyDescent="0.2"/>
    <row r="1970" s="18" customFormat="1" ht="12.75" x14ac:dyDescent="0.2"/>
    <row r="1971" s="18" customFormat="1" ht="12.75" x14ac:dyDescent="0.2"/>
    <row r="1972" s="18" customFormat="1" ht="12.75" x14ac:dyDescent="0.2"/>
    <row r="1973" s="18" customFormat="1" ht="12.75" x14ac:dyDescent="0.2"/>
    <row r="1974" s="18" customFormat="1" ht="12.75" x14ac:dyDescent="0.2"/>
    <row r="1975" s="18" customFormat="1" ht="12.75" x14ac:dyDescent="0.2"/>
    <row r="1976" s="18" customFormat="1" ht="12.75" x14ac:dyDescent="0.2"/>
    <row r="1977" s="18" customFormat="1" ht="12.75" x14ac:dyDescent="0.2"/>
    <row r="1978" s="18" customFormat="1" ht="12.75" x14ac:dyDescent="0.2"/>
    <row r="1979" s="18" customFormat="1" ht="12.75" x14ac:dyDescent="0.2"/>
    <row r="1980" s="18" customFormat="1" ht="12.75" x14ac:dyDescent="0.2"/>
    <row r="1981" s="18" customFormat="1" ht="12.75" x14ac:dyDescent="0.2"/>
    <row r="1982" s="18" customFormat="1" ht="12.75" x14ac:dyDescent="0.2"/>
    <row r="1983" s="18" customFormat="1" ht="12.75" x14ac:dyDescent="0.2"/>
    <row r="1984" s="18" customFormat="1" ht="12.75" x14ac:dyDescent="0.2"/>
    <row r="1985" s="18" customFormat="1" ht="12.75" x14ac:dyDescent="0.2"/>
    <row r="1986" s="18" customFormat="1" ht="12.75" x14ac:dyDescent="0.2"/>
    <row r="1987" s="18" customFormat="1" ht="12.75" x14ac:dyDescent="0.2"/>
    <row r="1988" s="18" customFormat="1" ht="12.75" x14ac:dyDescent="0.2"/>
    <row r="1989" s="18" customFormat="1" ht="12.75" x14ac:dyDescent="0.2"/>
    <row r="1990" s="18" customFormat="1" ht="12.75" x14ac:dyDescent="0.2"/>
    <row r="1991" s="18" customFormat="1" ht="12.75" x14ac:dyDescent="0.2"/>
    <row r="1992" s="18" customFormat="1" ht="12.75" x14ac:dyDescent="0.2"/>
    <row r="1993" s="18" customFormat="1" ht="12.75" x14ac:dyDescent="0.2"/>
    <row r="1994" s="18" customFormat="1" ht="12.75" x14ac:dyDescent="0.2"/>
    <row r="1995" s="18" customFormat="1" ht="12.75" x14ac:dyDescent="0.2"/>
    <row r="1996" s="18" customFormat="1" ht="12.75" x14ac:dyDescent="0.2"/>
    <row r="1997" s="18" customFormat="1" ht="12.75" x14ac:dyDescent="0.2"/>
    <row r="1998" s="18" customFormat="1" ht="12.75" x14ac:dyDescent="0.2"/>
    <row r="1999" s="18" customFormat="1" ht="12.75" x14ac:dyDescent="0.2"/>
    <row r="2000" s="18" customFormat="1" ht="12.75" x14ac:dyDescent="0.2"/>
    <row r="2001" s="18" customFormat="1" ht="12.75" x14ac:dyDescent="0.2"/>
    <row r="2002" s="18" customFormat="1" ht="12.75" x14ac:dyDescent="0.2"/>
    <row r="2003" s="18" customFormat="1" ht="12.75" x14ac:dyDescent="0.2"/>
    <row r="2004" s="18" customFormat="1" ht="12.75" x14ac:dyDescent="0.2"/>
    <row r="2005" s="18" customFormat="1" ht="12.75" x14ac:dyDescent="0.2"/>
    <row r="2006" s="18" customFormat="1" ht="12.75" x14ac:dyDescent="0.2"/>
    <row r="2007" s="18" customFormat="1" ht="12.75" x14ac:dyDescent="0.2"/>
    <row r="2008" s="18" customFormat="1" ht="12.75" x14ac:dyDescent="0.2"/>
    <row r="2009" s="18" customFormat="1" ht="12.75" x14ac:dyDescent="0.2"/>
    <row r="2010" s="18" customFormat="1" ht="12.75" x14ac:dyDescent="0.2"/>
    <row r="2011" s="18" customFormat="1" ht="12.75" x14ac:dyDescent="0.2"/>
    <row r="2012" s="18" customFormat="1" ht="12.75" x14ac:dyDescent="0.2"/>
    <row r="2013" s="18" customFormat="1" ht="12.75" x14ac:dyDescent="0.2"/>
    <row r="2014" s="18" customFormat="1" ht="12.75" x14ac:dyDescent="0.2"/>
    <row r="2015" s="18" customFormat="1" ht="12.75" x14ac:dyDescent="0.2"/>
    <row r="2016" s="18" customFormat="1" ht="12.75" x14ac:dyDescent="0.2"/>
    <row r="2017" s="18" customFormat="1" ht="12.75" x14ac:dyDescent="0.2"/>
    <row r="2018" s="18" customFormat="1" ht="12.75" x14ac:dyDescent="0.2"/>
    <row r="2019" s="18" customFormat="1" ht="12.75" x14ac:dyDescent="0.2"/>
    <row r="2020" s="18" customFormat="1" ht="12.75" x14ac:dyDescent="0.2"/>
    <row r="2021" s="18" customFormat="1" ht="12.75" x14ac:dyDescent="0.2"/>
    <row r="2022" s="18" customFormat="1" ht="12.75" x14ac:dyDescent="0.2"/>
    <row r="2023" s="18" customFormat="1" ht="12.75" x14ac:dyDescent="0.2"/>
    <row r="2024" s="18" customFormat="1" ht="12.75" x14ac:dyDescent="0.2"/>
    <row r="2025" s="18" customFormat="1" ht="12.75" x14ac:dyDescent="0.2"/>
    <row r="2026" s="18" customFormat="1" ht="12.75" x14ac:dyDescent="0.2"/>
    <row r="2027" s="18" customFormat="1" ht="12.75" x14ac:dyDescent="0.2"/>
    <row r="2028" s="18" customFormat="1" ht="12.75" x14ac:dyDescent="0.2"/>
    <row r="2029" s="18" customFormat="1" ht="12.75" x14ac:dyDescent="0.2"/>
    <row r="2030" s="18" customFormat="1" ht="12.75" x14ac:dyDescent="0.2"/>
    <row r="2031" s="18" customFormat="1" ht="12.75" x14ac:dyDescent="0.2"/>
    <row r="2032" s="18" customFormat="1" ht="12.75" x14ac:dyDescent="0.2"/>
    <row r="2033" s="18" customFormat="1" ht="12.75" x14ac:dyDescent="0.2"/>
    <row r="2034" s="18" customFormat="1" ht="12.75" x14ac:dyDescent="0.2"/>
    <row r="2035" s="18" customFormat="1" ht="12.75" x14ac:dyDescent="0.2"/>
    <row r="2036" s="18" customFormat="1" ht="12.75" x14ac:dyDescent="0.2"/>
    <row r="2037" s="18" customFormat="1" ht="12.75" x14ac:dyDescent="0.2"/>
    <row r="2038" s="18" customFormat="1" ht="12.75" x14ac:dyDescent="0.2"/>
    <row r="2039" s="18" customFormat="1" ht="12.75" x14ac:dyDescent="0.2"/>
    <row r="2040" s="18" customFormat="1" ht="12.75" x14ac:dyDescent="0.2"/>
    <row r="2041" s="18" customFormat="1" ht="12.75" x14ac:dyDescent="0.2"/>
    <row r="2042" s="18" customFormat="1" ht="12.75" x14ac:dyDescent="0.2"/>
    <row r="2043" s="18" customFormat="1" ht="12.75" x14ac:dyDescent="0.2"/>
    <row r="2044" s="18" customFormat="1" ht="12.75" x14ac:dyDescent="0.2"/>
    <row r="2045" s="18" customFormat="1" ht="12.75" x14ac:dyDescent="0.2"/>
    <row r="2046" s="18" customFormat="1" ht="12.75" x14ac:dyDescent="0.2"/>
    <row r="2047" s="18" customFormat="1" ht="12.75" x14ac:dyDescent="0.2"/>
    <row r="2048" s="18" customFormat="1" ht="12.75" x14ac:dyDescent="0.2"/>
    <row r="2049" s="18" customFormat="1" ht="12.75" x14ac:dyDescent="0.2"/>
    <row r="2050" s="18" customFormat="1" ht="12.75" x14ac:dyDescent="0.2"/>
    <row r="2051" s="18" customFormat="1" ht="12.75" x14ac:dyDescent="0.2"/>
    <row r="2052" s="18" customFormat="1" ht="12.75" x14ac:dyDescent="0.2"/>
    <row r="2053" s="18" customFormat="1" ht="12.75" x14ac:dyDescent="0.2"/>
    <row r="2054" s="18" customFormat="1" ht="12.75" x14ac:dyDescent="0.2"/>
    <row r="2055" s="18" customFormat="1" ht="12.75" x14ac:dyDescent="0.2"/>
    <row r="2056" s="18" customFormat="1" ht="12.75" x14ac:dyDescent="0.2"/>
    <row r="2057" s="18" customFormat="1" ht="12.75" x14ac:dyDescent="0.2"/>
    <row r="2058" s="18" customFormat="1" ht="12.75" x14ac:dyDescent="0.2"/>
    <row r="2059" s="18" customFormat="1" ht="12.75" x14ac:dyDescent="0.2"/>
    <row r="2060" s="18" customFormat="1" ht="12.75" x14ac:dyDescent="0.2"/>
    <row r="2061" s="18" customFormat="1" ht="12.75" x14ac:dyDescent="0.2"/>
    <row r="2062" s="18" customFormat="1" ht="12.75" x14ac:dyDescent="0.2"/>
    <row r="2063" s="18" customFormat="1" ht="12.75" x14ac:dyDescent="0.2"/>
    <row r="2064" s="18" customFormat="1" ht="12.75" x14ac:dyDescent="0.2"/>
    <row r="2065" s="18" customFormat="1" ht="12.75" x14ac:dyDescent="0.2"/>
    <row r="2066" s="18" customFormat="1" ht="12.75" x14ac:dyDescent="0.2"/>
    <row r="2067" s="18" customFormat="1" ht="12.75" x14ac:dyDescent="0.2"/>
    <row r="2068" s="18" customFormat="1" ht="12.75" x14ac:dyDescent="0.2"/>
    <row r="2069" s="18" customFormat="1" ht="12.75" x14ac:dyDescent="0.2"/>
    <row r="2070" s="18" customFormat="1" ht="12.75" x14ac:dyDescent="0.2"/>
    <row r="2071" s="18" customFormat="1" ht="12.75" x14ac:dyDescent="0.2"/>
    <row r="2072" s="18" customFormat="1" ht="12.75" x14ac:dyDescent="0.2"/>
    <row r="2073" s="18" customFormat="1" ht="12.75" x14ac:dyDescent="0.2"/>
    <row r="2074" s="18" customFormat="1" ht="12.75" x14ac:dyDescent="0.2"/>
    <row r="2075" s="18" customFormat="1" ht="12.75" x14ac:dyDescent="0.2"/>
    <row r="2076" s="18" customFormat="1" ht="12.75" x14ac:dyDescent="0.2"/>
    <row r="2077" s="18" customFormat="1" ht="12.75" x14ac:dyDescent="0.2"/>
    <row r="2078" s="18" customFormat="1" ht="12.75" x14ac:dyDescent="0.2"/>
    <row r="2079" s="18" customFormat="1" ht="12.75" x14ac:dyDescent="0.2"/>
    <row r="2080" s="18" customFormat="1" ht="12.75" x14ac:dyDescent="0.2"/>
    <row r="2081" s="18" customFormat="1" ht="12.75" x14ac:dyDescent="0.2"/>
    <row r="2082" s="18" customFormat="1" ht="12.75" x14ac:dyDescent="0.2"/>
    <row r="2083" s="18" customFormat="1" ht="12.75" x14ac:dyDescent="0.2"/>
    <row r="2084" s="18" customFormat="1" ht="12.75" x14ac:dyDescent="0.2"/>
    <row r="2085" s="18" customFormat="1" ht="12.75" x14ac:dyDescent="0.2"/>
    <row r="2086" s="18" customFormat="1" ht="12.75" x14ac:dyDescent="0.2"/>
    <row r="2087" s="18" customFormat="1" ht="12.75" x14ac:dyDescent="0.2"/>
    <row r="2088" s="18" customFormat="1" ht="12.75" x14ac:dyDescent="0.2"/>
    <row r="2089" s="18" customFormat="1" ht="12.75" x14ac:dyDescent="0.2"/>
    <row r="2090" s="18" customFormat="1" ht="12.75" x14ac:dyDescent="0.2"/>
    <row r="2091" s="18" customFormat="1" ht="12.75" x14ac:dyDescent="0.2"/>
    <row r="2092" s="18" customFormat="1" ht="12.75" x14ac:dyDescent="0.2"/>
    <row r="2093" s="18" customFormat="1" ht="12.75" x14ac:dyDescent="0.2"/>
    <row r="2094" s="18" customFormat="1" ht="12.75" x14ac:dyDescent="0.2"/>
    <row r="2095" s="18" customFormat="1" ht="12.75" x14ac:dyDescent="0.2"/>
    <row r="2096" s="18" customFormat="1" ht="12.75" x14ac:dyDescent="0.2"/>
    <row r="2097" s="18" customFormat="1" ht="12.75" x14ac:dyDescent="0.2"/>
    <row r="2098" s="18" customFormat="1" ht="12.75" x14ac:dyDescent="0.2"/>
    <row r="2099" s="18" customFormat="1" ht="12.75" x14ac:dyDescent="0.2"/>
    <row r="2100" s="18" customFormat="1" ht="12.75" x14ac:dyDescent="0.2"/>
    <row r="2101" s="18" customFormat="1" ht="12.75" x14ac:dyDescent="0.2"/>
    <row r="2102" s="18" customFormat="1" ht="12.75" x14ac:dyDescent="0.2"/>
    <row r="2103" s="18" customFormat="1" ht="12.75" x14ac:dyDescent="0.2"/>
    <row r="2104" s="18" customFormat="1" ht="12.75" x14ac:dyDescent="0.2"/>
    <row r="2105" s="18" customFormat="1" ht="12.75" x14ac:dyDescent="0.2"/>
    <row r="2106" s="18" customFormat="1" ht="12.75" x14ac:dyDescent="0.2"/>
    <row r="2107" s="18" customFormat="1" ht="12.75" x14ac:dyDescent="0.2"/>
    <row r="2108" s="18" customFormat="1" ht="12.75" x14ac:dyDescent="0.2"/>
    <row r="2109" s="18" customFormat="1" ht="12.75" x14ac:dyDescent="0.2"/>
    <row r="2110" s="18" customFormat="1" ht="12.75" x14ac:dyDescent="0.2"/>
    <row r="2111" s="18" customFormat="1" ht="12.75" x14ac:dyDescent="0.2"/>
    <row r="2112" s="18" customFormat="1" ht="12.75" x14ac:dyDescent="0.2"/>
    <row r="2113" s="18" customFormat="1" ht="12.75" x14ac:dyDescent="0.2"/>
    <row r="2114" s="18" customFormat="1" ht="12.75" x14ac:dyDescent="0.2"/>
    <row r="2115" s="18" customFormat="1" ht="12.75" x14ac:dyDescent="0.2"/>
    <row r="2116" s="18" customFormat="1" ht="12.75" x14ac:dyDescent="0.2"/>
    <row r="2117" s="18" customFormat="1" ht="12.75" x14ac:dyDescent="0.2"/>
    <row r="2118" s="18" customFormat="1" ht="12.75" x14ac:dyDescent="0.2"/>
    <row r="2119" s="18" customFormat="1" ht="12.75" x14ac:dyDescent="0.2"/>
    <row r="2120" s="18" customFormat="1" ht="12.75" x14ac:dyDescent="0.2"/>
    <row r="2121" s="18" customFormat="1" ht="12.75" x14ac:dyDescent="0.2"/>
    <row r="2122" s="18" customFormat="1" ht="12.75" x14ac:dyDescent="0.2"/>
    <row r="2123" s="18" customFormat="1" ht="12.75" x14ac:dyDescent="0.2"/>
    <row r="2124" s="18" customFormat="1" ht="12.75" x14ac:dyDescent="0.2"/>
    <row r="2125" s="18" customFormat="1" ht="12.75" x14ac:dyDescent="0.2"/>
    <row r="2126" s="18" customFormat="1" ht="12.75" x14ac:dyDescent="0.2"/>
    <row r="2127" s="18" customFormat="1" ht="12.75" x14ac:dyDescent="0.2"/>
    <row r="2128" s="18" customFormat="1" ht="12.75" x14ac:dyDescent="0.2"/>
    <row r="2129" s="18" customFormat="1" ht="12.75" x14ac:dyDescent="0.2"/>
    <row r="2130" s="18" customFormat="1" ht="12.75" x14ac:dyDescent="0.2"/>
    <row r="2131" s="18" customFormat="1" ht="12.75" x14ac:dyDescent="0.2"/>
    <row r="2132" s="18" customFormat="1" ht="12.75" x14ac:dyDescent="0.2"/>
    <row r="2133" s="18" customFormat="1" ht="12.75" x14ac:dyDescent="0.2"/>
    <row r="2134" s="18" customFormat="1" ht="12.75" x14ac:dyDescent="0.2"/>
    <row r="2135" s="18" customFormat="1" ht="12.75" x14ac:dyDescent="0.2"/>
    <row r="2136" s="18" customFormat="1" ht="12.75" x14ac:dyDescent="0.2"/>
    <row r="2137" s="18" customFormat="1" ht="12.75" x14ac:dyDescent="0.2"/>
    <row r="2138" s="18" customFormat="1" ht="12.75" x14ac:dyDescent="0.2"/>
    <row r="2139" s="18" customFormat="1" ht="12.75" x14ac:dyDescent="0.2"/>
    <row r="2140" s="18" customFormat="1" ht="12.75" x14ac:dyDescent="0.2"/>
    <row r="2141" s="18" customFormat="1" ht="12.75" x14ac:dyDescent="0.2"/>
    <row r="2142" s="18" customFormat="1" ht="12.75" x14ac:dyDescent="0.2"/>
    <row r="2143" s="18" customFormat="1" ht="12.75" x14ac:dyDescent="0.2"/>
    <row r="2144" s="18" customFormat="1" ht="12.75" x14ac:dyDescent="0.2"/>
    <row r="2145" s="18" customFormat="1" ht="12.75" x14ac:dyDescent="0.2"/>
    <row r="2146" s="18" customFormat="1" ht="12.75" x14ac:dyDescent="0.2"/>
    <row r="2147" s="18" customFormat="1" ht="12.75" x14ac:dyDescent="0.2"/>
    <row r="2148" s="18" customFormat="1" ht="12.75" x14ac:dyDescent="0.2"/>
    <row r="2149" s="18" customFormat="1" ht="12.75" x14ac:dyDescent="0.2"/>
    <row r="2150" s="18" customFormat="1" ht="12.75" x14ac:dyDescent="0.2"/>
    <row r="2151" s="18" customFormat="1" ht="12.75" x14ac:dyDescent="0.2"/>
    <row r="2152" s="18" customFormat="1" ht="12.75" x14ac:dyDescent="0.2"/>
    <row r="2153" s="18" customFormat="1" ht="12.75" x14ac:dyDescent="0.2"/>
    <row r="2154" s="18" customFormat="1" ht="12.75" x14ac:dyDescent="0.2"/>
    <row r="2155" s="18" customFormat="1" ht="12.75" x14ac:dyDescent="0.2"/>
    <row r="2156" s="18" customFormat="1" ht="12.75" x14ac:dyDescent="0.2"/>
    <row r="2157" s="18" customFormat="1" ht="12.75" x14ac:dyDescent="0.2"/>
    <row r="2158" s="18" customFormat="1" ht="12.75" x14ac:dyDescent="0.2"/>
    <row r="2159" s="18" customFormat="1" ht="12.75" x14ac:dyDescent="0.2"/>
    <row r="2160" s="18" customFormat="1" ht="12.75" x14ac:dyDescent="0.2"/>
    <row r="2161" s="18" customFormat="1" ht="12.75" x14ac:dyDescent="0.2"/>
    <row r="2162" s="18" customFormat="1" ht="12.75" x14ac:dyDescent="0.2"/>
    <row r="2163" s="18" customFormat="1" ht="12.75" x14ac:dyDescent="0.2"/>
    <row r="2164" s="18" customFormat="1" ht="12.75" x14ac:dyDescent="0.2"/>
    <row r="2165" s="18" customFormat="1" ht="12.75" x14ac:dyDescent="0.2"/>
    <row r="2166" s="18" customFormat="1" ht="12.75" x14ac:dyDescent="0.2"/>
    <row r="2167" s="18" customFormat="1" ht="12.75" x14ac:dyDescent="0.2"/>
    <row r="2168" s="18" customFormat="1" ht="12.75" x14ac:dyDescent="0.2"/>
    <row r="2169" s="18" customFormat="1" ht="12.75" x14ac:dyDescent="0.2"/>
    <row r="2170" s="18" customFormat="1" ht="12.75" x14ac:dyDescent="0.2"/>
    <row r="2171" s="18" customFormat="1" ht="12.75" x14ac:dyDescent="0.2"/>
    <row r="2172" s="18" customFormat="1" ht="12.75" x14ac:dyDescent="0.2"/>
    <row r="2173" s="18" customFormat="1" ht="12.75" x14ac:dyDescent="0.2"/>
    <row r="2174" s="18" customFormat="1" ht="12.75" x14ac:dyDescent="0.2"/>
    <row r="2175" s="18" customFormat="1" ht="12.75" x14ac:dyDescent="0.2"/>
    <row r="2176" s="18" customFormat="1" ht="12.75" x14ac:dyDescent="0.2"/>
    <row r="2177" s="18" customFormat="1" ht="12.75" x14ac:dyDescent="0.2"/>
    <row r="2178" s="18" customFormat="1" ht="12.75" x14ac:dyDescent="0.2"/>
    <row r="2179" s="18" customFormat="1" ht="12.75" x14ac:dyDescent="0.2"/>
    <row r="2180" s="18" customFormat="1" ht="12.75" x14ac:dyDescent="0.2"/>
    <row r="2181" s="18" customFormat="1" ht="12.75" x14ac:dyDescent="0.2"/>
    <row r="2182" s="18" customFormat="1" ht="12.75" x14ac:dyDescent="0.2"/>
    <row r="2183" s="18" customFormat="1" ht="12.75" x14ac:dyDescent="0.2"/>
    <row r="2184" s="18" customFormat="1" ht="12.75" x14ac:dyDescent="0.2"/>
    <row r="2185" s="18" customFormat="1" ht="12.75" x14ac:dyDescent="0.2"/>
    <row r="2186" s="18" customFormat="1" ht="12.75" x14ac:dyDescent="0.2"/>
    <row r="2187" s="18" customFormat="1" ht="12.75" x14ac:dyDescent="0.2"/>
    <row r="2188" s="18" customFormat="1" ht="12.75" x14ac:dyDescent="0.2"/>
    <row r="2189" s="18" customFormat="1" ht="12.75" x14ac:dyDescent="0.2"/>
    <row r="2190" s="18" customFormat="1" ht="12.75" x14ac:dyDescent="0.2"/>
    <row r="2191" s="18" customFormat="1" ht="12.75" x14ac:dyDescent="0.2"/>
    <row r="2192" s="18" customFormat="1" ht="12.75" x14ac:dyDescent="0.2"/>
    <row r="2193" s="18" customFormat="1" ht="12.75" x14ac:dyDescent="0.2"/>
    <row r="2194" s="18" customFormat="1" ht="12.75" x14ac:dyDescent="0.2"/>
    <row r="2195" s="18" customFormat="1" ht="12.75" x14ac:dyDescent="0.2"/>
    <row r="2196" s="18" customFormat="1" ht="12.75" x14ac:dyDescent="0.2"/>
    <row r="2197" s="18" customFormat="1" ht="12.75" x14ac:dyDescent="0.2"/>
    <row r="2198" s="18" customFormat="1" ht="12.75" x14ac:dyDescent="0.2"/>
    <row r="2199" s="18" customFormat="1" ht="12.75" x14ac:dyDescent="0.2"/>
    <row r="2200" s="18" customFormat="1" ht="12.75" x14ac:dyDescent="0.2"/>
    <row r="2201" s="18" customFormat="1" ht="12.75" x14ac:dyDescent="0.2"/>
    <row r="2202" s="18" customFormat="1" ht="12.75" x14ac:dyDescent="0.2"/>
    <row r="2203" s="18" customFormat="1" ht="12.75" x14ac:dyDescent="0.2"/>
    <row r="2204" s="18" customFormat="1" ht="12.75" x14ac:dyDescent="0.2"/>
    <row r="2205" s="18" customFormat="1" ht="12.75" x14ac:dyDescent="0.2"/>
    <row r="2206" s="18" customFormat="1" ht="12.75" x14ac:dyDescent="0.2"/>
    <row r="2207" s="18" customFormat="1" ht="12.75" x14ac:dyDescent="0.2"/>
    <row r="2208" s="18" customFormat="1" ht="12.75" x14ac:dyDescent="0.2"/>
    <row r="2209" s="18" customFormat="1" ht="12.75" x14ac:dyDescent="0.2"/>
    <row r="2210" s="18" customFormat="1" ht="12.75" x14ac:dyDescent="0.2"/>
    <row r="2211" s="18" customFormat="1" ht="12.75" x14ac:dyDescent="0.2"/>
    <row r="2212" s="18" customFormat="1" ht="12.75" x14ac:dyDescent="0.2"/>
    <row r="2213" s="18" customFormat="1" ht="12.75" x14ac:dyDescent="0.2"/>
    <row r="2214" s="18" customFormat="1" ht="12.75" x14ac:dyDescent="0.2"/>
    <row r="2215" s="18" customFormat="1" ht="12.75" x14ac:dyDescent="0.2"/>
    <row r="2216" s="18" customFormat="1" ht="12.75" x14ac:dyDescent="0.2"/>
    <row r="2217" s="18" customFormat="1" ht="12.75" x14ac:dyDescent="0.2"/>
    <row r="2218" s="18" customFormat="1" ht="12.75" x14ac:dyDescent="0.2"/>
    <row r="2219" s="18" customFormat="1" ht="12.75" x14ac:dyDescent="0.2"/>
    <row r="2220" s="18" customFormat="1" ht="12.75" x14ac:dyDescent="0.2"/>
    <row r="2221" s="18" customFormat="1" ht="12.75" x14ac:dyDescent="0.2"/>
    <row r="2222" s="18" customFormat="1" ht="12.75" x14ac:dyDescent="0.2"/>
    <row r="2223" s="18" customFormat="1" ht="12.75" x14ac:dyDescent="0.2"/>
    <row r="2224" s="18" customFormat="1" ht="12.75" x14ac:dyDescent="0.2"/>
    <row r="2225" s="18" customFormat="1" ht="12.75" x14ac:dyDescent="0.2"/>
    <row r="2226" s="18" customFormat="1" ht="12.75" x14ac:dyDescent="0.2"/>
    <row r="2227" s="18" customFormat="1" ht="12.75" x14ac:dyDescent="0.2"/>
    <row r="2228" s="18" customFormat="1" ht="12.75" x14ac:dyDescent="0.2"/>
    <row r="2229" s="18" customFormat="1" ht="12.75" x14ac:dyDescent="0.2"/>
    <row r="2230" s="18" customFormat="1" ht="12.75" x14ac:dyDescent="0.2"/>
    <row r="2231" s="18" customFormat="1" ht="12.75" x14ac:dyDescent="0.2"/>
    <row r="2232" s="18" customFormat="1" ht="12.75" x14ac:dyDescent="0.2"/>
    <row r="2233" s="18" customFormat="1" ht="12.75" x14ac:dyDescent="0.2"/>
    <row r="2234" s="18" customFormat="1" ht="12.75" x14ac:dyDescent="0.2"/>
    <row r="2235" s="18" customFormat="1" ht="12.75" x14ac:dyDescent="0.2"/>
    <row r="2236" s="18" customFormat="1" ht="12.75" x14ac:dyDescent="0.2"/>
    <row r="2237" s="18" customFormat="1" ht="12.75" x14ac:dyDescent="0.2"/>
    <row r="2238" s="18" customFormat="1" ht="12.75" x14ac:dyDescent="0.2"/>
    <row r="2239" s="18" customFormat="1" ht="12.75" x14ac:dyDescent="0.2"/>
    <row r="2240" s="18" customFormat="1" ht="12.75" x14ac:dyDescent="0.2"/>
    <row r="2241" s="18" customFormat="1" ht="12.75" x14ac:dyDescent="0.2"/>
    <row r="2242" s="18" customFormat="1" ht="12.75" x14ac:dyDescent="0.2"/>
    <row r="2243" s="18" customFormat="1" ht="12.75" x14ac:dyDescent="0.2"/>
    <row r="2244" s="18" customFormat="1" ht="12.75" x14ac:dyDescent="0.2"/>
    <row r="2245" s="18" customFormat="1" ht="12.75" x14ac:dyDescent="0.2"/>
    <row r="2246" s="18" customFormat="1" ht="12.75" x14ac:dyDescent="0.2"/>
    <row r="2247" s="18" customFormat="1" ht="12.75" x14ac:dyDescent="0.2"/>
    <row r="2248" s="18" customFormat="1" ht="12.75" x14ac:dyDescent="0.2"/>
    <row r="2249" s="18" customFormat="1" ht="12.75" x14ac:dyDescent="0.2"/>
    <row r="2250" s="18" customFormat="1" ht="12.75" x14ac:dyDescent="0.2"/>
    <row r="2251" s="18" customFormat="1" ht="12.75" x14ac:dyDescent="0.2"/>
    <row r="2252" s="18" customFormat="1" ht="12.75" x14ac:dyDescent="0.2"/>
    <row r="2253" s="18" customFormat="1" ht="12.75" x14ac:dyDescent="0.2"/>
    <row r="2254" s="18" customFormat="1" ht="12.75" x14ac:dyDescent="0.2"/>
    <row r="2255" s="18" customFormat="1" ht="12.75" x14ac:dyDescent="0.2"/>
    <row r="2256" s="18" customFormat="1" ht="12.75" x14ac:dyDescent="0.2"/>
    <row r="2257" s="18" customFormat="1" ht="12.75" x14ac:dyDescent="0.2"/>
    <row r="2258" s="18" customFormat="1" ht="12.75" x14ac:dyDescent="0.2"/>
    <row r="2259" s="18" customFormat="1" ht="12.75" x14ac:dyDescent="0.2"/>
    <row r="2260" s="18" customFormat="1" ht="12.75" x14ac:dyDescent="0.2"/>
    <row r="2261" s="18" customFormat="1" ht="12.75" x14ac:dyDescent="0.2"/>
    <row r="2262" s="18" customFormat="1" ht="12.75" x14ac:dyDescent="0.2"/>
    <row r="2263" s="18" customFormat="1" ht="12.75" x14ac:dyDescent="0.2"/>
    <row r="2264" s="18" customFormat="1" ht="12.75" x14ac:dyDescent="0.2"/>
    <row r="2265" s="18" customFormat="1" ht="12.75" x14ac:dyDescent="0.2"/>
    <row r="2266" s="18" customFormat="1" ht="12.75" x14ac:dyDescent="0.2"/>
    <row r="2267" s="18" customFormat="1" ht="12.75" x14ac:dyDescent="0.2"/>
    <row r="2268" s="18" customFormat="1" ht="12.75" x14ac:dyDescent="0.2"/>
    <row r="2269" s="18" customFormat="1" ht="12.75" x14ac:dyDescent="0.2"/>
    <row r="2270" s="18" customFormat="1" ht="12.75" x14ac:dyDescent="0.2"/>
    <row r="2271" s="18" customFormat="1" ht="12.75" x14ac:dyDescent="0.2"/>
    <row r="2272" s="18" customFormat="1" ht="12.75" x14ac:dyDescent="0.2"/>
    <row r="2273" s="18" customFormat="1" ht="12.75" x14ac:dyDescent="0.2"/>
    <row r="2274" s="18" customFormat="1" ht="12.75" x14ac:dyDescent="0.2"/>
    <row r="2275" s="18" customFormat="1" ht="12.75" x14ac:dyDescent="0.2"/>
    <row r="2276" s="18" customFormat="1" ht="12.75" x14ac:dyDescent="0.2"/>
    <row r="2277" s="18" customFormat="1" ht="12.75" x14ac:dyDescent="0.2"/>
    <row r="2278" s="18" customFormat="1" ht="12.75" x14ac:dyDescent="0.2"/>
    <row r="2279" s="18" customFormat="1" ht="12.75" x14ac:dyDescent="0.2"/>
    <row r="2280" s="18" customFormat="1" ht="12.75" x14ac:dyDescent="0.2"/>
    <row r="2281" s="18" customFormat="1" ht="12.75" x14ac:dyDescent="0.2"/>
    <row r="2282" s="18" customFormat="1" ht="12.75" x14ac:dyDescent="0.2"/>
    <row r="2283" s="18" customFormat="1" ht="12.75" x14ac:dyDescent="0.2"/>
    <row r="2284" s="18" customFormat="1" ht="12.75" x14ac:dyDescent="0.2"/>
    <row r="2285" s="18" customFormat="1" ht="12.75" x14ac:dyDescent="0.2"/>
    <row r="2286" s="18" customFormat="1" ht="12.75" x14ac:dyDescent="0.2"/>
    <row r="2287" s="18" customFormat="1" ht="12.75" x14ac:dyDescent="0.2"/>
    <row r="2288" s="18" customFormat="1" ht="12.75" x14ac:dyDescent="0.2"/>
    <row r="2289" s="18" customFormat="1" ht="12.75" x14ac:dyDescent="0.2"/>
    <row r="2290" s="18" customFormat="1" ht="12.75" x14ac:dyDescent="0.2"/>
    <row r="2291" s="18" customFormat="1" ht="12.75" x14ac:dyDescent="0.2"/>
    <row r="2292" s="18" customFormat="1" ht="12.75" x14ac:dyDescent="0.2"/>
    <row r="2293" s="18" customFormat="1" ht="12.75" x14ac:dyDescent="0.2"/>
    <row r="2294" s="18" customFormat="1" ht="12.75" x14ac:dyDescent="0.2"/>
    <row r="2295" s="18" customFormat="1" ht="12.75" x14ac:dyDescent="0.2"/>
    <row r="2296" s="18" customFormat="1" ht="12.75" x14ac:dyDescent="0.2"/>
    <row r="2297" s="18" customFormat="1" ht="12.75" x14ac:dyDescent="0.2"/>
    <row r="2298" s="18" customFormat="1" ht="12.75" x14ac:dyDescent="0.2"/>
    <row r="2299" s="18" customFormat="1" ht="12.75" x14ac:dyDescent="0.2"/>
    <row r="2300" s="18" customFormat="1" ht="12.75" x14ac:dyDescent="0.2"/>
    <row r="2301" s="18" customFormat="1" ht="12.75" x14ac:dyDescent="0.2"/>
    <row r="2302" s="18" customFormat="1" ht="12.75" x14ac:dyDescent="0.2"/>
    <row r="2303" s="18" customFormat="1" ht="12.75" x14ac:dyDescent="0.2"/>
    <row r="2304" s="18" customFormat="1" ht="12.75" x14ac:dyDescent="0.2"/>
    <row r="2305" s="18" customFormat="1" ht="12.75" x14ac:dyDescent="0.2"/>
    <row r="2306" s="18" customFormat="1" ht="12.75" x14ac:dyDescent="0.2"/>
    <row r="2307" s="18" customFormat="1" ht="12.75" x14ac:dyDescent="0.2"/>
    <row r="2308" s="18" customFormat="1" ht="12.75" x14ac:dyDescent="0.2"/>
    <row r="2309" s="18" customFormat="1" ht="12.75" x14ac:dyDescent="0.2"/>
    <row r="2310" s="18" customFormat="1" ht="12.75" x14ac:dyDescent="0.2"/>
    <row r="2311" s="18" customFormat="1" ht="12.75" x14ac:dyDescent="0.2"/>
    <row r="2312" s="18" customFormat="1" ht="12.75" x14ac:dyDescent="0.2"/>
    <row r="2313" s="18" customFormat="1" ht="12.75" x14ac:dyDescent="0.2"/>
    <row r="2314" s="18" customFormat="1" ht="12.75" x14ac:dyDescent="0.2"/>
    <row r="2315" s="18" customFormat="1" ht="12.75" x14ac:dyDescent="0.2"/>
    <row r="2316" s="18" customFormat="1" ht="12.75" x14ac:dyDescent="0.2"/>
    <row r="2317" s="18" customFormat="1" ht="12.75" x14ac:dyDescent="0.2"/>
    <row r="2318" s="18" customFormat="1" ht="12.75" x14ac:dyDescent="0.2"/>
    <row r="2319" s="18" customFormat="1" ht="12.75" x14ac:dyDescent="0.2"/>
    <row r="2320" s="18" customFormat="1" ht="12.75" x14ac:dyDescent="0.2"/>
    <row r="2321" s="18" customFormat="1" ht="12.75" x14ac:dyDescent="0.2"/>
    <row r="2322" s="18" customFormat="1" ht="12.75" x14ac:dyDescent="0.2"/>
    <row r="2323" s="18" customFormat="1" ht="12.75" x14ac:dyDescent="0.2"/>
    <row r="2324" s="18" customFormat="1" ht="12.75" x14ac:dyDescent="0.2"/>
    <row r="2325" s="18" customFormat="1" ht="12.75" x14ac:dyDescent="0.2"/>
    <row r="2326" s="18" customFormat="1" ht="12.75" x14ac:dyDescent="0.2"/>
    <row r="2327" s="18" customFormat="1" ht="12.75" x14ac:dyDescent="0.2"/>
    <row r="2328" s="18" customFormat="1" ht="12.75" x14ac:dyDescent="0.2"/>
    <row r="2329" s="18" customFormat="1" ht="12.75" x14ac:dyDescent="0.2"/>
    <row r="2330" s="18" customFormat="1" ht="12.75" x14ac:dyDescent="0.2"/>
    <row r="2331" s="18" customFormat="1" ht="12.75" x14ac:dyDescent="0.2"/>
    <row r="2332" s="18" customFormat="1" ht="12.75" x14ac:dyDescent="0.2"/>
    <row r="2333" s="18" customFormat="1" ht="12.75" x14ac:dyDescent="0.2"/>
    <row r="2334" s="18" customFormat="1" ht="12.75" x14ac:dyDescent="0.2"/>
    <row r="2335" s="18" customFormat="1" ht="12.75" x14ac:dyDescent="0.2"/>
    <row r="2336" s="18" customFormat="1" ht="12.75" x14ac:dyDescent="0.2"/>
    <row r="2337" s="18" customFormat="1" ht="12.75" x14ac:dyDescent="0.2"/>
    <row r="2338" s="18" customFormat="1" ht="12.75" x14ac:dyDescent="0.2"/>
    <row r="2339" s="18" customFormat="1" ht="12.75" x14ac:dyDescent="0.2"/>
    <row r="2340" s="18" customFormat="1" ht="12.75" x14ac:dyDescent="0.2"/>
    <row r="2341" s="18" customFormat="1" ht="12.75" x14ac:dyDescent="0.2"/>
    <row r="2342" s="18" customFormat="1" ht="12.75" x14ac:dyDescent="0.2"/>
    <row r="2343" s="18" customFormat="1" ht="12.75" x14ac:dyDescent="0.2"/>
    <row r="2344" s="18" customFormat="1" ht="12.75" x14ac:dyDescent="0.2"/>
    <row r="2345" s="18" customFormat="1" ht="12.75" x14ac:dyDescent="0.2"/>
    <row r="2346" s="18" customFormat="1" ht="12.75" x14ac:dyDescent="0.2"/>
    <row r="2347" s="18" customFormat="1" ht="12.75" x14ac:dyDescent="0.2"/>
    <row r="2348" s="18" customFormat="1" ht="12.75" x14ac:dyDescent="0.2"/>
    <row r="2349" s="18" customFormat="1" ht="12.75" x14ac:dyDescent="0.2"/>
    <row r="2350" s="18" customFormat="1" ht="12.75" x14ac:dyDescent="0.2"/>
    <row r="2351" s="18" customFormat="1" ht="12.75" x14ac:dyDescent="0.2"/>
    <row r="2352" s="18" customFormat="1" ht="12.75" x14ac:dyDescent="0.2"/>
    <row r="2353" s="18" customFormat="1" ht="12.75" x14ac:dyDescent="0.2"/>
    <row r="2354" s="18" customFormat="1" ht="12.75" x14ac:dyDescent="0.2"/>
    <row r="2355" s="18" customFormat="1" ht="12.75" x14ac:dyDescent="0.2"/>
    <row r="2356" s="18" customFormat="1" ht="12.75" x14ac:dyDescent="0.2"/>
    <row r="2357" s="18" customFormat="1" ht="12.75" x14ac:dyDescent="0.2"/>
    <row r="2358" s="18" customFormat="1" ht="12.75" x14ac:dyDescent="0.2"/>
    <row r="2359" s="18" customFormat="1" ht="12.75" x14ac:dyDescent="0.2"/>
    <row r="2360" s="18" customFormat="1" ht="12.75" x14ac:dyDescent="0.2"/>
    <row r="2361" s="18" customFormat="1" ht="12.75" x14ac:dyDescent="0.2"/>
    <row r="2362" s="18" customFormat="1" ht="12.75" x14ac:dyDescent="0.2"/>
    <row r="2363" s="18" customFormat="1" ht="12.75" x14ac:dyDescent="0.2"/>
    <row r="2364" s="18" customFormat="1" ht="12.75" x14ac:dyDescent="0.2"/>
    <row r="2365" s="18" customFormat="1" ht="12.75" x14ac:dyDescent="0.2"/>
    <row r="2366" s="18" customFormat="1" ht="12.75" x14ac:dyDescent="0.2"/>
    <row r="2367" s="18" customFormat="1" ht="12.75" x14ac:dyDescent="0.2"/>
    <row r="2368" s="18" customFormat="1" ht="12.75" x14ac:dyDescent="0.2"/>
    <row r="2369" s="18" customFormat="1" ht="12.75" x14ac:dyDescent="0.2"/>
    <row r="2370" s="18" customFormat="1" ht="12.75" x14ac:dyDescent="0.2"/>
    <row r="2371" s="18" customFormat="1" ht="12.75" x14ac:dyDescent="0.2"/>
    <row r="2372" s="18" customFormat="1" ht="12.75" x14ac:dyDescent="0.2"/>
    <row r="2373" s="18" customFormat="1" ht="12.75" x14ac:dyDescent="0.2"/>
    <row r="2374" s="18" customFormat="1" ht="12.75" x14ac:dyDescent="0.2"/>
    <row r="2375" s="18" customFormat="1" ht="12.75" x14ac:dyDescent="0.2"/>
    <row r="2376" s="18" customFormat="1" ht="12.75" x14ac:dyDescent="0.2"/>
    <row r="2377" s="18" customFormat="1" ht="12.75" x14ac:dyDescent="0.2"/>
    <row r="2378" s="18" customFormat="1" ht="12.75" x14ac:dyDescent="0.2"/>
    <row r="2379" s="18" customFormat="1" ht="12.75" x14ac:dyDescent="0.2"/>
    <row r="2380" s="18" customFormat="1" ht="12.75" x14ac:dyDescent="0.2"/>
    <row r="2381" s="18" customFormat="1" ht="12.75" x14ac:dyDescent="0.2"/>
    <row r="2382" s="18" customFormat="1" ht="12.75" x14ac:dyDescent="0.2"/>
    <row r="2383" s="18" customFormat="1" ht="12.75" x14ac:dyDescent="0.2"/>
    <row r="2384" s="18" customFormat="1" ht="12.75" x14ac:dyDescent="0.2"/>
    <row r="2385" s="18" customFormat="1" ht="12.75" x14ac:dyDescent="0.2"/>
    <row r="2386" s="18" customFormat="1" ht="12.75" x14ac:dyDescent="0.2"/>
    <row r="2387" s="18" customFormat="1" ht="12.75" x14ac:dyDescent="0.2"/>
    <row r="2388" s="18" customFormat="1" ht="12.75" x14ac:dyDescent="0.2"/>
    <row r="2389" s="18" customFormat="1" ht="12.75" x14ac:dyDescent="0.2"/>
    <row r="2390" s="18" customFormat="1" ht="12.75" x14ac:dyDescent="0.2"/>
    <row r="2391" s="18" customFormat="1" ht="12.75" x14ac:dyDescent="0.2"/>
    <row r="2392" s="18" customFormat="1" ht="12.75" x14ac:dyDescent="0.2"/>
    <row r="2393" s="18" customFormat="1" ht="12.75" x14ac:dyDescent="0.2"/>
    <row r="2394" s="18" customFormat="1" ht="12.75" x14ac:dyDescent="0.2"/>
    <row r="2395" s="18" customFormat="1" ht="12.75" x14ac:dyDescent="0.2"/>
    <row r="2396" s="18" customFormat="1" ht="12.75" x14ac:dyDescent="0.2"/>
    <row r="2397" s="18" customFormat="1" ht="12.75" x14ac:dyDescent="0.2"/>
    <row r="2398" s="18" customFormat="1" ht="12.75" x14ac:dyDescent="0.2"/>
    <row r="2399" s="18" customFormat="1" ht="12.75" x14ac:dyDescent="0.2"/>
    <row r="2400" s="18" customFormat="1" ht="12.75" x14ac:dyDescent="0.2"/>
    <row r="2401" s="18" customFormat="1" ht="12.75" x14ac:dyDescent="0.2"/>
    <row r="2402" s="18" customFormat="1" ht="12.75" x14ac:dyDescent="0.2"/>
    <row r="2403" s="18" customFormat="1" ht="12.75" x14ac:dyDescent="0.2"/>
    <row r="2404" s="18" customFormat="1" ht="12.75" x14ac:dyDescent="0.2"/>
    <row r="2405" s="18" customFormat="1" ht="12.75" x14ac:dyDescent="0.2"/>
    <row r="2406" s="18" customFormat="1" ht="12.75" x14ac:dyDescent="0.2"/>
    <row r="2407" s="18" customFormat="1" ht="12.75" x14ac:dyDescent="0.2"/>
    <row r="2408" s="18" customFormat="1" ht="12.75" x14ac:dyDescent="0.2"/>
    <row r="2409" s="18" customFormat="1" ht="12.75" x14ac:dyDescent="0.2"/>
    <row r="2410" s="18" customFormat="1" ht="12.75" x14ac:dyDescent="0.2"/>
    <row r="2411" s="18" customFormat="1" ht="12.75" x14ac:dyDescent="0.2"/>
    <row r="2412" s="18" customFormat="1" ht="12.75" x14ac:dyDescent="0.2"/>
    <row r="2413" s="18" customFormat="1" ht="12.75" x14ac:dyDescent="0.2"/>
    <row r="2414" s="18" customFormat="1" ht="12.75" x14ac:dyDescent="0.2"/>
    <row r="2415" s="18" customFormat="1" ht="12.75" x14ac:dyDescent="0.2"/>
    <row r="2416" s="18" customFormat="1" ht="12.75" x14ac:dyDescent="0.2"/>
    <row r="2417" s="18" customFormat="1" ht="12.75" x14ac:dyDescent="0.2"/>
    <row r="2418" s="18" customFormat="1" ht="12.75" x14ac:dyDescent="0.2"/>
    <row r="2419" s="18" customFormat="1" ht="12.75" x14ac:dyDescent="0.2"/>
    <row r="2420" s="18" customFormat="1" ht="12.75" x14ac:dyDescent="0.2"/>
    <row r="2421" s="18" customFormat="1" ht="12.75" x14ac:dyDescent="0.2"/>
    <row r="2422" s="18" customFormat="1" ht="12.75" x14ac:dyDescent="0.2"/>
    <row r="2423" s="18" customFormat="1" ht="12.75" x14ac:dyDescent="0.2"/>
    <row r="2424" s="18" customFormat="1" ht="12.75" x14ac:dyDescent="0.2"/>
    <row r="2425" s="18" customFormat="1" ht="12.75" x14ac:dyDescent="0.2"/>
    <row r="2426" s="18" customFormat="1" ht="12.75" x14ac:dyDescent="0.2"/>
    <row r="2427" s="18" customFormat="1" ht="12.75" x14ac:dyDescent="0.2"/>
    <row r="2428" s="18" customFormat="1" ht="12.75" x14ac:dyDescent="0.2"/>
    <row r="2429" s="18" customFormat="1" ht="12.75" x14ac:dyDescent="0.2"/>
    <row r="2430" s="18" customFormat="1" ht="12.75" x14ac:dyDescent="0.2"/>
    <row r="2431" s="18" customFormat="1" ht="12.75" x14ac:dyDescent="0.2"/>
    <row r="2432" s="18" customFormat="1" ht="12.75" x14ac:dyDescent="0.2"/>
    <row r="2433" s="18" customFormat="1" ht="12.75" x14ac:dyDescent="0.2"/>
    <row r="2434" s="18" customFormat="1" ht="12.75" x14ac:dyDescent="0.2"/>
    <row r="2435" s="18" customFormat="1" ht="12.75" x14ac:dyDescent="0.2"/>
    <row r="2436" s="18" customFormat="1" ht="12.75" x14ac:dyDescent="0.2"/>
    <row r="2437" s="18" customFormat="1" ht="12.75" x14ac:dyDescent="0.2"/>
    <row r="2438" s="18" customFormat="1" ht="12.75" x14ac:dyDescent="0.2"/>
    <row r="2439" s="18" customFormat="1" ht="12.75" x14ac:dyDescent="0.2"/>
    <row r="2440" s="18" customFormat="1" ht="12.75" x14ac:dyDescent="0.2"/>
    <row r="2441" s="18" customFormat="1" ht="12.75" x14ac:dyDescent="0.2"/>
    <row r="2442" s="18" customFormat="1" ht="12.75" x14ac:dyDescent="0.2"/>
    <row r="2443" s="18" customFormat="1" ht="12.75" x14ac:dyDescent="0.2"/>
    <row r="2444" s="18" customFormat="1" ht="12.75" x14ac:dyDescent="0.2"/>
    <row r="2445" s="18" customFormat="1" ht="12.75" x14ac:dyDescent="0.2"/>
    <row r="2446" s="18" customFormat="1" ht="12.75" x14ac:dyDescent="0.2"/>
    <row r="2447" s="18" customFormat="1" ht="12.75" x14ac:dyDescent="0.2"/>
    <row r="2448" s="18" customFormat="1" ht="12.75" x14ac:dyDescent="0.2"/>
    <row r="2449" s="18" customFormat="1" ht="12.75" x14ac:dyDescent="0.2"/>
    <row r="2450" s="18" customFormat="1" ht="12.75" x14ac:dyDescent="0.2"/>
    <row r="2451" s="18" customFormat="1" ht="12.75" x14ac:dyDescent="0.2"/>
    <row r="2452" s="18" customFormat="1" ht="12.75" x14ac:dyDescent="0.2"/>
    <row r="2453" s="18" customFormat="1" ht="12.75" x14ac:dyDescent="0.2"/>
    <row r="2454" s="18" customFormat="1" ht="12.75" x14ac:dyDescent="0.2"/>
    <row r="2455" s="18" customFormat="1" ht="12.75" x14ac:dyDescent="0.2"/>
    <row r="2456" s="18" customFormat="1" ht="12.75" x14ac:dyDescent="0.2"/>
    <row r="2457" s="18" customFormat="1" ht="12.75" x14ac:dyDescent="0.2"/>
    <row r="2458" s="18" customFormat="1" ht="12.75" x14ac:dyDescent="0.2"/>
    <row r="2459" s="18" customFormat="1" ht="12.75" x14ac:dyDescent="0.2"/>
    <row r="2460" s="18" customFormat="1" ht="12.75" x14ac:dyDescent="0.2"/>
    <row r="2461" s="18" customFormat="1" ht="12.75" x14ac:dyDescent="0.2"/>
    <row r="2462" s="18" customFormat="1" ht="12.75" x14ac:dyDescent="0.2"/>
    <row r="2463" s="18" customFormat="1" ht="12.75" x14ac:dyDescent="0.2"/>
    <row r="2464" s="18" customFormat="1" ht="12.75" x14ac:dyDescent="0.2"/>
    <row r="2465" s="18" customFormat="1" ht="12.75" x14ac:dyDescent="0.2"/>
    <row r="2466" s="18" customFormat="1" ht="12.75" x14ac:dyDescent="0.2"/>
    <row r="2467" s="18" customFormat="1" ht="12.75" x14ac:dyDescent="0.2"/>
    <row r="2468" s="18" customFormat="1" ht="12.75" x14ac:dyDescent="0.2"/>
    <row r="2469" s="18" customFormat="1" ht="12.75" x14ac:dyDescent="0.2"/>
    <row r="2470" s="18" customFormat="1" ht="12.75" x14ac:dyDescent="0.2"/>
    <row r="2471" s="18" customFormat="1" ht="12.75" x14ac:dyDescent="0.2"/>
    <row r="2472" s="18" customFormat="1" ht="12.75" x14ac:dyDescent="0.2"/>
    <row r="2473" s="18" customFormat="1" ht="12.75" x14ac:dyDescent="0.2"/>
    <row r="2474" s="18" customFormat="1" ht="12.75" x14ac:dyDescent="0.2"/>
    <row r="2475" s="18" customFormat="1" ht="12.75" x14ac:dyDescent="0.2"/>
    <row r="2476" s="18" customFormat="1" ht="12.75" x14ac:dyDescent="0.2"/>
    <row r="2477" s="18" customFormat="1" ht="12.75" x14ac:dyDescent="0.2"/>
    <row r="2478" s="18" customFormat="1" ht="12.75" x14ac:dyDescent="0.2"/>
    <row r="2479" s="18" customFormat="1" ht="12.75" x14ac:dyDescent="0.2"/>
    <row r="2480" s="18" customFormat="1" ht="12.75" x14ac:dyDescent="0.2"/>
    <row r="2481" s="18" customFormat="1" ht="12.75" x14ac:dyDescent="0.2"/>
    <row r="2482" s="18" customFormat="1" ht="12.75" x14ac:dyDescent="0.2"/>
    <row r="2483" s="18" customFormat="1" ht="12.75" x14ac:dyDescent="0.2"/>
    <row r="2484" s="18" customFormat="1" ht="12.75" x14ac:dyDescent="0.2"/>
    <row r="2485" s="18" customFormat="1" ht="12.75" x14ac:dyDescent="0.2"/>
    <row r="2486" s="18" customFormat="1" ht="12.75" x14ac:dyDescent="0.2"/>
    <row r="2487" s="18" customFormat="1" ht="12.75" x14ac:dyDescent="0.2"/>
    <row r="2488" s="18" customFormat="1" ht="12.75" x14ac:dyDescent="0.2"/>
    <row r="2489" s="18" customFormat="1" ht="12.75" x14ac:dyDescent="0.2"/>
    <row r="2490" s="18" customFormat="1" ht="12.75" x14ac:dyDescent="0.2"/>
    <row r="2491" s="18" customFormat="1" ht="12.75" x14ac:dyDescent="0.2"/>
    <row r="2492" s="18" customFormat="1" ht="12.75" x14ac:dyDescent="0.2"/>
    <row r="2493" s="18" customFormat="1" ht="12.75" x14ac:dyDescent="0.2"/>
    <row r="2494" s="18" customFormat="1" ht="12.75" x14ac:dyDescent="0.2"/>
    <row r="2495" s="18" customFormat="1" ht="12.75" x14ac:dyDescent="0.2"/>
    <row r="2496" s="18" customFormat="1" ht="12.75" x14ac:dyDescent="0.2"/>
    <row r="2497" s="18" customFormat="1" ht="12.75" x14ac:dyDescent="0.2"/>
    <row r="2498" s="18" customFormat="1" ht="12.75" x14ac:dyDescent="0.2"/>
    <row r="2499" s="18" customFormat="1" ht="12.75" x14ac:dyDescent="0.2"/>
    <row r="2500" s="18" customFormat="1" ht="12.75" x14ac:dyDescent="0.2"/>
    <row r="2501" s="18" customFormat="1" ht="12.75" x14ac:dyDescent="0.2"/>
    <row r="2502" s="18" customFormat="1" ht="12.75" x14ac:dyDescent="0.2"/>
    <row r="2503" s="18" customFormat="1" ht="12.75" x14ac:dyDescent="0.2"/>
    <row r="2504" s="18" customFormat="1" ht="12.75" x14ac:dyDescent="0.2"/>
    <row r="2505" s="18" customFormat="1" ht="12.75" x14ac:dyDescent="0.2"/>
    <row r="2506" s="18" customFormat="1" ht="12.75" x14ac:dyDescent="0.2"/>
    <row r="2507" s="18" customFormat="1" ht="12.75" x14ac:dyDescent="0.2"/>
    <row r="2508" s="18" customFormat="1" ht="12.75" x14ac:dyDescent="0.2"/>
    <row r="2509" s="18" customFormat="1" ht="12.75" x14ac:dyDescent="0.2"/>
    <row r="2510" s="18" customFormat="1" ht="12.75" x14ac:dyDescent="0.2"/>
    <row r="2511" s="18" customFormat="1" ht="12.75" x14ac:dyDescent="0.2"/>
    <row r="2512" s="18" customFormat="1" ht="12.75" x14ac:dyDescent="0.2"/>
    <row r="2513" s="18" customFormat="1" ht="12.75" x14ac:dyDescent="0.2"/>
    <row r="2514" s="18" customFormat="1" ht="12.75" x14ac:dyDescent="0.2"/>
    <row r="2515" s="18" customFormat="1" ht="12.75" x14ac:dyDescent="0.2"/>
    <row r="2516" s="18" customFormat="1" ht="12.75" x14ac:dyDescent="0.2"/>
    <row r="2517" s="18" customFormat="1" ht="12.75" x14ac:dyDescent="0.2"/>
    <row r="2518" s="18" customFormat="1" ht="12.75" x14ac:dyDescent="0.2"/>
    <row r="2519" s="18" customFormat="1" ht="12.75" x14ac:dyDescent="0.2"/>
    <row r="2520" s="18" customFormat="1" ht="12.75" x14ac:dyDescent="0.2"/>
    <row r="2521" s="18" customFormat="1" ht="12.75" x14ac:dyDescent="0.2"/>
    <row r="2522" s="18" customFormat="1" ht="12.75" x14ac:dyDescent="0.2"/>
    <row r="2523" s="18" customFormat="1" ht="12.75" x14ac:dyDescent="0.2"/>
    <row r="2524" s="18" customFormat="1" ht="12.75" x14ac:dyDescent="0.2"/>
    <row r="2525" s="18" customFormat="1" ht="12.75" x14ac:dyDescent="0.2"/>
    <row r="2526" s="18" customFormat="1" ht="12.75" x14ac:dyDescent="0.2"/>
    <row r="2527" s="18" customFormat="1" ht="12.75" x14ac:dyDescent="0.2"/>
    <row r="2528" s="18" customFormat="1" ht="12.75" x14ac:dyDescent="0.2"/>
    <row r="2529" s="18" customFormat="1" ht="12.75" x14ac:dyDescent="0.2"/>
    <row r="2530" s="18" customFormat="1" ht="12.75" x14ac:dyDescent="0.2"/>
    <row r="2531" s="18" customFormat="1" ht="12.75" x14ac:dyDescent="0.2"/>
    <row r="2532" s="18" customFormat="1" ht="12.75" x14ac:dyDescent="0.2"/>
    <row r="2533" s="18" customFormat="1" ht="12.75" x14ac:dyDescent="0.2"/>
    <row r="2534" s="18" customFormat="1" ht="12.75" x14ac:dyDescent="0.2"/>
    <row r="2535" s="18" customFormat="1" ht="12.75" x14ac:dyDescent="0.2"/>
    <row r="2536" s="18" customFormat="1" ht="12.75" x14ac:dyDescent="0.2"/>
    <row r="2537" s="18" customFormat="1" ht="12.75" x14ac:dyDescent="0.2"/>
    <row r="2538" s="18" customFormat="1" ht="12.75" x14ac:dyDescent="0.2"/>
    <row r="2539" s="18" customFormat="1" ht="12.75" x14ac:dyDescent="0.2"/>
    <row r="2540" s="18" customFormat="1" ht="12.75" x14ac:dyDescent="0.2"/>
    <row r="2541" s="18" customFormat="1" ht="12.75" x14ac:dyDescent="0.2"/>
    <row r="2542" s="18" customFormat="1" ht="12.75" x14ac:dyDescent="0.2"/>
    <row r="2543" s="18" customFormat="1" ht="12.75" x14ac:dyDescent="0.2"/>
    <row r="2544" s="18" customFormat="1" ht="12.75" x14ac:dyDescent="0.2"/>
    <row r="2545" s="18" customFormat="1" ht="12.75" x14ac:dyDescent="0.2"/>
    <row r="2546" s="18" customFormat="1" ht="12.75" x14ac:dyDescent="0.2"/>
    <row r="2547" s="18" customFormat="1" ht="12.75" x14ac:dyDescent="0.2"/>
    <row r="2548" s="18" customFormat="1" ht="12.75" x14ac:dyDescent="0.2"/>
    <row r="2549" s="18" customFormat="1" ht="12.75" x14ac:dyDescent="0.2"/>
    <row r="2550" s="18" customFormat="1" ht="12.75" x14ac:dyDescent="0.2"/>
    <row r="2551" s="18" customFormat="1" ht="12.75" x14ac:dyDescent="0.2"/>
    <row r="2552" s="18" customFormat="1" ht="12.75" x14ac:dyDescent="0.2"/>
    <row r="2553" s="18" customFormat="1" ht="12.75" x14ac:dyDescent="0.2"/>
    <row r="2554" s="18" customFormat="1" ht="12.75" x14ac:dyDescent="0.2"/>
    <row r="2555" s="18" customFormat="1" ht="12.75" x14ac:dyDescent="0.2"/>
    <row r="2556" s="18" customFormat="1" ht="12.75" x14ac:dyDescent="0.2"/>
    <row r="2557" s="18" customFormat="1" ht="12.75" x14ac:dyDescent="0.2"/>
    <row r="2558" s="18" customFormat="1" ht="12.75" x14ac:dyDescent="0.2"/>
    <row r="2559" s="18" customFormat="1" ht="12.75" x14ac:dyDescent="0.2"/>
    <row r="2560" s="18" customFormat="1" ht="12.75" x14ac:dyDescent="0.2"/>
    <row r="2561" s="18" customFormat="1" ht="12.75" x14ac:dyDescent="0.2"/>
    <row r="2562" s="18" customFormat="1" ht="12.75" x14ac:dyDescent="0.2"/>
    <row r="2563" s="18" customFormat="1" ht="12.75" x14ac:dyDescent="0.2"/>
    <row r="2564" s="18" customFormat="1" ht="12.75" x14ac:dyDescent="0.2"/>
    <row r="2565" s="18" customFormat="1" ht="12.75" x14ac:dyDescent="0.2"/>
    <row r="2566" s="18" customFormat="1" ht="12.75" x14ac:dyDescent="0.2"/>
    <row r="2567" s="18" customFormat="1" ht="12.75" x14ac:dyDescent="0.2"/>
    <row r="2568" s="18" customFormat="1" ht="12.75" x14ac:dyDescent="0.2"/>
    <row r="2569" s="18" customFormat="1" ht="12.75" x14ac:dyDescent="0.2"/>
    <row r="2570" s="18" customFormat="1" ht="12.75" x14ac:dyDescent="0.2"/>
    <row r="2571" s="18" customFormat="1" ht="12.75" x14ac:dyDescent="0.2"/>
    <row r="2572" s="18" customFormat="1" ht="12.75" x14ac:dyDescent="0.2"/>
    <row r="2573" s="18" customFormat="1" ht="12.75" x14ac:dyDescent="0.2"/>
    <row r="2574" s="18" customFormat="1" ht="12.75" x14ac:dyDescent="0.2"/>
    <row r="2575" s="18" customFormat="1" ht="12.75" x14ac:dyDescent="0.2"/>
    <row r="2576" s="18" customFormat="1" ht="12.75" x14ac:dyDescent="0.2"/>
    <row r="2577" s="18" customFormat="1" ht="12.75" x14ac:dyDescent="0.2"/>
    <row r="2578" s="18" customFormat="1" ht="12.75" x14ac:dyDescent="0.2"/>
    <row r="2579" s="18" customFormat="1" ht="12.75" x14ac:dyDescent="0.2"/>
    <row r="2580" s="18" customFormat="1" ht="12.75" x14ac:dyDescent="0.2"/>
    <row r="2581" s="18" customFormat="1" ht="12.75" x14ac:dyDescent="0.2"/>
    <row r="2582" s="18" customFormat="1" ht="12.75" x14ac:dyDescent="0.2"/>
    <row r="2583" s="18" customFormat="1" ht="12.75" x14ac:dyDescent="0.2"/>
    <row r="2584" s="18" customFormat="1" ht="12.75" x14ac:dyDescent="0.2"/>
    <row r="2585" s="18" customFormat="1" ht="12.75" x14ac:dyDescent="0.2"/>
    <row r="2586" s="18" customFormat="1" ht="12.75" x14ac:dyDescent="0.2"/>
    <row r="2587" s="18" customFormat="1" ht="12.75" x14ac:dyDescent="0.2"/>
    <row r="2588" s="18" customFormat="1" ht="12.75" x14ac:dyDescent="0.2"/>
    <row r="2589" s="18" customFormat="1" ht="12.75" x14ac:dyDescent="0.2"/>
    <row r="2590" s="18" customFormat="1" ht="12.75" x14ac:dyDescent="0.2"/>
    <row r="2591" s="18" customFormat="1" ht="12.75" x14ac:dyDescent="0.2"/>
    <row r="2592" s="18" customFormat="1" ht="12.75" x14ac:dyDescent="0.2"/>
    <row r="2593" s="18" customFormat="1" ht="12.75" x14ac:dyDescent="0.2"/>
    <row r="2594" s="18" customFormat="1" ht="12.75" x14ac:dyDescent="0.2"/>
    <row r="2595" s="18" customFormat="1" ht="12.75" x14ac:dyDescent="0.2"/>
    <row r="2596" s="18" customFormat="1" ht="12.75" x14ac:dyDescent="0.2"/>
    <row r="2597" s="18" customFormat="1" ht="12.75" x14ac:dyDescent="0.2"/>
    <row r="2598" s="18" customFormat="1" ht="12.75" x14ac:dyDescent="0.2"/>
    <row r="2599" s="18" customFormat="1" ht="12.75" x14ac:dyDescent="0.2"/>
    <row r="2600" s="18" customFormat="1" ht="12.75" x14ac:dyDescent="0.2"/>
    <row r="2601" s="18" customFormat="1" ht="12.75" x14ac:dyDescent="0.2"/>
    <row r="2602" s="18" customFormat="1" ht="12.75" x14ac:dyDescent="0.2"/>
    <row r="2603" s="18" customFormat="1" ht="12.75" x14ac:dyDescent="0.2"/>
    <row r="2604" s="18" customFormat="1" ht="12.75" x14ac:dyDescent="0.2"/>
    <row r="2605" s="18" customFormat="1" ht="12.75" x14ac:dyDescent="0.2"/>
    <row r="2606" s="18" customFormat="1" ht="12.75" x14ac:dyDescent="0.2"/>
    <row r="2607" s="18" customFormat="1" ht="12.75" x14ac:dyDescent="0.2"/>
    <row r="2608" s="18" customFormat="1" ht="12.75" x14ac:dyDescent="0.2"/>
    <row r="2609" s="18" customFormat="1" ht="12.75" x14ac:dyDescent="0.2"/>
    <row r="2610" s="18" customFormat="1" ht="12.75" x14ac:dyDescent="0.2"/>
    <row r="2611" s="18" customFormat="1" ht="12.75" x14ac:dyDescent="0.2"/>
    <row r="2612" s="18" customFormat="1" ht="12.75" x14ac:dyDescent="0.2"/>
    <row r="2613" s="18" customFormat="1" ht="12.75" x14ac:dyDescent="0.2"/>
    <row r="2614" s="18" customFormat="1" ht="12.75" x14ac:dyDescent="0.2"/>
    <row r="2615" s="18" customFormat="1" ht="12.75" x14ac:dyDescent="0.2"/>
    <row r="2616" s="18" customFormat="1" ht="12.75" x14ac:dyDescent="0.2"/>
    <row r="2617" s="18" customFormat="1" ht="12.75" x14ac:dyDescent="0.2"/>
    <row r="2618" s="18" customFormat="1" ht="12.75" x14ac:dyDescent="0.2"/>
    <row r="2619" s="18" customFormat="1" ht="12.75" x14ac:dyDescent="0.2"/>
    <row r="2620" s="18" customFormat="1" ht="12.75" x14ac:dyDescent="0.2"/>
    <row r="2621" s="18" customFormat="1" ht="12.75" x14ac:dyDescent="0.2"/>
    <row r="2622" s="18" customFormat="1" ht="12.75" x14ac:dyDescent="0.2"/>
    <row r="2623" s="18" customFormat="1" ht="12.75" x14ac:dyDescent="0.2"/>
    <row r="2624" s="18" customFormat="1" ht="12.75" x14ac:dyDescent="0.2"/>
    <row r="2625" s="18" customFormat="1" ht="12.75" x14ac:dyDescent="0.2"/>
    <row r="2626" s="18" customFormat="1" ht="12.75" x14ac:dyDescent="0.2"/>
    <row r="2627" s="18" customFormat="1" ht="12.75" x14ac:dyDescent="0.2"/>
    <row r="2628" s="18" customFormat="1" ht="12.75" x14ac:dyDescent="0.2"/>
    <row r="2629" s="18" customFormat="1" ht="12.75" x14ac:dyDescent="0.2"/>
    <row r="2630" s="18" customFormat="1" ht="12.75" x14ac:dyDescent="0.2"/>
    <row r="2631" s="18" customFormat="1" ht="12.75" x14ac:dyDescent="0.2"/>
    <row r="2632" s="18" customFormat="1" ht="12.75" x14ac:dyDescent="0.2"/>
    <row r="2633" s="18" customFormat="1" ht="12.75" x14ac:dyDescent="0.2"/>
    <row r="2634" s="18" customFormat="1" ht="12.75" x14ac:dyDescent="0.2"/>
    <row r="2635" s="18" customFormat="1" ht="12.75" x14ac:dyDescent="0.2"/>
    <row r="2636" s="18" customFormat="1" ht="12.75" x14ac:dyDescent="0.2"/>
    <row r="2637" s="18" customFormat="1" ht="12.75" x14ac:dyDescent="0.2"/>
    <row r="2638" s="18" customFormat="1" ht="12.75" x14ac:dyDescent="0.2"/>
    <row r="2639" s="18" customFormat="1" ht="12.75" x14ac:dyDescent="0.2"/>
    <row r="2640" s="18" customFormat="1" ht="12.75" x14ac:dyDescent="0.2"/>
    <row r="2641" s="18" customFormat="1" ht="12.75" x14ac:dyDescent="0.2"/>
    <row r="2642" s="18" customFormat="1" ht="12.75" x14ac:dyDescent="0.2"/>
    <row r="2643" s="18" customFormat="1" ht="12.75" x14ac:dyDescent="0.2"/>
    <row r="2644" s="18" customFormat="1" ht="12.75" x14ac:dyDescent="0.2"/>
    <row r="2645" s="18" customFormat="1" ht="12.75" x14ac:dyDescent="0.2"/>
    <row r="2646" s="18" customFormat="1" ht="12.75" x14ac:dyDescent="0.2"/>
    <row r="2647" s="18" customFormat="1" ht="12.75" x14ac:dyDescent="0.2"/>
    <row r="2648" s="18" customFormat="1" ht="12.75" x14ac:dyDescent="0.2"/>
    <row r="2649" s="18" customFormat="1" ht="12.75" x14ac:dyDescent="0.2"/>
    <row r="2650" s="18" customFormat="1" ht="12.75" x14ac:dyDescent="0.2"/>
    <row r="2651" s="18" customFormat="1" ht="12.75" x14ac:dyDescent="0.2"/>
    <row r="2652" s="18" customFormat="1" ht="12.75" x14ac:dyDescent="0.2"/>
    <row r="2653" s="18" customFormat="1" ht="12.75" x14ac:dyDescent="0.2"/>
    <row r="2654" s="18" customFormat="1" ht="12.75" x14ac:dyDescent="0.2"/>
    <row r="2655" s="18" customFormat="1" ht="12.75" x14ac:dyDescent="0.2"/>
    <row r="2656" s="18" customFormat="1" ht="12.75" x14ac:dyDescent="0.2"/>
    <row r="2657" s="18" customFormat="1" ht="12.75" x14ac:dyDescent="0.2"/>
    <row r="2658" s="18" customFormat="1" ht="12.75" x14ac:dyDescent="0.2"/>
    <row r="2659" s="18" customFormat="1" ht="12.75" x14ac:dyDescent="0.2"/>
    <row r="2660" s="18" customFormat="1" ht="12.75" x14ac:dyDescent="0.2"/>
    <row r="2661" s="18" customFormat="1" ht="12.75" x14ac:dyDescent="0.2"/>
    <row r="2662" s="18" customFormat="1" ht="12.75" x14ac:dyDescent="0.2"/>
    <row r="2663" s="18" customFormat="1" ht="12.75" x14ac:dyDescent="0.2"/>
    <row r="2664" s="18" customFormat="1" ht="12.75" x14ac:dyDescent="0.2"/>
    <row r="2665" s="18" customFormat="1" ht="12.75" x14ac:dyDescent="0.2"/>
    <row r="2666" s="18" customFormat="1" ht="12.75" x14ac:dyDescent="0.2"/>
    <row r="2667" s="18" customFormat="1" ht="12.75" x14ac:dyDescent="0.2"/>
    <row r="2668" s="18" customFormat="1" ht="12.75" x14ac:dyDescent="0.2"/>
    <row r="2669" s="18" customFormat="1" ht="12.75" x14ac:dyDescent="0.2"/>
    <row r="2670" s="18" customFormat="1" ht="12.75" x14ac:dyDescent="0.2"/>
    <row r="2671" s="18" customFormat="1" ht="12.75" x14ac:dyDescent="0.2"/>
    <row r="2672" s="18" customFormat="1" ht="12.75" x14ac:dyDescent="0.2"/>
    <row r="2673" s="18" customFormat="1" ht="12.75" x14ac:dyDescent="0.2"/>
    <row r="2674" s="18" customFormat="1" ht="12.75" x14ac:dyDescent="0.2"/>
    <row r="2675" s="18" customFormat="1" ht="12.75" x14ac:dyDescent="0.2"/>
    <row r="2676" s="18" customFormat="1" ht="12.75" x14ac:dyDescent="0.2"/>
    <row r="2677" s="18" customFormat="1" ht="12.75" x14ac:dyDescent="0.2"/>
    <row r="2678" s="18" customFormat="1" ht="12.75" x14ac:dyDescent="0.2"/>
    <row r="2679" s="18" customFormat="1" ht="12.75" x14ac:dyDescent="0.2"/>
    <row r="2680" s="18" customFormat="1" ht="12.75" x14ac:dyDescent="0.2"/>
    <row r="2681" s="18" customFormat="1" ht="12.75" x14ac:dyDescent="0.2"/>
    <row r="2682" s="18" customFormat="1" ht="12.75" x14ac:dyDescent="0.2"/>
    <row r="2683" s="18" customFormat="1" ht="12.75" x14ac:dyDescent="0.2"/>
    <row r="2684" s="18" customFormat="1" ht="12.75" x14ac:dyDescent="0.2"/>
    <row r="2685" s="18" customFormat="1" ht="12.75" x14ac:dyDescent="0.2"/>
    <row r="2686" s="18" customFormat="1" ht="12.75" x14ac:dyDescent="0.2"/>
    <row r="2687" s="18" customFormat="1" ht="12.75" x14ac:dyDescent="0.2"/>
    <row r="2688" s="18" customFormat="1" ht="12.75" x14ac:dyDescent="0.2"/>
    <row r="2689" s="18" customFormat="1" ht="12.75" x14ac:dyDescent="0.2"/>
    <row r="2690" s="18" customFormat="1" ht="12.75" x14ac:dyDescent="0.2"/>
    <row r="2691" s="18" customFormat="1" ht="12.75" x14ac:dyDescent="0.2"/>
    <row r="2692" s="18" customFormat="1" ht="12.75" x14ac:dyDescent="0.2"/>
    <row r="2693" s="18" customFormat="1" ht="12.75" x14ac:dyDescent="0.2"/>
    <row r="2694" s="18" customFormat="1" ht="12.75" x14ac:dyDescent="0.2"/>
    <row r="2695" s="18" customFormat="1" ht="12.75" x14ac:dyDescent="0.2"/>
    <row r="2696" s="18" customFormat="1" ht="12.75" x14ac:dyDescent="0.2"/>
    <row r="2697" s="18" customFormat="1" ht="12.75" x14ac:dyDescent="0.2"/>
    <row r="2698" s="18" customFormat="1" ht="12.75" x14ac:dyDescent="0.2"/>
    <row r="2699" s="18" customFormat="1" ht="12.75" x14ac:dyDescent="0.2"/>
    <row r="2700" s="18" customFormat="1" ht="12.75" x14ac:dyDescent="0.2"/>
    <row r="2701" s="18" customFormat="1" ht="12.75" x14ac:dyDescent="0.2"/>
    <row r="2702" s="18" customFormat="1" ht="12.75" x14ac:dyDescent="0.2"/>
    <row r="2703" s="18" customFormat="1" ht="12.75" x14ac:dyDescent="0.2"/>
    <row r="2704" s="18" customFormat="1" ht="12.75" x14ac:dyDescent="0.2"/>
    <row r="2705" s="18" customFormat="1" ht="12.75" x14ac:dyDescent="0.2"/>
    <row r="2706" s="18" customFormat="1" ht="12.75" x14ac:dyDescent="0.2"/>
    <row r="2707" s="18" customFormat="1" ht="12.75" x14ac:dyDescent="0.2"/>
    <row r="2708" s="18" customFormat="1" ht="12.75" x14ac:dyDescent="0.2"/>
    <row r="2709" s="18" customFormat="1" ht="12.75" x14ac:dyDescent="0.2"/>
    <row r="2710" s="18" customFormat="1" ht="12.75" x14ac:dyDescent="0.2"/>
    <row r="2711" s="18" customFormat="1" ht="12.75" x14ac:dyDescent="0.2"/>
    <row r="2712" s="18" customFormat="1" ht="12.75" x14ac:dyDescent="0.2"/>
    <row r="2713" s="18" customFormat="1" ht="12.75" x14ac:dyDescent="0.2"/>
    <row r="2714" s="18" customFormat="1" ht="12.75" x14ac:dyDescent="0.2"/>
    <row r="2715" s="18" customFormat="1" ht="12.75" x14ac:dyDescent="0.2"/>
    <row r="2716" s="18" customFormat="1" ht="12.75" x14ac:dyDescent="0.2"/>
    <row r="2717" s="18" customFormat="1" ht="12.75" x14ac:dyDescent="0.2"/>
    <row r="2718" s="18" customFormat="1" ht="12.75" x14ac:dyDescent="0.2"/>
    <row r="2719" s="18" customFormat="1" ht="12.75" x14ac:dyDescent="0.2"/>
    <row r="2720" s="18" customFormat="1" ht="12.75" x14ac:dyDescent="0.2"/>
    <row r="2721" s="18" customFormat="1" ht="12.75" x14ac:dyDescent="0.2"/>
    <row r="2722" s="18" customFormat="1" ht="12.75" x14ac:dyDescent="0.2"/>
    <row r="2723" s="18" customFormat="1" ht="12.75" x14ac:dyDescent="0.2"/>
    <row r="2724" s="18" customFormat="1" ht="12.75" x14ac:dyDescent="0.2"/>
    <row r="2725" s="18" customFormat="1" ht="12.75" x14ac:dyDescent="0.2"/>
    <row r="2726" s="18" customFormat="1" ht="12.75" x14ac:dyDescent="0.2"/>
    <row r="2727" s="18" customFormat="1" ht="12.75" x14ac:dyDescent="0.2"/>
    <row r="2728" s="18" customFormat="1" ht="12.75" x14ac:dyDescent="0.2"/>
    <row r="2729" s="18" customFormat="1" ht="12.75" x14ac:dyDescent="0.2"/>
    <row r="2730" s="18" customFormat="1" ht="12.75" x14ac:dyDescent="0.2"/>
    <row r="2731" s="18" customFormat="1" ht="12.75" x14ac:dyDescent="0.2"/>
    <row r="2732" s="18" customFormat="1" ht="12.75" x14ac:dyDescent="0.2"/>
    <row r="2733" s="18" customFormat="1" ht="12.75" x14ac:dyDescent="0.2"/>
    <row r="2734" s="18" customFormat="1" ht="12.75" x14ac:dyDescent="0.2"/>
    <row r="2735" s="18" customFormat="1" ht="12.75" x14ac:dyDescent="0.2"/>
    <row r="2736" s="18" customFormat="1" ht="12.75" x14ac:dyDescent="0.2"/>
    <row r="2737" s="18" customFormat="1" ht="12.75" x14ac:dyDescent="0.2"/>
    <row r="2738" s="18" customFormat="1" ht="12.75" x14ac:dyDescent="0.2"/>
    <row r="2739" s="18" customFormat="1" ht="12.75" x14ac:dyDescent="0.2"/>
    <row r="2740" s="18" customFormat="1" ht="12.75" x14ac:dyDescent="0.2"/>
    <row r="2741" s="18" customFormat="1" ht="12.75" x14ac:dyDescent="0.2"/>
    <row r="2742" s="18" customFormat="1" ht="12.75" x14ac:dyDescent="0.2"/>
    <row r="2743" s="18" customFormat="1" ht="12.75" x14ac:dyDescent="0.2"/>
    <row r="2744" s="18" customFormat="1" ht="12.75" x14ac:dyDescent="0.2"/>
    <row r="2745" s="18" customFormat="1" ht="12.75" x14ac:dyDescent="0.2"/>
    <row r="2746" s="18" customFormat="1" ht="12.75" x14ac:dyDescent="0.2"/>
    <row r="2747" s="18" customFormat="1" ht="12.75" x14ac:dyDescent="0.2"/>
    <row r="2748" s="18" customFormat="1" ht="12.75" x14ac:dyDescent="0.2"/>
    <row r="2749" s="18" customFormat="1" ht="12.75" x14ac:dyDescent="0.2"/>
    <row r="2750" s="18" customFormat="1" ht="12.75" x14ac:dyDescent="0.2"/>
    <row r="2751" s="18" customFormat="1" ht="12.75" x14ac:dyDescent="0.2"/>
    <row r="2752" s="18" customFormat="1" ht="12.75" x14ac:dyDescent="0.2"/>
    <row r="2753" s="18" customFormat="1" ht="12.75" x14ac:dyDescent="0.2"/>
    <row r="2754" s="18" customFormat="1" ht="12.75" x14ac:dyDescent="0.2"/>
    <row r="2755" s="18" customFormat="1" ht="12.75" x14ac:dyDescent="0.2"/>
    <row r="2756" s="18" customFormat="1" ht="12.75" x14ac:dyDescent="0.2"/>
    <row r="2757" s="18" customFormat="1" ht="12.75" x14ac:dyDescent="0.2"/>
    <row r="2758" s="18" customFormat="1" ht="12.75" x14ac:dyDescent="0.2"/>
    <row r="2759" s="18" customFormat="1" ht="12.75" x14ac:dyDescent="0.2"/>
    <row r="2760" s="18" customFormat="1" ht="12.75" x14ac:dyDescent="0.2"/>
    <row r="2761" s="18" customFormat="1" ht="12.75" x14ac:dyDescent="0.2"/>
    <row r="2762" s="18" customFormat="1" ht="12.75" x14ac:dyDescent="0.2"/>
    <row r="2763" s="18" customFormat="1" ht="12.75" x14ac:dyDescent="0.2"/>
    <row r="2764" s="18" customFormat="1" ht="12.75" x14ac:dyDescent="0.2"/>
    <row r="2765" s="18" customFormat="1" ht="12.75" x14ac:dyDescent="0.2"/>
    <row r="2766" s="18" customFormat="1" ht="12.75" x14ac:dyDescent="0.2"/>
    <row r="2767" s="18" customFormat="1" ht="12.75" x14ac:dyDescent="0.2"/>
    <row r="2768" s="18" customFormat="1" ht="12.75" x14ac:dyDescent="0.2"/>
    <row r="2769" s="18" customFormat="1" ht="12.75" x14ac:dyDescent="0.2"/>
    <row r="2770" s="18" customFormat="1" ht="12.75" x14ac:dyDescent="0.2"/>
    <row r="2771" s="18" customFormat="1" ht="12.75" x14ac:dyDescent="0.2"/>
    <row r="2772" s="18" customFormat="1" ht="12.75" x14ac:dyDescent="0.2"/>
    <row r="2773" s="18" customFormat="1" ht="12.75" x14ac:dyDescent="0.2"/>
    <row r="2774" s="18" customFormat="1" ht="12.75" x14ac:dyDescent="0.2"/>
    <row r="2775" s="18" customFormat="1" ht="12.75" x14ac:dyDescent="0.2"/>
    <row r="2776" s="18" customFormat="1" ht="12.75" x14ac:dyDescent="0.2"/>
    <row r="2777" s="18" customFormat="1" ht="12.75" x14ac:dyDescent="0.2"/>
    <row r="2778" s="18" customFormat="1" ht="12.75" x14ac:dyDescent="0.2"/>
    <row r="2779" s="18" customFormat="1" ht="12.75" x14ac:dyDescent="0.2"/>
    <row r="2780" s="18" customFormat="1" ht="12.75" x14ac:dyDescent="0.2"/>
    <row r="2781" s="18" customFormat="1" ht="12.75" x14ac:dyDescent="0.2"/>
    <row r="2782" s="18" customFormat="1" ht="12.75" x14ac:dyDescent="0.2"/>
    <row r="2783" s="18" customFormat="1" ht="12.75" x14ac:dyDescent="0.2"/>
    <row r="2784" s="18" customFormat="1" ht="12.75" x14ac:dyDescent="0.2"/>
    <row r="2785" s="18" customFormat="1" ht="12.75" x14ac:dyDescent="0.2"/>
    <row r="2786" s="18" customFormat="1" ht="12.75" x14ac:dyDescent="0.2"/>
    <row r="2787" s="18" customFormat="1" ht="12.75" x14ac:dyDescent="0.2"/>
    <row r="2788" s="18" customFormat="1" ht="12.75" x14ac:dyDescent="0.2"/>
    <row r="2789" s="18" customFormat="1" ht="12.75" x14ac:dyDescent="0.2"/>
    <row r="2790" s="18" customFormat="1" ht="12.75" x14ac:dyDescent="0.2"/>
    <row r="2791" s="18" customFormat="1" ht="12.75" x14ac:dyDescent="0.2"/>
    <row r="2792" s="18" customFormat="1" ht="12.75" x14ac:dyDescent="0.2"/>
    <row r="2793" s="18" customFormat="1" ht="12.75" x14ac:dyDescent="0.2"/>
    <row r="2794" s="18" customFormat="1" ht="12.75" x14ac:dyDescent="0.2"/>
    <row r="2795" s="18" customFormat="1" ht="12.75" x14ac:dyDescent="0.2"/>
    <row r="2796" s="18" customFormat="1" ht="12.75" x14ac:dyDescent="0.2"/>
    <row r="2797" s="18" customFormat="1" ht="12.75" x14ac:dyDescent="0.2"/>
    <row r="2798" s="18" customFormat="1" ht="12.75" x14ac:dyDescent="0.2"/>
    <row r="2799" s="18" customFormat="1" ht="12.75" x14ac:dyDescent="0.2"/>
    <row r="2800" s="18" customFormat="1" ht="12.75" x14ac:dyDescent="0.2"/>
    <row r="2801" s="18" customFormat="1" ht="12.75" x14ac:dyDescent="0.2"/>
    <row r="2802" s="18" customFormat="1" ht="12.75" x14ac:dyDescent="0.2"/>
    <row r="2803" s="18" customFormat="1" ht="12.75" x14ac:dyDescent="0.2"/>
    <row r="2804" s="18" customFormat="1" ht="12.75" x14ac:dyDescent="0.2"/>
    <row r="2805" s="18" customFormat="1" ht="12.75" x14ac:dyDescent="0.2"/>
    <row r="2806" s="18" customFormat="1" ht="12.75" x14ac:dyDescent="0.2"/>
    <row r="2807" s="18" customFormat="1" ht="12.75" x14ac:dyDescent="0.2"/>
    <row r="2808" s="18" customFormat="1" ht="12.75" x14ac:dyDescent="0.2"/>
    <row r="2809" s="18" customFormat="1" ht="12.75" x14ac:dyDescent="0.2"/>
    <row r="2810" s="18" customFormat="1" ht="12.75" x14ac:dyDescent="0.2"/>
    <row r="2811" s="18" customFormat="1" ht="12.75" x14ac:dyDescent="0.2"/>
    <row r="2812" s="18" customFormat="1" ht="12.75" x14ac:dyDescent="0.2"/>
    <row r="2813" s="18" customFormat="1" ht="12.75" x14ac:dyDescent="0.2"/>
    <row r="2814" s="18" customFormat="1" ht="12.75" x14ac:dyDescent="0.2"/>
    <row r="2815" s="18" customFormat="1" ht="12.75" x14ac:dyDescent="0.2"/>
    <row r="2816" s="18" customFormat="1" ht="12.75" x14ac:dyDescent="0.2"/>
    <row r="2817" s="18" customFormat="1" ht="12.75" x14ac:dyDescent="0.2"/>
    <row r="2818" s="18" customFormat="1" ht="12.75" x14ac:dyDescent="0.2"/>
    <row r="2819" s="18" customFormat="1" ht="12.75" x14ac:dyDescent="0.2"/>
    <row r="2820" s="18" customFormat="1" ht="12.75" x14ac:dyDescent="0.2"/>
    <row r="2821" s="18" customFormat="1" ht="12.75" x14ac:dyDescent="0.2"/>
    <row r="2822" s="18" customFormat="1" ht="12.75" x14ac:dyDescent="0.2"/>
    <row r="2823" s="18" customFormat="1" ht="12.75" x14ac:dyDescent="0.2"/>
    <row r="2824" s="18" customFormat="1" ht="12.75" x14ac:dyDescent="0.2"/>
    <row r="2825" s="18" customFormat="1" ht="12.75" x14ac:dyDescent="0.2"/>
    <row r="2826" s="18" customFormat="1" ht="12.75" x14ac:dyDescent="0.2"/>
    <row r="2827" s="18" customFormat="1" ht="12.75" x14ac:dyDescent="0.2"/>
    <row r="2828" s="18" customFormat="1" ht="12.75" x14ac:dyDescent="0.2"/>
    <row r="2829" s="18" customFormat="1" ht="12.75" x14ac:dyDescent="0.2"/>
    <row r="2830" s="18" customFormat="1" ht="12.75" x14ac:dyDescent="0.2"/>
    <row r="2831" s="18" customFormat="1" ht="12.75" x14ac:dyDescent="0.2"/>
    <row r="2832" s="18" customFormat="1" ht="12.75" x14ac:dyDescent="0.2"/>
    <row r="2833" s="18" customFormat="1" ht="12.75" x14ac:dyDescent="0.2"/>
    <row r="2834" s="18" customFormat="1" ht="12.75" x14ac:dyDescent="0.2"/>
    <row r="2835" s="18" customFormat="1" ht="12.75" x14ac:dyDescent="0.2"/>
    <row r="2836" s="18" customFormat="1" ht="12.75" x14ac:dyDescent="0.2"/>
    <row r="2837" s="18" customFormat="1" ht="12.75" x14ac:dyDescent="0.2"/>
    <row r="2838" s="18" customFormat="1" ht="12.75" x14ac:dyDescent="0.2"/>
    <row r="2839" s="18" customFormat="1" ht="12.75" x14ac:dyDescent="0.2"/>
    <row r="2840" s="18" customFormat="1" ht="12.75" x14ac:dyDescent="0.2"/>
    <row r="2841" s="18" customFormat="1" ht="12.75" x14ac:dyDescent="0.2"/>
    <row r="2842" s="18" customFormat="1" ht="12.75" x14ac:dyDescent="0.2"/>
    <row r="2843" s="18" customFormat="1" ht="12.75" x14ac:dyDescent="0.2"/>
    <row r="2844" s="18" customFormat="1" ht="12.75" x14ac:dyDescent="0.2"/>
    <row r="2845" s="18" customFormat="1" ht="12.75" x14ac:dyDescent="0.2"/>
    <row r="2846" s="18" customFormat="1" ht="12.75" x14ac:dyDescent="0.2"/>
    <row r="2847" s="18" customFormat="1" ht="12.75" x14ac:dyDescent="0.2"/>
    <row r="2848" s="18" customFormat="1" ht="12.75" x14ac:dyDescent="0.2"/>
    <row r="2849" s="18" customFormat="1" ht="12.75" x14ac:dyDescent="0.2"/>
    <row r="2850" s="18" customFormat="1" ht="12.75" x14ac:dyDescent="0.2"/>
    <row r="2851" s="18" customFormat="1" ht="12.75" x14ac:dyDescent="0.2"/>
    <row r="2852" s="18" customFormat="1" ht="12.75" x14ac:dyDescent="0.2"/>
    <row r="2853" s="18" customFormat="1" ht="12.75" x14ac:dyDescent="0.2"/>
    <row r="2854" s="18" customFormat="1" ht="12.75" x14ac:dyDescent="0.2"/>
    <row r="2855" s="18" customFormat="1" ht="12.75" x14ac:dyDescent="0.2"/>
    <row r="2856" s="18" customFormat="1" ht="12.75" x14ac:dyDescent="0.2"/>
    <row r="2857" s="18" customFormat="1" ht="12.75" x14ac:dyDescent="0.2"/>
    <row r="2858" s="18" customFormat="1" ht="12.75" x14ac:dyDescent="0.2"/>
    <row r="2859" s="18" customFormat="1" ht="12.75" x14ac:dyDescent="0.2"/>
    <row r="2860" s="18" customFormat="1" ht="12.75" x14ac:dyDescent="0.2"/>
    <row r="2861" s="18" customFormat="1" ht="12.75" x14ac:dyDescent="0.2"/>
    <row r="2862" s="18" customFormat="1" ht="12.75" x14ac:dyDescent="0.2"/>
    <row r="2863" s="18" customFormat="1" ht="12.75" x14ac:dyDescent="0.2"/>
    <row r="2864" s="18" customFormat="1" ht="12.75" x14ac:dyDescent="0.2"/>
    <row r="2865" s="18" customFormat="1" ht="12.75" x14ac:dyDescent="0.2"/>
    <row r="2866" s="18" customFormat="1" ht="12.75" x14ac:dyDescent="0.2"/>
    <row r="2867" s="18" customFormat="1" ht="12.75" x14ac:dyDescent="0.2"/>
    <row r="2868" s="18" customFormat="1" ht="12.75" x14ac:dyDescent="0.2"/>
    <row r="2869" s="18" customFormat="1" ht="12.75" x14ac:dyDescent="0.2"/>
    <row r="2870" s="18" customFormat="1" ht="12.75" x14ac:dyDescent="0.2"/>
    <row r="2871" s="18" customFormat="1" ht="12.75" x14ac:dyDescent="0.2"/>
    <row r="2872" s="18" customFormat="1" ht="12.75" x14ac:dyDescent="0.2"/>
    <row r="2873" s="18" customFormat="1" ht="12.75" x14ac:dyDescent="0.2"/>
    <row r="2874" s="18" customFormat="1" ht="12.75" x14ac:dyDescent="0.2"/>
    <row r="2875" s="18" customFormat="1" ht="12.75" x14ac:dyDescent="0.2"/>
    <row r="2876" s="18" customFormat="1" ht="12.75" x14ac:dyDescent="0.2"/>
    <row r="2877" s="18" customFormat="1" ht="12.75" x14ac:dyDescent="0.2"/>
    <row r="2878" s="18" customFormat="1" ht="12.75" x14ac:dyDescent="0.2"/>
    <row r="2879" s="18" customFormat="1" ht="12.75" x14ac:dyDescent="0.2"/>
    <row r="2880" s="18" customFormat="1" ht="12.75" x14ac:dyDescent="0.2"/>
    <row r="2881" s="18" customFormat="1" ht="12.75" x14ac:dyDescent="0.2"/>
    <row r="2882" s="18" customFormat="1" ht="12.75" x14ac:dyDescent="0.2"/>
    <row r="2883" s="18" customFormat="1" ht="12.75" x14ac:dyDescent="0.2"/>
    <row r="2884" s="18" customFormat="1" ht="12.75" x14ac:dyDescent="0.2"/>
    <row r="2885" s="18" customFormat="1" ht="12.75" x14ac:dyDescent="0.2"/>
    <row r="2886" s="18" customFormat="1" ht="12.75" x14ac:dyDescent="0.2"/>
    <row r="2887" s="18" customFormat="1" ht="12.75" x14ac:dyDescent="0.2"/>
    <row r="2888" s="18" customFormat="1" ht="12.75" x14ac:dyDescent="0.2"/>
    <row r="2889" s="18" customFormat="1" ht="12.75" x14ac:dyDescent="0.2"/>
    <row r="2890" s="18" customFormat="1" ht="12.75" x14ac:dyDescent="0.2"/>
    <row r="2891" s="18" customFormat="1" ht="12.75" x14ac:dyDescent="0.2"/>
    <row r="2892" s="18" customFormat="1" ht="12.75" x14ac:dyDescent="0.2"/>
    <row r="2893" s="18" customFormat="1" ht="12.75" x14ac:dyDescent="0.2"/>
    <row r="2894" s="18" customFormat="1" ht="12.75" x14ac:dyDescent="0.2"/>
    <row r="2895" s="18" customFormat="1" ht="12.75" x14ac:dyDescent="0.2"/>
    <row r="2896" s="18" customFormat="1" ht="12.75" x14ac:dyDescent="0.2"/>
    <row r="2897" s="18" customFormat="1" ht="12.75" x14ac:dyDescent="0.2"/>
    <row r="2898" s="18" customFormat="1" ht="12.75" x14ac:dyDescent="0.2"/>
    <row r="2899" s="18" customFormat="1" ht="12.75" x14ac:dyDescent="0.2"/>
    <row r="2900" s="18" customFormat="1" ht="12.75" x14ac:dyDescent="0.2"/>
    <row r="2901" s="18" customFormat="1" ht="12.75" x14ac:dyDescent="0.2"/>
    <row r="2902" s="18" customFormat="1" ht="12.75" x14ac:dyDescent="0.2"/>
    <row r="2903" s="18" customFormat="1" ht="12.75" x14ac:dyDescent="0.2"/>
    <row r="2904" s="18" customFormat="1" ht="12.75" x14ac:dyDescent="0.2"/>
    <row r="2905" s="18" customFormat="1" ht="12.75" x14ac:dyDescent="0.2"/>
    <row r="2906" s="18" customFormat="1" ht="12.75" x14ac:dyDescent="0.2"/>
    <row r="2907" s="18" customFormat="1" ht="12.75" x14ac:dyDescent="0.2"/>
    <row r="2908" s="18" customFormat="1" ht="12.75" x14ac:dyDescent="0.2"/>
    <row r="2909" s="18" customFormat="1" ht="12.75" x14ac:dyDescent="0.2"/>
    <row r="2910" s="18" customFormat="1" ht="12.75" x14ac:dyDescent="0.2"/>
    <row r="2911" s="18" customFormat="1" ht="12.75" x14ac:dyDescent="0.2"/>
    <row r="2912" s="18" customFormat="1" ht="12.75" x14ac:dyDescent="0.2"/>
    <row r="2913" s="18" customFormat="1" ht="12.75" x14ac:dyDescent="0.2"/>
    <row r="2914" s="18" customFormat="1" ht="12.75" x14ac:dyDescent="0.2"/>
    <row r="2915" s="18" customFormat="1" ht="12.75" x14ac:dyDescent="0.2"/>
    <row r="2916" s="18" customFormat="1" ht="12.75" x14ac:dyDescent="0.2"/>
    <row r="2917" s="18" customFormat="1" ht="12.75" x14ac:dyDescent="0.2"/>
    <row r="2918" s="18" customFormat="1" ht="12.75" x14ac:dyDescent="0.2"/>
    <row r="2919" s="18" customFormat="1" ht="12.75" x14ac:dyDescent="0.2"/>
    <row r="2920" s="18" customFormat="1" ht="12.75" x14ac:dyDescent="0.2"/>
    <row r="2921" s="18" customFormat="1" ht="12.75" x14ac:dyDescent="0.2"/>
    <row r="2922" s="18" customFormat="1" ht="12.75" x14ac:dyDescent="0.2"/>
    <row r="2923" s="18" customFormat="1" ht="12.75" x14ac:dyDescent="0.2"/>
    <row r="2924" s="18" customFormat="1" ht="12.75" x14ac:dyDescent="0.2"/>
    <row r="2925" s="18" customFormat="1" ht="12.75" x14ac:dyDescent="0.2"/>
    <row r="2926" s="18" customFormat="1" ht="12.75" x14ac:dyDescent="0.2"/>
    <row r="2927" s="18" customFormat="1" ht="12.75" x14ac:dyDescent="0.2"/>
    <row r="2928" s="18" customFormat="1" ht="12.75" x14ac:dyDescent="0.2"/>
    <row r="2929" s="18" customFormat="1" ht="12.75" x14ac:dyDescent="0.2"/>
    <row r="2930" s="18" customFormat="1" ht="12.75" x14ac:dyDescent="0.2"/>
    <row r="2931" s="18" customFormat="1" ht="12.75" x14ac:dyDescent="0.2"/>
    <row r="2932" s="18" customFormat="1" ht="12.75" x14ac:dyDescent="0.2"/>
    <row r="2933" s="18" customFormat="1" ht="12.75" x14ac:dyDescent="0.2"/>
    <row r="2934" s="18" customFormat="1" ht="12.75" x14ac:dyDescent="0.2"/>
    <row r="2935" s="18" customFormat="1" ht="12.75" x14ac:dyDescent="0.2"/>
    <row r="2936" s="18" customFormat="1" ht="12.75" x14ac:dyDescent="0.2"/>
    <row r="2937" s="18" customFormat="1" ht="12.75" x14ac:dyDescent="0.2"/>
    <row r="2938" s="18" customFormat="1" ht="12.75" x14ac:dyDescent="0.2"/>
    <row r="2939" s="18" customFormat="1" ht="12.75" x14ac:dyDescent="0.2"/>
    <row r="2940" s="18" customFormat="1" ht="12.75" x14ac:dyDescent="0.2"/>
    <row r="2941" s="18" customFormat="1" ht="12.75" x14ac:dyDescent="0.2"/>
    <row r="2942" s="18" customFormat="1" ht="12.75" x14ac:dyDescent="0.2"/>
    <row r="2943" s="18" customFormat="1" ht="12.75" x14ac:dyDescent="0.2"/>
    <row r="2944" s="18" customFormat="1" ht="12.75" x14ac:dyDescent="0.2"/>
    <row r="2945" s="18" customFormat="1" ht="12.75" x14ac:dyDescent="0.2"/>
    <row r="2946" s="18" customFormat="1" ht="12.75" x14ac:dyDescent="0.2"/>
    <row r="2947" s="18" customFormat="1" ht="12.75" x14ac:dyDescent="0.2"/>
    <row r="2948" s="18" customFormat="1" ht="12.75" x14ac:dyDescent="0.2"/>
    <row r="2949" s="18" customFormat="1" ht="12.75" x14ac:dyDescent="0.2"/>
    <row r="2950" s="18" customFormat="1" ht="12.75" x14ac:dyDescent="0.2"/>
    <row r="2951" s="18" customFormat="1" ht="12.75" x14ac:dyDescent="0.2"/>
    <row r="2952" s="18" customFormat="1" ht="12.75" x14ac:dyDescent="0.2"/>
    <row r="2953" s="18" customFormat="1" ht="12.75" x14ac:dyDescent="0.2"/>
    <row r="2954" s="18" customFormat="1" ht="12.75" x14ac:dyDescent="0.2"/>
    <row r="2955" s="18" customFormat="1" ht="12.75" x14ac:dyDescent="0.2"/>
    <row r="2956" s="18" customFormat="1" ht="12.75" x14ac:dyDescent="0.2"/>
    <row r="2957" s="18" customFormat="1" ht="12.75" x14ac:dyDescent="0.2"/>
    <row r="2958" s="18" customFormat="1" ht="12.75" x14ac:dyDescent="0.2"/>
    <row r="2959" s="18" customFormat="1" ht="12.75" x14ac:dyDescent="0.2"/>
    <row r="2960" s="18" customFormat="1" ht="12.75" x14ac:dyDescent="0.2"/>
    <row r="2961" s="18" customFormat="1" ht="12.75" x14ac:dyDescent="0.2"/>
    <row r="2962" s="18" customFormat="1" ht="12.75" x14ac:dyDescent="0.2"/>
    <row r="2963" s="18" customFormat="1" ht="12.75" x14ac:dyDescent="0.2"/>
    <row r="2964" s="18" customFormat="1" ht="12.75" x14ac:dyDescent="0.2"/>
    <row r="2965" s="18" customFormat="1" ht="12.75" x14ac:dyDescent="0.2"/>
    <row r="2966" s="18" customFormat="1" ht="12.75" x14ac:dyDescent="0.2"/>
    <row r="2967" s="18" customFormat="1" ht="12.75" x14ac:dyDescent="0.2"/>
    <row r="2968" s="18" customFormat="1" ht="12.75" x14ac:dyDescent="0.2"/>
    <row r="2969" s="18" customFormat="1" ht="12.75" x14ac:dyDescent="0.2"/>
    <row r="2970" s="18" customFormat="1" ht="12.75" x14ac:dyDescent="0.2"/>
    <row r="2971" s="18" customFormat="1" ht="12.75" x14ac:dyDescent="0.2"/>
    <row r="2972" s="18" customFormat="1" ht="12.75" x14ac:dyDescent="0.2"/>
    <row r="2973" s="18" customFormat="1" ht="12.75" x14ac:dyDescent="0.2"/>
    <row r="2974" s="18" customFormat="1" ht="12.75" x14ac:dyDescent="0.2"/>
    <row r="2975" s="18" customFormat="1" ht="12.75" x14ac:dyDescent="0.2"/>
    <row r="2976" s="18" customFormat="1" ht="12.75" x14ac:dyDescent="0.2"/>
    <row r="2977" s="18" customFormat="1" ht="12.75" x14ac:dyDescent="0.2"/>
    <row r="2978" s="18" customFormat="1" ht="12.75" x14ac:dyDescent="0.2"/>
    <row r="2979" s="18" customFormat="1" ht="12.75" x14ac:dyDescent="0.2"/>
    <row r="2980" s="18" customFormat="1" ht="12.75" x14ac:dyDescent="0.2"/>
    <row r="2981" s="18" customFormat="1" ht="12.75" x14ac:dyDescent="0.2"/>
    <row r="2982" s="18" customFormat="1" ht="12.75" x14ac:dyDescent="0.2"/>
    <row r="2983" s="18" customFormat="1" ht="12.75" x14ac:dyDescent="0.2"/>
    <row r="2984" s="18" customFormat="1" ht="12.75" x14ac:dyDescent="0.2"/>
    <row r="2985" s="18" customFormat="1" ht="12.75" x14ac:dyDescent="0.2"/>
    <row r="2986" s="18" customFormat="1" ht="12.75" x14ac:dyDescent="0.2"/>
    <row r="2987" s="18" customFormat="1" ht="12.75" x14ac:dyDescent="0.2"/>
    <row r="2988" s="18" customFormat="1" ht="12.75" x14ac:dyDescent="0.2"/>
    <row r="2989" s="18" customFormat="1" ht="12.75" x14ac:dyDescent="0.2"/>
    <row r="2990" s="18" customFormat="1" ht="12.75" x14ac:dyDescent="0.2"/>
    <row r="2991" s="18" customFormat="1" ht="12.75" x14ac:dyDescent="0.2"/>
    <row r="2992" s="18" customFormat="1" ht="12.75" x14ac:dyDescent="0.2"/>
    <row r="2993" s="18" customFormat="1" ht="12.75" x14ac:dyDescent="0.2"/>
    <row r="2994" s="18" customFormat="1" ht="12.75" x14ac:dyDescent="0.2"/>
    <row r="2995" s="18" customFormat="1" ht="12.75" x14ac:dyDescent="0.2"/>
    <row r="2996" s="18" customFormat="1" ht="12.75" x14ac:dyDescent="0.2"/>
    <row r="2997" s="18" customFormat="1" ht="12.75" x14ac:dyDescent="0.2"/>
    <row r="2998" s="18" customFormat="1" ht="12.75" x14ac:dyDescent="0.2"/>
    <row r="2999" s="18" customFormat="1" ht="12.75" x14ac:dyDescent="0.2"/>
    <row r="3000" s="18" customFormat="1" ht="12.75" x14ac:dyDescent="0.2"/>
    <row r="3001" s="18" customFormat="1" ht="12.75" x14ac:dyDescent="0.2"/>
    <row r="3002" s="18" customFormat="1" ht="12.75" x14ac:dyDescent="0.2"/>
    <row r="3003" s="18" customFormat="1" ht="12.75" x14ac:dyDescent="0.2"/>
    <row r="3004" s="18" customFormat="1" ht="12.75" x14ac:dyDescent="0.2"/>
    <row r="3005" s="18" customFormat="1" ht="12.75" x14ac:dyDescent="0.2"/>
    <row r="3006" s="18" customFormat="1" ht="12.75" x14ac:dyDescent="0.2"/>
    <row r="3007" s="18" customFormat="1" ht="12.75" x14ac:dyDescent="0.2"/>
    <row r="3008" s="18" customFormat="1" ht="12.75" x14ac:dyDescent="0.2"/>
    <row r="3009" s="18" customFormat="1" ht="12.75" x14ac:dyDescent="0.2"/>
    <row r="3010" s="18" customFormat="1" ht="12.75" x14ac:dyDescent="0.2"/>
    <row r="3011" s="18" customFormat="1" ht="12.75" x14ac:dyDescent="0.2"/>
    <row r="3012" s="18" customFormat="1" ht="12.75" x14ac:dyDescent="0.2"/>
    <row r="3013" s="18" customFormat="1" ht="12.75" x14ac:dyDescent="0.2"/>
    <row r="3014" s="18" customFormat="1" ht="12.75" x14ac:dyDescent="0.2"/>
    <row r="3015" s="18" customFormat="1" ht="12.75" x14ac:dyDescent="0.2"/>
    <row r="3016" s="18" customFormat="1" ht="12.75" x14ac:dyDescent="0.2"/>
    <row r="3017" s="18" customFormat="1" ht="12.75" x14ac:dyDescent="0.2"/>
    <row r="3018" s="18" customFormat="1" ht="12.75" x14ac:dyDescent="0.2"/>
    <row r="3019" s="18" customFormat="1" ht="12.75" x14ac:dyDescent="0.2"/>
    <row r="3020" s="18" customFormat="1" ht="12.75" x14ac:dyDescent="0.2"/>
    <row r="3021" s="18" customFormat="1" ht="12.75" x14ac:dyDescent="0.2"/>
    <row r="3022" s="18" customFormat="1" ht="12.75" x14ac:dyDescent="0.2"/>
    <row r="3023" s="18" customFormat="1" ht="12.75" x14ac:dyDescent="0.2"/>
    <row r="3024" s="18" customFormat="1" ht="12.75" x14ac:dyDescent="0.2"/>
    <row r="3025" s="18" customFormat="1" ht="12.75" x14ac:dyDescent="0.2"/>
    <row r="3026" s="18" customFormat="1" ht="12.75" x14ac:dyDescent="0.2"/>
    <row r="3027" s="18" customFormat="1" ht="12.75" x14ac:dyDescent="0.2"/>
    <row r="3028" s="18" customFormat="1" ht="12.75" x14ac:dyDescent="0.2"/>
    <row r="3029" s="18" customFormat="1" ht="12.75" x14ac:dyDescent="0.2"/>
    <row r="3030" s="18" customFormat="1" ht="12.75" x14ac:dyDescent="0.2"/>
    <row r="3031" s="18" customFormat="1" ht="12.75" x14ac:dyDescent="0.2"/>
    <row r="3032" s="18" customFormat="1" ht="12.75" x14ac:dyDescent="0.2"/>
    <row r="3033" s="18" customFormat="1" ht="12.75" x14ac:dyDescent="0.2"/>
    <row r="3034" s="18" customFormat="1" ht="12.75" x14ac:dyDescent="0.2"/>
    <row r="3035" s="18" customFormat="1" ht="12.75" x14ac:dyDescent="0.2"/>
    <row r="3036" s="18" customFormat="1" ht="12.75" x14ac:dyDescent="0.2"/>
    <row r="3037" s="18" customFormat="1" ht="12.75" x14ac:dyDescent="0.2"/>
    <row r="3038" s="18" customFormat="1" ht="12.75" x14ac:dyDescent="0.2"/>
    <row r="3039" s="18" customFormat="1" ht="12.75" x14ac:dyDescent="0.2"/>
    <row r="3040" s="18" customFormat="1" ht="12.75" x14ac:dyDescent="0.2"/>
    <row r="3041" s="18" customFormat="1" ht="12.75" x14ac:dyDescent="0.2"/>
    <row r="3042" s="18" customFormat="1" ht="12.75" x14ac:dyDescent="0.2"/>
    <row r="3043" s="18" customFormat="1" ht="12.75" x14ac:dyDescent="0.2"/>
    <row r="3044" s="18" customFormat="1" ht="12.75" x14ac:dyDescent="0.2"/>
    <row r="3045" s="18" customFormat="1" ht="12.75" x14ac:dyDescent="0.2"/>
    <row r="3046" s="18" customFormat="1" ht="12.75" x14ac:dyDescent="0.2"/>
    <row r="3047" s="18" customFormat="1" ht="12.75" x14ac:dyDescent="0.2"/>
    <row r="3048" s="18" customFormat="1" ht="12.75" x14ac:dyDescent="0.2"/>
    <row r="3049" s="18" customFormat="1" ht="12.75" x14ac:dyDescent="0.2"/>
    <row r="3050" s="18" customFormat="1" ht="12.75" x14ac:dyDescent="0.2"/>
    <row r="3051" s="18" customFormat="1" ht="12.75" x14ac:dyDescent="0.2"/>
    <row r="3052" s="18" customFormat="1" ht="12.75" x14ac:dyDescent="0.2"/>
    <row r="3053" s="18" customFormat="1" ht="12.75" x14ac:dyDescent="0.2"/>
    <row r="3054" s="18" customFormat="1" ht="12.75" x14ac:dyDescent="0.2"/>
    <row r="3055" s="18" customFormat="1" ht="12.75" x14ac:dyDescent="0.2"/>
    <row r="3056" s="18" customFormat="1" ht="12.75" x14ac:dyDescent="0.2"/>
    <row r="3057" s="18" customFormat="1" ht="12.75" x14ac:dyDescent="0.2"/>
    <row r="3058" s="18" customFormat="1" ht="12.75" x14ac:dyDescent="0.2"/>
    <row r="3059" s="18" customFormat="1" ht="12.75" x14ac:dyDescent="0.2"/>
    <row r="3060" s="18" customFormat="1" ht="12.75" x14ac:dyDescent="0.2"/>
    <row r="3061" s="18" customFormat="1" ht="12.75" x14ac:dyDescent="0.2"/>
    <row r="3062" s="18" customFormat="1" ht="12.75" x14ac:dyDescent="0.2"/>
    <row r="3063" s="18" customFormat="1" ht="12.75" x14ac:dyDescent="0.2"/>
    <row r="3064" s="18" customFormat="1" ht="12.75" x14ac:dyDescent="0.2"/>
    <row r="3065" s="18" customFormat="1" ht="12.75" x14ac:dyDescent="0.2"/>
    <row r="3066" s="18" customFormat="1" ht="12.75" x14ac:dyDescent="0.2"/>
    <row r="3067" s="18" customFormat="1" ht="12.75" x14ac:dyDescent="0.2"/>
    <row r="3068" s="18" customFormat="1" ht="12.75" x14ac:dyDescent="0.2"/>
    <row r="3069" s="18" customFormat="1" ht="12.75" x14ac:dyDescent="0.2"/>
    <row r="3070" s="18" customFormat="1" ht="12.75" x14ac:dyDescent="0.2"/>
    <row r="3071" s="18" customFormat="1" ht="12.75" x14ac:dyDescent="0.2"/>
    <row r="3072" s="18" customFormat="1" ht="12.75" x14ac:dyDescent="0.2"/>
    <row r="3073" s="18" customFormat="1" ht="12.75" x14ac:dyDescent="0.2"/>
    <row r="3074" s="18" customFormat="1" ht="12.75" x14ac:dyDescent="0.2"/>
    <row r="3075" s="18" customFormat="1" ht="12.75" x14ac:dyDescent="0.2"/>
    <row r="3076" s="18" customFormat="1" ht="12.75" x14ac:dyDescent="0.2"/>
    <row r="3077" s="18" customFormat="1" ht="12.75" x14ac:dyDescent="0.2"/>
    <row r="3078" s="18" customFormat="1" ht="12.75" x14ac:dyDescent="0.2"/>
    <row r="3079" s="18" customFormat="1" ht="12.75" x14ac:dyDescent="0.2"/>
    <row r="3080" s="18" customFormat="1" ht="12.75" x14ac:dyDescent="0.2"/>
    <row r="3081" s="18" customFormat="1" ht="12.75" x14ac:dyDescent="0.2"/>
    <row r="3082" s="18" customFormat="1" ht="12.75" x14ac:dyDescent="0.2"/>
    <row r="3083" s="18" customFormat="1" ht="12.75" x14ac:dyDescent="0.2"/>
    <row r="3084" s="18" customFormat="1" ht="12.75" x14ac:dyDescent="0.2"/>
    <row r="3085" s="18" customFormat="1" ht="12.75" x14ac:dyDescent="0.2"/>
    <row r="3086" s="18" customFormat="1" ht="12.75" x14ac:dyDescent="0.2"/>
    <row r="3087" s="18" customFormat="1" ht="12.75" x14ac:dyDescent="0.2"/>
    <row r="3088" s="18" customFormat="1" ht="12.75" x14ac:dyDescent="0.2"/>
    <row r="3089" s="18" customFormat="1" ht="12.75" x14ac:dyDescent="0.2"/>
    <row r="3090" s="18" customFormat="1" ht="12.75" x14ac:dyDescent="0.2"/>
    <row r="3091" s="18" customFormat="1" ht="12.75" x14ac:dyDescent="0.2"/>
    <row r="3092" s="18" customFormat="1" ht="12.75" x14ac:dyDescent="0.2"/>
    <row r="3093" s="18" customFormat="1" ht="12.75" x14ac:dyDescent="0.2"/>
    <row r="3094" s="18" customFormat="1" ht="12.75" x14ac:dyDescent="0.2"/>
    <row r="3095" s="18" customFormat="1" ht="12.75" x14ac:dyDescent="0.2"/>
    <row r="3096" s="18" customFormat="1" ht="12.75" x14ac:dyDescent="0.2"/>
    <row r="3097" s="18" customFormat="1" ht="12.75" x14ac:dyDescent="0.2"/>
    <row r="3098" s="18" customFormat="1" ht="12.75" x14ac:dyDescent="0.2"/>
    <row r="3099" s="18" customFormat="1" ht="12.75" x14ac:dyDescent="0.2"/>
    <row r="3100" s="18" customFormat="1" ht="12.75" x14ac:dyDescent="0.2"/>
    <row r="3101" s="18" customFormat="1" ht="12.75" x14ac:dyDescent="0.2"/>
    <row r="3102" s="18" customFormat="1" ht="12.75" x14ac:dyDescent="0.2"/>
    <row r="3103" s="18" customFormat="1" ht="12.75" x14ac:dyDescent="0.2"/>
    <row r="3104" s="18" customFormat="1" ht="12.75" x14ac:dyDescent="0.2"/>
    <row r="3105" s="18" customFormat="1" ht="12.75" x14ac:dyDescent="0.2"/>
    <row r="3106" s="18" customFormat="1" ht="12.75" x14ac:dyDescent="0.2"/>
    <row r="3107" s="18" customFormat="1" ht="12.75" x14ac:dyDescent="0.2"/>
    <row r="3108" s="18" customFormat="1" ht="12.75" x14ac:dyDescent="0.2"/>
    <row r="3109" s="18" customFormat="1" ht="12.75" x14ac:dyDescent="0.2"/>
    <row r="3110" s="18" customFormat="1" ht="12.75" x14ac:dyDescent="0.2"/>
    <row r="3111" s="18" customFormat="1" ht="12.75" x14ac:dyDescent="0.2"/>
    <row r="3112" s="18" customFormat="1" ht="12.75" x14ac:dyDescent="0.2"/>
    <row r="3113" s="18" customFormat="1" ht="12.75" x14ac:dyDescent="0.2"/>
    <row r="3114" s="18" customFormat="1" ht="12.75" x14ac:dyDescent="0.2"/>
    <row r="3115" s="18" customFormat="1" ht="12.75" x14ac:dyDescent="0.2"/>
    <row r="3116" s="18" customFormat="1" ht="12.75" x14ac:dyDescent="0.2"/>
    <row r="3117" s="18" customFormat="1" ht="12.75" x14ac:dyDescent="0.2"/>
    <row r="3118" s="18" customFormat="1" ht="12.75" x14ac:dyDescent="0.2"/>
    <row r="3119" s="18" customFormat="1" ht="12.75" x14ac:dyDescent="0.2"/>
    <row r="3120" s="18" customFormat="1" ht="12.75" x14ac:dyDescent="0.2"/>
    <row r="3121" s="18" customFormat="1" ht="12.75" x14ac:dyDescent="0.2"/>
    <row r="3122" s="18" customFormat="1" ht="12.75" x14ac:dyDescent="0.2"/>
    <row r="3123" s="18" customFormat="1" ht="12.75" x14ac:dyDescent="0.2"/>
    <row r="3124" s="18" customFormat="1" ht="12.75" x14ac:dyDescent="0.2"/>
    <row r="3125" s="18" customFormat="1" ht="12.75" x14ac:dyDescent="0.2"/>
    <row r="3126" s="18" customFormat="1" ht="12.75" x14ac:dyDescent="0.2"/>
    <row r="3127" s="18" customFormat="1" ht="12.75" x14ac:dyDescent="0.2"/>
    <row r="3128" s="18" customFormat="1" ht="12.75" x14ac:dyDescent="0.2"/>
    <row r="3129" s="18" customFormat="1" ht="12.75" x14ac:dyDescent="0.2"/>
    <row r="3130" s="18" customFormat="1" ht="12.75" x14ac:dyDescent="0.2"/>
    <row r="3131" s="18" customFormat="1" ht="12.75" x14ac:dyDescent="0.2"/>
    <row r="3132" s="18" customFormat="1" ht="12.75" x14ac:dyDescent="0.2"/>
    <row r="3133" s="18" customFormat="1" ht="12.75" x14ac:dyDescent="0.2"/>
    <row r="3134" s="18" customFormat="1" ht="12.75" x14ac:dyDescent="0.2"/>
    <row r="3135" s="18" customFormat="1" ht="12.75" x14ac:dyDescent="0.2"/>
    <row r="3136" s="18" customFormat="1" ht="12.75" x14ac:dyDescent="0.2"/>
    <row r="3137" s="18" customFormat="1" ht="12.75" x14ac:dyDescent="0.2"/>
    <row r="3138" s="18" customFormat="1" ht="12.75" x14ac:dyDescent="0.2"/>
    <row r="3139" s="18" customFormat="1" ht="12.75" x14ac:dyDescent="0.2"/>
    <row r="3140" s="18" customFormat="1" ht="12.75" x14ac:dyDescent="0.2"/>
    <row r="3141" s="18" customFormat="1" ht="12.75" x14ac:dyDescent="0.2"/>
    <row r="3142" s="18" customFormat="1" ht="12.75" x14ac:dyDescent="0.2"/>
    <row r="3143" s="18" customFormat="1" ht="12.75" x14ac:dyDescent="0.2"/>
    <row r="3144" s="18" customFormat="1" ht="12.75" x14ac:dyDescent="0.2"/>
    <row r="3145" s="18" customFormat="1" ht="12.75" x14ac:dyDescent="0.2"/>
    <row r="3146" s="18" customFormat="1" ht="12.75" x14ac:dyDescent="0.2"/>
    <row r="3147" s="18" customFormat="1" ht="12.75" x14ac:dyDescent="0.2"/>
    <row r="3148" s="18" customFormat="1" ht="12.75" x14ac:dyDescent="0.2"/>
    <row r="3149" s="18" customFormat="1" ht="12.75" x14ac:dyDescent="0.2"/>
    <row r="3150" s="18" customFormat="1" ht="12.75" x14ac:dyDescent="0.2"/>
    <row r="3151" s="18" customFormat="1" ht="12.75" x14ac:dyDescent="0.2"/>
    <row r="3152" s="18" customFormat="1" ht="12.75" x14ac:dyDescent="0.2"/>
    <row r="3153" s="18" customFormat="1" ht="12.75" x14ac:dyDescent="0.2"/>
    <row r="3154" s="18" customFormat="1" ht="12.75" x14ac:dyDescent="0.2"/>
    <row r="3155" s="18" customFormat="1" ht="12.75" x14ac:dyDescent="0.2"/>
    <row r="3156" s="18" customFormat="1" ht="12.75" x14ac:dyDescent="0.2"/>
    <row r="3157" s="18" customFormat="1" ht="12.75" x14ac:dyDescent="0.2"/>
    <row r="3158" s="18" customFormat="1" ht="12.75" x14ac:dyDescent="0.2"/>
    <row r="3159" s="18" customFormat="1" ht="12.75" x14ac:dyDescent="0.2"/>
    <row r="3160" s="18" customFormat="1" ht="12.75" x14ac:dyDescent="0.2"/>
    <row r="3161" s="18" customFormat="1" ht="12.75" x14ac:dyDescent="0.2"/>
    <row r="3162" s="18" customFormat="1" ht="12.75" x14ac:dyDescent="0.2"/>
    <row r="3163" s="18" customFormat="1" ht="12.75" x14ac:dyDescent="0.2"/>
    <row r="3164" s="18" customFormat="1" ht="12.75" x14ac:dyDescent="0.2"/>
    <row r="3165" s="18" customFormat="1" ht="12.75" x14ac:dyDescent="0.2"/>
    <row r="3166" s="18" customFormat="1" ht="12.75" x14ac:dyDescent="0.2"/>
    <row r="3167" s="18" customFormat="1" ht="12.75" x14ac:dyDescent="0.2"/>
    <row r="3168" s="18" customFormat="1" ht="12.75" x14ac:dyDescent="0.2"/>
    <row r="3169" s="18" customFormat="1" ht="12.75" x14ac:dyDescent="0.2"/>
    <row r="3170" s="18" customFormat="1" ht="12.75" x14ac:dyDescent="0.2"/>
    <row r="3171" s="18" customFormat="1" ht="12.75" x14ac:dyDescent="0.2"/>
    <row r="3172" s="18" customFormat="1" ht="12.75" x14ac:dyDescent="0.2"/>
    <row r="3173" s="18" customFormat="1" ht="12.75" x14ac:dyDescent="0.2"/>
    <row r="3174" s="18" customFormat="1" ht="12.75" x14ac:dyDescent="0.2"/>
    <row r="3175" s="18" customFormat="1" ht="12.75" x14ac:dyDescent="0.2"/>
    <row r="3176" s="18" customFormat="1" ht="12.75" x14ac:dyDescent="0.2"/>
    <row r="3177" s="18" customFormat="1" ht="12.75" x14ac:dyDescent="0.2"/>
    <row r="3178" s="18" customFormat="1" ht="12.75" x14ac:dyDescent="0.2"/>
    <row r="3179" s="18" customFormat="1" ht="12.75" x14ac:dyDescent="0.2"/>
    <row r="3180" s="18" customFormat="1" ht="12.75" x14ac:dyDescent="0.2"/>
    <row r="3181" s="18" customFormat="1" ht="12.75" x14ac:dyDescent="0.2"/>
    <row r="3182" s="18" customFormat="1" ht="12.75" x14ac:dyDescent="0.2"/>
    <row r="3183" s="18" customFormat="1" ht="12.75" x14ac:dyDescent="0.2"/>
    <row r="3184" s="18" customFormat="1" ht="12.75" x14ac:dyDescent="0.2"/>
    <row r="3185" s="18" customFormat="1" ht="12.75" x14ac:dyDescent="0.2"/>
    <row r="3186" s="18" customFormat="1" ht="12.75" x14ac:dyDescent="0.2"/>
    <row r="3187" s="18" customFormat="1" ht="12.75" x14ac:dyDescent="0.2"/>
    <row r="3188" s="18" customFormat="1" ht="12.75" x14ac:dyDescent="0.2"/>
    <row r="3189" s="18" customFormat="1" ht="12.75" x14ac:dyDescent="0.2"/>
    <row r="3190" s="18" customFormat="1" ht="12.75" x14ac:dyDescent="0.2"/>
    <row r="3191" s="18" customFormat="1" ht="12.75" x14ac:dyDescent="0.2"/>
    <row r="3192" s="18" customFormat="1" ht="12.75" x14ac:dyDescent="0.2"/>
    <row r="3193" s="18" customFormat="1" ht="12.75" x14ac:dyDescent="0.2"/>
    <row r="3194" s="18" customFormat="1" ht="12.75" x14ac:dyDescent="0.2"/>
    <row r="3195" s="18" customFormat="1" ht="12.75" x14ac:dyDescent="0.2"/>
    <row r="3196" s="18" customFormat="1" ht="12.75" x14ac:dyDescent="0.2"/>
    <row r="3197" s="18" customFormat="1" ht="12.75" x14ac:dyDescent="0.2"/>
    <row r="3198" s="18" customFormat="1" ht="12.75" x14ac:dyDescent="0.2"/>
    <row r="3199" s="18" customFormat="1" ht="12.75" x14ac:dyDescent="0.2"/>
    <row r="3200" s="18" customFormat="1" ht="12.75" x14ac:dyDescent="0.2"/>
    <row r="3201" s="18" customFormat="1" ht="12.75" x14ac:dyDescent="0.2"/>
    <row r="3202" s="18" customFormat="1" ht="12.75" x14ac:dyDescent="0.2"/>
    <row r="3203" s="18" customFormat="1" ht="12.75" x14ac:dyDescent="0.2"/>
    <row r="3204" s="18" customFormat="1" ht="12.75" x14ac:dyDescent="0.2"/>
    <row r="3205" s="18" customFormat="1" ht="12.75" x14ac:dyDescent="0.2"/>
    <row r="3206" s="18" customFormat="1" ht="12.75" x14ac:dyDescent="0.2"/>
    <row r="3207" s="18" customFormat="1" ht="12.75" x14ac:dyDescent="0.2"/>
    <row r="3208" s="18" customFormat="1" ht="12.75" x14ac:dyDescent="0.2"/>
    <row r="3209" s="18" customFormat="1" ht="12.75" x14ac:dyDescent="0.2"/>
    <row r="3210" s="18" customFormat="1" ht="12.75" x14ac:dyDescent="0.2"/>
    <row r="3211" s="18" customFormat="1" ht="12.75" x14ac:dyDescent="0.2"/>
    <row r="3212" s="18" customFormat="1" ht="12.75" x14ac:dyDescent="0.2"/>
    <row r="3213" s="18" customFormat="1" ht="12.75" x14ac:dyDescent="0.2"/>
    <row r="3214" s="18" customFormat="1" ht="12.75" x14ac:dyDescent="0.2"/>
    <row r="3215" s="18" customFormat="1" ht="12.75" x14ac:dyDescent="0.2"/>
    <row r="3216" s="18" customFormat="1" ht="12.75" x14ac:dyDescent="0.2"/>
    <row r="3217" s="18" customFormat="1" ht="12.75" x14ac:dyDescent="0.2"/>
    <row r="3218" s="18" customFormat="1" ht="12.75" x14ac:dyDescent="0.2"/>
    <row r="3219" s="18" customFormat="1" ht="12.75" x14ac:dyDescent="0.2"/>
    <row r="3220" s="18" customFormat="1" ht="12.75" x14ac:dyDescent="0.2"/>
    <row r="3221" s="18" customFormat="1" ht="12.75" x14ac:dyDescent="0.2"/>
    <row r="3222" s="18" customFormat="1" ht="12.75" x14ac:dyDescent="0.2"/>
    <row r="3223" s="18" customFormat="1" ht="12.75" x14ac:dyDescent="0.2"/>
    <row r="3224" s="18" customFormat="1" ht="12.75" x14ac:dyDescent="0.2"/>
    <row r="3225" s="18" customFormat="1" ht="12.75" x14ac:dyDescent="0.2"/>
    <row r="3226" s="18" customFormat="1" ht="12.75" x14ac:dyDescent="0.2"/>
    <row r="3227" s="18" customFormat="1" ht="12.75" x14ac:dyDescent="0.2"/>
    <row r="3228" s="18" customFormat="1" ht="12.75" x14ac:dyDescent="0.2"/>
    <row r="3229" s="18" customFormat="1" ht="12.75" x14ac:dyDescent="0.2"/>
    <row r="3230" s="18" customFormat="1" ht="12.75" x14ac:dyDescent="0.2"/>
    <row r="3231" s="18" customFormat="1" ht="12.75" x14ac:dyDescent="0.2"/>
    <row r="3232" s="18" customFormat="1" ht="12.75" x14ac:dyDescent="0.2"/>
    <row r="3233" s="18" customFormat="1" ht="12.75" x14ac:dyDescent="0.2"/>
    <row r="3234" s="18" customFormat="1" ht="12.75" x14ac:dyDescent="0.2"/>
    <row r="3235" s="18" customFormat="1" ht="12.75" x14ac:dyDescent="0.2"/>
    <row r="3236" s="18" customFormat="1" ht="12.75" x14ac:dyDescent="0.2"/>
    <row r="3237" s="18" customFormat="1" ht="12.75" x14ac:dyDescent="0.2"/>
    <row r="3238" s="18" customFormat="1" ht="12.75" x14ac:dyDescent="0.2"/>
    <row r="3239" s="18" customFormat="1" ht="12.75" x14ac:dyDescent="0.2"/>
    <row r="3240" s="18" customFormat="1" ht="12.75" x14ac:dyDescent="0.2"/>
    <row r="3241" s="18" customFormat="1" ht="12.75" x14ac:dyDescent="0.2"/>
    <row r="3242" s="18" customFormat="1" ht="12.75" x14ac:dyDescent="0.2"/>
    <row r="3243" s="18" customFormat="1" ht="12.75" x14ac:dyDescent="0.2"/>
    <row r="3244" s="18" customFormat="1" ht="12.75" x14ac:dyDescent="0.2"/>
    <row r="3245" s="18" customFormat="1" ht="12.75" x14ac:dyDescent="0.2"/>
    <row r="3246" s="18" customFormat="1" ht="12.75" x14ac:dyDescent="0.2"/>
    <row r="3247" s="18" customFormat="1" ht="12.75" x14ac:dyDescent="0.2"/>
    <row r="3248" s="18" customFormat="1" ht="12.75" x14ac:dyDescent="0.2"/>
    <row r="3249" s="18" customFormat="1" ht="12.75" x14ac:dyDescent="0.2"/>
    <row r="3250" s="18" customFormat="1" ht="12.75" x14ac:dyDescent="0.2"/>
    <row r="3251" s="18" customFormat="1" ht="12.75" x14ac:dyDescent="0.2"/>
    <row r="3252" s="18" customFormat="1" ht="12.75" x14ac:dyDescent="0.2"/>
    <row r="3253" s="18" customFormat="1" ht="12.75" x14ac:dyDescent="0.2"/>
    <row r="3254" s="18" customFormat="1" ht="12.75" x14ac:dyDescent="0.2"/>
    <row r="3255" s="18" customFormat="1" ht="12.75" x14ac:dyDescent="0.2"/>
    <row r="3256" s="18" customFormat="1" ht="12.75" x14ac:dyDescent="0.2"/>
    <row r="3257" s="18" customFormat="1" ht="12.75" x14ac:dyDescent="0.2"/>
    <row r="3258" s="18" customFormat="1" ht="12.75" x14ac:dyDescent="0.2"/>
    <row r="3259" s="18" customFormat="1" ht="12.75" x14ac:dyDescent="0.2"/>
    <row r="3260" s="18" customFormat="1" ht="12.75" x14ac:dyDescent="0.2"/>
    <row r="3261" s="18" customFormat="1" ht="12.75" x14ac:dyDescent="0.2"/>
    <row r="3262" s="18" customFormat="1" ht="12.75" x14ac:dyDescent="0.2"/>
    <row r="3263" s="18" customFormat="1" ht="12.75" x14ac:dyDescent="0.2"/>
    <row r="3264" s="18" customFormat="1" ht="12.75" x14ac:dyDescent="0.2"/>
    <row r="3265" s="18" customFormat="1" ht="12.75" x14ac:dyDescent="0.2"/>
    <row r="3266" s="18" customFormat="1" ht="12.75" x14ac:dyDescent="0.2"/>
    <row r="3267" s="18" customFormat="1" ht="12.75" x14ac:dyDescent="0.2"/>
    <row r="3268" s="18" customFormat="1" ht="12.75" x14ac:dyDescent="0.2"/>
    <row r="3269" s="18" customFormat="1" ht="12.75" x14ac:dyDescent="0.2"/>
    <row r="3270" s="18" customFormat="1" ht="12.75" x14ac:dyDescent="0.2"/>
    <row r="3271" s="18" customFormat="1" ht="12.75" x14ac:dyDescent="0.2"/>
    <row r="3272" s="18" customFormat="1" ht="12.75" x14ac:dyDescent="0.2"/>
    <row r="3273" s="18" customFormat="1" ht="12.75" x14ac:dyDescent="0.2"/>
    <row r="3274" s="18" customFormat="1" ht="12.75" x14ac:dyDescent="0.2"/>
    <row r="3275" s="18" customFormat="1" ht="12.75" x14ac:dyDescent="0.2"/>
    <row r="3276" s="18" customFormat="1" ht="12.75" x14ac:dyDescent="0.2"/>
    <row r="3277" s="18" customFormat="1" ht="12.75" x14ac:dyDescent="0.2"/>
    <row r="3278" s="18" customFormat="1" ht="12.75" x14ac:dyDescent="0.2"/>
    <row r="3279" s="18" customFormat="1" ht="12.75" x14ac:dyDescent="0.2"/>
    <row r="3280" s="18" customFormat="1" ht="12.75" x14ac:dyDescent="0.2"/>
    <row r="3281" s="18" customFormat="1" ht="12.75" x14ac:dyDescent="0.2"/>
    <row r="3282" s="18" customFormat="1" ht="12.75" x14ac:dyDescent="0.2"/>
    <row r="3283" s="18" customFormat="1" ht="12.75" x14ac:dyDescent="0.2"/>
    <row r="3284" s="18" customFormat="1" ht="12.75" x14ac:dyDescent="0.2"/>
    <row r="3285" s="18" customFormat="1" ht="12.75" x14ac:dyDescent="0.2"/>
    <row r="3286" s="18" customFormat="1" ht="12.75" x14ac:dyDescent="0.2"/>
    <row r="3287" s="18" customFormat="1" ht="12.75" x14ac:dyDescent="0.2"/>
    <row r="3288" s="18" customFormat="1" ht="12.75" x14ac:dyDescent="0.2"/>
    <row r="3289" s="18" customFormat="1" ht="12.75" x14ac:dyDescent="0.2"/>
    <row r="3290" s="18" customFormat="1" ht="12.75" x14ac:dyDescent="0.2"/>
    <row r="3291" s="18" customFormat="1" ht="12.75" x14ac:dyDescent="0.2"/>
    <row r="3292" s="18" customFormat="1" ht="12.75" x14ac:dyDescent="0.2"/>
    <row r="3293" s="18" customFormat="1" ht="12.75" x14ac:dyDescent="0.2"/>
    <row r="3294" s="18" customFormat="1" ht="12.75" x14ac:dyDescent="0.2"/>
    <row r="3295" s="18" customFormat="1" ht="12.75" x14ac:dyDescent="0.2"/>
    <row r="3296" s="18" customFormat="1" ht="12.75" x14ac:dyDescent="0.2"/>
    <row r="3297" s="18" customFormat="1" ht="12.75" x14ac:dyDescent="0.2"/>
    <row r="3298" s="18" customFormat="1" ht="12.75" x14ac:dyDescent="0.2"/>
    <row r="3299" s="18" customFormat="1" ht="12.75" x14ac:dyDescent="0.2"/>
    <row r="3300" s="18" customFormat="1" ht="12.75" x14ac:dyDescent="0.2"/>
    <row r="3301" s="18" customFormat="1" ht="12.75" x14ac:dyDescent="0.2"/>
    <row r="3302" s="18" customFormat="1" ht="12.75" x14ac:dyDescent="0.2"/>
    <row r="3303" s="18" customFormat="1" ht="12.75" x14ac:dyDescent="0.2"/>
    <row r="3304" s="18" customFormat="1" ht="12.75" x14ac:dyDescent="0.2"/>
    <row r="3305" s="18" customFormat="1" ht="12.75" x14ac:dyDescent="0.2"/>
    <row r="3306" s="18" customFormat="1" ht="12.75" x14ac:dyDescent="0.2"/>
    <row r="3307" s="18" customFormat="1" ht="12.75" x14ac:dyDescent="0.2"/>
    <row r="3308" s="18" customFormat="1" ht="12.75" x14ac:dyDescent="0.2"/>
    <row r="3309" s="18" customFormat="1" ht="12.75" x14ac:dyDescent="0.2"/>
    <row r="3310" s="18" customFormat="1" ht="12.75" x14ac:dyDescent="0.2"/>
    <row r="3311" s="18" customFormat="1" ht="12.75" x14ac:dyDescent="0.2"/>
    <row r="3312" s="18" customFormat="1" ht="12.75" x14ac:dyDescent="0.2"/>
    <row r="3313" s="18" customFormat="1" ht="12.75" x14ac:dyDescent="0.2"/>
    <row r="3314" s="18" customFormat="1" ht="12.75" x14ac:dyDescent="0.2"/>
    <row r="3315" s="18" customFormat="1" ht="12.75" x14ac:dyDescent="0.2"/>
    <row r="3316" s="18" customFormat="1" ht="12.75" x14ac:dyDescent="0.2"/>
    <row r="3317" s="18" customFormat="1" ht="12.75" x14ac:dyDescent="0.2"/>
    <row r="3318" s="18" customFormat="1" ht="12.75" x14ac:dyDescent="0.2"/>
    <row r="3319" s="18" customFormat="1" ht="12.75" x14ac:dyDescent="0.2"/>
    <row r="3320" s="18" customFormat="1" ht="12.75" x14ac:dyDescent="0.2"/>
    <row r="3321" s="18" customFormat="1" ht="12.75" x14ac:dyDescent="0.2"/>
    <row r="3322" s="18" customFormat="1" ht="12.75" x14ac:dyDescent="0.2"/>
    <row r="3323" s="18" customFormat="1" ht="12.75" x14ac:dyDescent="0.2"/>
    <row r="3324" s="18" customFormat="1" ht="12.75" x14ac:dyDescent="0.2"/>
    <row r="3325" s="18" customFormat="1" ht="12.75" x14ac:dyDescent="0.2"/>
    <row r="3326" s="18" customFormat="1" ht="12.75" x14ac:dyDescent="0.2"/>
    <row r="3327" s="18" customFormat="1" ht="12.75" x14ac:dyDescent="0.2"/>
    <row r="3328" s="18" customFormat="1" ht="12.75" x14ac:dyDescent="0.2"/>
    <row r="3329" s="18" customFormat="1" ht="12.75" x14ac:dyDescent="0.2"/>
    <row r="3330" s="18" customFormat="1" ht="12.75" x14ac:dyDescent="0.2"/>
    <row r="3331" s="18" customFormat="1" ht="12.75" x14ac:dyDescent="0.2"/>
    <row r="3332" s="18" customFormat="1" ht="12.75" x14ac:dyDescent="0.2"/>
    <row r="3333" s="18" customFormat="1" ht="12.75" x14ac:dyDescent="0.2"/>
    <row r="3334" s="18" customFormat="1" ht="12.75" x14ac:dyDescent="0.2"/>
    <row r="3335" s="18" customFormat="1" ht="12.75" x14ac:dyDescent="0.2"/>
    <row r="3336" s="18" customFormat="1" ht="12.75" x14ac:dyDescent="0.2"/>
    <row r="3337" s="18" customFormat="1" ht="12.75" x14ac:dyDescent="0.2"/>
    <row r="3338" s="18" customFormat="1" ht="12.75" x14ac:dyDescent="0.2"/>
    <row r="3339" s="18" customFormat="1" ht="12.75" x14ac:dyDescent="0.2"/>
    <row r="3340" s="18" customFormat="1" ht="12.75" x14ac:dyDescent="0.2"/>
    <row r="3341" s="18" customFormat="1" ht="12.75" x14ac:dyDescent="0.2"/>
    <row r="3342" s="18" customFormat="1" ht="12.75" x14ac:dyDescent="0.2"/>
    <row r="3343" s="18" customFormat="1" ht="12.75" x14ac:dyDescent="0.2"/>
    <row r="3344" s="18" customFormat="1" ht="12.75" x14ac:dyDescent="0.2"/>
    <row r="3345" s="18" customFormat="1" ht="12.75" x14ac:dyDescent="0.2"/>
    <row r="3346" s="18" customFormat="1" ht="12.75" x14ac:dyDescent="0.2"/>
    <row r="3347" s="18" customFormat="1" ht="12.75" x14ac:dyDescent="0.2"/>
    <row r="3348" s="18" customFormat="1" ht="12.75" x14ac:dyDescent="0.2"/>
    <row r="3349" s="18" customFormat="1" ht="12.75" x14ac:dyDescent="0.2"/>
    <row r="3350" s="18" customFormat="1" ht="12.75" x14ac:dyDescent="0.2"/>
    <row r="3351" s="18" customFormat="1" ht="12.75" x14ac:dyDescent="0.2"/>
    <row r="3352" s="18" customFormat="1" ht="12.75" x14ac:dyDescent="0.2"/>
    <row r="3353" s="18" customFormat="1" ht="12.75" x14ac:dyDescent="0.2"/>
    <row r="3354" s="18" customFormat="1" ht="12.75" x14ac:dyDescent="0.2"/>
    <row r="3355" s="18" customFormat="1" ht="12.75" x14ac:dyDescent="0.2"/>
    <row r="3356" s="18" customFormat="1" ht="12.75" x14ac:dyDescent="0.2"/>
    <row r="3357" s="18" customFormat="1" ht="12.75" x14ac:dyDescent="0.2"/>
    <row r="3358" s="18" customFormat="1" ht="12.75" x14ac:dyDescent="0.2"/>
    <row r="3359" s="18" customFormat="1" ht="12.75" x14ac:dyDescent="0.2"/>
    <row r="3360" s="18" customFormat="1" ht="12.75" x14ac:dyDescent="0.2"/>
    <row r="3361" s="18" customFormat="1" ht="12.75" x14ac:dyDescent="0.2"/>
    <row r="3362" s="18" customFormat="1" ht="12.75" x14ac:dyDescent="0.2"/>
    <row r="3363" s="18" customFormat="1" ht="12.75" x14ac:dyDescent="0.2"/>
    <row r="3364" s="18" customFormat="1" ht="12.75" x14ac:dyDescent="0.2"/>
    <row r="3365" s="18" customFormat="1" ht="12.75" x14ac:dyDescent="0.2"/>
    <row r="3366" s="18" customFormat="1" ht="12.75" x14ac:dyDescent="0.2"/>
    <row r="3367" s="18" customFormat="1" ht="12.75" x14ac:dyDescent="0.2"/>
    <row r="3368" s="18" customFormat="1" ht="12.75" x14ac:dyDescent="0.2"/>
    <row r="3369" s="18" customFormat="1" ht="12.75" x14ac:dyDescent="0.2"/>
    <row r="3370" s="18" customFormat="1" ht="12.75" x14ac:dyDescent="0.2"/>
    <row r="3371" s="18" customFormat="1" ht="12.75" x14ac:dyDescent="0.2"/>
    <row r="3372" s="18" customFormat="1" ht="12.75" x14ac:dyDescent="0.2"/>
    <row r="3373" s="18" customFormat="1" ht="12.75" x14ac:dyDescent="0.2"/>
    <row r="3374" s="18" customFormat="1" ht="12.75" x14ac:dyDescent="0.2"/>
    <row r="3375" s="18" customFormat="1" ht="12.75" x14ac:dyDescent="0.2"/>
    <row r="3376" s="18" customFormat="1" ht="12.75" x14ac:dyDescent="0.2"/>
    <row r="3377" s="18" customFormat="1" ht="12.75" x14ac:dyDescent="0.2"/>
    <row r="3378" s="18" customFormat="1" ht="12.75" x14ac:dyDescent="0.2"/>
    <row r="3379" s="18" customFormat="1" ht="12.75" x14ac:dyDescent="0.2"/>
    <row r="3380" s="18" customFormat="1" ht="12.75" x14ac:dyDescent="0.2"/>
    <row r="3381" s="18" customFormat="1" ht="12.75" x14ac:dyDescent="0.2"/>
    <row r="3382" s="18" customFormat="1" ht="12.75" x14ac:dyDescent="0.2"/>
    <row r="3383" s="18" customFormat="1" ht="12.75" x14ac:dyDescent="0.2"/>
    <row r="3384" s="18" customFormat="1" ht="12.75" x14ac:dyDescent="0.2"/>
    <row r="3385" s="18" customFormat="1" ht="12.75" x14ac:dyDescent="0.2"/>
    <row r="3386" s="18" customFormat="1" ht="12.75" x14ac:dyDescent="0.2"/>
    <row r="3387" s="18" customFormat="1" ht="12.75" x14ac:dyDescent="0.2"/>
    <row r="3388" s="18" customFormat="1" ht="12.75" x14ac:dyDescent="0.2"/>
    <row r="3389" s="18" customFormat="1" ht="12.75" x14ac:dyDescent="0.2"/>
    <row r="3390" s="18" customFormat="1" ht="12.75" x14ac:dyDescent="0.2"/>
    <row r="3391" s="18" customFormat="1" ht="12.75" x14ac:dyDescent="0.2"/>
    <row r="3392" s="18" customFormat="1" ht="12.75" x14ac:dyDescent="0.2"/>
    <row r="3393" s="18" customFormat="1" ht="12.75" x14ac:dyDescent="0.2"/>
    <row r="3394" s="18" customFormat="1" ht="12.75" x14ac:dyDescent="0.2"/>
    <row r="3395" s="18" customFormat="1" ht="12.75" x14ac:dyDescent="0.2"/>
    <row r="3396" s="18" customFormat="1" ht="12.75" x14ac:dyDescent="0.2"/>
    <row r="3397" s="18" customFormat="1" ht="12.75" x14ac:dyDescent="0.2"/>
    <row r="3398" s="18" customFormat="1" ht="12.75" x14ac:dyDescent="0.2"/>
    <row r="3399" s="18" customFormat="1" ht="12.75" x14ac:dyDescent="0.2"/>
    <row r="3400" s="18" customFormat="1" ht="12.75" x14ac:dyDescent="0.2"/>
    <row r="3401" s="18" customFormat="1" ht="12.75" x14ac:dyDescent="0.2"/>
    <row r="3402" s="18" customFormat="1" ht="12.75" x14ac:dyDescent="0.2"/>
    <row r="3403" s="18" customFormat="1" ht="12.75" x14ac:dyDescent="0.2"/>
    <row r="3404" s="18" customFormat="1" ht="12.75" x14ac:dyDescent="0.2"/>
    <row r="3405" s="18" customFormat="1" ht="12.75" x14ac:dyDescent="0.2"/>
    <row r="3406" s="18" customFormat="1" ht="12.75" x14ac:dyDescent="0.2"/>
    <row r="3407" s="18" customFormat="1" ht="12.75" x14ac:dyDescent="0.2"/>
    <row r="3408" s="18" customFormat="1" ht="12.75" x14ac:dyDescent="0.2"/>
    <row r="3409" s="18" customFormat="1" ht="12.75" x14ac:dyDescent="0.2"/>
    <row r="3410" s="18" customFormat="1" ht="12.75" x14ac:dyDescent="0.2"/>
    <row r="3411" s="18" customFormat="1" ht="12.75" x14ac:dyDescent="0.2"/>
    <row r="3412" s="18" customFormat="1" ht="12.75" x14ac:dyDescent="0.2"/>
    <row r="3413" s="18" customFormat="1" ht="12.75" x14ac:dyDescent="0.2"/>
    <row r="3414" s="18" customFormat="1" ht="12.75" x14ac:dyDescent="0.2"/>
    <row r="3415" s="18" customFormat="1" ht="12.75" x14ac:dyDescent="0.2"/>
    <row r="3416" s="18" customFormat="1" ht="12.75" x14ac:dyDescent="0.2"/>
    <row r="3417" s="18" customFormat="1" ht="12.75" x14ac:dyDescent="0.2"/>
    <row r="3418" s="18" customFormat="1" ht="12.75" x14ac:dyDescent="0.2"/>
    <row r="3419" s="18" customFormat="1" ht="12.75" x14ac:dyDescent="0.2"/>
    <row r="3420" s="18" customFormat="1" ht="12.75" x14ac:dyDescent="0.2"/>
    <row r="3421" s="18" customFormat="1" ht="12.75" x14ac:dyDescent="0.2"/>
    <row r="3422" s="18" customFormat="1" ht="12.75" x14ac:dyDescent="0.2"/>
    <row r="3423" s="18" customFormat="1" ht="12.75" x14ac:dyDescent="0.2"/>
    <row r="3424" s="18" customFormat="1" ht="12.75" x14ac:dyDescent="0.2"/>
    <row r="3425" s="18" customFormat="1" ht="12.75" x14ac:dyDescent="0.2"/>
    <row r="3426" s="18" customFormat="1" ht="12.75" x14ac:dyDescent="0.2"/>
    <row r="3427" s="18" customFormat="1" ht="12.75" x14ac:dyDescent="0.2"/>
    <row r="3428" s="18" customFormat="1" ht="12.75" x14ac:dyDescent="0.2"/>
    <row r="3429" s="18" customFormat="1" ht="12.75" x14ac:dyDescent="0.2"/>
    <row r="3430" s="18" customFormat="1" ht="12.75" x14ac:dyDescent="0.2"/>
    <row r="3431" s="18" customFormat="1" ht="12.75" x14ac:dyDescent="0.2"/>
    <row r="3432" s="18" customFormat="1" ht="12.75" x14ac:dyDescent="0.2"/>
    <row r="3433" s="18" customFormat="1" ht="12.75" x14ac:dyDescent="0.2"/>
    <row r="3434" s="18" customFormat="1" ht="12.75" x14ac:dyDescent="0.2"/>
    <row r="3435" s="18" customFormat="1" ht="12.75" x14ac:dyDescent="0.2"/>
    <row r="3436" s="18" customFormat="1" ht="12.75" x14ac:dyDescent="0.2"/>
    <row r="3437" s="18" customFormat="1" ht="12.75" x14ac:dyDescent="0.2"/>
    <row r="3438" s="18" customFormat="1" ht="12.75" x14ac:dyDescent="0.2"/>
    <row r="3439" s="18" customFormat="1" ht="12.75" x14ac:dyDescent="0.2"/>
    <row r="3440" s="18" customFormat="1" ht="12.75" x14ac:dyDescent="0.2"/>
    <row r="3441" s="18" customFormat="1" ht="12.75" x14ac:dyDescent="0.2"/>
    <row r="3442" s="18" customFormat="1" ht="12.75" x14ac:dyDescent="0.2"/>
    <row r="3443" s="18" customFormat="1" ht="12.75" x14ac:dyDescent="0.2"/>
    <row r="3444" s="18" customFormat="1" ht="12.75" x14ac:dyDescent="0.2"/>
    <row r="3445" s="18" customFormat="1" ht="12.75" x14ac:dyDescent="0.2"/>
    <row r="3446" s="18" customFormat="1" ht="12.75" x14ac:dyDescent="0.2"/>
    <row r="3447" s="18" customFormat="1" ht="12.75" x14ac:dyDescent="0.2"/>
    <row r="3448" s="18" customFormat="1" ht="12.75" x14ac:dyDescent="0.2"/>
    <row r="3449" s="18" customFormat="1" ht="12.75" x14ac:dyDescent="0.2"/>
    <row r="3450" s="18" customFormat="1" ht="12.75" x14ac:dyDescent="0.2"/>
    <row r="3451" s="18" customFormat="1" ht="12.75" x14ac:dyDescent="0.2"/>
    <row r="3452" s="18" customFormat="1" ht="12.75" x14ac:dyDescent="0.2"/>
    <row r="3453" s="18" customFormat="1" ht="12.75" x14ac:dyDescent="0.2"/>
    <row r="3454" s="18" customFormat="1" ht="12.75" x14ac:dyDescent="0.2"/>
    <row r="3455" s="18" customFormat="1" ht="12.75" x14ac:dyDescent="0.2"/>
    <row r="3456" s="18" customFormat="1" ht="12.75" x14ac:dyDescent="0.2"/>
    <row r="3457" s="18" customFormat="1" ht="12.75" x14ac:dyDescent="0.2"/>
    <row r="3458" s="18" customFormat="1" ht="12.75" x14ac:dyDescent="0.2"/>
    <row r="3459" s="18" customFormat="1" ht="12.75" x14ac:dyDescent="0.2"/>
    <row r="3460" s="18" customFormat="1" ht="12.75" x14ac:dyDescent="0.2"/>
    <row r="3461" s="18" customFormat="1" ht="12.75" x14ac:dyDescent="0.2"/>
    <row r="3462" s="18" customFormat="1" ht="12.75" x14ac:dyDescent="0.2"/>
    <row r="3463" s="18" customFormat="1" ht="12.75" x14ac:dyDescent="0.2"/>
    <row r="3464" s="18" customFormat="1" ht="12.75" x14ac:dyDescent="0.2"/>
    <row r="3465" s="18" customFormat="1" ht="12.75" x14ac:dyDescent="0.2"/>
    <row r="3466" s="18" customFormat="1" ht="12.75" x14ac:dyDescent="0.2"/>
    <row r="3467" s="18" customFormat="1" ht="12.75" x14ac:dyDescent="0.2"/>
    <row r="3468" s="18" customFormat="1" ht="12.75" x14ac:dyDescent="0.2"/>
    <row r="3469" s="18" customFormat="1" ht="12.75" x14ac:dyDescent="0.2"/>
    <row r="3470" s="18" customFormat="1" ht="12.75" x14ac:dyDescent="0.2"/>
    <row r="3471" s="18" customFormat="1" ht="12.75" x14ac:dyDescent="0.2"/>
    <row r="3472" s="18" customFormat="1" ht="12.75" x14ac:dyDescent="0.2"/>
    <row r="3473" s="18" customFormat="1" ht="12.75" x14ac:dyDescent="0.2"/>
    <row r="3474" s="18" customFormat="1" ht="12.75" x14ac:dyDescent="0.2"/>
    <row r="3475" s="18" customFormat="1" ht="12.75" x14ac:dyDescent="0.2"/>
    <row r="3476" s="18" customFormat="1" ht="12.75" x14ac:dyDescent="0.2"/>
    <row r="3477" s="18" customFormat="1" ht="12.75" x14ac:dyDescent="0.2"/>
    <row r="3478" s="18" customFormat="1" ht="12.75" x14ac:dyDescent="0.2"/>
    <row r="3479" s="18" customFormat="1" ht="12.75" x14ac:dyDescent="0.2"/>
    <row r="3480" s="18" customFormat="1" ht="12.75" x14ac:dyDescent="0.2"/>
    <row r="3481" s="18" customFormat="1" ht="12.75" x14ac:dyDescent="0.2"/>
    <row r="3482" s="18" customFormat="1" ht="12.75" x14ac:dyDescent="0.2"/>
    <row r="3483" s="18" customFormat="1" ht="12.75" x14ac:dyDescent="0.2"/>
    <row r="3484" s="18" customFormat="1" ht="12.75" x14ac:dyDescent="0.2"/>
    <row r="3485" s="18" customFormat="1" ht="12.75" x14ac:dyDescent="0.2"/>
    <row r="3486" s="18" customFormat="1" ht="12.75" x14ac:dyDescent="0.2"/>
    <row r="3487" s="18" customFormat="1" ht="12.75" x14ac:dyDescent="0.2"/>
    <row r="3488" s="18" customFormat="1" ht="12.75" x14ac:dyDescent="0.2"/>
    <row r="3489" s="18" customFormat="1" ht="12.75" x14ac:dyDescent="0.2"/>
    <row r="3490" s="18" customFormat="1" ht="12.75" x14ac:dyDescent="0.2"/>
    <row r="3491" s="18" customFormat="1" ht="12.75" x14ac:dyDescent="0.2"/>
    <row r="3492" s="18" customFormat="1" ht="12.75" x14ac:dyDescent="0.2"/>
    <row r="3493" s="18" customFormat="1" ht="12.75" x14ac:dyDescent="0.2"/>
    <row r="3494" s="18" customFormat="1" ht="12.75" x14ac:dyDescent="0.2"/>
    <row r="3495" s="18" customFormat="1" ht="12.75" x14ac:dyDescent="0.2"/>
    <row r="3496" s="18" customFormat="1" ht="12.75" x14ac:dyDescent="0.2"/>
    <row r="3497" s="18" customFormat="1" ht="12.75" x14ac:dyDescent="0.2"/>
    <row r="3498" s="18" customFormat="1" ht="12.75" x14ac:dyDescent="0.2"/>
    <row r="3499" s="18" customFormat="1" ht="12.75" x14ac:dyDescent="0.2"/>
    <row r="3500" s="18" customFormat="1" ht="12.75" x14ac:dyDescent="0.2"/>
    <row r="3501" s="18" customFormat="1" ht="12.75" x14ac:dyDescent="0.2"/>
    <row r="3502" s="18" customFormat="1" ht="12.75" x14ac:dyDescent="0.2"/>
    <row r="3503" s="18" customFormat="1" ht="12.75" x14ac:dyDescent="0.2"/>
    <row r="3504" s="18" customFormat="1" ht="12.75" x14ac:dyDescent="0.2"/>
    <row r="3505" s="18" customFormat="1" ht="12.75" x14ac:dyDescent="0.2"/>
    <row r="3506" s="18" customFormat="1" ht="12.75" x14ac:dyDescent="0.2"/>
    <row r="3507" s="18" customFormat="1" ht="12.75" x14ac:dyDescent="0.2"/>
    <row r="3508" s="18" customFormat="1" ht="12.75" x14ac:dyDescent="0.2"/>
    <row r="3509" s="18" customFormat="1" ht="12.75" x14ac:dyDescent="0.2"/>
    <row r="3510" s="18" customFormat="1" ht="12.75" x14ac:dyDescent="0.2"/>
    <row r="3511" s="18" customFormat="1" ht="12.75" x14ac:dyDescent="0.2"/>
    <row r="3512" s="18" customFormat="1" ht="12.75" x14ac:dyDescent="0.2"/>
    <row r="3513" s="18" customFormat="1" ht="12.75" x14ac:dyDescent="0.2"/>
    <row r="3514" s="18" customFormat="1" ht="12.75" x14ac:dyDescent="0.2"/>
    <row r="3515" s="18" customFormat="1" ht="12.75" x14ac:dyDescent="0.2"/>
    <row r="3516" s="18" customFormat="1" ht="12.75" x14ac:dyDescent="0.2"/>
    <row r="3517" s="18" customFormat="1" ht="12.75" x14ac:dyDescent="0.2"/>
    <row r="3518" s="18" customFormat="1" ht="12.75" x14ac:dyDescent="0.2"/>
    <row r="3519" s="18" customFormat="1" ht="12.75" x14ac:dyDescent="0.2"/>
    <row r="3520" s="18" customFormat="1" ht="12.75" x14ac:dyDescent="0.2"/>
    <row r="3521" s="18" customFormat="1" ht="12.75" x14ac:dyDescent="0.2"/>
    <row r="3522" s="18" customFormat="1" ht="12.75" x14ac:dyDescent="0.2"/>
    <row r="3523" s="18" customFormat="1" ht="12.75" x14ac:dyDescent="0.2"/>
    <row r="3524" s="18" customFormat="1" ht="12.75" x14ac:dyDescent="0.2"/>
    <row r="3525" s="18" customFormat="1" ht="12.75" x14ac:dyDescent="0.2"/>
    <row r="3526" s="18" customFormat="1" ht="12.75" x14ac:dyDescent="0.2"/>
    <row r="3527" s="18" customFormat="1" ht="12.75" x14ac:dyDescent="0.2"/>
    <row r="3528" s="18" customFormat="1" ht="12.75" x14ac:dyDescent="0.2"/>
    <row r="3529" s="18" customFormat="1" ht="12.75" x14ac:dyDescent="0.2"/>
    <row r="3530" s="18" customFormat="1" ht="12.75" x14ac:dyDescent="0.2"/>
    <row r="3531" s="18" customFormat="1" ht="12.75" x14ac:dyDescent="0.2"/>
    <row r="3532" s="18" customFormat="1" ht="12.75" x14ac:dyDescent="0.2"/>
    <row r="3533" s="18" customFormat="1" ht="12.75" x14ac:dyDescent="0.2"/>
    <row r="3534" s="18" customFormat="1" ht="12.75" x14ac:dyDescent="0.2"/>
    <row r="3535" s="18" customFormat="1" ht="12.75" x14ac:dyDescent="0.2"/>
    <row r="3536" s="18" customFormat="1" ht="12.75" x14ac:dyDescent="0.2"/>
    <row r="3537" s="18" customFormat="1" ht="12.75" x14ac:dyDescent="0.2"/>
    <row r="3538" s="18" customFormat="1" ht="12.75" x14ac:dyDescent="0.2"/>
    <row r="3539" s="18" customFormat="1" ht="12.75" x14ac:dyDescent="0.2"/>
    <row r="3540" s="18" customFormat="1" ht="12.75" x14ac:dyDescent="0.2"/>
    <row r="3541" s="18" customFormat="1" ht="12.75" x14ac:dyDescent="0.2"/>
    <row r="3542" s="18" customFormat="1" ht="12.75" x14ac:dyDescent="0.2"/>
    <row r="3543" s="18" customFormat="1" ht="12.75" x14ac:dyDescent="0.2"/>
    <row r="3544" s="18" customFormat="1" ht="12.75" x14ac:dyDescent="0.2"/>
    <row r="3545" s="18" customFormat="1" ht="12.75" x14ac:dyDescent="0.2"/>
    <row r="3546" s="18" customFormat="1" ht="12.75" x14ac:dyDescent="0.2"/>
    <row r="3547" s="18" customFormat="1" ht="12.75" x14ac:dyDescent="0.2"/>
    <row r="3548" s="18" customFormat="1" ht="12.75" x14ac:dyDescent="0.2"/>
    <row r="3549" s="18" customFormat="1" ht="12.75" x14ac:dyDescent="0.2"/>
    <row r="3550" s="18" customFormat="1" ht="12.75" x14ac:dyDescent="0.2"/>
    <row r="3551" s="18" customFormat="1" ht="12.75" x14ac:dyDescent="0.2"/>
    <row r="3552" s="18" customFormat="1" ht="12.75" x14ac:dyDescent="0.2"/>
    <row r="3553" s="18" customFormat="1" ht="12.75" x14ac:dyDescent="0.2"/>
    <row r="3554" s="18" customFormat="1" ht="12.75" x14ac:dyDescent="0.2"/>
    <row r="3555" s="18" customFormat="1" ht="12.75" x14ac:dyDescent="0.2"/>
    <row r="3556" s="18" customFormat="1" ht="12.75" x14ac:dyDescent="0.2"/>
    <row r="3557" s="18" customFormat="1" ht="12.75" x14ac:dyDescent="0.2"/>
    <row r="3558" s="18" customFormat="1" ht="12.75" x14ac:dyDescent="0.2"/>
    <row r="3559" s="18" customFormat="1" ht="12.75" x14ac:dyDescent="0.2"/>
    <row r="3560" s="18" customFormat="1" ht="12.75" x14ac:dyDescent="0.2"/>
    <row r="3561" s="18" customFormat="1" ht="12.75" x14ac:dyDescent="0.2"/>
    <row r="3562" s="18" customFormat="1" ht="12.75" x14ac:dyDescent="0.2"/>
    <row r="3563" s="18" customFormat="1" ht="12.75" x14ac:dyDescent="0.2"/>
    <row r="3564" s="18" customFormat="1" ht="12.75" x14ac:dyDescent="0.2"/>
    <row r="3565" s="18" customFormat="1" ht="12.75" x14ac:dyDescent="0.2"/>
    <row r="3566" s="18" customFormat="1" ht="12.75" x14ac:dyDescent="0.2"/>
    <row r="3567" s="18" customFormat="1" ht="12.75" x14ac:dyDescent="0.2"/>
    <row r="3568" s="18" customFormat="1" ht="12.75" x14ac:dyDescent="0.2"/>
    <row r="3569" s="18" customFormat="1" ht="12.75" x14ac:dyDescent="0.2"/>
    <row r="3570" s="18" customFormat="1" ht="12.75" x14ac:dyDescent="0.2"/>
    <row r="3571" s="18" customFormat="1" ht="12.75" x14ac:dyDescent="0.2"/>
    <row r="3572" s="18" customFormat="1" ht="12.75" x14ac:dyDescent="0.2"/>
    <row r="3573" s="18" customFormat="1" ht="12.75" x14ac:dyDescent="0.2"/>
    <row r="3574" s="18" customFormat="1" ht="12.75" x14ac:dyDescent="0.2"/>
    <row r="3575" s="18" customFormat="1" ht="12.75" x14ac:dyDescent="0.2"/>
    <row r="3576" s="18" customFormat="1" ht="12.75" x14ac:dyDescent="0.2"/>
    <row r="3577" s="18" customFormat="1" ht="12.75" x14ac:dyDescent="0.2"/>
    <row r="3578" s="18" customFormat="1" ht="12.75" x14ac:dyDescent="0.2"/>
    <row r="3579" s="18" customFormat="1" ht="12.75" x14ac:dyDescent="0.2"/>
    <row r="3580" s="18" customFormat="1" ht="12.75" x14ac:dyDescent="0.2"/>
    <row r="3581" s="18" customFormat="1" ht="12.75" x14ac:dyDescent="0.2"/>
    <row r="3582" s="18" customFormat="1" ht="12.75" x14ac:dyDescent="0.2"/>
    <row r="3583" s="18" customFormat="1" ht="12.75" x14ac:dyDescent="0.2"/>
    <row r="3584" s="18" customFormat="1" ht="12.75" x14ac:dyDescent="0.2"/>
    <row r="3585" s="18" customFormat="1" ht="12.75" x14ac:dyDescent="0.2"/>
    <row r="3586" s="18" customFormat="1" ht="12.75" x14ac:dyDescent="0.2"/>
    <row r="3587" s="18" customFormat="1" ht="12.75" x14ac:dyDescent="0.2"/>
    <row r="3588" s="18" customFormat="1" ht="12.75" x14ac:dyDescent="0.2"/>
    <row r="3589" s="18" customFormat="1" ht="12.75" x14ac:dyDescent="0.2"/>
    <row r="3590" s="18" customFormat="1" ht="12.75" x14ac:dyDescent="0.2"/>
    <row r="3591" s="18" customFormat="1" ht="12.75" x14ac:dyDescent="0.2"/>
    <row r="3592" s="18" customFormat="1" ht="12.75" x14ac:dyDescent="0.2"/>
    <row r="3593" s="18" customFormat="1" ht="12.75" x14ac:dyDescent="0.2"/>
    <row r="3594" s="18" customFormat="1" ht="12.75" x14ac:dyDescent="0.2"/>
    <row r="3595" s="18" customFormat="1" ht="12.75" x14ac:dyDescent="0.2"/>
    <row r="3596" s="18" customFormat="1" ht="12.75" x14ac:dyDescent="0.2"/>
    <row r="3597" s="18" customFormat="1" ht="12.75" x14ac:dyDescent="0.2"/>
    <row r="3598" s="18" customFormat="1" ht="12.75" x14ac:dyDescent="0.2"/>
    <row r="3599" s="18" customFormat="1" ht="12.75" x14ac:dyDescent="0.2"/>
    <row r="3600" s="18" customFormat="1" ht="12.75" x14ac:dyDescent="0.2"/>
    <row r="3601" s="18" customFormat="1" ht="12.75" x14ac:dyDescent="0.2"/>
    <row r="3602" s="18" customFormat="1" ht="12.75" x14ac:dyDescent="0.2"/>
    <row r="3603" s="18" customFormat="1" ht="12.75" x14ac:dyDescent="0.2"/>
    <row r="3604" s="18" customFormat="1" ht="12.75" x14ac:dyDescent="0.2"/>
    <row r="3605" s="18" customFormat="1" ht="12.75" x14ac:dyDescent="0.2"/>
    <row r="3606" s="18" customFormat="1" ht="12.75" x14ac:dyDescent="0.2"/>
    <row r="3607" s="18" customFormat="1" ht="12.75" x14ac:dyDescent="0.2"/>
    <row r="3608" s="18" customFormat="1" ht="12.75" x14ac:dyDescent="0.2"/>
    <row r="3609" s="18" customFormat="1" ht="12.75" x14ac:dyDescent="0.2"/>
    <row r="3610" s="18" customFormat="1" ht="12.75" x14ac:dyDescent="0.2"/>
    <row r="3611" s="18" customFormat="1" ht="12.75" x14ac:dyDescent="0.2"/>
    <row r="3612" s="18" customFormat="1" ht="12.75" x14ac:dyDescent="0.2"/>
    <row r="3613" s="18" customFormat="1" ht="12.75" x14ac:dyDescent="0.2"/>
    <row r="3614" s="18" customFormat="1" ht="12.75" x14ac:dyDescent="0.2"/>
    <row r="3615" s="18" customFormat="1" ht="12.75" x14ac:dyDescent="0.2"/>
    <row r="3616" s="18" customFormat="1" ht="12.75" x14ac:dyDescent="0.2"/>
    <row r="3617" s="18" customFormat="1" ht="12.75" x14ac:dyDescent="0.2"/>
    <row r="3618" s="18" customFormat="1" ht="12.75" x14ac:dyDescent="0.2"/>
    <row r="3619" s="18" customFormat="1" ht="12.75" x14ac:dyDescent="0.2"/>
    <row r="3620" s="18" customFormat="1" ht="12.75" x14ac:dyDescent="0.2"/>
    <row r="3621" s="18" customFormat="1" ht="12.75" x14ac:dyDescent="0.2"/>
    <row r="3622" s="18" customFormat="1" ht="12.75" x14ac:dyDescent="0.2"/>
    <row r="3623" s="18" customFormat="1" ht="12.75" x14ac:dyDescent="0.2"/>
    <row r="3624" s="18" customFormat="1" ht="12.75" x14ac:dyDescent="0.2"/>
    <row r="3625" s="18" customFormat="1" ht="12.75" x14ac:dyDescent="0.2"/>
    <row r="3626" s="18" customFormat="1" ht="12.75" x14ac:dyDescent="0.2"/>
    <row r="3627" s="18" customFormat="1" ht="12.75" x14ac:dyDescent="0.2"/>
    <row r="3628" s="18" customFormat="1" ht="12.75" x14ac:dyDescent="0.2"/>
    <row r="3629" s="18" customFormat="1" ht="12.75" x14ac:dyDescent="0.2"/>
    <row r="3630" s="18" customFormat="1" ht="12.75" x14ac:dyDescent="0.2"/>
    <row r="3631" s="18" customFormat="1" ht="12.75" x14ac:dyDescent="0.2"/>
    <row r="3632" s="18" customFormat="1" ht="12.75" x14ac:dyDescent="0.2"/>
    <row r="3633" s="18" customFormat="1" ht="12.75" x14ac:dyDescent="0.2"/>
    <row r="3634" s="18" customFormat="1" ht="12.75" x14ac:dyDescent="0.2"/>
    <row r="3635" s="18" customFormat="1" ht="12.75" x14ac:dyDescent="0.2"/>
    <row r="3636" s="18" customFormat="1" ht="12.75" x14ac:dyDescent="0.2"/>
    <row r="3637" s="18" customFormat="1" ht="12.75" x14ac:dyDescent="0.2"/>
    <row r="3638" s="18" customFormat="1" ht="12.75" x14ac:dyDescent="0.2"/>
    <row r="3639" s="18" customFormat="1" ht="12.75" x14ac:dyDescent="0.2"/>
    <row r="3640" s="18" customFormat="1" ht="12.75" x14ac:dyDescent="0.2"/>
    <row r="3641" s="18" customFormat="1" ht="12.75" x14ac:dyDescent="0.2"/>
    <row r="3642" s="18" customFormat="1" ht="12.75" x14ac:dyDescent="0.2"/>
    <row r="3643" s="18" customFormat="1" ht="12.75" x14ac:dyDescent="0.2"/>
    <row r="3644" s="18" customFormat="1" ht="12.75" x14ac:dyDescent="0.2"/>
    <row r="3645" s="18" customFormat="1" ht="12.75" x14ac:dyDescent="0.2"/>
    <row r="3646" s="18" customFormat="1" ht="12.75" x14ac:dyDescent="0.2"/>
    <row r="3647" s="18" customFormat="1" ht="12.75" x14ac:dyDescent="0.2"/>
    <row r="3648" s="18" customFormat="1" ht="12.75" x14ac:dyDescent="0.2"/>
    <row r="3649" s="18" customFormat="1" ht="12.75" x14ac:dyDescent="0.2"/>
    <row r="3650" s="18" customFormat="1" ht="12.75" x14ac:dyDescent="0.2"/>
    <row r="3651" s="18" customFormat="1" ht="12.75" x14ac:dyDescent="0.2"/>
    <row r="3652" s="18" customFormat="1" ht="12.75" x14ac:dyDescent="0.2"/>
    <row r="3653" s="18" customFormat="1" ht="12.75" x14ac:dyDescent="0.2"/>
    <row r="3654" s="18" customFormat="1" ht="12.75" x14ac:dyDescent="0.2"/>
    <row r="3655" s="18" customFormat="1" ht="12.75" x14ac:dyDescent="0.2"/>
    <row r="3656" s="18" customFormat="1" ht="12.75" x14ac:dyDescent="0.2"/>
    <row r="3657" s="18" customFormat="1" ht="12.75" x14ac:dyDescent="0.2"/>
    <row r="3658" s="18" customFormat="1" ht="12.75" x14ac:dyDescent="0.2"/>
    <row r="3659" s="18" customFormat="1" ht="12.75" x14ac:dyDescent="0.2"/>
    <row r="3660" s="18" customFormat="1" ht="12.75" x14ac:dyDescent="0.2"/>
    <row r="3661" s="18" customFormat="1" ht="12.75" x14ac:dyDescent="0.2"/>
    <row r="3662" s="18" customFormat="1" ht="12.75" x14ac:dyDescent="0.2"/>
    <row r="3663" s="18" customFormat="1" ht="12.75" x14ac:dyDescent="0.2"/>
    <row r="3664" s="18" customFormat="1" ht="12.75" x14ac:dyDescent="0.2"/>
    <row r="3665" s="18" customFormat="1" ht="12.75" x14ac:dyDescent="0.2"/>
    <row r="3666" s="18" customFormat="1" ht="12.75" x14ac:dyDescent="0.2"/>
    <row r="3667" s="18" customFormat="1" ht="12.75" x14ac:dyDescent="0.2"/>
    <row r="3668" s="18" customFormat="1" ht="12.75" x14ac:dyDescent="0.2"/>
    <row r="3669" s="18" customFormat="1" ht="12.75" x14ac:dyDescent="0.2"/>
    <row r="3670" s="18" customFormat="1" ht="12.75" x14ac:dyDescent="0.2"/>
    <row r="3671" s="18" customFormat="1" ht="12.75" x14ac:dyDescent="0.2"/>
    <row r="3672" s="18" customFormat="1" ht="12.75" x14ac:dyDescent="0.2"/>
    <row r="3673" s="18" customFormat="1" ht="12.75" x14ac:dyDescent="0.2"/>
    <row r="3674" s="18" customFormat="1" ht="12.75" x14ac:dyDescent="0.2"/>
    <row r="3675" s="18" customFormat="1" ht="12.75" x14ac:dyDescent="0.2"/>
    <row r="3676" s="18" customFormat="1" ht="12.75" x14ac:dyDescent="0.2"/>
    <row r="3677" s="18" customFormat="1" ht="12.75" x14ac:dyDescent="0.2"/>
    <row r="3678" s="18" customFormat="1" ht="12.75" x14ac:dyDescent="0.2"/>
    <row r="3679" s="18" customFormat="1" ht="12.75" x14ac:dyDescent="0.2"/>
    <row r="3680" s="18" customFormat="1" ht="12.75" x14ac:dyDescent="0.2"/>
    <row r="3681" s="18" customFormat="1" ht="12.75" x14ac:dyDescent="0.2"/>
    <row r="3682" s="18" customFormat="1" ht="12.75" x14ac:dyDescent="0.2"/>
    <row r="3683" s="18" customFormat="1" ht="12.75" x14ac:dyDescent="0.2"/>
    <row r="3684" s="18" customFormat="1" ht="12.75" x14ac:dyDescent="0.2"/>
    <row r="3685" s="18" customFormat="1" ht="12.75" x14ac:dyDescent="0.2"/>
    <row r="3686" s="18" customFormat="1" ht="12.75" x14ac:dyDescent="0.2"/>
    <row r="3687" s="18" customFormat="1" ht="12.75" x14ac:dyDescent="0.2"/>
    <row r="3688" s="18" customFormat="1" ht="12.75" x14ac:dyDescent="0.2"/>
    <row r="3689" s="18" customFormat="1" ht="12.75" x14ac:dyDescent="0.2"/>
    <row r="3690" s="18" customFormat="1" ht="12.75" x14ac:dyDescent="0.2"/>
    <row r="3691" s="18" customFormat="1" ht="12.75" x14ac:dyDescent="0.2"/>
    <row r="3692" s="18" customFormat="1" ht="12.75" x14ac:dyDescent="0.2"/>
    <row r="3693" s="18" customFormat="1" ht="12.75" x14ac:dyDescent="0.2"/>
    <row r="3694" s="18" customFormat="1" ht="12.75" x14ac:dyDescent="0.2"/>
    <row r="3695" s="18" customFormat="1" ht="12.75" x14ac:dyDescent="0.2"/>
    <row r="3696" s="18" customFormat="1" ht="12.75" x14ac:dyDescent="0.2"/>
    <row r="3697" s="18" customFormat="1" ht="12.75" x14ac:dyDescent="0.2"/>
    <row r="3698" s="18" customFormat="1" ht="12.75" x14ac:dyDescent="0.2"/>
    <row r="3699" s="18" customFormat="1" ht="12.75" x14ac:dyDescent="0.2"/>
    <row r="3700" s="18" customFormat="1" ht="12.75" x14ac:dyDescent="0.2"/>
    <row r="3701" s="18" customFormat="1" ht="12.75" x14ac:dyDescent="0.2"/>
    <row r="3702" s="18" customFormat="1" ht="12.75" x14ac:dyDescent="0.2"/>
    <row r="3703" s="18" customFormat="1" ht="12.75" x14ac:dyDescent="0.2"/>
    <row r="3704" s="18" customFormat="1" ht="12.75" x14ac:dyDescent="0.2"/>
    <row r="3705" s="18" customFormat="1" ht="12.75" x14ac:dyDescent="0.2"/>
    <row r="3706" s="18" customFormat="1" ht="12.75" x14ac:dyDescent="0.2"/>
    <row r="3707" s="18" customFormat="1" ht="12.75" x14ac:dyDescent="0.2"/>
    <row r="3708" s="18" customFormat="1" ht="12.75" x14ac:dyDescent="0.2"/>
    <row r="3709" s="18" customFormat="1" ht="12.75" x14ac:dyDescent="0.2"/>
    <row r="3710" s="18" customFormat="1" ht="12.75" x14ac:dyDescent="0.2"/>
    <row r="3711" s="18" customFormat="1" ht="12.75" x14ac:dyDescent="0.2"/>
    <row r="3712" s="18" customFormat="1" ht="12.75" x14ac:dyDescent="0.2"/>
    <row r="3713" s="18" customFormat="1" ht="12.75" x14ac:dyDescent="0.2"/>
    <row r="3714" s="18" customFormat="1" ht="12.75" x14ac:dyDescent="0.2"/>
    <row r="3715" s="18" customFormat="1" ht="12.75" x14ac:dyDescent="0.2"/>
    <row r="3716" s="18" customFormat="1" ht="12.75" x14ac:dyDescent="0.2"/>
    <row r="3717" s="18" customFormat="1" ht="12.75" x14ac:dyDescent="0.2"/>
    <row r="3718" s="18" customFormat="1" ht="12.75" x14ac:dyDescent="0.2"/>
    <row r="3719" s="18" customFormat="1" ht="12.75" x14ac:dyDescent="0.2"/>
    <row r="3720" s="18" customFormat="1" ht="12.75" x14ac:dyDescent="0.2"/>
    <row r="3721" s="18" customFormat="1" ht="12.75" x14ac:dyDescent="0.2"/>
    <row r="3722" s="18" customFormat="1" ht="12.75" x14ac:dyDescent="0.2"/>
    <row r="3723" s="18" customFormat="1" ht="12.75" x14ac:dyDescent="0.2"/>
    <row r="3724" s="18" customFormat="1" ht="12.75" x14ac:dyDescent="0.2"/>
    <row r="3725" s="18" customFormat="1" ht="12.75" x14ac:dyDescent="0.2"/>
    <row r="3726" s="18" customFormat="1" ht="12.75" x14ac:dyDescent="0.2"/>
    <row r="3727" s="18" customFormat="1" ht="12.75" x14ac:dyDescent="0.2"/>
    <row r="3728" s="18" customFormat="1" ht="12.75" x14ac:dyDescent="0.2"/>
    <row r="3729" s="18" customFormat="1" ht="12.75" x14ac:dyDescent="0.2"/>
    <row r="3730" s="18" customFormat="1" ht="12.75" x14ac:dyDescent="0.2"/>
    <row r="3731" s="18" customFormat="1" ht="12.75" x14ac:dyDescent="0.2"/>
    <row r="3732" s="18" customFormat="1" ht="12.75" x14ac:dyDescent="0.2"/>
    <row r="3733" s="18" customFormat="1" ht="12.75" x14ac:dyDescent="0.2"/>
    <row r="3734" s="18" customFormat="1" ht="12.75" x14ac:dyDescent="0.2"/>
    <row r="3735" s="18" customFormat="1" ht="12.75" x14ac:dyDescent="0.2"/>
    <row r="3736" s="18" customFormat="1" ht="12.75" x14ac:dyDescent="0.2"/>
    <row r="3737" s="18" customFormat="1" ht="12.75" x14ac:dyDescent="0.2"/>
    <row r="3738" s="18" customFormat="1" ht="12.75" x14ac:dyDescent="0.2"/>
    <row r="3739" s="18" customFormat="1" ht="12.75" x14ac:dyDescent="0.2"/>
    <row r="3740" s="18" customFormat="1" ht="12.75" x14ac:dyDescent="0.2"/>
    <row r="3741" s="18" customFormat="1" ht="12.75" x14ac:dyDescent="0.2"/>
    <row r="3742" s="18" customFormat="1" ht="12.75" x14ac:dyDescent="0.2"/>
    <row r="3743" s="18" customFormat="1" ht="12.75" x14ac:dyDescent="0.2"/>
    <row r="3744" s="18" customFormat="1" ht="12.75" x14ac:dyDescent="0.2"/>
    <row r="3745" s="18" customFormat="1" ht="12.75" x14ac:dyDescent="0.2"/>
    <row r="3746" s="18" customFormat="1" ht="12.75" x14ac:dyDescent="0.2"/>
    <row r="3747" s="18" customFormat="1" ht="12.75" x14ac:dyDescent="0.2"/>
    <row r="3748" s="18" customFormat="1" ht="12.75" x14ac:dyDescent="0.2"/>
    <row r="3749" s="18" customFormat="1" ht="12.75" x14ac:dyDescent="0.2"/>
    <row r="3750" s="18" customFormat="1" ht="12.75" x14ac:dyDescent="0.2"/>
    <row r="3751" s="18" customFormat="1" ht="12.75" x14ac:dyDescent="0.2"/>
    <row r="3752" s="18" customFormat="1" ht="12.75" x14ac:dyDescent="0.2"/>
    <row r="3753" s="18" customFormat="1" ht="12.75" x14ac:dyDescent="0.2"/>
    <row r="3754" s="18" customFormat="1" ht="12.75" x14ac:dyDescent="0.2"/>
    <row r="3755" s="18" customFormat="1" ht="12.75" x14ac:dyDescent="0.2"/>
    <row r="3756" s="18" customFormat="1" ht="12.75" x14ac:dyDescent="0.2"/>
    <row r="3757" s="18" customFormat="1" ht="12.75" x14ac:dyDescent="0.2"/>
    <row r="3758" s="18" customFormat="1" ht="12.75" x14ac:dyDescent="0.2"/>
    <row r="3759" s="18" customFormat="1" ht="12.75" x14ac:dyDescent="0.2"/>
    <row r="3760" s="18" customFormat="1" ht="12.75" x14ac:dyDescent="0.2"/>
    <row r="3761" s="18" customFormat="1" ht="12.75" x14ac:dyDescent="0.2"/>
    <row r="3762" s="18" customFormat="1" ht="12.75" x14ac:dyDescent="0.2"/>
    <row r="3763" s="18" customFormat="1" ht="12.75" x14ac:dyDescent="0.2"/>
    <row r="3764" s="18" customFormat="1" ht="12.75" x14ac:dyDescent="0.2"/>
    <row r="3765" s="18" customFormat="1" ht="12.75" x14ac:dyDescent="0.2"/>
    <row r="3766" s="18" customFormat="1" ht="12.75" x14ac:dyDescent="0.2"/>
    <row r="3767" s="18" customFormat="1" ht="12.75" x14ac:dyDescent="0.2"/>
    <row r="3768" s="18" customFormat="1" ht="12.75" x14ac:dyDescent="0.2"/>
    <row r="3769" s="18" customFormat="1" ht="12.75" x14ac:dyDescent="0.2"/>
    <row r="3770" s="18" customFormat="1" ht="12.75" x14ac:dyDescent="0.2"/>
    <row r="3771" s="18" customFormat="1" ht="12.75" x14ac:dyDescent="0.2"/>
    <row r="3772" s="18" customFormat="1" ht="12.75" x14ac:dyDescent="0.2"/>
    <row r="3773" s="18" customFormat="1" ht="12.75" x14ac:dyDescent="0.2"/>
    <row r="3774" s="18" customFormat="1" ht="12.75" x14ac:dyDescent="0.2"/>
    <row r="3775" s="18" customFormat="1" ht="12.75" x14ac:dyDescent="0.2"/>
    <row r="3776" s="18" customFormat="1" ht="12.75" x14ac:dyDescent="0.2"/>
    <row r="3777" s="18" customFormat="1" ht="12.75" x14ac:dyDescent="0.2"/>
    <row r="3778" s="18" customFormat="1" ht="12.75" x14ac:dyDescent="0.2"/>
    <row r="3779" s="18" customFormat="1" ht="12.75" x14ac:dyDescent="0.2"/>
    <row r="3780" s="18" customFormat="1" ht="12.75" x14ac:dyDescent="0.2"/>
    <row r="3781" s="18" customFormat="1" ht="12.75" x14ac:dyDescent="0.2"/>
    <row r="3782" s="18" customFormat="1" ht="12.75" x14ac:dyDescent="0.2"/>
    <row r="3783" s="18" customFormat="1" ht="12.75" x14ac:dyDescent="0.2"/>
    <row r="3784" s="18" customFormat="1" ht="12.75" x14ac:dyDescent="0.2"/>
    <row r="3785" s="18" customFormat="1" ht="12.75" x14ac:dyDescent="0.2"/>
    <row r="3786" s="18" customFormat="1" ht="12.75" x14ac:dyDescent="0.2"/>
    <row r="3787" s="18" customFormat="1" ht="12.75" x14ac:dyDescent="0.2"/>
    <row r="3788" s="18" customFormat="1" ht="12.75" x14ac:dyDescent="0.2"/>
    <row r="3789" s="18" customFormat="1" ht="12.75" x14ac:dyDescent="0.2"/>
    <row r="3790" s="18" customFormat="1" ht="12.75" x14ac:dyDescent="0.2"/>
    <row r="3791" s="18" customFormat="1" ht="12.75" x14ac:dyDescent="0.2"/>
    <row r="3792" s="18" customFormat="1" ht="12.75" x14ac:dyDescent="0.2"/>
    <row r="3793" s="18" customFormat="1" ht="12.75" x14ac:dyDescent="0.2"/>
    <row r="3794" s="18" customFormat="1" ht="12.75" x14ac:dyDescent="0.2"/>
    <row r="3795" s="18" customFormat="1" ht="12.75" x14ac:dyDescent="0.2"/>
    <row r="3796" s="18" customFormat="1" ht="12.75" x14ac:dyDescent="0.2"/>
    <row r="3797" s="18" customFormat="1" ht="12.75" x14ac:dyDescent="0.2"/>
    <row r="3798" s="18" customFormat="1" ht="12.75" x14ac:dyDescent="0.2"/>
    <row r="3799" s="18" customFormat="1" ht="12.75" x14ac:dyDescent="0.2"/>
    <row r="3800" s="18" customFormat="1" ht="12.75" x14ac:dyDescent="0.2"/>
    <row r="3801" s="18" customFormat="1" ht="12.75" x14ac:dyDescent="0.2"/>
    <row r="3802" s="18" customFormat="1" ht="12.75" x14ac:dyDescent="0.2"/>
    <row r="3803" s="18" customFormat="1" ht="12.75" x14ac:dyDescent="0.2"/>
    <row r="3804" s="18" customFormat="1" ht="12.75" x14ac:dyDescent="0.2"/>
    <row r="3805" s="18" customFormat="1" ht="12.75" x14ac:dyDescent="0.2"/>
    <row r="3806" s="18" customFormat="1" ht="12.75" x14ac:dyDescent="0.2"/>
    <row r="3807" s="18" customFormat="1" ht="12.75" x14ac:dyDescent="0.2"/>
    <row r="3808" s="18" customFormat="1" ht="12.75" x14ac:dyDescent="0.2"/>
    <row r="3809" s="18" customFormat="1" ht="12.75" x14ac:dyDescent="0.2"/>
    <row r="3810" s="18" customFormat="1" ht="12.75" x14ac:dyDescent="0.2"/>
    <row r="3811" s="18" customFormat="1" ht="12.75" x14ac:dyDescent="0.2"/>
    <row r="3812" s="18" customFormat="1" ht="12.75" x14ac:dyDescent="0.2"/>
    <row r="3813" s="18" customFormat="1" ht="12.75" x14ac:dyDescent="0.2"/>
    <row r="3814" s="18" customFormat="1" ht="12.75" x14ac:dyDescent="0.2"/>
    <row r="3815" s="18" customFormat="1" ht="12.75" x14ac:dyDescent="0.2"/>
    <row r="3816" s="18" customFormat="1" ht="12.75" x14ac:dyDescent="0.2"/>
    <row r="3817" s="18" customFormat="1" ht="12.75" x14ac:dyDescent="0.2"/>
    <row r="3818" s="18" customFormat="1" ht="12.75" x14ac:dyDescent="0.2"/>
    <row r="3819" s="18" customFormat="1" ht="12.75" x14ac:dyDescent="0.2"/>
    <row r="3820" s="18" customFormat="1" ht="12.75" x14ac:dyDescent="0.2"/>
    <row r="3821" s="18" customFormat="1" ht="12.75" x14ac:dyDescent="0.2"/>
    <row r="3822" s="18" customFormat="1" ht="12.75" x14ac:dyDescent="0.2"/>
    <row r="3823" s="18" customFormat="1" ht="12.75" x14ac:dyDescent="0.2"/>
    <row r="3824" s="18" customFormat="1" ht="12.75" x14ac:dyDescent="0.2"/>
    <row r="3825" s="18" customFormat="1" ht="12.75" x14ac:dyDescent="0.2"/>
    <row r="3826" s="18" customFormat="1" ht="12.75" x14ac:dyDescent="0.2"/>
    <row r="3827" s="18" customFormat="1" ht="12.75" x14ac:dyDescent="0.2"/>
    <row r="3828" s="18" customFormat="1" ht="12.75" x14ac:dyDescent="0.2"/>
    <row r="3829" s="18" customFormat="1" ht="12.75" x14ac:dyDescent="0.2"/>
    <row r="3830" s="18" customFormat="1" ht="12.75" x14ac:dyDescent="0.2"/>
    <row r="3831" s="18" customFormat="1" ht="12.75" x14ac:dyDescent="0.2"/>
    <row r="3832" s="18" customFormat="1" ht="12.75" x14ac:dyDescent="0.2"/>
    <row r="3833" s="18" customFormat="1" ht="12.75" x14ac:dyDescent="0.2"/>
    <row r="3834" s="18" customFormat="1" ht="12.75" x14ac:dyDescent="0.2"/>
    <row r="3835" s="18" customFormat="1" ht="12.75" x14ac:dyDescent="0.2"/>
    <row r="3836" s="18" customFormat="1" ht="12.75" x14ac:dyDescent="0.2"/>
    <row r="3837" s="18" customFormat="1" ht="12.75" x14ac:dyDescent="0.2"/>
    <row r="3838" s="18" customFormat="1" ht="12.75" x14ac:dyDescent="0.2"/>
    <row r="3839" s="18" customFormat="1" ht="12.75" x14ac:dyDescent="0.2"/>
    <row r="3840" s="18" customFormat="1" ht="12.75" x14ac:dyDescent="0.2"/>
    <row r="3841" s="18" customFormat="1" ht="12.75" x14ac:dyDescent="0.2"/>
    <row r="3842" s="18" customFormat="1" ht="12.75" x14ac:dyDescent="0.2"/>
    <row r="3843" s="18" customFormat="1" ht="12.75" x14ac:dyDescent="0.2"/>
    <row r="3844" s="18" customFormat="1" ht="12.75" x14ac:dyDescent="0.2"/>
    <row r="3845" s="18" customFormat="1" ht="12.75" x14ac:dyDescent="0.2"/>
    <row r="3846" s="18" customFormat="1" ht="12.75" x14ac:dyDescent="0.2"/>
    <row r="3847" s="18" customFormat="1" ht="12.75" x14ac:dyDescent="0.2"/>
    <row r="3848" s="18" customFormat="1" ht="12.75" x14ac:dyDescent="0.2"/>
    <row r="3849" s="18" customFormat="1" ht="12.75" x14ac:dyDescent="0.2"/>
    <row r="3850" s="18" customFormat="1" ht="12.75" x14ac:dyDescent="0.2"/>
    <row r="3851" s="18" customFormat="1" ht="12.75" x14ac:dyDescent="0.2"/>
    <row r="3852" s="18" customFormat="1" ht="12.75" x14ac:dyDescent="0.2"/>
    <row r="3853" s="18" customFormat="1" ht="12.75" x14ac:dyDescent="0.2"/>
    <row r="3854" s="18" customFormat="1" ht="12.75" x14ac:dyDescent="0.2"/>
    <row r="3855" s="18" customFormat="1" ht="12.75" x14ac:dyDescent="0.2"/>
    <row r="3856" s="18" customFormat="1" ht="12.75" x14ac:dyDescent="0.2"/>
    <row r="3857" s="18" customFormat="1" ht="12.75" x14ac:dyDescent="0.2"/>
    <row r="3858" s="18" customFormat="1" ht="12.75" x14ac:dyDescent="0.2"/>
    <row r="3859" s="18" customFormat="1" ht="12.75" x14ac:dyDescent="0.2"/>
    <row r="3860" s="18" customFormat="1" ht="12.75" x14ac:dyDescent="0.2"/>
    <row r="3861" s="18" customFormat="1" ht="12.75" x14ac:dyDescent="0.2"/>
    <row r="3862" s="18" customFormat="1" ht="12.75" x14ac:dyDescent="0.2"/>
    <row r="3863" s="18" customFormat="1" ht="12.75" x14ac:dyDescent="0.2"/>
    <row r="3864" s="18" customFormat="1" ht="12.75" x14ac:dyDescent="0.2"/>
    <row r="3865" s="18" customFormat="1" ht="12.75" x14ac:dyDescent="0.2"/>
    <row r="3866" s="18" customFormat="1" ht="12.75" x14ac:dyDescent="0.2"/>
    <row r="3867" s="18" customFormat="1" ht="12.75" x14ac:dyDescent="0.2"/>
    <row r="3868" s="18" customFormat="1" ht="12.75" x14ac:dyDescent="0.2"/>
    <row r="3869" s="18" customFormat="1" ht="12.75" x14ac:dyDescent="0.2"/>
    <row r="3870" s="18" customFormat="1" ht="12.75" x14ac:dyDescent="0.2"/>
    <row r="3871" s="18" customFormat="1" ht="12.75" x14ac:dyDescent="0.2"/>
    <row r="3872" s="18" customFormat="1" ht="12.75" x14ac:dyDescent="0.2"/>
    <row r="3873" s="18" customFormat="1" ht="12.75" x14ac:dyDescent="0.2"/>
    <row r="3874" s="18" customFormat="1" ht="12.75" x14ac:dyDescent="0.2"/>
    <row r="3875" s="18" customFormat="1" ht="12.75" x14ac:dyDescent="0.2"/>
    <row r="3876" s="18" customFormat="1" ht="12.75" x14ac:dyDescent="0.2"/>
    <row r="3877" s="18" customFormat="1" ht="12.75" x14ac:dyDescent="0.2"/>
    <row r="3878" s="18" customFormat="1" ht="12.75" x14ac:dyDescent="0.2"/>
    <row r="3879" s="18" customFormat="1" ht="12.75" x14ac:dyDescent="0.2"/>
    <row r="3880" s="18" customFormat="1" ht="12.75" x14ac:dyDescent="0.2"/>
    <row r="3881" s="18" customFormat="1" ht="12.75" x14ac:dyDescent="0.2"/>
    <row r="3882" s="18" customFormat="1" ht="12.75" x14ac:dyDescent="0.2"/>
    <row r="3883" s="18" customFormat="1" ht="12.75" x14ac:dyDescent="0.2"/>
    <row r="3884" s="18" customFormat="1" ht="12.75" x14ac:dyDescent="0.2"/>
    <row r="3885" s="18" customFormat="1" ht="12.75" x14ac:dyDescent="0.2"/>
    <row r="3886" s="18" customFormat="1" ht="12.75" x14ac:dyDescent="0.2"/>
    <row r="3887" s="18" customFormat="1" ht="12.75" x14ac:dyDescent="0.2"/>
    <row r="3888" s="18" customFormat="1" ht="12.75" x14ac:dyDescent="0.2"/>
    <row r="3889" s="18" customFormat="1" ht="12.75" x14ac:dyDescent="0.2"/>
    <row r="3890" s="18" customFormat="1" ht="12.75" x14ac:dyDescent="0.2"/>
    <row r="3891" s="18" customFormat="1" ht="12.75" x14ac:dyDescent="0.2"/>
    <row r="3892" s="18" customFormat="1" ht="12.75" x14ac:dyDescent="0.2"/>
    <row r="3893" s="18" customFormat="1" ht="12.75" x14ac:dyDescent="0.2"/>
    <row r="3894" s="18" customFormat="1" ht="12.75" x14ac:dyDescent="0.2"/>
    <row r="3895" s="18" customFormat="1" ht="12.75" x14ac:dyDescent="0.2"/>
    <row r="3896" s="18" customFormat="1" ht="12.75" x14ac:dyDescent="0.2"/>
    <row r="3897" s="18" customFormat="1" ht="12.75" x14ac:dyDescent="0.2"/>
    <row r="3898" s="18" customFormat="1" ht="12.75" x14ac:dyDescent="0.2"/>
    <row r="3899" s="18" customFormat="1" ht="12.75" x14ac:dyDescent="0.2"/>
    <row r="3900" s="18" customFormat="1" ht="12.75" x14ac:dyDescent="0.2"/>
    <row r="3901" s="18" customFormat="1" ht="12.75" x14ac:dyDescent="0.2"/>
    <row r="3902" s="18" customFormat="1" ht="12.75" x14ac:dyDescent="0.2"/>
    <row r="3903" s="18" customFormat="1" ht="12.75" x14ac:dyDescent="0.2"/>
    <row r="3904" s="18" customFormat="1" ht="12.75" x14ac:dyDescent="0.2"/>
    <row r="3905" s="18" customFormat="1" ht="12.75" x14ac:dyDescent="0.2"/>
    <row r="3906" s="18" customFormat="1" ht="12.75" x14ac:dyDescent="0.2"/>
    <row r="3907" s="18" customFormat="1" ht="12.75" x14ac:dyDescent="0.2"/>
    <row r="3908" s="18" customFormat="1" ht="12.75" x14ac:dyDescent="0.2"/>
    <row r="3909" s="18" customFormat="1" ht="12.75" x14ac:dyDescent="0.2"/>
    <row r="3910" s="18" customFormat="1" ht="12.75" x14ac:dyDescent="0.2"/>
    <row r="3911" s="18" customFormat="1" ht="12.75" x14ac:dyDescent="0.2"/>
    <row r="3912" s="18" customFormat="1" ht="12.75" x14ac:dyDescent="0.2"/>
    <row r="3913" s="18" customFormat="1" ht="12.75" x14ac:dyDescent="0.2"/>
    <row r="3914" s="18" customFormat="1" ht="12.75" x14ac:dyDescent="0.2"/>
    <row r="3915" s="18" customFormat="1" ht="12.75" x14ac:dyDescent="0.2"/>
    <row r="3916" s="18" customFormat="1" ht="12.75" x14ac:dyDescent="0.2"/>
    <row r="3917" s="18" customFormat="1" ht="12.75" x14ac:dyDescent="0.2"/>
    <row r="3918" s="18" customFormat="1" ht="12.75" x14ac:dyDescent="0.2"/>
    <row r="3919" s="18" customFormat="1" ht="12.75" x14ac:dyDescent="0.2"/>
    <row r="3920" s="18" customFormat="1" ht="12.75" x14ac:dyDescent="0.2"/>
    <row r="3921" s="18" customFormat="1" ht="12.75" x14ac:dyDescent="0.2"/>
    <row r="3922" s="18" customFormat="1" ht="12.75" x14ac:dyDescent="0.2"/>
    <row r="3923" s="18" customFormat="1" ht="12.75" x14ac:dyDescent="0.2"/>
    <row r="3924" s="18" customFormat="1" ht="12.75" x14ac:dyDescent="0.2"/>
    <row r="3925" s="18" customFormat="1" ht="12.75" x14ac:dyDescent="0.2"/>
    <row r="3926" s="18" customFormat="1" ht="12.75" x14ac:dyDescent="0.2"/>
    <row r="3927" s="18" customFormat="1" ht="12.75" x14ac:dyDescent="0.2"/>
    <row r="3928" s="18" customFormat="1" ht="12.75" x14ac:dyDescent="0.2"/>
    <row r="3929" s="18" customFormat="1" ht="12.75" x14ac:dyDescent="0.2"/>
    <row r="3930" s="18" customFormat="1" ht="12.75" x14ac:dyDescent="0.2"/>
    <row r="3931" s="18" customFormat="1" ht="12.75" x14ac:dyDescent="0.2"/>
    <row r="3932" s="18" customFormat="1" ht="12.75" x14ac:dyDescent="0.2"/>
    <row r="3933" s="18" customFormat="1" ht="12.75" x14ac:dyDescent="0.2"/>
    <row r="3934" s="18" customFormat="1" ht="12.75" x14ac:dyDescent="0.2"/>
    <row r="3935" s="18" customFormat="1" ht="12.75" x14ac:dyDescent="0.2"/>
    <row r="3936" s="18" customFormat="1" ht="12.75" x14ac:dyDescent="0.2"/>
    <row r="3937" s="18" customFormat="1" ht="12.75" x14ac:dyDescent="0.2"/>
    <row r="3938" s="18" customFormat="1" ht="12.75" x14ac:dyDescent="0.2"/>
    <row r="3939" s="18" customFormat="1" ht="12.75" x14ac:dyDescent="0.2"/>
    <row r="3940" s="18" customFormat="1" ht="12.75" x14ac:dyDescent="0.2"/>
    <row r="3941" s="18" customFormat="1" ht="12.75" x14ac:dyDescent="0.2"/>
    <row r="3942" s="18" customFormat="1" ht="12.75" x14ac:dyDescent="0.2"/>
    <row r="3943" s="18" customFormat="1" ht="12.75" x14ac:dyDescent="0.2"/>
    <row r="3944" s="18" customFormat="1" ht="12.75" x14ac:dyDescent="0.2"/>
    <row r="3945" s="18" customFormat="1" ht="12.75" x14ac:dyDescent="0.2"/>
    <row r="3946" s="18" customFormat="1" ht="12.75" x14ac:dyDescent="0.2"/>
    <row r="3947" s="18" customFormat="1" ht="12.75" x14ac:dyDescent="0.2"/>
    <row r="3948" s="18" customFormat="1" ht="12.75" x14ac:dyDescent="0.2"/>
    <row r="3949" s="18" customFormat="1" ht="12.75" x14ac:dyDescent="0.2"/>
    <row r="3950" s="18" customFormat="1" ht="12.75" x14ac:dyDescent="0.2"/>
    <row r="3951" s="18" customFormat="1" ht="12.75" x14ac:dyDescent="0.2"/>
    <row r="3952" s="18" customFormat="1" ht="12.75" x14ac:dyDescent="0.2"/>
    <row r="3953" s="18" customFormat="1" ht="12.75" x14ac:dyDescent="0.2"/>
    <row r="3954" s="18" customFormat="1" ht="12.75" x14ac:dyDescent="0.2"/>
    <row r="3955" s="18" customFormat="1" ht="12.75" x14ac:dyDescent="0.2"/>
    <row r="3956" s="18" customFormat="1" ht="12.75" x14ac:dyDescent="0.2"/>
    <row r="3957" s="18" customFormat="1" ht="12.75" x14ac:dyDescent="0.2"/>
    <row r="3958" s="18" customFormat="1" ht="12.75" x14ac:dyDescent="0.2"/>
    <row r="3959" s="18" customFormat="1" ht="12.75" x14ac:dyDescent="0.2"/>
    <row r="3960" s="18" customFormat="1" ht="12.75" x14ac:dyDescent="0.2"/>
    <row r="3961" s="18" customFormat="1" ht="12.75" x14ac:dyDescent="0.2"/>
    <row r="3962" s="18" customFormat="1" ht="12.75" x14ac:dyDescent="0.2"/>
    <row r="3963" s="18" customFormat="1" ht="12.75" x14ac:dyDescent="0.2"/>
    <row r="3964" s="18" customFormat="1" ht="12.75" x14ac:dyDescent="0.2"/>
    <row r="3965" s="18" customFormat="1" ht="12.75" x14ac:dyDescent="0.2"/>
    <row r="3966" s="18" customFormat="1" ht="12.75" x14ac:dyDescent="0.2"/>
    <row r="3967" s="18" customFormat="1" ht="12.75" x14ac:dyDescent="0.2"/>
    <row r="3968" s="18" customFormat="1" ht="12.75" x14ac:dyDescent="0.2"/>
    <row r="3969" s="18" customFormat="1" ht="12.75" x14ac:dyDescent="0.2"/>
    <row r="3970" s="18" customFormat="1" ht="12.75" x14ac:dyDescent="0.2"/>
    <row r="3971" s="18" customFormat="1" ht="12.75" x14ac:dyDescent="0.2"/>
    <row r="3972" s="18" customFormat="1" ht="12.75" x14ac:dyDescent="0.2"/>
    <row r="3973" s="18" customFormat="1" ht="12.75" x14ac:dyDescent="0.2"/>
    <row r="3974" s="18" customFormat="1" ht="12.75" x14ac:dyDescent="0.2"/>
    <row r="3975" s="18" customFormat="1" ht="12.75" x14ac:dyDescent="0.2"/>
    <row r="3976" s="18" customFormat="1" ht="12.75" x14ac:dyDescent="0.2"/>
    <row r="3977" s="18" customFormat="1" ht="12.75" x14ac:dyDescent="0.2"/>
    <row r="3978" s="18" customFormat="1" ht="12.75" x14ac:dyDescent="0.2"/>
    <row r="3979" s="18" customFormat="1" ht="12.75" x14ac:dyDescent="0.2"/>
    <row r="3980" s="18" customFormat="1" ht="12.75" x14ac:dyDescent="0.2"/>
    <row r="3981" s="18" customFormat="1" ht="12.75" x14ac:dyDescent="0.2"/>
    <row r="3982" s="18" customFormat="1" ht="12.75" x14ac:dyDescent="0.2"/>
    <row r="3983" s="18" customFormat="1" ht="12.75" x14ac:dyDescent="0.2"/>
    <row r="3984" s="18" customFormat="1" ht="12.75" x14ac:dyDescent="0.2"/>
    <row r="3985" s="18" customFormat="1" ht="12.75" x14ac:dyDescent="0.2"/>
    <row r="3986" s="18" customFormat="1" ht="12.75" x14ac:dyDescent="0.2"/>
    <row r="3987" s="18" customFormat="1" ht="12.75" x14ac:dyDescent="0.2"/>
    <row r="3988" s="18" customFormat="1" ht="12.75" x14ac:dyDescent="0.2"/>
    <row r="3989" s="18" customFormat="1" ht="12.75" x14ac:dyDescent="0.2"/>
    <row r="3990" s="18" customFormat="1" ht="12.75" x14ac:dyDescent="0.2"/>
    <row r="3991" s="18" customFormat="1" ht="12.75" x14ac:dyDescent="0.2"/>
    <row r="3992" s="18" customFormat="1" ht="12.75" x14ac:dyDescent="0.2"/>
    <row r="3993" s="18" customFormat="1" ht="12.75" x14ac:dyDescent="0.2"/>
    <row r="3994" s="18" customFormat="1" ht="12.75" x14ac:dyDescent="0.2"/>
    <row r="3995" s="18" customFormat="1" ht="12.75" x14ac:dyDescent="0.2"/>
    <row r="3996" s="18" customFormat="1" ht="12.75" x14ac:dyDescent="0.2"/>
    <row r="3997" s="18" customFormat="1" ht="12.75" x14ac:dyDescent="0.2"/>
    <row r="3998" s="18" customFormat="1" ht="12.75" x14ac:dyDescent="0.2"/>
    <row r="3999" s="18" customFormat="1" ht="12.75" x14ac:dyDescent="0.2"/>
    <row r="4000" s="18" customFormat="1" ht="12.75" x14ac:dyDescent="0.2"/>
    <row r="4001" s="18" customFormat="1" ht="12.75" x14ac:dyDescent="0.2"/>
    <row r="4002" s="18" customFormat="1" ht="12.75" x14ac:dyDescent="0.2"/>
    <row r="4003" s="18" customFormat="1" ht="12.75" x14ac:dyDescent="0.2"/>
    <row r="4004" s="18" customFormat="1" ht="12.75" x14ac:dyDescent="0.2"/>
    <row r="4005" s="18" customFormat="1" ht="12.75" x14ac:dyDescent="0.2"/>
    <row r="4006" s="18" customFormat="1" ht="12.75" x14ac:dyDescent="0.2"/>
    <row r="4007" s="18" customFormat="1" ht="12.75" x14ac:dyDescent="0.2"/>
    <row r="4008" s="18" customFormat="1" ht="12.75" x14ac:dyDescent="0.2"/>
    <row r="4009" s="18" customFormat="1" ht="12.75" x14ac:dyDescent="0.2"/>
    <row r="4010" s="18" customFormat="1" ht="12.75" x14ac:dyDescent="0.2"/>
    <row r="4011" s="18" customFormat="1" ht="12.75" x14ac:dyDescent="0.2"/>
    <row r="4012" s="18" customFormat="1" ht="12.75" x14ac:dyDescent="0.2"/>
    <row r="4013" s="18" customFormat="1" ht="12.75" x14ac:dyDescent="0.2"/>
    <row r="4014" s="18" customFormat="1" ht="12.75" x14ac:dyDescent="0.2"/>
    <row r="4015" s="18" customFormat="1" ht="12.75" x14ac:dyDescent="0.2"/>
    <row r="4016" s="18" customFormat="1" ht="12.75" x14ac:dyDescent="0.2"/>
    <row r="4017" s="18" customFormat="1" ht="12.75" x14ac:dyDescent="0.2"/>
    <row r="4018" s="18" customFormat="1" ht="12.75" x14ac:dyDescent="0.2"/>
    <row r="4019" s="18" customFormat="1" ht="12.75" x14ac:dyDescent="0.2"/>
    <row r="4020" s="18" customFormat="1" ht="12.75" x14ac:dyDescent="0.2"/>
    <row r="4021" s="18" customFormat="1" ht="12.75" x14ac:dyDescent="0.2"/>
    <row r="4022" s="18" customFormat="1" ht="12.75" x14ac:dyDescent="0.2"/>
    <row r="4023" s="18" customFormat="1" ht="12.75" x14ac:dyDescent="0.2"/>
    <row r="4024" s="18" customFormat="1" ht="12.75" x14ac:dyDescent="0.2"/>
    <row r="4025" s="18" customFormat="1" ht="12.75" x14ac:dyDescent="0.2"/>
    <row r="4026" s="18" customFormat="1" ht="12.75" x14ac:dyDescent="0.2"/>
    <row r="4027" s="18" customFormat="1" ht="12.75" x14ac:dyDescent="0.2"/>
    <row r="4028" s="18" customFormat="1" ht="12.75" x14ac:dyDescent="0.2"/>
    <row r="4029" s="18" customFormat="1" ht="12.75" x14ac:dyDescent="0.2"/>
    <row r="4030" s="18" customFormat="1" ht="12.75" x14ac:dyDescent="0.2"/>
    <row r="4031" s="18" customFormat="1" ht="12.75" x14ac:dyDescent="0.2"/>
    <row r="4032" s="18" customFormat="1" ht="12.75" x14ac:dyDescent="0.2"/>
    <row r="4033" s="18" customFormat="1" ht="12.75" x14ac:dyDescent="0.2"/>
    <row r="4034" s="18" customFormat="1" ht="12.75" x14ac:dyDescent="0.2"/>
    <row r="4035" s="18" customFormat="1" ht="12.75" x14ac:dyDescent="0.2"/>
    <row r="4036" s="18" customFormat="1" ht="12.75" x14ac:dyDescent="0.2"/>
    <row r="4037" s="18" customFormat="1" ht="12.75" x14ac:dyDescent="0.2"/>
    <row r="4038" s="18" customFormat="1" ht="12.75" x14ac:dyDescent="0.2"/>
    <row r="4039" s="18" customFormat="1" ht="12.75" x14ac:dyDescent="0.2"/>
    <row r="4040" s="18" customFormat="1" ht="12.75" x14ac:dyDescent="0.2"/>
    <row r="4041" s="18" customFormat="1" ht="12.75" x14ac:dyDescent="0.2"/>
    <row r="4042" s="18" customFormat="1" ht="12.75" x14ac:dyDescent="0.2"/>
    <row r="4043" s="18" customFormat="1" ht="12.75" x14ac:dyDescent="0.2"/>
    <row r="4044" s="18" customFormat="1" ht="12.75" x14ac:dyDescent="0.2"/>
    <row r="4045" s="18" customFormat="1" ht="12.75" x14ac:dyDescent="0.2"/>
    <row r="4046" s="18" customFormat="1" ht="12.75" x14ac:dyDescent="0.2"/>
    <row r="4047" s="18" customFormat="1" ht="12.75" x14ac:dyDescent="0.2"/>
    <row r="4048" s="18" customFormat="1" ht="12.75" x14ac:dyDescent="0.2"/>
    <row r="4049" s="18" customFormat="1" ht="12.75" x14ac:dyDescent="0.2"/>
    <row r="4050" s="18" customFormat="1" ht="12.75" x14ac:dyDescent="0.2"/>
    <row r="4051" s="18" customFormat="1" ht="12.75" x14ac:dyDescent="0.2"/>
    <row r="4052" s="18" customFormat="1" ht="12.75" x14ac:dyDescent="0.2"/>
    <row r="4053" s="18" customFormat="1" ht="12.75" x14ac:dyDescent="0.2"/>
    <row r="4054" s="18" customFormat="1" ht="12.75" x14ac:dyDescent="0.2"/>
    <row r="4055" s="18" customFormat="1" ht="12.75" x14ac:dyDescent="0.2"/>
    <row r="4056" s="18" customFormat="1" ht="12.75" x14ac:dyDescent="0.2"/>
    <row r="4057" s="18" customFormat="1" ht="12.75" x14ac:dyDescent="0.2"/>
    <row r="4058" s="18" customFormat="1" ht="12.75" x14ac:dyDescent="0.2"/>
    <row r="4059" s="18" customFormat="1" ht="12.75" x14ac:dyDescent="0.2"/>
    <row r="4060" s="18" customFormat="1" ht="12.75" x14ac:dyDescent="0.2"/>
    <row r="4061" s="18" customFormat="1" ht="12.75" x14ac:dyDescent="0.2"/>
    <row r="4062" s="18" customFormat="1" ht="12.75" x14ac:dyDescent="0.2"/>
    <row r="4063" s="18" customFormat="1" ht="12.75" x14ac:dyDescent="0.2"/>
    <row r="4064" s="18" customFormat="1" ht="12.75" x14ac:dyDescent="0.2"/>
    <row r="4065" s="18" customFormat="1" ht="12.75" x14ac:dyDescent="0.2"/>
    <row r="4066" s="18" customFormat="1" ht="12.75" x14ac:dyDescent="0.2"/>
    <row r="4067" s="18" customFormat="1" ht="12.75" x14ac:dyDescent="0.2"/>
    <row r="4068" s="18" customFormat="1" ht="12.75" x14ac:dyDescent="0.2"/>
    <row r="4069" s="18" customFormat="1" ht="12.75" x14ac:dyDescent="0.2"/>
    <row r="4070" s="18" customFormat="1" ht="12.75" x14ac:dyDescent="0.2"/>
    <row r="4071" s="18" customFormat="1" ht="12.75" x14ac:dyDescent="0.2"/>
    <row r="4072" s="18" customFormat="1" ht="12.75" x14ac:dyDescent="0.2"/>
    <row r="4073" s="18" customFormat="1" ht="12.75" x14ac:dyDescent="0.2"/>
    <row r="4074" s="18" customFormat="1" ht="12.75" x14ac:dyDescent="0.2"/>
    <row r="4075" s="18" customFormat="1" ht="12.75" x14ac:dyDescent="0.2"/>
    <row r="4076" s="18" customFormat="1" ht="12.75" x14ac:dyDescent="0.2"/>
    <row r="4077" s="18" customFormat="1" ht="12.75" x14ac:dyDescent="0.2"/>
    <row r="4078" s="18" customFormat="1" ht="12.75" x14ac:dyDescent="0.2"/>
    <row r="4079" s="18" customFormat="1" ht="12.75" x14ac:dyDescent="0.2"/>
    <row r="4080" s="18" customFormat="1" ht="12.75" x14ac:dyDescent="0.2"/>
    <row r="4081" s="18" customFormat="1" ht="12.75" x14ac:dyDescent="0.2"/>
    <row r="4082" s="18" customFormat="1" ht="12.75" x14ac:dyDescent="0.2"/>
    <row r="4083" s="18" customFormat="1" ht="12.75" x14ac:dyDescent="0.2"/>
    <row r="4084" s="18" customFormat="1" ht="12.75" x14ac:dyDescent="0.2"/>
    <row r="4085" s="18" customFormat="1" ht="12.75" x14ac:dyDescent="0.2"/>
    <row r="4086" s="18" customFormat="1" ht="12.75" x14ac:dyDescent="0.2"/>
    <row r="4087" s="18" customFormat="1" ht="12.75" x14ac:dyDescent="0.2"/>
    <row r="4088" s="18" customFormat="1" ht="12.75" x14ac:dyDescent="0.2"/>
    <row r="4089" s="18" customFormat="1" ht="12.75" x14ac:dyDescent="0.2"/>
    <row r="4090" s="18" customFormat="1" ht="12.75" x14ac:dyDescent="0.2"/>
    <row r="4091" s="18" customFormat="1" ht="12.75" x14ac:dyDescent="0.2"/>
    <row r="4092" s="18" customFormat="1" ht="12.75" x14ac:dyDescent="0.2"/>
    <row r="4093" s="18" customFormat="1" ht="12.75" x14ac:dyDescent="0.2"/>
    <row r="4094" s="18" customFormat="1" ht="12.75" x14ac:dyDescent="0.2"/>
    <row r="4095" s="18" customFormat="1" ht="12.75" x14ac:dyDescent="0.2"/>
    <row r="4096" s="18" customFormat="1" ht="12.75" x14ac:dyDescent="0.2"/>
    <row r="4097" s="18" customFormat="1" ht="12.75" x14ac:dyDescent="0.2"/>
    <row r="4098" s="18" customFormat="1" ht="12.75" x14ac:dyDescent="0.2"/>
    <row r="4099" s="18" customFormat="1" ht="12.75" x14ac:dyDescent="0.2"/>
    <row r="4100" s="18" customFormat="1" ht="12.75" x14ac:dyDescent="0.2"/>
    <row r="4101" s="18" customFormat="1" ht="12.75" x14ac:dyDescent="0.2"/>
    <row r="4102" s="18" customFormat="1" ht="12.75" x14ac:dyDescent="0.2"/>
    <row r="4103" s="18" customFormat="1" ht="12.75" x14ac:dyDescent="0.2"/>
    <row r="4104" s="18" customFormat="1" ht="12.75" x14ac:dyDescent="0.2"/>
    <row r="4105" s="18" customFormat="1" ht="12.75" x14ac:dyDescent="0.2"/>
    <row r="4106" s="18" customFormat="1" ht="12.75" x14ac:dyDescent="0.2"/>
    <row r="4107" s="18" customFormat="1" ht="12.75" x14ac:dyDescent="0.2"/>
    <row r="4108" s="18" customFormat="1" ht="12.75" x14ac:dyDescent="0.2"/>
    <row r="4109" s="18" customFormat="1" ht="12.75" x14ac:dyDescent="0.2"/>
    <row r="4110" s="18" customFormat="1" ht="12.75" x14ac:dyDescent="0.2"/>
    <row r="4111" s="18" customFormat="1" ht="12.75" x14ac:dyDescent="0.2"/>
    <row r="4112" s="18" customFormat="1" ht="12.75" x14ac:dyDescent="0.2"/>
    <row r="4113" s="18" customFormat="1" ht="12.75" x14ac:dyDescent="0.2"/>
    <row r="4114" s="18" customFormat="1" ht="12.75" x14ac:dyDescent="0.2"/>
    <row r="4115" s="18" customFormat="1" ht="12.75" x14ac:dyDescent="0.2"/>
    <row r="4116" s="18" customFormat="1" ht="12.75" x14ac:dyDescent="0.2"/>
    <row r="4117" s="18" customFormat="1" ht="12.75" x14ac:dyDescent="0.2"/>
    <row r="4118" s="18" customFormat="1" ht="12.75" x14ac:dyDescent="0.2"/>
    <row r="4119" s="18" customFormat="1" ht="12.75" x14ac:dyDescent="0.2"/>
    <row r="4120" s="18" customFormat="1" ht="12.75" x14ac:dyDescent="0.2"/>
    <row r="4121" s="18" customFormat="1" ht="12.75" x14ac:dyDescent="0.2"/>
    <row r="4122" s="18" customFormat="1" ht="12.75" x14ac:dyDescent="0.2"/>
    <row r="4123" s="18" customFormat="1" ht="12.75" x14ac:dyDescent="0.2"/>
    <row r="4124" s="18" customFormat="1" ht="12.75" x14ac:dyDescent="0.2"/>
    <row r="4125" s="18" customFormat="1" ht="12.75" x14ac:dyDescent="0.2"/>
    <row r="4126" s="18" customFormat="1" ht="12.75" x14ac:dyDescent="0.2"/>
    <row r="4127" s="18" customFormat="1" ht="12.75" x14ac:dyDescent="0.2"/>
    <row r="4128" s="18" customFormat="1" ht="12.75" x14ac:dyDescent="0.2"/>
    <row r="4129" s="18" customFormat="1" ht="12.75" x14ac:dyDescent="0.2"/>
    <row r="4130" s="18" customFormat="1" ht="12.75" x14ac:dyDescent="0.2"/>
    <row r="4131" s="18" customFormat="1" ht="12.75" x14ac:dyDescent="0.2"/>
    <row r="4132" s="18" customFormat="1" ht="12.75" x14ac:dyDescent="0.2"/>
    <row r="4133" s="18" customFormat="1" ht="12.75" x14ac:dyDescent="0.2"/>
    <row r="4134" s="18" customFormat="1" ht="12.75" x14ac:dyDescent="0.2"/>
    <row r="4135" s="18" customFormat="1" ht="12.75" x14ac:dyDescent="0.2"/>
    <row r="4136" s="18" customFormat="1" ht="12.75" x14ac:dyDescent="0.2"/>
    <row r="4137" s="18" customFormat="1" ht="12.75" x14ac:dyDescent="0.2"/>
    <row r="4138" s="18" customFormat="1" ht="12.75" x14ac:dyDescent="0.2"/>
    <row r="4139" s="18" customFormat="1" ht="12.75" x14ac:dyDescent="0.2"/>
    <row r="4140" s="18" customFormat="1" ht="12.75" x14ac:dyDescent="0.2"/>
    <row r="4141" s="18" customFormat="1" ht="12.75" x14ac:dyDescent="0.2"/>
    <row r="4142" s="18" customFormat="1" ht="12.75" x14ac:dyDescent="0.2"/>
    <row r="4143" s="18" customFormat="1" ht="12.75" x14ac:dyDescent="0.2"/>
    <row r="4144" s="18" customFormat="1" ht="12.75" x14ac:dyDescent="0.2"/>
    <row r="4145" s="18" customFormat="1" ht="12.75" x14ac:dyDescent="0.2"/>
    <row r="4146" s="18" customFormat="1" ht="12.75" x14ac:dyDescent="0.2"/>
    <row r="4147" s="18" customFormat="1" ht="12.75" x14ac:dyDescent="0.2"/>
    <row r="4148" s="18" customFormat="1" ht="12.75" x14ac:dyDescent="0.2"/>
    <row r="4149" s="18" customFormat="1" ht="12.75" x14ac:dyDescent="0.2"/>
    <row r="4150" s="18" customFormat="1" ht="12.75" x14ac:dyDescent="0.2"/>
    <row r="4151" s="18" customFormat="1" ht="12.75" x14ac:dyDescent="0.2"/>
    <row r="4152" s="18" customFormat="1" ht="12.75" x14ac:dyDescent="0.2"/>
    <row r="4153" s="18" customFormat="1" ht="12.75" x14ac:dyDescent="0.2"/>
    <row r="4154" s="18" customFormat="1" ht="12.75" x14ac:dyDescent="0.2"/>
    <row r="4155" s="18" customFormat="1" ht="12.75" x14ac:dyDescent="0.2"/>
    <row r="4156" s="18" customFormat="1" ht="12.75" x14ac:dyDescent="0.2"/>
    <row r="4157" s="18" customFormat="1" ht="12.75" x14ac:dyDescent="0.2"/>
    <row r="4158" s="18" customFormat="1" ht="12.75" x14ac:dyDescent="0.2"/>
    <row r="4159" s="18" customFormat="1" ht="12.75" x14ac:dyDescent="0.2"/>
    <row r="4160" s="18" customFormat="1" ht="12.75" x14ac:dyDescent="0.2"/>
    <row r="4161" s="18" customFormat="1" ht="12.75" x14ac:dyDescent="0.2"/>
    <row r="4162" s="18" customFormat="1" ht="12.75" x14ac:dyDescent="0.2"/>
    <row r="4163" s="18" customFormat="1" ht="12.75" x14ac:dyDescent="0.2"/>
    <row r="4164" s="18" customFormat="1" ht="12.75" x14ac:dyDescent="0.2"/>
    <row r="4165" s="18" customFormat="1" ht="12.75" x14ac:dyDescent="0.2"/>
    <row r="4166" s="18" customFormat="1" ht="12.75" x14ac:dyDescent="0.2"/>
    <row r="4167" s="18" customFormat="1" ht="12.75" x14ac:dyDescent="0.2"/>
    <row r="4168" s="18" customFormat="1" ht="12.75" x14ac:dyDescent="0.2"/>
    <row r="4169" s="18" customFormat="1" ht="12.75" x14ac:dyDescent="0.2"/>
    <row r="4170" s="18" customFormat="1" ht="12.75" x14ac:dyDescent="0.2"/>
    <row r="4171" s="18" customFormat="1" ht="12.75" x14ac:dyDescent="0.2"/>
    <row r="4172" s="18" customFormat="1" ht="12.75" x14ac:dyDescent="0.2"/>
    <row r="4173" s="18" customFormat="1" ht="12.75" x14ac:dyDescent="0.2"/>
    <row r="4174" s="18" customFormat="1" ht="12.75" x14ac:dyDescent="0.2"/>
    <row r="4175" s="18" customFormat="1" ht="12.75" x14ac:dyDescent="0.2"/>
    <row r="4176" s="18" customFormat="1" ht="12.75" x14ac:dyDescent="0.2"/>
    <row r="4177" s="18" customFormat="1" ht="12.75" x14ac:dyDescent="0.2"/>
    <row r="4178" s="18" customFormat="1" ht="12.75" x14ac:dyDescent="0.2"/>
    <row r="4179" s="18" customFormat="1" ht="12.75" x14ac:dyDescent="0.2"/>
    <row r="4180" s="18" customFormat="1" ht="12.75" x14ac:dyDescent="0.2"/>
    <row r="4181" s="18" customFormat="1" ht="12.75" x14ac:dyDescent="0.2"/>
    <row r="4182" s="18" customFormat="1" ht="12.75" x14ac:dyDescent="0.2"/>
    <row r="4183" s="18" customFormat="1" ht="12.75" x14ac:dyDescent="0.2"/>
    <row r="4184" s="18" customFormat="1" ht="12.75" x14ac:dyDescent="0.2"/>
    <row r="4185" s="18" customFormat="1" ht="12.75" x14ac:dyDescent="0.2"/>
    <row r="4186" s="18" customFormat="1" ht="12.75" x14ac:dyDescent="0.2"/>
    <row r="4187" s="18" customFormat="1" ht="12.75" x14ac:dyDescent="0.2"/>
    <row r="4188" s="18" customFormat="1" ht="12.75" x14ac:dyDescent="0.2"/>
    <row r="4189" s="18" customFormat="1" ht="12.75" x14ac:dyDescent="0.2"/>
    <row r="4190" s="18" customFormat="1" ht="12.75" x14ac:dyDescent="0.2"/>
    <row r="4191" s="18" customFormat="1" ht="12.75" x14ac:dyDescent="0.2"/>
    <row r="4192" s="18" customFormat="1" ht="12.75" x14ac:dyDescent="0.2"/>
    <row r="4193" s="18" customFormat="1" ht="12.75" x14ac:dyDescent="0.2"/>
    <row r="4194" s="18" customFormat="1" ht="12.75" x14ac:dyDescent="0.2"/>
    <row r="4195" s="18" customFormat="1" ht="12.75" x14ac:dyDescent="0.2"/>
    <row r="4196" s="18" customFormat="1" ht="12.75" x14ac:dyDescent="0.2"/>
    <row r="4197" s="18" customFormat="1" ht="12.75" x14ac:dyDescent="0.2"/>
    <row r="4198" s="18" customFormat="1" ht="12.75" x14ac:dyDescent="0.2"/>
    <row r="4199" s="18" customFormat="1" ht="12.75" x14ac:dyDescent="0.2"/>
    <row r="4200" s="18" customFormat="1" ht="12.75" x14ac:dyDescent="0.2"/>
    <row r="4201" s="18" customFormat="1" ht="12.75" x14ac:dyDescent="0.2"/>
    <row r="4202" s="18" customFormat="1" ht="12.75" x14ac:dyDescent="0.2"/>
    <row r="4203" s="18" customFormat="1" ht="12.75" x14ac:dyDescent="0.2"/>
    <row r="4204" s="18" customFormat="1" ht="12.75" x14ac:dyDescent="0.2"/>
    <row r="4205" s="18" customFormat="1" ht="12.75" x14ac:dyDescent="0.2"/>
    <row r="4206" s="18" customFormat="1" ht="12.75" x14ac:dyDescent="0.2"/>
    <row r="4207" s="18" customFormat="1" ht="12.75" x14ac:dyDescent="0.2"/>
    <row r="4208" s="18" customFormat="1" ht="12.75" x14ac:dyDescent="0.2"/>
    <row r="4209" s="18" customFormat="1" ht="12.75" x14ac:dyDescent="0.2"/>
    <row r="4210" s="18" customFormat="1" ht="12.75" x14ac:dyDescent="0.2"/>
    <row r="4211" s="18" customFormat="1" ht="12.75" x14ac:dyDescent="0.2"/>
    <row r="4212" s="18" customFormat="1" ht="12.75" x14ac:dyDescent="0.2"/>
    <row r="4213" s="18" customFormat="1" ht="12.75" x14ac:dyDescent="0.2"/>
    <row r="4214" s="18" customFormat="1" ht="12.75" x14ac:dyDescent="0.2"/>
    <row r="4215" s="18" customFormat="1" ht="12.75" x14ac:dyDescent="0.2"/>
    <row r="4216" s="18" customFormat="1" ht="12.75" x14ac:dyDescent="0.2"/>
    <row r="4217" s="18" customFormat="1" ht="12.75" x14ac:dyDescent="0.2"/>
    <row r="4218" s="18" customFormat="1" ht="12.75" x14ac:dyDescent="0.2"/>
    <row r="4219" s="18" customFormat="1" ht="12.75" x14ac:dyDescent="0.2"/>
    <row r="4220" s="18" customFormat="1" ht="12.75" x14ac:dyDescent="0.2"/>
    <row r="4221" s="18" customFormat="1" ht="12.75" x14ac:dyDescent="0.2"/>
    <row r="4222" s="18" customFormat="1" ht="12.75" x14ac:dyDescent="0.2"/>
    <row r="4223" s="18" customFormat="1" ht="12.75" x14ac:dyDescent="0.2"/>
    <row r="4224" s="18" customFormat="1" ht="12.75" x14ac:dyDescent="0.2"/>
    <row r="4225" s="18" customFormat="1" ht="12.75" x14ac:dyDescent="0.2"/>
    <row r="4226" s="18" customFormat="1" ht="12.75" x14ac:dyDescent="0.2"/>
    <row r="4227" s="18" customFormat="1" ht="12.75" x14ac:dyDescent="0.2"/>
    <row r="4228" s="18" customFormat="1" ht="12.75" x14ac:dyDescent="0.2"/>
    <row r="4229" s="18" customFormat="1" ht="12.75" x14ac:dyDescent="0.2"/>
    <row r="4230" s="18" customFormat="1" ht="12.75" x14ac:dyDescent="0.2"/>
    <row r="4231" s="18" customFormat="1" ht="12.75" x14ac:dyDescent="0.2"/>
    <row r="4232" s="18" customFormat="1" ht="12.75" x14ac:dyDescent="0.2"/>
    <row r="4233" s="18" customFormat="1" ht="12.75" x14ac:dyDescent="0.2"/>
    <row r="4234" s="18" customFormat="1" ht="12.75" x14ac:dyDescent="0.2"/>
    <row r="4235" s="18" customFormat="1" ht="12.75" x14ac:dyDescent="0.2"/>
    <row r="4236" s="18" customFormat="1" ht="12.75" x14ac:dyDescent="0.2"/>
    <row r="4237" s="18" customFormat="1" ht="12.75" x14ac:dyDescent="0.2"/>
    <row r="4238" s="18" customFormat="1" ht="12.75" x14ac:dyDescent="0.2"/>
    <row r="4239" s="18" customFormat="1" ht="12.75" x14ac:dyDescent="0.2"/>
    <row r="4240" s="18" customFormat="1" ht="12.75" x14ac:dyDescent="0.2"/>
    <row r="4241" s="18" customFormat="1" ht="12.75" x14ac:dyDescent="0.2"/>
    <row r="4242" s="18" customFormat="1" ht="12.75" x14ac:dyDescent="0.2"/>
    <row r="4243" s="18" customFormat="1" ht="12.75" x14ac:dyDescent="0.2"/>
    <row r="4244" s="18" customFormat="1" ht="12.75" x14ac:dyDescent="0.2"/>
    <row r="4245" s="18" customFormat="1" ht="12.75" x14ac:dyDescent="0.2"/>
    <row r="4246" s="18" customFormat="1" ht="12.75" x14ac:dyDescent="0.2"/>
    <row r="4247" s="18" customFormat="1" ht="12.75" x14ac:dyDescent="0.2"/>
    <row r="4248" s="18" customFormat="1" ht="12.75" x14ac:dyDescent="0.2"/>
    <row r="4249" s="18" customFormat="1" ht="12.75" x14ac:dyDescent="0.2"/>
    <row r="4250" s="18" customFormat="1" ht="12.75" x14ac:dyDescent="0.2"/>
    <row r="4251" s="18" customFormat="1" ht="12.75" x14ac:dyDescent="0.2"/>
    <row r="4252" s="18" customFormat="1" ht="12.75" x14ac:dyDescent="0.2"/>
    <row r="4253" s="18" customFormat="1" ht="12.75" x14ac:dyDescent="0.2"/>
    <row r="4254" s="18" customFormat="1" ht="12.75" x14ac:dyDescent="0.2"/>
    <row r="4255" s="18" customFormat="1" ht="12.75" x14ac:dyDescent="0.2"/>
    <row r="4256" s="18" customFormat="1" ht="12.75" x14ac:dyDescent="0.2"/>
    <row r="4257" s="18" customFormat="1" ht="12.75" x14ac:dyDescent="0.2"/>
    <row r="4258" s="18" customFormat="1" ht="12.75" x14ac:dyDescent="0.2"/>
    <row r="4259" s="18" customFormat="1" ht="12.75" x14ac:dyDescent="0.2"/>
    <row r="4260" s="18" customFormat="1" ht="12.75" x14ac:dyDescent="0.2"/>
    <row r="4261" s="18" customFormat="1" ht="12.75" x14ac:dyDescent="0.2"/>
    <row r="4262" s="18" customFormat="1" ht="12.75" x14ac:dyDescent="0.2"/>
    <row r="4263" s="18" customFormat="1" ht="12.75" x14ac:dyDescent="0.2"/>
    <row r="4264" s="18" customFormat="1" ht="12.75" x14ac:dyDescent="0.2"/>
    <row r="4265" s="18" customFormat="1" ht="12.75" x14ac:dyDescent="0.2"/>
    <row r="4266" s="18" customFormat="1" ht="12.75" x14ac:dyDescent="0.2"/>
    <row r="4267" s="18" customFormat="1" ht="12.75" x14ac:dyDescent="0.2"/>
    <row r="4268" s="18" customFormat="1" ht="12.75" x14ac:dyDescent="0.2"/>
    <row r="4269" s="18" customFormat="1" ht="12.75" x14ac:dyDescent="0.2"/>
    <row r="4270" s="18" customFormat="1" ht="12.75" x14ac:dyDescent="0.2"/>
    <row r="4271" s="18" customFormat="1" ht="12.75" x14ac:dyDescent="0.2"/>
    <row r="4272" s="18" customFormat="1" ht="12.75" x14ac:dyDescent="0.2"/>
    <row r="4273" s="18" customFormat="1" ht="12.75" x14ac:dyDescent="0.2"/>
    <row r="4274" s="18" customFormat="1" ht="12.75" x14ac:dyDescent="0.2"/>
    <row r="4275" s="18" customFormat="1" ht="12.75" x14ac:dyDescent="0.2"/>
    <row r="4276" s="18" customFormat="1" ht="12.75" x14ac:dyDescent="0.2"/>
    <row r="4277" s="18" customFormat="1" ht="12.75" x14ac:dyDescent="0.2"/>
    <row r="4278" s="18" customFormat="1" ht="12.75" x14ac:dyDescent="0.2"/>
    <row r="4279" s="18" customFormat="1" ht="12.75" x14ac:dyDescent="0.2"/>
    <row r="4280" s="18" customFormat="1" ht="12.75" x14ac:dyDescent="0.2"/>
    <row r="4281" s="18" customFormat="1" ht="12.75" x14ac:dyDescent="0.2"/>
    <row r="4282" s="18" customFormat="1" ht="12.75" x14ac:dyDescent="0.2"/>
    <row r="4283" s="18" customFormat="1" ht="12.75" x14ac:dyDescent="0.2"/>
    <row r="4284" s="18" customFormat="1" ht="12.75" x14ac:dyDescent="0.2"/>
    <row r="4285" s="18" customFormat="1" ht="12.75" x14ac:dyDescent="0.2"/>
    <row r="4286" s="18" customFormat="1" ht="12.75" x14ac:dyDescent="0.2"/>
    <row r="4287" s="18" customFormat="1" ht="12.75" x14ac:dyDescent="0.2"/>
    <row r="4288" s="18" customFormat="1" ht="12.75" x14ac:dyDescent="0.2"/>
    <row r="4289" s="18" customFormat="1" ht="12.75" x14ac:dyDescent="0.2"/>
    <row r="4290" s="18" customFormat="1" ht="12.75" x14ac:dyDescent="0.2"/>
    <row r="4291" s="18" customFormat="1" ht="12.75" x14ac:dyDescent="0.2"/>
    <row r="4292" s="18" customFormat="1" ht="12.75" x14ac:dyDescent="0.2"/>
    <row r="4293" s="18" customFormat="1" ht="12.75" x14ac:dyDescent="0.2"/>
    <row r="4294" s="18" customFormat="1" ht="12.75" x14ac:dyDescent="0.2"/>
    <row r="4295" s="18" customFormat="1" ht="12.75" x14ac:dyDescent="0.2"/>
    <row r="4296" s="18" customFormat="1" ht="12.75" x14ac:dyDescent="0.2"/>
    <row r="4297" s="18" customFormat="1" ht="12.75" x14ac:dyDescent="0.2"/>
    <row r="4298" s="18" customFormat="1" ht="12.75" x14ac:dyDescent="0.2"/>
    <row r="4299" s="18" customFormat="1" ht="12.75" x14ac:dyDescent="0.2"/>
    <row r="4300" s="18" customFormat="1" ht="12.75" x14ac:dyDescent="0.2"/>
    <row r="4301" s="18" customFormat="1" ht="12.75" x14ac:dyDescent="0.2"/>
    <row r="4302" s="18" customFormat="1" ht="12.75" x14ac:dyDescent="0.2"/>
    <row r="4303" s="18" customFormat="1" ht="12.75" x14ac:dyDescent="0.2"/>
    <row r="4304" s="18" customFormat="1" ht="12.75" x14ac:dyDescent="0.2"/>
    <row r="4305" s="18" customFormat="1" ht="12.75" x14ac:dyDescent="0.2"/>
    <row r="4306" s="18" customFormat="1" ht="12.75" x14ac:dyDescent="0.2"/>
    <row r="4307" s="18" customFormat="1" ht="12.75" x14ac:dyDescent="0.2"/>
    <row r="4308" s="18" customFormat="1" ht="12.75" x14ac:dyDescent="0.2"/>
    <row r="4309" s="18" customFormat="1" ht="12.75" x14ac:dyDescent="0.2"/>
    <row r="4310" s="18" customFormat="1" ht="12.75" x14ac:dyDescent="0.2"/>
    <row r="4311" s="18" customFormat="1" ht="12.75" x14ac:dyDescent="0.2"/>
    <row r="4312" s="18" customFormat="1" ht="12.75" x14ac:dyDescent="0.2"/>
    <row r="4313" s="18" customFormat="1" ht="12.75" x14ac:dyDescent="0.2"/>
    <row r="4314" s="18" customFormat="1" ht="12.75" x14ac:dyDescent="0.2"/>
    <row r="4315" s="18" customFormat="1" ht="12.75" x14ac:dyDescent="0.2"/>
    <row r="4316" s="18" customFormat="1" ht="12.75" x14ac:dyDescent="0.2"/>
    <row r="4317" s="18" customFormat="1" ht="12.75" x14ac:dyDescent="0.2"/>
    <row r="4318" s="18" customFormat="1" ht="12.75" x14ac:dyDescent="0.2"/>
    <row r="4319" s="18" customFormat="1" ht="12.75" x14ac:dyDescent="0.2"/>
    <row r="4320" s="18" customFormat="1" ht="12.75" x14ac:dyDescent="0.2"/>
    <row r="4321" s="18" customFormat="1" ht="12.75" x14ac:dyDescent="0.2"/>
    <row r="4322" s="18" customFormat="1" ht="12.75" x14ac:dyDescent="0.2"/>
    <row r="4323" s="18" customFormat="1" ht="12.75" x14ac:dyDescent="0.2"/>
    <row r="4324" s="18" customFormat="1" ht="12.75" x14ac:dyDescent="0.2"/>
    <row r="4325" s="18" customFormat="1" ht="12.75" x14ac:dyDescent="0.2"/>
    <row r="4326" s="18" customFormat="1" ht="12.75" x14ac:dyDescent="0.2"/>
    <row r="4327" s="18" customFormat="1" ht="12.75" x14ac:dyDescent="0.2"/>
    <row r="4328" s="18" customFormat="1" ht="12.75" x14ac:dyDescent="0.2"/>
    <row r="4329" s="18" customFormat="1" ht="12.75" x14ac:dyDescent="0.2"/>
    <row r="4330" s="18" customFormat="1" ht="12.75" x14ac:dyDescent="0.2"/>
    <row r="4331" s="18" customFormat="1" ht="12.75" x14ac:dyDescent="0.2"/>
    <row r="4332" s="18" customFormat="1" ht="12.75" x14ac:dyDescent="0.2"/>
    <row r="4333" s="18" customFormat="1" ht="12.75" x14ac:dyDescent="0.2"/>
    <row r="4334" s="18" customFormat="1" ht="12.75" x14ac:dyDescent="0.2"/>
    <row r="4335" s="18" customFormat="1" ht="12.75" x14ac:dyDescent="0.2"/>
    <row r="4336" s="18" customFormat="1" ht="12.75" x14ac:dyDescent="0.2"/>
    <row r="4337" s="18" customFormat="1" ht="12.75" x14ac:dyDescent="0.2"/>
    <row r="4338" s="18" customFormat="1" ht="12.75" x14ac:dyDescent="0.2"/>
    <row r="4339" s="18" customFormat="1" ht="12.75" x14ac:dyDescent="0.2"/>
    <row r="4340" s="18" customFormat="1" ht="12.75" x14ac:dyDescent="0.2"/>
    <row r="4341" s="18" customFormat="1" ht="12.75" x14ac:dyDescent="0.2"/>
    <row r="4342" s="18" customFormat="1" ht="12.75" x14ac:dyDescent="0.2"/>
    <row r="4343" s="18" customFormat="1" ht="12.75" x14ac:dyDescent="0.2"/>
    <row r="4344" s="18" customFormat="1" ht="12.75" x14ac:dyDescent="0.2"/>
    <row r="4345" s="18" customFormat="1" ht="12.75" x14ac:dyDescent="0.2"/>
    <row r="4346" s="18" customFormat="1" ht="12.75" x14ac:dyDescent="0.2"/>
    <row r="4347" s="18" customFormat="1" ht="12.75" x14ac:dyDescent="0.2"/>
    <row r="4348" s="18" customFormat="1" ht="12.75" x14ac:dyDescent="0.2"/>
    <row r="4349" s="18" customFormat="1" ht="12.75" x14ac:dyDescent="0.2"/>
    <row r="4350" s="18" customFormat="1" ht="12.75" x14ac:dyDescent="0.2"/>
    <row r="4351" s="18" customFormat="1" ht="12.75" x14ac:dyDescent="0.2"/>
    <row r="4352" s="18" customFormat="1" ht="12.75" x14ac:dyDescent="0.2"/>
    <row r="4353" s="18" customFormat="1" ht="12.75" x14ac:dyDescent="0.2"/>
    <row r="4354" s="18" customFormat="1" ht="12.75" x14ac:dyDescent="0.2"/>
    <row r="4355" s="18" customFormat="1" ht="12.75" x14ac:dyDescent="0.2"/>
    <row r="4356" s="18" customFormat="1" ht="12.75" x14ac:dyDescent="0.2"/>
    <row r="4357" s="18" customFormat="1" ht="12.75" x14ac:dyDescent="0.2"/>
    <row r="4358" s="18" customFormat="1" ht="12.75" x14ac:dyDescent="0.2"/>
    <row r="4359" s="18" customFormat="1" ht="12.75" x14ac:dyDescent="0.2"/>
    <row r="4360" s="18" customFormat="1" ht="12.75" x14ac:dyDescent="0.2"/>
    <row r="4361" s="18" customFormat="1" ht="12.75" x14ac:dyDescent="0.2"/>
    <row r="4362" s="18" customFormat="1" ht="12.75" x14ac:dyDescent="0.2"/>
    <row r="4363" s="18" customFormat="1" ht="12.75" x14ac:dyDescent="0.2"/>
    <row r="4364" s="18" customFormat="1" ht="12.75" x14ac:dyDescent="0.2"/>
    <row r="4365" s="18" customFormat="1" ht="12.75" x14ac:dyDescent="0.2"/>
    <row r="4366" s="18" customFormat="1" ht="12.75" x14ac:dyDescent="0.2"/>
    <row r="4367" s="18" customFormat="1" ht="12.75" x14ac:dyDescent="0.2"/>
    <row r="4368" s="18" customFormat="1" ht="12.75" x14ac:dyDescent="0.2"/>
    <row r="4369" s="18" customFormat="1" ht="12.75" x14ac:dyDescent="0.2"/>
    <row r="4370" s="18" customFormat="1" ht="12.75" x14ac:dyDescent="0.2"/>
    <row r="4371" s="18" customFormat="1" ht="12.75" x14ac:dyDescent="0.2"/>
    <row r="4372" s="18" customFormat="1" ht="12.75" x14ac:dyDescent="0.2"/>
    <row r="4373" s="18" customFormat="1" ht="12.75" x14ac:dyDescent="0.2"/>
    <row r="4374" s="18" customFormat="1" ht="12.75" x14ac:dyDescent="0.2"/>
    <row r="4375" s="18" customFormat="1" ht="12.75" x14ac:dyDescent="0.2"/>
    <row r="4376" s="18" customFormat="1" ht="12.75" x14ac:dyDescent="0.2"/>
    <row r="4377" s="18" customFormat="1" ht="12.75" x14ac:dyDescent="0.2"/>
    <row r="4378" s="18" customFormat="1" ht="12.75" x14ac:dyDescent="0.2"/>
    <row r="4379" s="18" customFormat="1" ht="12.75" x14ac:dyDescent="0.2"/>
    <row r="4380" s="18" customFormat="1" ht="12.75" x14ac:dyDescent="0.2"/>
    <row r="4381" s="18" customFormat="1" ht="12.75" x14ac:dyDescent="0.2"/>
    <row r="4382" s="18" customFormat="1" ht="12.75" x14ac:dyDescent="0.2"/>
    <row r="4383" s="18" customFormat="1" ht="12.75" x14ac:dyDescent="0.2"/>
    <row r="4384" s="18" customFormat="1" ht="12.75" x14ac:dyDescent="0.2"/>
    <row r="4385" s="18" customFormat="1" ht="12.75" x14ac:dyDescent="0.2"/>
    <row r="4386" s="18" customFormat="1" ht="12.75" x14ac:dyDescent="0.2"/>
    <row r="4387" s="18" customFormat="1" ht="12.75" x14ac:dyDescent="0.2"/>
    <row r="4388" s="18" customFormat="1" ht="12.75" x14ac:dyDescent="0.2"/>
    <row r="4389" s="18" customFormat="1" ht="12.75" x14ac:dyDescent="0.2"/>
    <row r="4390" s="18" customFormat="1" ht="12.75" x14ac:dyDescent="0.2"/>
    <row r="4391" s="18" customFormat="1" ht="12.75" x14ac:dyDescent="0.2"/>
    <row r="4392" s="18" customFormat="1" ht="12.75" x14ac:dyDescent="0.2"/>
    <row r="4393" s="18" customFormat="1" ht="12.75" x14ac:dyDescent="0.2"/>
    <row r="4394" s="18" customFormat="1" ht="12.75" x14ac:dyDescent="0.2"/>
    <row r="4395" s="18" customFormat="1" ht="12.75" x14ac:dyDescent="0.2"/>
    <row r="4396" s="18" customFormat="1" ht="12.75" x14ac:dyDescent="0.2"/>
    <row r="4397" s="18" customFormat="1" ht="12.75" x14ac:dyDescent="0.2"/>
    <row r="4398" s="18" customFormat="1" ht="12.75" x14ac:dyDescent="0.2"/>
    <row r="4399" s="18" customFormat="1" ht="12.75" x14ac:dyDescent="0.2"/>
    <row r="4400" s="18" customFormat="1" ht="12.75" x14ac:dyDescent="0.2"/>
    <row r="4401" s="18" customFormat="1" ht="12.75" x14ac:dyDescent="0.2"/>
    <row r="4402" s="18" customFormat="1" ht="12.75" x14ac:dyDescent="0.2"/>
    <row r="4403" s="18" customFormat="1" ht="12.75" x14ac:dyDescent="0.2"/>
    <row r="4404" s="18" customFormat="1" ht="12.75" x14ac:dyDescent="0.2"/>
    <row r="4405" s="18" customFormat="1" ht="12.75" x14ac:dyDescent="0.2"/>
    <row r="4406" s="18" customFormat="1" ht="12.75" x14ac:dyDescent="0.2"/>
    <row r="4407" s="18" customFormat="1" ht="12.75" x14ac:dyDescent="0.2"/>
    <row r="4408" s="18" customFormat="1" ht="12.75" x14ac:dyDescent="0.2"/>
    <row r="4409" s="18" customFormat="1" ht="12.75" x14ac:dyDescent="0.2"/>
    <row r="4410" s="18" customFormat="1" ht="12.75" x14ac:dyDescent="0.2"/>
    <row r="4411" s="18" customFormat="1" ht="12.75" x14ac:dyDescent="0.2"/>
    <row r="4412" s="18" customFormat="1" ht="12.75" x14ac:dyDescent="0.2"/>
    <row r="4413" s="18" customFormat="1" ht="12.75" x14ac:dyDescent="0.2"/>
    <row r="4414" s="18" customFormat="1" ht="12.75" x14ac:dyDescent="0.2"/>
    <row r="4415" s="18" customFormat="1" ht="12.75" x14ac:dyDescent="0.2"/>
    <row r="4416" s="18" customFormat="1" ht="12.75" x14ac:dyDescent="0.2"/>
    <row r="4417" s="18" customFormat="1" ht="12.75" x14ac:dyDescent="0.2"/>
    <row r="4418" s="18" customFormat="1" ht="12.75" x14ac:dyDescent="0.2"/>
    <row r="4419" s="18" customFormat="1" ht="12.75" x14ac:dyDescent="0.2"/>
    <row r="4420" s="18" customFormat="1" ht="12.75" x14ac:dyDescent="0.2"/>
    <row r="4421" s="18" customFormat="1" ht="12.75" x14ac:dyDescent="0.2"/>
    <row r="4422" s="18" customFormat="1" ht="12.75" x14ac:dyDescent="0.2"/>
    <row r="4423" s="18" customFormat="1" ht="12.75" x14ac:dyDescent="0.2"/>
    <row r="4424" s="18" customFormat="1" ht="12.75" x14ac:dyDescent="0.2"/>
    <row r="4425" s="18" customFormat="1" ht="12.75" x14ac:dyDescent="0.2"/>
    <row r="4426" s="18" customFormat="1" ht="12.75" x14ac:dyDescent="0.2"/>
    <row r="4427" s="18" customFormat="1" ht="12.75" x14ac:dyDescent="0.2"/>
    <row r="4428" s="18" customFormat="1" ht="12.75" x14ac:dyDescent="0.2"/>
    <row r="4429" s="18" customFormat="1" ht="12.75" x14ac:dyDescent="0.2"/>
    <row r="4430" s="18" customFormat="1" ht="12.75" x14ac:dyDescent="0.2"/>
    <row r="4431" s="18" customFormat="1" ht="12.75" x14ac:dyDescent="0.2"/>
    <row r="4432" s="18" customFormat="1" ht="12.75" x14ac:dyDescent="0.2"/>
    <row r="4433" s="18" customFormat="1" ht="12.75" x14ac:dyDescent="0.2"/>
    <row r="4434" s="18" customFormat="1" ht="12.75" x14ac:dyDescent="0.2"/>
    <row r="4435" s="18" customFormat="1" ht="12.75" x14ac:dyDescent="0.2"/>
    <row r="4436" s="18" customFormat="1" ht="12.75" x14ac:dyDescent="0.2"/>
    <row r="4437" s="18" customFormat="1" ht="12.75" x14ac:dyDescent="0.2"/>
    <row r="4438" s="18" customFormat="1" ht="12.75" x14ac:dyDescent="0.2"/>
    <row r="4439" s="18" customFormat="1" ht="12.75" x14ac:dyDescent="0.2"/>
    <row r="4440" s="18" customFormat="1" ht="12.75" x14ac:dyDescent="0.2"/>
    <row r="4441" s="18" customFormat="1" ht="12.75" x14ac:dyDescent="0.2"/>
    <row r="4442" s="18" customFormat="1" ht="12.75" x14ac:dyDescent="0.2"/>
    <row r="4443" s="18" customFormat="1" ht="12.75" x14ac:dyDescent="0.2"/>
    <row r="4444" s="18" customFormat="1" ht="12.75" x14ac:dyDescent="0.2"/>
    <row r="4445" s="18" customFormat="1" ht="12.75" x14ac:dyDescent="0.2"/>
    <row r="4446" s="18" customFormat="1" ht="12.75" x14ac:dyDescent="0.2"/>
    <row r="4447" s="18" customFormat="1" ht="12.75" x14ac:dyDescent="0.2"/>
    <row r="4448" s="18" customFormat="1" ht="12.75" x14ac:dyDescent="0.2"/>
    <row r="4449" s="18" customFormat="1" ht="12.75" x14ac:dyDescent="0.2"/>
    <row r="4450" s="18" customFormat="1" ht="12.75" x14ac:dyDescent="0.2"/>
    <row r="4451" s="18" customFormat="1" ht="12.75" x14ac:dyDescent="0.2"/>
    <row r="4452" s="18" customFormat="1" ht="12.75" x14ac:dyDescent="0.2"/>
    <row r="4453" s="18" customFormat="1" ht="12.75" x14ac:dyDescent="0.2"/>
    <row r="4454" s="18" customFormat="1" ht="12.75" x14ac:dyDescent="0.2"/>
    <row r="4455" s="18" customFormat="1" ht="12.75" x14ac:dyDescent="0.2"/>
    <row r="4456" s="18" customFormat="1" ht="12.75" x14ac:dyDescent="0.2"/>
    <row r="4457" s="18" customFormat="1" ht="12.75" x14ac:dyDescent="0.2"/>
    <row r="4458" s="18" customFormat="1" ht="12.75" x14ac:dyDescent="0.2"/>
    <row r="4459" s="18" customFormat="1" ht="12.75" x14ac:dyDescent="0.2"/>
    <row r="4460" s="18" customFormat="1" ht="12.75" x14ac:dyDescent="0.2"/>
    <row r="4461" s="18" customFormat="1" ht="12.75" x14ac:dyDescent="0.2"/>
    <row r="4462" s="18" customFormat="1" ht="12.75" x14ac:dyDescent="0.2"/>
    <row r="4463" s="18" customFormat="1" ht="12.75" x14ac:dyDescent="0.2"/>
    <row r="4464" s="18" customFormat="1" ht="12.75" x14ac:dyDescent="0.2"/>
    <row r="4465" s="18" customFormat="1" ht="12.75" x14ac:dyDescent="0.2"/>
    <row r="4466" s="18" customFormat="1" ht="12.75" x14ac:dyDescent="0.2"/>
    <row r="4467" s="18" customFormat="1" ht="12.75" x14ac:dyDescent="0.2"/>
    <row r="4468" s="18" customFormat="1" ht="12.75" x14ac:dyDescent="0.2"/>
    <row r="4469" s="18" customFormat="1" ht="12.75" x14ac:dyDescent="0.2"/>
    <row r="4470" s="18" customFormat="1" ht="12.75" x14ac:dyDescent="0.2"/>
    <row r="4471" s="18" customFormat="1" ht="12.75" x14ac:dyDescent="0.2"/>
    <row r="4472" s="18" customFormat="1" ht="12.75" x14ac:dyDescent="0.2"/>
    <row r="4473" s="18" customFormat="1" ht="12.75" x14ac:dyDescent="0.2"/>
    <row r="4474" s="18" customFormat="1" ht="12.75" x14ac:dyDescent="0.2"/>
    <row r="4475" s="18" customFormat="1" ht="12.75" x14ac:dyDescent="0.2"/>
    <row r="4476" s="18" customFormat="1" ht="12.75" x14ac:dyDescent="0.2"/>
    <row r="4477" s="18" customFormat="1" ht="12.75" x14ac:dyDescent="0.2"/>
    <row r="4478" s="18" customFormat="1" ht="12.75" x14ac:dyDescent="0.2"/>
    <row r="4479" s="18" customFormat="1" ht="12.75" x14ac:dyDescent="0.2"/>
    <row r="4480" s="18" customFormat="1" ht="12.75" x14ac:dyDescent="0.2"/>
    <row r="4481" s="18" customFormat="1" ht="12.75" x14ac:dyDescent="0.2"/>
    <row r="4482" s="18" customFormat="1" ht="12.75" x14ac:dyDescent="0.2"/>
    <row r="4483" s="18" customFormat="1" ht="12.75" x14ac:dyDescent="0.2"/>
    <row r="4484" s="18" customFormat="1" ht="12.75" x14ac:dyDescent="0.2"/>
    <row r="4485" s="18" customFormat="1" ht="12.75" x14ac:dyDescent="0.2"/>
    <row r="4486" s="18" customFormat="1" ht="12.75" x14ac:dyDescent="0.2"/>
    <row r="4487" s="18" customFormat="1" ht="12.75" x14ac:dyDescent="0.2"/>
    <row r="4488" s="18" customFormat="1" ht="12.75" x14ac:dyDescent="0.2"/>
    <row r="4489" s="18" customFormat="1" ht="12.75" x14ac:dyDescent="0.2"/>
    <row r="4490" s="18" customFormat="1" ht="12.75" x14ac:dyDescent="0.2"/>
    <row r="4491" s="18" customFormat="1" ht="12.75" x14ac:dyDescent="0.2"/>
    <row r="4492" s="18" customFormat="1" ht="12.75" x14ac:dyDescent="0.2"/>
    <row r="4493" s="18" customFormat="1" ht="12.75" x14ac:dyDescent="0.2"/>
    <row r="4494" s="18" customFormat="1" ht="12.75" x14ac:dyDescent="0.2"/>
    <row r="4495" s="18" customFormat="1" ht="12.75" x14ac:dyDescent="0.2"/>
    <row r="4496" s="18" customFormat="1" ht="12.75" x14ac:dyDescent="0.2"/>
    <row r="4497" s="18" customFormat="1" ht="12.75" x14ac:dyDescent="0.2"/>
    <row r="4498" s="18" customFormat="1" ht="12.75" x14ac:dyDescent="0.2"/>
    <row r="4499" s="18" customFormat="1" ht="12.75" x14ac:dyDescent="0.2"/>
    <row r="4500" s="18" customFormat="1" ht="12.75" x14ac:dyDescent="0.2"/>
    <row r="4501" s="18" customFormat="1" ht="12.75" x14ac:dyDescent="0.2"/>
    <row r="4502" s="18" customFormat="1" ht="12.75" x14ac:dyDescent="0.2"/>
    <row r="4503" s="18" customFormat="1" ht="12.75" x14ac:dyDescent="0.2"/>
    <row r="4504" s="18" customFormat="1" ht="12.75" x14ac:dyDescent="0.2"/>
    <row r="4505" s="18" customFormat="1" ht="12.75" x14ac:dyDescent="0.2"/>
    <row r="4506" s="18" customFormat="1" ht="12.75" x14ac:dyDescent="0.2"/>
    <row r="4507" s="18" customFormat="1" ht="12.75" x14ac:dyDescent="0.2"/>
    <row r="4508" s="18" customFormat="1" ht="12.75" x14ac:dyDescent="0.2"/>
    <row r="4509" s="18" customFormat="1" ht="12.75" x14ac:dyDescent="0.2"/>
    <row r="4510" s="18" customFormat="1" ht="12.75" x14ac:dyDescent="0.2"/>
    <row r="4511" s="18" customFormat="1" ht="12.75" x14ac:dyDescent="0.2"/>
    <row r="4512" s="18" customFormat="1" ht="12.75" x14ac:dyDescent="0.2"/>
    <row r="4513" s="18" customFormat="1" ht="12.75" x14ac:dyDescent="0.2"/>
    <row r="4514" s="18" customFormat="1" ht="12.75" x14ac:dyDescent="0.2"/>
    <row r="4515" s="18" customFormat="1" ht="12.75" x14ac:dyDescent="0.2"/>
    <row r="4516" s="18" customFormat="1" ht="12.75" x14ac:dyDescent="0.2"/>
    <row r="4517" s="18" customFormat="1" ht="12.75" x14ac:dyDescent="0.2"/>
    <row r="4518" s="18" customFormat="1" ht="12.75" x14ac:dyDescent="0.2"/>
    <row r="4519" s="18" customFormat="1" ht="12.75" x14ac:dyDescent="0.2"/>
    <row r="4520" s="18" customFormat="1" ht="12.75" x14ac:dyDescent="0.2"/>
    <row r="4521" s="18" customFormat="1" ht="12.75" x14ac:dyDescent="0.2"/>
    <row r="4522" s="18" customFormat="1" ht="12.75" x14ac:dyDescent="0.2"/>
    <row r="4523" s="18" customFormat="1" ht="12.75" x14ac:dyDescent="0.2"/>
    <row r="4524" s="18" customFormat="1" ht="12.75" x14ac:dyDescent="0.2"/>
    <row r="4525" s="18" customFormat="1" ht="12.75" x14ac:dyDescent="0.2"/>
    <row r="4526" s="18" customFormat="1" ht="12.75" x14ac:dyDescent="0.2"/>
    <row r="4527" s="18" customFormat="1" ht="12.75" x14ac:dyDescent="0.2"/>
    <row r="4528" s="18" customFormat="1" ht="12.75" x14ac:dyDescent="0.2"/>
    <row r="4529" s="18" customFormat="1" ht="12.75" x14ac:dyDescent="0.2"/>
    <row r="4530" s="18" customFormat="1" ht="12.75" x14ac:dyDescent="0.2"/>
    <row r="4531" s="18" customFormat="1" ht="12.75" x14ac:dyDescent="0.2"/>
    <row r="4532" s="18" customFormat="1" ht="12.75" x14ac:dyDescent="0.2"/>
    <row r="4533" s="18" customFormat="1" ht="12.75" x14ac:dyDescent="0.2"/>
    <row r="4534" s="18" customFormat="1" ht="12.75" x14ac:dyDescent="0.2"/>
    <row r="4535" s="18" customFormat="1" ht="12.75" x14ac:dyDescent="0.2"/>
    <row r="4536" s="18" customFormat="1" ht="12.75" x14ac:dyDescent="0.2"/>
    <row r="4537" s="18" customFormat="1" ht="12.75" x14ac:dyDescent="0.2"/>
    <row r="4538" s="18" customFormat="1" ht="12.75" x14ac:dyDescent="0.2"/>
    <row r="4539" s="18" customFormat="1" ht="12.75" x14ac:dyDescent="0.2"/>
    <row r="4540" s="18" customFormat="1" ht="12.75" x14ac:dyDescent="0.2"/>
    <row r="4541" s="18" customFormat="1" ht="12.75" x14ac:dyDescent="0.2"/>
    <row r="4542" s="18" customFormat="1" ht="12.75" x14ac:dyDescent="0.2"/>
    <row r="4543" s="18" customFormat="1" ht="12.75" x14ac:dyDescent="0.2"/>
    <row r="4544" s="18" customFormat="1" ht="12.75" x14ac:dyDescent="0.2"/>
    <row r="4545" s="18" customFormat="1" ht="12.75" x14ac:dyDescent="0.2"/>
    <row r="4546" s="18" customFormat="1" ht="12.75" x14ac:dyDescent="0.2"/>
    <row r="4547" s="18" customFormat="1" ht="12.75" x14ac:dyDescent="0.2"/>
    <row r="4548" s="18" customFormat="1" ht="12.75" x14ac:dyDescent="0.2"/>
    <row r="4549" s="18" customFormat="1" ht="12.75" x14ac:dyDescent="0.2"/>
    <row r="4550" s="18" customFormat="1" ht="12.75" x14ac:dyDescent="0.2"/>
    <row r="4551" s="18" customFormat="1" ht="12.75" x14ac:dyDescent="0.2"/>
    <row r="4552" s="18" customFormat="1" ht="12.75" x14ac:dyDescent="0.2"/>
    <row r="4553" s="18" customFormat="1" ht="12.75" x14ac:dyDescent="0.2"/>
    <row r="4554" s="18" customFormat="1" ht="12.75" x14ac:dyDescent="0.2"/>
    <row r="4555" s="18" customFormat="1" ht="12.75" x14ac:dyDescent="0.2"/>
    <row r="4556" s="18" customFormat="1" ht="12.75" x14ac:dyDescent="0.2"/>
    <row r="4557" s="18" customFormat="1" ht="12.75" x14ac:dyDescent="0.2"/>
    <row r="4558" s="18" customFormat="1" ht="12.75" x14ac:dyDescent="0.2"/>
    <row r="4559" s="18" customFormat="1" ht="12.75" x14ac:dyDescent="0.2"/>
    <row r="4560" s="18" customFormat="1" ht="12.75" x14ac:dyDescent="0.2"/>
    <row r="4561" s="18" customFormat="1" ht="12.75" x14ac:dyDescent="0.2"/>
    <row r="4562" s="18" customFormat="1" ht="12.75" x14ac:dyDescent="0.2"/>
    <row r="4563" s="18" customFormat="1" ht="12.75" x14ac:dyDescent="0.2"/>
    <row r="4564" s="18" customFormat="1" ht="12.75" x14ac:dyDescent="0.2"/>
    <row r="4565" s="18" customFormat="1" ht="12.75" x14ac:dyDescent="0.2"/>
    <row r="4566" s="18" customFormat="1" ht="12.75" x14ac:dyDescent="0.2"/>
    <row r="4567" s="18" customFormat="1" ht="12.75" x14ac:dyDescent="0.2"/>
    <row r="4568" s="18" customFormat="1" ht="12.75" x14ac:dyDescent="0.2"/>
    <row r="4569" s="18" customFormat="1" ht="12.75" x14ac:dyDescent="0.2"/>
    <row r="4570" s="18" customFormat="1" ht="12.75" x14ac:dyDescent="0.2"/>
    <row r="4571" s="18" customFormat="1" ht="12.75" x14ac:dyDescent="0.2"/>
    <row r="4572" s="18" customFormat="1" ht="12.75" x14ac:dyDescent="0.2"/>
    <row r="4573" s="18" customFormat="1" ht="12.75" x14ac:dyDescent="0.2"/>
    <row r="4574" s="18" customFormat="1" ht="12.75" x14ac:dyDescent="0.2"/>
    <row r="4575" s="18" customFormat="1" ht="12.75" x14ac:dyDescent="0.2"/>
    <row r="4576" s="18" customFormat="1" ht="12.75" x14ac:dyDescent="0.2"/>
    <row r="4577" s="18" customFormat="1" ht="12.75" x14ac:dyDescent="0.2"/>
    <row r="4578" s="18" customFormat="1" ht="12.75" x14ac:dyDescent="0.2"/>
    <row r="4579" s="18" customFormat="1" ht="12.75" x14ac:dyDescent="0.2"/>
    <row r="4580" s="18" customFormat="1" ht="12.75" x14ac:dyDescent="0.2"/>
    <row r="4581" s="18" customFormat="1" ht="12.75" x14ac:dyDescent="0.2"/>
    <row r="4582" s="18" customFormat="1" ht="12.75" x14ac:dyDescent="0.2"/>
    <row r="4583" s="18" customFormat="1" ht="12.75" x14ac:dyDescent="0.2"/>
    <row r="4584" s="18" customFormat="1" ht="12.75" x14ac:dyDescent="0.2"/>
    <row r="4585" s="18" customFormat="1" ht="12.75" x14ac:dyDescent="0.2"/>
    <row r="4586" s="18" customFormat="1" ht="12.75" x14ac:dyDescent="0.2"/>
    <row r="4587" s="18" customFormat="1" ht="12.75" x14ac:dyDescent="0.2"/>
    <row r="4588" s="18" customFormat="1" ht="12.75" x14ac:dyDescent="0.2"/>
    <row r="4589" s="18" customFormat="1" ht="12.75" x14ac:dyDescent="0.2"/>
    <row r="4590" s="18" customFormat="1" ht="12.75" x14ac:dyDescent="0.2"/>
    <row r="4591" s="18" customFormat="1" ht="12.75" x14ac:dyDescent="0.2"/>
    <row r="4592" s="18" customFormat="1" ht="12.75" x14ac:dyDescent="0.2"/>
    <row r="4593" s="18" customFormat="1" ht="12.75" x14ac:dyDescent="0.2"/>
    <row r="4594" s="18" customFormat="1" ht="12.75" x14ac:dyDescent="0.2"/>
    <row r="4595" s="18" customFormat="1" ht="12.75" x14ac:dyDescent="0.2"/>
    <row r="4596" s="18" customFormat="1" ht="12.75" x14ac:dyDescent="0.2"/>
    <row r="4597" s="18" customFormat="1" ht="12.75" x14ac:dyDescent="0.2"/>
    <row r="4598" s="18" customFormat="1" ht="12.75" x14ac:dyDescent="0.2"/>
    <row r="4599" s="18" customFormat="1" ht="12.75" x14ac:dyDescent="0.2"/>
    <row r="4600" s="18" customFormat="1" ht="12.75" x14ac:dyDescent="0.2"/>
    <row r="4601" s="18" customFormat="1" ht="12.75" x14ac:dyDescent="0.2"/>
    <row r="4602" s="18" customFormat="1" ht="12.75" x14ac:dyDescent="0.2"/>
    <row r="4603" s="18" customFormat="1" ht="12.75" x14ac:dyDescent="0.2"/>
    <row r="4604" s="18" customFormat="1" ht="12.75" x14ac:dyDescent="0.2"/>
    <row r="4605" s="18" customFormat="1" ht="12.75" x14ac:dyDescent="0.2"/>
    <row r="4606" s="18" customFormat="1" ht="12.75" x14ac:dyDescent="0.2"/>
    <row r="4607" s="18" customFormat="1" ht="12.75" x14ac:dyDescent="0.2"/>
    <row r="4608" s="18" customFormat="1" ht="12.75" x14ac:dyDescent="0.2"/>
    <row r="4609" s="18" customFormat="1" ht="12.75" x14ac:dyDescent="0.2"/>
    <row r="4610" s="18" customFormat="1" ht="12.75" x14ac:dyDescent="0.2"/>
    <row r="4611" s="18" customFormat="1" ht="12.75" x14ac:dyDescent="0.2"/>
    <row r="4612" s="18" customFormat="1" ht="12.75" x14ac:dyDescent="0.2"/>
    <row r="4613" s="18" customFormat="1" ht="12.75" x14ac:dyDescent="0.2"/>
    <row r="4614" s="18" customFormat="1" ht="12.75" x14ac:dyDescent="0.2"/>
    <row r="4615" s="18" customFormat="1" ht="12.75" x14ac:dyDescent="0.2"/>
    <row r="4616" s="18" customFormat="1" ht="12.75" x14ac:dyDescent="0.2"/>
    <row r="4617" s="18" customFormat="1" ht="12.75" x14ac:dyDescent="0.2"/>
    <row r="4618" s="18" customFormat="1" ht="12.75" x14ac:dyDescent="0.2"/>
    <row r="4619" s="18" customFormat="1" ht="12.75" x14ac:dyDescent="0.2"/>
    <row r="4620" s="18" customFormat="1" ht="12.75" x14ac:dyDescent="0.2"/>
    <row r="4621" s="18" customFormat="1" ht="12.75" x14ac:dyDescent="0.2"/>
    <row r="4622" s="18" customFormat="1" ht="12.75" x14ac:dyDescent="0.2"/>
    <row r="4623" s="18" customFormat="1" ht="12.75" x14ac:dyDescent="0.2"/>
    <row r="4624" s="18" customFormat="1" ht="12.75" x14ac:dyDescent="0.2"/>
    <row r="4625" s="18" customFormat="1" ht="12.75" x14ac:dyDescent="0.2"/>
    <row r="4626" s="18" customFormat="1" ht="12.75" x14ac:dyDescent="0.2"/>
    <row r="4627" s="18" customFormat="1" ht="12.75" x14ac:dyDescent="0.2"/>
    <row r="4628" s="18" customFormat="1" ht="12.75" x14ac:dyDescent="0.2"/>
    <row r="4629" s="18" customFormat="1" ht="12.75" x14ac:dyDescent="0.2"/>
    <row r="4630" s="18" customFormat="1" ht="12.75" x14ac:dyDescent="0.2"/>
    <row r="4631" s="18" customFormat="1" ht="12.75" x14ac:dyDescent="0.2"/>
    <row r="4632" s="18" customFormat="1" ht="12.75" x14ac:dyDescent="0.2"/>
    <row r="4633" s="18" customFormat="1" ht="12.75" x14ac:dyDescent="0.2"/>
    <row r="4634" s="18" customFormat="1" ht="12.75" x14ac:dyDescent="0.2"/>
    <row r="4635" s="18" customFormat="1" ht="12.75" x14ac:dyDescent="0.2"/>
    <row r="4636" s="18" customFormat="1" ht="12.75" x14ac:dyDescent="0.2"/>
    <row r="4637" s="18" customFormat="1" ht="12.75" x14ac:dyDescent="0.2"/>
    <row r="4638" s="18" customFormat="1" ht="12.75" x14ac:dyDescent="0.2"/>
    <row r="4639" s="18" customFormat="1" ht="12.75" x14ac:dyDescent="0.2"/>
    <row r="4640" s="18" customFormat="1" ht="12.75" x14ac:dyDescent="0.2"/>
    <row r="4641" s="18" customFormat="1" ht="12.75" x14ac:dyDescent="0.2"/>
    <row r="4642" s="18" customFormat="1" ht="12.75" x14ac:dyDescent="0.2"/>
    <row r="4643" s="18" customFormat="1" ht="12.75" x14ac:dyDescent="0.2"/>
    <row r="4644" s="18" customFormat="1" ht="12.75" x14ac:dyDescent="0.2"/>
    <row r="4645" s="18" customFormat="1" ht="12.75" x14ac:dyDescent="0.2"/>
    <row r="4646" s="18" customFormat="1" ht="12.75" x14ac:dyDescent="0.2"/>
    <row r="4647" s="18" customFormat="1" ht="12.75" x14ac:dyDescent="0.2"/>
    <row r="4648" s="18" customFormat="1" ht="12.75" x14ac:dyDescent="0.2"/>
    <row r="4649" s="18" customFormat="1" ht="12.75" x14ac:dyDescent="0.2"/>
    <row r="4650" s="18" customFormat="1" ht="12.75" x14ac:dyDescent="0.2"/>
    <row r="4651" s="18" customFormat="1" ht="12.75" x14ac:dyDescent="0.2"/>
    <row r="4652" s="18" customFormat="1" ht="12.75" x14ac:dyDescent="0.2"/>
    <row r="4653" s="18" customFormat="1" ht="12.75" x14ac:dyDescent="0.2"/>
    <row r="4654" s="18" customFormat="1" ht="12.75" x14ac:dyDescent="0.2"/>
    <row r="4655" s="18" customFormat="1" ht="12.75" x14ac:dyDescent="0.2"/>
    <row r="4656" s="18" customFormat="1" ht="12.75" x14ac:dyDescent="0.2"/>
    <row r="4657" s="18" customFormat="1" ht="12.75" x14ac:dyDescent="0.2"/>
    <row r="4658" s="18" customFormat="1" ht="12.75" x14ac:dyDescent="0.2"/>
    <row r="4659" s="18" customFormat="1" ht="12.75" x14ac:dyDescent="0.2"/>
    <row r="4660" s="18" customFormat="1" ht="12.75" x14ac:dyDescent="0.2"/>
    <row r="4661" s="18" customFormat="1" ht="12.75" x14ac:dyDescent="0.2"/>
    <row r="4662" s="18" customFormat="1" ht="12.75" x14ac:dyDescent="0.2"/>
    <row r="4663" s="18" customFormat="1" ht="12.75" x14ac:dyDescent="0.2"/>
    <row r="4664" s="18" customFormat="1" ht="12.75" x14ac:dyDescent="0.2"/>
    <row r="4665" s="18" customFormat="1" ht="12.75" x14ac:dyDescent="0.2"/>
    <row r="4666" s="18" customFormat="1" ht="12.75" x14ac:dyDescent="0.2"/>
    <row r="4667" s="18" customFormat="1" ht="12.75" x14ac:dyDescent="0.2"/>
    <row r="4668" s="18" customFormat="1" ht="12.75" x14ac:dyDescent="0.2"/>
    <row r="4669" s="18" customFormat="1" ht="12.75" x14ac:dyDescent="0.2"/>
    <row r="4670" s="18" customFormat="1" ht="12.75" x14ac:dyDescent="0.2"/>
    <row r="4671" s="18" customFormat="1" ht="12.75" x14ac:dyDescent="0.2"/>
    <row r="4672" s="18" customFormat="1" ht="12.75" x14ac:dyDescent="0.2"/>
    <row r="4673" s="18" customFormat="1" ht="12.75" x14ac:dyDescent="0.2"/>
    <row r="4674" s="18" customFormat="1" ht="12.75" x14ac:dyDescent="0.2"/>
    <row r="4675" s="18" customFormat="1" ht="12.75" x14ac:dyDescent="0.2"/>
    <row r="4676" s="18" customFormat="1" ht="12.75" x14ac:dyDescent="0.2"/>
    <row r="4677" s="18" customFormat="1" ht="12.75" x14ac:dyDescent="0.2"/>
    <row r="4678" s="18" customFormat="1" ht="12.75" x14ac:dyDescent="0.2"/>
    <row r="4679" s="18" customFormat="1" ht="12.75" x14ac:dyDescent="0.2"/>
    <row r="4680" s="18" customFormat="1" ht="12.75" x14ac:dyDescent="0.2"/>
    <row r="4681" s="18" customFormat="1" ht="12.75" x14ac:dyDescent="0.2"/>
    <row r="4682" s="18" customFormat="1" ht="12.75" x14ac:dyDescent="0.2"/>
    <row r="4683" s="18" customFormat="1" ht="12.75" x14ac:dyDescent="0.2"/>
    <row r="4684" s="18" customFormat="1" ht="12.75" x14ac:dyDescent="0.2"/>
    <row r="4685" s="18" customFormat="1" ht="12.75" x14ac:dyDescent="0.2"/>
    <row r="4686" s="18" customFormat="1" ht="12.75" x14ac:dyDescent="0.2"/>
    <row r="4687" s="18" customFormat="1" ht="12.75" x14ac:dyDescent="0.2"/>
    <row r="4688" s="18" customFormat="1" ht="12.75" x14ac:dyDescent="0.2"/>
    <row r="4689" s="18" customFormat="1" ht="12.75" x14ac:dyDescent="0.2"/>
    <row r="4690" s="18" customFormat="1" ht="12.75" x14ac:dyDescent="0.2"/>
    <row r="4691" s="18" customFormat="1" ht="12.75" x14ac:dyDescent="0.2"/>
    <row r="4692" s="18" customFormat="1" ht="12.75" x14ac:dyDescent="0.2"/>
    <row r="4693" s="18" customFormat="1" ht="12.75" x14ac:dyDescent="0.2"/>
    <row r="4694" s="18" customFormat="1" ht="12.75" x14ac:dyDescent="0.2"/>
    <row r="4695" s="18" customFormat="1" ht="12.75" x14ac:dyDescent="0.2"/>
    <row r="4696" s="18" customFormat="1" ht="12.75" x14ac:dyDescent="0.2"/>
    <row r="4697" s="18" customFormat="1" ht="12.75" x14ac:dyDescent="0.2"/>
    <row r="4698" s="18" customFormat="1" ht="12.75" x14ac:dyDescent="0.2"/>
    <row r="4699" s="18" customFormat="1" ht="12.75" x14ac:dyDescent="0.2"/>
    <row r="4700" s="18" customFormat="1" ht="12.75" x14ac:dyDescent="0.2"/>
    <row r="4701" s="18" customFormat="1" ht="12.75" x14ac:dyDescent="0.2"/>
    <row r="4702" s="18" customFormat="1" ht="12.75" x14ac:dyDescent="0.2"/>
    <row r="4703" s="18" customFormat="1" ht="12.75" x14ac:dyDescent="0.2"/>
    <row r="4704" s="18" customFormat="1" ht="12.75" x14ac:dyDescent="0.2"/>
    <row r="4705" s="18" customFormat="1" ht="12.75" x14ac:dyDescent="0.2"/>
    <row r="4706" s="18" customFormat="1" ht="12.75" x14ac:dyDescent="0.2"/>
    <row r="4707" s="18" customFormat="1" ht="12.75" x14ac:dyDescent="0.2"/>
    <row r="4708" s="18" customFormat="1" ht="12.75" x14ac:dyDescent="0.2"/>
    <row r="4709" s="18" customFormat="1" ht="12.75" x14ac:dyDescent="0.2"/>
    <row r="4710" s="18" customFormat="1" ht="12.75" x14ac:dyDescent="0.2"/>
    <row r="4711" s="18" customFormat="1" ht="12.75" x14ac:dyDescent="0.2"/>
    <row r="4712" s="18" customFormat="1" ht="12.75" x14ac:dyDescent="0.2"/>
    <row r="4713" s="18" customFormat="1" ht="12.75" x14ac:dyDescent="0.2"/>
    <row r="4714" s="18" customFormat="1" ht="12.75" x14ac:dyDescent="0.2"/>
    <row r="4715" s="18" customFormat="1" ht="12.75" x14ac:dyDescent="0.2"/>
    <row r="4716" s="18" customFormat="1" ht="12.75" x14ac:dyDescent="0.2"/>
    <row r="4717" s="18" customFormat="1" ht="12.75" x14ac:dyDescent="0.2"/>
    <row r="4718" s="18" customFormat="1" ht="12.75" x14ac:dyDescent="0.2"/>
    <row r="4719" s="18" customFormat="1" ht="12.75" x14ac:dyDescent="0.2"/>
    <row r="4720" s="18" customFormat="1" ht="12.75" x14ac:dyDescent="0.2"/>
    <row r="4721" s="18" customFormat="1" ht="12.75" x14ac:dyDescent="0.2"/>
    <row r="4722" s="18" customFormat="1" ht="12.75" x14ac:dyDescent="0.2"/>
    <row r="4723" s="18" customFormat="1" ht="12.75" x14ac:dyDescent="0.2"/>
    <row r="4724" s="18" customFormat="1" ht="12.75" x14ac:dyDescent="0.2"/>
    <row r="4725" s="18" customFormat="1" ht="12.75" x14ac:dyDescent="0.2"/>
    <row r="4726" s="18" customFormat="1" ht="12.75" x14ac:dyDescent="0.2"/>
    <row r="4727" s="18" customFormat="1" ht="12.75" x14ac:dyDescent="0.2"/>
    <row r="4728" s="18" customFormat="1" ht="12.75" x14ac:dyDescent="0.2"/>
    <row r="4729" s="18" customFormat="1" ht="12.75" x14ac:dyDescent="0.2"/>
    <row r="4730" s="18" customFormat="1" ht="12.75" x14ac:dyDescent="0.2"/>
    <row r="4731" s="18" customFormat="1" ht="12.75" x14ac:dyDescent="0.2"/>
    <row r="4732" s="18" customFormat="1" ht="12.75" x14ac:dyDescent="0.2"/>
    <row r="4733" s="18" customFormat="1" ht="12.75" x14ac:dyDescent="0.2"/>
    <row r="4734" s="18" customFormat="1" ht="12.75" x14ac:dyDescent="0.2"/>
    <row r="4735" s="18" customFormat="1" ht="12.75" x14ac:dyDescent="0.2"/>
    <row r="4736" s="18" customFormat="1" ht="12.75" x14ac:dyDescent="0.2"/>
    <row r="4737" s="18" customFormat="1" ht="12.75" x14ac:dyDescent="0.2"/>
    <row r="4738" s="18" customFormat="1" ht="12.75" x14ac:dyDescent="0.2"/>
    <row r="4739" s="18" customFormat="1" ht="12.75" x14ac:dyDescent="0.2"/>
    <row r="4740" s="18" customFormat="1" ht="12.75" x14ac:dyDescent="0.2"/>
    <row r="4741" s="18" customFormat="1" ht="12.75" x14ac:dyDescent="0.2"/>
    <row r="4742" s="18" customFormat="1" ht="12.75" x14ac:dyDescent="0.2"/>
    <row r="4743" s="18" customFormat="1" ht="12.75" x14ac:dyDescent="0.2"/>
    <row r="4744" s="18" customFormat="1" ht="12.75" x14ac:dyDescent="0.2"/>
    <row r="4745" s="18" customFormat="1" ht="12.75" x14ac:dyDescent="0.2"/>
    <row r="4746" s="18" customFormat="1" ht="12.75" x14ac:dyDescent="0.2"/>
    <row r="4747" s="18" customFormat="1" ht="12.75" x14ac:dyDescent="0.2"/>
    <row r="4748" s="18" customFormat="1" ht="12.75" x14ac:dyDescent="0.2"/>
    <row r="4749" s="18" customFormat="1" ht="12.75" x14ac:dyDescent="0.2"/>
    <row r="4750" s="18" customFormat="1" ht="12.75" x14ac:dyDescent="0.2"/>
    <row r="4751" s="18" customFormat="1" ht="12.75" x14ac:dyDescent="0.2"/>
    <row r="4752" s="18" customFormat="1" ht="12.75" x14ac:dyDescent="0.2"/>
    <row r="4753" s="18" customFormat="1" ht="12.75" x14ac:dyDescent="0.2"/>
    <row r="4754" s="18" customFormat="1" ht="12.75" x14ac:dyDescent="0.2"/>
    <row r="4755" s="18" customFormat="1" ht="12.75" x14ac:dyDescent="0.2"/>
    <row r="4756" s="18" customFormat="1" ht="12.75" x14ac:dyDescent="0.2"/>
    <row r="4757" s="18" customFormat="1" ht="12.75" x14ac:dyDescent="0.2"/>
    <row r="4758" s="18" customFormat="1" ht="12.75" x14ac:dyDescent="0.2"/>
    <row r="4759" s="18" customFormat="1" ht="12.75" x14ac:dyDescent="0.2"/>
    <row r="4760" s="18" customFormat="1" ht="12.75" x14ac:dyDescent="0.2"/>
    <row r="4761" s="18" customFormat="1" ht="12.75" x14ac:dyDescent="0.2"/>
    <row r="4762" s="18" customFormat="1" ht="12.75" x14ac:dyDescent="0.2"/>
    <row r="4763" s="18" customFormat="1" ht="12.75" x14ac:dyDescent="0.2"/>
    <row r="4764" s="18" customFormat="1" ht="12.75" x14ac:dyDescent="0.2"/>
    <row r="4765" s="18" customFormat="1" ht="12.75" x14ac:dyDescent="0.2"/>
    <row r="4766" s="18" customFormat="1" ht="12.75" x14ac:dyDescent="0.2"/>
    <row r="4767" s="18" customFormat="1" ht="12.75" x14ac:dyDescent="0.2"/>
    <row r="4768" s="18" customFormat="1" ht="12.75" x14ac:dyDescent="0.2"/>
    <row r="4769" s="18" customFormat="1" ht="12.75" x14ac:dyDescent="0.2"/>
    <row r="4770" s="18" customFormat="1" ht="12.75" x14ac:dyDescent="0.2"/>
    <row r="4771" s="18" customFormat="1" ht="12.75" x14ac:dyDescent="0.2"/>
    <row r="4772" s="18" customFormat="1" ht="12.75" x14ac:dyDescent="0.2"/>
    <row r="4773" s="18" customFormat="1" ht="12.75" x14ac:dyDescent="0.2"/>
    <row r="4774" s="18" customFormat="1" ht="12.75" x14ac:dyDescent="0.2"/>
    <row r="4775" s="18" customFormat="1" ht="12.75" x14ac:dyDescent="0.2"/>
    <row r="4776" s="18" customFormat="1" ht="12.75" x14ac:dyDescent="0.2"/>
    <row r="4777" s="18" customFormat="1" ht="12.75" x14ac:dyDescent="0.2"/>
    <row r="4778" s="18" customFormat="1" ht="12.75" x14ac:dyDescent="0.2"/>
    <row r="4779" s="18" customFormat="1" ht="12.75" x14ac:dyDescent="0.2"/>
    <row r="4780" s="18" customFormat="1" ht="12.75" x14ac:dyDescent="0.2"/>
    <row r="4781" s="18" customFormat="1" ht="12.75" x14ac:dyDescent="0.2"/>
    <row r="4782" s="18" customFormat="1" ht="12.75" x14ac:dyDescent="0.2"/>
    <row r="4783" s="18" customFormat="1" ht="12.75" x14ac:dyDescent="0.2"/>
    <row r="4784" s="18" customFormat="1" ht="12.75" x14ac:dyDescent="0.2"/>
    <row r="4785" s="18" customFormat="1" ht="12.75" x14ac:dyDescent="0.2"/>
    <row r="4786" s="18" customFormat="1" ht="12.75" x14ac:dyDescent="0.2"/>
    <row r="4787" s="18" customFormat="1" ht="12.75" x14ac:dyDescent="0.2"/>
    <row r="4788" s="18" customFormat="1" ht="12.75" x14ac:dyDescent="0.2"/>
    <row r="4789" s="18" customFormat="1" ht="12.75" x14ac:dyDescent="0.2"/>
    <row r="4790" s="18" customFormat="1" ht="12.75" x14ac:dyDescent="0.2"/>
    <row r="4791" s="18" customFormat="1" ht="12.75" x14ac:dyDescent="0.2"/>
    <row r="4792" s="18" customFormat="1" ht="12.75" x14ac:dyDescent="0.2"/>
    <row r="4793" s="18" customFormat="1" ht="12.75" x14ac:dyDescent="0.2"/>
    <row r="4794" s="18" customFormat="1" ht="12.75" x14ac:dyDescent="0.2"/>
    <row r="4795" s="18" customFormat="1" ht="12.75" x14ac:dyDescent="0.2"/>
    <row r="4796" s="18" customFormat="1" ht="12.75" x14ac:dyDescent="0.2"/>
    <row r="4797" s="18" customFormat="1" ht="12.75" x14ac:dyDescent="0.2"/>
    <row r="4798" s="18" customFormat="1" ht="12.75" x14ac:dyDescent="0.2"/>
    <row r="4799" s="18" customFormat="1" ht="12.75" x14ac:dyDescent="0.2"/>
    <row r="4800" s="18" customFormat="1" ht="12.75" x14ac:dyDescent="0.2"/>
    <row r="4801" s="18" customFormat="1" ht="12.75" x14ac:dyDescent="0.2"/>
    <row r="4802" s="18" customFormat="1" ht="12.75" x14ac:dyDescent="0.2"/>
    <row r="4803" s="18" customFormat="1" ht="12.75" x14ac:dyDescent="0.2"/>
    <row r="4804" s="18" customFormat="1" ht="12.75" x14ac:dyDescent="0.2"/>
    <row r="4805" s="18" customFormat="1" ht="12.75" x14ac:dyDescent="0.2"/>
    <row r="4806" s="18" customFormat="1" ht="12.75" x14ac:dyDescent="0.2"/>
    <row r="4807" s="18" customFormat="1" ht="12.75" x14ac:dyDescent="0.2"/>
    <row r="4808" s="18" customFormat="1" ht="12.75" x14ac:dyDescent="0.2"/>
    <row r="4809" s="18" customFormat="1" ht="12.75" x14ac:dyDescent="0.2"/>
    <row r="4810" s="18" customFormat="1" ht="12.75" x14ac:dyDescent="0.2"/>
    <row r="4811" s="18" customFormat="1" ht="12.75" x14ac:dyDescent="0.2"/>
    <row r="4812" s="18" customFormat="1" ht="12.75" x14ac:dyDescent="0.2"/>
    <row r="4813" s="18" customFormat="1" ht="12.75" x14ac:dyDescent="0.2"/>
    <row r="4814" s="18" customFormat="1" ht="12.75" x14ac:dyDescent="0.2"/>
    <row r="4815" s="18" customFormat="1" ht="12.75" x14ac:dyDescent="0.2"/>
    <row r="4816" s="18" customFormat="1" ht="12.75" x14ac:dyDescent="0.2"/>
    <row r="4817" s="18" customFormat="1" ht="12.75" x14ac:dyDescent="0.2"/>
    <row r="4818" s="18" customFormat="1" ht="12.75" x14ac:dyDescent="0.2"/>
    <row r="4819" s="18" customFormat="1" ht="12.75" x14ac:dyDescent="0.2"/>
    <row r="4820" s="18" customFormat="1" ht="12.75" x14ac:dyDescent="0.2"/>
    <row r="4821" s="18" customFormat="1" ht="12.75" x14ac:dyDescent="0.2"/>
    <row r="4822" s="18" customFormat="1" ht="12.75" x14ac:dyDescent="0.2"/>
    <row r="4823" s="18" customFormat="1" ht="12.75" x14ac:dyDescent="0.2"/>
    <row r="4824" s="18" customFormat="1" ht="12.75" x14ac:dyDescent="0.2"/>
    <row r="4825" s="18" customFormat="1" ht="12.75" x14ac:dyDescent="0.2"/>
    <row r="4826" s="18" customFormat="1" ht="12.75" x14ac:dyDescent="0.2"/>
    <row r="4827" s="18" customFormat="1" ht="12.75" x14ac:dyDescent="0.2"/>
    <row r="4828" s="18" customFormat="1" ht="12.75" x14ac:dyDescent="0.2"/>
    <row r="4829" s="18" customFormat="1" ht="12.75" x14ac:dyDescent="0.2"/>
    <row r="4830" s="18" customFormat="1" ht="12.75" x14ac:dyDescent="0.2"/>
    <row r="4831" s="18" customFormat="1" ht="12.75" x14ac:dyDescent="0.2"/>
    <row r="4832" s="18" customFormat="1" ht="12.75" x14ac:dyDescent="0.2"/>
    <row r="4833" s="18" customFormat="1" ht="12.75" x14ac:dyDescent="0.2"/>
    <row r="4834" s="18" customFormat="1" ht="12.75" x14ac:dyDescent="0.2"/>
    <row r="4835" s="18" customFormat="1" ht="12.75" x14ac:dyDescent="0.2"/>
    <row r="4836" s="18" customFormat="1" ht="12.75" x14ac:dyDescent="0.2"/>
    <row r="4837" s="18" customFormat="1" ht="12.75" x14ac:dyDescent="0.2"/>
    <row r="4838" s="18" customFormat="1" ht="12.75" x14ac:dyDescent="0.2"/>
    <row r="4839" s="18" customFormat="1" ht="12.75" x14ac:dyDescent="0.2"/>
    <row r="4840" s="18" customFormat="1" ht="12.75" x14ac:dyDescent="0.2"/>
    <row r="4841" s="18" customFormat="1" ht="12.75" x14ac:dyDescent="0.2"/>
    <row r="4842" s="18" customFormat="1" ht="12.75" x14ac:dyDescent="0.2"/>
    <row r="4843" s="18" customFormat="1" ht="12.75" x14ac:dyDescent="0.2"/>
    <row r="4844" s="18" customFormat="1" ht="12.75" x14ac:dyDescent="0.2"/>
    <row r="4845" s="18" customFormat="1" ht="12.75" x14ac:dyDescent="0.2"/>
    <row r="4846" s="18" customFormat="1" ht="12.75" x14ac:dyDescent="0.2"/>
    <row r="4847" s="18" customFormat="1" ht="12.75" x14ac:dyDescent="0.2"/>
    <row r="4848" s="18" customFormat="1" ht="12.75" x14ac:dyDescent="0.2"/>
    <row r="4849" s="18" customFormat="1" ht="12.75" x14ac:dyDescent="0.2"/>
    <row r="4850" s="18" customFormat="1" ht="12.75" x14ac:dyDescent="0.2"/>
    <row r="4851" s="18" customFormat="1" ht="12.75" x14ac:dyDescent="0.2"/>
    <row r="4852" s="18" customFormat="1" ht="12.75" x14ac:dyDescent="0.2"/>
    <row r="4853" s="18" customFormat="1" ht="12.75" x14ac:dyDescent="0.2"/>
    <row r="4854" s="18" customFormat="1" ht="12.75" x14ac:dyDescent="0.2"/>
    <row r="4855" s="18" customFormat="1" ht="12.75" x14ac:dyDescent="0.2"/>
    <row r="4856" s="18" customFormat="1" ht="12.75" x14ac:dyDescent="0.2"/>
    <row r="4857" s="18" customFormat="1" ht="12.75" x14ac:dyDescent="0.2"/>
    <row r="4858" s="18" customFormat="1" ht="12.75" x14ac:dyDescent="0.2"/>
    <row r="4859" s="18" customFormat="1" ht="12.75" x14ac:dyDescent="0.2"/>
    <row r="4860" s="18" customFormat="1" ht="12.75" x14ac:dyDescent="0.2"/>
    <row r="4861" s="18" customFormat="1" ht="12.75" x14ac:dyDescent="0.2"/>
    <row r="4862" s="18" customFormat="1" ht="12.75" x14ac:dyDescent="0.2"/>
    <row r="4863" s="18" customFormat="1" ht="12.75" x14ac:dyDescent="0.2"/>
    <row r="4864" s="18" customFormat="1" ht="12.75" x14ac:dyDescent="0.2"/>
    <row r="4865" s="18" customFormat="1" ht="12.75" x14ac:dyDescent="0.2"/>
    <row r="4866" s="18" customFormat="1" ht="12.75" x14ac:dyDescent="0.2"/>
    <row r="4867" s="18" customFormat="1" ht="12.75" x14ac:dyDescent="0.2"/>
    <row r="4868" s="18" customFormat="1" ht="12.75" x14ac:dyDescent="0.2"/>
    <row r="4869" s="18" customFormat="1" ht="12.75" x14ac:dyDescent="0.2"/>
    <row r="4870" s="18" customFormat="1" ht="12.75" x14ac:dyDescent="0.2"/>
    <row r="4871" s="18" customFormat="1" ht="12.75" x14ac:dyDescent="0.2"/>
    <row r="4872" s="18" customFormat="1" ht="12.75" x14ac:dyDescent="0.2"/>
    <row r="4873" s="18" customFormat="1" ht="12.75" x14ac:dyDescent="0.2"/>
    <row r="4874" s="18" customFormat="1" ht="12.75" x14ac:dyDescent="0.2"/>
    <row r="4875" s="18" customFormat="1" ht="12.75" x14ac:dyDescent="0.2"/>
    <row r="4876" s="18" customFormat="1" ht="12.75" x14ac:dyDescent="0.2"/>
    <row r="4877" s="18" customFormat="1" ht="12.75" x14ac:dyDescent="0.2"/>
    <row r="4878" s="18" customFormat="1" ht="12.75" x14ac:dyDescent="0.2"/>
    <row r="4879" s="18" customFormat="1" ht="12.75" x14ac:dyDescent="0.2"/>
    <row r="4880" s="18" customFormat="1" ht="12.75" x14ac:dyDescent="0.2"/>
    <row r="4881" s="18" customFormat="1" ht="12.75" x14ac:dyDescent="0.2"/>
    <row r="4882" s="18" customFormat="1" ht="12.75" x14ac:dyDescent="0.2"/>
    <row r="4883" s="18" customFormat="1" ht="12.75" x14ac:dyDescent="0.2"/>
    <row r="4884" s="18" customFormat="1" ht="12.75" x14ac:dyDescent="0.2"/>
    <row r="4885" s="18" customFormat="1" ht="12.75" x14ac:dyDescent="0.2"/>
    <row r="4886" s="18" customFormat="1" ht="12.75" x14ac:dyDescent="0.2"/>
    <row r="4887" s="18" customFormat="1" ht="12.75" x14ac:dyDescent="0.2"/>
    <row r="4888" s="18" customFormat="1" ht="12.75" x14ac:dyDescent="0.2"/>
    <row r="4889" s="18" customFormat="1" ht="12.75" x14ac:dyDescent="0.2"/>
    <row r="4890" s="18" customFormat="1" ht="12.75" x14ac:dyDescent="0.2"/>
    <row r="4891" s="18" customFormat="1" ht="12.75" x14ac:dyDescent="0.2"/>
    <row r="4892" s="18" customFormat="1" ht="12.75" x14ac:dyDescent="0.2"/>
    <row r="4893" s="18" customFormat="1" ht="12.75" x14ac:dyDescent="0.2"/>
    <row r="4894" s="18" customFormat="1" ht="12.75" x14ac:dyDescent="0.2"/>
    <row r="4895" s="18" customFormat="1" ht="12.75" x14ac:dyDescent="0.2"/>
    <row r="4896" s="18" customFormat="1" ht="12.75" x14ac:dyDescent="0.2"/>
    <row r="4897" s="18" customFormat="1" ht="12.75" x14ac:dyDescent="0.2"/>
    <row r="4898" s="18" customFormat="1" ht="12.75" x14ac:dyDescent="0.2"/>
    <row r="4899" s="18" customFormat="1" ht="12.75" x14ac:dyDescent="0.2"/>
    <row r="4900" s="18" customFormat="1" ht="12.75" x14ac:dyDescent="0.2"/>
    <row r="4901" s="18" customFormat="1" ht="12.75" x14ac:dyDescent="0.2"/>
    <row r="4902" s="18" customFormat="1" ht="12.75" x14ac:dyDescent="0.2"/>
    <row r="4903" s="18" customFormat="1" ht="12.75" x14ac:dyDescent="0.2"/>
    <row r="4904" s="18" customFormat="1" ht="12.75" x14ac:dyDescent="0.2"/>
    <row r="4905" s="18" customFormat="1" ht="12.75" x14ac:dyDescent="0.2"/>
    <row r="4906" s="18" customFormat="1" ht="12.75" x14ac:dyDescent="0.2"/>
    <row r="4907" s="18" customFormat="1" ht="12.75" x14ac:dyDescent="0.2"/>
    <row r="4908" s="18" customFormat="1" ht="12.75" x14ac:dyDescent="0.2"/>
    <row r="4909" s="18" customFormat="1" ht="12.75" x14ac:dyDescent="0.2"/>
    <row r="4910" s="18" customFormat="1" ht="12.75" x14ac:dyDescent="0.2"/>
    <row r="4911" s="18" customFormat="1" ht="12.75" x14ac:dyDescent="0.2"/>
    <row r="4912" s="18" customFormat="1" ht="12.75" x14ac:dyDescent="0.2"/>
    <row r="4913" s="18" customFormat="1" ht="12.75" x14ac:dyDescent="0.2"/>
    <row r="4914" s="18" customFormat="1" ht="12.75" x14ac:dyDescent="0.2"/>
    <row r="4915" s="18" customFormat="1" ht="12.75" x14ac:dyDescent="0.2"/>
    <row r="4916" s="18" customFormat="1" ht="12.75" x14ac:dyDescent="0.2"/>
    <row r="4917" s="18" customFormat="1" ht="12.75" x14ac:dyDescent="0.2"/>
    <row r="4918" s="18" customFormat="1" ht="12.75" x14ac:dyDescent="0.2"/>
    <row r="4919" s="18" customFormat="1" ht="12.75" x14ac:dyDescent="0.2"/>
    <row r="4920" s="18" customFormat="1" ht="12.75" x14ac:dyDescent="0.2"/>
    <row r="4921" s="18" customFormat="1" ht="12.75" x14ac:dyDescent="0.2"/>
    <row r="4922" s="18" customFormat="1" ht="12.75" x14ac:dyDescent="0.2"/>
    <row r="4923" s="18" customFormat="1" ht="12.75" x14ac:dyDescent="0.2"/>
    <row r="4924" s="18" customFormat="1" ht="12.75" x14ac:dyDescent="0.2"/>
    <row r="4925" s="18" customFormat="1" ht="12.75" x14ac:dyDescent="0.2"/>
    <row r="4926" s="18" customFormat="1" ht="12.75" x14ac:dyDescent="0.2"/>
    <row r="4927" s="18" customFormat="1" ht="12.75" x14ac:dyDescent="0.2"/>
    <row r="4928" s="18" customFormat="1" ht="12.75" x14ac:dyDescent="0.2"/>
    <row r="4929" s="18" customFormat="1" ht="12.75" x14ac:dyDescent="0.2"/>
    <row r="4930" s="18" customFormat="1" ht="12.75" x14ac:dyDescent="0.2"/>
    <row r="4931" s="18" customFormat="1" ht="12.75" x14ac:dyDescent="0.2"/>
    <row r="4932" s="18" customFormat="1" ht="12.75" x14ac:dyDescent="0.2"/>
    <row r="4933" s="18" customFormat="1" ht="12.75" x14ac:dyDescent="0.2"/>
    <row r="4934" s="18" customFormat="1" ht="12.75" x14ac:dyDescent="0.2"/>
    <row r="4935" s="18" customFormat="1" ht="12.75" x14ac:dyDescent="0.2"/>
    <row r="4936" s="18" customFormat="1" ht="12.75" x14ac:dyDescent="0.2"/>
    <row r="4937" s="18" customFormat="1" ht="12.75" x14ac:dyDescent="0.2"/>
    <row r="4938" s="18" customFormat="1" ht="12.75" x14ac:dyDescent="0.2"/>
    <row r="4939" s="18" customFormat="1" ht="12.75" x14ac:dyDescent="0.2"/>
    <row r="4940" s="18" customFormat="1" ht="12.75" x14ac:dyDescent="0.2"/>
    <row r="4941" s="18" customFormat="1" ht="12.75" x14ac:dyDescent="0.2"/>
    <row r="4942" s="18" customFormat="1" ht="12.75" x14ac:dyDescent="0.2"/>
    <row r="4943" s="18" customFormat="1" ht="12.75" x14ac:dyDescent="0.2"/>
    <row r="4944" s="18" customFormat="1" ht="12.75" x14ac:dyDescent="0.2"/>
    <row r="4945" s="18" customFormat="1" ht="12.75" x14ac:dyDescent="0.2"/>
    <row r="4946" s="18" customFormat="1" ht="12.75" x14ac:dyDescent="0.2"/>
    <row r="4947" s="18" customFormat="1" ht="12.75" x14ac:dyDescent="0.2"/>
    <row r="4948" s="18" customFormat="1" ht="12.75" x14ac:dyDescent="0.2"/>
    <row r="4949" s="18" customFormat="1" ht="12.75" x14ac:dyDescent="0.2"/>
    <row r="4950" s="18" customFormat="1" ht="12.75" x14ac:dyDescent="0.2"/>
    <row r="4951" s="18" customFormat="1" ht="12.75" x14ac:dyDescent="0.2"/>
    <row r="4952" s="18" customFormat="1" ht="12.75" x14ac:dyDescent="0.2"/>
    <row r="4953" s="18" customFormat="1" ht="12.75" x14ac:dyDescent="0.2"/>
    <row r="4954" s="18" customFormat="1" ht="12.75" x14ac:dyDescent="0.2"/>
    <row r="4955" s="18" customFormat="1" ht="12.75" x14ac:dyDescent="0.2"/>
    <row r="4956" s="18" customFormat="1" ht="12.75" x14ac:dyDescent="0.2"/>
    <row r="4957" s="18" customFormat="1" ht="12.75" x14ac:dyDescent="0.2"/>
    <row r="4958" s="18" customFormat="1" ht="12.75" x14ac:dyDescent="0.2"/>
    <row r="4959" s="18" customFormat="1" ht="12.75" x14ac:dyDescent="0.2"/>
    <row r="4960" s="18" customFormat="1" ht="12.75" x14ac:dyDescent="0.2"/>
    <row r="4961" s="18" customFormat="1" ht="12.75" x14ac:dyDescent="0.2"/>
    <row r="4962" s="18" customFormat="1" ht="12.75" x14ac:dyDescent="0.2"/>
    <row r="4963" s="18" customFormat="1" ht="12.75" x14ac:dyDescent="0.2"/>
    <row r="4964" s="18" customFormat="1" ht="12.75" x14ac:dyDescent="0.2"/>
    <row r="4965" s="18" customFormat="1" ht="12.75" x14ac:dyDescent="0.2"/>
    <row r="4966" s="18" customFormat="1" ht="12.75" x14ac:dyDescent="0.2"/>
    <row r="4967" s="18" customFormat="1" ht="12.75" x14ac:dyDescent="0.2"/>
    <row r="4968" s="18" customFormat="1" ht="12.75" x14ac:dyDescent="0.2"/>
    <row r="4969" s="18" customFormat="1" ht="12.75" x14ac:dyDescent="0.2"/>
    <row r="4970" s="18" customFormat="1" ht="12.75" x14ac:dyDescent="0.2"/>
    <row r="4971" s="18" customFormat="1" ht="12.75" x14ac:dyDescent="0.2"/>
    <row r="4972" s="18" customFormat="1" ht="12.75" x14ac:dyDescent="0.2"/>
    <row r="4973" s="18" customFormat="1" ht="12.75" x14ac:dyDescent="0.2"/>
    <row r="4974" s="18" customFormat="1" ht="12.75" x14ac:dyDescent="0.2"/>
    <row r="4975" s="18" customFormat="1" ht="12.75" x14ac:dyDescent="0.2"/>
    <row r="4976" s="18" customFormat="1" ht="12.75" x14ac:dyDescent="0.2"/>
    <row r="4977" s="18" customFormat="1" ht="12.75" x14ac:dyDescent="0.2"/>
    <row r="4978" s="18" customFormat="1" ht="12.75" x14ac:dyDescent="0.2"/>
    <row r="4979" s="18" customFormat="1" ht="12.75" x14ac:dyDescent="0.2"/>
    <row r="4980" s="18" customFormat="1" ht="12.75" x14ac:dyDescent="0.2"/>
    <row r="4981" s="18" customFormat="1" ht="12.75" x14ac:dyDescent="0.2"/>
    <row r="4982" s="18" customFormat="1" ht="12.75" x14ac:dyDescent="0.2"/>
    <row r="4983" s="18" customFormat="1" ht="12.75" x14ac:dyDescent="0.2"/>
    <row r="4984" s="18" customFormat="1" ht="12.75" x14ac:dyDescent="0.2"/>
    <row r="4985" s="18" customFormat="1" ht="12.75" x14ac:dyDescent="0.2"/>
    <row r="4986" s="18" customFormat="1" ht="12.75" x14ac:dyDescent="0.2"/>
    <row r="4987" s="18" customFormat="1" ht="12.75" x14ac:dyDescent="0.2"/>
    <row r="4988" s="18" customFormat="1" ht="12.75" x14ac:dyDescent="0.2"/>
    <row r="4989" s="18" customFormat="1" ht="12.75" x14ac:dyDescent="0.2"/>
    <row r="4990" s="18" customFormat="1" ht="12.75" x14ac:dyDescent="0.2"/>
    <row r="4991" s="18" customFormat="1" ht="12.75" x14ac:dyDescent="0.2"/>
    <row r="4992" s="18" customFormat="1" ht="12.75" x14ac:dyDescent="0.2"/>
    <row r="4993" s="18" customFormat="1" ht="12.75" x14ac:dyDescent="0.2"/>
    <row r="4994" s="18" customFormat="1" ht="12.75" x14ac:dyDescent="0.2"/>
    <row r="4995" s="18" customFormat="1" ht="12.75" x14ac:dyDescent="0.2"/>
    <row r="4996" s="18" customFormat="1" ht="12.75" x14ac:dyDescent="0.2"/>
    <row r="4997" s="18" customFormat="1" ht="12.75" x14ac:dyDescent="0.2"/>
    <row r="4998" s="18" customFormat="1" ht="12.75" x14ac:dyDescent="0.2"/>
    <row r="4999" s="18" customFormat="1" ht="12.75" x14ac:dyDescent="0.2"/>
    <row r="5000" s="18" customFormat="1" ht="12.75" x14ac:dyDescent="0.2"/>
    <row r="5001" s="18" customFormat="1" ht="12.75" x14ac:dyDescent="0.2"/>
    <row r="5002" s="18" customFormat="1" ht="12.75" x14ac:dyDescent="0.2"/>
    <row r="5003" s="18" customFormat="1" ht="12.75" x14ac:dyDescent="0.2"/>
    <row r="5004" s="18" customFormat="1" ht="12.75" x14ac:dyDescent="0.2"/>
    <row r="5005" s="18" customFormat="1" ht="12.75" x14ac:dyDescent="0.2"/>
    <row r="5006" s="18" customFormat="1" ht="12.75" x14ac:dyDescent="0.2"/>
    <row r="5007" s="18" customFormat="1" ht="12.75" x14ac:dyDescent="0.2"/>
    <row r="5008" s="18" customFormat="1" ht="12.75" x14ac:dyDescent="0.2"/>
    <row r="5009" s="18" customFormat="1" ht="12.75" x14ac:dyDescent="0.2"/>
    <row r="5010" s="18" customFormat="1" ht="12.75" x14ac:dyDescent="0.2"/>
    <row r="5011" s="18" customFormat="1" ht="12.75" x14ac:dyDescent="0.2"/>
    <row r="5012" s="18" customFormat="1" ht="12.75" x14ac:dyDescent="0.2"/>
    <row r="5013" s="18" customFormat="1" ht="12.75" x14ac:dyDescent="0.2"/>
    <row r="5014" s="18" customFormat="1" ht="12.75" x14ac:dyDescent="0.2"/>
    <row r="5015" s="18" customFormat="1" ht="12.75" x14ac:dyDescent="0.2"/>
    <row r="5016" s="18" customFormat="1" ht="12.75" x14ac:dyDescent="0.2"/>
    <row r="5017" s="18" customFormat="1" ht="12.75" x14ac:dyDescent="0.2"/>
    <row r="5018" s="18" customFormat="1" ht="12.75" x14ac:dyDescent="0.2"/>
    <row r="5019" s="18" customFormat="1" ht="12.75" x14ac:dyDescent="0.2"/>
    <row r="5020" s="18" customFormat="1" ht="12.75" x14ac:dyDescent="0.2"/>
    <row r="5021" s="18" customFormat="1" ht="12.75" x14ac:dyDescent="0.2"/>
    <row r="5022" s="18" customFormat="1" ht="12.75" x14ac:dyDescent="0.2"/>
    <row r="5023" s="18" customFormat="1" ht="12.75" x14ac:dyDescent="0.2"/>
    <row r="5024" s="18" customFormat="1" ht="12.75" x14ac:dyDescent="0.2"/>
    <row r="5025" s="18" customFormat="1" ht="12.75" x14ac:dyDescent="0.2"/>
    <row r="5026" s="18" customFormat="1" ht="12.75" x14ac:dyDescent="0.2"/>
    <row r="5027" s="18" customFormat="1" ht="12.75" x14ac:dyDescent="0.2"/>
    <row r="5028" s="18" customFormat="1" ht="12.75" x14ac:dyDescent="0.2"/>
    <row r="5029" s="18" customFormat="1" ht="12.75" x14ac:dyDescent="0.2"/>
    <row r="5030" s="18" customFormat="1" ht="12.75" x14ac:dyDescent="0.2"/>
    <row r="5031" s="18" customFormat="1" ht="12.75" x14ac:dyDescent="0.2"/>
    <row r="5032" s="18" customFormat="1" ht="12.75" x14ac:dyDescent="0.2"/>
    <row r="5033" s="18" customFormat="1" ht="12.75" x14ac:dyDescent="0.2"/>
    <row r="5034" s="18" customFormat="1" ht="12.75" x14ac:dyDescent="0.2"/>
    <row r="5035" s="18" customFormat="1" ht="12.75" x14ac:dyDescent="0.2"/>
    <row r="5036" s="18" customFormat="1" ht="12.75" x14ac:dyDescent="0.2"/>
    <row r="5037" s="18" customFormat="1" ht="12.75" x14ac:dyDescent="0.2"/>
    <row r="5038" s="18" customFormat="1" ht="12.75" x14ac:dyDescent="0.2"/>
    <row r="5039" s="18" customFormat="1" ht="12.75" x14ac:dyDescent="0.2"/>
    <row r="5040" s="18" customFormat="1" ht="12.75" x14ac:dyDescent="0.2"/>
    <row r="5041" s="18" customFormat="1" ht="12.75" x14ac:dyDescent="0.2"/>
    <row r="5042" s="18" customFormat="1" ht="12.75" x14ac:dyDescent="0.2"/>
    <row r="5043" s="18" customFormat="1" ht="12.75" x14ac:dyDescent="0.2"/>
    <row r="5044" s="18" customFormat="1" ht="12.75" x14ac:dyDescent="0.2"/>
    <row r="5045" s="18" customFormat="1" ht="12.75" x14ac:dyDescent="0.2"/>
    <row r="5046" s="18" customFormat="1" ht="12.75" x14ac:dyDescent="0.2"/>
    <row r="5047" s="18" customFormat="1" ht="12.75" x14ac:dyDescent="0.2"/>
    <row r="5048" s="18" customFormat="1" ht="12.75" x14ac:dyDescent="0.2"/>
    <row r="5049" s="18" customFormat="1" ht="12.75" x14ac:dyDescent="0.2"/>
    <row r="5050" s="18" customFormat="1" ht="12.75" x14ac:dyDescent="0.2"/>
    <row r="5051" s="18" customFormat="1" ht="12.75" x14ac:dyDescent="0.2"/>
    <row r="5052" s="18" customFormat="1" ht="12.75" x14ac:dyDescent="0.2"/>
    <row r="5053" s="18" customFormat="1" ht="12.75" x14ac:dyDescent="0.2"/>
    <row r="5054" s="18" customFormat="1" ht="12.75" x14ac:dyDescent="0.2"/>
    <row r="5055" s="18" customFormat="1" ht="12.75" x14ac:dyDescent="0.2"/>
    <row r="5056" s="18" customFormat="1" ht="12.75" x14ac:dyDescent="0.2"/>
    <row r="5057" s="18" customFormat="1" ht="12.75" x14ac:dyDescent="0.2"/>
    <row r="5058" s="18" customFormat="1" ht="12.75" x14ac:dyDescent="0.2"/>
    <row r="5059" s="18" customFormat="1" ht="12.75" x14ac:dyDescent="0.2"/>
    <row r="5060" s="18" customFormat="1" ht="12.75" x14ac:dyDescent="0.2"/>
    <row r="5061" s="18" customFormat="1" ht="12.75" x14ac:dyDescent="0.2"/>
    <row r="5062" s="18" customFormat="1" ht="12.75" x14ac:dyDescent="0.2"/>
    <row r="5063" s="18" customFormat="1" ht="12.75" x14ac:dyDescent="0.2"/>
    <row r="5064" s="18" customFormat="1" ht="12.75" x14ac:dyDescent="0.2"/>
    <row r="5065" s="18" customFormat="1" ht="12.75" x14ac:dyDescent="0.2"/>
    <row r="5066" s="18" customFormat="1" ht="12.75" x14ac:dyDescent="0.2"/>
    <row r="5067" s="18" customFormat="1" ht="12.75" x14ac:dyDescent="0.2"/>
    <row r="5068" s="18" customFormat="1" ht="12.75" x14ac:dyDescent="0.2"/>
    <row r="5069" s="18" customFormat="1" ht="12.75" x14ac:dyDescent="0.2"/>
    <row r="5070" s="18" customFormat="1" ht="12.75" x14ac:dyDescent="0.2"/>
    <row r="5071" s="18" customFormat="1" ht="12.75" x14ac:dyDescent="0.2"/>
    <row r="5072" s="18" customFormat="1" ht="12.75" x14ac:dyDescent="0.2"/>
    <row r="5073" s="18" customFormat="1" ht="12.75" x14ac:dyDescent="0.2"/>
    <row r="5074" s="18" customFormat="1" ht="12.75" x14ac:dyDescent="0.2"/>
    <row r="5075" s="18" customFormat="1" ht="12.75" x14ac:dyDescent="0.2"/>
    <row r="5076" s="18" customFormat="1" ht="12.75" x14ac:dyDescent="0.2"/>
    <row r="5077" s="18" customFormat="1" ht="12.75" x14ac:dyDescent="0.2"/>
    <row r="5078" s="18" customFormat="1" ht="12.75" x14ac:dyDescent="0.2"/>
    <row r="5079" s="18" customFormat="1" ht="12.75" x14ac:dyDescent="0.2"/>
    <row r="5080" s="18" customFormat="1" ht="12.75" x14ac:dyDescent="0.2"/>
    <row r="5081" s="18" customFormat="1" ht="12.75" x14ac:dyDescent="0.2"/>
    <row r="5082" s="18" customFormat="1" ht="12.75" x14ac:dyDescent="0.2"/>
    <row r="5083" s="18" customFormat="1" ht="12.75" x14ac:dyDescent="0.2"/>
    <row r="5084" s="18" customFormat="1" ht="12.75" x14ac:dyDescent="0.2"/>
    <row r="5085" s="18" customFormat="1" ht="12.75" x14ac:dyDescent="0.2"/>
    <row r="5086" s="18" customFormat="1" ht="12.75" x14ac:dyDescent="0.2"/>
    <row r="5087" s="18" customFormat="1" ht="12.75" x14ac:dyDescent="0.2"/>
    <row r="5088" s="18" customFormat="1" ht="12.75" x14ac:dyDescent="0.2"/>
    <row r="5089" s="18" customFormat="1" ht="12.75" x14ac:dyDescent="0.2"/>
    <row r="5090" s="18" customFormat="1" ht="12.75" x14ac:dyDescent="0.2"/>
    <row r="5091" s="18" customFormat="1" ht="12.75" x14ac:dyDescent="0.2"/>
    <row r="5092" s="18" customFormat="1" ht="12.75" x14ac:dyDescent="0.2"/>
    <row r="5093" s="18" customFormat="1" ht="12.75" x14ac:dyDescent="0.2"/>
    <row r="5094" s="18" customFormat="1" ht="12.75" x14ac:dyDescent="0.2"/>
    <row r="5095" s="18" customFormat="1" ht="12.75" x14ac:dyDescent="0.2"/>
    <row r="5096" s="18" customFormat="1" ht="12.75" x14ac:dyDescent="0.2"/>
    <row r="5097" s="18" customFormat="1" ht="12.75" x14ac:dyDescent="0.2"/>
    <row r="5098" s="18" customFormat="1" ht="12.75" x14ac:dyDescent="0.2"/>
    <row r="5099" s="18" customFormat="1" ht="12.75" x14ac:dyDescent="0.2"/>
    <row r="5100" s="18" customFormat="1" ht="12.75" x14ac:dyDescent="0.2"/>
    <row r="5101" s="18" customFormat="1" ht="12.75" x14ac:dyDescent="0.2"/>
    <row r="5102" s="18" customFormat="1" ht="12.75" x14ac:dyDescent="0.2"/>
    <row r="5103" s="18" customFormat="1" ht="12.75" x14ac:dyDescent="0.2"/>
    <row r="5104" s="18" customFormat="1" ht="12.75" x14ac:dyDescent="0.2"/>
    <row r="5105" s="18" customFormat="1" ht="12.75" x14ac:dyDescent="0.2"/>
    <row r="5106" s="18" customFormat="1" ht="12.75" x14ac:dyDescent="0.2"/>
    <row r="5107" s="18" customFormat="1" ht="12.75" x14ac:dyDescent="0.2"/>
    <row r="5108" s="18" customFormat="1" ht="12.75" x14ac:dyDescent="0.2"/>
    <row r="5109" s="18" customFormat="1" ht="12.75" x14ac:dyDescent="0.2"/>
    <row r="5110" s="18" customFormat="1" ht="12.75" x14ac:dyDescent="0.2"/>
    <row r="5111" s="18" customFormat="1" ht="12.75" x14ac:dyDescent="0.2"/>
    <row r="5112" s="18" customFormat="1" ht="12.75" x14ac:dyDescent="0.2"/>
    <row r="5113" s="18" customFormat="1" ht="12.75" x14ac:dyDescent="0.2"/>
    <row r="5114" s="18" customFormat="1" ht="12.75" x14ac:dyDescent="0.2"/>
    <row r="5115" s="18" customFormat="1" ht="12.75" x14ac:dyDescent="0.2"/>
    <row r="5116" s="18" customFormat="1" ht="12.75" x14ac:dyDescent="0.2"/>
    <row r="5117" s="18" customFormat="1" ht="12.75" x14ac:dyDescent="0.2"/>
    <row r="5118" s="18" customFormat="1" ht="12.75" x14ac:dyDescent="0.2"/>
    <row r="5119" s="18" customFormat="1" ht="12.75" x14ac:dyDescent="0.2"/>
    <row r="5120" s="18" customFormat="1" ht="12.75" x14ac:dyDescent="0.2"/>
    <row r="5121" s="18" customFormat="1" ht="12.75" x14ac:dyDescent="0.2"/>
    <row r="5122" s="18" customFormat="1" ht="12.75" x14ac:dyDescent="0.2"/>
    <row r="5123" s="18" customFormat="1" ht="12.75" x14ac:dyDescent="0.2"/>
    <row r="5124" s="18" customFormat="1" ht="12.75" x14ac:dyDescent="0.2"/>
    <row r="5125" s="18" customFormat="1" ht="12.75" x14ac:dyDescent="0.2"/>
    <row r="5126" s="18" customFormat="1" ht="12.75" x14ac:dyDescent="0.2"/>
    <row r="5127" s="18" customFormat="1" ht="12.75" x14ac:dyDescent="0.2"/>
    <row r="5128" s="18" customFormat="1" ht="12.75" x14ac:dyDescent="0.2"/>
    <row r="5129" s="18" customFormat="1" ht="12.75" x14ac:dyDescent="0.2"/>
    <row r="5130" s="18" customFormat="1" ht="12.75" x14ac:dyDescent="0.2"/>
    <row r="5131" s="18" customFormat="1" ht="12.75" x14ac:dyDescent="0.2"/>
    <row r="5132" s="18" customFormat="1" ht="12.75" x14ac:dyDescent="0.2"/>
    <row r="5133" s="18" customFormat="1" ht="12.75" x14ac:dyDescent="0.2"/>
    <row r="5134" s="18" customFormat="1" ht="12.75" x14ac:dyDescent="0.2"/>
    <row r="5135" s="18" customFormat="1" ht="12.75" x14ac:dyDescent="0.2"/>
    <row r="5136" s="18" customFormat="1" ht="12.75" x14ac:dyDescent="0.2"/>
    <row r="5137" s="18" customFormat="1" ht="12.75" x14ac:dyDescent="0.2"/>
    <row r="5138" s="18" customFormat="1" ht="12.75" x14ac:dyDescent="0.2"/>
    <row r="5139" s="18" customFormat="1" ht="12.75" x14ac:dyDescent="0.2"/>
    <row r="5140" s="18" customFormat="1" ht="12.75" x14ac:dyDescent="0.2"/>
    <row r="5141" s="18" customFormat="1" ht="12.75" x14ac:dyDescent="0.2"/>
    <row r="5142" s="18" customFormat="1" ht="12.75" x14ac:dyDescent="0.2"/>
    <row r="5143" s="18" customFormat="1" ht="12.75" x14ac:dyDescent="0.2"/>
    <row r="5144" s="18" customFormat="1" ht="12.75" x14ac:dyDescent="0.2"/>
    <row r="5145" s="18" customFormat="1" ht="12.75" x14ac:dyDescent="0.2"/>
    <row r="5146" s="18" customFormat="1" ht="12.75" x14ac:dyDescent="0.2"/>
    <row r="5147" s="18" customFormat="1" ht="12.75" x14ac:dyDescent="0.2"/>
    <row r="5148" s="18" customFormat="1" ht="12.75" x14ac:dyDescent="0.2"/>
    <row r="5149" s="18" customFormat="1" ht="12.75" x14ac:dyDescent="0.2"/>
    <row r="5150" s="18" customFormat="1" ht="12.75" x14ac:dyDescent="0.2"/>
    <row r="5151" s="18" customFormat="1" ht="12.75" x14ac:dyDescent="0.2"/>
    <row r="5152" s="18" customFormat="1" ht="12.75" x14ac:dyDescent="0.2"/>
    <row r="5153" s="18" customFormat="1" ht="12.75" x14ac:dyDescent="0.2"/>
    <row r="5154" s="18" customFormat="1" ht="12.75" x14ac:dyDescent="0.2"/>
    <row r="5155" s="18" customFormat="1" ht="12.75" x14ac:dyDescent="0.2"/>
    <row r="5156" s="18" customFormat="1" ht="12.75" x14ac:dyDescent="0.2"/>
    <row r="5157" s="18" customFormat="1" ht="12.75" x14ac:dyDescent="0.2"/>
    <row r="5158" s="18" customFormat="1" ht="12.75" x14ac:dyDescent="0.2"/>
    <row r="5159" s="18" customFormat="1" ht="12.75" x14ac:dyDescent="0.2"/>
    <row r="5160" s="18" customFormat="1" ht="12.75" x14ac:dyDescent="0.2"/>
    <row r="5161" s="18" customFormat="1" ht="12.75" x14ac:dyDescent="0.2"/>
    <row r="5162" s="18" customFormat="1" ht="12.75" x14ac:dyDescent="0.2"/>
    <row r="5163" s="18" customFormat="1" ht="12.75" x14ac:dyDescent="0.2"/>
    <row r="5164" s="18" customFormat="1" ht="12.75" x14ac:dyDescent="0.2"/>
    <row r="5165" s="18" customFormat="1" ht="12.75" x14ac:dyDescent="0.2"/>
    <row r="5166" s="18" customFormat="1" ht="12.75" x14ac:dyDescent="0.2"/>
    <row r="5167" s="18" customFormat="1" ht="12.75" x14ac:dyDescent="0.2"/>
    <row r="5168" s="18" customFormat="1" ht="12.75" x14ac:dyDescent="0.2"/>
    <row r="5169" s="18" customFormat="1" ht="12.75" x14ac:dyDescent="0.2"/>
    <row r="5170" s="18" customFormat="1" ht="12.75" x14ac:dyDescent="0.2"/>
    <row r="5171" s="18" customFormat="1" ht="12.75" x14ac:dyDescent="0.2"/>
    <row r="5172" s="18" customFormat="1" ht="12.75" x14ac:dyDescent="0.2"/>
    <row r="5173" s="18" customFormat="1" ht="12.75" x14ac:dyDescent="0.2"/>
    <row r="5174" s="18" customFormat="1" ht="12.75" x14ac:dyDescent="0.2"/>
    <row r="5175" s="18" customFormat="1" ht="12.75" x14ac:dyDescent="0.2"/>
    <row r="5176" s="18" customFormat="1" ht="12.75" x14ac:dyDescent="0.2"/>
    <row r="5177" s="18" customFormat="1" ht="12.75" x14ac:dyDescent="0.2"/>
    <row r="5178" s="18" customFormat="1" ht="12.75" x14ac:dyDescent="0.2"/>
    <row r="5179" s="18" customFormat="1" ht="12.75" x14ac:dyDescent="0.2"/>
    <row r="5180" s="18" customFormat="1" ht="12.75" x14ac:dyDescent="0.2"/>
    <row r="5181" s="18" customFormat="1" ht="12.75" x14ac:dyDescent="0.2"/>
    <row r="5182" s="18" customFormat="1" ht="12.75" x14ac:dyDescent="0.2"/>
    <row r="5183" s="18" customFormat="1" ht="12.75" x14ac:dyDescent="0.2"/>
    <row r="5184" s="18" customFormat="1" ht="12.75" x14ac:dyDescent="0.2"/>
    <row r="5185" s="18" customFormat="1" ht="12.75" x14ac:dyDescent="0.2"/>
    <row r="5186" s="18" customFormat="1" ht="12.75" x14ac:dyDescent="0.2"/>
    <row r="5187" s="18" customFormat="1" ht="12.75" x14ac:dyDescent="0.2"/>
    <row r="5188" s="18" customFormat="1" ht="12.75" x14ac:dyDescent="0.2"/>
    <row r="5189" s="18" customFormat="1" ht="12.75" x14ac:dyDescent="0.2"/>
    <row r="5190" s="18" customFormat="1" ht="12.75" x14ac:dyDescent="0.2"/>
    <row r="5191" s="18" customFormat="1" ht="12.75" x14ac:dyDescent="0.2"/>
    <row r="5192" s="18" customFormat="1" ht="12.75" x14ac:dyDescent="0.2"/>
    <row r="5193" s="18" customFormat="1" ht="12.75" x14ac:dyDescent="0.2"/>
    <row r="5194" s="18" customFormat="1" ht="12.75" x14ac:dyDescent="0.2"/>
    <row r="5195" s="18" customFormat="1" ht="12.75" x14ac:dyDescent="0.2"/>
    <row r="5196" s="18" customFormat="1" ht="12.75" x14ac:dyDescent="0.2"/>
    <row r="5197" s="18" customFormat="1" ht="12.75" x14ac:dyDescent="0.2"/>
    <row r="5198" s="18" customFormat="1" ht="12.75" x14ac:dyDescent="0.2"/>
    <row r="5199" s="18" customFormat="1" ht="12.75" x14ac:dyDescent="0.2"/>
    <row r="5200" s="18" customFormat="1" ht="12.75" x14ac:dyDescent="0.2"/>
    <row r="5201" s="18" customFormat="1" ht="12.75" x14ac:dyDescent="0.2"/>
    <row r="5202" s="18" customFormat="1" ht="12.75" x14ac:dyDescent="0.2"/>
    <row r="5203" s="18" customFormat="1" ht="12.75" x14ac:dyDescent="0.2"/>
    <row r="5204" s="18" customFormat="1" ht="12.75" x14ac:dyDescent="0.2"/>
    <row r="5205" s="18" customFormat="1" ht="12.75" x14ac:dyDescent="0.2"/>
    <row r="5206" s="18" customFormat="1" ht="12.75" x14ac:dyDescent="0.2"/>
    <row r="5207" s="18" customFormat="1" ht="12.75" x14ac:dyDescent="0.2"/>
    <row r="5208" s="18" customFormat="1" ht="12.75" x14ac:dyDescent="0.2"/>
    <row r="5209" s="18" customFormat="1" ht="12.75" x14ac:dyDescent="0.2"/>
    <row r="5210" s="18" customFormat="1" ht="12.75" x14ac:dyDescent="0.2"/>
    <row r="5211" s="18" customFormat="1" ht="12.75" x14ac:dyDescent="0.2"/>
    <row r="5212" s="18" customFormat="1" ht="12.75" x14ac:dyDescent="0.2"/>
    <row r="5213" s="18" customFormat="1" ht="12.75" x14ac:dyDescent="0.2"/>
    <row r="5214" s="18" customFormat="1" ht="12.75" x14ac:dyDescent="0.2"/>
    <row r="5215" s="18" customFormat="1" ht="12.75" x14ac:dyDescent="0.2"/>
    <row r="5216" s="18" customFormat="1" ht="12.75" x14ac:dyDescent="0.2"/>
    <row r="5217" s="18" customFormat="1" ht="12.75" x14ac:dyDescent="0.2"/>
    <row r="5218" s="18" customFormat="1" ht="12.75" x14ac:dyDescent="0.2"/>
    <row r="5219" s="18" customFormat="1" ht="12.75" x14ac:dyDescent="0.2"/>
    <row r="5220" s="18" customFormat="1" ht="12.75" x14ac:dyDescent="0.2"/>
    <row r="5221" s="18" customFormat="1" ht="12.75" x14ac:dyDescent="0.2"/>
    <row r="5222" s="18" customFormat="1" ht="12.75" x14ac:dyDescent="0.2"/>
    <row r="5223" s="18" customFormat="1" ht="12.75" x14ac:dyDescent="0.2"/>
    <row r="5224" s="18" customFormat="1" ht="12.75" x14ac:dyDescent="0.2"/>
    <row r="5225" s="18" customFormat="1" ht="12.75" x14ac:dyDescent="0.2"/>
    <row r="5226" s="18" customFormat="1" ht="12.75" x14ac:dyDescent="0.2"/>
    <row r="5227" s="18" customFormat="1" ht="12.75" x14ac:dyDescent="0.2"/>
    <row r="5228" s="18" customFormat="1" ht="12.75" x14ac:dyDescent="0.2"/>
    <row r="5229" s="18" customFormat="1" ht="12.75" x14ac:dyDescent="0.2"/>
    <row r="5230" s="18" customFormat="1" ht="12.75" x14ac:dyDescent="0.2"/>
    <row r="5231" s="18" customFormat="1" ht="12.75" x14ac:dyDescent="0.2"/>
    <row r="5232" s="18" customFormat="1" ht="12.75" x14ac:dyDescent="0.2"/>
    <row r="5233" s="18" customFormat="1" ht="12.75" x14ac:dyDescent="0.2"/>
    <row r="5234" s="18" customFormat="1" ht="12.75" x14ac:dyDescent="0.2"/>
    <row r="5235" s="18" customFormat="1" ht="12.75" x14ac:dyDescent="0.2"/>
    <row r="5236" s="18" customFormat="1" ht="12.75" x14ac:dyDescent="0.2"/>
    <row r="5237" s="18" customFormat="1" ht="12.75" x14ac:dyDescent="0.2"/>
    <row r="5238" s="18" customFormat="1" ht="12.75" x14ac:dyDescent="0.2"/>
    <row r="5239" s="18" customFormat="1" ht="12.75" x14ac:dyDescent="0.2"/>
    <row r="5240" s="18" customFormat="1" ht="12.75" x14ac:dyDescent="0.2"/>
    <row r="5241" s="18" customFormat="1" ht="12.75" x14ac:dyDescent="0.2"/>
    <row r="5242" s="18" customFormat="1" ht="12.75" x14ac:dyDescent="0.2"/>
    <row r="5243" s="18" customFormat="1" ht="12.75" x14ac:dyDescent="0.2"/>
    <row r="5244" s="18" customFormat="1" ht="12.75" x14ac:dyDescent="0.2"/>
    <row r="5245" s="18" customFormat="1" ht="12.75" x14ac:dyDescent="0.2"/>
    <row r="5246" s="18" customFormat="1" ht="12.75" x14ac:dyDescent="0.2"/>
    <row r="5247" s="18" customFormat="1" ht="12.75" x14ac:dyDescent="0.2"/>
    <row r="5248" s="18" customFormat="1" ht="12.75" x14ac:dyDescent="0.2"/>
    <row r="5249" s="18" customFormat="1" ht="12.75" x14ac:dyDescent="0.2"/>
    <row r="5250" s="18" customFormat="1" ht="12.75" x14ac:dyDescent="0.2"/>
    <row r="5251" s="18" customFormat="1" ht="12.75" x14ac:dyDescent="0.2"/>
    <row r="5252" s="18" customFormat="1" ht="12.75" x14ac:dyDescent="0.2"/>
    <row r="5253" s="18" customFormat="1" ht="12.75" x14ac:dyDescent="0.2"/>
    <row r="5254" s="18" customFormat="1" ht="12.75" x14ac:dyDescent="0.2"/>
    <row r="5255" s="18" customFormat="1" ht="12.75" x14ac:dyDescent="0.2"/>
    <row r="5256" s="18" customFormat="1" ht="12.75" x14ac:dyDescent="0.2"/>
    <row r="5257" s="18" customFormat="1" ht="12.75" x14ac:dyDescent="0.2"/>
    <row r="5258" s="18" customFormat="1" ht="12.75" x14ac:dyDescent="0.2"/>
    <row r="5259" s="18" customFormat="1" ht="12.75" x14ac:dyDescent="0.2"/>
    <row r="5260" s="18" customFormat="1" ht="12.75" x14ac:dyDescent="0.2"/>
    <row r="5261" s="18" customFormat="1" ht="12.75" x14ac:dyDescent="0.2"/>
    <row r="5262" s="18" customFormat="1" ht="12.75" x14ac:dyDescent="0.2"/>
    <row r="5263" s="18" customFormat="1" ht="12.75" x14ac:dyDescent="0.2"/>
    <row r="5264" s="18" customFormat="1" ht="12.75" x14ac:dyDescent="0.2"/>
    <row r="5265" s="18" customFormat="1" ht="12.75" x14ac:dyDescent="0.2"/>
    <row r="5266" s="18" customFormat="1" ht="12.75" x14ac:dyDescent="0.2"/>
    <row r="5267" s="18" customFormat="1" ht="12.75" x14ac:dyDescent="0.2"/>
    <row r="5268" s="18" customFormat="1" ht="12.75" x14ac:dyDescent="0.2"/>
    <row r="5269" s="18" customFormat="1" ht="12.75" x14ac:dyDescent="0.2"/>
    <row r="5270" s="18" customFormat="1" ht="12.75" x14ac:dyDescent="0.2"/>
    <row r="5271" s="18" customFormat="1" ht="12.75" x14ac:dyDescent="0.2"/>
    <row r="5272" s="18" customFormat="1" ht="12.75" x14ac:dyDescent="0.2"/>
    <row r="5273" s="18" customFormat="1" ht="12.75" x14ac:dyDescent="0.2"/>
    <row r="5274" s="18" customFormat="1" ht="12.75" x14ac:dyDescent="0.2"/>
    <row r="5275" s="18" customFormat="1" ht="12.75" x14ac:dyDescent="0.2"/>
    <row r="5276" s="18" customFormat="1" ht="12.75" x14ac:dyDescent="0.2"/>
    <row r="5277" s="18" customFormat="1" ht="12.75" x14ac:dyDescent="0.2"/>
    <row r="5278" s="18" customFormat="1" ht="12.75" x14ac:dyDescent="0.2"/>
    <row r="5279" s="18" customFormat="1" ht="12.75" x14ac:dyDescent="0.2"/>
    <row r="5280" s="18" customFormat="1" ht="12.75" x14ac:dyDescent="0.2"/>
    <row r="5281" s="18" customFormat="1" ht="12.75" x14ac:dyDescent="0.2"/>
    <row r="5282" s="18" customFormat="1" ht="12.75" x14ac:dyDescent="0.2"/>
    <row r="5283" s="18" customFormat="1" ht="12.75" x14ac:dyDescent="0.2"/>
    <row r="5284" s="18" customFormat="1" ht="12.75" x14ac:dyDescent="0.2"/>
    <row r="5285" s="18" customFormat="1" ht="12.75" x14ac:dyDescent="0.2"/>
    <row r="5286" s="18" customFormat="1" ht="12.75" x14ac:dyDescent="0.2"/>
    <row r="5287" s="18" customFormat="1" ht="12.75" x14ac:dyDescent="0.2"/>
    <row r="5288" s="18" customFormat="1" ht="12.75" x14ac:dyDescent="0.2"/>
    <row r="5289" s="18" customFormat="1" ht="12.75" x14ac:dyDescent="0.2"/>
    <row r="5290" s="18" customFormat="1" ht="12.75" x14ac:dyDescent="0.2"/>
    <row r="5291" s="18" customFormat="1" ht="12.75" x14ac:dyDescent="0.2"/>
    <row r="5292" s="18" customFormat="1" ht="12.75" x14ac:dyDescent="0.2"/>
    <row r="5293" s="18" customFormat="1" ht="12.75" x14ac:dyDescent="0.2"/>
    <row r="5294" s="18" customFormat="1" ht="12.75" x14ac:dyDescent="0.2"/>
    <row r="5295" s="18" customFormat="1" ht="12.75" x14ac:dyDescent="0.2"/>
    <row r="5296" s="18" customFormat="1" ht="12.75" x14ac:dyDescent="0.2"/>
    <row r="5297" s="18" customFormat="1" ht="12.75" x14ac:dyDescent="0.2"/>
    <row r="5298" s="18" customFormat="1" ht="12.75" x14ac:dyDescent="0.2"/>
    <row r="5299" s="18" customFormat="1" ht="12.75" x14ac:dyDescent="0.2"/>
    <row r="5300" s="18" customFormat="1" ht="12.75" x14ac:dyDescent="0.2"/>
    <row r="5301" s="18" customFormat="1" ht="12.75" x14ac:dyDescent="0.2"/>
    <row r="5302" s="18" customFormat="1" ht="12.75" x14ac:dyDescent="0.2"/>
    <row r="5303" s="18" customFormat="1" ht="12.75" x14ac:dyDescent="0.2"/>
    <row r="5304" s="18" customFormat="1" ht="12.75" x14ac:dyDescent="0.2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G12" sqref="G12"/>
    </sheetView>
  </sheetViews>
  <sheetFormatPr defaultRowHeight="15" x14ac:dyDescent="0.25"/>
  <cols>
    <col min="1" max="1" width="28" customWidth="1"/>
    <col min="2" max="3" width="10" customWidth="1"/>
    <col min="4" max="5" width="12" customWidth="1"/>
    <col min="6" max="8" width="14" customWidth="1"/>
  </cols>
  <sheetData>
    <row r="1" spans="1:8" ht="18.75" x14ac:dyDescent="0.3">
      <c r="A1" s="190" t="s">
        <v>0</v>
      </c>
      <c r="B1" s="188"/>
      <c r="C1" s="188"/>
      <c r="D1" s="188"/>
      <c r="E1" s="188"/>
      <c r="F1" s="188"/>
      <c r="G1" s="188"/>
      <c r="H1" s="188"/>
    </row>
    <row r="2" spans="1:8" x14ac:dyDescent="0.25">
      <c r="A2" s="189" t="s">
        <v>1</v>
      </c>
      <c r="B2" s="188"/>
      <c r="C2" s="188"/>
      <c r="D2" s="188"/>
      <c r="E2" s="188"/>
      <c r="F2" s="188"/>
      <c r="G2" s="188"/>
      <c r="H2" s="188"/>
    </row>
    <row r="4" spans="1:8" ht="21.95" customHeight="1" x14ac:dyDescent="0.25">
      <c r="A4" s="187" t="s">
        <v>2</v>
      </c>
      <c r="B4" s="188"/>
      <c r="C4" s="188"/>
      <c r="D4" s="188"/>
      <c r="E4" s="188"/>
      <c r="F4" s="188"/>
      <c r="G4" s="188"/>
      <c r="H4" s="188"/>
    </row>
    <row r="5" spans="1:8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5">
      <c r="A6" s="2" t="s">
        <v>11</v>
      </c>
      <c r="B6" s="3">
        <v>0.5</v>
      </c>
      <c r="C6" s="4">
        <v>17</v>
      </c>
      <c r="D6" s="5">
        <v>25</v>
      </c>
      <c r="E6" s="4">
        <v>425</v>
      </c>
      <c r="F6" s="6">
        <v>83.45</v>
      </c>
      <c r="G6" s="2"/>
      <c r="H6" s="2"/>
    </row>
    <row r="7" spans="1:8" x14ac:dyDescent="0.25">
      <c r="A7" s="2" t="s">
        <v>11</v>
      </c>
      <c r="B7" s="3">
        <v>0.6</v>
      </c>
      <c r="C7" s="4">
        <v>406</v>
      </c>
      <c r="D7" s="5">
        <v>25</v>
      </c>
      <c r="E7" s="4">
        <v>10150</v>
      </c>
      <c r="F7" s="6">
        <v>2869.84</v>
      </c>
      <c r="G7" s="2"/>
      <c r="H7" s="2"/>
    </row>
    <row r="8" spans="1:8" x14ac:dyDescent="0.25">
      <c r="A8" s="7" t="s">
        <v>12</v>
      </c>
      <c r="B8" s="7"/>
      <c r="C8" s="8">
        <v>423</v>
      </c>
      <c r="D8" s="7"/>
      <c r="E8" s="8">
        <v>10575</v>
      </c>
      <c r="F8" s="9">
        <v>2953.33</v>
      </c>
      <c r="G8" s="8">
        <v>6175</v>
      </c>
      <c r="H8" s="8">
        <v>41456</v>
      </c>
    </row>
    <row r="9" spans="1:8" x14ac:dyDescent="0.25">
      <c r="A9" s="7" t="s">
        <v>13</v>
      </c>
      <c r="B9" s="7"/>
      <c r="C9" s="7"/>
      <c r="D9" s="7"/>
      <c r="E9" s="7"/>
      <c r="F9" s="8">
        <v>3544</v>
      </c>
      <c r="G9" s="7"/>
      <c r="H9" s="7"/>
    </row>
    <row r="11" spans="1:8" ht="30" customHeight="1" x14ac:dyDescent="0.25">
      <c r="A11" s="1" t="s">
        <v>3</v>
      </c>
      <c r="B11" s="1"/>
      <c r="C11" s="1"/>
      <c r="D11" s="1"/>
      <c r="E11" s="1"/>
      <c r="F11" s="1" t="s">
        <v>8</v>
      </c>
      <c r="G11" s="1" t="s">
        <v>9</v>
      </c>
      <c r="H11" s="1" t="s">
        <v>10</v>
      </c>
    </row>
    <row r="12" spans="1:8" x14ac:dyDescent="0.25">
      <c r="A12" s="2" t="s">
        <v>14</v>
      </c>
      <c r="B12" s="2"/>
      <c r="C12" s="2"/>
      <c r="D12" s="2"/>
      <c r="E12" s="2"/>
      <c r="F12" s="6">
        <v>1424.166666666667</v>
      </c>
      <c r="G12" s="4">
        <v>3002</v>
      </c>
      <c r="H12" s="4">
        <v>20183</v>
      </c>
    </row>
    <row r="13" spans="1:8" x14ac:dyDescent="0.25">
      <c r="A13" s="2" t="s">
        <v>15</v>
      </c>
      <c r="B13" s="2"/>
      <c r="C13" s="2"/>
      <c r="D13" s="2"/>
      <c r="E13" s="2"/>
      <c r="F13" s="6">
        <v>1529.166666666667</v>
      </c>
      <c r="G13" s="4">
        <v>3173</v>
      </c>
      <c r="H13" s="4">
        <v>21273</v>
      </c>
    </row>
    <row r="14" spans="1:8" x14ac:dyDescent="0.25">
      <c r="A14" s="7" t="s">
        <v>16</v>
      </c>
      <c r="B14" s="7"/>
      <c r="C14" s="7"/>
      <c r="D14" s="7"/>
      <c r="E14" s="7"/>
      <c r="F14" s="9">
        <v>2953.333333333333</v>
      </c>
      <c r="G14" s="8">
        <v>6175</v>
      </c>
      <c r="H14" s="8">
        <v>41456</v>
      </c>
    </row>
    <row r="16" spans="1:8" ht="21.95" customHeight="1" x14ac:dyDescent="0.25">
      <c r="A16" s="187" t="s">
        <v>17</v>
      </c>
      <c r="B16" s="188"/>
      <c r="C16" s="188"/>
      <c r="D16" s="188"/>
      <c r="E16" s="188"/>
      <c r="F16" s="188"/>
      <c r="G16" s="188"/>
      <c r="H16" s="188"/>
    </row>
    <row r="17" spans="1:8" x14ac:dyDescent="0.25">
      <c r="A17" s="2" t="s">
        <v>18</v>
      </c>
      <c r="B17" s="2"/>
      <c r="C17" s="2"/>
      <c r="D17" s="2"/>
      <c r="E17" s="2"/>
      <c r="F17" s="10" t="s">
        <v>19</v>
      </c>
      <c r="G17" s="4">
        <v>47631</v>
      </c>
      <c r="H17" s="4">
        <v>47631</v>
      </c>
    </row>
    <row r="18" spans="1:8" x14ac:dyDescent="0.25">
      <c r="A18" s="2" t="s">
        <v>20</v>
      </c>
      <c r="B18" s="2"/>
      <c r="C18" s="2"/>
      <c r="D18" s="2"/>
      <c r="E18" s="2"/>
      <c r="F18" s="2"/>
      <c r="G18" s="11">
        <v>0</v>
      </c>
      <c r="H18" s="2" t="s">
        <v>21</v>
      </c>
    </row>
    <row r="20" spans="1:8" ht="21.95" customHeight="1" x14ac:dyDescent="0.25">
      <c r="A20" s="187" t="s">
        <v>22</v>
      </c>
      <c r="B20" s="188"/>
      <c r="C20" s="188"/>
      <c r="D20" s="188"/>
      <c r="E20" s="188"/>
      <c r="F20" s="188"/>
      <c r="G20" s="188"/>
      <c r="H20" s="188"/>
    </row>
    <row r="21" spans="1:8" ht="30" customHeight="1" x14ac:dyDescent="0.25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F21" s="1"/>
      <c r="G21" s="1"/>
      <c r="H21" s="1"/>
    </row>
    <row r="22" spans="1:8" ht="90" x14ac:dyDescent="0.25">
      <c r="A22" s="2" t="s">
        <v>28</v>
      </c>
      <c r="B22" s="2" t="s">
        <v>29</v>
      </c>
      <c r="C22" s="6">
        <v>0</v>
      </c>
      <c r="D22" s="6">
        <v>1021.75</v>
      </c>
      <c r="E22" s="4">
        <v>112136</v>
      </c>
      <c r="F22" s="2"/>
      <c r="G22" s="2"/>
      <c r="H22" s="2"/>
    </row>
    <row r="23" spans="1:8" ht="30" x14ac:dyDescent="0.25">
      <c r="A23" s="2" t="s">
        <v>30</v>
      </c>
      <c r="B23" s="2" t="s">
        <v>31</v>
      </c>
      <c r="C23" s="6">
        <v>1.44</v>
      </c>
      <c r="D23" s="6">
        <v>0.216</v>
      </c>
      <c r="E23" s="4">
        <v>15</v>
      </c>
      <c r="F23" s="2"/>
      <c r="G23" s="2"/>
      <c r="H23" s="2"/>
    </row>
    <row r="24" spans="1:8" ht="45" x14ac:dyDescent="0.25">
      <c r="A24" s="2" t="s">
        <v>30</v>
      </c>
      <c r="B24" s="2" t="s">
        <v>32</v>
      </c>
      <c r="C24" s="6">
        <v>746.31</v>
      </c>
      <c r="D24" s="6">
        <v>750.96699999999998</v>
      </c>
      <c r="E24" s="4">
        <v>66021</v>
      </c>
      <c r="F24" s="2"/>
      <c r="G24" s="2"/>
      <c r="H24" s="2"/>
    </row>
    <row r="26" spans="1:8" ht="30" customHeight="1" x14ac:dyDescent="0.25">
      <c r="A26" s="1" t="s">
        <v>33</v>
      </c>
      <c r="B26" s="1"/>
      <c r="C26" s="1"/>
      <c r="D26" s="1" t="s">
        <v>26</v>
      </c>
      <c r="E26" s="1" t="s">
        <v>34</v>
      </c>
      <c r="F26" s="1"/>
      <c r="G26" s="1"/>
      <c r="H26" s="1"/>
    </row>
    <row r="27" spans="1:8" x14ac:dyDescent="0.25">
      <c r="A27" s="2" t="s">
        <v>35</v>
      </c>
      <c r="B27" s="2"/>
      <c r="C27" s="2"/>
      <c r="D27" s="6">
        <v>2200</v>
      </c>
      <c r="E27" s="4">
        <v>47631</v>
      </c>
      <c r="F27" s="2"/>
      <c r="G27" s="2"/>
      <c r="H27" s="2"/>
    </row>
    <row r="28" spans="1:8" x14ac:dyDescent="0.25">
      <c r="A28" s="2" t="s">
        <v>36</v>
      </c>
      <c r="B28" s="2"/>
      <c r="C28" s="2"/>
      <c r="D28" s="6">
        <v>2066.36</v>
      </c>
      <c r="E28" s="4">
        <v>213051</v>
      </c>
      <c r="F28" s="2"/>
      <c r="G28" s="2"/>
      <c r="H28" s="2"/>
    </row>
    <row r="29" spans="1:8" x14ac:dyDescent="0.25">
      <c r="A29" s="2" t="s">
        <v>37</v>
      </c>
      <c r="B29" s="2"/>
      <c r="C29" s="2"/>
      <c r="D29" s="6">
        <v>15597.7</v>
      </c>
      <c r="E29" s="4">
        <v>1683602</v>
      </c>
      <c r="F29" s="2"/>
      <c r="G29" s="2"/>
      <c r="H29" s="2"/>
    </row>
  </sheetData>
  <mergeCells count="5">
    <mergeCell ref="A4:H4"/>
    <mergeCell ref="A20:H20"/>
    <mergeCell ref="A16:H16"/>
    <mergeCell ref="A2:H2"/>
    <mergeCell ref="A1:H1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4"/>
  <sheetViews>
    <sheetView topLeftCell="A13" workbookViewId="0">
      <selection activeCell="O13" sqref="O13"/>
    </sheetView>
  </sheetViews>
  <sheetFormatPr defaultRowHeight="15" x14ac:dyDescent="0.25"/>
  <cols>
    <col min="1" max="1" width="21.28515625" customWidth="1"/>
    <col min="2" max="2" width="14" customWidth="1"/>
    <col min="3" max="11" width="10" customWidth="1"/>
    <col min="12" max="13" width="14" customWidth="1"/>
  </cols>
  <sheetData>
    <row r="1" spans="1:13" ht="17.25" x14ac:dyDescent="0.3">
      <c r="A1" s="191" t="s">
        <v>38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3" spans="1:13" ht="30" customHeight="1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27</v>
      </c>
      <c r="M3" s="1" t="s">
        <v>8</v>
      </c>
    </row>
    <row r="4" spans="1:13" x14ac:dyDescent="0.25">
      <c r="A4" s="2" t="s">
        <v>50</v>
      </c>
      <c r="B4" s="2" t="s">
        <v>51</v>
      </c>
      <c r="C4" s="4">
        <v>0</v>
      </c>
      <c r="D4" s="4">
        <v>218</v>
      </c>
      <c r="E4" s="4">
        <v>553</v>
      </c>
      <c r="F4" s="4">
        <v>531</v>
      </c>
      <c r="G4" s="4">
        <v>474</v>
      </c>
      <c r="H4" s="4">
        <v>1492</v>
      </c>
      <c r="I4" s="4">
        <v>1453</v>
      </c>
      <c r="J4" s="4">
        <v>2020</v>
      </c>
      <c r="K4" s="4">
        <v>0</v>
      </c>
      <c r="L4" s="4">
        <v>6741</v>
      </c>
      <c r="M4" s="6">
        <v>58.7</v>
      </c>
    </row>
    <row r="5" spans="1:13" x14ac:dyDescent="0.25">
      <c r="A5" s="2" t="s">
        <v>50</v>
      </c>
      <c r="B5" s="2" t="s">
        <v>52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6">
        <v>0</v>
      </c>
    </row>
    <row r="6" spans="1:13" x14ac:dyDescent="0.25">
      <c r="A6" s="2" t="s">
        <v>50</v>
      </c>
      <c r="B6" s="2" t="s">
        <v>53</v>
      </c>
      <c r="C6" s="4">
        <v>1068</v>
      </c>
      <c r="D6" s="4">
        <v>0</v>
      </c>
      <c r="E6" s="4">
        <v>76</v>
      </c>
      <c r="F6" s="4">
        <v>3868</v>
      </c>
      <c r="G6" s="4">
        <v>1310</v>
      </c>
      <c r="H6" s="4">
        <v>0</v>
      </c>
      <c r="I6" s="4">
        <v>0</v>
      </c>
      <c r="J6" s="4">
        <v>0</v>
      </c>
      <c r="K6" s="4">
        <v>0</v>
      </c>
      <c r="L6" s="4">
        <v>6322</v>
      </c>
      <c r="M6" s="6">
        <v>90.8</v>
      </c>
    </row>
    <row r="7" spans="1:13" x14ac:dyDescent="0.25">
      <c r="A7" s="2" t="s">
        <v>50</v>
      </c>
      <c r="B7" s="2" t="s">
        <v>54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6">
        <v>0</v>
      </c>
    </row>
    <row r="8" spans="1:13" x14ac:dyDescent="0.25">
      <c r="A8" s="2" t="s">
        <v>50</v>
      </c>
      <c r="B8" s="2" t="s">
        <v>55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6">
        <v>0</v>
      </c>
    </row>
    <row r="9" spans="1:13" x14ac:dyDescent="0.25">
      <c r="A9" s="2" t="s">
        <v>50</v>
      </c>
      <c r="B9" s="2" t="s">
        <v>56</v>
      </c>
      <c r="C9" s="4">
        <v>0</v>
      </c>
      <c r="D9" s="4">
        <v>75</v>
      </c>
      <c r="E9" s="4">
        <v>160</v>
      </c>
      <c r="F9" s="4">
        <v>1785</v>
      </c>
      <c r="G9" s="4">
        <v>861</v>
      </c>
      <c r="H9" s="4">
        <v>6907</v>
      </c>
      <c r="I9" s="4">
        <v>20136</v>
      </c>
      <c r="J9" s="4">
        <v>31531</v>
      </c>
      <c r="K9" s="4">
        <v>53447</v>
      </c>
      <c r="L9" s="4">
        <v>114902</v>
      </c>
      <c r="M9" s="6">
        <v>1021.75</v>
      </c>
    </row>
    <row r="10" spans="1:13" ht="30" x14ac:dyDescent="0.25">
      <c r="A10" s="2" t="s">
        <v>50</v>
      </c>
      <c r="B10" s="2" t="s">
        <v>57</v>
      </c>
      <c r="C10" s="4">
        <v>0</v>
      </c>
      <c r="D10" s="4">
        <v>0</v>
      </c>
      <c r="E10" s="4">
        <v>169</v>
      </c>
      <c r="F10" s="4">
        <v>361</v>
      </c>
      <c r="G10" s="4">
        <v>1691</v>
      </c>
      <c r="H10" s="4">
        <v>0</v>
      </c>
      <c r="I10" s="4">
        <v>647.27272727272725</v>
      </c>
      <c r="J10" s="4">
        <v>0</v>
      </c>
      <c r="K10" s="4">
        <v>0</v>
      </c>
      <c r="L10" s="4">
        <v>2868.272727272727</v>
      </c>
      <c r="M10" s="6">
        <v>22.5</v>
      </c>
    </row>
    <row r="11" spans="1:13" x14ac:dyDescent="0.25">
      <c r="A11" s="2" t="s">
        <v>50</v>
      </c>
      <c r="B11" s="2" t="s">
        <v>58</v>
      </c>
      <c r="C11" s="4">
        <v>0</v>
      </c>
      <c r="D11" s="4">
        <v>0</v>
      </c>
      <c r="E11" s="4">
        <v>358</v>
      </c>
      <c r="F11" s="4">
        <v>1165</v>
      </c>
      <c r="G11" s="4">
        <v>11</v>
      </c>
      <c r="H11" s="4">
        <v>749.99999999999989</v>
      </c>
      <c r="I11" s="4">
        <v>0</v>
      </c>
      <c r="J11" s="4">
        <v>0</v>
      </c>
      <c r="K11" s="4">
        <v>0</v>
      </c>
      <c r="L11" s="4">
        <v>2284</v>
      </c>
      <c r="M11" s="6">
        <v>22.3</v>
      </c>
    </row>
    <row r="12" spans="1:13" x14ac:dyDescent="0.25">
      <c r="A12" s="7" t="s">
        <v>50</v>
      </c>
      <c r="B12" s="7" t="s">
        <v>37</v>
      </c>
      <c r="C12" s="8">
        <v>1068</v>
      </c>
      <c r="D12" s="8">
        <v>293</v>
      </c>
      <c r="E12" s="8">
        <v>1316</v>
      </c>
      <c r="F12" s="8">
        <v>7710</v>
      </c>
      <c r="G12" s="8">
        <v>4347</v>
      </c>
      <c r="H12" s="8">
        <v>9149</v>
      </c>
      <c r="I12" s="8">
        <v>22236.272727272732</v>
      </c>
      <c r="J12" s="8">
        <v>33551</v>
      </c>
      <c r="K12" s="8">
        <v>53447</v>
      </c>
      <c r="L12" s="8">
        <v>133117.27272727271</v>
      </c>
      <c r="M12" s="9">
        <v>1216.05</v>
      </c>
    </row>
    <row r="13" spans="1:13" x14ac:dyDescent="0.25">
      <c r="A13" s="2" t="s">
        <v>59</v>
      </c>
      <c r="B13" s="2" t="s">
        <v>51</v>
      </c>
      <c r="C13" s="4">
        <v>0</v>
      </c>
      <c r="D13" s="4">
        <v>198</v>
      </c>
      <c r="E13" s="4">
        <v>633</v>
      </c>
      <c r="F13" s="4">
        <v>19</v>
      </c>
      <c r="G13" s="4">
        <v>423</v>
      </c>
      <c r="H13" s="4">
        <v>736</v>
      </c>
      <c r="I13" s="4">
        <v>707</v>
      </c>
      <c r="J13" s="4">
        <v>1221</v>
      </c>
      <c r="K13" s="4">
        <v>0</v>
      </c>
      <c r="L13" s="4">
        <v>3937</v>
      </c>
      <c r="M13" s="6">
        <v>39</v>
      </c>
    </row>
    <row r="14" spans="1:13" x14ac:dyDescent="0.25">
      <c r="A14" s="2" t="s">
        <v>59</v>
      </c>
      <c r="B14" s="2" t="s">
        <v>52</v>
      </c>
      <c r="C14" s="4">
        <v>0</v>
      </c>
      <c r="D14" s="4">
        <v>115</v>
      </c>
      <c r="E14" s="4">
        <v>143</v>
      </c>
      <c r="F14" s="4">
        <v>1617</v>
      </c>
      <c r="G14" s="4">
        <v>194</v>
      </c>
      <c r="H14" s="4">
        <v>111</v>
      </c>
      <c r="I14" s="4">
        <v>567</v>
      </c>
      <c r="J14" s="4">
        <v>3951</v>
      </c>
      <c r="K14" s="4">
        <v>7767</v>
      </c>
      <c r="L14" s="4">
        <v>14465</v>
      </c>
      <c r="M14" s="6">
        <v>56.4</v>
      </c>
    </row>
    <row r="15" spans="1:13" x14ac:dyDescent="0.25">
      <c r="A15" s="2" t="s">
        <v>59</v>
      </c>
      <c r="B15" s="2" t="s">
        <v>53</v>
      </c>
      <c r="C15" s="4">
        <v>1046</v>
      </c>
      <c r="D15" s="4">
        <v>0</v>
      </c>
      <c r="E15" s="4">
        <v>0</v>
      </c>
      <c r="F15" s="4">
        <v>2012</v>
      </c>
      <c r="G15" s="4">
        <v>930</v>
      </c>
      <c r="H15" s="4">
        <v>1314</v>
      </c>
      <c r="I15" s="4">
        <v>2937</v>
      </c>
      <c r="J15" s="4">
        <v>0</v>
      </c>
      <c r="K15" s="4">
        <v>0</v>
      </c>
      <c r="L15" s="4">
        <v>8239</v>
      </c>
      <c r="M15" s="6">
        <v>105.5</v>
      </c>
    </row>
    <row r="16" spans="1:13" x14ac:dyDescent="0.25">
      <c r="A16" s="2" t="s">
        <v>59</v>
      </c>
      <c r="B16" s="2" t="s">
        <v>54</v>
      </c>
      <c r="C16" s="4">
        <v>0</v>
      </c>
      <c r="D16" s="4">
        <v>0</v>
      </c>
      <c r="E16" s="4">
        <v>0</v>
      </c>
      <c r="F16" s="4">
        <v>0</v>
      </c>
      <c r="G16" s="4">
        <v>186</v>
      </c>
      <c r="H16" s="4">
        <v>0</v>
      </c>
      <c r="I16" s="4">
        <v>0</v>
      </c>
      <c r="J16" s="4">
        <v>0</v>
      </c>
      <c r="K16" s="4">
        <v>0</v>
      </c>
      <c r="L16" s="4">
        <v>186</v>
      </c>
      <c r="M16" s="6">
        <v>2.1</v>
      </c>
    </row>
    <row r="17" spans="1:13" x14ac:dyDescent="0.25">
      <c r="A17" s="2" t="s">
        <v>59</v>
      </c>
      <c r="B17" s="2" t="s">
        <v>55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6">
        <v>0</v>
      </c>
    </row>
    <row r="18" spans="1:13" x14ac:dyDescent="0.25">
      <c r="A18" s="7" t="s">
        <v>59</v>
      </c>
      <c r="B18" s="7" t="s">
        <v>37</v>
      </c>
      <c r="C18" s="8">
        <v>1046</v>
      </c>
      <c r="D18" s="8">
        <v>313</v>
      </c>
      <c r="E18" s="8">
        <v>776</v>
      </c>
      <c r="F18" s="8">
        <v>3648</v>
      </c>
      <c r="G18" s="8">
        <v>1733</v>
      </c>
      <c r="H18" s="8">
        <v>2161</v>
      </c>
      <c r="I18" s="8">
        <v>4211</v>
      </c>
      <c r="J18" s="8">
        <v>5172</v>
      </c>
      <c r="K18" s="8">
        <v>7767</v>
      </c>
      <c r="L18" s="8">
        <v>26827</v>
      </c>
      <c r="M18" s="9">
        <v>203</v>
      </c>
    </row>
    <row r="19" spans="1:13" x14ac:dyDescent="0.25">
      <c r="A19" s="2" t="s">
        <v>60</v>
      </c>
      <c r="B19" s="2" t="s">
        <v>51</v>
      </c>
      <c r="C19" s="4">
        <v>0</v>
      </c>
      <c r="D19" s="4">
        <v>136</v>
      </c>
      <c r="E19" s="4">
        <v>278</v>
      </c>
      <c r="F19" s="4">
        <v>62</v>
      </c>
      <c r="G19" s="4">
        <v>254</v>
      </c>
      <c r="H19" s="4">
        <v>474</v>
      </c>
      <c r="I19" s="4">
        <v>2103</v>
      </c>
      <c r="J19" s="4">
        <v>255</v>
      </c>
      <c r="K19" s="4">
        <v>4323</v>
      </c>
      <c r="L19" s="4">
        <v>7885</v>
      </c>
      <c r="M19" s="6">
        <v>46.4</v>
      </c>
    </row>
    <row r="20" spans="1:13" x14ac:dyDescent="0.25">
      <c r="A20" s="2" t="s">
        <v>60</v>
      </c>
      <c r="B20" s="2" t="s">
        <v>52</v>
      </c>
      <c r="C20" s="4">
        <v>0</v>
      </c>
      <c r="D20" s="4">
        <v>104</v>
      </c>
      <c r="E20" s="4">
        <v>500</v>
      </c>
      <c r="F20" s="4">
        <v>724</v>
      </c>
      <c r="G20" s="4">
        <v>162</v>
      </c>
      <c r="H20" s="4">
        <v>173</v>
      </c>
      <c r="I20" s="4">
        <v>1370</v>
      </c>
      <c r="J20" s="4">
        <v>3187</v>
      </c>
      <c r="K20" s="4">
        <v>4153</v>
      </c>
      <c r="L20" s="4">
        <v>10373</v>
      </c>
      <c r="M20" s="6">
        <v>44.3</v>
      </c>
    </row>
    <row r="21" spans="1:13" x14ac:dyDescent="0.25">
      <c r="A21" s="2" t="s">
        <v>60</v>
      </c>
      <c r="B21" s="2" t="s">
        <v>53</v>
      </c>
      <c r="C21" s="4">
        <v>1046</v>
      </c>
      <c r="D21" s="4">
        <v>0</v>
      </c>
      <c r="E21" s="4">
        <v>0</v>
      </c>
      <c r="F21" s="4">
        <v>1571</v>
      </c>
      <c r="G21" s="4">
        <v>1661</v>
      </c>
      <c r="H21" s="4">
        <v>947</v>
      </c>
      <c r="I21" s="4">
        <v>4629</v>
      </c>
      <c r="J21" s="4">
        <v>0</v>
      </c>
      <c r="K21" s="4">
        <v>0</v>
      </c>
      <c r="L21" s="4">
        <v>9854</v>
      </c>
      <c r="M21" s="6">
        <v>108.7</v>
      </c>
    </row>
    <row r="22" spans="1:13" x14ac:dyDescent="0.25">
      <c r="A22" s="2" t="s">
        <v>60</v>
      </c>
      <c r="B22" s="2" t="s">
        <v>54</v>
      </c>
      <c r="C22" s="4">
        <v>0</v>
      </c>
      <c r="D22" s="4">
        <v>0</v>
      </c>
      <c r="E22" s="4">
        <v>0</v>
      </c>
      <c r="F22" s="4">
        <v>0</v>
      </c>
      <c r="G22" s="4">
        <v>209.75</v>
      </c>
      <c r="H22" s="4">
        <v>0</v>
      </c>
      <c r="I22" s="4">
        <v>0</v>
      </c>
      <c r="J22" s="4">
        <v>0</v>
      </c>
      <c r="K22" s="4">
        <v>0</v>
      </c>
      <c r="L22" s="4">
        <v>209.75</v>
      </c>
      <c r="M22" s="6">
        <v>2.2999999999999998</v>
      </c>
    </row>
    <row r="23" spans="1:13" x14ac:dyDescent="0.25">
      <c r="A23" s="2" t="s">
        <v>60</v>
      </c>
      <c r="B23" s="2" t="s">
        <v>55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6">
        <v>0</v>
      </c>
    </row>
    <row r="24" spans="1:13" x14ac:dyDescent="0.25">
      <c r="A24" s="7" t="s">
        <v>60</v>
      </c>
      <c r="B24" s="7" t="s">
        <v>37</v>
      </c>
      <c r="C24" s="8">
        <v>1046</v>
      </c>
      <c r="D24" s="8">
        <v>240</v>
      </c>
      <c r="E24" s="8">
        <v>778</v>
      </c>
      <c r="F24" s="8">
        <v>2357</v>
      </c>
      <c r="G24" s="8">
        <v>2286.75</v>
      </c>
      <c r="H24" s="8">
        <v>1594</v>
      </c>
      <c r="I24" s="8">
        <v>8102</v>
      </c>
      <c r="J24" s="8">
        <v>3442</v>
      </c>
      <c r="K24" s="8">
        <v>8476</v>
      </c>
      <c r="L24" s="8">
        <v>28321.75</v>
      </c>
      <c r="M24" s="9">
        <v>201.7</v>
      </c>
    </row>
    <row r="25" spans="1:13" x14ac:dyDescent="0.25">
      <c r="A25" s="2" t="s">
        <v>61</v>
      </c>
      <c r="B25" s="2" t="s">
        <v>51</v>
      </c>
      <c r="C25" s="4">
        <v>0</v>
      </c>
      <c r="D25" s="4">
        <v>138</v>
      </c>
      <c r="E25" s="4">
        <v>280</v>
      </c>
      <c r="F25" s="4">
        <v>78</v>
      </c>
      <c r="G25" s="4">
        <v>73</v>
      </c>
      <c r="H25" s="4">
        <v>531</v>
      </c>
      <c r="I25" s="4">
        <v>347</v>
      </c>
      <c r="J25" s="4">
        <v>431</v>
      </c>
      <c r="K25" s="4">
        <v>0</v>
      </c>
      <c r="L25" s="4">
        <v>1878</v>
      </c>
      <c r="M25" s="6">
        <v>18.399999999999999</v>
      </c>
    </row>
    <row r="26" spans="1:13" x14ac:dyDescent="0.25">
      <c r="A26" s="2" t="s">
        <v>61</v>
      </c>
      <c r="B26" s="2" t="s">
        <v>52</v>
      </c>
      <c r="C26" s="4">
        <v>0</v>
      </c>
      <c r="D26" s="4">
        <v>160</v>
      </c>
      <c r="E26" s="4">
        <v>500</v>
      </c>
      <c r="F26" s="4">
        <v>769</v>
      </c>
      <c r="G26" s="4">
        <v>0</v>
      </c>
      <c r="H26" s="4">
        <v>140</v>
      </c>
      <c r="I26" s="4">
        <v>1370</v>
      </c>
      <c r="J26" s="4">
        <v>3636</v>
      </c>
      <c r="K26" s="4">
        <v>3145</v>
      </c>
      <c r="L26" s="4">
        <v>9720</v>
      </c>
      <c r="M26" s="6">
        <v>46.7</v>
      </c>
    </row>
    <row r="27" spans="1:13" x14ac:dyDescent="0.25">
      <c r="A27" s="2" t="s">
        <v>61</v>
      </c>
      <c r="B27" s="2" t="s">
        <v>53</v>
      </c>
      <c r="C27" s="4">
        <v>1090</v>
      </c>
      <c r="D27" s="4">
        <v>0</v>
      </c>
      <c r="E27" s="4">
        <v>0</v>
      </c>
      <c r="F27" s="4">
        <v>1559</v>
      </c>
      <c r="G27" s="4">
        <v>1486</v>
      </c>
      <c r="H27" s="4">
        <v>1421</v>
      </c>
      <c r="I27" s="4">
        <v>5552</v>
      </c>
      <c r="J27" s="4">
        <v>0</v>
      </c>
      <c r="K27" s="4">
        <v>0</v>
      </c>
      <c r="L27" s="4">
        <v>11108</v>
      </c>
      <c r="M27" s="6">
        <v>112.6</v>
      </c>
    </row>
    <row r="28" spans="1:13" x14ac:dyDescent="0.25">
      <c r="A28" s="2" t="s">
        <v>61</v>
      </c>
      <c r="B28" s="2" t="s">
        <v>54</v>
      </c>
      <c r="C28" s="4">
        <v>0</v>
      </c>
      <c r="D28" s="4">
        <v>0</v>
      </c>
      <c r="E28" s="4">
        <v>0</v>
      </c>
      <c r="F28" s="4">
        <v>0</v>
      </c>
      <c r="G28" s="4">
        <v>209.75</v>
      </c>
      <c r="H28" s="4">
        <v>0</v>
      </c>
      <c r="I28" s="4">
        <v>0</v>
      </c>
      <c r="J28" s="4">
        <v>0</v>
      </c>
      <c r="K28" s="4">
        <v>0</v>
      </c>
      <c r="L28" s="4">
        <v>209.75</v>
      </c>
      <c r="M28" s="6">
        <v>2.2999999999999998</v>
      </c>
    </row>
    <row r="29" spans="1:13" x14ac:dyDescent="0.25">
      <c r="A29" s="2" t="s">
        <v>61</v>
      </c>
      <c r="B29" s="2" t="s">
        <v>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6">
        <v>0</v>
      </c>
    </row>
    <row r="30" spans="1:13" x14ac:dyDescent="0.25">
      <c r="A30" s="7" t="s">
        <v>61</v>
      </c>
      <c r="B30" s="7" t="s">
        <v>37</v>
      </c>
      <c r="C30" s="8">
        <v>1090</v>
      </c>
      <c r="D30" s="8">
        <v>298</v>
      </c>
      <c r="E30" s="8">
        <v>780</v>
      </c>
      <c r="F30" s="8">
        <v>2406</v>
      </c>
      <c r="G30" s="8">
        <v>1768.75</v>
      </c>
      <c r="H30" s="8">
        <v>2092</v>
      </c>
      <c r="I30" s="8">
        <v>7269</v>
      </c>
      <c r="J30" s="8">
        <v>4067</v>
      </c>
      <c r="K30" s="8">
        <v>3145</v>
      </c>
      <c r="L30" s="8">
        <v>22915.75</v>
      </c>
      <c r="M30" s="9">
        <v>180</v>
      </c>
    </row>
    <row r="31" spans="1:13" x14ac:dyDescent="0.25">
      <c r="A31" s="2" t="s">
        <v>62</v>
      </c>
      <c r="B31" s="2" t="s">
        <v>51</v>
      </c>
      <c r="C31" s="4">
        <v>0</v>
      </c>
      <c r="D31" s="4">
        <v>140</v>
      </c>
      <c r="E31" s="4">
        <v>261</v>
      </c>
      <c r="F31" s="4">
        <v>106</v>
      </c>
      <c r="G31" s="4">
        <v>76</v>
      </c>
      <c r="H31" s="4">
        <v>541</v>
      </c>
      <c r="I31" s="4">
        <v>356</v>
      </c>
      <c r="J31" s="4">
        <v>466</v>
      </c>
      <c r="K31" s="4">
        <v>0</v>
      </c>
      <c r="L31" s="4">
        <v>1946</v>
      </c>
      <c r="M31" s="6">
        <v>18.399999999999999</v>
      </c>
    </row>
    <row r="32" spans="1:13" x14ac:dyDescent="0.25">
      <c r="A32" s="2" t="s">
        <v>62</v>
      </c>
      <c r="B32" s="2" t="s">
        <v>52</v>
      </c>
      <c r="C32" s="4">
        <v>0</v>
      </c>
      <c r="D32" s="4">
        <v>138</v>
      </c>
      <c r="E32" s="4">
        <v>527</v>
      </c>
      <c r="F32" s="4">
        <v>726</v>
      </c>
      <c r="G32" s="4">
        <v>0</v>
      </c>
      <c r="H32" s="4">
        <v>144</v>
      </c>
      <c r="I32" s="4">
        <v>1370</v>
      </c>
      <c r="J32" s="4">
        <v>3759</v>
      </c>
      <c r="K32" s="4">
        <v>2651</v>
      </c>
      <c r="L32" s="4">
        <v>9315</v>
      </c>
      <c r="M32" s="6">
        <v>46.5</v>
      </c>
    </row>
    <row r="33" spans="1:13" x14ac:dyDescent="0.25">
      <c r="A33" s="2" t="s">
        <v>62</v>
      </c>
      <c r="B33" s="2" t="s">
        <v>53</v>
      </c>
      <c r="C33" s="4">
        <v>1090</v>
      </c>
      <c r="D33" s="4">
        <v>0</v>
      </c>
      <c r="E33" s="4">
        <v>0</v>
      </c>
      <c r="F33" s="4">
        <v>1559</v>
      </c>
      <c r="G33" s="4">
        <v>1486</v>
      </c>
      <c r="H33" s="4">
        <v>1421</v>
      </c>
      <c r="I33" s="4">
        <v>5552</v>
      </c>
      <c r="J33" s="4">
        <v>0</v>
      </c>
      <c r="K33" s="4">
        <v>0</v>
      </c>
      <c r="L33" s="4">
        <v>11108</v>
      </c>
      <c r="M33" s="6">
        <v>112.6</v>
      </c>
    </row>
    <row r="34" spans="1:13" x14ac:dyDescent="0.25">
      <c r="A34" s="2" t="s">
        <v>62</v>
      </c>
      <c r="B34" s="2" t="s">
        <v>54</v>
      </c>
      <c r="C34" s="4">
        <v>0</v>
      </c>
      <c r="D34" s="4">
        <v>0</v>
      </c>
      <c r="E34" s="4">
        <v>0</v>
      </c>
      <c r="F34" s="4">
        <v>0</v>
      </c>
      <c r="G34" s="4">
        <v>209.75</v>
      </c>
      <c r="H34" s="4">
        <v>0</v>
      </c>
      <c r="I34" s="4">
        <v>0</v>
      </c>
      <c r="J34" s="4">
        <v>0</v>
      </c>
      <c r="K34" s="4">
        <v>0</v>
      </c>
      <c r="L34" s="4">
        <v>209.75</v>
      </c>
      <c r="M34" s="6">
        <v>2.2999999999999998</v>
      </c>
    </row>
    <row r="35" spans="1:13" x14ac:dyDescent="0.25">
      <c r="A35" s="2" t="s">
        <v>62</v>
      </c>
      <c r="B35" s="2" t="s">
        <v>55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6">
        <v>0</v>
      </c>
    </row>
    <row r="36" spans="1:13" x14ac:dyDescent="0.25">
      <c r="A36" s="7" t="s">
        <v>62</v>
      </c>
      <c r="B36" s="7" t="s">
        <v>37</v>
      </c>
      <c r="C36" s="8">
        <v>1090</v>
      </c>
      <c r="D36" s="8">
        <v>278</v>
      </c>
      <c r="E36" s="8">
        <v>788</v>
      </c>
      <c r="F36" s="8">
        <v>2391</v>
      </c>
      <c r="G36" s="8">
        <v>1771.75</v>
      </c>
      <c r="H36" s="8">
        <v>2106</v>
      </c>
      <c r="I36" s="8">
        <v>7278</v>
      </c>
      <c r="J36" s="8">
        <v>4225</v>
      </c>
      <c r="K36" s="8">
        <v>2651</v>
      </c>
      <c r="L36" s="8">
        <v>22578.75</v>
      </c>
      <c r="M36" s="9">
        <v>179.8</v>
      </c>
    </row>
    <row r="37" spans="1:13" x14ac:dyDescent="0.25">
      <c r="A37" s="2" t="s">
        <v>63</v>
      </c>
      <c r="B37" s="2" t="s">
        <v>51</v>
      </c>
      <c r="C37" s="4">
        <v>0</v>
      </c>
      <c r="D37" s="4">
        <v>143</v>
      </c>
      <c r="E37" s="4">
        <v>247</v>
      </c>
      <c r="F37" s="4">
        <v>125</v>
      </c>
      <c r="G37" s="4">
        <v>71</v>
      </c>
      <c r="H37" s="4">
        <v>465</v>
      </c>
      <c r="I37" s="4">
        <v>506</v>
      </c>
      <c r="J37" s="4">
        <v>495</v>
      </c>
      <c r="K37" s="4">
        <v>0</v>
      </c>
      <c r="L37" s="4">
        <v>2052</v>
      </c>
      <c r="M37" s="6">
        <v>18.399999999999999</v>
      </c>
    </row>
    <row r="38" spans="1:13" x14ac:dyDescent="0.25">
      <c r="A38" s="2" t="s">
        <v>63</v>
      </c>
      <c r="B38" s="2" t="s">
        <v>52</v>
      </c>
      <c r="C38" s="4">
        <v>0</v>
      </c>
      <c r="D38" s="4">
        <v>160</v>
      </c>
      <c r="E38" s="4">
        <v>560</v>
      </c>
      <c r="F38" s="4">
        <v>616</v>
      </c>
      <c r="G38" s="4">
        <v>0</v>
      </c>
      <c r="H38" s="4">
        <v>154</v>
      </c>
      <c r="I38" s="4">
        <v>1766</v>
      </c>
      <c r="J38" s="4">
        <v>2950</v>
      </c>
      <c r="K38" s="4">
        <v>2651</v>
      </c>
      <c r="L38" s="4">
        <v>8857</v>
      </c>
      <c r="M38" s="6">
        <v>46.7</v>
      </c>
    </row>
    <row r="39" spans="1:13" x14ac:dyDescent="0.25">
      <c r="A39" s="2" t="s">
        <v>63</v>
      </c>
      <c r="B39" s="2" t="s">
        <v>53</v>
      </c>
      <c r="C39" s="4">
        <v>1090</v>
      </c>
      <c r="D39" s="4">
        <v>0</v>
      </c>
      <c r="E39" s="4">
        <v>0</v>
      </c>
      <c r="F39" s="4">
        <v>1559</v>
      </c>
      <c r="G39" s="4">
        <v>1486</v>
      </c>
      <c r="H39" s="4">
        <v>1421</v>
      </c>
      <c r="I39" s="4">
        <v>5552</v>
      </c>
      <c r="J39" s="4">
        <v>0</v>
      </c>
      <c r="K39" s="4">
        <v>0</v>
      </c>
      <c r="L39" s="4">
        <v>11108</v>
      </c>
      <c r="M39" s="6">
        <v>112.6</v>
      </c>
    </row>
    <row r="40" spans="1:13" x14ac:dyDescent="0.25">
      <c r="A40" s="2" t="s">
        <v>63</v>
      </c>
      <c r="B40" s="2" t="s">
        <v>54</v>
      </c>
      <c r="C40" s="4">
        <v>0</v>
      </c>
      <c r="D40" s="4">
        <v>0</v>
      </c>
      <c r="E40" s="4">
        <v>0</v>
      </c>
      <c r="F40" s="4">
        <v>0</v>
      </c>
      <c r="G40" s="4">
        <v>209.75</v>
      </c>
      <c r="H40" s="4">
        <v>0</v>
      </c>
      <c r="I40" s="4">
        <v>0</v>
      </c>
      <c r="J40" s="4">
        <v>0</v>
      </c>
      <c r="K40" s="4">
        <v>0</v>
      </c>
      <c r="L40" s="4">
        <v>209.75</v>
      </c>
      <c r="M40" s="6">
        <v>2.2999999999999998</v>
      </c>
    </row>
    <row r="41" spans="1:13" x14ac:dyDescent="0.25">
      <c r="A41" s="2" t="s">
        <v>63</v>
      </c>
      <c r="B41" s="2" t="s">
        <v>55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6">
        <v>0</v>
      </c>
    </row>
    <row r="42" spans="1:13" x14ac:dyDescent="0.25">
      <c r="A42" s="7" t="s">
        <v>63</v>
      </c>
      <c r="B42" s="7" t="s">
        <v>37</v>
      </c>
      <c r="C42" s="8">
        <v>1090</v>
      </c>
      <c r="D42" s="8">
        <v>303</v>
      </c>
      <c r="E42" s="8">
        <v>807</v>
      </c>
      <c r="F42" s="8">
        <v>2300</v>
      </c>
      <c r="G42" s="8">
        <v>1766.75</v>
      </c>
      <c r="H42" s="8">
        <v>2040</v>
      </c>
      <c r="I42" s="8">
        <v>7824</v>
      </c>
      <c r="J42" s="8">
        <v>3445</v>
      </c>
      <c r="K42" s="8">
        <v>2651</v>
      </c>
      <c r="L42" s="8">
        <v>22226.75</v>
      </c>
      <c r="M42" s="9">
        <v>180</v>
      </c>
    </row>
    <row r="43" spans="1:13" x14ac:dyDescent="0.25">
      <c r="A43" s="2" t="s">
        <v>64</v>
      </c>
      <c r="B43" s="2" t="s">
        <v>51</v>
      </c>
      <c r="C43" s="4">
        <v>0</v>
      </c>
      <c r="D43" s="4">
        <v>206</v>
      </c>
      <c r="E43" s="4">
        <v>492</v>
      </c>
      <c r="F43" s="4">
        <v>1268</v>
      </c>
      <c r="G43" s="4">
        <v>10</v>
      </c>
      <c r="H43" s="4">
        <v>426</v>
      </c>
      <c r="I43" s="4">
        <v>1472</v>
      </c>
      <c r="J43" s="4">
        <v>1538</v>
      </c>
      <c r="K43" s="4">
        <v>0</v>
      </c>
      <c r="L43" s="4">
        <v>5412</v>
      </c>
      <c r="M43" s="6">
        <v>39.799999999999997</v>
      </c>
    </row>
    <row r="44" spans="1:13" x14ac:dyDescent="0.25">
      <c r="A44" s="2" t="s">
        <v>64</v>
      </c>
      <c r="B44" s="2" t="s">
        <v>52</v>
      </c>
      <c r="C44" s="4">
        <v>0</v>
      </c>
      <c r="D44" s="4">
        <v>195</v>
      </c>
      <c r="E44" s="4">
        <v>644</v>
      </c>
      <c r="F44" s="4">
        <v>708</v>
      </c>
      <c r="G44" s="4">
        <v>0</v>
      </c>
      <c r="H44" s="4">
        <v>150</v>
      </c>
      <c r="I44" s="4">
        <v>1987</v>
      </c>
      <c r="J44" s="4">
        <v>3319</v>
      </c>
      <c r="K44" s="4">
        <v>2990</v>
      </c>
      <c r="L44" s="4">
        <v>9993</v>
      </c>
      <c r="M44" s="6">
        <v>51.3</v>
      </c>
    </row>
    <row r="45" spans="1:13" x14ac:dyDescent="0.25">
      <c r="A45" s="2" t="s">
        <v>64</v>
      </c>
      <c r="B45" s="2" t="s">
        <v>53</v>
      </c>
      <c r="C45" s="4">
        <v>1068</v>
      </c>
      <c r="D45" s="4">
        <v>0</v>
      </c>
      <c r="E45" s="4">
        <v>9</v>
      </c>
      <c r="F45" s="4">
        <v>1822</v>
      </c>
      <c r="G45" s="4">
        <v>1793</v>
      </c>
      <c r="H45" s="4">
        <v>1543</v>
      </c>
      <c r="I45" s="4">
        <v>4579</v>
      </c>
      <c r="J45" s="4">
        <v>0</v>
      </c>
      <c r="K45" s="4">
        <v>0</v>
      </c>
      <c r="L45" s="4">
        <v>10814</v>
      </c>
      <c r="M45" s="6">
        <v>111.1</v>
      </c>
    </row>
    <row r="46" spans="1:13" x14ac:dyDescent="0.25">
      <c r="A46" s="2" t="s">
        <v>64</v>
      </c>
      <c r="B46" s="2" t="s">
        <v>54</v>
      </c>
      <c r="C46" s="4">
        <v>0</v>
      </c>
      <c r="D46" s="4">
        <v>1</v>
      </c>
      <c r="E46" s="4">
        <v>0</v>
      </c>
      <c r="F46" s="4">
        <v>0</v>
      </c>
      <c r="G46" s="4">
        <v>208</v>
      </c>
      <c r="H46" s="4">
        <v>3</v>
      </c>
      <c r="I46" s="4">
        <v>8</v>
      </c>
      <c r="J46" s="4">
        <v>0</v>
      </c>
      <c r="K46" s="4">
        <v>0</v>
      </c>
      <c r="L46" s="4">
        <v>220</v>
      </c>
      <c r="M46" s="6">
        <v>2.2999999999999998</v>
      </c>
    </row>
    <row r="47" spans="1:13" x14ac:dyDescent="0.25">
      <c r="A47" s="2" t="s">
        <v>64</v>
      </c>
      <c r="B47" s="2" t="s">
        <v>55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6">
        <v>0</v>
      </c>
    </row>
    <row r="48" spans="1:13" x14ac:dyDescent="0.25">
      <c r="A48" s="7" t="s">
        <v>64</v>
      </c>
      <c r="B48" s="7" t="s">
        <v>37</v>
      </c>
      <c r="C48" s="8">
        <v>1068</v>
      </c>
      <c r="D48" s="8">
        <v>402</v>
      </c>
      <c r="E48" s="8">
        <v>1145</v>
      </c>
      <c r="F48" s="8">
        <v>3798</v>
      </c>
      <c r="G48" s="8">
        <v>2011</v>
      </c>
      <c r="H48" s="8">
        <v>2122</v>
      </c>
      <c r="I48" s="8">
        <v>8046</v>
      </c>
      <c r="J48" s="8">
        <v>4857</v>
      </c>
      <c r="K48" s="8">
        <v>2990</v>
      </c>
      <c r="L48" s="8">
        <v>26439</v>
      </c>
      <c r="M48" s="9">
        <v>204.5</v>
      </c>
    </row>
    <row r="49" spans="1:13" x14ac:dyDescent="0.25">
      <c r="A49" s="2" t="s">
        <v>65</v>
      </c>
      <c r="B49" s="2" t="s">
        <v>51</v>
      </c>
      <c r="C49" s="4">
        <v>0</v>
      </c>
      <c r="D49" s="4">
        <v>169</v>
      </c>
      <c r="E49" s="4">
        <v>547</v>
      </c>
      <c r="F49" s="4">
        <v>152</v>
      </c>
      <c r="G49" s="4">
        <v>70</v>
      </c>
      <c r="H49" s="4">
        <v>495</v>
      </c>
      <c r="I49" s="4">
        <v>664</v>
      </c>
      <c r="J49" s="4">
        <v>1687</v>
      </c>
      <c r="K49" s="4">
        <v>518</v>
      </c>
      <c r="L49" s="4">
        <v>4302</v>
      </c>
      <c r="M49" s="6">
        <v>30.7</v>
      </c>
    </row>
    <row r="50" spans="1:13" x14ac:dyDescent="0.25">
      <c r="A50" s="2" t="s">
        <v>65</v>
      </c>
      <c r="B50" s="2" t="s">
        <v>52</v>
      </c>
      <c r="C50" s="4">
        <v>0</v>
      </c>
      <c r="D50" s="4">
        <v>105</v>
      </c>
      <c r="E50" s="4">
        <v>878</v>
      </c>
      <c r="F50" s="4">
        <v>360</v>
      </c>
      <c r="G50" s="4">
        <v>0</v>
      </c>
      <c r="H50" s="4">
        <v>0</v>
      </c>
      <c r="I50" s="4">
        <v>2891</v>
      </c>
      <c r="J50" s="4">
        <v>2020</v>
      </c>
      <c r="K50" s="4">
        <v>2116</v>
      </c>
      <c r="L50" s="4">
        <v>8370</v>
      </c>
      <c r="M50" s="6">
        <v>49.5</v>
      </c>
    </row>
    <row r="51" spans="1:13" x14ac:dyDescent="0.25">
      <c r="A51" s="2" t="s">
        <v>65</v>
      </c>
      <c r="B51" s="2" t="s">
        <v>53</v>
      </c>
      <c r="C51" s="4">
        <v>850</v>
      </c>
      <c r="D51" s="4">
        <v>0</v>
      </c>
      <c r="E51" s="4">
        <v>137</v>
      </c>
      <c r="F51" s="4">
        <v>1158</v>
      </c>
      <c r="G51" s="4">
        <v>1608</v>
      </c>
      <c r="H51" s="4">
        <v>2374</v>
      </c>
      <c r="I51" s="4">
        <v>2770</v>
      </c>
      <c r="J51" s="4">
        <v>0</v>
      </c>
      <c r="K51" s="4">
        <v>0</v>
      </c>
      <c r="L51" s="4">
        <v>8897</v>
      </c>
      <c r="M51" s="6">
        <v>93.5</v>
      </c>
    </row>
    <row r="52" spans="1:13" x14ac:dyDescent="0.25">
      <c r="A52" s="2" t="s">
        <v>65</v>
      </c>
      <c r="B52" s="2" t="s">
        <v>54</v>
      </c>
      <c r="C52" s="4">
        <v>0</v>
      </c>
      <c r="D52" s="4">
        <v>1</v>
      </c>
      <c r="E52" s="4">
        <v>0</v>
      </c>
      <c r="F52" s="4">
        <v>0</v>
      </c>
      <c r="G52" s="4">
        <v>209</v>
      </c>
      <c r="H52" s="4">
        <v>3</v>
      </c>
      <c r="I52" s="4">
        <v>8</v>
      </c>
      <c r="J52" s="4">
        <v>0</v>
      </c>
      <c r="K52" s="4">
        <v>0</v>
      </c>
      <c r="L52" s="4">
        <v>221</v>
      </c>
      <c r="M52" s="6">
        <v>2.2999999999999998</v>
      </c>
    </row>
    <row r="53" spans="1:13" x14ac:dyDescent="0.25">
      <c r="A53" s="2" t="s">
        <v>65</v>
      </c>
      <c r="B53" s="2" t="s">
        <v>55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6">
        <v>0</v>
      </c>
    </row>
    <row r="54" spans="1:13" x14ac:dyDescent="0.25">
      <c r="A54" s="7" t="s">
        <v>65</v>
      </c>
      <c r="B54" s="7" t="s">
        <v>37</v>
      </c>
      <c r="C54" s="8">
        <v>850</v>
      </c>
      <c r="D54" s="8">
        <v>275</v>
      </c>
      <c r="E54" s="8">
        <v>1562</v>
      </c>
      <c r="F54" s="8">
        <v>1670</v>
      </c>
      <c r="G54" s="8">
        <v>1887</v>
      </c>
      <c r="H54" s="8">
        <v>2872</v>
      </c>
      <c r="I54" s="8">
        <v>6333</v>
      </c>
      <c r="J54" s="8">
        <v>3707</v>
      </c>
      <c r="K54" s="8">
        <v>2634</v>
      </c>
      <c r="L54" s="8">
        <v>21790</v>
      </c>
      <c r="M54" s="9">
        <v>176</v>
      </c>
    </row>
    <row r="55" spans="1:13" x14ac:dyDescent="0.25">
      <c r="A55" s="2" t="s">
        <v>66</v>
      </c>
      <c r="B55" s="2" t="s">
        <v>51</v>
      </c>
      <c r="C55" s="4">
        <v>0</v>
      </c>
      <c r="D55" s="4">
        <v>152</v>
      </c>
      <c r="E55" s="4">
        <v>582</v>
      </c>
      <c r="F55" s="4">
        <v>266</v>
      </c>
      <c r="G55" s="4">
        <v>59</v>
      </c>
      <c r="H55" s="4">
        <v>476</v>
      </c>
      <c r="I55" s="4">
        <v>522</v>
      </c>
      <c r="J55" s="4">
        <v>1693</v>
      </c>
      <c r="K55" s="4">
        <v>1132</v>
      </c>
      <c r="L55" s="4">
        <v>4882</v>
      </c>
      <c r="M55" s="6">
        <v>32.299999999999997</v>
      </c>
    </row>
    <row r="56" spans="1:13" x14ac:dyDescent="0.25">
      <c r="A56" s="2" t="s">
        <v>66</v>
      </c>
      <c r="B56" s="2" t="s">
        <v>52</v>
      </c>
      <c r="C56" s="4">
        <v>0</v>
      </c>
      <c r="D56" s="4">
        <v>112</v>
      </c>
      <c r="E56" s="4">
        <v>837</v>
      </c>
      <c r="F56" s="4">
        <v>212</v>
      </c>
      <c r="G56" s="4">
        <v>0</v>
      </c>
      <c r="H56" s="4">
        <v>0</v>
      </c>
      <c r="I56" s="4">
        <v>2570</v>
      </c>
      <c r="J56" s="4">
        <v>2072</v>
      </c>
      <c r="K56" s="4">
        <v>1264</v>
      </c>
      <c r="L56" s="4">
        <v>7067</v>
      </c>
      <c r="M56" s="6">
        <v>41.9</v>
      </c>
    </row>
    <row r="57" spans="1:13" x14ac:dyDescent="0.25">
      <c r="A57" s="2" t="s">
        <v>66</v>
      </c>
      <c r="B57" s="2" t="s">
        <v>53</v>
      </c>
      <c r="C57" s="4">
        <v>850</v>
      </c>
      <c r="D57" s="4">
        <v>0</v>
      </c>
      <c r="E57" s="4">
        <v>137</v>
      </c>
      <c r="F57" s="4">
        <v>1158</v>
      </c>
      <c r="G57" s="4">
        <v>1608</v>
      </c>
      <c r="H57" s="4">
        <v>2374</v>
      </c>
      <c r="I57" s="4">
        <v>2802</v>
      </c>
      <c r="J57" s="4">
        <v>0</v>
      </c>
      <c r="K57" s="4">
        <v>0</v>
      </c>
      <c r="L57" s="4">
        <v>8929</v>
      </c>
      <c r="M57" s="6">
        <v>93.5</v>
      </c>
    </row>
    <row r="58" spans="1:13" x14ac:dyDescent="0.25">
      <c r="A58" s="2" t="s">
        <v>66</v>
      </c>
      <c r="B58" s="2" t="s">
        <v>54</v>
      </c>
      <c r="C58" s="4">
        <v>0</v>
      </c>
      <c r="D58" s="4">
        <v>0</v>
      </c>
      <c r="E58" s="4">
        <v>0</v>
      </c>
      <c r="F58" s="4">
        <v>0</v>
      </c>
      <c r="G58" s="4">
        <v>209.5</v>
      </c>
      <c r="H58" s="4">
        <v>0</v>
      </c>
      <c r="I58" s="4">
        <v>0</v>
      </c>
      <c r="J58" s="4">
        <v>0</v>
      </c>
      <c r="K58" s="4">
        <v>0</v>
      </c>
      <c r="L58" s="4">
        <v>209.5</v>
      </c>
      <c r="M58" s="6">
        <v>2.2999999999999998</v>
      </c>
    </row>
    <row r="59" spans="1:13" x14ac:dyDescent="0.25">
      <c r="A59" s="2" t="s">
        <v>66</v>
      </c>
      <c r="B59" s="2" t="s">
        <v>55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6">
        <v>0</v>
      </c>
    </row>
    <row r="60" spans="1:13" x14ac:dyDescent="0.25">
      <c r="A60" s="7" t="s">
        <v>66</v>
      </c>
      <c r="B60" s="7" t="s">
        <v>37</v>
      </c>
      <c r="C60" s="8">
        <v>850</v>
      </c>
      <c r="D60" s="8">
        <v>264</v>
      </c>
      <c r="E60" s="8">
        <v>1556</v>
      </c>
      <c r="F60" s="8">
        <v>1636</v>
      </c>
      <c r="G60" s="8">
        <v>1876.5</v>
      </c>
      <c r="H60" s="8">
        <v>2850</v>
      </c>
      <c r="I60" s="8">
        <v>5894</v>
      </c>
      <c r="J60" s="8">
        <v>3765</v>
      </c>
      <c r="K60" s="8">
        <v>2396</v>
      </c>
      <c r="L60" s="8">
        <v>21087.5</v>
      </c>
      <c r="M60" s="9">
        <v>170</v>
      </c>
    </row>
    <row r="61" spans="1:13" x14ac:dyDescent="0.25">
      <c r="A61" s="2" t="s">
        <v>67</v>
      </c>
      <c r="B61" s="2" t="s">
        <v>51</v>
      </c>
      <c r="C61" s="4">
        <v>0</v>
      </c>
      <c r="D61" s="4">
        <v>152</v>
      </c>
      <c r="E61" s="4">
        <v>577</v>
      </c>
      <c r="F61" s="4">
        <v>257</v>
      </c>
      <c r="G61" s="4">
        <v>60</v>
      </c>
      <c r="H61" s="4">
        <v>472</v>
      </c>
      <c r="I61" s="4">
        <v>518</v>
      </c>
      <c r="J61" s="4">
        <v>1694</v>
      </c>
      <c r="K61" s="4">
        <v>1138</v>
      </c>
      <c r="L61" s="4">
        <v>4868</v>
      </c>
      <c r="M61" s="6">
        <v>32.299999999999997</v>
      </c>
    </row>
    <row r="62" spans="1:13" x14ac:dyDescent="0.25">
      <c r="A62" s="2" t="s">
        <v>67</v>
      </c>
      <c r="B62" s="2" t="s">
        <v>52</v>
      </c>
      <c r="C62" s="4">
        <v>0</v>
      </c>
      <c r="D62" s="4">
        <v>135</v>
      </c>
      <c r="E62" s="4">
        <v>846</v>
      </c>
      <c r="F62" s="4">
        <v>139</v>
      </c>
      <c r="G62" s="4">
        <v>0</v>
      </c>
      <c r="H62" s="4">
        <v>0</v>
      </c>
      <c r="I62" s="4">
        <v>2696</v>
      </c>
      <c r="J62" s="4">
        <v>1559</v>
      </c>
      <c r="K62" s="4">
        <v>987</v>
      </c>
      <c r="L62" s="4">
        <v>6362</v>
      </c>
      <c r="M62" s="6">
        <v>41.9</v>
      </c>
    </row>
    <row r="63" spans="1:13" x14ac:dyDescent="0.25">
      <c r="A63" s="2" t="s">
        <v>67</v>
      </c>
      <c r="B63" s="2" t="s">
        <v>53</v>
      </c>
      <c r="C63" s="4">
        <v>828</v>
      </c>
      <c r="D63" s="4">
        <v>0</v>
      </c>
      <c r="E63" s="4">
        <v>118</v>
      </c>
      <c r="F63" s="4">
        <v>1122</v>
      </c>
      <c r="G63" s="4">
        <v>1601</v>
      </c>
      <c r="H63" s="4">
        <v>2369</v>
      </c>
      <c r="I63" s="4">
        <v>2761</v>
      </c>
      <c r="J63" s="4">
        <v>0</v>
      </c>
      <c r="K63" s="4">
        <v>0</v>
      </c>
      <c r="L63" s="4">
        <v>8799</v>
      </c>
      <c r="M63" s="6">
        <v>91.5</v>
      </c>
    </row>
    <row r="64" spans="1:13" x14ac:dyDescent="0.25">
      <c r="A64" s="2" t="s">
        <v>67</v>
      </c>
      <c r="B64" s="2" t="s">
        <v>54</v>
      </c>
      <c r="C64" s="4">
        <v>0</v>
      </c>
      <c r="D64" s="4">
        <v>0</v>
      </c>
      <c r="E64" s="4">
        <v>0</v>
      </c>
      <c r="F64" s="4">
        <v>0</v>
      </c>
      <c r="G64" s="4">
        <v>209.5</v>
      </c>
      <c r="H64" s="4">
        <v>0</v>
      </c>
      <c r="I64" s="4">
        <v>0</v>
      </c>
      <c r="J64" s="4">
        <v>0</v>
      </c>
      <c r="K64" s="4">
        <v>0</v>
      </c>
      <c r="L64" s="4">
        <v>209.5</v>
      </c>
      <c r="M64" s="6">
        <v>2.2999999999999998</v>
      </c>
    </row>
    <row r="65" spans="1:13" x14ac:dyDescent="0.25">
      <c r="A65" s="2" t="s">
        <v>67</v>
      </c>
      <c r="B65" s="2" t="s">
        <v>55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6">
        <v>0</v>
      </c>
    </row>
    <row r="66" spans="1:13" x14ac:dyDescent="0.25">
      <c r="A66" s="7" t="s">
        <v>67</v>
      </c>
      <c r="B66" s="7" t="s">
        <v>37</v>
      </c>
      <c r="C66" s="8">
        <v>828</v>
      </c>
      <c r="D66" s="8">
        <v>287</v>
      </c>
      <c r="E66" s="8">
        <v>1541</v>
      </c>
      <c r="F66" s="8">
        <v>1518</v>
      </c>
      <c r="G66" s="8">
        <v>1870.5</v>
      </c>
      <c r="H66" s="8">
        <v>2841</v>
      </c>
      <c r="I66" s="8">
        <v>5975</v>
      </c>
      <c r="J66" s="8">
        <v>3253</v>
      </c>
      <c r="K66" s="8">
        <v>2125</v>
      </c>
      <c r="L66" s="8">
        <v>20238.5</v>
      </c>
      <c r="M66" s="9">
        <v>168</v>
      </c>
    </row>
    <row r="67" spans="1:13" x14ac:dyDescent="0.25">
      <c r="A67" s="2" t="s">
        <v>68</v>
      </c>
      <c r="B67" s="2" t="s">
        <v>51</v>
      </c>
      <c r="C67" s="4">
        <v>0</v>
      </c>
      <c r="D67" s="4">
        <v>152</v>
      </c>
      <c r="E67" s="4">
        <v>577</v>
      </c>
      <c r="F67" s="4">
        <v>257</v>
      </c>
      <c r="G67" s="4">
        <v>60</v>
      </c>
      <c r="H67" s="4">
        <v>472</v>
      </c>
      <c r="I67" s="4">
        <v>518</v>
      </c>
      <c r="J67" s="4">
        <v>1694</v>
      </c>
      <c r="K67" s="4">
        <v>1138</v>
      </c>
      <c r="L67" s="4">
        <v>4868</v>
      </c>
      <c r="M67" s="6">
        <v>32.299999999999997</v>
      </c>
    </row>
    <row r="68" spans="1:13" x14ac:dyDescent="0.25">
      <c r="A68" s="2" t="s">
        <v>68</v>
      </c>
      <c r="B68" s="2" t="s">
        <v>52</v>
      </c>
      <c r="C68" s="4">
        <v>0</v>
      </c>
      <c r="D68" s="4">
        <v>134</v>
      </c>
      <c r="E68" s="4">
        <v>846</v>
      </c>
      <c r="F68" s="4">
        <v>139</v>
      </c>
      <c r="G68" s="4">
        <v>0</v>
      </c>
      <c r="H68" s="4">
        <v>0</v>
      </c>
      <c r="I68" s="4">
        <v>2860</v>
      </c>
      <c r="J68" s="4">
        <v>1302</v>
      </c>
      <c r="K68" s="4">
        <v>987</v>
      </c>
      <c r="L68" s="4">
        <v>6268</v>
      </c>
      <c r="M68" s="6">
        <v>41.9</v>
      </c>
    </row>
    <row r="69" spans="1:13" x14ac:dyDescent="0.25">
      <c r="A69" s="2" t="s">
        <v>68</v>
      </c>
      <c r="B69" s="2" t="s">
        <v>53</v>
      </c>
      <c r="C69" s="4">
        <v>850</v>
      </c>
      <c r="D69" s="4">
        <v>0</v>
      </c>
      <c r="E69" s="4">
        <v>137</v>
      </c>
      <c r="F69" s="4">
        <v>1158</v>
      </c>
      <c r="G69" s="4">
        <v>1608</v>
      </c>
      <c r="H69" s="4">
        <v>2374</v>
      </c>
      <c r="I69" s="4">
        <v>2802</v>
      </c>
      <c r="J69" s="4">
        <v>0</v>
      </c>
      <c r="K69" s="4">
        <v>0</v>
      </c>
      <c r="L69" s="4">
        <v>8929</v>
      </c>
      <c r="M69" s="6">
        <v>93.5</v>
      </c>
    </row>
    <row r="70" spans="1:13" x14ac:dyDescent="0.25">
      <c r="A70" s="2" t="s">
        <v>68</v>
      </c>
      <c r="B70" s="2" t="s">
        <v>54</v>
      </c>
      <c r="C70" s="4">
        <v>0</v>
      </c>
      <c r="D70" s="4">
        <v>0</v>
      </c>
      <c r="E70" s="4">
        <v>0</v>
      </c>
      <c r="F70" s="4">
        <v>0</v>
      </c>
      <c r="G70" s="4">
        <v>209.5</v>
      </c>
      <c r="H70" s="4">
        <v>0</v>
      </c>
      <c r="I70" s="4">
        <v>0</v>
      </c>
      <c r="J70" s="4">
        <v>0</v>
      </c>
      <c r="K70" s="4">
        <v>0</v>
      </c>
      <c r="L70" s="4">
        <v>209.5</v>
      </c>
      <c r="M70" s="6">
        <v>2.2999999999999998</v>
      </c>
    </row>
    <row r="71" spans="1:13" x14ac:dyDescent="0.25">
      <c r="A71" s="2" t="s">
        <v>68</v>
      </c>
      <c r="B71" s="2" t="s">
        <v>55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6">
        <v>0</v>
      </c>
    </row>
    <row r="72" spans="1:13" x14ac:dyDescent="0.25">
      <c r="A72" s="7" t="s">
        <v>68</v>
      </c>
      <c r="B72" s="7" t="s">
        <v>37</v>
      </c>
      <c r="C72" s="8">
        <v>850</v>
      </c>
      <c r="D72" s="8">
        <v>286</v>
      </c>
      <c r="E72" s="8">
        <v>1560</v>
      </c>
      <c r="F72" s="8">
        <v>1554</v>
      </c>
      <c r="G72" s="8">
        <v>1877.5</v>
      </c>
      <c r="H72" s="8">
        <v>2846</v>
      </c>
      <c r="I72" s="8">
        <v>6180</v>
      </c>
      <c r="J72" s="8">
        <v>2996</v>
      </c>
      <c r="K72" s="8">
        <v>2125</v>
      </c>
      <c r="L72" s="8">
        <v>20274.5</v>
      </c>
      <c r="M72" s="9">
        <v>170</v>
      </c>
    </row>
    <row r="73" spans="1:13" x14ac:dyDescent="0.25">
      <c r="A73" s="2" t="s">
        <v>69</v>
      </c>
      <c r="B73" s="2" t="s">
        <v>51</v>
      </c>
      <c r="C73" s="4">
        <v>0</v>
      </c>
      <c r="D73" s="4">
        <v>152</v>
      </c>
      <c r="E73" s="4">
        <v>577</v>
      </c>
      <c r="F73" s="4">
        <v>257</v>
      </c>
      <c r="G73" s="4">
        <v>60</v>
      </c>
      <c r="H73" s="4">
        <v>472</v>
      </c>
      <c r="I73" s="4">
        <v>518</v>
      </c>
      <c r="J73" s="4">
        <v>1694</v>
      </c>
      <c r="K73" s="4">
        <v>1138</v>
      </c>
      <c r="L73" s="4">
        <v>4868</v>
      </c>
      <c r="M73" s="6">
        <v>32.299999999999997</v>
      </c>
    </row>
    <row r="74" spans="1:13" x14ac:dyDescent="0.25">
      <c r="A74" s="2" t="s">
        <v>69</v>
      </c>
      <c r="B74" s="2" t="s">
        <v>52</v>
      </c>
      <c r="C74" s="4">
        <v>0</v>
      </c>
      <c r="D74" s="4">
        <v>134</v>
      </c>
      <c r="E74" s="4">
        <v>891</v>
      </c>
      <c r="F74" s="4">
        <v>65</v>
      </c>
      <c r="G74" s="4">
        <v>0</v>
      </c>
      <c r="H74" s="4">
        <v>0</v>
      </c>
      <c r="I74" s="4">
        <v>3189</v>
      </c>
      <c r="J74" s="4">
        <v>1421</v>
      </c>
      <c r="K74" s="4">
        <v>0</v>
      </c>
      <c r="L74" s="4">
        <v>5700</v>
      </c>
      <c r="M74" s="6">
        <v>41.9</v>
      </c>
    </row>
    <row r="75" spans="1:13" x14ac:dyDescent="0.25">
      <c r="A75" s="2" t="s">
        <v>69</v>
      </c>
      <c r="B75" s="2" t="s">
        <v>53</v>
      </c>
      <c r="C75" s="4">
        <v>828</v>
      </c>
      <c r="D75" s="4">
        <v>0</v>
      </c>
      <c r="E75" s="4">
        <v>118</v>
      </c>
      <c r="F75" s="4">
        <v>1122</v>
      </c>
      <c r="G75" s="4">
        <v>1601</v>
      </c>
      <c r="H75" s="4">
        <v>2369</v>
      </c>
      <c r="I75" s="4">
        <v>2761</v>
      </c>
      <c r="J75" s="4">
        <v>0</v>
      </c>
      <c r="K75" s="4">
        <v>0</v>
      </c>
      <c r="L75" s="4">
        <v>8799</v>
      </c>
      <c r="M75" s="6">
        <v>91.5</v>
      </c>
    </row>
    <row r="76" spans="1:13" x14ac:dyDescent="0.25">
      <c r="A76" s="2" t="s">
        <v>69</v>
      </c>
      <c r="B76" s="2" t="s">
        <v>54</v>
      </c>
      <c r="C76" s="4">
        <v>0</v>
      </c>
      <c r="D76" s="4">
        <v>0</v>
      </c>
      <c r="E76" s="4">
        <v>0</v>
      </c>
      <c r="F76" s="4">
        <v>0</v>
      </c>
      <c r="G76" s="4">
        <v>209.5</v>
      </c>
      <c r="H76" s="4">
        <v>0</v>
      </c>
      <c r="I76" s="4">
        <v>0</v>
      </c>
      <c r="J76" s="4">
        <v>0</v>
      </c>
      <c r="K76" s="4">
        <v>0</v>
      </c>
      <c r="L76" s="4">
        <v>209.5</v>
      </c>
      <c r="M76" s="6">
        <v>2.2999999999999998</v>
      </c>
    </row>
    <row r="77" spans="1:13" x14ac:dyDescent="0.25">
      <c r="A77" s="2" t="s">
        <v>69</v>
      </c>
      <c r="B77" s="2" t="s">
        <v>55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6">
        <v>0</v>
      </c>
    </row>
    <row r="78" spans="1:13" x14ac:dyDescent="0.25">
      <c r="A78" s="7" t="s">
        <v>69</v>
      </c>
      <c r="B78" s="7" t="s">
        <v>37</v>
      </c>
      <c r="C78" s="8">
        <v>828</v>
      </c>
      <c r="D78" s="8">
        <v>286</v>
      </c>
      <c r="E78" s="8">
        <v>1586</v>
      </c>
      <c r="F78" s="8">
        <v>1444</v>
      </c>
      <c r="G78" s="8">
        <v>1870.5</v>
      </c>
      <c r="H78" s="8">
        <v>2841</v>
      </c>
      <c r="I78" s="8">
        <v>6468</v>
      </c>
      <c r="J78" s="8">
        <v>3115</v>
      </c>
      <c r="K78" s="8">
        <v>1138</v>
      </c>
      <c r="L78" s="8">
        <v>19576.5</v>
      </c>
      <c r="M78" s="9">
        <v>168</v>
      </c>
    </row>
    <row r="79" spans="1:13" x14ac:dyDescent="0.25">
      <c r="A79" s="2" t="s">
        <v>70</v>
      </c>
      <c r="B79" s="2" t="s">
        <v>51</v>
      </c>
      <c r="C79" s="4">
        <v>0</v>
      </c>
      <c r="D79" s="4">
        <v>152</v>
      </c>
      <c r="E79" s="4">
        <v>577</v>
      </c>
      <c r="F79" s="4">
        <v>257</v>
      </c>
      <c r="G79" s="4">
        <v>60</v>
      </c>
      <c r="H79" s="4">
        <v>472</v>
      </c>
      <c r="I79" s="4">
        <v>518</v>
      </c>
      <c r="J79" s="4">
        <v>1694</v>
      </c>
      <c r="K79" s="4">
        <v>1138</v>
      </c>
      <c r="L79" s="4">
        <v>4868</v>
      </c>
      <c r="M79" s="6">
        <v>32.299999999999997</v>
      </c>
    </row>
    <row r="80" spans="1:13" x14ac:dyDescent="0.25">
      <c r="A80" s="2" t="s">
        <v>70</v>
      </c>
      <c r="B80" s="2" t="s">
        <v>52</v>
      </c>
      <c r="C80" s="4">
        <v>0</v>
      </c>
      <c r="D80" s="4">
        <v>134</v>
      </c>
      <c r="E80" s="4">
        <v>888</v>
      </c>
      <c r="F80" s="4">
        <v>65</v>
      </c>
      <c r="G80" s="4">
        <v>0</v>
      </c>
      <c r="H80" s="4">
        <v>247</v>
      </c>
      <c r="I80" s="4">
        <v>3037</v>
      </c>
      <c r="J80" s="4">
        <v>1026</v>
      </c>
      <c r="K80" s="4">
        <v>0</v>
      </c>
      <c r="L80" s="4">
        <v>5397</v>
      </c>
      <c r="M80" s="6">
        <v>41.9</v>
      </c>
    </row>
    <row r="81" spans="1:13" x14ac:dyDescent="0.25">
      <c r="A81" s="2" t="s">
        <v>70</v>
      </c>
      <c r="B81" s="2" t="s">
        <v>53</v>
      </c>
      <c r="C81" s="4">
        <v>850</v>
      </c>
      <c r="D81" s="4">
        <v>0</v>
      </c>
      <c r="E81" s="4">
        <v>137</v>
      </c>
      <c r="F81" s="4">
        <v>1158</v>
      </c>
      <c r="G81" s="4">
        <v>1608</v>
      </c>
      <c r="H81" s="4">
        <v>2374</v>
      </c>
      <c r="I81" s="4">
        <v>2802</v>
      </c>
      <c r="J81" s="4">
        <v>0</v>
      </c>
      <c r="K81" s="4">
        <v>0</v>
      </c>
      <c r="L81" s="4">
        <v>8929</v>
      </c>
      <c r="M81" s="6">
        <v>93.5</v>
      </c>
    </row>
    <row r="82" spans="1:13" x14ac:dyDescent="0.25">
      <c r="A82" s="2" t="s">
        <v>70</v>
      </c>
      <c r="B82" s="2" t="s">
        <v>54</v>
      </c>
      <c r="C82" s="4">
        <v>0</v>
      </c>
      <c r="D82" s="4">
        <v>0</v>
      </c>
      <c r="E82" s="4">
        <v>0</v>
      </c>
      <c r="F82" s="4">
        <v>0</v>
      </c>
      <c r="G82" s="4">
        <v>209.5</v>
      </c>
      <c r="H82" s="4">
        <v>0</v>
      </c>
      <c r="I82" s="4">
        <v>0</v>
      </c>
      <c r="J82" s="4">
        <v>0</v>
      </c>
      <c r="K82" s="4">
        <v>0</v>
      </c>
      <c r="L82" s="4">
        <v>209.5</v>
      </c>
      <c r="M82" s="6">
        <v>2.2999999999999998</v>
      </c>
    </row>
    <row r="83" spans="1:13" x14ac:dyDescent="0.25">
      <c r="A83" s="2" t="s">
        <v>70</v>
      </c>
      <c r="B83" s="2" t="s">
        <v>55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6">
        <v>0</v>
      </c>
    </row>
    <row r="84" spans="1:13" x14ac:dyDescent="0.25">
      <c r="A84" s="7" t="s">
        <v>70</v>
      </c>
      <c r="B84" s="7" t="s">
        <v>37</v>
      </c>
      <c r="C84" s="8">
        <v>850</v>
      </c>
      <c r="D84" s="8">
        <v>286</v>
      </c>
      <c r="E84" s="8">
        <v>1602</v>
      </c>
      <c r="F84" s="8">
        <v>1480</v>
      </c>
      <c r="G84" s="8">
        <v>1877.5</v>
      </c>
      <c r="H84" s="8">
        <v>3093</v>
      </c>
      <c r="I84" s="8">
        <v>6357</v>
      </c>
      <c r="J84" s="8">
        <v>2720</v>
      </c>
      <c r="K84" s="8">
        <v>1138</v>
      </c>
      <c r="L84" s="8">
        <v>19403.5</v>
      </c>
      <c r="M84" s="9">
        <v>170</v>
      </c>
    </row>
    <row r="85" spans="1:13" x14ac:dyDescent="0.25">
      <c r="A85" s="2" t="s">
        <v>71</v>
      </c>
      <c r="B85" s="2" t="s">
        <v>51</v>
      </c>
      <c r="C85" s="4">
        <v>0</v>
      </c>
      <c r="D85" s="4">
        <v>151</v>
      </c>
      <c r="E85" s="4">
        <v>588</v>
      </c>
      <c r="F85" s="4">
        <v>219</v>
      </c>
      <c r="G85" s="4">
        <v>56</v>
      </c>
      <c r="H85" s="4">
        <v>485</v>
      </c>
      <c r="I85" s="4">
        <v>480</v>
      </c>
      <c r="J85" s="4">
        <v>1681</v>
      </c>
      <c r="K85" s="4">
        <v>656</v>
      </c>
      <c r="L85" s="4">
        <v>4316</v>
      </c>
      <c r="M85" s="6">
        <v>32.299999999999997</v>
      </c>
    </row>
    <row r="86" spans="1:13" x14ac:dyDescent="0.25">
      <c r="A86" s="2" t="s">
        <v>71</v>
      </c>
      <c r="B86" s="2" t="s">
        <v>52</v>
      </c>
      <c r="C86" s="4">
        <v>0</v>
      </c>
      <c r="D86" s="4">
        <v>134</v>
      </c>
      <c r="E86" s="4">
        <v>887</v>
      </c>
      <c r="F86" s="4">
        <v>57</v>
      </c>
      <c r="G86" s="4">
        <v>0</v>
      </c>
      <c r="H86" s="4">
        <v>393</v>
      </c>
      <c r="I86" s="4">
        <v>2797</v>
      </c>
      <c r="J86" s="4">
        <v>829</v>
      </c>
      <c r="K86" s="4">
        <v>0</v>
      </c>
      <c r="L86" s="4">
        <v>5097</v>
      </c>
      <c r="M86" s="6">
        <v>41.9</v>
      </c>
    </row>
    <row r="87" spans="1:13" x14ac:dyDescent="0.25">
      <c r="A87" s="2" t="s">
        <v>71</v>
      </c>
      <c r="B87" s="2" t="s">
        <v>53</v>
      </c>
      <c r="C87" s="4">
        <v>828</v>
      </c>
      <c r="D87" s="4">
        <v>0</v>
      </c>
      <c r="E87" s="4">
        <v>118</v>
      </c>
      <c r="F87" s="4">
        <v>1122</v>
      </c>
      <c r="G87" s="4">
        <v>1601</v>
      </c>
      <c r="H87" s="4">
        <v>2369</v>
      </c>
      <c r="I87" s="4">
        <v>2761</v>
      </c>
      <c r="J87" s="4">
        <v>0</v>
      </c>
      <c r="K87" s="4">
        <v>0</v>
      </c>
      <c r="L87" s="4">
        <v>8799</v>
      </c>
      <c r="M87" s="6">
        <v>91.5</v>
      </c>
    </row>
    <row r="88" spans="1:13" x14ac:dyDescent="0.25">
      <c r="A88" s="2" t="s">
        <v>71</v>
      </c>
      <c r="B88" s="2" t="s">
        <v>54</v>
      </c>
      <c r="C88" s="4">
        <v>0</v>
      </c>
      <c r="D88" s="4">
        <v>0</v>
      </c>
      <c r="E88" s="4">
        <v>0</v>
      </c>
      <c r="F88" s="4">
        <v>0</v>
      </c>
      <c r="G88" s="4">
        <v>209.5</v>
      </c>
      <c r="H88" s="4">
        <v>0</v>
      </c>
      <c r="I88" s="4">
        <v>0</v>
      </c>
      <c r="J88" s="4">
        <v>0</v>
      </c>
      <c r="K88" s="4">
        <v>0</v>
      </c>
      <c r="L88" s="4">
        <v>209.5</v>
      </c>
      <c r="M88" s="6">
        <v>2.2999999999999998</v>
      </c>
    </row>
    <row r="89" spans="1:13" x14ac:dyDescent="0.25">
      <c r="A89" s="2" t="s">
        <v>71</v>
      </c>
      <c r="B89" s="2" t="s">
        <v>55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6">
        <v>0</v>
      </c>
    </row>
    <row r="90" spans="1:13" x14ac:dyDescent="0.25">
      <c r="A90" s="7" t="s">
        <v>71</v>
      </c>
      <c r="B90" s="7" t="s">
        <v>37</v>
      </c>
      <c r="C90" s="8">
        <v>828</v>
      </c>
      <c r="D90" s="8">
        <v>285</v>
      </c>
      <c r="E90" s="8">
        <v>1593</v>
      </c>
      <c r="F90" s="8">
        <v>1398</v>
      </c>
      <c r="G90" s="8">
        <v>1866.5</v>
      </c>
      <c r="H90" s="8">
        <v>3247</v>
      </c>
      <c r="I90" s="8">
        <v>6038</v>
      </c>
      <c r="J90" s="8">
        <v>2510</v>
      </c>
      <c r="K90" s="8">
        <v>656</v>
      </c>
      <c r="L90" s="8">
        <v>18421.5</v>
      </c>
      <c r="M90" s="9">
        <v>168</v>
      </c>
    </row>
    <row r="91" spans="1:13" x14ac:dyDescent="0.25">
      <c r="A91" s="2" t="s">
        <v>72</v>
      </c>
      <c r="B91" s="2" t="s">
        <v>51</v>
      </c>
      <c r="C91" s="4">
        <v>0</v>
      </c>
      <c r="D91" s="4">
        <v>151</v>
      </c>
      <c r="E91" s="4">
        <v>588</v>
      </c>
      <c r="F91" s="4">
        <v>219</v>
      </c>
      <c r="G91" s="4">
        <v>56</v>
      </c>
      <c r="H91" s="4">
        <v>485</v>
      </c>
      <c r="I91" s="4">
        <v>480</v>
      </c>
      <c r="J91" s="4">
        <v>1681</v>
      </c>
      <c r="K91" s="4">
        <v>656</v>
      </c>
      <c r="L91" s="4">
        <v>4316</v>
      </c>
      <c r="M91" s="6">
        <v>32.299999999999997</v>
      </c>
    </row>
    <row r="92" spans="1:13" x14ac:dyDescent="0.25">
      <c r="A92" s="2" t="s">
        <v>72</v>
      </c>
      <c r="B92" s="2" t="s">
        <v>52</v>
      </c>
      <c r="C92" s="4">
        <v>0</v>
      </c>
      <c r="D92" s="4">
        <v>134</v>
      </c>
      <c r="E92" s="4">
        <v>887</v>
      </c>
      <c r="F92" s="4">
        <v>57</v>
      </c>
      <c r="G92" s="4">
        <v>0</v>
      </c>
      <c r="H92" s="4">
        <v>393</v>
      </c>
      <c r="I92" s="4">
        <v>2797</v>
      </c>
      <c r="J92" s="4">
        <v>829</v>
      </c>
      <c r="K92" s="4">
        <v>0</v>
      </c>
      <c r="L92" s="4">
        <v>5097</v>
      </c>
      <c r="M92" s="6">
        <v>41.9</v>
      </c>
    </row>
    <row r="93" spans="1:13" x14ac:dyDescent="0.25">
      <c r="A93" s="2" t="s">
        <v>72</v>
      </c>
      <c r="B93" s="2" t="s">
        <v>53</v>
      </c>
      <c r="C93" s="4">
        <v>850</v>
      </c>
      <c r="D93" s="4">
        <v>0</v>
      </c>
      <c r="E93" s="4">
        <v>137</v>
      </c>
      <c r="F93" s="4">
        <v>1158</v>
      </c>
      <c r="G93" s="4">
        <v>1608</v>
      </c>
      <c r="H93" s="4">
        <v>2374</v>
      </c>
      <c r="I93" s="4">
        <v>2802</v>
      </c>
      <c r="J93" s="4">
        <v>0</v>
      </c>
      <c r="K93" s="4">
        <v>0</v>
      </c>
      <c r="L93" s="4">
        <v>8929</v>
      </c>
      <c r="M93" s="6">
        <v>93.5</v>
      </c>
    </row>
    <row r="94" spans="1:13" x14ac:dyDescent="0.25">
      <c r="A94" s="2" t="s">
        <v>72</v>
      </c>
      <c r="B94" s="2" t="s">
        <v>54</v>
      </c>
      <c r="C94" s="4">
        <v>0</v>
      </c>
      <c r="D94" s="4">
        <v>0</v>
      </c>
      <c r="E94" s="4">
        <v>0</v>
      </c>
      <c r="F94" s="4">
        <v>0</v>
      </c>
      <c r="G94" s="4">
        <v>209.5</v>
      </c>
      <c r="H94" s="4">
        <v>0</v>
      </c>
      <c r="I94" s="4">
        <v>0</v>
      </c>
      <c r="J94" s="4">
        <v>0</v>
      </c>
      <c r="K94" s="4">
        <v>0</v>
      </c>
      <c r="L94" s="4">
        <v>209.5</v>
      </c>
      <c r="M94" s="6">
        <v>2.2999999999999998</v>
      </c>
    </row>
    <row r="95" spans="1:13" x14ac:dyDescent="0.25">
      <c r="A95" s="2" t="s">
        <v>72</v>
      </c>
      <c r="B95" s="2" t="s">
        <v>55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6">
        <v>0</v>
      </c>
    </row>
    <row r="96" spans="1:13" x14ac:dyDescent="0.25">
      <c r="A96" s="7" t="s">
        <v>72</v>
      </c>
      <c r="B96" s="7" t="s">
        <v>37</v>
      </c>
      <c r="C96" s="8">
        <v>850</v>
      </c>
      <c r="D96" s="8">
        <v>285</v>
      </c>
      <c r="E96" s="8">
        <v>1612</v>
      </c>
      <c r="F96" s="8">
        <v>1434</v>
      </c>
      <c r="G96" s="8">
        <v>1873.5</v>
      </c>
      <c r="H96" s="8">
        <v>3252</v>
      </c>
      <c r="I96" s="8">
        <v>6079</v>
      </c>
      <c r="J96" s="8">
        <v>2510</v>
      </c>
      <c r="K96" s="8">
        <v>656</v>
      </c>
      <c r="L96" s="8">
        <v>18551.5</v>
      </c>
      <c r="M96" s="9">
        <v>170</v>
      </c>
    </row>
    <row r="97" spans="1:13" x14ac:dyDescent="0.25">
      <c r="A97" s="2" t="s">
        <v>73</v>
      </c>
      <c r="B97" s="2" t="s">
        <v>51</v>
      </c>
      <c r="C97" s="4">
        <v>0</v>
      </c>
      <c r="D97" s="4">
        <v>151</v>
      </c>
      <c r="E97" s="4">
        <v>588</v>
      </c>
      <c r="F97" s="4">
        <v>219</v>
      </c>
      <c r="G97" s="4">
        <v>56</v>
      </c>
      <c r="H97" s="4">
        <v>485</v>
      </c>
      <c r="I97" s="4">
        <v>480</v>
      </c>
      <c r="J97" s="4">
        <v>1681</v>
      </c>
      <c r="K97" s="4">
        <v>656</v>
      </c>
      <c r="L97" s="4">
        <v>4316</v>
      </c>
      <c r="M97" s="6">
        <v>32.299999999999997</v>
      </c>
    </row>
    <row r="98" spans="1:13" x14ac:dyDescent="0.25">
      <c r="A98" s="2" t="s">
        <v>73</v>
      </c>
      <c r="B98" s="2" t="s">
        <v>52</v>
      </c>
      <c r="C98" s="4">
        <v>0</v>
      </c>
      <c r="D98" s="4">
        <v>134</v>
      </c>
      <c r="E98" s="4">
        <v>887</v>
      </c>
      <c r="F98" s="4">
        <v>57</v>
      </c>
      <c r="G98" s="4">
        <v>0</v>
      </c>
      <c r="H98" s="4">
        <v>393</v>
      </c>
      <c r="I98" s="4">
        <v>2797</v>
      </c>
      <c r="J98" s="4">
        <v>829</v>
      </c>
      <c r="K98" s="4">
        <v>0</v>
      </c>
      <c r="L98" s="4">
        <v>5097</v>
      </c>
      <c r="M98" s="6">
        <v>41.9</v>
      </c>
    </row>
    <row r="99" spans="1:13" x14ac:dyDescent="0.25">
      <c r="A99" s="2" t="s">
        <v>73</v>
      </c>
      <c r="B99" s="2" t="s">
        <v>53</v>
      </c>
      <c r="C99" s="4">
        <v>828</v>
      </c>
      <c r="D99" s="4">
        <v>0</v>
      </c>
      <c r="E99" s="4">
        <v>118</v>
      </c>
      <c r="F99" s="4">
        <v>1122</v>
      </c>
      <c r="G99" s="4">
        <v>1601</v>
      </c>
      <c r="H99" s="4">
        <v>2369</v>
      </c>
      <c r="I99" s="4">
        <v>2761</v>
      </c>
      <c r="J99" s="4">
        <v>0</v>
      </c>
      <c r="K99" s="4">
        <v>0</v>
      </c>
      <c r="L99" s="4">
        <v>8799</v>
      </c>
      <c r="M99" s="6">
        <v>91.5</v>
      </c>
    </row>
    <row r="100" spans="1:13" x14ac:dyDescent="0.25">
      <c r="A100" s="2" t="s">
        <v>73</v>
      </c>
      <c r="B100" s="2" t="s">
        <v>54</v>
      </c>
      <c r="C100" s="4">
        <v>0</v>
      </c>
      <c r="D100" s="4">
        <v>0</v>
      </c>
      <c r="E100" s="4">
        <v>0</v>
      </c>
      <c r="F100" s="4">
        <v>0</v>
      </c>
      <c r="G100" s="4">
        <v>209.5</v>
      </c>
      <c r="H100" s="4">
        <v>0</v>
      </c>
      <c r="I100" s="4">
        <v>0</v>
      </c>
      <c r="J100" s="4">
        <v>0</v>
      </c>
      <c r="K100" s="4">
        <v>0</v>
      </c>
      <c r="L100" s="4">
        <v>209.5</v>
      </c>
      <c r="M100" s="6">
        <v>2.2999999999999998</v>
      </c>
    </row>
    <row r="101" spans="1:13" x14ac:dyDescent="0.25">
      <c r="A101" s="2" t="s">
        <v>73</v>
      </c>
      <c r="B101" s="2" t="s">
        <v>55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6">
        <v>0</v>
      </c>
    </row>
    <row r="102" spans="1:13" x14ac:dyDescent="0.25">
      <c r="A102" s="7" t="s">
        <v>73</v>
      </c>
      <c r="B102" s="7" t="s">
        <v>37</v>
      </c>
      <c r="C102" s="8">
        <v>828</v>
      </c>
      <c r="D102" s="8">
        <v>285</v>
      </c>
      <c r="E102" s="8">
        <v>1593</v>
      </c>
      <c r="F102" s="8">
        <v>1398</v>
      </c>
      <c r="G102" s="8">
        <v>1866.5</v>
      </c>
      <c r="H102" s="8">
        <v>3247</v>
      </c>
      <c r="I102" s="8">
        <v>6038</v>
      </c>
      <c r="J102" s="8">
        <v>2510</v>
      </c>
      <c r="K102" s="8">
        <v>656</v>
      </c>
      <c r="L102" s="8">
        <v>18421.5</v>
      </c>
      <c r="M102" s="9">
        <v>168</v>
      </c>
    </row>
    <row r="103" spans="1:13" x14ac:dyDescent="0.25">
      <c r="A103" s="2" t="s">
        <v>74</v>
      </c>
      <c r="B103" s="2" t="s">
        <v>51</v>
      </c>
      <c r="C103" s="4">
        <v>0</v>
      </c>
      <c r="D103" s="4">
        <v>151</v>
      </c>
      <c r="E103" s="4">
        <v>588</v>
      </c>
      <c r="F103" s="4">
        <v>219</v>
      </c>
      <c r="G103" s="4">
        <v>56</v>
      </c>
      <c r="H103" s="4">
        <v>485</v>
      </c>
      <c r="I103" s="4">
        <v>480</v>
      </c>
      <c r="J103" s="4">
        <v>1681</v>
      </c>
      <c r="K103" s="4">
        <v>656</v>
      </c>
      <c r="L103" s="4">
        <v>4316</v>
      </c>
      <c r="M103" s="6">
        <v>32.299999999999997</v>
      </c>
    </row>
    <row r="104" spans="1:13" x14ac:dyDescent="0.25">
      <c r="A104" s="2" t="s">
        <v>74</v>
      </c>
      <c r="B104" s="2" t="s">
        <v>52</v>
      </c>
      <c r="C104" s="4">
        <v>0</v>
      </c>
      <c r="D104" s="4">
        <v>133</v>
      </c>
      <c r="E104" s="4">
        <v>919</v>
      </c>
      <c r="F104" s="4">
        <v>0</v>
      </c>
      <c r="G104" s="4">
        <v>0</v>
      </c>
      <c r="H104" s="4">
        <v>1164</v>
      </c>
      <c r="I104" s="4">
        <v>1673</v>
      </c>
      <c r="J104" s="4">
        <v>612</v>
      </c>
      <c r="K104" s="4">
        <v>0</v>
      </c>
      <c r="L104" s="4">
        <v>4501</v>
      </c>
      <c r="M104" s="6">
        <v>41.9</v>
      </c>
    </row>
    <row r="105" spans="1:13" x14ac:dyDescent="0.25">
      <c r="A105" s="2" t="s">
        <v>74</v>
      </c>
      <c r="B105" s="2" t="s">
        <v>53</v>
      </c>
      <c r="C105" s="4">
        <v>850</v>
      </c>
      <c r="D105" s="4">
        <v>0</v>
      </c>
      <c r="E105" s="4">
        <v>137</v>
      </c>
      <c r="F105" s="4">
        <v>1158</v>
      </c>
      <c r="G105" s="4">
        <v>1608</v>
      </c>
      <c r="H105" s="4">
        <v>2374</v>
      </c>
      <c r="I105" s="4">
        <v>2802</v>
      </c>
      <c r="J105" s="4">
        <v>0</v>
      </c>
      <c r="K105" s="4">
        <v>0</v>
      </c>
      <c r="L105" s="4">
        <v>8929</v>
      </c>
      <c r="M105" s="6">
        <v>93.5</v>
      </c>
    </row>
    <row r="106" spans="1:13" x14ac:dyDescent="0.25">
      <c r="A106" s="2" t="s">
        <v>74</v>
      </c>
      <c r="B106" s="2" t="s">
        <v>54</v>
      </c>
      <c r="C106" s="4">
        <v>0</v>
      </c>
      <c r="D106" s="4">
        <v>0</v>
      </c>
      <c r="E106" s="4">
        <v>0</v>
      </c>
      <c r="F106" s="4">
        <v>0</v>
      </c>
      <c r="G106" s="4">
        <v>209.5</v>
      </c>
      <c r="H106" s="4">
        <v>0</v>
      </c>
      <c r="I106" s="4">
        <v>0</v>
      </c>
      <c r="J106" s="4">
        <v>0</v>
      </c>
      <c r="K106" s="4">
        <v>0</v>
      </c>
      <c r="L106" s="4">
        <v>209.5</v>
      </c>
      <c r="M106" s="6">
        <v>2.2999999999999998</v>
      </c>
    </row>
    <row r="107" spans="1:13" x14ac:dyDescent="0.25">
      <c r="A107" s="2" t="s">
        <v>74</v>
      </c>
      <c r="B107" s="2" t="s">
        <v>55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6">
        <v>0</v>
      </c>
    </row>
    <row r="108" spans="1:13" x14ac:dyDescent="0.25">
      <c r="A108" s="7" t="s">
        <v>74</v>
      </c>
      <c r="B108" s="7" t="s">
        <v>37</v>
      </c>
      <c r="C108" s="8">
        <v>850</v>
      </c>
      <c r="D108" s="8">
        <v>284</v>
      </c>
      <c r="E108" s="8">
        <v>1644</v>
      </c>
      <c r="F108" s="8">
        <v>1377</v>
      </c>
      <c r="G108" s="8">
        <v>1873.5</v>
      </c>
      <c r="H108" s="8">
        <v>4023</v>
      </c>
      <c r="I108" s="8">
        <v>4955</v>
      </c>
      <c r="J108" s="8">
        <v>2293</v>
      </c>
      <c r="K108" s="8">
        <v>656</v>
      </c>
      <c r="L108" s="8">
        <v>17955.5</v>
      </c>
      <c r="M108" s="9">
        <v>170</v>
      </c>
    </row>
    <row r="109" spans="1:13" x14ac:dyDescent="0.25">
      <c r="A109" s="2" t="s">
        <v>75</v>
      </c>
      <c r="B109" s="2" t="s">
        <v>51</v>
      </c>
      <c r="C109" s="4">
        <v>0</v>
      </c>
      <c r="D109" s="4">
        <v>151</v>
      </c>
      <c r="E109" s="4">
        <v>588</v>
      </c>
      <c r="F109" s="4">
        <v>219</v>
      </c>
      <c r="G109" s="4">
        <v>56</v>
      </c>
      <c r="H109" s="4">
        <v>485</v>
      </c>
      <c r="I109" s="4">
        <v>480</v>
      </c>
      <c r="J109" s="4">
        <v>1681</v>
      </c>
      <c r="K109" s="4">
        <v>656</v>
      </c>
      <c r="L109" s="4">
        <v>4316</v>
      </c>
      <c r="M109" s="6">
        <v>32.299999999999997</v>
      </c>
    </row>
    <row r="110" spans="1:13" x14ac:dyDescent="0.25">
      <c r="A110" s="2" t="s">
        <v>75</v>
      </c>
      <c r="B110" s="2" t="s">
        <v>52</v>
      </c>
      <c r="C110" s="4">
        <v>0</v>
      </c>
      <c r="D110" s="4">
        <v>133</v>
      </c>
      <c r="E110" s="4">
        <v>919</v>
      </c>
      <c r="F110" s="4">
        <v>0</v>
      </c>
      <c r="G110" s="4">
        <v>0</v>
      </c>
      <c r="H110" s="4">
        <v>1264</v>
      </c>
      <c r="I110" s="4">
        <v>1623</v>
      </c>
      <c r="J110" s="4">
        <v>434</v>
      </c>
      <c r="K110" s="4">
        <v>0</v>
      </c>
      <c r="L110" s="4">
        <v>4373</v>
      </c>
      <c r="M110" s="6">
        <v>41.9</v>
      </c>
    </row>
    <row r="111" spans="1:13" x14ac:dyDescent="0.25">
      <c r="A111" s="2" t="s">
        <v>75</v>
      </c>
      <c r="B111" s="2" t="s">
        <v>53</v>
      </c>
      <c r="C111" s="4">
        <v>828</v>
      </c>
      <c r="D111" s="4">
        <v>0</v>
      </c>
      <c r="E111" s="4">
        <v>118</v>
      </c>
      <c r="F111" s="4">
        <v>1122</v>
      </c>
      <c r="G111" s="4">
        <v>1601</v>
      </c>
      <c r="H111" s="4">
        <v>2369</v>
      </c>
      <c r="I111" s="4">
        <v>2761</v>
      </c>
      <c r="J111" s="4">
        <v>0</v>
      </c>
      <c r="K111" s="4">
        <v>0</v>
      </c>
      <c r="L111" s="4">
        <v>8799</v>
      </c>
      <c r="M111" s="6">
        <v>91.5</v>
      </c>
    </row>
    <row r="112" spans="1:13" x14ac:dyDescent="0.25">
      <c r="A112" s="2" t="s">
        <v>75</v>
      </c>
      <c r="B112" s="2" t="s">
        <v>54</v>
      </c>
      <c r="C112" s="4">
        <v>0</v>
      </c>
      <c r="D112" s="4">
        <v>0</v>
      </c>
      <c r="E112" s="4">
        <v>0</v>
      </c>
      <c r="F112" s="4">
        <v>0</v>
      </c>
      <c r="G112" s="4">
        <v>209.5</v>
      </c>
      <c r="H112" s="4">
        <v>0</v>
      </c>
      <c r="I112" s="4">
        <v>0</v>
      </c>
      <c r="J112" s="4">
        <v>0</v>
      </c>
      <c r="K112" s="4">
        <v>0</v>
      </c>
      <c r="L112" s="4">
        <v>209.5</v>
      </c>
      <c r="M112" s="6">
        <v>2.2999999999999998</v>
      </c>
    </row>
    <row r="113" spans="1:13" x14ac:dyDescent="0.25">
      <c r="A113" s="2" t="s">
        <v>75</v>
      </c>
      <c r="B113" s="2" t="s">
        <v>55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6">
        <v>0</v>
      </c>
    </row>
    <row r="114" spans="1:13" x14ac:dyDescent="0.25">
      <c r="A114" s="7" t="s">
        <v>75</v>
      </c>
      <c r="B114" s="7" t="s">
        <v>37</v>
      </c>
      <c r="C114" s="8">
        <v>828</v>
      </c>
      <c r="D114" s="8">
        <v>284</v>
      </c>
      <c r="E114" s="8">
        <v>1625</v>
      </c>
      <c r="F114" s="8">
        <v>1341</v>
      </c>
      <c r="G114" s="8">
        <v>1866.5</v>
      </c>
      <c r="H114" s="8">
        <v>4118</v>
      </c>
      <c r="I114" s="8">
        <v>4864</v>
      </c>
      <c r="J114" s="8">
        <v>2115</v>
      </c>
      <c r="K114" s="8">
        <v>656</v>
      </c>
      <c r="L114" s="8">
        <v>17697.5</v>
      </c>
      <c r="M114" s="9">
        <v>168</v>
      </c>
    </row>
    <row r="115" spans="1:13" x14ac:dyDescent="0.25">
      <c r="A115" s="2" t="s">
        <v>76</v>
      </c>
      <c r="B115" s="2" t="s">
        <v>51</v>
      </c>
      <c r="C115" s="4">
        <v>0</v>
      </c>
      <c r="D115" s="4">
        <v>165</v>
      </c>
      <c r="E115" s="4">
        <v>611</v>
      </c>
      <c r="F115" s="4">
        <v>121</v>
      </c>
      <c r="G115" s="4">
        <v>58</v>
      </c>
      <c r="H115" s="4">
        <v>460</v>
      </c>
      <c r="I115" s="4">
        <v>585</v>
      </c>
      <c r="J115" s="4">
        <v>1425</v>
      </c>
      <c r="K115" s="4">
        <v>456</v>
      </c>
      <c r="L115" s="4">
        <v>3881</v>
      </c>
      <c r="M115" s="6">
        <v>32.299999999999997</v>
      </c>
    </row>
    <row r="116" spans="1:13" x14ac:dyDescent="0.25">
      <c r="A116" s="2" t="s">
        <v>76</v>
      </c>
      <c r="B116" s="2" t="s">
        <v>52</v>
      </c>
      <c r="C116" s="4">
        <v>0</v>
      </c>
      <c r="D116" s="4">
        <v>133</v>
      </c>
      <c r="E116" s="4">
        <v>919</v>
      </c>
      <c r="F116" s="4">
        <v>0</v>
      </c>
      <c r="G116" s="4">
        <v>0</v>
      </c>
      <c r="H116" s="4">
        <v>1264</v>
      </c>
      <c r="I116" s="4">
        <v>1623</v>
      </c>
      <c r="J116" s="4">
        <v>434</v>
      </c>
      <c r="K116" s="4">
        <v>0</v>
      </c>
      <c r="L116" s="4">
        <v>4373</v>
      </c>
      <c r="M116" s="6">
        <v>41.9</v>
      </c>
    </row>
    <row r="117" spans="1:13" x14ac:dyDescent="0.25">
      <c r="A117" s="2" t="s">
        <v>76</v>
      </c>
      <c r="B117" s="2" t="s">
        <v>53</v>
      </c>
      <c r="C117" s="4">
        <v>850</v>
      </c>
      <c r="D117" s="4">
        <v>0</v>
      </c>
      <c r="E117" s="4">
        <v>137</v>
      </c>
      <c r="F117" s="4">
        <v>1158</v>
      </c>
      <c r="G117" s="4">
        <v>1608</v>
      </c>
      <c r="H117" s="4">
        <v>2374</v>
      </c>
      <c r="I117" s="4">
        <v>2802</v>
      </c>
      <c r="J117" s="4">
        <v>0</v>
      </c>
      <c r="K117" s="4">
        <v>0</v>
      </c>
      <c r="L117" s="4">
        <v>8929</v>
      </c>
      <c r="M117" s="6">
        <v>93.5</v>
      </c>
    </row>
    <row r="118" spans="1:13" x14ac:dyDescent="0.25">
      <c r="A118" s="2" t="s">
        <v>76</v>
      </c>
      <c r="B118" s="2" t="s">
        <v>54</v>
      </c>
      <c r="C118" s="4">
        <v>0</v>
      </c>
      <c r="D118" s="4">
        <v>0</v>
      </c>
      <c r="E118" s="4">
        <v>0</v>
      </c>
      <c r="F118" s="4">
        <v>0</v>
      </c>
      <c r="G118" s="4">
        <v>209.5</v>
      </c>
      <c r="H118" s="4">
        <v>0</v>
      </c>
      <c r="I118" s="4">
        <v>0</v>
      </c>
      <c r="J118" s="4">
        <v>0</v>
      </c>
      <c r="K118" s="4">
        <v>0</v>
      </c>
      <c r="L118" s="4">
        <v>209.5</v>
      </c>
      <c r="M118" s="6">
        <v>2.2999999999999998</v>
      </c>
    </row>
    <row r="119" spans="1:13" x14ac:dyDescent="0.25">
      <c r="A119" s="2" t="s">
        <v>76</v>
      </c>
      <c r="B119" s="2" t="s">
        <v>55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6">
        <v>0</v>
      </c>
    </row>
    <row r="120" spans="1:13" x14ac:dyDescent="0.25">
      <c r="A120" s="7" t="s">
        <v>76</v>
      </c>
      <c r="B120" s="7" t="s">
        <v>37</v>
      </c>
      <c r="C120" s="8">
        <v>850</v>
      </c>
      <c r="D120" s="8">
        <v>298</v>
      </c>
      <c r="E120" s="8">
        <v>1667</v>
      </c>
      <c r="F120" s="8">
        <v>1279</v>
      </c>
      <c r="G120" s="8">
        <v>1875.5</v>
      </c>
      <c r="H120" s="8">
        <v>4098</v>
      </c>
      <c r="I120" s="8">
        <v>5010</v>
      </c>
      <c r="J120" s="8">
        <v>1859</v>
      </c>
      <c r="K120" s="8">
        <v>456</v>
      </c>
      <c r="L120" s="8">
        <v>17392.5</v>
      </c>
      <c r="M120" s="9">
        <v>170</v>
      </c>
    </row>
    <row r="121" spans="1:13" x14ac:dyDescent="0.25">
      <c r="A121" s="2" t="s">
        <v>77</v>
      </c>
      <c r="B121" s="2" t="s">
        <v>51</v>
      </c>
      <c r="C121" s="4">
        <v>0</v>
      </c>
      <c r="D121" s="4">
        <v>165</v>
      </c>
      <c r="E121" s="4">
        <v>611</v>
      </c>
      <c r="F121" s="4">
        <v>121</v>
      </c>
      <c r="G121" s="4">
        <v>58</v>
      </c>
      <c r="H121" s="4">
        <v>460</v>
      </c>
      <c r="I121" s="4">
        <v>585</v>
      </c>
      <c r="J121" s="4">
        <v>1425</v>
      </c>
      <c r="K121" s="4">
        <v>456</v>
      </c>
      <c r="L121" s="4">
        <v>3881</v>
      </c>
      <c r="M121" s="6">
        <v>32.299999999999997</v>
      </c>
    </row>
    <row r="122" spans="1:13" x14ac:dyDescent="0.25">
      <c r="A122" s="2" t="s">
        <v>77</v>
      </c>
      <c r="B122" s="2" t="s">
        <v>52</v>
      </c>
      <c r="C122" s="4">
        <v>0</v>
      </c>
      <c r="D122" s="4">
        <v>133</v>
      </c>
      <c r="E122" s="4">
        <v>917</v>
      </c>
      <c r="F122" s="4">
        <v>0</v>
      </c>
      <c r="G122" s="4">
        <v>0</v>
      </c>
      <c r="H122" s="4">
        <v>1395</v>
      </c>
      <c r="I122" s="4">
        <v>1686</v>
      </c>
      <c r="J122" s="4">
        <v>0</v>
      </c>
      <c r="K122" s="4">
        <v>0</v>
      </c>
      <c r="L122" s="4">
        <v>4131</v>
      </c>
      <c r="M122" s="6">
        <v>41.9</v>
      </c>
    </row>
    <row r="123" spans="1:13" x14ac:dyDescent="0.25">
      <c r="A123" s="2" t="s">
        <v>77</v>
      </c>
      <c r="B123" s="2" t="s">
        <v>53</v>
      </c>
      <c r="C123" s="4">
        <v>828</v>
      </c>
      <c r="D123" s="4">
        <v>0</v>
      </c>
      <c r="E123" s="4">
        <v>118</v>
      </c>
      <c r="F123" s="4">
        <v>1122</v>
      </c>
      <c r="G123" s="4">
        <v>1601</v>
      </c>
      <c r="H123" s="4">
        <v>2369</v>
      </c>
      <c r="I123" s="4">
        <v>2761</v>
      </c>
      <c r="J123" s="4">
        <v>0</v>
      </c>
      <c r="K123" s="4">
        <v>0</v>
      </c>
      <c r="L123" s="4">
        <v>8799</v>
      </c>
      <c r="M123" s="6">
        <v>91.5</v>
      </c>
    </row>
    <row r="124" spans="1:13" x14ac:dyDescent="0.25">
      <c r="A124" s="2" t="s">
        <v>77</v>
      </c>
      <c r="B124" s="2" t="s">
        <v>54</v>
      </c>
      <c r="C124" s="4">
        <v>0</v>
      </c>
      <c r="D124" s="4">
        <v>0</v>
      </c>
      <c r="E124" s="4">
        <v>0</v>
      </c>
      <c r="F124" s="4">
        <v>0</v>
      </c>
      <c r="G124" s="4">
        <v>209.5</v>
      </c>
      <c r="H124" s="4">
        <v>0</v>
      </c>
      <c r="I124" s="4">
        <v>0</v>
      </c>
      <c r="J124" s="4">
        <v>0</v>
      </c>
      <c r="K124" s="4">
        <v>0</v>
      </c>
      <c r="L124" s="4">
        <v>209.5</v>
      </c>
      <c r="M124" s="6">
        <v>2.2999999999999998</v>
      </c>
    </row>
    <row r="125" spans="1:13" x14ac:dyDescent="0.25">
      <c r="A125" s="2" t="s">
        <v>77</v>
      </c>
      <c r="B125" s="2" t="s">
        <v>55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6">
        <v>0</v>
      </c>
    </row>
    <row r="126" spans="1:13" x14ac:dyDescent="0.25">
      <c r="A126" s="7" t="s">
        <v>77</v>
      </c>
      <c r="B126" s="7" t="s">
        <v>37</v>
      </c>
      <c r="C126" s="8">
        <v>828</v>
      </c>
      <c r="D126" s="8">
        <v>298</v>
      </c>
      <c r="E126" s="8">
        <v>1646</v>
      </c>
      <c r="F126" s="8">
        <v>1243</v>
      </c>
      <c r="G126" s="8">
        <v>1868.5</v>
      </c>
      <c r="H126" s="8">
        <v>4224</v>
      </c>
      <c r="I126" s="8">
        <v>5032</v>
      </c>
      <c r="J126" s="8">
        <v>1425</v>
      </c>
      <c r="K126" s="8">
        <v>456</v>
      </c>
      <c r="L126" s="8">
        <v>17020.5</v>
      </c>
      <c r="M126" s="9">
        <v>168</v>
      </c>
    </row>
    <row r="127" spans="1:13" x14ac:dyDescent="0.25">
      <c r="A127" s="2" t="s">
        <v>78</v>
      </c>
      <c r="B127" s="2" t="s">
        <v>51</v>
      </c>
      <c r="C127" s="4">
        <v>0</v>
      </c>
      <c r="D127" s="4">
        <v>165</v>
      </c>
      <c r="E127" s="4">
        <v>611</v>
      </c>
      <c r="F127" s="4">
        <v>121</v>
      </c>
      <c r="G127" s="4">
        <v>58</v>
      </c>
      <c r="H127" s="4">
        <v>460</v>
      </c>
      <c r="I127" s="4">
        <v>585</v>
      </c>
      <c r="J127" s="4">
        <v>1425</v>
      </c>
      <c r="K127" s="4">
        <v>456</v>
      </c>
      <c r="L127" s="4">
        <v>3881</v>
      </c>
      <c r="M127" s="6">
        <v>32.299999999999997</v>
      </c>
    </row>
    <row r="128" spans="1:13" x14ac:dyDescent="0.25">
      <c r="A128" s="2" t="s">
        <v>78</v>
      </c>
      <c r="B128" s="2" t="s">
        <v>52</v>
      </c>
      <c r="C128" s="4">
        <v>0</v>
      </c>
      <c r="D128" s="4">
        <v>133</v>
      </c>
      <c r="E128" s="4">
        <v>916</v>
      </c>
      <c r="F128" s="4">
        <v>0</v>
      </c>
      <c r="G128" s="4">
        <v>0</v>
      </c>
      <c r="H128" s="4">
        <v>1549</v>
      </c>
      <c r="I128" s="4">
        <v>1433</v>
      </c>
      <c r="J128" s="4">
        <v>0</v>
      </c>
      <c r="K128" s="4">
        <v>0</v>
      </c>
      <c r="L128" s="4">
        <v>4031</v>
      </c>
      <c r="M128" s="6">
        <v>41.9</v>
      </c>
    </row>
    <row r="129" spans="1:13" x14ac:dyDescent="0.25">
      <c r="A129" s="2" t="s">
        <v>78</v>
      </c>
      <c r="B129" s="2" t="s">
        <v>53</v>
      </c>
      <c r="C129" s="4">
        <v>850</v>
      </c>
      <c r="D129" s="4">
        <v>0</v>
      </c>
      <c r="E129" s="4">
        <v>137</v>
      </c>
      <c r="F129" s="4">
        <v>1158</v>
      </c>
      <c r="G129" s="4">
        <v>1608</v>
      </c>
      <c r="H129" s="4">
        <v>2374</v>
      </c>
      <c r="I129" s="4">
        <v>2802</v>
      </c>
      <c r="J129" s="4">
        <v>0</v>
      </c>
      <c r="K129" s="4">
        <v>0</v>
      </c>
      <c r="L129" s="4">
        <v>8929</v>
      </c>
      <c r="M129" s="6">
        <v>93.5</v>
      </c>
    </row>
    <row r="130" spans="1:13" x14ac:dyDescent="0.25">
      <c r="A130" s="2" t="s">
        <v>78</v>
      </c>
      <c r="B130" s="2" t="s">
        <v>54</v>
      </c>
      <c r="C130" s="4">
        <v>0</v>
      </c>
      <c r="D130" s="4">
        <v>0</v>
      </c>
      <c r="E130" s="4">
        <v>0</v>
      </c>
      <c r="F130" s="4">
        <v>0</v>
      </c>
      <c r="G130" s="4">
        <v>209.5</v>
      </c>
      <c r="H130" s="4">
        <v>0</v>
      </c>
      <c r="I130" s="4">
        <v>0</v>
      </c>
      <c r="J130" s="4">
        <v>0</v>
      </c>
      <c r="K130" s="4">
        <v>0</v>
      </c>
      <c r="L130" s="4">
        <v>209.5</v>
      </c>
      <c r="M130" s="6">
        <v>2.2999999999999998</v>
      </c>
    </row>
    <row r="131" spans="1:13" x14ac:dyDescent="0.25">
      <c r="A131" s="2" t="s">
        <v>78</v>
      </c>
      <c r="B131" s="2" t="s">
        <v>55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6">
        <v>0</v>
      </c>
    </row>
    <row r="132" spans="1:13" x14ac:dyDescent="0.25">
      <c r="A132" s="7" t="s">
        <v>78</v>
      </c>
      <c r="B132" s="7" t="s">
        <v>37</v>
      </c>
      <c r="C132" s="8">
        <v>850</v>
      </c>
      <c r="D132" s="8">
        <v>298</v>
      </c>
      <c r="E132" s="8">
        <v>1664</v>
      </c>
      <c r="F132" s="8">
        <v>1279</v>
      </c>
      <c r="G132" s="8">
        <v>1875.5</v>
      </c>
      <c r="H132" s="8">
        <v>4383</v>
      </c>
      <c r="I132" s="8">
        <v>4820</v>
      </c>
      <c r="J132" s="8">
        <v>1425</v>
      </c>
      <c r="K132" s="8">
        <v>456</v>
      </c>
      <c r="L132" s="8">
        <v>17050.5</v>
      </c>
      <c r="M132" s="9">
        <v>170</v>
      </c>
    </row>
    <row r="133" spans="1:13" x14ac:dyDescent="0.25">
      <c r="A133" s="2" t="s">
        <v>79</v>
      </c>
      <c r="B133" s="2" t="s">
        <v>51</v>
      </c>
      <c r="C133" s="4">
        <v>0</v>
      </c>
      <c r="D133" s="4">
        <v>165</v>
      </c>
      <c r="E133" s="4">
        <v>611</v>
      </c>
      <c r="F133" s="4">
        <v>121</v>
      </c>
      <c r="G133" s="4">
        <v>58</v>
      </c>
      <c r="H133" s="4">
        <v>460</v>
      </c>
      <c r="I133" s="4">
        <v>585</v>
      </c>
      <c r="J133" s="4">
        <v>1425</v>
      </c>
      <c r="K133" s="4">
        <v>456</v>
      </c>
      <c r="L133" s="4">
        <v>3881</v>
      </c>
      <c r="M133" s="6">
        <v>32.299999999999997</v>
      </c>
    </row>
    <row r="134" spans="1:13" x14ac:dyDescent="0.25">
      <c r="A134" s="2" t="s">
        <v>79</v>
      </c>
      <c r="B134" s="2" t="s">
        <v>52</v>
      </c>
      <c r="C134" s="4">
        <v>0</v>
      </c>
      <c r="D134" s="4">
        <v>133</v>
      </c>
      <c r="E134" s="4">
        <v>916</v>
      </c>
      <c r="F134" s="4">
        <v>0</v>
      </c>
      <c r="G134" s="4">
        <v>0</v>
      </c>
      <c r="H134" s="4">
        <v>1549</v>
      </c>
      <c r="I134" s="4">
        <v>1433</v>
      </c>
      <c r="J134" s="4">
        <v>0</v>
      </c>
      <c r="K134" s="4">
        <v>0</v>
      </c>
      <c r="L134" s="4">
        <v>4031</v>
      </c>
      <c r="M134" s="6">
        <v>41.9</v>
      </c>
    </row>
    <row r="135" spans="1:13" x14ac:dyDescent="0.25">
      <c r="A135" s="2" t="s">
        <v>79</v>
      </c>
      <c r="B135" s="2" t="s">
        <v>53</v>
      </c>
      <c r="C135" s="4">
        <v>828</v>
      </c>
      <c r="D135" s="4">
        <v>0</v>
      </c>
      <c r="E135" s="4">
        <v>118</v>
      </c>
      <c r="F135" s="4">
        <v>1122</v>
      </c>
      <c r="G135" s="4">
        <v>1601</v>
      </c>
      <c r="H135" s="4">
        <v>2369</v>
      </c>
      <c r="I135" s="4">
        <v>2761</v>
      </c>
      <c r="J135" s="4">
        <v>0</v>
      </c>
      <c r="K135" s="4">
        <v>0</v>
      </c>
      <c r="L135" s="4">
        <v>8799</v>
      </c>
      <c r="M135" s="6">
        <v>91.5</v>
      </c>
    </row>
    <row r="136" spans="1:13" x14ac:dyDescent="0.25">
      <c r="A136" s="2" t="s">
        <v>79</v>
      </c>
      <c r="B136" s="2" t="s">
        <v>54</v>
      </c>
      <c r="C136" s="4">
        <v>0</v>
      </c>
      <c r="D136" s="4">
        <v>0</v>
      </c>
      <c r="E136" s="4">
        <v>0</v>
      </c>
      <c r="F136" s="4">
        <v>0</v>
      </c>
      <c r="G136" s="4">
        <v>209.5</v>
      </c>
      <c r="H136" s="4">
        <v>0</v>
      </c>
      <c r="I136" s="4">
        <v>0</v>
      </c>
      <c r="J136" s="4">
        <v>0</v>
      </c>
      <c r="K136" s="4">
        <v>0</v>
      </c>
      <c r="L136" s="4">
        <v>209.5</v>
      </c>
      <c r="M136" s="6">
        <v>2.2999999999999998</v>
      </c>
    </row>
    <row r="137" spans="1:13" x14ac:dyDescent="0.25">
      <c r="A137" s="2" t="s">
        <v>79</v>
      </c>
      <c r="B137" s="2" t="s">
        <v>55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6">
        <v>0</v>
      </c>
    </row>
    <row r="138" spans="1:13" x14ac:dyDescent="0.25">
      <c r="A138" s="7" t="s">
        <v>79</v>
      </c>
      <c r="B138" s="7" t="s">
        <v>37</v>
      </c>
      <c r="C138" s="8">
        <v>828</v>
      </c>
      <c r="D138" s="8">
        <v>298</v>
      </c>
      <c r="E138" s="8">
        <v>1645</v>
      </c>
      <c r="F138" s="8">
        <v>1243</v>
      </c>
      <c r="G138" s="8">
        <v>1868.5</v>
      </c>
      <c r="H138" s="8">
        <v>4378</v>
      </c>
      <c r="I138" s="8">
        <v>4779</v>
      </c>
      <c r="J138" s="8">
        <v>1425</v>
      </c>
      <c r="K138" s="8">
        <v>456</v>
      </c>
      <c r="L138" s="8">
        <v>16920.5</v>
      </c>
      <c r="M138" s="9">
        <v>168</v>
      </c>
    </row>
    <row r="139" spans="1:13" x14ac:dyDescent="0.25">
      <c r="A139" s="2" t="s">
        <v>80</v>
      </c>
      <c r="B139" s="2" t="s">
        <v>51</v>
      </c>
      <c r="C139" s="4">
        <v>0</v>
      </c>
      <c r="D139" s="4">
        <v>165</v>
      </c>
      <c r="E139" s="4">
        <v>611</v>
      </c>
      <c r="F139" s="4">
        <v>121</v>
      </c>
      <c r="G139" s="4">
        <v>58</v>
      </c>
      <c r="H139" s="4">
        <v>460</v>
      </c>
      <c r="I139" s="4">
        <v>585</v>
      </c>
      <c r="J139" s="4">
        <v>1425</v>
      </c>
      <c r="K139" s="4">
        <v>456</v>
      </c>
      <c r="L139" s="4">
        <v>3881</v>
      </c>
      <c r="M139" s="6">
        <v>32.299999999999997</v>
      </c>
    </row>
    <row r="140" spans="1:13" x14ac:dyDescent="0.25">
      <c r="A140" s="2" t="s">
        <v>80</v>
      </c>
      <c r="B140" s="2" t="s">
        <v>52</v>
      </c>
      <c r="C140" s="4">
        <v>0</v>
      </c>
      <c r="D140" s="4">
        <v>133</v>
      </c>
      <c r="E140" s="4">
        <v>916</v>
      </c>
      <c r="F140" s="4">
        <v>0</v>
      </c>
      <c r="G140" s="4">
        <v>0</v>
      </c>
      <c r="H140" s="4">
        <v>1549</v>
      </c>
      <c r="I140" s="4">
        <v>1433</v>
      </c>
      <c r="J140" s="4">
        <v>0</v>
      </c>
      <c r="K140" s="4">
        <v>0</v>
      </c>
      <c r="L140" s="4">
        <v>4031</v>
      </c>
      <c r="M140" s="6">
        <v>41.9</v>
      </c>
    </row>
    <row r="141" spans="1:13" x14ac:dyDescent="0.25">
      <c r="A141" s="2" t="s">
        <v>80</v>
      </c>
      <c r="B141" s="2" t="s">
        <v>53</v>
      </c>
      <c r="C141" s="4">
        <v>850</v>
      </c>
      <c r="D141" s="4">
        <v>0</v>
      </c>
      <c r="E141" s="4">
        <v>137</v>
      </c>
      <c r="F141" s="4">
        <v>1158</v>
      </c>
      <c r="G141" s="4">
        <v>1608</v>
      </c>
      <c r="H141" s="4">
        <v>2374</v>
      </c>
      <c r="I141" s="4">
        <v>2802</v>
      </c>
      <c r="J141" s="4">
        <v>0</v>
      </c>
      <c r="K141" s="4">
        <v>0</v>
      </c>
      <c r="L141" s="4">
        <v>8929</v>
      </c>
      <c r="M141" s="6">
        <v>93.5</v>
      </c>
    </row>
    <row r="142" spans="1:13" x14ac:dyDescent="0.25">
      <c r="A142" s="2" t="s">
        <v>80</v>
      </c>
      <c r="B142" s="2" t="s">
        <v>54</v>
      </c>
      <c r="C142" s="4">
        <v>0</v>
      </c>
      <c r="D142" s="4">
        <v>0</v>
      </c>
      <c r="E142" s="4">
        <v>0</v>
      </c>
      <c r="F142" s="4">
        <v>0</v>
      </c>
      <c r="G142" s="4">
        <v>209.5</v>
      </c>
      <c r="H142" s="4">
        <v>0</v>
      </c>
      <c r="I142" s="4">
        <v>0</v>
      </c>
      <c r="J142" s="4">
        <v>0</v>
      </c>
      <c r="K142" s="4">
        <v>0</v>
      </c>
      <c r="L142" s="4">
        <v>209.5</v>
      </c>
      <c r="M142" s="6">
        <v>2.2999999999999998</v>
      </c>
    </row>
    <row r="143" spans="1:13" x14ac:dyDescent="0.25">
      <c r="A143" s="2" t="s">
        <v>80</v>
      </c>
      <c r="B143" s="2" t="s">
        <v>55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6">
        <v>0</v>
      </c>
    </row>
    <row r="144" spans="1:13" x14ac:dyDescent="0.25">
      <c r="A144" s="7" t="s">
        <v>80</v>
      </c>
      <c r="B144" s="7" t="s">
        <v>37</v>
      </c>
      <c r="C144" s="8">
        <v>850</v>
      </c>
      <c r="D144" s="8">
        <v>298</v>
      </c>
      <c r="E144" s="8">
        <v>1664</v>
      </c>
      <c r="F144" s="8">
        <v>1279</v>
      </c>
      <c r="G144" s="8">
        <v>1875.5</v>
      </c>
      <c r="H144" s="8">
        <v>4383</v>
      </c>
      <c r="I144" s="8">
        <v>4820</v>
      </c>
      <c r="J144" s="8">
        <v>1425</v>
      </c>
      <c r="K144" s="8">
        <v>456</v>
      </c>
      <c r="L144" s="8">
        <v>17050.5</v>
      </c>
      <c r="M144" s="9">
        <v>170</v>
      </c>
    </row>
    <row r="145" spans="1:13" x14ac:dyDescent="0.25">
      <c r="A145" s="2" t="s">
        <v>81</v>
      </c>
      <c r="B145" s="2" t="s">
        <v>51</v>
      </c>
      <c r="C145" s="4">
        <v>0</v>
      </c>
      <c r="D145" s="4">
        <v>204</v>
      </c>
      <c r="E145" s="4">
        <v>540</v>
      </c>
      <c r="F145" s="4">
        <v>115</v>
      </c>
      <c r="G145" s="4">
        <v>58</v>
      </c>
      <c r="H145" s="4">
        <v>532</v>
      </c>
      <c r="I145" s="4">
        <v>1039</v>
      </c>
      <c r="J145" s="4">
        <v>788</v>
      </c>
      <c r="K145" s="4">
        <v>0</v>
      </c>
      <c r="L145" s="4">
        <v>3276</v>
      </c>
      <c r="M145" s="6">
        <v>32.299999999999997</v>
      </c>
    </row>
    <row r="146" spans="1:13" x14ac:dyDescent="0.25">
      <c r="A146" s="2" t="s">
        <v>81</v>
      </c>
      <c r="B146" s="2" t="s">
        <v>52</v>
      </c>
      <c r="C146" s="4">
        <v>0</v>
      </c>
      <c r="D146" s="4">
        <v>155</v>
      </c>
      <c r="E146" s="4">
        <v>882</v>
      </c>
      <c r="F146" s="4">
        <v>0</v>
      </c>
      <c r="G146" s="4">
        <v>0</v>
      </c>
      <c r="H146" s="4">
        <v>1634</v>
      </c>
      <c r="I146" s="4">
        <v>1294</v>
      </c>
      <c r="J146" s="4">
        <v>0</v>
      </c>
      <c r="K146" s="4">
        <v>0</v>
      </c>
      <c r="L146" s="4">
        <v>3965</v>
      </c>
      <c r="M146" s="6">
        <v>41.9</v>
      </c>
    </row>
    <row r="147" spans="1:13" x14ac:dyDescent="0.25">
      <c r="A147" s="2" t="s">
        <v>81</v>
      </c>
      <c r="B147" s="2" t="s">
        <v>53</v>
      </c>
      <c r="C147" s="4">
        <v>828</v>
      </c>
      <c r="D147" s="4">
        <v>0</v>
      </c>
      <c r="E147" s="4">
        <v>118</v>
      </c>
      <c r="F147" s="4">
        <v>1122</v>
      </c>
      <c r="G147" s="4">
        <v>1601</v>
      </c>
      <c r="H147" s="4">
        <v>2369</v>
      </c>
      <c r="I147" s="4">
        <v>2761</v>
      </c>
      <c r="J147" s="4">
        <v>0</v>
      </c>
      <c r="K147" s="4">
        <v>0</v>
      </c>
      <c r="L147" s="4">
        <v>8799</v>
      </c>
      <c r="M147" s="6">
        <v>91.5</v>
      </c>
    </row>
    <row r="148" spans="1:13" x14ac:dyDescent="0.25">
      <c r="A148" s="2" t="s">
        <v>81</v>
      </c>
      <c r="B148" s="2" t="s">
        <v>54</v>
      </c>
      <c r="C148" s="4">
        <v>0</v>
      </c>
      <c r="D148" s="4">
        <v>0</v>
      </c>
      <c r="E148" s="4">
        <v>0</v>
      </c>
      <c r="F148" s="4">
        <v>0</v>
      </c>
      <c r="G148" s="4">
        <v>209.5</v>
      </c>
      <c r="H148" s="4">
        <v>0</v>
      </c>
      <c r="I148" s="4">
        <v>0</v>
      </c>
      <c r="J148" s="4">
        <v>0</v>
      </c>
      <c r="K148" s="4">
        <v>0</v>
      </c>
      <c r="L148" s="4">
        <v>209.5</v>
      </c>
      <c r="M148" s="6">
        <v>2.2999999999999998</v>
      </c>
    </row>
    <row r="149" spans="1:13" x14ac:dyDescent="0.25">
      <c r="A149" s="2" t="s">
        <v>81</v>
      </c>
      <c r="B149" s="2" t="s">
        <v>55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6">
        <v>0</v>
      </c>
    </row>
    <row r="150" spans="1:13" x14ac:dyDescent="0.25">
      <c r="A150" s="7" t="s">
        <v>81</v>
      </c>
      <c r="B150" s="7" t="s">
        <v>37</v>
      </c>
      <c r="C150" s="8">
        <v>828</v>
      </c>
      <c r="D150" s="8">
        <v>359</v>
      </c>
      <c r="E150" s="8">
        <v>1540</v>
      </c>
      <c r="F150" s="8">
        <v>1237</v>
      </c>
      <c r="G150" s="8">
        <v>1868.5</v>
      </c>
      <c r="H150" s="8">
        <v>4535</v>
      </c>
      <c r="I150" s="8">
        <v>5094</v>
      </c>
      <c r="J150" s="8">
        <v>788</v>
      </c>
      <c r="K150" s="8">
        <v>0</v>
      </c>
      <c r="L150" s="8">
        <v>16249.5</v>
      </c>
      <c r="M150" s="9">
        <v>168</v>
      </c>
    </row>
    <row r="151" spans="1:13" x14ac:dyDescent="0.25">
      <c r="A151" s="2" t="s">
        <v>82</v>
      </c>
      <c r="B151" s="2" t="s">
        <v>51</v>
      </c>
      <c r="C151" s="4">
        <v>0</v>
      </c>
      <c r="D151" s="4">
        <v>204</v>
      </c>
      <c r="E151" s="4">
        <v>540</v>
      </c>
      <c r="F151" s="4">
        <v>115</v>
      </c>
      <c r="G151" s="4">
        <v>58</v>
      </c>
      <c r="H151" s="4">
        <v>532</v>
      </c>
      <c r="I151" s="4">
        <v>1039</v>
      </c>
      <c r="J151" s="4">
        <v>788</v>
      </c>
      <c r="K151" s="4">
        <v>0</v>
      </c>
      <c r="L151" s="4">
        <v>3276</v>
      </c>
      <c r="M151" s="6">
        <v>32.299999999999997</v>
      </c>
    </row>
    <row r="152" spans="1:13" x14ac:dyDescent="0.25">
      <c r="A152" s="2" t="s">
        <v>82</v>
      </c>
      <c r="B152" s="2" t="s">
        <v>52</v>
      </c>
      <c r="C152" s="4">
        <v>0</v>
      </c>
      <c r="D152" s="4">
        <v>155</v>
      </c>
      <c r="E152" s="4">
        <v>882</v>
      </c>
      <c r="F152" s="4">
        <v>0</v>
      </c>
      <c r="G152" s="4">
        <v>0</v>
      </c>
      <c r="H152" s="4">
        <v>1634</v>
      </c>
      <c r="I152" s="4">
        <v>1294</v>
      </c>
      <c r="J152" s="4">
        <v>0</v>
      </c>
      <c r="K152" s="4">
        <v>0</v>
      </c>
      <c r="L152" s="4">
        <v>3965</v>
      </c>
      <c r="M152" s="6">
        <v>41.9</v>
      </c>
    </row>
    <row r="153" spans="1:13" x14ac:dyDescent="0.25">
      <c r="A153" s="2" t="s">
        <v>82</v>
      </c>
      <c r="B153" s="2" t="s">
        <v>53</v>
      </c>
      <c r="C153" s="4">
        <v>850</v>
      </c>
      <c r="D153" s="4">
        <v>0</v>
      </c>
      <c r="E153" s="4">
        <v>137</v>
      </c>
      <c r="F153" s="4">
        <v>1158</v>
      </c>
      <c r="G153" s="4">
        <v>1608</v>
      </c>
      <c r="H153" s="4">
        <v>2374</v>
      </c>
      <c r="I153" s="4">
        <v>2802</v>
      </c>
      <c r="J153" s="4">
        <v>0</v>
      </c>
      <c r="K153" s="4">
        <v>0</v>
      </c>
      <c r="L153" s="4">
        <v>8929</v>
      </c>
      <c r="M153" s="6">
        <v>93.5</v>
      </c>
    </row>
    <row r="154" spans="1:13" x14ac:dyDescent="0.25">
      <c r="A154" s="2" t="s">
        <v>82</v>
      </c>
      <c r="B154" s="2" t="s">
        <v>54</v>
      </c>
      <c r="C154" s="4">
        <v>0</v>
      </c>
      <c r="D154" s="4">
        <v>0</v>
      </c>
      <c r="E154" s="4">
        <v>0</v>
      </c>
      <c r="F154" s="4">
        <v>0</v>
      </c>
      <c r="G154" s="4">
        <v>209.5</v>
      </c>
      <c r="H154" s="4">
        <v>0</v>
      </c>
      <c r="I154" s="4">
        <v>0</v>
      </c>
      <c r="J154" s="4">
        <v>0</v>
      </c>
      <c r="K154" s="4">
        <v>0</v>
      </c>
      <c r="L154" s="4">
        <v>209.5</v>
      </c>
      <c r="M154" s="6">
        <v>2.2999999999999998</v>
      </c>
    </row>
    <row r="155" spans="1:13" x14ac:dyDescent="0.25">
      <c r="A155" s="2" t="s">
        <v>82</v>
      </c>
      <c r="B155" s="2" t="s">
        <v>55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6">
        <v>0</v>
      </c>
    </row>
    <row r="156" spans="1:13" x14ac:dyDescent="0.25">
      <c r="A156" s="7" t="s">
        <v>82</v>
      </c>
      <c r="B156" s="7" t="s">
        <v>37</v>
      </c>
      <c r="C156" s="8">
        <v>850</v>
      </c>
      <c r="D156" s="8">
        <v>359</v>
      </c>
      <c r="E156" s="8">
        <v>1559</v>
      </c>
      <c r="F156" s="8">
        <v>1273</v>
      </c>
      <c r="G156" s="8">
        <v>1875.5</v>
      </c>
      <c r="H156" s="8">
        <v>4540</v>
      </c>
      <c r="I156" s="8">
        <v>5135</v>
      </c>
      <c r="J156" s="8">
        <v>788</v>
      </c>
      <c r="K156" s="8">
        <v>0</v>
      </c>
      <c r="L156" s="8">
        <v>16379.5</v>
      </c>
      <c r="M156" s="9">
        <v>170</v>
      </c>
    </row>
    <row r="157" spans="1:13" x14ac:dyDescent="0.25">
      <c r="A157" s="2" t="s">
        <v>83</v>
      </c>
      <c r="B157" s="2" t="s">
        <v>51</v>
      </c>
      <c r="C157" s="4">
        <v>0</v>
      </c>
      <c r="D157" s="4">
        <v>204</v>
      </c>
      <c r="E157" s="4">
        <v>540</v>
      </c>
      <c r="F157" s="4">
        <v>115</v>
      </c>
      <c r="G157" s="4">
        <v>58</v>
      </c>
      <c r="H157" s="4">
        <v>532</v>
      </c>
      <c r="I157" s="4">
        <v>1039</v>
      </c>
      <c r="J157" s="4">
        <v>788</v>
      </c>
      <c r="K157" s="4">
        <v>0</v>
      </c>
      <c r="L157" s="4">
        <v>3276</v>
      </c>
      <c r="M157" s="6">
        <v>32.299999999999997</v>
      </c>
    </row>
    <row r="158" spans="1:13" x14ac:dyDescent="0.25">
      <c r="A158" s="2" t="s">
        <v>83</v>
      </c>
      <c r="B158" s="2" t="s">
        <v>52</v>
      </c>
      <c r="C158" s="4">
        <v>0</v>
      </c>
      <c r="D158" s="4">
        <v>155</v>
      </c>
      <c r="E158" s="4">
        <v>882</v>
      </c>
      <c r="F158" s="4">
        <v>0</v>
      </c>
      <c r="G158" s="4">
        <v>0</v>
      </c>
      <c r="H158" s="4">
        <v>1634</v>
      </c>
      <c r="I158" s="4">
        <v>1294</v>
      </c>
      <c r="J158" s="4">
        <v>0</v>
      </c>
      <c r="K158" s="4">
        <v>0</v>
      </c>
      <c r="L158" s="4">
        <v>3965</v>
      </c>
      <c r="M158" s="6">
        <v>41.9</v>
      </c>
    </row>
    <row r="159" spans="1:13" x14ac:dyDescent="0.25">
      <c r="A159" s="2" t="s">
        <v>83</v>
      </c>
      <c r="B159" s="2" t="s">
        <v>53</v>
      </c>
      <c r="C159" s="4">
        <v>828</v>
      </c>
      <c r="D159" s="4">
        <v>0</v>
      </c>
      <c r="E159" s="4">
        <v>118</v>
      </c>
      <c r="F159" s="4">
        <v>1122</v>
      </c>
      <c r="G159" s="4">
        <v>1601</v>
      </c>
      <c r="H159" s="4">
        <v>2369</v>
      </c>
      <c r="I159" s="4">
        <v>2761</v>
      </c>
      <c r="J159" s="4">
        <v>0</v>
      </c>
      <c r="K159" s="4">
        <v>0</v>
      </c>
      <c r="L159" s="4">
        <v>8799</v>
      </c>
      <c r="M159" s="6">
        <v>91.5</v>
      </c>
    </row>
    <row r="160" spans="1:13" x14ac:dyDescent="0.25">
      <c r="A160" s="2" t="s">
        <v>83</v>
      </c>
      <c r="B160" s="2" t="s">
        <v>54</v>
      </c>
      <c r="C160" s="4">
        <v>0</v>
      </c>
      <c r="D160" s="4">
        <v>0</v>
      </c>
      <c r="E160" s="4">
        <v>0</v>
      </c>
      <c r="F160" s="4">
        <v>0</v>
      </c>
      <c r="G160" s="4">
        <v>209.5</v>
      </c>
      <c r="H160" s="4">
        <v>0</v>
      </c>
      <c r="I160" s="4">
        <v>0</v>
      </c>
      <c r="J160" s="4">
        <v>0</v>
      </c>
      <c r="K160" s="4">
        <v>0</v>
      </c>
      <c r="L160" s="4">
        <v>209.5</v>
      </c>
      <c r="M160" s="6">
        <v>2.2999999999999998</v>
      </c>
    </row>
    <row r="161" spans="1:13" x14ac:dyDescent="0.25">
      <c r="A161" s="2" t="s">
        <v>83</v>
      </c>
      <c r="B161" s="2" t="s">
        <v>55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6">
        <v>0</v>
      </c>
    </row>
    <row r="162" spans="1:13" x14ac:dyDescent="0.25">
      <c r="A162" s="7" t="s">
        <v>83</v>
      </c>
      <c r="B162" s="7" t="s">
        <v>37</v>
      </c>
      <c r="C162" s="8">
        <v>828</v>
      </c>
      <c r="D162" s="8">
        <v>359</v>
      </c>
      <c r="E162" s="8">
        <v>1540</v>
      </c>
      <c r="F162" s="8">
        <v>1237</v>
      </c>
      <c r="G162" s="8">
        <v>1868.5</v>
      </c>
      <c r="H162" s="8">
        <v>4535</v>
      </c>
      <c r="I162" s="8">
        <v>5094</v>
      </c>
      <c r="J162" s="8">
        <v>788</v>
      </c>
      <c r="K162" s="8">
        <v>0</v>
      </c>
      <c r="L162" s="8">
        <v>16249.5</v>
      </c>
      <c r="M162" s="9">
        <v>168</v>
      </c>
    </row>
    <row r="163" spans="1:13" x14ac:dyDescent="0.25">
      <c r="A163" s="2" t="s">
        <v>84</v>
      </c>
      <c r="B163" s="2" t="s">
        <v>51</v>
      </c>
      <c r="C163" s="4">
        <v>0</v>
      </c>
      <c r="D163" s="4">
        <v>204</v>
      </c>
      <c r="E163" s="4">
        <v>540</v>
      </c>
      <c r="F163" s="4">
        <v>115</v>
      </c>
      <c r="G163" s="4">
        <v>58</v>
      </c>
      <c r="H163" s="4">
        <v>532</v>
      </c>
      <c r="I163" s="4">
        <v>1039</v>
      </c>
      <c r="J163" s="4">
        <v>788</v>
      </c>
      <c r="K163" s="4">
        <v>0</v>
      </c>
      <c r="L163" s="4">
        <v>3276</v>
      </c>
      <c r="M163" s="6">
        <v>32.299999999999997</v>
      </c>
    </row>
    <row r="164" spans="1:13" x14ac:dyDescent="0.25">
      <c r="A164" s="2" t="s">
        <v>84</v>
      </c>
      <c r="B164" s="2" t="s">
        <v>52</v>
      </c>
      <c r="C164" s="4">
        <v>0</v>
      </c>
      <c r="D164" s="4">
        <v>155</v>
      </c>
      <c r="E164" s="4">
        <v>882</v>
      </c>
      <c r="F164" s="4">
        <v>0</v>
      </c>
      <c r="G164" s="4">
        <v>0</v>
      </c>
      <c r="H164" s="4">
        <v>1634</v>
      </c>
      <c r="I164" s="4">
        <v>1294</v>
      </c>
      <c r="J164" s="4">
        <v>0</v>
      </c>
      <c r="K164" s="4">
        <v>0</v>
      </c>
      <c r="L164" s="4">
        <v>3965</v>
      </c>
      <c r="M164" s="6">
        <v>41.9</v>
      </c>
    </row>
    <row r="165" spans="1:13" x14ac:dyDescent="0.25">
      <c r="A165" s="2" t="s">
        <v>84</v>
      </c>
      <c r="B165" s="2" t="s">
        <v>53</v>
      </c>
      <c r="C165" s="4">
        <v>850</v>
      </c>
      <c r="D165" s="4">
        <v>0</v>
      </c>
      <c r="E165" s="4">
        <v>137</v>
      </c>
      <c r="F165" s="4">
        <v>1158</v>
      </c>
      <c r="G165" s="4">
        <v>1608</v>
      </c>
      <c r="H165" s="4">
        <v>2374</v>
      </c>
      <c r="I165" s="4">
        <v>2802</v>
      </c>
      <c r="J165" s="4">
        <v>0</v>
      </c>
      <c r="K165" s="4">
        <v>0</v>
      </c>
      <c r="L165" s="4">
        <v>8929</v>
      </c>
      <c r="M165" s="6">
        <v>93.5</v>
      </c>
    </row>
    <row r="166" spans="1:13" x14ac:dyDescent="0.25">
      <c r="A166" s="2" t="s">
        <v>84</v>
      </c>
      <c r="B166" s="2" t="s">
        <v>54</v>
      </c>
      <c r="C166" s="4">
        <v>0</v>
      </c>
      <c r="D166" s="4">
        <v>0</v>
      </c>
      <c r="E166" s="4">
        <v>0</v>
      </c>
      <c r="F166" s="4">
        <v>0</v>
      </c>
      <c r="G166" s="4">
        <v>209.5</v>
      </c>
      <c r="H166" s="4">
        <v>0</v>
      </c>
      <c r="I166" s="4">
        <v>0</v>
      </c>
      <c r="J166" s="4">
        <v>0</v>
      </c>
      <c r="K166" s="4">
        <v>0</v>
      </c>
      <c r="L166" s="4">
        <v>209.5</v>
      </c>
      <c r="M166" s="6">
        <v>2.2999999999999998</v>
      </c>
    </row>
    <row r="167" spans="1:13" x14ac:dyDescent="0.25">
      <c r="A167" s="2" t="s">
        <v>84</v>
      </c>
      <c r="B167" s="2" t="s">
        <v>55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6">
        <v>0</v>
      </c>
    </row>
    <row r="168" spans="1:13" x14ac:dyDescent="0.25">
      <c r="A168" s="7" t="s">
        <v>84</v>
      </c>
      <c r="B168" s="7" t="s">
        <v>37</v>
      </c>
      <c r="C168" s="8">
        <v>850</v>
      </c>
      <c r="D168" s="8">
        <v>359</v>
      </c>
      <c r="E168" s="8">
        <v>1559</v>
      </c>
      <c r="F168" s="8">
        <v>1273</v>
      </c>
      <c r="G168" s="8">
        <v>1875.5</v>
      </c>
      <c r="H168" s="8">
        <v>4540</v>
      </c>
      <c r="I168" s="8">
        <v>5135</v>
      </c>
      <c r="J168" s="8">
        <v>788</v>
      </c>
      <c r="K168" s="8">
        <v>0</v>
      </c>
      <c r="L168" s="8">
        <v>16379.5</v>
      </c>
      <c r="M168" s="9">
        <v>170</v>
      </c>
    </row>
    <row r="169" spans="1:13" x14ac:dyDescent="0.25">
      <c r="A169" s="2" t="s">
        <v>85</v>
      </c>
      <c r="B169" s="2" t="s">
        <v>51</v>
      </c>
      <c r="C169" s="4">
        <v>0</v>
      </c>
      <c r="D169" s="4">
        <v>204</v>
      </c>
      <c r="E169" s="4">
        <v>540</v>
      </c>
      <c r="F169" s="4">
        <v>115</v>
      </c>
      <c r="G169" s="4">
        <v>58</v>
      </c>
      <c r="H169" s="4">
        <v>532</v>
      </c>
      <c r="I169" s="4">
        <v>1039</v>
      </c>
      <c r="J169" s="4">
        <v>788</v>
      </c>
      <c r="K169" s="4">
        <v>0</v>
      </c>
      <c r="L169" s="4">
        <v>3276</v>
      </c>
      <c r="M169" s="6">
        <v>32.299999999999997</v>
      </c>
    </row>
    <row r="170" spans="1:13" x14ac:dyDescent="0.25">
      <c r="A170" s="2" t="s">
        <v>85</v>
      </c>
      <c r="B170" s="2" t="s">
        <v>52</v>
      </c>
      <c r="C170" s="4">
        <v>0</v>
      </c>
      <c r="D170" s="4">
        <v>155</v>
      </c>
      <c r="E170" s="4">
        <v>882</v>
      </c>
      <c r="F170" s="4">
        <v>0</v>
      </c>
      <c r="G170" s="4">
        <v>0</v>
      </c>
      <c r="H170" s="4">
        <v>1634</v>
      </c>
      <c r="I170" s="4">
        <v>1294</v>
      </c>
      <c r="J170" s="4">
        <v>0</v>
      </c>
      <c r="K170" s="4">
        <v>0</v>
      </c>
      <c r="L170" s="4">
        <v>3965</v>
      </c>
      <c r="M170" s="6">
        <v>41.9</v>
      </c>
    </row>
    <row r="171" spans="1:13" x14ac:dyDescent="0.25">
      <c r="A171" s="2" t="s">
        <v>85</v>
      </c>
      <c r="B171" s="2" t="s">
        <v>53</v>
      </c>
      <c r="C171" s="4">
        <v>828</v>
      </c>
      <c r="D171" s="4">
        <v>0</v>
      </c>
      <c r="E171" s="4">
        <v>118</v>
      </c>
      <c r="F171" s="4">
        <v>1122</v>
      </c>
      <c r="G171" s="4">
        <v>1601</v>
      </c>
      <c r="H171" s="4">
        <v>2369</v>
      </c>
      <c r="I171" s="4">
        <v>2761</v>
      </c>
      <c r="J171" s="4">
        <v>0</v>
      </c>
      <c r="K171" s="4">
        <v>0</v>
      </c>
      <c r="L171" s="4">
        <v>8799</v>
      </c>
      <c r="M171" s="6">
        <v>91.5</v>
      </c>
    </row>
    <row r="172" spans="1:13" x14ac:dyDescent="0.25">
      <c r="A172" s="2" t="s">
        <v>85</v>
      </c>
      <c r="B172" s="2" t="s">
        <v>54</v>
      </c>
      <c r="C172" s="4">
        <v>0</v>
      </c>
      <c r="D172" s="4">
        <v>0</v>
      </c>
      <c r="E172" s="4">
        <v>0</v>
      </c>
      <c r="F172" s="4">
        <v>0</v>
      </c>
      <c r="G172" s="4">
        <v>209.5</v>
      </c>
      <c r="H172" s="4">
        <v>0</v>
      </c>
      <c r="I172" s="4">
        <v>0</v>
      </c>
      <c r="J172" s="4">
        <v>0</v>
      </c>
      <c r="K172" s="4">
        <v>0</v>
      </c>
      <c r="L172" s="4">
        <v>209.5</v>
      </c>
      <c r="M172" s="6">
        <v>2.2999999999999998</v>
      </c>
    </row>
    <row r="173" spans="1:13" x14ac:dyDescent="0.25">
      <c r="A173" s="2" t="s">
        <v>85</v>
      </c>
      <c r="B173" s="2" t="s">
        <v>55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6">
        <v>0</v>
      </c>
    </row>
    <row r="174" spans="1:13" x14ac:dyDescent="0.25">
      <c r="A174" s="7" t="s">
        <v>85</v>
      </c>
      <c r="B174" s="7" t="s">
        <v>37</v>
      </c>
      <c r="C174" s="8">
        <v>828</v>
      </c>
      <c r="D174" s="8">
        <v>359</v>
      </c>
      <c r="E174" s="8">
        <v>1540</v>
      </c>
      <c r="F174" s="8">
        <v>1237</v>
      </c>
      <c r="G174" s="8">
        <v>1868.5</v>
      </c>
      <c r="H174" s="8">
        <v>4535</v>
      </c>
      <c r="I174" s="8">
        <v>5094</v>
      </c>
      <c r="J174" s="8">
        <v>788</v>
      </c>
      <c r="K174" s="8">
        <v>0</v>
      </c>
      <c r="L174" s="8">
        <v>16249.5</v>
      </c>
      <c r="M174" s="9">
        <v>168</v>
      </c>
    </row>
    <row r="175" spans="1:13" x14ac:dyDescent="0.25">
      <c r="A175" s="2" t="s">
        <v>86</v>
      </c>
      <c r="B175" s="2" t="s">
        <v>51</v>
      </c>
      <c r="C175" s="4">
        <v>0</v>
      </c>
      <c r="D175" s="4">
        <v>202</v>
      </c>
      <c r="E175" s="4">
        <v>535</v>
      </c>
      <c r="F175" s="4">
        <v>115</v>
      </c>
      <c r="G175" s="4">
        <v>58</v>
      </c>
      <c r="H175" s="4">
        <v>611</v>
      </c>
      <c r="I175" s="4">
        <v>1033</v>
      </c>
      <c r="J175" s="4">
        <v>248</v>
      </c>
      <c r="K175" s="4">
        <v>0</v>
      </c>
      <c r="L175" s="4">
        <v>2802</v>
      </c>
      <c r="M175" s="6">
        <v>32.299999999999997</v>
      </c>
    </row>
    <row r="176" spans="1:13" x14ac:dyDescent="0.25">
      <c r="A176" s="2" t="s">
        <v>86</v>
      </c>
      <c r="B176" s="2" t="s">
        <v>52</v>
      </c>
      <c r="C176" s="4">
        <v>0</v>
      </c>
      <c r="D176" s="4">
        <v>155</v>
      </c>
      <c r="E176" s="4">
        <v>882</v>
      </c>
      <c r="F176" s="4">
        <v>0</v>
      </c>
      <c r="G176" s="4">
        <v>0</v>
      </c>
      <c r="H176" s="4">
        <v>1634</v>
      </c>
      <c r="I176" s="4">
        <v>1294</v>
      </c>
      <c r="J176" s="4">
        <v>0</v>
      </c>
      <c r="K176" s="4">
        <v>0</v>
      </c>
      <c r="L176" s="4">
        <v>3965</v>
      </c>
      <c r="M176" s="6">
        <v>41.9</v>
      </c>
    </row>
    <row r="177" spans="1:13" x14ac:dyDescent="0.25">
      <c r="A177" s="2" t="s">
        <v>86</v>
      </c>
      <c r="B177" s="2" t="s">
        <v>53</v>
      </c>
      <c r="C177" s="4">
        <v>850</v>
      </c>
      <c r="D177" s="4">
        <v>0</v>
      </c>
      <c r="E177" s="4">
        <v>137</v>
      </c>
      <c r="F177" s="4">
        <v>1158</v>
      </c>
      <c r="G177" s="4">
        <v>1608</v>
      </c>
      <c r="H177" s="4">
        <v>2374</v>
      </c>
      <c r="I177" s="4">
        <v>2802</v>
      </c>
      <c r="J177" s="4">
        <v>0</v>
      </c>
      <c r="K177" s="4">
        <v>0</v>
      </c>
      <c r="L177" s="4">
        <v>8929</v>
      </c>
      <c r="M177" s="6">
        <v>93.5</v>
      </c>
    </row>
    <row r="178" spans="1:13" x14ac:dyDescent="0.25">
      <c r="A178" s="2" t="s">
        <v>86</v>
      </c>
      <c r="B178" s="2" t="s">
        <v>54</v>
      </c>
      <c r="C178" s="4">
        <v>0</v>
      </c>
      <c r="D178" s="4">
        <v>0</v>
      </c>
      <c r="E178" s="4">
        <v>0</v>
      </c>
      <c r="F178" s="4">
        <v>0</v>
      </c>
      <c r="G178" s="4">
        <v>209.5</v>
      </c>
      <c r="H178" s="4">
        <v>0</v>
      </c>
      <c r="I178" s="4">
        <v>0</v>
      </c>
      <c r="J178" s="4">
        <v>0</v>
      </c>
      <c r="K178" s="4">
        <v>0</v>
      </c>
      <c r="L178" s="4">
        <v>209.5</v>
      </c>
      <c r="M178" s="6">
        <v>2.2999999999999998</v>
      </c>
    </row>
    <row r="179" spans="1:13" x14ac:dyDescent="0.25">
      <c r="A179" s="2" t="s">
        <v>86</v>
      </c>
      <c r="B179" s="2" t="s">
        <v>55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6">
        <v>0</v>
      </c>
    </row>
    <row r="180" spans="1:13" x14ac:dyDescent="0.25">
      <c r="A180" s="7" t="s">
        <v>86</v>
      </c>
      <c r="B180" s="7" t="s">
        <v>37</v>
      </c>
      <c r="C180" s="8">
        <v>850</v>
      </c>
      <c r="D180" s="8">
        <v>357</v>
      </c>
      <c r="E180" s="8">
        <v>1554</v>
      </c>
      <c r="F180" s="8">
        <v>1273</v>
      </c>
      <c r="G180" s="8">
        <v>1875.5</v>
      </c>
      <c r="H180" s="8">
        <v>4619</v>
      </c>
      <c r="I180" s="8">
        <v>5129</v>
      </c>
      <c r="J180" s="8">
        <v>248</v>
      </c>
      <c r="K180" s="8">
        <v>0</v>
      </c>
      <c r="L180" s="8">
        <v>15905.5</v>
      </c>
      <c r="M180" s="9">
        <v>170</v>
      </c>
    </row>
    <row r="181" spans="1:13" x14ac:dyDescent="0.25">
      <c r="A181" s="2" t="s">
        <v>87</v>
      </c>
      <c r="B181" s="2" t="s">
        <v>51</v>
      </c>
      <c r="C181" s="4">
        <v>0</v>
      </c>
      <c r="D181" s="4">
        <v>202</v>
      </c>
      <c r="E181" s="4">
        <v>535</v>
      </c>
      <c r="F181" s="4">
        <v>115</v>
      </c>
      <c r="G181" s="4">
        <v>58</v>
      </c>
      <c r="H181" s="4">
        <v>611</v>
      </c>
      <c r="I181" s="4">
        <v>1033</v>
      </c>
      <c r="J181" s="4">
        <v>248</v>
      </c>
      <c r="K181" s="4">
        <v>0</v>
      </c>
      <c r="L181" s="4">
        <v>2802</v>
      </c>
      <c r="M181" s="6">
        <v>32.299999999999997</v>
      </c>
    </row>
    <row r="182" spans="1:13" x14ac:dyDescent="0.25">
      <c r="A182" s="2" t="s">
        <v>87</v>
      </c>
      <c r="B182" s="2" t="s">
        <v>52</v>
      </c>
      <c r="C182" s="4">
        <v>0</v>
      </c>
      <c r="D182" s="4">
        <v>155</v>
      </c>
      <c r="E182" s="4">
        <v>882</v>
      </c>
      <c r="F182" s="4">
        <v>0</v>
      </c>
      <c r="G182" s="4">
        <v>0</v>
      </c>
      <c r="H182" s="4">
        <v>1634</v>
      </c>
      <c r="I182" s="4">
        <v>1294</v>
      </c>
      <c r="J182" s="4">
        <v>0</v>
      </c>
      <c r="K182" s="4">
        <v>0</v>
      </c>
      <c r="L182" s="4">
        <v>3965</v>
      </c>
      <c r="M182" s="6">
        <v>41.9</v>
      </c>
    </row>
    <row r="183" spans="1:13" x14ac:dyDescent="0.25">
      <c r="A183" s="2" t="s">
        <v>87</v>
      </c>
      <c r="B183" s="2" t="s">
        <v>53</v>
      </c>
      <c r="C183" s="4">
        <v>828</v>
      </c>
      <c r="D183" s="4">
        <v>0</v>
      </c>
      <c r="E183" s="4">
        <v>118</v>
      </c>
      <c r="F183" s="4">
        <v>1122</v>
      </c>
      <c r="G183" s="4">
        <v>1601</v>
      </c>
      <c r="H183" s="4">
        <v>2369</v>
      </c>
      <c r="I183" s="4">
        <v>2761</v>
      </c>
      <c r="J183" s="4">
        <v>0</v>
      </c>
      <c r="K183" s="4">
        <v>0</v>
      </c>
      <c r="L183" s="4">
        <v>8799</v>
      </c>
      <c r="M183" s="6">
        <v>91.5</v>
      </c>
    </row>
    <row r="184" spans="1:13" x14ac:dyDescent="0.25">
      <c r="A184" s="2" t="s">
        <v>87</v>
      </c>
      <c r="B184" s="2" t="s">
        <v>54</v>
      </c>
      <c r="C184" s="4">
        <v>0</v>
      </c>
      <c r="D184" s="4">
        <v>0</v>
      </c>
      <c r="E184" s="4">
        <v>0</v>
      </c>
      <c r="F184" s="4">
        <v>0</v>
      </c>
      <c r="G184" s="4">
        <v>209.5</v>
      </c>
      <c r="H184" s="4">
        <v>0</v>
      </c>
      <c r="I184" s="4">
        <v>0</v>
      </c>
      <c r="J184" s="4">
        <v>0</v>
      </c>
      <c r="K184" s="4">
        <v>0</v>
      </c>
      <c r="L184" s="4">
        <v>209.5</v>
      </c>
      <c r="M184" s="6">
        <v>2.2999999999999998</v>
      </c>
    </row>
    <row r="185" spans="1:13" x14ac:dyDescent="0.25">
      <c r="A185" s="2" t="s">
        <v>87</v>
      </c>
      <c r="B185" s="2" t="s">
        <v>55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6">
        <v>0</v>
      </c>
    </row>
    <row r="186" spans="1:13" x14ac:dyDescent="0.25">
      <c r="A186" s="7" t="s">
        <v>87</v>
      </c>
      <c r="B186" s="7" t="s">
        <v>37</v>
      </c>
      <c r="C186" s="8">
        <v>828</v>
      </c>
      <c r="D186" s="8">
        <v>357</v>
      </c>
      <c r="E186" s="8">
        <v>1535</v>
      </c>
      <c r="F186" s="8">
        <v>1237</v>
      </c>
      <c r="G186" s="8">
        <v>1868.5</v>
      </c>
      <c r="H186" s="8">
        <v>4614</v>
      </c>
      <c r="I186" s="8">
        <v>5088</v>
      </c>
      <c r="J186" s="8">
        <v>248</v>
      </c>
      <c r="K186" s="8">
        <v>0</v>
      </c>
      <c r="L186" s="8">
        <v>15775.5</v>
      </c>
      <c r="M186" s="9">
        <v>168</v>
      </c>
    </row>
    <row r="187" spans="1:13" x14ac:dyDescent="0.25">
      <c r="A187" s="2" t="s">
        <v>88</v>
      </c>
      <c r="B187" s="2" t="s">
        <v>51</v>
      </c>
      <c r="C187" s="4">
        <v>0</v>
      </c>
      <c r="D187" s="4">
        <v>202</v>
      </c>
      <c r="E187" s="4">
        <v>535</v>
      </c>
      <c r="F187" s="4">
        <v>115</v>
      </c>
      <c r="G187" s="4">
        <v>58</v>
      </c>
      <c r="H187" s="4">
        <v>611</v>
      </c>
      <c r="I187" s="4">
        <v>1033</v>
      </c>
      <c r="J187" s="4">
        <v>248</v>
      </c>
      <c r="K187" s="4">
        <v>0</v>
      </c>
      <c r="L187" s="4">
        <v>2802</v>
      </c>
      <c r="M187" s="6">
        <v>32.299999999999997</v>
      </c>
    </row>
    <row r="188" spans="1:13" x14ac:dyDescent="0.25">
      <c r="A188" s="2" t="s">
        <v>88</v>
      </c>
      <c r="B188" s="2" t="s">
        <v>52</v>
      </c>
      <c r="C188" s="4">
        <v>0</v>
      </c>
      <c r="D188" s="4">
        <v>155</v>
      </c>
      <c r="E188" s="4">
        <v>882</v>
      </c>
      <c r="F188" s="4">
        <v>0</v>
      </c>
      <c r="G188" s="4">
        <v>0</v>
      </c>
      <c r="H188" s="4">
        <v>1634</v>
      </c>
      <c r="I188" s="4">
        <v>1294</v>
      </c>
      <c r="J188" s="4">
        <v>0</v>
      </c>
      <c r="K188" s="4">
        <v>0</v>
      </c>
      <c r="L188" s="4">
        <v>3965</v>
      </c>
      <c r="M188" s="6">
        <v>41.9</v>
      </c>
    </row>
    <row r="189" spans="1:13" x14ac:dyDescent="0.25">
      <c r="A189" s="2" t="s">
        <v>88</v>
      </c>
      <c r="B189" s="2" t="s">
        <v>53</v>
      </c>
      <c r="C189" s="4">
        <v>850</v>
      </c>
      <c r="D189" s="4">
        <v>0</v>
      </c>
      <c r="E189" s="4">
        <v>137</v>
      </c>
      <c r="F189" s="4">
        <v>1158</v>
      </c>
      <c r="G189" s="4">
        <v>1608</v>
      </c>
      <c r="H189" s="4">
        <v>2374</v>
      </c>
      <c r="I189" s="4">
        <v>2802</v>
      </c>
      <c r="J189" s="4">
        <v>0</v>
      </c>
      <c r="K189" s="4">
        <v>0</v>
      </c>
      <c r="L189" s="4">
        <v>8929</v>
      </c>
      <c r="M189" s="6">
        <v>93.5</v>
      </c>
    </row>
    <row r="190" spans="1:13" x14ac:dyDescent="0.25">
      <c r="A190" s="2" t="s">
        <v>88</v>
      </c>
      <c r="B190" s="2" t="s">
        <v>54</v>
      </c>
      <c r="C190" s="4">
        <v>0</v>
      </c>
      <c r="D190" s="4">
        <v>0</v>
      </c>
      <c r="E190" s="4">
        <v>0</v>
      </c>
      <c r="F190" s="4">
        <v>0</v>
      </c>
      <c r="G190" s="4">
        <v>209.5</v>
      </c>
      <c r="H190" s="4">
        <v>0</v>
      </c>
      <c r="I190" s="4">
        <v>0</v>
      </c>
      <c r="J190" s="4">
        <v>0</v>
      </c>
      <c r="K190" s="4">
        <v>0</v>
      </c>
      <c r="L190" s="4">
        <v>209.5</v>
      </c>
      <c r="M190" s="6">
        <v>2.2999999999999998</v>
      </c>
    </row>
    <row r="191" spans="1:13" x14ac:dyDescent="0.25">
      <c r="A191" s="2" t="s">
        <v>88</v>
      </c>
      <c r="B191" s="2" t="s">
        <v>55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6">
        <v>0</v>
      </c>
    </row>
    <row r="192" spans="1:13" x14ac:dyDescent="0.25">
      <c r="A192" s="7" t="s">
        <v>88</v>
      </c>
      <c r="B192" s="7" t="s">
        <v>37</v>
      </c>
      <c r="C192" s="8">
        <v>850</v>
      </c>
      <c r="D192" s="8">
        <v>357</v>
      </c>
      <c r="E192" s="8">
        <v>1554</v>
      </c>
      <c r="F192" s="8">
        <v>1273</v>
      </c>
      <c r="G192" s="8">
        <v>1875.5</v>
      </c>
      <c r="H192" s="8">
        <v>4619</v>
      </c>
      <c r="I192" s="8">
        <v>5129</v>
      </c>
      <c r="J192" s="8">
        <v>248</v>
      </c>
      <c r="K192" s="8">
        <v>0</v>
      </c>
      <c r="L192" s="8">
        <v>15905.5</v>
      </c>
      <c r="M192" s="9">
        <v>170</v>
      </c>
    </row>
    <row r="193" spans="1:13" x14ac:dyDescent="0.25">
      <c r="A193" s="2" t="s">
        <v>89</v>
      </c>
      <c r="B193" s="2" t="s">
        <v>51</v>
      </c>
      <c r="C193" s="4">
        <v>0</v>
      </c>
      <c r="D193" s="4">
        <v>200</v>
      </c>
      <c r="E193" s="4">
        <v>508</v>
      </c>
      <c r="F193" s="4">
        <v>121</v>
      </c>
      <c r="G193" s="4">
        <v>161</v>
      </c>
      <c r="H193" s="4">
        <v>675</v>
      </c>
      <c r="I193" s="4">
        <v>533</v>
      </c>
      <c r="J193" s="4">
        <v>133</v>
      </c>
      <c r="K193" s="4">
        <v>0</v>
      </c>
      <c r="L193" s="4">
        <v>2331</v>
      </c>
      <c r="M193" s="6">
        <v>31.1</v>
      </c>
    </row>
    <row r="194" spans="1:13" x14ac:dyDescent="0.25">
      <c r="A194" s="2" t="s">
        <v>89</v>
      </c>
      <c r="B194" s="2" t="s">
        <v>52</v>
      </c>
      <c r="C194" s="4">
        <v>0</v>
      </c>
      <c r="D194" s="4">
        <v>151</v>
      </c>
      <c r="E194" s="4">
        <v>872</v>
      </c>
      <c r="F194" s="4">
        <v>0</v>
      </c>
      <c r="G194" s="4">
        <v>0</v>
      </c>
      <c r="H194" s="4">
        <v>1367</v>
      </c>
      <c r="I194" s="4">
        <v>1217</v>
      </c>
      <c r="J194" s="4">
        <v>0</v>
      </c>
      <c r="K194" s="4">
        <v>0</v>
      </c>
      <c r="L194" s="4">
        <v>3607</v>
      </c>
      <c r="M194" s="6">
        <v>41.9</v>
      </c>
    </row>
    <row r="195" spans="1:13" x14ac:dyDescent="0.25">
      <c r="A195" s="2" t="s">
        <v>89</v>
      </c>
      <c r="B195" s="2" t="s">
        <v>53</v>
      </c>
      <c r="C195" s="4">
        <v>828</v>
      </c>
      <c r="D195" s="4">
        <v>0</v>
      </c>
      <c r="E195" s="4">
        <v>7</v>
      </c>
      <c r="F195" s="4">
        <v>1432</v>
      </c>
      <c r="G195" s="4">
        <v>1399</v>
      </c>
      <c r="H195" s="4">
        <v>214</v>
      </c>
      <c r="I195" s="4">
        <v>2048</v>
      </c>
      <c r="J195" s="4">
        <v>0</v>
      </c>
      <c r="K195" s="4">
        <v>0</v>
      </c>
      <c r="L195" s="4">
        <v>5928</v>
      </c>
      <c r="M195" s="6">
        <v>93.1</v>
      </c>
    </row>
    <row r="196" spans="1:13" x14ac:dyDescent="0.25">
      <c r="A196" s="2" t="s">
        <v>89</v>
      </c>
      <c r="B196" s="2" t="s">
        <v>54</v>
      </c>
      <c r="C196" s="4">
        <v>0</v>
      </c>
      <c r="D196" s="4">
        <v>0</v>
      </c>
      <c r="E196" s="4">
        <v>0</v>
      </c>
      <c r="F196" s="4">
        <v>0</v>
      </c>
      <c r="G196" s="4">
        <v>209.5</v>
      </c>
      <c r="H196" s="4">
        <v>0</v>
      </c>
      <c r="I196" s="4">
        <v>0</v>
      </c>
      <c r="J196" s="4">
        <v>0</v>
      </c>
      <c r="K196" s="4">
        <v>0</v>
      </c>
      <c r="L196" s="4">
        <v>209.5</v>
      </c>
      <c r="M196" s="6">
        <v>2.2999999999999998</v>
      </c>
    </row>
    <row r="197" spans="1:13" x14ac:dyDescent="0.25">
      <c r="A197" s="2" t="s">
        <v>89</v>
      </c>
      <c r="B197" s="2" t="s">
        <v>55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6">
        <v>0</v>
      </c>
    </row>
    <row r="198" spans="1:13" x14ac:dyDescent="0.25">
      <c r="A198" s="7" t="s">
        <v>89</v>
      </c>
      <c r="B198" s="7" t="s">
        <v>37</v>
      </c>
      <c r="C198" s="8">
        <v>828</v>
      </c>
      <c r="D198" s="8">
        <v>351</v>
      </c>
      <c r="E198" s="8">
        <v>1387</v>
      </c>
      <c r="F198" s="8">
        <v>1553</v>
      </c>
      <c r="G198" s="8">
        <v>1769.5</v>
      </c>
      <c r="H198" s="8">
        <v>2256</v>
      </c>
      <c r="I198" s="8">
        <v>3798</v>
      </c>
      <c r="J198" s="8">
        <v>133</v>
      </c>
      <c r="K198" s="8">
        <v>0</v>
      </c>
      <c r="L198" s="8">
        <v>12075.5</v>
      </c>
      <c r="M198" s="9">
        <v>168.4</v>
      </c>
    </row>
    <row r="199" spans="1:13" ht="60" x14ac:dyDescent="0.25">
      <c r="A199" s="2" t="s">
        <v>90</v>
      </c>
      <c r="B199" s="2" t="s">
        <v>51</v>
      </c>
      <c r="C199" s="4">
        <v>0</v>
      </c>
      <c r="D199" s="4">
        <v>35</v>
      </c>
      <c r="E199" s="4">
        <v>10</v>
      </c>
      <c r="F199" s="4">
        <v>919</v>
      </c>
      <c r="G199" s="4">
        <v>50</v>
      </c>
      <c r="H199" s="4">
        <v>116</v>
      </c>
      <c r="I199" s="4">
        <v>647</v>
      </c>
      <c r="J199" s="4">
        <v>0</v>
      </c>
      <c r="K199" s="4">
        <v>0</v>
      </c>
      <c r="L199" s="4">
        <v>1777</v>
      </c>
      <c r="M199" s="6">
        <v>17.95</v>
      </c>
    </row>
    <row r="200" spans="1:13" ht="60" x14ac:dyDescent="0.25">
      <c r="A200" s="2" t="s">
        <v>90</v>
      </c>
      <c r="B200" s="2" t="s">
        <v>52</v>
      </c>
      <c r="C200" s="4">
        <v>0</v>
      </c>
      <c r="D200" s="4">
        <v>46</v>
      </c>
      <c r="E200" s="4">
        <v>297</v>
      </c>
      <c r="F200" s="4">
        <v>0</v>
      </c>
      <c r="G200" s="4">
        <v>0</v>
      </c>
      <c r="H200" s="4">
        <v>629</v>
      </c>
      <c r="I200" s="4">
        <v>1288</v>
      </c>
      <c r="J200" s="4">
        <v>0</v>
      </c>
      <c r="K200" s="4">
        <v>0</v>
      </c>
      <c r="L200" s="4">
        <v>2260</v>
      </c>
      <c r="M200" s="6">
        <v>22.38</v>
      </c>
    </row>
    <row r="201" spans="1:13" ht="60" x14ac:dyDescent="0.25">
      <c r="A201" s="2" t="s">
        <v>90</v>
      </c>
      <c r="B201" s="2" t="s">
        <v>53</v>
      </c>
      <c r="C201" s="4">
        <v>0</v>
      </c>
      <c r="D201" s="4">
        <v>0</v>
      </c>
      <c r="E201" s="4">
        <v>237</v>
      </c>
      <c r="F201" s="4">
        <v>1012</v>
      </c>
      <c r="G201" s="4">
        <v>910</v>
      </c>
      <c r="H201" s="4">
        <v>0</v>
      </c>
      <c r="I201" s="4">
        <v>0</v>
      </c>
      <c r="J201" s="4">
        <v>0</v>
      </c>
      <c r="K201" s="4">
        <v>0</v>
      </c>
      <c r="L201" s="4">
        <v>2159</v>
      </c>
      <c r="M201" s="6">
        <v>23.5</v>
      </c>
    </row>
    <row r="202" spans="1:13" ht="60" x14ac:dyDescent="0.25">
      <c r="A202" s="2" t="s">
        <v>90</v>
      </c>
      <c r="B202" s="2" t="s">
        <v>54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6">
        <v>0</v>
      </c>
    </row>
    <row r="203" spans="1:13" ht="60" x14ac:dyDescent="0.25">
      <c r="A203" s="2" t="s">
        <v>90</v>
      </c>
      <c r="B203" s="2" t="s">
        <v>55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6">
        <v>0</v>
      </c>
    </row>
    <row r="204" spans="1:13" ht="60" x14ac:dyDescent="0.25">
      <c r="A204" s="7" t="s">
        <v>90</v>
      </c>
      <c r="B204" s="7" t="s">
        <v>37</v>
      </c>
      <c r="C204" s="8">
        <v>0</v>
      </c>
      <c r="D204" s="8">
        <v>81</v>
      </c>
      <c r="E204" s="8">
        <v>544</v>
      </c>
      <c r="F204" s="8">
        <v>1931</v>
      </c>
      <c r="G204" s="8">
        <v>960</v>
      </c>
      <c r="H204" s="8">
        <v>745</v>
      </c>
      <c r="I204" s="8">
        <v>1935</v>
      </c>
      <c r="J204" s="8">
        <v>0</v>
      </c>
      <c r="K204" s="8">
        <v>0</v>
      </c>
      <c r="L204" s="8">
        <v>6196</v>
      </c>
      <c r="M204" s="9">
        <v>63.83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4"/>
  <sheetViews>
    <sheetView workbookViewId="0">
      <selection sqref="A1:M1"/>
    </sheetView>
  </sheetViews>
  <sheetFormatPr defaultRowHeight="15" x14ac:dyDescent="0.25"/>
  <cols>
    <col min="1" max="1" width="18" customWidth="1"/>
    <col min="2" max="2" width="14" customWidth="1"/>
    <col min="3" max="11" width="10" customWidth="1"/>
    <col min="12" max="13" width="14" customWidth="1"/>
  </cols>
  <sheetData>
    <row r="1" spans="1:13" ht="17.25" x14ac:dyDescent="0.3">
      <c r="A1" s="191" t="s">
        <v>91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3" spans="1:13" ht="30" customHeight="1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27</v>
      </c>
      <c r="M3" s="1" t="s">
        <v>8</v>
      </c>
    </row>
    <row r="4" spans="1:13" x14ac:dyDescent="0.25">
      <c r="A4" s="2" t="s">
        <v>50</v>
      </c>
      <c r="B4" s="2" t="s">
        <v>51</v>
      </c>
      <c r="C4" s="4">
        <v>0</v>
      </c>
      <c r="D4" s="4">
        <v>349</v>
      </c>
      <c r="E4" s="4">
        <v>1084</v>
      </c>
      <c r="F4" s="4">
        <v>478</v>
      </c>
      <c r="G4" s="4">
        <v>841</v>
      </c>
      <c r="H4" s="4">
        <v>2155</v>
      </c>
      <c r="I4" s="4">
        <v>1720</v>
      </c>
      <c r="J4" s="4">
        <v>3033</v>
      </c>
      <c r="K4" s="4">
        <v>0</v>
      </c>
      <c r="L4" s="4">
        <v>9660</v>
      </c>
      <c r="M4" s="6">
        <v>80.83</v>
      </c>
    </row>
    <row r="5" spans="1:13" x14ac:dyDescent="0.25">
      <c r="A5" s="2" t="s">
        <v>50</v>
      </c>
      <c r="B5" s="2" t="s">
        <v>52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6">
        <v>0</v>
      </c>
    </row>
    <row r="6" spans="1:13" x14ac:dyDescent="0.25">
      <c r="A6" s="2" t="s">
        <v>50</v>
      </c>
      <c r="B6" s="2" t="s">
        <v>53</v>
      </c>
      <c r="C6" s="4">
        <v>1744</v>
      </c>
      <c r="D6" s="4">
        <v>0</v>
      </c>
      <c r="E6" s="4">
        <v>247</v>
      </c>
      <c r="F6" s="4">
        <v>4858</v>
      </c>
      <c r="G6" s="4">
        <v>3533</v>
      </c>
      <c r="H6" s="4">
        <v>488.2</v>
      </c>
      <c r="I6" s="4">
        <v>0</v>
      </c>
      <c r="J6" s="4">
        <v>0</v>
      </c>
      <c r="K6" s="4">
        <v>0</v>
      </c>
      <c r="L6" s="4">
        <v>10870.2</v>
      </c>
      <c r="M6" s="6">
        <v>147</v>
      </c>
    </row>
    <row r="7" spans="1:13" x14ac:dyDescent="0.25">
      <c r="A7" s="2" t="s">
        <v>50</v>
      </c>
      <c r="B7" s="2" t="s">
        <v>54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6">
        <v>0</v>
      </c>
    </row>
    <row r="8" spans="1:13" x14ac:dyDescent="0.25">
      <c r="A8" s="2" t="s">
        <v>50</v>
      </c>
      <c r="B8" s="2" t="s">
        <v>55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6">
        <v>0</v>
      </c>
    </row>
    <row r="9" spans="1:13" x14ac:dyDescent="0.25">
      <c r="A9" s="2" t="s">
        <v>50</v>
      </c>
      <c r="B9" s="2" t="s">
        <v>56</v>
      </c>
      <c r="C9" s="4">
        <v>0</v>
      </c>
      <c r="D9" s="4">
        <v>87</v>
      </c>
      <c r="E9" s="4">
        <v>98</v>
      </c>
      <c r="F9" s="4">
        <v>2400</v>
      </c>
      <c r="G9" s="4">
        <v>997</v>
      </c>
      <c r="H9" s="4">
        <v>14785</v>
      </c>
      <c r="I9" s="4">
        <v>18141</v>
      </c>
      <c r="J9" s="4">
        <v>14487</v>
      </c>
      <c r="K9" s="4">
        <v>51689</v>
      </c>
      <c r="L9" s="4">
        <v>102684</v>
      </c>
      <c r="M9" s="6">
        <v>1044.6099999999999</v>
      </c>
    </row>
    <row r="10" spans="1:13" ht="30" x14ac:dyDescent="0.25">
      <c r="A10" s="2" t="s">
        <v>50</v>
      </c>
      <c r="B10" s="2" t="s">
        <v>57</v>
      </c>
      <c r="C10" s="4">
        <v>0</v>
      </c>
      <c r="D10" s="4">
        <v>0</v>
      </c>
      <c r="E10" s="4">
        <v>0</v>
      </c>
      <c r="F10" s="4">
        <v>2012</v>
      </c>
      <c r="G10" s="4">
        <v>7412.9090909090901</v>
      </c>
      <c r="H10" s="4">
        <v>0</v>
      </c>
      <c r="I10" s="4">
        <v>2355.454545454545</v>
      </c>
      <c r="J10" s="4">
        <v>0</v>
      </c>
      <c r="K10" s="4">
        <v>0</v>
      </c>
      <c r="L10" s="4">
        <v>11780.36363636364</v>
      </c>
      <c r="M10" s="6">
        <v>57.6</v>
      </c>
    </row>
    <row r="11" spans="1:13" x14ac:dyDescent="0.25">
      <c r="A11" s="2" t="s">
        <v>50</v>
      </c>
      <c r="B11" s="2" t="s">
        <v>92</v>
      </c>
      <c r="C11" s="4">
        <v>0</v>
      </c>
      <c r="D11" s="4">
        <v>0</v>
      </c>
      <c r="E11" s="4">
        <v>156</v>
      </c>
      <c r="F11" s="4">
        <v>4315</v>
      </c>
      <c r="G11" s="4">
        <v>31</v>
      </c>
      <c r="H11" s="4">
        <v>889</v>
      </c>
      <c r="I11" s="4">
        <v>1239</v>
      </c>
      <c r="J11" s="4">
        <v>0</v>
      </c>
      <c r="K11" s="4">
        <v>0</v>
      </c>
      <c r="L11" s="4">
        <v>6630</v>
      </c>
      <c r="M11" s="6">
        <v>49.2</v>
      </c>
    </row>
    <row r="12" spans="1:13" x14ac:dyDescent="0.25">
      <c r="A12" s="7" t="s">
        <v>50</v>
      </c>
      <c r="B12" s="7" t="s">
        <v>37</v>
      </c>
      <c r="C12" s="8">
        <v>1744</v>
      </c>
      <c r="D12" s="8">
        <v>436</v>
      </c>
      <c r="E12" s="8">
        <v>1585</v>
      </c>
      <c r="F12" s="8">
        <v>14063</v>
      </c>
      <c r="G12" s="8">
        <v>12814.90909090909</v>
      </c>
      <c r="H12" s="8">
        <v>18317.2</v>
      </c>
      <c r="I12" s="8">
        <v>23455.45454545454</v>
      </c>
      <c r="J12" s="8">
        <v>17520</v>
      </c>
      <c r="K12" s="8">
        <v>51689</v>
      </c>
      <c r="L12" s="8">
        <v>141624.5636363636</v>
      </c>
      <c r="M12" s="9">
        <v>1379.24</v>
      </c>
    </row>
    <row r="13" spans="1:13" x14ac:dyDescent="0.25">
      <c r="A13" s="2" t="s">
        <v>59</v>
      </c>
      <c r="B13" s="2" t="s">
        <v>51</v>
      </c>
      <c r="C13" s="4">
        <v>0</v>
      </c>
      <c r="D13" s="4">
        <v>275</v>
      </c>
      <c r="E13" s="4">
        <v>808</v>
      </c>
      <c r="F13" s="4">
        <v>195</v>
      </c>
      <c r="G13" s="4">
        <v>645</v>
      </c>
      <c r="H13" s="4">
        <v>1060</v>
      </c>
      <c r="I13" s="4">
        <v>323</v>
      </c>
      <c r="J13" s="4">
        <v>1729</v>
      </c>
      <c r="K13" s="4">
        <v>0</v>
      </c>
      <c r="L13" s="4">
        <v>5035</v>
      </c>
      <c r="M13" s="6">
        <v>25.92</v>
      </c>
    </row>
    <row r="14" spans="1:13" x14ac:dyDescent="0.25">
      <c r="A14" s="2" t="s">
        <v>59</v>
      </c>
      <c r="B14" s="2" t="s">
        <v>52</v>
      </c>
      <c r="C14" s="4">
        <v>0</v>
      </c>
      <c r="D14" s="4">
        <v>296</v>
      </c>
      <c r="E14" s="4">
        <v>141</v>
      </c>
      <c r="F14" s="4">
        <v>1905</v>
      </c>
      <c r="G14" s="4">
        <v>181</v>
      </c>
      <c r="H14" s="4">
        <v>232</v>
      </c>
      <c r="I14" s="4">
        <v>1017</v>
      </c>
      <c r="J14" s="4">
        <v>1433</v>
      </c>
      <c r="K14" s="4">
        <v>14254</v>
      </c>
      <c r="L14" s="4">
        <v>19459</v>
      </c>
      <c r="M14" s="6">
        <v>71.59</v>
      </c>
    </row>
    <row r="15" spans="1:13" x14ac:dyDescent="0.25">
      <c r="A15" s="2" t="s">
        <v>59</v>
      </c>
      <c r="B15" s="2" t="s">
        <v>53</v>
      </c>
      <c r="C15" s="4">
        <v>1635</v>
      </c>
      <c r="D15" s="4">
        <v>0</v>
      </c>
      <c r="E15" s="4">
        <v>0</v>
      </c>
      <c r="F15" s="4">
        <v>3619</v>
      </c>
      <c r="G15" s="4">
        <v>1414</v>
      </c>
      <c r="H15" s="4">
        <v>2357</v>
      </c>
      <c r="I15" s="4">
        <v>5421</v>
      </c>
      <c r="J15" s="4">
        <v>0</v>
      </c>
      <c r="K15" s="4">
        <v>0</v>
      </c>
      <c r="L15" s="4">
        <v>14446</v>
      </c>
      <c r="M15" s="6">
        <v>168.5</v>
      </c>
    </row>
    <row r="16" spans="1:13" x14ac:dyDescent="0.25">
      <c r="A16" s="2" t="s">
        <v>59</v>
      </c>
      <c r="B16" s="2" t="s">
        <v>54</v>
      </c>
      <c r="C16" s="4">
        <v>0</v>
      </c>
      <c r="D16" s="4">
        <v>0</v>
      </c>
      <c r="E16" s="4">
        <v>0</v>
      </c>
      <c r="F16" s="4">
        <v>14</v>
      </c>
      <c r="G16" s="4">
        <v>42</v>
      </c>
      <c r="H16" s="4">
        <v>96</v>
      </c>
      <c r="I16" s="4">
        <v>0</v>
      </c>
      <c r="J16" s="4">
        <v>0</v>
      </c>
      <c r="K16" s="4">
        <v>0</v>
      </c>
      <c r="L16" s="4">
        <v>152</v>
      </c>
      <c r="M16" s="6">
        <v>1.68</v>
      </c>
    </row>
    <row r="17" spans="1:13" x14ac:dyDescent="0.25">
      <c r="A17" s="2" t="s">
        <v>59</v>
      </c>
      <c r="B17" s="2" t="s">
        <v>55</v>
      </c>
      <c r="C17" s="4">
        <v>109</v>
      </c>
      <c r="D17" s="4">
        <v>0</v>
      </c>
      <c r="E17" s="4">
        <v>0</v>
      </c>
      <c r="F17" s="4">
        <v>190</v>
      </c>
      <c r="G17" s="4">
        <v>353</v>
      </c>
      <c r="H17" s="4">
        <v>0</v>
      </c>
      <c r="I17" s="4">
        <v>0</v>
      </c>
      <c r="J17" s="4">
        <v>0</v>
      </c>
      <c r="K17" s="4">
        <v>0</v>
      </c>
      <c r="L17" s="4">
        <v>652</v>
      </c>
      <c r="M17" s="6">
        <v>9.5</v>
      </c>
    </row>
    <row r="18" spans="1:13" x14ac:dyDescent="0.25">
      <c r="A18" s="7" t="s">
        <v>59</v>
      </c>
      <c r="B18" s="7" t="s">
        <v>37</v>
      </c>
      <c r="C18" s="8">
        <v>1744</v>
      </c>
      <c r="D18" s="8">
        <v>571</v>
      </c>
      <c r="E18" s="8">
        <v>949</v>
      </c>
      <c r="F18" s="8">
        <v>5923</v>
      </c>
      <c r="G18" s="8">
        <v>2635</v>
      </c>
      <c r="H18" s="8">
        <v>3745</v>
      </c>
      <c r="I18" s="8">
        <v>6761</v>
      </c>
      <c r="J18" s="8">
        <v>3162</v>
      </c>
      <c r="K18" s="8">
        <v>14254</v>
      </c>
      <c r="L18" s="8">
        <v>39744</v>
      </c>
      <c r="M18" s="9">
        <v>277.19</v>
      </c>
    </row>
    <row r="19" spans="1:13" x14ac:dyDescent="0.25">
      <c r="A19" s="2" t="s">
        <v>60</v>
      </c>
      <c r="B19" s="2" t="s">
        <v>51</v>
      </c>
      <c r="C19" s="4">
        <v>0</v>
      </c>
      <c r="D19" s="4">
        <v>210</v>
      </c>
      <c r="E19" s="4">
        <v>452</v>
      </c>
      <c r="F19" s="4">
        <v>100</v>
      </c>
      <c r="G19" s="4">
        <v>396</v>
      </c>
      <c r="H19" s="4">
        <v>683</v>
      </c>
      <c r="I19" s="4">
        <v>1935</v>
      </c>
      <c r="J19" s="4">
        <v>753</v>
      </c>
      <c r="K19" s="4">
        <v>3900</v>
      </c>
      <c r="L19" s="4">
        <v>8429</v>
      </c>
      <c r="M19" s="6">
        <v>53.5</v>
      </c>
    </row>
    <row r="20" spans="1:13" x14ac:dyDescent="0.25">
      <c r="A20" s="2" t="s">
        <v>60</v>
      </c>
      <c r="B20" s="2" t="s">
        <v>52</v>
      </c>
      <c r="C20" s="4">
        <v>0</v>
      </c>
      <c r="D20" s="4">
        <v>244</v>
      </c>
      <c r="E20" s="4">
        <v>118</v>
      </c>
      <c r="F20" s="4">
        <v>1549</v>
      </c>
      <c r="G20" s="4">
        <v>151</v>
      </c>
      <c r="H20" s="4">
        <v>235</v>
      </c>
      <c r="I20" s="4">
        <v>799</v>
      </c>
      <c r="J20" s="4">
        <v>3927</v>
      </c>
      <c r="K20" s="4">
        <v>7454</v>
      </c>
      <c r="L20" s="4">
        <v>14477</v>
      </c>
      <c r="M20" s="6">
        <v>55.39</v>
      </c>
    </row>
    <row r="21" spans="1:13" x14ac:dyDescent="0.25">
      <c r="A21" s="2" t="s">
        <v>60</v>
      </c>
      <c r="B21" s="2" t="s">
        <v>53</v>
      </c>
      <c r="C21" s="4">
        <v>1657</v>
      </c>
      <c r="D21" s="4">
        <v>0</v>
      </c>
      <c r="E21" s="4">
        <v>0</v>
      </c>
      <c r="F21" s="4">
        <v>2966</v>
      </c>
      <c r="G21" s="4">
        <v>2108</v>
      </c>
      <c r="H21" s="4">
        <v>1561</v>
      </c>
      <c r="I21" s="4">
        <v>9002</v>
      </c>
      <c r="J21" s="4">
        <v>0</v>
      </c>
      <c r="K21" s="4">
        <v>0</v>
      </c>
      <c r="L21" s="4">
        <v>17294</v>
      </c>
      <c r="M21" s="6">
        <v>173</v>
      </c>
    </row>
    <row r="22" spans="1:13" x14ac:dyDescent="0.25">
      <c r="A22" s="2" t="s">
        <v>60</v>
      </c>
      <c r="B22" s="2" t="s">
        <v>54</v>
      </c>
      <c r="C22" s="4">
        <v>0</v>
      </c>
      <c r="D22" s="4">
        <v>0</v>
      </c>
      <c r="E22" s="4">
        <v>0</v>
      </c>
      <c r="F22" s="4">
        <v>18</v>
      </c>
      <c r="G22" s="4">
        <v>159</v>
      </c>
      <c r="H22" s="4">
        <v>0</v>
      </c>
      <c r="I22" s="4">
        <v>0</v>
      </c>
      <c r="J22" s="4">
        <v>0</v>
      </c>
      <c r="K22" s="4">
        <v>0</v>
      </c>
      <c r="L22" s="4">
        <v>177</v>
      </c>
      <c r="M22" s="6">
        <v>1.673</v>
      </c>
    </row>
    <row r="23" spans="1:13" x14ac:dyDescent="0.25">
      <c r="A23" s="2" t="s">
        <v>60</v>
      </c>
      <c r="B23" s="2" t="s">
        <v>55</v>
      </c>
      <c r="C23" s="4">
        <v>109</v>
      </c>
      <c r="D23" s="4">
        <v>0</v>
      </c>
      <c r="E23" s="4">
        <v>0</v>
      </c>
      <c r="F23" s="4">
        <v>184</v>
      </c>
      <c r="G23" s="4">
        <v>331</v>
      </c>
      <c r="H23" s="4">
        <v>0</v>
      </c>
      <c r="I23" s="4">
        <v>0</v>
      </c>
      <c r="J23" s="4">
        <v>0</v>
      </c>
      <c r="K23" s="4">
        <v>0</v>
      </c>
      <c r="L23" s="4">
        <v>624</v>
      </c>
      <c r="M23" s="6">
        <v>9.5</v>
      </c>
    </row>
    <row r="24" spans="1:13" x14ac:dyDescent="0.25">
      <c r="A24" s="7" t="s">
        <v>60</v>
      </c>
      <c r="B24" s="7" t="s">
        <v>37</v>
      </c>
      <c r="C24" s="8">
        <v>1766</v>
      </c>
      <c r="D24" s="8">
        <v>454</v>
      </c>
      <c r="E24" s="8">
        <v>570</v>
      </c>
      <c r="F24" s="8">
        <v>4817</v>
      </c>
      <c r="G24" s="8">
        <v>3145</v>
      </c>
      <c r="H24" s="8">
        <v>2479</v>
      </c>
      <c r="I24" s="8">
        <v>11736</v>
      </c>
      <c r="J24" s="8">
        <v>4680</v>
      </c>
      <c r="K24" s="8">
        <v>11354</v>
      </c>
      <c r="L24" s="8">
        <v>41001</v>
      </c>
      <c r="M24" s="9">
        <v>293.06299999999999</v>
      </c>
    </row>
    <row r="25" spans="1:13" x14ac:dyDescent="0.25">
      <c r="A25" s="2" t="s">
        <v>61</v>
      </c>
      <c r="B25" s="2" t="s">
        <v>51</v>
      </c>
      <c r="C25" s="4">
        <v>0</v>
      </c>
      <c r="D25" s="4">
        <v>210</v>
      </c>
      <c r="E25" s="4">
        <v>428</v>
      </c>
      <c r="F25" s="4">
        <v>157</v>
      </c>
      <c r="G25" s="4">
        <v>216</v>
      </c>
      <c r="H25" s="4">
        <v>722</v>
      </c>
      <c r="I25" s="4">
        <v>494</v>
      </c>
      <c r="J25" s="4">
        <v>859</v>
      </c>
      <c r="K25" s="4">
        <v>0</v>
      </c>
      <c r="L25" s="4">
        <v>3086</v>
      </c>
      <c r="M25" s="6">
        <v>28.12</v>
      </c>
    </row>
    <row r="26" spans="1:13" x14ac:dyDescent="0.25">
      <c r="A26" s="2" t="s">
        <v>61</v>
      </c>
      <c r="B26" s="2" t="s">
        <v>52</v>
      </c>
      <c r="C26" s="4">
        <v>0</v>
      </c>
      <c r="D26" s="4">
        <v>287</v>
      </c>
      <c r="E26" s="4">
        <v>43</v>
      </c>
      <c r="F26" s="4">
        <v>1535</v>
      </c>
      <c r="G26" s="4">
        <v>151</v>
      </c>
      <c r="H26" s="4">
        <v>221</v>
      </c>
      <c r="I26" s="4">
        <v>772</v>
      </c>
      <c r="J26" s="4">
        <v>5275</v>
      </c>
      <c r="K26" s="4">
        <v>5832</v>
      </c>
      <c r="L26" s="4">
        <v>14116</v>
      </c>
      <c r="M26" s="6">
        <v>57.38</v>
      </c>
    </row>
    <row r="27" spans="1:13" x14ac:dyDescent="0.25">
      <c r="A27" s="2" t="s">
        <v>61</v>
      </c>
      <c r="B27" s="2" t="s">
        <v>53</v>
      </c>
      <c r="C27" s="4">
        <v>1679</v>
      </c>
      <c r="D27" s="4">
        <v>0</v>
      </c>
      <c r="E27" s="4">
        <v>0</v>
      </c>
      <c r="F27" s="4">
        <v>2824</v>
      </c>
      <c r="G27" s="4">
        <v>2062</v>
      </c>
      <c r="H27" s="4">
        <v>1914</v>
      </c>
      <c r="I27" s="4">
        <v>9621</v>
      </c>
      <c r="J27" s="4">
        <v>397</v>
      </c>
      <c r="K27" s="4">
        <v>0</v>
      </c>
      <c r="L27" s="4">
        <v>18497</v>
      </c>
      <c r="M27" s="6">
        <v>176</v>
      </c>
    </row>
    <row r="28" spans="1:13" x14ac:dyDescent="0.25">
      <c r="A28" s="2" t="s">
        <v>61</v>
      </c>
      <c r="B28" s="2" t="s">
        <v>54</v>
      </c>
      <c r="C28" s="4">
        <v>0</v>
      </c>
      <c r="D28" s="4">
        <v>0</v>
      </c>
      <c r="E28" s="4">
        <v>0</v>
      </c>
      <c r="F28" s="4">
        <v>18</v>
      </c>
      <c r="G28" s="4">
        <v>159</v>
      </c>
      <c r="H28" s="4">
        <v>0</v>
      </c>
      <c r="I28" s="4">
        <v>0</v>
      </c>
      <c r="J28" s="4">
        <v>0</v>
      </c>
      <c r="K28" s="4">
        <v>0</v>
      </c>
      <c r="L28" s="4">
        <v>177</v>
      </c>
      <c r="M28" s="6">
        <v>1.673</v>
      </c>
    </row>
    <row r="29" spans="1:13" x14ac:dyDescent="0.25">
      <c r="A29" s="2" t="s">
        <v>61</v>
      </c>
      <c r="B29" s="2" t="s">
        <v>55</v>
      </c>
      <c r="C29" s="4">
        <v>109</v>
      </c>
      <c r="D29" s="4">
        <v>0</v>
      </c>
      <c r="E29" s="4">
        <v>0</v>
      </c>
      <c r="F29" s="4">
        <v>184</v>
      </c>
      <c r="G29" s="4">
        <v>331</v>
      </c>
      <c r="H29" s="4">
        <v>0</v>
      </c>
      <c r="I29" s="4">
        <v>0</v>
      </c>
      <c r="J29" s="4">
        <v>0</v>
      </c>
      <c r="K29" s="4">
        <v>0</v>
      </c>
      <c r="L29" s="4">
        <v>624</v>
      </c>
      <c r="M29" s="6">
        <v>9.5</v>
      </c>
    </row>
    <row r="30" spans="1:13" x14ac:dyDescent="0.25">
      <c r="A30" s="7" t="s">
        <v>61</v>
      </c>
      <c r="B30" s="7" t="s">
        <v>37</v>
      </c>
      <c r="C30" s="8">
        <v>1788</v>
      </c>
      <c r="D30" s="8">
        <v>497</v>
      </c>
      <c r="E30" s="8">
        <v>471</v>
      </c>
      <c r="F30" s="8">
        <v>4718</v>
      </c>
      <c r="G30" s="8">
        <v>2919</v>
      </c>
      <c r="H30" s="8">
        <v>2857</v>
      </c>
      <c r="I30" s="8">
        <v>10887</v>
      </c>
      <c r="J30" s="8">
        <v>6531</v>
      </c>
      <c r="K30" s="8">
        <v>5832</v>
      </c>
      <c r="L30" s="8">
        <v>36500</v>
      </c>
      <c r="M30" s="9">
        <v>272.673</v>
      </c>
    </row>
    <row r="31" spans="1:13" x14ac:dyDescent="0.25">
      <c r="A31" s="2" t="s">
        <v>62</v>
      </c>
      <c r="B31" s="2" t="s">
        <v>51</v>
      </c>
      <c r="C31" s="4">
        <v>0</v>
      </c>
      <c r="D31" s="4">
        <v>211</v>
      </c>
      <c r="E31" s="4">
        <v>422</v>
      </c>
      <c r="F31" s="4">
        <v>165</v>
      </c>
      <c r="G31" s="4">
        <v>192</v>
      </c>
      <c r="H31" s="4">
        <v>767</v>
      </c>
      <c r="I31" s="4">
        <v>359</v>
      </c>
      <c r="J31" s="4">
        <v>1067</v>
      </c>
      <c r="K31" s="4">
        <v>0</v>
      </c>
      <c r="L31" s="4">
        <v>3183</v>
      </c>
      <c r="M31" s="6">
        <v>27.88</v>
      </c>
    </row>
    <row r="32" spans="1:13" x14ac:dyDescent="0.25">
      <c r="A32" s="2" t="s">
        <v>62</v>
      </c>
      <c r="B32" s="2" t="s">
        <v>52</v>
      </c>
      <c r="C32" s="4">
        <v>0</v>
      </c>
      <c r="D32" s="4">
        <v>287</v>
      </c>
      <c r="E32" s="4">
        <v>43</v>
      </c>
      <c r="F32" s="4">
        <v>1582</v>
      </c>
      <c r="G32" s="4">
        <v>0</v>
      </c>
      <c r="H32" s="4">
        <v>221</v>
      </c>
      <c r="I32" s="4">
        <v>772</v>
      </c>
      <c r="J32" s="4">
        <v>5979</v>
      </c>
      <c r="K32" s="4">
        <v>3996</v>
      </c>
      <c r="L32" s="4">
        <v>12880</v>
      </c>
      <c r="M32" s="6">
        <v>55.42</v>
      </c>
    </row>
    <row r="33" spans="1:13" x14ac:dyDescent="0.25">
      <c r="A33" s="2" t="s">
        <v>62</v>
      </c>
      <c r="B33" s="2" t="s">
        <v>53</v>
      </c>
      <c r="C33" s="4">
        <v>1679</v>
      </c>
      <c r="D33" s="4">
        <v>0</v>
      </c>
      <c r="E33" s="4">
        <v>0</v>
      </c>
      <c r="F33" s="4">
        <v>2868</v>
      </c>
      <c r="G33" s="4">
        <v>1932</v>
      </c>
      <c r="H33" s="4">
        <v>2284</v>
      </c>
      <c r="I33" s="4">
        <v>9701</v>
      </c>
      <c r="J33" s="4">
        <v>0</v>
      </c>
      <c r="K33" s="4">
        <v>0</v>
      </c>
      <c r="L33" s="4">
        <v>18464</v>
      </c>
      <c r="M33" s="6">
        <v>177</v>
      </c>
    </row>
    <row r="34" spans="1:13" x14ac:dyDescent="0.25">
      <c r="A34" s="2" t="s">
        <v>62</v>
      </c>
      <c r="B34" s="2" t="s">
        <v>54</v>
      </c>
      <c r="C34" s="4">
        <v>0</v>
      </c>
      <c r="D34" s="4">
        <v>0</v>
      </c>
      <c r="E34" s="4">
        <v>0</v>
      </c>
      <c r="F34" s="4">
        <v>18</v>
      </c>
      <c r="G34" s="4">
        <v>159</v>
      </c>
      <c r="H34" s="4">
        <v>0</v>
      </c>
      <c r="I34" s="4">
        <v>0</v>
      </c>
      <c r="J34" s="4">
        <v>0</v>
      </c>
      <c r="K34" s="4">
        <v>0</v>
      </c>
      <c r="L34" s="4">
        <v>177</v>
      </c>
      <c r="M34" s="6">
        <v>1.673</v>
      </c>
    </row>
    <row r="35" spans="1:13" x14ac:dyDescent="0.25">
      <c r="A35" s="2" t="s">
        <v>62</v>
      </c>
      <c r="B35" s="2" t="s">
        <v>55</v>
      </c>
      <c r="C35" s="4">
        <v>109</v>
      </c>
      <c r="D35" s="4">
        <v>0</v>
      </c>
      <c r="E35" s="4">
        <v>0</v>
      </c>
      <c r="F35" s="4">
        <v>184</v>
      </c>
      <c r="G35" s="4">
        <v>331</v>
      </c>
      <c r="H35" s="4">
        <v>0</v>
      </c>
      <c r="I35" s="4">
        <v>0</v>
      </c>
      <c r="J35" s="4">
        <v>0</v>
      </c>
      <c r="K35" s="4">
        <v>0</v>
      </c>
      <c r="L35" s="4">
        <v>624</v>
      </c>
      <c r="M35" s="6">
        <v>9.5</v>
      </c>
    </row>
    <row r="36" spans="1:13" x14ac:dyDescent="0.25">
      <c r="A36" s="7" t="s">
        <v>62</v>
      </c>
      <c r="B36" s="7" t="s">
        <v>37</v>
      </c>
      <c r="C36" s="8">
        <v>1788</v>
      </c>
      <c r="D36" s="8">
        <v>498</v>
      </c>
      <c r="E36" s="8">
        <v>465</v>
      </c>
      <c r="F36" s="8">
        <v>4817</v>
      </c>
      <c r="G36" s="8">
        <v>2614</v>
      </c>
      <c r="H36" s="8">
        <v>3272</v>
      </c>
      <c r="I36" s="8">
        <v>10832</v>
      </c>
      <c r="J36" s="8">
        <v>7046</v>
      </c>
      <c r="K36" s="8">
        <v>3996</v>
      </c>
      <c r="L36" s="8">
        <v>35328</v>
      </c>
      <c r="M36" s="9">
        <v>271.47300000000001</v>
      </c>
    </row>
    <row r="37" spans="1:13" x14ac:dyDescent="0.25">
      <c r="A37" s="2" t="s">
        <v>63</v>
      </c>
      <c r="B37" s="2" t="s">
        <v>51</v>
      </c>
      <c r="C37" s="4">
        <v>0</v>
      </c>
      <c r="D37" s="4">
        <v>217</v>
      </c>
      <c r="E37" s="4">
        <v>423</v>
      </c>
      <c r="F37" s="4">
        <v>180</v>
      </c>
      <c r="G37" s="4">
        <v>102</v>
      </c>
      <c r="H37" s="4">
        <v>802</v>
      </c>
      <c r="I37" s="4">
        <v>628</v>
      </c>
      <c r="J37" s="4">
        <v>1062</v>
      </c>
      <c r="K37" s="4">
        <v>0</v>
      </c>
      <c r="L37" s="4">
        <v>3414</v>
      </c>
      <c r="M37" s="6">
        <v>28.52</v>
      </c>
    </row>
    <row r="38" spans="1:13" x14ac:dyDescent="0.25">
      <c r="A38" s="2" t="s">
        <v>63</v>
      </c>
      <c r="B38" s="2" t="s">
        <v>52</v>
      </c>
      <c r="C38" s="4">
        <v>0</v>
      </c>
      <c r="D38" s="4">
        <v>288</v>
      </c>
      <c r="E38" s="4">
        <v>43</v>
      </c>
      <c r="F38" s="4">
        <v>1582</v>
      </c>
      <c r="G38" s="4">
        <v>0</v>
      </c>
      <c r="H38" s="4">
        <v>224</v>
      </c>
      <c r="I38" s="4">
        <v>801</v>
      </c>
      <c r="J38" s="4">
        <v>6028</v>
      </c>
      <c r="K38" s="4">
        <v>3996</v>
      </c>
      <c r="L38" s="4">
        <v>12962</v>
      </c>
      <c r="M38" s="6">
        <v>55.6</v>
      </c>
    </row>
    <row r="39" spans="1:13" x14ac:dyDescent="0.25">
      <c r="A39" s="2" t="s">
        <v>63</v>
      </c>
      <c r="B39" s="2" t="s">
        <v>53</v>
      </c>
      <c r="C39" s="4">
        <v>1700</v>
      </c>
      <c r="D39" s="4">
        <v>0</v>
      </c>
      <c r="E39" s="4">
        <v>0</v>
      </c>
      <c r="F39" s="4">
        <v>2823</v>
      </c>
      <c r="G39" s="4">
        <v>1822</v>
      </c>
      <c r="H39" s="4">
        <v>2405</v>
      </c>
      <c r="I39" s="4">
        <v>9461</v>
      </c>
      <c r="J39" s="4">
        <v>0</v>
      </c>
      <c r="K39" s="4">
        <v>0</v>
      </c>
      <c r="L39" s="4">
        <v>18211</v>
      </c>
      <c r="M39" s="6">
        <v>177</v>
      </c>
    </row>
    <row r="40" spans="1:13" x14ac:dyDescent="0.25">
      <c r="A40" s="2" t="s">
        <v>63</v>
      </c>
      <c r="B40" s="2" t="s">
        <v>54</v>
      </c>
      <c r="C40" s="4">
        <v>0</v>
      </c>
      <c r="D40" s="4">
        <v>0</v>
      </c>
      <c r="E40" s="4">
        <v>0</v>
      </c>
      <c r="F40" s="4">
        <v>18</v>
      </c>
      <c r="G40" s="4">
        <v>159</v>
      </c>
      <c r="H40" s="4">
        <v>0</v>
      </c>
      <c r="I40" s="4">
        <v>0</v>
      </c>
      <c r="J40" s="4">
        <v>0</v>
      </c>
      <c r="K40" s="4">
        <v>0</v>
      </c>
      <c r="L40" s="4">
        <v>177</v>
      </c>
      <c r="M40" s="6">
        <v>1.673</v>
      </c>
    </row>
    <row r="41" spans="1:13" x14ac:dyDescent="0.25">
      <c r="A41" s="2" t="s">
        <v>63</v>
      </c>
      <c r="B41" s="2" t="s">
        <v>55</v>
      </c>
      <c r="C41" s="4">
        <v>109</v>
      </c>
      <c r="D41" s="4">
        <v>0</v>
      </c>
      <c r="E41" s="4">
        <v>0</v>
      </c>
      <c r="F41" s="4">
        <v>172</v>
      </c>
      <c r="G41" s="4">
        <v>306</v>
      </c>
      <c r="H41" s="4">
        <v>0</v>
      </c>
      <c r="I41" s="4">
        <v>0</v>
      </c>
      <c r="J41" s="4">
        <v>0</v>
      </c>
      <c r="K41" s="4">
        <v>0</v>
      </c>
      <c r="L41" s="4">
        <v>587</v>
      </c>
      <c r="M41" s="6">
        <v>8.5</v>
      </c>
    </row>
    <row r="42" spans="1:13" x14ac:dyDescent="0.25">
      <c r="A42" s="7" t="s">
        <v>63</v>
      </c>
      <c r="B42" s="7" t="s">
        <v>37</v>
      </c>
      <c r="C42" s="8">
        <v>1809</v>
      </c>
      <c r="D42" s="8">
        <v>505</v>
      </c>
      <c r="E42" s="8">
        <v>466</v>
      </c>
      <c r="F42" s="8">
        <v>4775</v>
      </c>
      <c r="G42" s="8">
        <v>2389</v>
      </c>
      <c r="H42" s="8">
        <v>3431</v>
      </c>
      <c r="I42" s="8">
        <v>10890</v>
      </c>
      <c r="J42" s="8">
        <v>7090</v>
      </c>
      <c r="K42" s="8">
        <v>3996</v>
      </c>
      <c r="L42" s="8">
        <v>35351</v>
      </c>
      <c r="M42" s="9">
        <v>271.29300000000001</v>
      </c>
    </row>
    <row r="43" spans="1:13" x14ac:dyDescent="0.25">
      <c r="A43" s="2" t="s">
        <v>64</v>
      </c>
      <c r="B43" s="2" t="s">
        <v>51</v>
      </c>
      <c r="C43" s="4">
        <v>0</v>
      </c>
      <c r="D43" s="4">
        <v>336</v>
      </c>
      <c r="E43" s="4">
        <v>868</v>
      </c>
      <c r="F43" s="4">
        <v>1750</v>
      </c>
      <c r="G43" s="4">
        <v>234</v>
      </c>
      <c r="H43" s="4">
        <v>1133</v>
      </c>
      <c r="I43" s="4">
        <v>2941</v>
      </c>
      <c r="J43" s="4">
        <v>1305</v>
      </c>
      <c r="K43" s="4">
        <v>1865</v>
      </c>
      <c r="L43" s="4">
        <v>10432</v>
      </c>
      <c r="M43" s="6">
        <v>78.73</v>
      </c>
    </row>
    <row r="44" spans="1:13" x14ac:dyDescent="0.25">
      <c r="A44" s="2" t="s">
        <v>64</v>
      </c>
      <c r="B44" s="2" t="s">
        <v>52</v>
      </c>
      <c r="C44" s="4">
        <v>0</v>
      </c>
      <c r="D44" s="4">
        <v>309</v>
      </c>
      <c r="E44" s="4">
        <v>229</v>
      </c>
      <c r="F44" s="4">
        <v>1547</v>
      </c>
      <c r="G44" s="4">
        <v>0</v>
      </c>
      <c r="H44" s="4">
        <v>196</v>
      </c>
      <c r="I44" s="4">
        <v>670</v>
      </c>
      <c r="J44" s="4">
        <v>6922</v>
      </c>
      <c r="K44" s="4">
        <v>3269</v>
      </c>
      <c r="L44" s="4">
        <v>13142</v>
      </c>
      <c r="M44" s="6">
        <v>60.29</v>
      </c>
    </row>
    <row r="45" spans="1:13" x14ac:dyDescent="0.25">
      <c r="A45" s="2" t="s">
        <v>64</v>
      </c>
      <c r="B45" s="2" t="s">
        <v>53</v>
      </c>
      <c r="C45" s="4">
        <v>1722</v>
      </c>
      <c r="D45" s="4">
        <v>0</v>
      </c>
      <c r="E45" s="4">
        <v>37</v>
      </c>
      <c r="F45" s="4">
        <v>2318</v>
      </c>
      <c r="G45" s="4">
        <v>2703</v>
      </c>
      <c r="H45" s="4">
        <v>4417</v>
      </c>
      <c r="I45" s="4">
        <v>5934</v>
      </c>
      <c r="J45" s="4">
        <v>0</v>
      </c>
      <c r="K45" s="4">
        <v>0</v>
      </c>
      <c r="L45" s="4">
        <v>17131</v>
      </c>
      <c r="M45" s="6">
        <v>181.7</v>
      </c>
    </row>
    <row r="46" spans="1:13" x14ac:dyDescent="0.25">
      <c r="A46" s="2" t="s">
        <v>64</v>
      </c>
      <c r="B46" s="2" t="s">
        <v>54</v>
      </c>
      <c r="C46" s="4">
        <v>0</v>
      </c>
      <c r="D46" s="4">
        <v>0</v>
      </c>
      <c r="E46" s="4">
        <v>0</v>
      </c>
      <c r="F46" s="4">
        <v>16</v>
      </c>
      <c r="G46" s="4">
        <v>41</v>
      </c>
      <c r="H46" s="4">
        <v>79</v>
      </c>
      <c r="I46" s="4">
        <v>0</v>
      </c>
      <c r="J46" s="4">
        <v>0</v>
      </c>
      <c r="K46" s="4">
        <v>0</v>
      </c>
      <c r="L46" s="4">
        <v>136</v>
      </c>
      <c r="M46" s="6">
        <v>1.6539999999999999</v>
      </c>
    </row>
    <row r="47" spans="1:13" x14ac:dyDescent="0.25">
      <c r="A47" s="2" t="s">
        <v>64</v>
      </c>
      <c r="B47" s="2" t="s">
        <v>55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6">
        <v>0</v>
      </c>
    </row>
    <row r="48" spans="1:13" x14ac:dyDescent="0.25">
      <c r="A48" s="7" t="s">
        <v>64</v>
      </c>
      <c r="B48" s="7" t="s">
        <v>37</v>
      </c>
      <c r="C48" s="8">
        <v>1722</v>
      </c>
      <c r="D48" s="8">
        <v>645</v>
      </c>
      <c r="E48" s="8">
        <v>1134</v>
      </c>
      <c r="F48" s="8">
        <v>5631</v>
      </c>
      <c r="G48" s="8">
        <v>2978</v>
      </c>
      <c r="H48" s="8">
        <v>5825</v>
      </c>
      <c r="I48" s="8">
        <v>9545</v>
      </c>
      <c r="J48" s="8">
        <v>8227</v>
      </c>
      <c r="K48" s="8">
        <v>5134</v>
      </c>
      <c r="L48" s="8">
        <v>40841</v>
      </c>
      <c r="M48" s="9">
        <v>322.37400000000002</v>
      </c>
    </row>
    <row r="49" spans="1:13" x14ac:dyDescent="0.25">
      <c r="A49" s="2" t="s">
        <v>65</v>
      </c>
      <c r="B49" s="2" t="s">
        <v>51</v>
      </c>
      <c r="C49" s="4">
        <v>0</v>
      </c>
      <c r="D49" s="4">
        <v>187</v>
      </c>
      <c r="E49" s="4">
        <v>463</v>
      </c>
      <c r="F49" s="4">
        <v>358</v>
      </c>
      <c r="G49" s="4">
        <v>333</v>
      </c>
      <c r="H49" s="4">
        <v>480</v>
      </c>
      <c r="I49" s="4">
        <v>722</v>
      </c>
      <c r="J49" s="4">
        <v>1167</v>
      </c>
      <c r="K49" s="4">
        <v>2205</v>
      </c>
      <c r="L49" s="4">
        <v>5915</v>
      </c>
      <c r="M49" s="6">
        <v>35.93</v>
      </c>
    </row>
    <row r="50" spans="1:13" x14ac:dyDescent="0.25">
      <c r="A50" s="2" t="s">
        <v>65</v>
      </c>
      <c r="B50" s="2" t="s">
        <v>52</v>
      </c>
      <c r="C50" s="4">
        <v>0</v>
      </c>
      <c r="D50" s="4">
        <v>78</v>
      </c>
      <c r="E50" s="4">
        <v>510</v>
      </c>
      <c r="F50" s="4">
        <v>1076</v>
      </c>
      <c r="G50" s="4">
        <v>0</v>
      </c>
      <c r="H50" s="4">
        <v>38</v>
      </c>
      <c r="I50" s="4">
        <v>630</v>
      </c>
      <c r="J50" s="4">
        <v>5905</v>
      </c>
      <c r="K50" s="4">
        <v>2000</v>
      </c>
      <c r="L50" s="4">
        <v>10237</v>
      </c>
      <c r="M50" s="6">
        <v>48.15</v>
      </c>
    </row>
    <row r="51" spans="1:13" x14ac:dyDescent="0.25">
      <c r="A51" s="2" t="s">
        <v>65</v>
      </c>
      <c r="B51" s="2" t="s">
        <v>53</v>
      </c>
      <c r="C51" s="4">
        <v>937</v>
      </c>
      <c r="D51" s="4">
        <v>0</v>
      </c>
      <c r="E51" s="4">
        <v>57</v>
      </c>
      <c r="F51" s="4">
        <v>1139</v>
      </c>
      <c r="G51" s="4">
        <v>2154</v>
      </c>
      <c r="H51" s="4">
        <v>2669</v>
      </c>
      <c r="I51" s="4">
        <v>4499</v>
      </c>
      <c r="J51" s="4">
        <v>122</v>
      </c>
      <c r="K51" s="4">
        <v>0</v>
      </c>
      <c r="L51" s="4">
        <v>11577</v>
      </c>
      <c r="M51" s="6">
        <v>101.5</v>
      </c>
    </row>
    <row r="52" spans="1:13" x14ac:dyDescent="0.25">
      <c r="A52" s="2" t="s">
        <v>65</v>
      </c>
      <c r="B52" s="2" t="s">
        <v>54</v>
      </c>
      <c r="C52" s="4">
        <v>0</v>
      </c>
      <c r="D52" s="4">
        <v>0</v>
      </c>
      <c r="E52" s="4">
        <v>0</v>
      </c>
      <c r="F52" s="4">
        <v>16</v>
      </c>
      <c r="G52" s="4">
        <v>43</v>
      </c>
      <c r="H52" s="4">
        <v>77</v>
      </c>
      <c r="I52" s="4">
        <v>0</v>
      </c>
      <c r="J52" s="4">
        <v>0</v>
      </c>
      <c r="K52" s="4">
        <v>0</v>
      </c>
      <c r="L52" s="4">
        <v>136</v>
      </c>
      <c r="M52" s="6">
        <v>1.673</v>
      </c>
    </row>
    <row r="53" spans="1:13" x14ac:dyDescent="0.25">
      <c r="A53" s="2" t="s">
        <v>65</v>
      </c>
      <c r="B53" s="2" t="s">
        <v>55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6">
        <v>0</v>
      </c>
    </row>
    <row r="54" spans="1:13" x14ac:dyDescent="0.25">
      <c r="A54" s="7" t="s">
        <v>65</v>
      </c>
      <c r="B54" s="7" t="s">
        <v>37</v>
      </c>
      <c r="C54" s="8">
        <v>937</v>
      </c>
      <c r="D54" s="8">
        <v>265</v>
      </c>
      <c r="E54" s="8">
        <v>1030</v>
      </c>
      <c r="F54" s="8">
        <v>2589</v>
      </c>
      <c r="G54" s="8">
        <v>2530</v>
      </c>
      <c r="H54" s="8">
        <v>3264</v>
      </c>
      <c r="I54" s="8">
        <v>5851</v>
      </c>
      <c r="J54" s="8">
        <v>7194</v>
      </c>
      <c r="K54" s="8">
        <v>4205</v>
      </c>
      <c r="L54" s="8">
        <v>27865</v>
      </c>
      <c r="M54" s="9">
        <v>187.25299999999999</v>
      </c>
    </row>
    <row r="55" spans="1:13" x14ac:dyDescent="0.25">
      <c r="A55" s="2" t="s">
        <v>66</v>
      </c>
      <c r="B55" s="2" t="s">
        <v>51</v>
      </c>
      <c r="C55" s="4">
        <v>0</v>
      </c>
      <c r="D55" s="4">
        <v>168</v>
      </c>
      <c r="E55" s="4">
        <v>487</v>
      </c>
      <c r="F55" s="4">
        <v>343</v>
      </c>
      <c r="G55" s="4">
        <v>261</v>
      </c>
      <c r="H55" s="4">
        <v>418</v>
      </c>
      <c r="I55" s="4">
        <v>596</v>
      </c>
      <c r="J55" s="4">
        <v>1471</v>
      </c>
      <c r="K55" s="4">
        <v>1989</v>
      </c>
      <c r="L55" s="4">
        <v>5733</v>
      </c>
      <c r="M55" s="6">
        <v>34.85</v>
      </c>
    </row>
    <row r="56" spans="1:13" x14ac:dyDescent="0.25">
      <c r="A56" s="2" t="s">
        <v>66</v>
      </c>
      <c r="B56" s="2" t="s">
        <v>52</v>
      </c>
      <c r="C56" s="4">
        <v>0</v>
      </c>
      <c r="D56" s="4">
        <v>52</v>
      </c>
      <c r="E56" s="4">
        <v>980</v>
      </c>
      <c r="F56" s="4">
        <v>106</v>
      </c>
      <c r="G56" s="4">
        <v>0</v>
      </c>
      <c r="H56" s="4">
        <v>0</v>
      </c>
      <c r="I56" s="4">
        <v>2488</v>
      </c>
      <c r="J56" s="4">
        <v>1519</v>
      </c>
      <c r="K56" s="4">
        <v>1511</v>
      </c>
      <c r="L56" s="4">
        <v>6656</v>
      </c>
      <c r="M56" s="6">
        <v>40.42</v>
      </c>
    </row>
    <row r="57" spans="1:13" x14ac:dyDescent="0.25">
      <c r="A57" s="2" t="s">
        <v>66</v>
      </c>
      <c r="B57" s="2" t="s">
        <v>53</v>
      </c>
      <c r="C57" s="4">
        <v>872</v>
      </c>
      <c r="D57" s="4">
        <v>0</v>
      </c>
      <c r="E57" s="4">
        <v>56</v>
      </c>
      <c r="F57" s="4">
        <v>1241</v>
      </c>
      <c r="G57" s="4">
        <v>1735</v>
      </c>
      <c r="H57" s="4">
        <v>2836</v>
      </c>
      <c r="I57" s="4">
        <v>4025</v>
      </c>
      <c r="J57" s="4">
        <v>0</v>
      </c>
      <c r="K57" s="4">
        <v>0</v>
      </c>
      <c r="L57" s="4">
        <v>10765</v>
      </c>
      <c r="M57" s="6">
        <v>95</v>
      </c>
    </row>
    <row r="58" spans="1:13" x14ac:dyDescent="0.25">
      <c r="A58" s="2" t="s">
        <v>66</v>
      </c>
      <c r="B58" s="2" t="s">
        <v>54</v>
      </c>
      <c r="C58" s="4">
        <v>0</v>
      </c>
      <c r="D58" s="4">
        <v>0</v>
      </c>
      <c r="E58" s="4">
        <v>0</v>
      </c>
      <c r="F58" s="4">
        <v>8</v>
      </c>
      <c r="G58" s="4">
        <v>51</v>
      </c>
      <c r="H58" s="4">
        <v>82</v>
      </c>
      <c r="I58" s="4">
        <v>0</v>
      </c>
      <c r="J58" s="4">
        <v>0</v>
      </c>
      <c r="K58" s="4">
        <v>0</v>
      </c>
      <c r="L58" s="4">
        <v>141</v>
      </c>
      <c r="M58" s="6">
        <v>1.6439999999999999</v>
      </c>
    </row>
    <row r="59" spans="1:13" x14ac:dyDescent="0.25">
      <c r="A59" s="2" t="s">
        <v>66</v>
      </c>
      <c r="B59" s="2" t="s">
        <v>55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6">
        <v>0</v>
      </c>
    </row>
    <row r="60" spans="1:13" x14ac:dyDescent="0.25">
      <c r="A60" s="7" t="s">
        <v>66</v>
      </c>
      <c r="B60" s="7" t="s">
        <v>37</v>
      </c>
      <c r="C60" s="8">
        <v>872</v>
      </c>
      <c r="D60" s="8">
        <v>220</v>
      </c>
      <c r="E60" s="8">
        <v>1523</v>
      </c>
      <c r="F60" s="8">
        <v>1698</v>
      </c>
      <c r="G60" s="8">
        <v>2047</v>
      </c>
      <c r="H60" s="8">
        <v>3336</v>
      </c>
      <c r="I60" s="8">
        <v>7109</v>
      </c>
      <c r="J60" s="8">
        <v>2990</v>
      </c>
      <c r="K60" s="8">
        <v>3500</v>
      </c>
      <c r="L60" s="8">
        <v>23295</v>
      </c>
      <c r="M60" s="9">
        <v>171.91399999999999</v>
      </c>
    </row>
    <row r="61" spans="1:13" x14ac:dyDescent="0.25">
      <c r="A61" s="2" t="s">
        <v>67</v>
      </c>
      <c r="B61" s="2" t="s">
        <v>51</v>
      </c>
      <c r="C61" s="4">
        <v>0</v>
      </c>
      <c r="D61" s="4">
        <v>167</v>
      </c>
      <c r="E61" s="4">
        <v>481</v>
      </c>
      <c r="F61" s="4">
        <v>343</v>
      </c>
      <c r="G61" s="4">
        <v>257</v>
      </c>
      <c r="H61" s="4">
        <v>416</v>
      </c>
      <c r="I61" s="4">
        <v>580</v>
      </c>
      <c r="J61" s="4">
        <v>1402</v>
      </c>
      <c r="K61" s="4">
        <v>1946</v>
      </c>
      <c r="L61" s="4">
        <v>5592</v>
      </c>
      <c r="M61" s="6">
        <v>34.85</v>
      </c>
    </row>
    <row r="62" spans="1:13" x14ac:dyDescent="0.25">
      <c r="A62" s="2" t="s">
        <v>67</v>
      </c>
      <c r="B62" s="2" t="s">
        <v>52</v>
      </c>
      <c r="C62" s="4">
        <v>0</v>
      </c>
      <c r="D62" s="4">
        <v>52</v>
      </c>
      <c r="E62" s="4">
        <v>979</v>
      </c>
      <c r="F62" s="4">
        <v>106</v>
      </c>
      <c r="G62" s="4">
        <v>0</v>
      </c>
      <c r="H62" s="4">
        <v>0</v>
      </c>
      <c r="I62" s="4">
        <v>2627</v>
      </c>
      <c r="J62" s="4">
        <v>1559</v>
      </c>
      <c r="K62" s="4">
        <v>288</v>
      </c>
      <c r="L62" s="4">
        <v>5611</v>
      </c>
      <c r="M62" s="6">
        <v>40.42</v>
      </c>
    </row>
    <row r="63" spans="1:13" x14ac:dyDescent="0.25">
      <c r="A63" s="2" t="s">
        <v>67</v>
      </c>
      <c r="B63" s="2" t="s">
        <v>53</v>
      </c>
      <c r="C63" s="4">
        <v>872</v>
      </c>
      <c r="D63" s="4">
        <v>0</v>
      </c>
      <c r="E63" s="4">
        <v>59</v>
      </c>
      <c r="F63" s="4">
        <v>1235</v>
      </c>
      <c r="G63" s="4">
        <v>1753</v>
      </c>
      <c r="H63" s="4">
        <v>2836</v>
      </c>
      <c r="I63" s="4">
        <v>3997</v>
      </c>
      <c r="J63" s="4">
        <v>0</v>
      </c>
      <c r="K63" s="4">
        <v>0</v>
      </c>
      <c r="L63" s="4">
        <v>10752</v>
      </c>
      <c r="M63" s="6">
        <v>95</v>
      </c>
    </row>
    <row r="64" spans="1:13" x14ac:dyDescent="0.25">
      <c r="A64" s="2" t="s">
        <v>67</v>
      </c>
      <c r="B64" s="2" t="s">
        <v>54</v>
      </c>
      <c r="C64" s="4">
        <v>0</v>
      </c>
      <c r="D64" s="4">
        <v>0</v>
      </c>
      <c r="E64" s="4">
        <v>0</v>
      </c>
      <c r="F64" s="4">
        <v>20</v>
      </c>
      <c r="G64" s="4">
        <v>109</v>
      </c>
      <c r="H64" s="4">
        <v>0</v>
      </c>
      <c r="I64" s="4">
        <v>0</v>
      </c>
      <c r="J64" s="4">
        <v>0</v>
      </c>
      <c r="K64" s="4">
        <v>0</v>
      </c>
      <c r="L64" s="4">
        <v>129</v>
      </c>
      <c r="M64" s="6">
        <v>1.625</v>
      </c>
    </row>
    <row r="65" spans="1:13" x14ac:dyDescent="0.25">
      <c r="A65" s="2" t="s">
        <v>67</v>
      </c>
      <c r="B65" s="2" t="s">
        <v>55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6">
        <v>0</v>
      </c>
    </row>
    <row r="66" spans="1:13" x14ac:dyDescent="0.25">
      <c r="A66" s="7" t="s">
        <v>67</v>
      </c>
      <c r="B66" s="7" t="s">
        <v>37</v>
      </c>
      <c r="C66" s="8">
        <v>872</v>
      </c>
      <c r="D66" s="8">
        <v>219</v>
      </c>
      <c r="E66" s="8">
        <v>1519</v>
      </c>
      <c r="F66" s="8">
        <v>1704</v>
      </c>
      <c r="G66" s="8">
        <v>2119</v>
      </c>
      <c r="H66" s="8">
        <v>3252</v>
      </c>
      <c r="I66" s="8">
        <v>7204</v>
      </c>
      <c r="J66" s="8">
        <v>2961</v>
      </c>
      <c r="K66" s="8">
        <v>2234</v>
      </c>
      <c r="L66" s="8">
        <v>22084</v>
      </c>
      <c r="M66" s="9">
        <v>171.89500000000001</v>
      </c>
    </row>
    <row r="67" spans="1:13" x14ac:dyDescent="0.25">
      <c r="A67" s="2" t="s">
        <v>68</v>
      </c>
      <c r="B67" s="2" t="s">
        <v>51</v>
      </c>
      <c r="C67" s="4">
        <v>0</v>
      </c>
      <c r="D67" s="4">
        <v>167</v>
      </c>
      <c r="E67" s="4">
        <v>481</v>
      </c>
      <c r="F67" s="4">
        <v>343</v>
      </c>
      <c r="G67" s="4">
        <v>257</v>
      </c>
      <c r="H67" s="4">
        <v>416</v>
      </c>
      <c r="I67" s="4">
        <v>580</v>
      </c>
      <c r="J67" s="4">
        <v>1402</v>
      </c>
      <c r="K67" s="4">
        <v>1946</v>
      </c>
      <c r="L67" s="4">
        <v>5592</v>
      </c>
      <c r="M67" s="6">
        <v>34.85</v>
      </c>
    </row>
    <row r="68" spans="1:13" x14ac:dyDescent="0.25">
      <c r="A68" s="2" t="s">
        <v>68</v>
      </c>
      <c r="B68" s="2" t="s">
        <v>52</v>
      </c>
      <c r="C68" s="4">
        <v>0</v>
      </c>
      <c r="D68" s="4">
        <v>74</v>
      </c>
      <c r="E68" s="4">
        <v>944</v>
      </c>
      <c r="F68" s="4">
        <v>106</v>
      </c>
      <c r="G68" s="4">
        <v>0</v>
      </c>
      <c r="H68" s="4">
        <v>0</v>
      </c>
      <c r="I68" s="4">
        <v>2551</v>
      </c>
      <c r="J68" s="4">
        <v>2301</v>
      </c>
      <c r="K68" s="4">
        <v>0</v>
      </c>
      <c r="L68" s="4">
        <v>5976</v>
      </c>
      <c r="M68" s="6">
        <v>40.42</v>
      </c>
    </row>
    <row r="69" spans="1:13" x14ac:dyDescent="0.25">
      <c r="A69" s="2" t="s">
        <v>68</v>
      </c>
      <c r="B69" s="2" t="s">
        <v>53</v>
      </c>
      <c r="C69" s="4">
        <v>872</v>
      </c>
      <c r="D69" s="4">
        <v>0</v>
      </c>
      <c r="E69" s="4">
        <v>56</v>
      </c>
      <c r="F69" s="4">
        <v>1241</v>
      </c>
      <c r="G69" s="4">
        <v>1735</v>
      </c>
      <c r="H69" s="4">
        <v>2836</v>
      </c>
      <c r="I69" s="4">
        <v>4025</v>
      </c>
      <c r="J69" s="4">
        <v>0</v>
      </c>
      <c r="K69" s="4">
        <v>0</v>
      </c>
      <c r="L69" s="4">
        <v>10765</v>
      </c>
      <c r="M69" s="6">
        <v>95</v>
      </c>
    </row>
    <row r="70" spans="1:13" x14ac:dyDescent="0.25">
      <c r="A70" s="2" t="s">
        <v>68</v>
      </c>
      <c r="B70" s="2" t="s">
        <v>54</v>
      </c>
      <c r="C70" s="4">
        <v>0</v>
      </c>
      <c r="D70" s="4">
        <v>0</v>
      </c>
      <c r="E70" s="4">
        <v>0</v>
      </c>
      <c r="F70" s="4">
        <v>20</v>
      </c>
      <c r="G70" s="4">
        <v>109</v>
      </c>
      <c r="H70" s="4">
        <v>0</v>
      </c>
      <c r="I70" s="4">
        <v>0</v>
      </c>
      <c r="J70" s="4">
        <v>0</v>
      </c>
      <c r="K70" s="4">
        <v>0</v>
      </c>
      <c r="L70" s="4">
        <v>129</v>
      </c>
      <c r="M70" s="6">
        <v>1.625</v>
      </c>
    </row>
    <row r="71" spans="1:13" x14ac:dyDescent="0.25">
      <c r="A71" s="2" t="s">
        <v>68</v>
      </c>
      <c r="B71" s="2" t="s">
        <v>55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6">
        <v>0</v>
      </c>
    </row>
    <row r="72" spans="1:13" x14ac:dyDescent="0.25">
      <c r="A72" s="7" t="s">
        <v>68</v>
      </c>
      <c r="B72" s="7" t="s">
        <v>37</v>
      </c>
      <c r="C72" s="8">
        <v>872</v>
      </c>
      <c r="D72" s="8">
        <v>241</v>
      </c>
      <c r="E72" s="8">
        <v>1481</v>
      </c>
      <c r="F72" s="8">
        <v>1710</v>
      </c>
      <c r="G72" s="8">
        <v>2101</v>
      </c>
      <c r="H72" s="8">
        <v>3252</v>
      </c>
      <c r="I72" s="8">
        <v>7156</v>
      </c>
      <c r="J72" s="8">
        <v>3703</v>
      </c>
      <c r="K72" s="8">
        <v>1946</v>
      </c>
      <c r="L72" s="8">
        <v>22462</v>
      </c>
      <c r="M72" s="9">
        <v>171.89500000000001</v>
      </c>
    </row>
    <row r="73" spans="1:13" x14ac:dyDescent="0.25">
      <c r="A73" s="2" t="s">
        <v>69</v>
      </c>
      <c r="B73" s="2" t="s">
        <v>51</v>
      </c>
      <c r="C73" s="4">
        <v>0</v>
      </c>
      <c r="D73" s="4">
        <v>167</v>
      </c>
      <c r="E73" s="4">
        <v>481</v>
      </c>
      <c r="F73" s="4">
        <v>343</v>
      </c>
      <c r="G73" s="4">
        <v>257</v>
      </c>
      <c r="H73" s="4">
        <v>416</v>
      </c>
      <c r="I73" s="4">
        <v>580</v>
      </c>
      <c r="J73" s="4">
        <v>1402</v>
      </c>
      <c r="K73" s="4">
        <v>1946</v>
      </c>
      <c r="L73" s="4">
        <v>5592</v>
      </c>
      <c r="M73" s="6">
        <v>34.85</v>
      </c>
    </row>
    <row r="74" spans="1:13" x14ac:dyDescent="0.25">
      <c r="A74" s="2" t="s">
        <v>69</v>
      </c>
      <c r="B74" s="2" t="s">
        <v>52</v>
      </c>
      <c r="C74" s="4">
        <v>0</v>
      </c>
      <c r="D74" s="4">
        <v>74</v>
      </c>
      <c r="E74" s="4">
        <v>944</v>
      </c>
      <c r="F74" s="4">
        <v>105</v>
      </c>
      <c r="G74" s="4">
        <v>0</v>
      </c>
      <c r="H74" s="4">
        <v>0</v>
      </c>
      <c r="I74" s="4">
        <v>2917</v>
      </c>
      <c r="J74" s="4">
        <v>1697</v>
      </c>
      <c r="K74" s="4">
        <v>0</v>
      </c>
      <c r="L74" s="4">
        <v>5737</v>
      </c>
      <c r="M74" s="6">
        <v>40.42</v>
      </c>
    </row>
    <row r="75" spans="1:13" x14ac:dyDescent="0.25">
      <c r="A75" s="2" t="s">
        <v>69</v>
      </c>
      <c r="B75" s="2" t="s">
        <v>53</v>
      </c>
      <c r="C75" s="4">
        <v>872</v>
      </c>
      <c r="D75" s="4">
        <v>0</v>
      </c>
      <c r="E75" s="4">
        <v>59</v>
      </c>
      <c r="F75" s="4">
        <v>1235</v>
      </c>
      <c r="G75" s="4">
        <v>1753</v>
      </c>
      <c r="H75" s="4">
        <v>2836</v>
      </c>
      <c r="I75" s="4">
        <v>3997</v>
      </c>
      <c r="J75" s="4">
        <v>0</v>
      </c>
      <c r="K75" s="4">
        <v>0</v>
      </c>
      <c r="L75" s="4">
        <v>10752</v>
      </c>
      <c r="M75" s="6">
        <v>95</v>
      </c>
    </row>
    <row r="76" spans="1:13" x14ac:dyDescent="0.25">
      <c r="A76" s="2" t="s">
        <v>69</v>
      </c>
      <c r="B76" s="2" t="s">
        <v>54</v>
      </c>
      <c r="C76" s="4">
        <v>0</v>
      </c>
      <c r="D76" s="4">
        <v>0</v>
      </c>
      <c r="E76" s="4">
        <v>0</v>
      </c>
      <c r="F76" s="4">
        <v>20</v>
      </c>
      <c r="G76" s="4">
        <v>109</v>
      </c>
      <c r="H76" s="4">
        <v>0</v>
      </c>
      <c r="I76" s="4">
        <v>0</v>
      </c>
      <c r="J76" s="4">
        <v>0</v>
      </c>
      <c r="K76" s="4">
        <v>0</v>
      </c>
      <c r="L76" s="4">
        <v>129</v>
      </c>
      <c r="M76" s="6">
        <v>1.625</v>
      </c>
    </row>
    <row r="77" spans="1:13" x14ac:dyDescent="0.25">
      <c r="A77" s="2" t="s">
        <v>69</v>
      </c>
      <c r="B77" s="2" t="s">
        <v>55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6">
        <v>0</v>
      </c>
    </row>
    <row r="78" spans="1:13" x14ac:dyDescent="0.25">
      <c r="A78" s="7" t="s">
        <v>69</v>
      </c>
      <c r="B78" s="7" t="s">
        <v>37</v>
      </c>
      <c r="C78" s="8">
        <v>872</v>
      </c>
      <c r="D78" s="8">
        <v>241</v>
      </c>
      <c r="E78" s="8">
        <v>1484</v>
      </c>
      <c r="F78" s="8">
        <v>1703</v>
      </c>
      <c r="G78" s="8">
        <v>2119</v>
      </c>
      <c r="H78" s="8">
        <v>3252</v>
      </c>
      <c r="I78" s="8">
        <v>7494</v>
      </c>
      <c r="J78" s="8">
        <v>3099</v>
      </c>
      <c r="K78" s="8">
        <v>1946</v>
      </c>
      <c r="L78" s="8">
        <v>22210</v>
      </c>
      <c r="M78" s="9">
        <v>171.89500000000001</v>
      </c>
    </row>
    <row r="79" spans="1:13" x14ac:dyDescent="0.25">
      <c r="A79" s="2" t="s">
        <v>70</v>
      </c>
      <c r="B79" s="2" t="s">
        <v>51</v>
      </c>
      <c r="C79" s="4">
        <v>0</v>
      </c>
      <c r="D79" s="4">
        <v>167</v>
      </c>
      <c r="E79" s="4">
        <v>481</v>
      </c>
      <c r="F79" s="4">
        <v>343</v>
      </c>
      <c r="G79" s="4">
        <v>257</v>
      </c>
      <c r="H79" s="4">
        <v>416</v>
      </c>
      <c r="I79" s="4">
        <v>580</v>
      </c>
      <c r="J79" s="4">
        <v>1402</v>
      </c>
      <c r="K79" s="4">
        <v>1946</v>
      </c>
      <c r="L79" s="4">
        <v>5592</v>
      </c>
      <c r="M79" s="6">
        <v>34.85</v>
      </c>
    </row>
    <row r="80" spans="1:13" x14ac:dyDescent="0.25">
      <c r="A80" s="2" t="s">
        <v>70</v>
      </c>
      <c r="B80" s="2" t="s">
        <v>52</v>
      </c>
      <c r="C80" s="4">
        <v>0</v>
      </c>
      <c r="D80" s="4">
        <v>74</v>
      </c>
      <c r="E80" s="4">
        <v>944</v>
      </c>
      <c r="F80" s="4">
        <v>105</v>
      </c>
      <c r="G80" s="4">
        <v>0</v>
      </c>
      <c r="H80" s="4">
        <v>0</v>
      </c>
      <c r="I80" s="4">
        <v>2917</v>
      </c>
      <c r="J80" s="4">
        <v>1421</v>
      </c>
      <c r="K80" s="4">
        <v>0</v>
      </c>
      <c r="L80" s="4">
        <v>5461</v>
      </c>
      <c r="M80" s="6">
        <v>40.42</v>
      </c>
    </row>
    <row r="81" spans="1:13" x14ac:dyDescent="0.25">
      <c r="A81" s="2" t="s">
        <v>70</v>
      </c>
      <c r="B81" s="2" t="s">
        <v>53</v>
      </c>
      <c r="C81" s="4">
        <v>872</v>
      </c>
      <c r="D81" s="4">
        <v>0</v>
      </c>
      <c r="E81" s="4">
        <v>56</v>
      </c>
      <c r="F81" s="4">
        <v>1241</v>
      </c>
      <c r="G81" s="4">
        <v>1735</v>
      </c>
      <c r="H81" s="4">
        <v>2836</v>
      </c>
      <c r="I81" s="4">
        <v>4025</v>
      </c>
      <c r="J81" s="4">
        <v>0</v>
      </c>
      <c r="K81" s="4">
        <v>0</v>
      </c>
      <c r="L81" s="4">
        <v>10765</v>
      </c>
      <c r="M81" s="6">
        <v>95</v>
      </c>
    </row>
    <row r="82" spans="1:13" x14ac:dyDescent="0.25">
      <c r="A82" s="2" t="s">
        <v>70</v>
      </c>
      <c r="B82" s="2" t="s">
        <v>54</v>
      </c>
      <c r="C82" s="4">
        <v>0</v>
      </c>
      <c r="D82" s="4">
        <v>0</v>
      </c>
      <c r="E82" s="4">
        <v>0</v>
      </c>
      <c r="F82" s="4">
        <v>20</v>
      </c>
      <c r="G82" s="4">
        <v>109</v>
      </c>
      <c r="H82" s="4">
        <v>0</v>
      </c>
      <c r="I82" s="4">
        <v>0</v>
      </c>
      <c r="J82" s="4">
        <v>0</v>
      </c>
      <c r="K82" s="4">
        <v>0</v>
      </c>
      <c r="L82" s="4">
        <v>129</v>
      </c>
      <c r="M82" s="6">
        <v>1.625</v>
      </c>
    </row>
    <row r="83" spans="1:13" x14ac:dyDescent="0.25">
      <c r="A83" s="2" t="s">
        <v>70</v>
      </c>
      <c r="B83" s="2" t="s">
        <v>55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6">
        <v>0</v>
      </c>
    </row>
    <row r="84" spans="1:13" x14ac:dyDescent="0.25">
      <c r="A84" s="7" t="s">
        <v>70</v>
      </c>
      <c r="B84" s="7" t="s">
        <v>37</v>
      </c>
      <c r="C84" s="8">
        <v>872</v>
      </c>
      <c r="D84" s="8">
        <v>241</v>
      </c>
      <c r="E84" s="8">
        <v>1481</v>
      </c>
      <c r="F84" s="8">
        <v>1709</v>
      </c>
      <c r="G84" s="8">
        <v>2101</v>
      </c>
      <c r="H84" s="8">
        <v>3252</v>
      </c>
      <c r="I84" s="8">
        <v>7522</v>
      </c>
      <c r="J84" s="8">
        <v>2823</v>
      </c>
      <c r="K84" s="8">
        <v>1946</v>
      </c>
      <c r="L84" s="8">
        <v>21947</v>
      </c>
      <c r="M84" s="9">
        <v>171.89500000000001</v>
      </c>
    </row>
    <row r="85" spans="1:13" x14ac:dyDescent="0.25">
      <c r="A85" s="2" t="s">
        <v>71</v>
      </c>
      <c r="B85" s="2" t="s">
        <v>51</v>
      </c>
      <c r="C85" s="4">
        <v>0</v>
      </c>
      <c r="D85" s="4">
        <v>194</v>
      </c>
      <c r="E85" s="4">
        <v>438</v>
      </c>
      <c r="F85" s="4">
        <v>343</v>
      </c>
      <c r="G85" s="4">
        <v>231</v>
      </c>
      <c r="H85" s="4">
        <v>401</v>
      </c>
      <c r="I85" s="4">
        <v>550</v>
      </c>
      <c r="J85" s="4">
        <v>1614</v>
      </c>
      <c r="K85" s="4">
        <v>1370</v>
      </c>
      <c r="L85" s="4">
        <v>5141</v>
      </c>
      <c r="M85" s="6">
        <v>34.85</v>
      </c>
    </row>
    <row r="86" spans="1:13" x14ac:dyDescent="0.25">
      <c r="A86" s="2" t="s">
        <v>71</v>
      </c>
      <c r="B86" s="2" t="s">
        <v>52</v>
      </c>
      <c r="C86" s="4">
        <v>0</v>
      </c>
      <c r="D86" s="4">
        <v>74</v>
      </c>
      <c r="E86" s="4">
        <v>1009</v>
      </c>
      <c r="F86" s="4">
        <v>0</v>
      </c>
      <c r="G86" s="4">
        <v>0</v>
      </c>
      <c r="H86" s="4">
        <v>0</v>
      </c>
      <c r="I86" s="4">
        <v>2753</v>
      </c>
      <c r="J86" s="4">
        <v>1421</v>
      </c>
      <c r="K86" s="4">
        <v>0</v>
      </c>
      <c r="L86" s="4">
        <v>5257</v>
      </c>
      <c r="M86" s="6">
        <v>40.42</v>
      </c>
    </row>
    <row r="87" spans="1:13" x14ac:dyDescent="0.25">
      <c r="A87" s="2" t="s">
        <v>71</v>
      </c>
      <c r="B87" s="2" t="s">
        <v>53</v>
      </c>
      <c r="C87" s="4">
        <v>872</v>
      </c>
      <c r="D87" s="4">
        <v>0</v>
      </c>
      <c r="E87" s="4">
        <v>59</v>
      </c>
      <c r="F87" s="4">
        <v>1235</v>
      </c>
      <c r="G87" s="4">
        <v>1753</v>
      </c>
      <c r="H87" s="4">
        <v>2836</v>
      </c>
      <c r="I87" s="4">
        <v>3997</v>
      </c>
      <c r="J87" s="4">
        <v>0</v>
      </c>
      <c r="K87" s="4">
        <v>0</v>
      </c>
      <c r="L87" s="4">
        <v>10752</v>
      </c>
      <c r="M87" s="6">
        <v>95</v>
      </c>
    </row>
    <row r="88" spans="1:13" x14ac:dyDescent="0.25">
      <c r="A88" s="2" t="s">
        <v>71</v>
      </c>
      <c r="B88" s="2" t="s">
        <v>54</v>
      </c>
      <c r="C88" s="4">
        <v>0</v>
      </c>
      <c r="D88" s="4">
        <v>0</v>
      </c>
      <c r="E88" s="4">
        <v>0</v>
      </c>
      <c r="F88" s="4">
        <v>20</v>
      </c>
      <c r="G88" s="4">
        <v>109</v>
      </c>
      <c r="H88" s="4">
        <v>0</v>
      </c>
      <c r="I88" s="4">
        <v>0</v>
      </c>
      <c r="J88" s="4">
        <v>0</v>
      </c>
      <c r="K88" s="4">
        <v>0</v>
      </c>
      <c r="L88" s="4">
        <v>129</v>
      </c>
      <c r="M88" s="6">
        <v>1.625</v>
      </c>
    </row>
    <row r="89" spans="1:13" x14ac:dyDescent="0.25">
      <c r="A89" s="2" t="s">
        <v>71</v>
      </c>
      <c r="B89" s="2" t="s">
        <v>55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6">
        <v>0</v>
      </c>
    </row>
    <row r="90" spans="1:13" x14ac:dyDescent="0.25">
      <c r="A90" s="7" t="s">
        <v>71</v>
      </c>
      <c r="B90" s="7" t="s">
        <v>37</v>
      </c>
      <c r="C90" s="8">
        <v>872</v>
      </c>
      <c r="D90" s="8">
        <v>268</v>
      </c>
      <c r="E90" s="8">
        <v>1506</v>
      </c>
      <c r="F90" s="8">
        <v>1598</v>
      </c>
      <c r="G90" s="8">
        <v>2093</v>
      </c>
      <c r="H90" s="8">
        <v>3237</v>
      </c>
      <c r="I90" s="8">
        <v>7300</v>
      </c>
      <c r="J90" s="8">
        <v>3035</v>
      </c>
      <c r="K90" s="8">
        <v>1370</v>
      </c>
      <c r="L90" s="8">
        <v>21279</v>
      </c>
      <c r="M90" s="9">
        <v>171.89500000000001</v>
      </c>
    </row>
    <row r="91" spans="1:13" x14ac:dyDescent="0.25">
      <c r="A91" s="2" t="s">
        <v>72</v>
      </c>
      <c r="B91" s="2" t="s">
        <v>51</v>
      </c>
      <c r="C91" s="4">
        <v>0</v>
      </c>
      <c r="D91" s="4">
        <v>194</v>
      </c>
      <c r="E91" s="4">
        <v>438</v>
      </c>
      <c r="F91" s="4">
        <v>343</v>
      </c>
      <c r="G91" s="4">
        <v>231</v>
      </c>
      <c r="H91" s="4">
        <v>401</v>
      </c>
      <c r="I91" s="4">
        <v>550</v>
      </c>
      <c r="J91" s="4">
        <v>1614</v>
      </c>
      <c r="K91" s="4">
        <v>1370</v>
      </c>
      <c r="L91" s="4">
        <v>5141</v>
      </c>
      <c r="M91" s="6">
        <v>34.85</v>
      </c>
    </row>
    <row r="92" spans="1:13" x14ac:dyDescent="0.25">
      <c r="A92" s="2" t="s">
        <v>72</v>
      </c>
      <c r="B92" s="2" t="s">
        <v>52</v>
      </c>
      <c r="C92" s="4">
        <v>0</v>
      </c>
      <c r="D92" s="4">
        <v>74</v>
      </c>
      <c r="E92" s="4">
        <v>1009</v>
      </c>
      <c r="F92" s="4">
        <v>0</v>
      </c>
      <c r="G92" s="4">
        <v>0</v>
      </c>
      <c r="H92" s="4">
        <v>0</v>
      </c>
      <c r="I92" s="4">
        <v>2753</v>
      </c>
      <c r="J92" s="4">
        <v>1421</v>
      </c>
      <c r="K92" s="4">
        <v>0</v>
      </c>
      <c r="L92" s="4">
        <v>5257</v>
      </c>
      <c r="M92" s="6">
        <v>40.42</v>
      </c>
    </row>
    <row r="93" spans="1:13" x14ac:dyDescent="0.25">
      <c r="A93" s="2" t="s">
        <v>72</v>
      </c>
      <c r="B93" s="2" t="s">
        <v>53</v>
      </c>
      <c r="C93" s="4">
        <v>872</v>
      </c>
      <c r="D93" s="4">
        <v>0</v>
      </c>
      <c r="E93" s="4">
        <v>56</v>
      </c>
      <c r="F93" s="4">
        <v>1241</v>
      </c>
      <c r="G93" s="4">
        <v>1735</v>
      </c>
      <c r="H93" s="4">
        <v>2836</v>
      </c>
      <c r="I93" s="4">
        <v>4025</v>
      </c>
      <c r="J93" s="4">
        <v>0</v>
      </c>
      <c r="K93" s="4">
        <v>0</v>
      </c>
      <c r="L93" s="4">
        <v>10765</v>
      </c>
      <c r="M93" s="6">
        <v>95</v>
      </c>
    </row>
    <row r="94" spans="1:13" x14ac:dyDescent="0.25">
      <c r="A94" s="2" t="s">
        <v>72</v>
      </c>
      <c r="B94" s="2" t="s">
        <v>54</v>
      </c>
      <c r="C94" s="4">
        <v>0</v>
      </c>
      <c r="D94" s="4">
        <v>0</v>
      </c>
      <c r="E94" s="4">
        <v>0</v>
      </c>
      <c r="F94" s="4">
        <v>20</v>
      </c>
      <c r="G94" s="4">
        <v>109</v>
      </c>
      <c r="H94" s="4">
        <v>0</v>
      </c>
      <c r="I94" s="4">
        <v>0</v>
      </c>
      <c r="J94" s="4">
        <v>0</v>
      </c>
      <c r="K94" s="4">
        <v>0</v>
      </c>
      <c r="L94" s="4">
        <v>129</v>
      </c>
      <c r="M94" s="6">
        <v>1.625</v>
      </c>
    </row>
    <row r="95" spans="1:13" x14ac:dyDescent="0.25">
      <c r="A95" s="2" t="s">
        <v>72</v>
      </c>
      <c r="B95" s="2" t="s">
        <v>55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6">
        <v>0</v>
      </c>
    </row>
    <row r="96" spans="1:13" x14ac:dyDescent="0.25">
      <c r="A96" s="7" t="s">
        <v>72</v>
      </c>
      <c r="B96" s="7" t="s">
        <v>37</v>
      </c>
      <c r="C96" s="8">
        <v>872</v>
      </c>
      <c r="D96" s="8">
        <v>268</v>
      </c>
      <c r="E96" s="8">
        <v>1503</v>
      </c>
      <c r="F96" s="8">
        <v>1604</v>
      </c>
      <c r="G96" s="8">
        <v>2075</v>
      </c>
      <c r="H96" s="8">
        <v>3237</v>
      </c>
      <c r="I96" s="8">
        <v>7328</v>
      </c>
      <c r="J96" s="8">
        <v>3035</v>
      </c>
      <c r="K96" s="8">
        <v>1370</v>
      </c>
      <c r="L96" s="8">
        <v>21292</v>
      </c>
      <c r="M96" s="9">
        <v>171.89500000000001</v>
      </c>
    </row>
    <row r="97" spans="1:13" x14ac:dyDescent="0.25">
      <c r="A97" s="2" t="s">
        <v>73</v>
      </c>
      <c r="B97" s="2" t="s">
        <v>51</v>
      </c>
      <c r="C97" s="4">
        <v>0</v>
      </c>
      <c r="D97" s="4">
        <v>194</v>
      </c>
      <c r="E97" s="4">
        <v>438</v>
      </c>
      <c r="F97" s="4">
        <v>343</v>
      </c>
      <c r="G97" s="4">
        <v>231</v>
      </c>
      <c r="H97" s="4">
        <v>401</v>
      </c>
      <c r="I97" s="4">
        <v>550</v>
      </c>
      <c r="J97" s="4">
        <v>1614</v>
      </c>
      <c r="K97" s="4">
        <v>1370</v>
      </c>
      <c r="L97" s="4">
        <v>5141</v>
      </c>
      <c r="M97" s="6">
        <v>34.85</v>
      </c>
    </row>
    <row r="98" spans="1:13" x14ac:dyDescent="0.25">
      <c r="A98" s="2" t="s">
        <v>73</v>
      </c>
      <c r="B98" s="2" t="s">
        <v>52</v>
      </c>
      <c r="C98" s="4">
        <v>0</v>
      </c>
      <c r="D98" s="4">
        <v>74</v>
      </c>
      <c r="E98" s="4">
        <v>1007</v>
      </c>
      <c r="F98" s="4">
        <v>0</v>
      </c>
      <c r="G98" s="4">
        <v>0</v>
      </c>
      <c r="H98" s="4">
        <v>0</v>
      </c>
      <c r="I98" s="4">
        <v>3372</v>
      </c>
      <c r="J98" s="4">
        <v>355</v>
      </c>
      <c r="K98" s="4">
        <v>0</v>
      </c>
      <c r="L98" s="4">
        <v>4808</v>
      </c>
      <c r="M98" s="6">
        <v>40.42</v>
      </c>
    </row>
    <row r="99" spans="1:13" x14ac:dyDescent="0.25">
      <c r="A99" s="2" t="s">
        <v>73</v>
      </c>
      <c r="B99" s="2" t="s">
        <v>53</v>
      </c>
      <c r="C99" s="4">
        <v>872</v>
      </c>
      <c r="D99" s="4">
        <v>0</v>
      </c>
      <c r="E99" s="4">
        <v>59</v>
      </c>
      <c r="F99" s="4">
        <v>1235</v>
      </c>
      <c r="G99" s="4">
        <v>1753</v>
      </c>
      <c r="H99" s="4">
        <v>2836</v>
      </c>
      <c r="I99" s="4">
        <v>3997</v>
      </c>
      <c r="J99" s="4">
        <v>0</v>
      </c>
      <c r="K99" s="4">
        <v>0</v>
      </c>
      <c r="L99" s="4">
        <v>10752</v>
      </c>
      <c r="M99" s="6">
        <v>95</v>
      </c>
    </row>
    <row r="100" spans="1:13" x14ac:dyDescent="0.25">
      <c r="A100" s="2" t="s">
        <v>73</v>
      </c>
      <c r="B100" s="2" t="s">
        <v>54</v>
      </c>
      <c r="C100" s="4">
        <v>0</v>
      </c>
      <c r="D100" s="4">
        <v>0</v>
      </c>
      <c r="E100" s="4">
        <v>0</v>
      </c>
      <c r="F100" s="4">
        <v>20</v>
      </c>
      <c r="G100" s="4">
        <v>109</v>
      </c>
      <c r="H100" s="4">
        <v>0</v>
      </c>
      <c r="I100" s="4">
        <v>0</v>
      </c>
      <c r="J100" s="4">
        <v>0</v>
      </c>
      <c r="K100" s="4">
        <v>0</v>
      </c>
      <c r="L100" s="4">
        <v>129</v>
      </c>
      <c r="M100" s="6">
        <v>1.625</v>
      </c>
    </row>
    <row r="101" spans="1:13" x14ac:dyDescent="0.25">
      <c r="A101" s="2" t="s">
        <v>73</v>
      </c>
      <c r="B101" s="2" t="s">
        <v>55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6">
        <v>0</v>
      </c>
    </row>
    <row r="102" spans="1:13" x14ac:dyDescent="0.25">
      <c r="A102" s="7" t="s">
        <v>73</v>
      </c>
      <c r="B102" s="7" t="s">
        <v>37</v>
      </c>
      <c r="C102" s="8">
        <v>872</v>
      </c>
      <c r="D102" s="8">
        <v>268</v>
      </c>
      <c r="E102" s="8">
        <v>1504</v>
      </c>
      <c r="F102" s="8">
        <v>1598</v>
      </c>
      <c r="G102" s="8">
        <v>2093</v>
      </c>
      <c r="H102" s="8">
        <v>3237</v>
      </c>
      <c r="I102" s="8">
        <v>7919</v>
      </c>
      <c r="J102" s="8">
        <v>1969</v>
      </c>
      <c r="K102" s="8">
        <v>1370</v>
      </c>
      <c r="L102" s="8">
        <v>20830</v>
      </c>
      <c r="M102" s="9">
        <v>171.89500000000001</v>
      </c>
    </row>
    <row r="103" spans="1:13" x14ac:dyDescent="0.25">
      <c r="A103" s="2" t="s">
        <v>74</v>
      </c>
      <c r="B103" s="2" t="s">
        <v>51</v>
      </c>
      <c r="C103" s="4">
        <v>0</v>
      </c>
      <c r="D103" s="4">
        <v>194</v>
      </c>
      <c r="E103" s="4">
        <v>438</v>
      </c>
      <c r="F103" s="4">
        <v>343</v>
      </c>
      <c r="G103" s="4">
        <v>231</v>
      </c>
      <c r="H103" s="4">
        <v>401</v>
      </c>
      <c r="I103" s="4">
        <v>550</v>
      </c>
      <c r="J103" s="4">
        <v>1614</v>
      </c>
      <c r="K103" s="4">
        <v>1370</v>
      </c>
      <c r="L103" s="4">
        <v>5141</v>
      </c>
      <c r="M103" s="6">
        <v>34.85</v>
      </c>
    </row>
    <row r="104" spans="1:13" x14ac:dyDescent="0.25">
      <c r="A104" s="2" t="s">
        <v>74</v>
      </c>
      <c r="B104" s="2" t="s">
        <v>52</v>
      </c>
      <c r="C104" s="4">
        <v>0</v>
      </c>
      <c r="D104" s="4">
        <v>74</v>
      </c>
      <c r="E104" s="4">
        <v>1000</v>
      </c>
      <c r="F104" s="4">
        <v>0</v>
      </c>
      <c r="G104" s="4">
        <v>0</v>
      </c>
      <c r="H104" s="4">
        <v>1156</v>
      </c>
      <c r="I104" s="4">
        <v>1478</v>
      </c>
      <c r="J104" s="4">
        <v>355</v>
      </c>
      <c r="K104" s="4">
        <v>0</v>
      </c>
      <c r="L104" s="4">
        <v>4063</v>
      </c>
      <c r="M104" s="6">
        <v>40.42</v>
      </c>
    </row>
    <row r="105" spans="1:13" x14ac:dyDescent="0.25">
      <c r="A105" s="2" t="s">
        <v>74</v>
      </c>
      <c r="B105" s="2" t="s">
        <v>53</v>
      </c>
      <c r="C105" s="4">
        <v>872</v>
      </c>
      <c r="D105" s="4">
        <v>0</v>
      </c>
      <c r="E105" s="4">
        <v>56</v>
      </c>
      <c r="F105" s="4">
        <v>1241</v>
      </c>
      <c r="G105" s="4">
        <v>1735</v>
      </c>
      <c r="H105" s="4">
        <v>2836</v>
      </c>
      <c r="I105" s="4">
        <v>4025</v>
      </c>
      <c r="J105" s="4">
        <v>0</v>
      </c>
      <c r="K105" s="4">
        <v>0</v>
      </c>
      <c r="L105" s="4">
        <v>10765</v>
      </c>
      <c r="M105" s="6">
        <v>95</v>
      </c>
    </row>
    <row r="106" spans="1:13" x14ac:dyDescent="0.25">
      <c r="A106" s="2" t="s">
        <v>74</v>
      </c>
      <c r="B106" s="2" t="s">
        <v>54</v>
      </c>
      <c r="C106" s="4">
        <v>0</v>
      </c>
      <c r="D106" s="4">
        <v>0</v>
      </c>
      <c r="E106" s="4">
        <v>0</v>
      </c>
      <c r="F106" s="4">
        <v>20</v>
      </c>
      <c r="G106" s="4">
        <v>109</v>
      </c>
      <c r="H106" s="4">
        <v>0</v>
      </c>
      <c r="I106" s="4">
        <v>0</v>
      </c>
      <c r="J106" s="4">
        <v>0</v>
      </c>
      <c r="K106" s="4">
        <v>0</v>
      </c>
      <c r="L106" s="4">
        <v>129</v>
      </c>
      <c r="M106" s="6">
        <v>1.625</v>
      </c>
    </row>
    <row r="107" spans="1:13" x14ac:dyDescent="0.25">
      <c r="A107" s="2" t="s">
        <v>74</v>
      </c>
      <c r="B107" s="2" t="s">
        <v>55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6">
        <v>0</v>
      </c>
    </row>
    <row r="108" spans="1:13" x14ac:dyDescent="0.25">
      <c r="A108" s="7" t="s">
        <v>74</v>
      </c>
      <c r="B108" s="7" t="s">
        <v>37</v>
      </c>
      <c r="C108" s="8">
        <v>872</v>
      </c>
      <c r="D108" s="8">
        <v>268</v>
      </c>
      <c r="E108" s="8">
        <v>1494</v>
      </c>
      <c r="F108" s="8">
        <v>1604</v>
      </c>
      <c r="G108" s="8">
        <v>2075</v>
      </c>
      <c r="H108" s="8">
        <v>4393</v>
      </c>
      <c r="I108" s="8">
        <v>6053</v>
      </c>
      <c r="J108" s="8">
        <v>1969</v>
      </c>
      <c r="K108" s="8">
        <v>1370</v>
      </c>
      <c r="L108" s="8">
        <v>20098</v>
      </c>
      <c r="M108" s="9">
        <v>171.89500000000001</v>
      </c>
    </row>
    <row r="109" spans="1:13" x14ac:dyDescent="0.25">
      <c r="A109" s="2" t="s">
        <v>75</v>
      </c>
      <c r="B109" s="2" t="s">
        <v>51</v>
      </c>
      <c r="C109" s="4">
        <v>0</v>
      </c>
      <c r="D109" s="4">
        <v>194</v>
      </c>
      <c r="E109" s="4">
        <v>438</v>
      </c>
      <c r="F109" s="4">
        <v>343</v>
      </c>
      <c r="G109" s="4">
        <v>231</v>
      </c>
      <c r="H109" s="4">
        <v>401</v>
      </c>
      <c r="I109" s="4">
        <v>550</v>
      </c>
      <c r="J109" s="4">
        <v>1614</v>
      </c>
      <c r="K109" s="4">
        <v>1370</v>
      </c>
      <c r="L109" s="4">
        <v>5141</v>
      </c>
      <c r="M109" s="6">
        <v>34.85</v>
      </c>
    </row>
    <row r="110" spans="1:13" x14ac:dyDescent="0.25">
      <c r="A110" s="2" t="s">
        <v>75</v>
      </c>
      <c r="B110" s="2" t="s">
        <v>52</v>
      </c>
      <c r="C110" s="4">
        <v>0</v>
      </c>
      <c r="D110" s="4">
        <v>74</v>
      </c>
      <c r="E110" s="4">
        <v>999</v>
      </c>
      <c r="F110" s="4">
        <v>0</v>
      </c>
      <c r="G110" s="4">
        <v>0</v>
      </c>
      <c r="H110" s="4">
        <v>1233</v>
      </c>
      <c r="I110" s="4">
        <v>1579</v>
      </c>
      <c r="J110" s="4">
        <v>0</v>
      </c>
      <c r="K110" s="4">
        <v>0</v>
      </c>
      <c r="L110" s="4">
        <v>3885</v>
      </c>
      <c r="M110" s="6">
        <v>40.42</v>
      </c>
    </row>
    <row r="111" spans="1:13" x14ac:dyDescent="0.25">
      <c r="A111" s="2" t="s">
        <v>75</v>
      </c>
      <c r="B111" s="2" t="s">
        <v>53</v>
      </c>
      <c r="C111" s="4">
        <v>872</v>
      </c>
      <c r="D111" s="4">
        <v>0</v>
      </c>
      <c r="E111" s="4">
        <v>59</v>
      </c>
      <c r="F111" s="4">
        <v>1235</v>
      </c>
      <c r="G111" s="4">
        <v>1753</v>
      </c>
      <c r="H111" s="4">
        <v>2836</v>
      </c>
      <c r="I111" s="4">
        <v>3997</v>
      </c>
      <c r="J111" s="4">
        <v>0</v>
      </c>
      <c r="K111" s="4">
        <v>0</v>
      </c>
      <c r="L111" s="4">
        <v>10752</v>
      </c>
      <c r="M111" s="6">
        <v>95</v>
      </c>
    </row>
    <row r="112" spans="1:13" x14ac:dyDescent="0.25">
      <c r="A112" s="2" t="s">
        <v>75</v>
      </c>
      <c r="B112" s="2" t="s">
        <v>54</v>
      </c>
      <c r="C112" s="4">
        <v>0</v>
      </c>
      <c r="D112" s="4">
        <v>0</v>
      </c>
      <c r="E112" s="4">
        <v>0</v>
      </c>
      <c r="F112" s="4">
        <v>20</v>
      </c>
      <c r="G112" s="4">
        <v>109</v>
      </c>
      <c r="H112" s="4">
        <v>0</v>
      </c>
      <c r="I112" s="4">
        <v>0</v>
      </c>
      <c r="J112" s="4">
        <v>0</v>
      </c>
      <c r="K112" s="4">
        <v>0</v>
      </c>
      <c r="L112" s="4">
        <v>129</v>
      </c>
      <c r="M112" s="6">
        <v>1.625</v>
      </c>
    </row>
    <row r="113" spans="1:13" x14ac:dyDescent="0.25">
      <c r="A113" s="2" t="s">
        <v>75</v>
      </c>
      <c r="B113" s="2" t="s">
        <v>55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6">
        <v>0</v>
      </c>
    </row>
    <row r="114" spans="1:13" x14ac:dyDescent="0.25">
      <c r="A114" s="7" t="s">
        <v>75</v>
      </c>
      <c r="B114" s="7" t="s">
        <v>37</v>
      </c>
      <c r="C114" s="8">
        <v>872</v>
      </c>
      <c r="D114" s="8">
        <v>268</v>
      </c>
      <c r="E114" s="8">
        <v>1496</v>
      </c>
      <c r="F114" s="8">
        <v>1598</v>
      </c>
      <c r="G114" s="8">
        <v>2093</v>
      </c>
      <c r="H114" s="8">
        <v>4470</v>
      </c>
      <c r="I114" s="8">
        <v>6126</v>
      </c>
      <c r="J114" s="8">
        <v>1614</v>
      </c>
      <c r="K114" s="8">
        <v>1370</v>
      </c>
      <c r="L114" s="8">
        <v>19907</v>
      </c>
      <c r="M114" s="9">
        <v>171.89500000000001</v>
      </c>
    </row>
    <row r="115" spans="1:13" x14ac:dyDescent="0.25">
      <c r="A115" s="2" t="s">
        <v>76</v>
      </c>
      <c r="B115" s="2" t="s">
        <v>51</v>
      </c>
      <c r="C115" s="4">
        <v>0</v>
      </c>
      <c r="D115" s="4">
        <v>218</v>
      </c>
      <c r="E115" s="4">
        <v>398</v>
      </c>
      <c r="F115" s="4">
        <v>325</v>
      </c>
      <c r="G115" s="4">
        <v>214</v>
      </c>
      <c r="H115" s="4">
        <v>547</v>
      </c>
      <c r="I115" s="4">
        <v>543</v>
      </c>
      <c r="J115" s="4">
        <v>1361</v>
      </c>
      <c r="K115" s="4">
        <v>890</v>
      </c>
      <c r="L115" s="4">
        <v>4496</v>
      </c>
      <c r="M115" s="6">
        <v>34.85</v>
      </c>
    </row>
    <row r="116" spans="1:13" x14ac:dyDescent="0.25">
      <c r="A116" s="2" t="s">
        <v>76</v>
      </c>
      <c r="B116" s="2" t="s">
        <v>52</v>
      </c>
      <c r="C116" s="4">
        <v>0</v>
      </c>
      <c r="D116" s="4">
        <v>74</v>
      </c>
      <c r="E116" s="4">
        <v>999</v>
      </c>
      <c r="F116" s="4">
        <v>0</v>
      </c>
      <c r="G116" s="4">
        <v>0</v>
      </c>
      <c r="H116" s="4">
        <v>1233</v>
      </c>
      <c r="I116" s="4">
        <v>1579</v>
      </c>
      <c r="J116" s="4">
        <v>0</v>
      </c>
      <c r="K116" s="4">
        <v>0</v>
      </c>
      <c r="L116" s="4">
        <v>3885</v>
      </c>
      <c r="M116" s="6">
        <v>40.42</v>
      </c>
    </row>
    <row r="117" spans="1:13" x14ac:dyDescent="0.25">
      <c r="A117" s="2" t="s">
        <v>76</v>
      </c>
      <c r="B117" s="2" t="s">
        <v>53</v>
      </c>
      <c r="C117" s="4">
        <v>872</v>
      </c>
      <c r="D117" s="4">
        <v>0</v>
      </c>
      <c r="E117" s="4">
        <v>56</v>
      </c>
      <c r="F117" s="4">
        <v>1241</v>
      </c>
      <c r="G117" s="4">
        <v>1735</v>
      </c>
      <c r="H117" s="4">
        <v>2836</v>
      </c>
      <c r="I117" s="4">
        <v>4025</v>
      </c>
      <c r="J117" s="4">
        <v>0</v>
      </c>
      <c r="K117" s="4">
        <v>0</v>
      </c>
      <c r="L117" s="4">
        <v>10765</v>
      </c>
      <c r="M117" s="6">
        <v>95</v>
      </c>
    </row>
    <row r="118" spans="1:13" x14ac:dyDescent="0.25">
      <c r="A118" s="2" t="s">
        <v>76</v>
      </c>
      <c r="B118" s="2" t="s">
        <v>54</v>
      </c>
      <c r="C118" s="4">
        <v>0</v>
      </c>
      <c r="D118" s="4">
        <v>0</v>
      </c>
      <c r="E118" s="4">
        <v>0</v>
      </c>
      <c r="F118" s="4">
        <v>20</v>
      </c>
      <c r="G118" s="4">
        <v>109</v>
      </c>
      <c r="H118" s="4">
        <v>0</v>
      </c>
      <c r="I118" s="4">
        <v>0</v>
      </c>
      <c r="J118" s="4">
        <v>0</v>
      </c>
      <c r="K118" s="4">
        <v>0</v>
      </c>
      <c r="L118" s="4">
        <v>129</v>
      </c>
      <c r="M118" s="6">
        <v>1.625</v>
      </c>
    </row>
    <row r="119" spans="1:13" x14ac:dyDescent="0.25">
      <c r="A119" s="2" t="s">
        <v>76</v>
      </c>
      <c r="B119" s="2" t="s">
        <v>55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6">
        <v>0</v>
      </c>
    </row>
    <row r="120" spans="1:13" x14ac:dyDescent="0.25">
      <c r="A120" s="7" t="s">
        <v>76</v>
      </c>
      <c r="B120" s="7" t="s">
        <v>37</v>
      </c>
      <c r="C120" s="8">
        <v>872</v>
      </c>
      <c r="D120" s="8">
        <v>292</v>
      </c>
      <c r="E120" s="8">
        <v>1453</v>
      </c>
      <c r="F120" s="8">
        <v>1586</v>
      </c>
      <c r="G120" s="8">
        <v>2058</v>
      </c>
      <c r="H120" s="8">
        <v>4616</v>
      </c>
      <c r="I120" s="8">
        <v>6147</v>
      </c>
      <c r="J120" s="8">
        <v>1361</v>
      </c>
      <c r="K120" s="8">
        <v>890</v>
      </c>
      <c r="L120" s="8">
        <v>19275</v>
      </c>
      <c r="M120" s="9">
        <v>171.89500000000001</v>
      </c>
    </row>
    <row r="121" spans="1:13" x14ac:dyDescent="0.25">
      <c r="A121" s="2" t="s">
        <v>77</v>
      </c>
      <c r="B121" s="2" t="s">
        <v>51</v>
      </c>
      <c r="C121" s="4">
        <v>0</v>
      </c>
      <c r="D121" s="4">
        <v>218</v>
      </c>
      <c r="E121" s="4">
        <v>398</v>
      </c>
      <c r="F121" s="4">
        <v>325</v>
      </c>
      <c r="G121" s="4">
        <v>214</v>
      </c>
      <c r="H121" s="4">
        <v>547</v>
      </c>
      <c r="I121" s="4">
        <v>543</v>
      </c>
      <c r="J121" s="4">
        <v>1361</v>
      </c>
      <c r="K121" s="4">
        <v>890</v>
      </c>
      <c r="L121" s="4">
        <v>4496</v>
      </c>
      <c r="M121" s="6">
        <v>34.85</v>
      </c>
    </row>
    <row r="122" spans="1:13" x14ac:dyDescent="0.25">
      <c r="A122" s="2" t="s">
        <v>77</v>
      </c>
      <c r="B122" s="2" t="s">
        <v>52</v>
      </c>
      <c r="C122" s="4">
        <v>0</v>
      </c>
      <c r="D122" s="4">
        <v>74</v>
      </c>
      <c r="E122" s="4">
        <v>999</v>
      </c>
      <c r="F122" s="4">
        <v>0</v>
      </c>
      <c r="G122" s="4">
        <v>0</v>
      </c>
      <c r="H122" s="4">
        <v>1233</v>
      </c>
      <c r="I122" s="4">
        <v>1579</v>
      </c>
      <c r="J122" s="4">
        <v>0</v>
      </c>
      <c r="K122" s="4">
        <v>0</v>
      </c>
      <c r="L122" s="4">
        <v>3885</v>
      </c>
      <c r="M122" s="6">
        <v>40.42</v>
      </c>
    </row>
    <row r="123" spans="1:13" x14ac:dyDescent="0.25">
      <c r="A123" s="2" t="s">
        <v>77</v>
      </c>
      <c r="B123" s="2" t="s">
        <v>53</v>
      </c>
      <c r="C123" s="4">
        <v>872</v>
      </c>
      <c r="D123" s="4">
        <v>0</v>
      </c>
      <c r="E123" s="4">
        <v>59</v>
      </c>
      <c r="F123" s="4">
        <v>1235</v>
      </c>
      <c r="G123" s="4">
        <v>1753</v>
      </c>
      <c r="H123" s="4">
        <v>2836</v>
      </c>
      <c r="I123" s="4">
        <v>3997</v>
      </c>
      <c r="J123" s="4">
        <v>0</v>
      </c>
      <c r="K123" s="4">
        <v>0</v>
      </c>
      <c r="L123" s="4">
        <v>10752</v>
      </c>
      <c r="M123" s="6">
        <v>95</v>
      </c>
    </row>
    <row r="124" spans="1:13" x14ac:dyDescent="0.25">
      <c r="A124" s="2" t="s">
        <v>77</v>
      </c>
      <c r="B124" s="2" t="s">
        <v>54</v>
      </c>
      <c r="C124" s="4">
        <v>0</v>
      </c>
      <c r="D124" s="4">
        <v>0</v>
      </c>
      <c r="E124" s="4">
        <v>0</v>
      </c>
      <c r="F124" s="4">
        <v>20</v>
      </c>
      <c r="G124" s="4">
        <v>109</v>
      </c>
      <c r="H124" s="4">
        <v>0</v>
      </c>
      <c r="I124" s="4">
        <v>0</v>
      </c>
      <c r="J124" s="4">
        <v>0</v>
      </c>
      <c r="K124" s="4">
        <v>0</v>
      </c>
      <c r="L124" s="4">
        <v>129</v>
      </c>
      <c r="M124" s="6">
        <v>1.625</v>
      </c>
    </row>
    <row r="125" spans="1:13" x14ac:dyDescent="0.25">
      <c r="A125" s="2" t="s">
        <v>77</v>
      </c>
      <c r="B125" s="2" t="s">
        <v>55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6">
        <v>0</v>
      </c>
    </row>
    <row r="126" spans="1:13" x14ac:dyDescent="0.25">
      <c r="A126" s="7" t="s">
        <v>77</v>
      </c>
      <c r="B126" s="7" t="s">
        <v>37</v>
      </c>
      <c r="C126" s="8">
        <v>872</v>
      </c>
      <c r="D126" s="8">
        <v>292</v>
      </c>
      <c r="E126" s="8">
        <v>1456</v>
      </c>
      <c r="F126" s="8">
        <v>1580</v>
      </c>
      <c r="G126" s="8">
        <v>2076</v>
      </c>
      <c r="H126" s="8">
        <v>4616</v>
      </c>
      <c r="I126" s="8">
        <v>6119</v>
      </c>
      <c r="J126" s="8">
        <v>1361</v>
      </c>
      <c r="K126" s="8">
        <v>890</v>
      </c>
      <c r="L126" s="8">
        <v>19262</v>
      </c>
      <c r="M126" s="9">
        <v>171.89500000000001</v>
      </c>
    </row>
    <row r="127" spans="1:13" x14ac:dyDescent="0.25">
      <c r="A127" s="2" t="s">
        <v>78</v>
      </c>
      <c r="B127" s="2" t="s">
        <v>51</v>
      </c>
      <c r="C127" s="4">
        <v>0</v>
      </c>
      <c r="D127" s="4">
        <v>218</v>
      </c>
      <c r="E127" s="4">
        <v>398</v>
      </c>
      <c r="F127" s="4">
        <v>325</v>
      </c>
      <c r="G127" s="4">
        <v>214</v>
      </c>
      <c r="H127" s="4">
        <v>547</v>
      </c>
      <c r="I127" s="4">
        <v>543</v>
      </c>
      <c r="J127" s="4">
        <v>1361</v>
      </c>
      <c r="K127" s="4">
        <v>890</v>
      </c>
      <c r="L127" s="4">
        <v>4496</v>
      </c>
      <c r="M127" s="6">
        <v>34.85</v>
      </c>
    </row>
    <row r="128" spans="1:13" x14ac:dyDescent="0.25">
      <c r="A128" s="2" t="s">
        <v>78</v>
      </c>
      <c r="B128" s="2" t="s">
        <v>52</v>
      </c>
      <c r="C128" s="4">
        <v>0</v>
      </c>
      <c r="D128" s="4">
        <v>74</v>
      </c>
      <c r="E128" s="4">
        <v>999</v>
      </c>
      <c r="F128" s="4">
        <v>0</v>
      </c>
      <c r="G128" s="4">
        <v>0</v>
      </c>
      <c r="H128" s="4">
        <v>1233</v>
      </c>
      <c r="I128" s="4">
        <v>1579</v>
      </c>
      <c r="J128" s="4">
        <v>0</v>
      </c>
      <c r="K128" s="4">
        <v>0</v>
      </c>
      <c r="L128" s="4">
        <v>3885</v>
      </c>
      <c r="M128" s="6">
        <v>40.42</v>
      </c>
    </row>
    <row r="129" spans="1:13" x14ac:dyDescent="0.25">
      <c r="A129" s="2" t="s">
        <v>78</v>
      </c>
      <c r="B129" s="2" t="s">
        <v>53</v>
      </c>
      <c r="C129" s="4">
        <v>872</v>
      </c>
      <c r="D129" s="4">
        <v>0</v>
      </c>
      <c r="E129" s="4">
        <v>56</v>
      </c>
      <c r="F129" s="4">
        <v>1241</v>
      </c>
      <c r="G129" s="4">
        <v>1735</v>
      </c>
      <c r="H129" s="4">
        <v>2836</v>
      </c>
      <c r="I129" s="4">
        <v>4025</v>
      </c>
      <c r="J129" s="4">
        <v>0</v>
      </c>
      <c r="K129" s="4">
        <v>0</v>
      </c>
      <c r="L129" s="4">
        <v>10765</v>
      </c>
      <c r="M129" s="6">
        <v>95</v>
      </c>
    </row>
    <row r="130" spans="1:13" x14ac:dyDescent="0.25">
      <c r="A130" s="2" t="s">
        <v>78</v>
      </c>
      <c r="B130" s="2" t="s">
        <v>54</v>
      </c>
      <c r="C130" s="4">
        <v>0</v>
      </c>
      <c r="D130" s="4">
        <v>0</v>
      </c>
      <c r="E130" s="4">
        <v>0</v>
      </c>
      <c r="F130" s="4">
        <v>20</v>
      </c>
      <c r="G130" s="4">
        <v>109</v>
      </c>
      <c r="H130" s="4">
        <v>0</v>
      </c>
      <c r="I130" s="4">
        <v>0</v>
      </c>
      <c r="J130" s="4">
        <v>0</v>
      </c>
      <c r="K130" s="4">
        <v>0</v>
      </c>
      <c r="L130" s="4">
        <v>129</v>
      </c>
      <c r="M130" s="6">
        <v>1.625</v>
      </c>
    </row>
    <row r="131" spans="1:13" x14ac:dyDescent="0.25">
      <c r="A131" s="2" t="s">
        <v>78</v>
      </c>
      <c r="B131" s="2" t="s">
        <v>55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6">
        <v>0</v>
      </c>
    </row>
    <row r="132" spans="1:13" x14ac:dyDescent="0.25">
      <c r="A132" s="7" t="s">
        <v>78</v>
      </c>
      <c r="B132" s="7" t="s">
        <v>37</v>
      </c>
      <c r="C132" s="8">
        <v>872</v>
      </c>
      <c r="D132" s="8">
        <v>292</v>
      </c>
      <c r="E132" s="8">
        <v>1453</v>
      </c>
      <c r="F132" s="8">
        <v>1586</v>
      </c>
      <c r="G132" s="8">
        <v>2058</v>
      </c>
      <c r="H132" s="8">
        <v>4616</v>
      </c>
      <c r="I132" s="8">
        <v>6147</v>
      </c>
      <c r="J132" s="8">
        <v>1361</v>
      </c>
      <c r="K132" s="8">
        <v>890</v>
      </c>
      <c r="L132" s="8">
        <v>19275</v>
      </c>
      <c r="M132" s="9">
        <v>171.89500000000001</v>
      </c>
    </row>
    <row r="133" spans="1:13" x14ac:dyDescent="0.25">
      <c r="A133" s="2" t="s">
        <v>79</v>
      </c>
      <c r="B133" s="2" t="s">
        <v>51</v>
      </c>
      <c r="C133" s="4">
        <v>0</v>
      </c>
      <c r="D133" s="4">
        <v>218</v>
      </c>
      <c r="E133" s="4">
        <v>398</v>
      </c>
      <c r="F133" s="4">
        <v>325</v>
      </c>
      <c r="G133" s="4">
        <v>214</v>
      </c>
      <c r="H133" s="4">
        <v>547</v>
      </c>
      <c r="I133" s="4">
        <v>543</v>
      </c>
      <c r="J133" s="4">
        <v>1361</v>
      </c>
      <c r="K133" s="4">
        <v>890</v>
      </c>
      <c r="L133" s="4">
        <v>4496</v>
      </c>
      <c r="M133" s="6">
        <v>34.85</v>
      </c>
    </row>
    <row r="134" spans="1:13" x14ac:dyDescent="0.25">
      <c r="A134" s="2" t="s">
        <v>79</v>
      </c>
      <c r="B134" s="2" t="s">
        <v>52</v>
      </c>
      <c r="C134" s="4">
        <v>0</v>
      </c>
      <c r="D134" s="4">
        <v>74</v>
      </c>
      <c r="E134" s="4">
        <v>999</v>
      </c>
      <c r="F134" s="4">
        <v>0</v>
      </c>
      <c r="G134" s="4">
        <v>0</v>
      </c>
      <c r="H134" s="4">
        <v>1233</v>
      </c>
      <c r="I134" s="4">
        <v>1579</v>
      </c>
      <c r="J134" s="4">
        <v>0</v>
      </c>
      <c r="K134" s="4">
        <v>0</v>
      </c>
      <c r="L134" s="4">
        <v>3885</v>
      </c>
      <c r="M134" s="6">
        <v>40.42</v>
      </c>
    </row>
    <row r="135" spans="1:13" x14ac:dyDescent="0.25">
      <c r="A135" s="2" t="s">
        <v>79</v>
      </c>
      <c r="B135" s="2" t="s">
        <v>53</v>
      </c>
      <c r="C135" s="4">
        <v>872</v>
      </c>
      <c r="D135" s="4">
        <v>0</v>
      </c>
      <c r="E135" s="4">
        <v>59</v>
      </c>
      <c r="F135" s="4">
        <v>1235</v>
      </c>
      <c r="G135" s="4">
        <v>1753</v>
      </c>
      <c r="H135" s="4">
        <v>2836</v>
      </c>
      <c r="I135" s="4">
        <v>3997</v>
      </c>
      <c r="J135" s="4">
        <v>0</v>
      </c>
      <c r="K135" s="4">
        <v>0</v>
      </c>
      <c r="L135" s="4">
        <v>10752</v>
      </c>
      <c r="M135" s="6">
        <v>95</v>
      </c>
    </row>
    <row r="136" spans="1:13" x14ac:dyDescent="0.25">
      <c r="A136" s="2" t="s">
        <v>79</v>
      </c>
      <c r="B136" s="2" t="s">
        <v>54</v>
      </c>
      <c r="C136" s="4">
        <v>0</v>
      </c>
      <c r="D136" s="4">
        <v>0</v>
      </c>
      <c r="E136" s="4">
        <v>0</v>
      </c>
      <c r="F136" s="4">
        <v>20</v>
      </c>
      <c r="G136" s="4">
        <v>109</v>
      </c>
      <c r="H136" s="4">
        <v>0</v>
      </c>
      <c r="I136" s="4">
        <v>0</v>
      </c>
      <c r="J136" s="4">
        <v>0</v>
      </c>
      <c r="K136" s="4">
        <v>0</v>
      </c>
      <c r="L136" s="4">
        <v>129</v>
      </c>
      <c r="M136" s="6">
        <v>1.625</v>
      </c>
    </row>
    <row r="137" spans="1:13" x14ac:dyDescent="0.25">
      <c r="A137" s="2" t="s">
        <v>79</v>
      </c>
      <c r="B137" s="2" t="s">
        <v>55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6">
        <v>0</v>
      </c>
    </row>
    <row r="138" spans="1:13" x14ac:dyDescent="0.25">
      <c r="A138" s="7" t="s">
        <v>79</v>
      </c>
      <c r="B138" s="7" t="s">
        <v>37</v>
      </c>
      <c r="C138" s="8">
        <v>872</v>
      </c>
      <c r="D138" s="8">
        <v>292</v>
      </c>
      <c r="E138" s="8">
        <v>1456</v>
      </c>
      <c r="F138" s="8">
        <v>1580</v>
      </c>
      <c r="G138" s="8">
        <v>2076</v>
      </c>
      <c r="H138" s="8">
        <v>4616</v>
      </c>
      <c r="I138" s="8">
        <v>6119</v>
      </c>
      <c r="J138" s="8">
        <v>1361</v>
      </c>
      <c r="K138" s="8">
        <v>890</v>
      </c>
      <c r="L138" s="8">
        <v>19262</v>
      </c>
      <c r="M138" s="9">
        <v>171.89500000000001</v>
      </c>
    </row>
    <row r="139" spans="1:13" x14ac:dyDescent="0.25">
      <c r="A139" s="2" t="s">
        <v>80</v>
      </c>
      <c r="B139" s="2" t="s">
        <v>51</v>
      </c>
      <c r="C139" s="4">
        <v>0</v>
      </c>
      <c r="D139" s="4">
        <v>218</v>
      </c>
      <c r="E139" s="4">
        <v>398</v>
      </c>
      <c r="F139" s="4">
        <v>325</v>
      </c>
      <c r="G139" s="4">
        <v>214</v>
      </c>
      <c r="H139" s="4">
        <v>547</v>
      </c>
      <c r="I139" s="4">
        <v>543</v>
      </c>
      <c r="J139" s="4">
        <v>1361</v>
      </c>
      <c r="K139" s="4">
        <v>890</v>
      </c>
      <c r="L139" s="4">
        <v>4496</v>
      </c>
      <c r="M139" s="6">
        <v>34.85</v>
      </c>
    </row>
    <row r="140" spans="1:13" x14ac:dyDescent="0.25">
      <c r="A140" s="2" t="s">
        <v>80</v>
      </c>
      <c r="B140" s="2" t="s">
        <v>52</v>
      </c>
      <c r="C140" s="4">
        <v>0</v>
      </c>
      <c r="D140" s="4">
        <v>74</v>
      </c>
      <c r="E140" s="4">
        <v>999</v>
      </c>
      <c r="F140" s="4">
        <v>0</v>
      </c>
      <c r="G140" s="4">
        <v>0</v>
      </c>
      <c r="H140" s="4">
        <v>1233</v>
      </c>
      <c r="I140" s="4">
        <v>1579</v>
      </c>
      <c r="J140" s="4">
        <v>0</v>
      </c>
      <c r="K140" s="4">
        <v>0</v>
      </c>
      <c r="L140" s="4">
        <v>3885</v>
      </c>
      <c r="M140" s="6">
        <v>40.42</v>
      </c>
    </row>
    <row r="141" spans="1:13" x14ac:dyDescent="0.25">
      <c r="A141" s="2" t="s">
        <v>80</v>
      </c>
      <c r="B141" s="2" t="s">
        <v>53</v>
      </c>
      <c r="C141" s="4">
        <v>872</v>
      </c>
      <c r="D141" s="4">
        <v>0</v>
      </c>
      <c r="E141" s="4">
        <v>56</v>
      </c>
      <c r="F141" s="4">
        <v>1241</v>
      </c>
      <c r="G141" s="4">
        <v>1735</v>
      </c>
      <c r="H141" s="4">
        <v>2836</v>
      </c>
      <c r="I141" s="4">
        <v>4025</v>
      </c>
      <c r="J141" s="4">
        <v>0</v>
      </c>
      <c r="K141" s="4">
        <v>0</v>
      </c>
      <c r="L141" s="4">
        <v>10765</v>
      </c>
      <c r="M141" s="6">
        <v>95</v>
      </c>
    </row>
    <row r="142" spans="1:13" x14ac:dyDescent="0.25">
      <c r="A142" s="2" t="s">
        <v>80</v>
      </c>
      <c r="B142" s="2" t="s">
        <v>54</v>
      </c>
      <c r="C142" s="4">
        <v>0</v>
      </c>
      <c r="D142" s="4">
        <v>0</v>
      </c>
      <c r="E142" s="4">
        <v>0</v>
      </c>
      <c r="F142" s="4">
        <v>20</v>
      </c>
      <c r="G142" s="4">
        <v>109</v>
      </c>
      <c r="H142" s="4">
        <v>0</v>
      </c>
      <c r="I142" s="4">
        <v>0</v>
      </c>
      <c r="J142" s="4">
        <v>0</v>
      </c>
      <c r="K142" s="4">
        <v>0</v>
      </c>
      <c r="L142" s="4">
        <v>129</v>
      </c>
      <c r="M142" s="6">
        <v>1.625</v>
      </c>
    </row>
    <row r="143" spans="1:13" x14ac:dyDescent="0.25">
      <c r="A143" s="2" t="s">
        <v>80</v>
      </c>
      <c r="B143" s="2" t="s">
        <v>55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6">
        <v>0</v>
      </c>
    </row>
    <row r="144" spans="1:13" x14ac:dyDescent="0.25">
      <c r="A144" s="7" t="s">
        <v>80</v>
      </c>
      <c r="B144" s="7" t="s">
        <v>37</v>
      </c>
      <c r="C144" s="8">
        <v>872</v>
      </c>
      <c r="D144" s="8">
        <v>292</v>
      </c>
      <c r="E144" s="8">
        <v>1453</v>
      </c>
      <c r="F144" s="8">
        <v>1586</v>
      </c>
      <c r="G144" s="8">
        <v>2058</v>
      </c>
      <c r="H144" s="8">
        <v>4616</v>
      </c>
      <c r="I144" s="8">
        <v>6147</v>
      </c>
      <c r="J144" s="8">
        <v>1361</v>
      </c>
      <c r="K144" s="8">
        <v>890</v>
      </c>
      <c r="L144" s="8">
        <v>19275</v>
      </c>
      <c r="M144" s="9">
        <v>171.89500000000001</v>
      </c>
    </row>
    <row r="145" spans="1:13" x14ac:dyDescent="0.25">
      <c r="A145" s="2" t="s">
        <v>81</v>
      </c>
      <c r="B145" s="2" t="s">
        <v>51</v>
      </c>
      <c r="C145" s="4">
        <v>0</v>
      </c>
      <c r="D145" s="4">
        <v>280</v>
      </c>
      <c r="E145" s="4">
        <v>464</v>
      </c>
      <c r="F145" s="4">
        <v>243</v>
      </c>
      <c r="G145" s="4">
        <v>60</v>
      </c>
      <c r="H145" s="4">
        <v>563</v>
      </c>
      <c r="I145" s="4">
        <v>1111</v>
      </c>
      <c r="J145" s="4">
        <v>761</v>
      </c>
      <c r="K145" s="4">
        <v>0</v>
      </c>
      <c r="L145" s="4">
        <v>3482</v>
      </c>
      <c r="M145" s="6">
        <v>34.85</v>
      </c>
    </row>
    <row r="146" spans="1:13" x14ac:dyDescent="0.25">
      <c r="A146" s="2" t="s">
        <v>81</v>
      </c>
      <c r="B146" s="2" t="s">
        <v>52</v>
      </c>
      <c r="C146" s="4">
        <v>0</v>
      </c>
      <c r="D146" s="4">
        <v>74</v>
      </c>
      <c r="E146" s="4">
        <v>999</v>
      </c>
      <c r="F146" s="4">
        <v>0</v>
      </c>
      <c r="G146" s="4">
        <v>0</v>
      </c>
      <c r="H146" s="4">
        <v>1233</v>
      </c>
      <c r="I146" s="4">
        <v>1579</v>
      </c>
      <c r="J146" s="4">
        <v>0</v>
      </c>
      <c r="K146" s="4">
        <v>0</v>
      </c>
      <c r="L146" s="4">
        <v>3885</v>
      </c>
      <c r="M146" s="6">
        <v>40.42</v>
      </c>
    </row>
    <row r="147" spans="1:13" x14ac:dyDescent="0.25">
      <c r="A147" s="2" t="s">
        <v>81</v>
      </c>
      <c r="B147" s="2" t="s">
        <v>53</v>
      </c>
      <c r="C147" s="4">
        <v>872</v>
      </c>
      <c r="D147" s="4">
        <v>0</v>
      </c>
      <c r="E147" s="4">
        <v>59</v>
      </c>
      <c r="F147" s="4">
        <v>1235</v>
      </c>
      <c r="G147" s="4">
        <v>1753</v>
      </c>
      <c r="H147" s="4">
        <v>2836</v>
      </c>
      <c r="I147" s="4">
        <v>3997</v>
      </c>
      <c r="J147" s="4">
        <v>0</v>
      </c>
      <c r="K147" s="4">
        <v>0</v>
      </c>
      <c r="L147" s="4">
        <v>10752</v>
      </c>
      <c r="M147" s="6">
        <v>95</v>
      </c>
    </row>
    <row r="148" spans="1:13" x14ac:dyDescent="0.25">
      <c r="A148" s="2" t="s">
        <v>81</v>
      </c>
      <c r="B148" s="2" t="s">
        <v>54</v>
      </c>
      <c r="C148" s="4">
        <v>0</v>
      </c>
      <c r="D148" s="4">
        <v>0</v>
      </c>
      <c r="E148" s="4">
        <v>0</v>
      </c>
      <c r="F148" s="4">
        <v>20</v>
      </c>
      <c r="G148" s="4">
        <v>109</v>
      </c>
      <c r="H148" s="4">
        <v>0</v>
      </c>
      <c r="I148" s="4">
        <v>0</v>
      </c>
      <c r="J148" s="4">
        <v>0</v>
      </c>
      <c r="K148" s="4">
        <v>0</v>
      </c>
      <c r="L148" s="4">
        <v>129</v>
      </c>
      <c r="M148" s="6">
        <v>1.625</v>
      </c>
    </row>
    <row r="149" spans="1:13" x14ac:dyDescent="0.25">
      <c r="A149" s="2" t="s">
        <v>81</v>
      </c>
      <c r="B149" s="2" t="s">
        <v>55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6">
        <v>0</v>
      </c>
    </row>
    <row r="150" spans="1:13" x14ac:dyDescent="0.25">
      <c r="A150" s="7" t="s">
        <v>81</v>
      </c>
      <c r="B150" s="7" t="s">
        <v>37</v>
      </c>
      <c r="C150" s="8">
        <v>872</v>
      </c>
      <c r="D150" s="8">
        <v>354</v>
      </c>
      <c r="E150" s="8">
        <v>1522</v>
      </c>
      <c r="F150" s="8">
        <v>1498</v>
      </c>
      <c r="G150" s="8">
        <v>1922</v>
      </c>
      <c r="H150" s="8">
        <v>4632</v>
      </c>
      <c r="I150" s="8">
        <v>6687</v>
      </c>
      <c r="J150" s="8">
        <v>761</v>
      </c>
      <c r="K150" s="8">
        <v>0</v>
      </c>
      <c r="L150" s="8">
        <v>18248</v>
      </c>
      <c r="M150" s="9">
        <v>171.89500000000001</v>
      </c>
    </row>
    <row r="151" spans="1:13" x14ac:dyDescent="0.25">
      <c r="A151" s="2" t="s">
        <v>82</v>
      </c>
      <c r="B151" s="2" t="s">
        <v>51</v>
      </c>
      <c r="C151" s="4">
        <v>0</v>
      </c>
      <c r="D151" s="4">
        <v>280</v>
      </c>
      <c r="E151" s="4">
        <v>464</v>
      </c>
      <c r="F151" s="4">
        <v>243</v>
      </c>
      <c r="G151" s="4">
        <v>60</v>
      </c>
      <c r="H151" s="4">
        <v>563</v>
      </c>
      <c r="I151" s="4">
        <v>1111</v>
      </c>
      <c r="J151" s="4">
        <v>761</v>
      </c>
      <c r="K151" s="4">
        <v>0</v>
      </c>
      <c r="L151" s="4">
        <v>3482</v>
      </c>
      <c r="M151" s="6">
        <v>34.85</v>
      </c>
    </row>
    <row r="152" spans="1:13" x14ac:dyDescent="0.25">
      <c r="A152" s="2" t="s">
        <v>82</v>
      </c>
      <c r="B152" s="2" t="s">
        <v>52</v>
      </c>
      <c r="C152" s="4">
        <v>0</v>
      </c>
      <c r="D152" s="4">
        <v>74</v>
      </c>
      <c r="E152" s="4">
        <v>999</v>
      </c>
      <c r="F152" s="4">
        <v>0</v>
      </c>
      <c r="G152" s="4">
        <v>0</v>
      </c>
      <c r="H152" s="4">
        <v>1233</v>
      </c>
      <c r="I152" s="4">
        <v>1579</v>
      </c>
      <c r="J152" s="4">
        <v>0</v>
      </c>
      <c r="K152" s="4">
        <v>0</v>
      </c>
      <c r="L152" s="4">
        <v>3885</v>
      </c>
      <c r="M152" s="6">
        <v>40.42</v>
      </c>
    </row>
    <row r="153" spans="1:13" x14ac:dyDescent="0.25">
      <c r="A153" s="2" t="s">
        <v>82</v>
      </c>
      <c r="B153" s="2" t="s">
        <v>53</v>
      </c>
      <c r="C153" s="4">
        <v>872</v>
      </c>
      <c r="D153" s="4">
        <v>0</v>
      </c>
      <c r="E153" s="4">
        <v>56</v>
      </c>
      <c r="F153" s="4">
        <v>1241</v>
      </c>
      <c r="G153" s="4">
        <v>1735</v>
      </c>
      <c r="H153" s="4">
        <v>2836</v>
      </c>
      <c r="I153" s="4">
        <v>4025</v>
      </c>
      <c r="J153" s="4">
        <v>0</v>
      </c>
      <c r="K153" s="4">
        <v>0</v>
      </c>
      <c r="L153" s="4">
        <v>10765</v>
      </c>
      <c r="M153" s="6">
        <v>95</v>
      </c>
    </row>
    <row r="154" spans="1:13" x14ac:dyDescent="0.25">
      <c r="A154" s="2" t="s">
        <v>82</v>
      </c>
      <c r="B154" s="2" t="s">
        <v>54</v>
      </c>
      <c r="C154" s="4">
        <v>0</v>
      </c>
      <c r="D154" s="4">
        <v>0</v>
      </c>
      <c r="E154" s="4">
        <v>0</v>
      </c>
      <c r="F154" s="4">
        <v>20</v>
      </c>
      <c r="G154" s="4">
        <v>109</v>
      </c>
      <c r="H154" s="4">
        <v>0</v>
      </c>
      <c r="I154" s="4">
        <v>0</v>
      </c>
      <c r="J154" s="4">
        <v>0</v>
      </c>
      <c r="K154" s="4">
        <v>0</v>
      </c>
      <c r="L154" s="4">
        <v>129</v>
      </c>
      <c r="M154" s="6">
        <v>1.625</v>
      </c>
    </row>
    <row r="155" spans="1:13" x14ac:dyDescent="0.25">
      <c r="A155" s="2" t="s">
        <v>82</v>
      </c>
      <c r="B155" s="2" t="s">
        <v>55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6">
        <v>0</v>
      </c>
    </row>
    <row r="156" spans="1:13" x14ac:dyDescent="0.25">
      <c r="A156" s="7" t="s">
        <v>82</v>
      </c>
      <c r="B156" s="7" t="s">
        <v>37</v>
      </c>
      <c r="C156" s="8">
        <v>872</v>
      </c>
      <c r="D156" s="8">
        <v>354</v>
      </c>
      <c r="E156" s="8">
        <v>1519</v>
      </c>
      <c r="F156" s="8">
        <v>1504</v>
      </c>
      <c r="G156" s="8">
        <v>1904</v>
      </c>
      <c r="H156" s="8">
        <v>4632</v>
      </c>
      <c r="I156" s="8">
        <v>6715</v>
      </c>
      <c r="J156" s="8">
        <v>761</v>
      </c>
      <c r="K156" s="8">
        <v>0</v>
      </c>
      <c r="L156" s="8">
        <v>18261</v>
      </c>
      <c r="M156" s="9">
        <v>171.89500000000001</v>
      </c>
    </row>
    <row r="157" spans="1:13" x14ac:dyDescent="0.25">
      <c r="A157" s="2" t="s">
        <v>83</v>
      </c>
      <c r="B157" s="2" t="s">
        <v>51</v>
      </c>
      <c r="C157" s="4">
        <v>0</v>
      </c>
      <c r="D157" s="4">
        <v>280</v>
      </c>
      <c r="E157" s="4">
        <v>464</v>
      </c>
      <c r="F157" s="4">
        <v>243</v>
      </c>
      <c r="G157" s="4">
        <v>60</v>
      </c>
      <c r="H157" s="4">
        <v>563</v>
      </c>
      <c r="I157" s="4">
        <v>1111</v>
      </c>
      <c r="J157" s="4">
        <v>761</v>
      </c>
      <c r="K157" s="4">
        <v>0</v>
      </c>
      <c r="L157" s="4">
        <v>3482</v>
      </c>
      <c r="M157" s="6">
        <v>34.85</v>
      </c>
    </row>
    <row r="158" spans="1:13" x14ac:dyDescent="0.25">
      <c r="A158" s="2" t="s">
        <v>83</v>
      </c>
      <c r="B158" s="2" t="s">
        <v>52</v>
      </c>
      <c r="C158" s="4">
        <v>0</v>
      </c>
      <c r="D158" s="4">
        <v>74</v>
      </c>
      <c r="E158" s="4">
        <v>999</v>
      </c>
      <c r="F158" s="4">
        <v>0</v>
      </c>
      <c r="G158" s="4">
        <v>0</v>
      </c>
      <c r="H158" s="4">
        <v>1233</v>
      </c>
      <c r="I158" s="4">
        <v>1579</v>
      </c>
      <c r="J158" s="4">
        <v>0</v>
      </c>
      <c r="K158" s="4">
        <v>0</v>
      </c>
      <c r="L158" s="4">
        <v>3885</v>
      </c>
      <c r="M158" s="6">
        <v>40.42</v>
      </c>
    </row>
    <row r="159" spans="1:13" x14ac:dyDescent="0.25">
      <c r="A159" s="2" t="s">
        <v>83</v>
      </c>
      <c r="B159" s="2" t="s">
        <v>53</v>
      </c>
      <c r="C159" s="4">
        <v>872</v>
      </c>
      <c r="D159" s="4">
        <v>0</v>
      </c>
      <c r="E159" s="4">
        <v>56</v>
      </c>
      <c r="F159" s="4">
        <v>1241</v>
      </c>
      <c r="G159" s="4">
        <v>1735</v>
      </c>
      <c r="H159" s="4">
        <v>2836</v>
      </c>
      <c r="I159" s="4">
        <v>4025</v>
      </c>
      <c r="J159" s="4">
        <v>0</v>
      </c>
      <c r="K159" s="4">
        <v>0</v>
      </c>
      <c r="L159" s="4">
        <v>10765</v>
      </c>
      <c r="M159" s="6">
        <v>95</v>
      </c>
    </row>
    <row r="160" spans="1:13" x14ac:dyDescent="0.25">
      <c r="A160" s="2" t="s">
        <v>83</v>
      </c>
      <c r="B160" s="2" t="s">
        <v>54</v>
      </c>
      <c r="C160" s="4">
        <v>0</v>
      </c>
      <c r="D160" s="4">
        <v>0</v>
      </c>
      <c r="E160" s="4">
        <v>0</v>
      </c>
      <c r="F160" s="4">
        <v>20</v>
      </c>
      <c r="G160" s="4">
        <v>109</v>
      </c>
      <c r="H160" s="4">
        <v>0</v>
      </c>
      <c r="I160" s="4">
        <v>0</v>
      </c>
      <c r="J160" s="4">
        <v>0</v>
      </c>
      <c r="K160" s="4">
        <v>0</v>
      </c>
      <c r="L160" s="4">
        <v>129</v>
      </c>
      <c r="M160" s="6">
        <v>1.625</v>
      </c>
    </row>
    <row r="161" spans="1:13" x14ac:dyDescent="0.25">
      <c r="A161" s="2" t="s">
        <v>83</v>
      </c>
      <c r="B161" s="2" t="s">
        <v>55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6">
        <v>0</v>
      </c>
    </row>
    <row r="162" spans="1:13" x14ac:dyDescent="0.25">
      <c r="A162" s="7" t="s">
        <v>83</v>
      </c>
      <c r="B162" s="7" t="s">
        <v>37</v>
      </c>
      <c r="C162" s="8">
        <v>872</v>
      </c>
      <c r="D162" s="8">
        <v>354</v>
      </c>
      <c r="E162" s="8">
        <v>1519</v>
      </c>
      <c r="F162" s="8">
        <v>1504</v>
      </c>
      <c r="G162" s="8">
        <v>1904</v>
      </c>
      <c r="H162" s="8">
        <v>4632</v>
      </c>
      <c r="I162" s="8">
        <v>6715</v>
      </c>
      <c r="J162" s="8">
        <v>761</v>
      </c>
      <c r="K162" s="8">
        <v>0</v>
      </c>
      <c r="L162" s="8">
        <v>18261</v>
      </c>
      <c r="M162" s="9">
        <v>171.89500000000001</v>
      </c>
    </row>
    <row r="163" spans="1:13" x14ac:dyDescent="0.25">
      <c r="A163" s="2" t="s">
        <v>84</v>
      </c>
      <c r="B163" s="2" t="s">
        <v>51</v>
      </c>
      <c r="C163" s="4">
        <v>0</v>
      </c>
      <c r="D163" s="4">
        <v>280</v>
      </c>
      <c r="E163" s="4">
        <v>464</v>
      </c>
      <c r="F163" s="4">
        <v>243</v>
      </c>
      <c r="G163" s="4">
        <v>60</v>
      </c>
      <c r="H163" s="4">
        <v>563</v>
      </c>
      <c r="I163" s="4">
        <v>1111</v>
      </c>
      <c r="J163" s="4">
        <v>761</v>
      </c>
      <c r="K163" s="4">
        <v>0</v>
      </c>
      <c r="L163" s="4">
        <v>3482</v>
      </c>
      <c r="M163" s="6">
        <v>34.85</v>
      </c>
    </row>
    <row r="164" spans="1:13" x14ac:dyDescent="0.25">
      <c r="A164" s="2" t="s">
        <v>84</v>
      </c>
      <c r="B164" s="2" t="s">
        <v>52</v>
      </c>
      <c r="C164" s="4">
        <v>0</v>
      </c>
      <c r="D164" s="4">
        <v>74</v>
      </c>
      <c r="E164" s="4">
        <v>999</v>
      </c>
      <c r="F164" s="4">
        <v>0</v>
      </c>
      <c r="G164" s="4">
        <v>0</v>
      </c>
      <c r="H164" s="4">
        <v>1233</v>
      </c>
      <c r="I164" s="4">
        <v>1579</v>
      </c>
      <c r="J164" s="4">
        <v>0</v>
      </c>
      <c r="K164" s="4">
        <v>0</v>
      </c>
      <c r="L164" s="4">
        <v>3885</v>
      </c>
      <c r="M164" s="6">
        <v>40.42</v>
      </c>
    </row>
    <row r="165" spans="1:13" x14ac:dyDescent="0.25">
      <c r="A165" s="2" t="s">
        <v>84</v>
      </c>
      <c r="B165" s="2" t="s">
        <v>53</v>
      </c>
      <c r="C165" s="4">
        <v>872</v>
      </c>
      <c r="D165" s="4">
        <v>0</v>
      </c>
      <c r="E165" s="4">
        <v>56</v>
      </c>
      <c r="F165" s="4">
        <v>1241</v>
      </c>
      <c r="G165" s="4">
        <v>1735</v>
      </c>
      <c r="H165" s="4">
        <v>2836</v>
      </c>
      <c r="I165" s="4">
        <v>4025</v>
      </c>
      <c r="J165" s="4">
        <v>0</v>
      </c>
      <c r="K165" s="4">
        <v>0</v>
      </c>
      <c r="L165" s="4">
        <v>10765</v>
      </c>
      <c r="M165" s="6">
        <v>95</v>
      </c>
    </row>
    <row r="166" spans="1:13" x14ac:dyDescent="0.25">
      <c r="A166" s="2" t="s">
        <v>84</v>
      </c>
      <c r="B166" s="2" t="s">
        <v>54</v>
      </c>
      <c r="C166" s="4">
        <v>0</v>
      </c>
      <c r="D166" s="4">
        <v>0</v>
      </c>
      <c r="E166" s="4">
        <v>0</v>
      </c>
      <c r="F166" s="4">
        <v>20</v>
      </c>
      <c r="G166" s="4">
        <v>109</v>
      </c>
      <c r="H166" s="4">
        <v>0</v>
      </c>
      <c r="I166" s="4">
        <v>0</v>
      </c>
      <c r="J166" s="4">
        <v>0</v>
      </c>
      <c r="K166" s="4">
        <v>0</v>
      </c>
      <c r="L166" s="4">
        <v>129</v>
      </c>
      <c r="M166" s="6">
        <v>1.625</v>
      </c>
    </row>
    <row r="167" spans="1:13" x14ac:dyDescent="0.25">
      <c r="A167" s="2" t="s">
        <v>84</v>
      </c>
      <c r="B167" s="2" t="s">
        <v>55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6">
        <v>0</v>
      </c>
    </row>
    <row r="168" spans="1:13" x14ac:dyDescent="0.25">
      <c r="A168" s="7" t="s">
        <v>84</v>
      </c>
      <c r="B168" s="7" t="s">
        <v>37</v>
      </c>
      <c r="C168" s="8">
        <v>872</v>
      </c>
      <c r="D168" s="8">
        <v>354</v>
      </c>
      <c r="E168" s="8">
        <v>1519</v>
      </c>
      <c r="F168" s="8">
        <v>1504</v>
      </c>
      <c r="G168" s="8">
        <v>1904</v>
      </c>
      <c r="H168" s="8">
        <v>4632</v>
      </c>
      <c r="I168" s="8">
        <v>6715</v>
      </c>
      <c r="J168" s="8">
        <v>761</v>
      </c>
      <c r="K168" s="8">
        <v>0</v>
      </c>
      <c r="L168" s="8">
        <v>18261</v>
      </c>
      <c r="M168" s="9">
        <v>171.89500000000001</v>
      </c>
    </row>
    <row r="169" spans="1:13" x14ac:dyDescent="0.25">
      <c r="A169" s="2" t="s">
        <v>85</v>
      </c>
      <c r="B169" s="2" t="s">
        <v>51</v>
      </c>
      <c r="C169" s="4">
        <v>0</v>
      </c>
      <c r="D169" s="4">
        <v>280</v>
      </c>
      <c r="E169" s="4">
        <v>464</v>
      </c>
      <c r="F169" s="4">
        <v>243</v>
      </c>
      <c r="G169" s="4">
        <v>60</v>
      </c>
      <c r="H169" s="4">
        <v>563</v>
      </c>
      <c r="I169" s="4">
        <v>1111</v>
      </c>
      <c r="J169" s="4">
        <v>761</v>
      </c>
      <c r="K169" s="4">
        <v>0</v>
      </c>
      <c r="L169" s="4">
        <v>3482</v>
      </c>
      <c r="M169" s="6">
        <v>34.85</v>
      </c>
    </row>
    <row r="170" spans="1:13" x14ac:dyDescent="0.25">
      <c r="A170" s="2" t="s">
        <v>85</v>
      </c>
      <c r="B170" s="2" t="s">
        <v>52</v>
      </c>
      <c r="C170" s="4">
        <v>0</v>
      </c>
      <c r="D170" s="4">
        <v>74</v>
      </c>
      <c r="E170" s="4">
        <v>999</v>
      </c>
      <c r="F170" s="4">
        <v>0</v>
      </c>
      <c r="G170" s="4">
        <v>0</v>
      </c>
      <c r="H170" s="4">
        <v>1233</v>
      </c>
      <c r="I170" s="4">
        <v>1579</v>
      </c>
      <c r="J170" s="4">
        <v>0</v>
      </c>
      <c r="K170" s="4">
        <v>0</v>
      </c>
      <c r="L170" s="4">
        <v>3885</v>
      </c>
      <c r="M170" s="6">
        <v>40.42</v>
      </c>
    </row>
    <row r="171" spans="1:13" x14ac:dyDescent="0.25">
      <c r="A171" s="2" t="s">
        <v>85</v>
      </c>
      <c r="B171" s="2" t="s">
        <v>53</v>
      </c>
      <c r="C171" s="4">
        <v>872</v>
      </c>
      <c r="D171" s="4">
        <v>0</v>
      </c>
      <c r="E171" s="4">
        <v>56</v>
      </c>
      <c r="F171" s="4">
        <v>1241</v>
      </c>
      <c r="G171" s="4">
        <v>1735</v>
      </c>
      <c r="H171" s="4">
        <v>2836</v>
      </c>
      <c r="I171" s="4">
        <v>4025</v>
      </c>
      <c r="J171" s="4">
        <v>0</v>
      </c>
      <c r="K171" s="4">
        <v>0</v>
      </c>
      <c r="L171" s="4">
        <v>10765</v>
      </c>
      <c r="M171" s="6">
        <v>95</v>
      </c>
    </row>
    <row r="172" spans="1:13" x14ac:dyDescent="0.25">
      <c r="A172" s="2" t="s">
        <v>85</v>
      </c>
      <c r="B172" s="2" t="s">
        <v>54</v>
      </c>
      <c r="C172" s="4">
        <v>0</v>
      </c>
      <c r="D172" s="4">
        <v>0</v>
      </c>
      <c r="E172" s="4">
        <v>0</v>
      </c>
      <c r="F172" s="4">
        <v>20</v>
      </c>
      <c r="G172" s="4">
        <v>109</v>
      </c>
      <c r="H172" s="4">
        <v>0</v>
      </c>
      <c r="I172" s="4">
        <v>0</v>
      </c>
      <c r="J172" s="4">
        <v>0</v>
      </c>
      <c r="K172" s="4">
        <v>0</v>
      </c>
      <c r="L172" s="4">
        <v>129</v>
      </c>
      <c r="M172" s="6">
        <v>1.625</v>
      </c>
    </row>
    <row r="173" spans="1:13" x14ac:dyDescent="0.25">
      <c r="A173" s="2" t="s">
        <v>85</v>
      </c>
      <c r="B173" s="2" t="s">
        <v>55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6">
        <v>0</v>
      </c>
    </row>
    <row r="174" spans="1:13" x14ac:dyDescent="0.25">
      <c r="A174" s="7" t="s">
        <v>85</v>
      </c>
      <c r="B174" s="7" t="s">
        <v>37</v>
      </c>
      <c r="C174" s="8">
        <v>872</v>
      </c>
      <c r="D174" s="8">
        <v>354</v>
      </c>
      <c r="E174" s="8">
        <v>1519</v>
      </c>
      <c r="F174" s="8">
        <v>1504</v>
      </c>
      <c r="G174" s="8">
        <v>1904</v>
      </c>
      <c r="H174" s="8">
        <v>4632</v>
      </c>
      <c r="I174" s="8">
        <v>6715</v>
      </c>
      <c r="J174" s="8">
        <v>761</v>
      </c>
      <c r="K174" s="8">
        <v>0</v>
      </c>
      <c r="L174" s="8">
        <v>18261</v>
      </c>
      <c r="M174" s="9">
        <v>171.89500000000001</v>
      </c>
    </row>
    <row r="175" spans="1:13" x14ac:dyDescent="0.25">
      <c r="A175" s="2" t="s">
        <v>86</v>
      </c>
      <c r="B175" s="2" t="s">
        <v>51</v>
      </c>
      <c r="C175" s="4">
        <v>0</v>
      </c>
      <c r="D175" s="4">
        <v>275</v>
      </c>
      <c r="E175" s="4">
        <v>454</v>
      </c>
      <c r="F175" s="4">
        <v>243</v>
      </c>
      <c r="G175" s="4">
        <v>57</v>
      </c>
      <c r="H175" s="4">
        <v>738</v>
      </c>
      <c r="I175" s="4">
        <v>954</v>
      </c>
      <c r="J175" s="4">
        <v>294</v>
      </c>
      <c r="K175" s="4">
        <v>0</v>
      </c>
      <c r="L175" s="4">
        <v>3015</v>
      </c>
      <c r="M175" s="6">
        <v>34.85</v>
      </c>
    </row>
    <row r="176" spans="1:13" x14ac:dyDescent="0.25">
      <c r="A176" s="2" t="s">
        <v>86</v>
      </c>
      <c r="B176" s="2" t="s">
        <v>52</v>
      </c>
      <c r="C176" s="4">
        <v>0</v>
      </c>
      <c r="D176" s="4">
        <v>74</v>
      </c>
      <c r="E176" s="4">
        <v>999</v>
      </c>
      <c r="F176" s="4">
        <v>0</v>
      </c>
      <c r="G176" s="4">
        <v>0</v>
      </c>
      <c r="H176" s="4">
        <v>1233</v>
      </c>
      <c r="I176" s="4">
        <v>1579</v>
      </c>
      <c r="J176" s="4">
        <v>0</v>
      </c>
      <c r="K176" s="4">
        <v>0</v>
      </c>
      <c r="L176" s="4">
        <v>3885</v>
      </c>
      <c r="M176" s="6">
        <v>40.42</v>
      </c>
    </row>
    <row r="177" spans="1:13" x14ac:dyDescent="0.25">
      <c r="A177" s="2" t="s">
        <v>86</v>
      </c>
      <c r="B177" s="2" t="s">
        <v>53</v>
      </c>
      <c r="C177" s="4">
        <v>872</v>
      </c>
      <c r="D177" s="4">
        <v>0</v>
      </c>
      <c r="E177" s="4">
        <v>56</v>
      </c>
      <c r="F177" s="4">
        <v>1241</v>
      </c>
      <c r="G177" s="4">
        <v>1735</v>
      </c>
      <c r="H177" s="4">
        <v>2836</v>
      </c>
      <c r="I177" s="4">
        <v>4025</v>
      </c>
      <c r="J177" s="4">
        <v>0</v>
      </c>
      <c r="K177" s="4">
        <v>0</v>
      </c>
      <c r="L177" s="4">
        <v>10765</v>
      </c>
      <c r="M177" s="6">
        <v>95</v>
      </c>
    </row>
    <row r="178" spans="1:13" x14ac:dyDescent="0.25">
      <c r="A178" s="2" t="s">
        <v>86</v>
      </c>
      <c r="B178" s="2" t="s">
        <v>54</v>
      </c>
      <c r="C178" s="4">
        <v>0</v>
      </c>
      <c r="D178" s="4">
        <v>0</v>
      </c>
      <c r="E178" s="4">
        <v>0</v>
      </c>
      <c r="F178" s="4">
        <v>20</v>
      </c>
      <c r="G178" s="4">
        <v>109</v>
      </c>
      <c r="H178" s="4">
        <v>0</v>
      </c>
      <c r="I178" s="4">
        <v>0</v>
      </c>
      <c r="J178" s="4">
        <v>0</v>
      </c>
      <c r="K178" s="4">
        <v>0</v>
      </c>
      <c r="L178" s="4">
        <v>129</v>
      </c>
      <c r="M178" s="6">
        <v>1.625</v>
      </c>
    </row>
    <row r="179" spans="1:13" x14ac:dyDescent="0.25">
      <c r="A179" s="2" t="s">
        <v>86</v>
      </c>
      <c r="B179" s="2" t="s">
        <v>55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6">
        <v>0</v>
      </c>
    </row>
    <row r="180" spans="1:13" x14ac:dyDescent="0.25">
      <c r="A180" s="7" t="s">
        <v>86</v>
      </c>
      <c r="B180" s="7" t="s">
        <v>37</v>
      </c>
      <c r="C180" s="8">
        <v>872</v>
      </c>
      <c r="D180" s="8">
        <v>349</v>
      </c>
      <c r="E180" s="8">
        <v>1509</v>
      </c>
      <c r="F180" s="8">
        <v>1504</v>
      </c>
      <c r="G180" s="8">
        <v>1901</v>
      </c>
      <c r="H180" s="8">
        <v>4807</v>
      </c>
      <c r="I180" s="8">
        <v>6558</v>
      </c>
      <c r="J180" s="8">
        <v>294</v>
      </c>
      <c r="K180" s="8">
        <v>0</v>
      </c>
      <c r="L180" s="8">
        <v>17794</v>
      </c>
      <c r="M180" s="9">
        <v>171.89500000000001</v>
      </c>
    </row>
    <row r="181" spans="1:13" x14ac:dyDescent="0.25">
      <c r="A181" s="2" t="s">
        <v>87</v>
      </c>
      <c r="B181" s="2" t="s">
        <v>51</v>
      </c>
      <c r="C181" s="4">
        <v>0</v>
      </c>
      <c r="D181" s="4">
        <v>275</v>
      </c>
      <c r="E181" s="4">
        <v>454</v>
      </c>
      <c r="F181" s="4">
        <v>243</v>
      </c>
      <c r="G181" s="4">
        <v>57</v>
      </c>
      <c r="H181" s="4">
        <v>738</v>
      </c>
      <c r="I181" s="4">
        <v>954</v>
      </c>
      <c r="J181" s="4">
        <v>294</v>
      </c>
      <c r="K181" s="4">
        <v>0</v>
      </c>
      <c r="L181" s="4">
        <v>3015</v>
      </c>
      <c r="M181" s="6">
        <v>34.85</v>
      </c>
    </row>
    <row r="182" spans="1:13" x14ac:dyDescent="0.25">
      <c r="A182" s="2" t="s">
        <v>87</v>
      </c>
      <c r="B182" s="2" t="s">
        <v>52</v>
      </c>
      <c r="C182" s="4">
        <v>0</v>
      </c>
      <c r="D182" s="4">
        <v>74</v>
      </c>
      <c r="E182" s="4">
        <v>999</v>
      </c>
      <c r="F182" s="4">
        <v>0</v>
      </c>
      <c r="G182" s="4">
        <v>0</v>
      </c>
      <c r="H182" s="4">
        <v>1233</v>
      </c>
      <c r="I182" s="4">
        <v>1579</v>
      </c>
      <c r="J182" s="4">
        <v>0</v>
      </c>
      <c r="K182" s="4">
        <v>0</v>
      </c>
      <c r="L182" s="4">
        <v>3885</v>
      </c>
      <c r="M182" s="6">
        <v>40.42</v>
      </c>
    </row>
    <row r="183" spans="1:13" x14ac:dyDescent="0.25">
      <c r="A183" s="2" t="s">
        <v>87</v>
      </c>
      <c r="B183" s="2" t="s">
        <v>53</v>
      </c>
      <c r="C183" s="4">
        <v>872</v>
      </c>
      <c r="D183" s="4">
        <v>0</v>
      </c>
      <c r="E183" s="4">
        <v>56</v>
      </c>
      <c r="F183" s="4">
        <v>1241</v>
      </c>
      <c r="G183" s="4">
        <v>1735</v>
      </c>
      <c r="H183" s="4">
        <v>2836</v>
      </c>
      <c r="I183" s="4">
        <v>4025</v>
      </c>
      <c r="J183" s="4">
        <v>0</v>
      </c>
      <c r="K183" s="4">
        <v>0</v>
      </c>
      <c r="L183" s="4">
        <v>10765</v>
      </c>
      <c r="M183" s="6">
        <v>95</v>
      </c>
    </row>
    <row r="184" spans="1:13" x14ac:dyDescent="0.25">
      <c r="A184" s="2" t="s">
        <v>87</v>
      </c>
      <c r="B184" s="2" t="s">
        <v>54</v>
      </c>
      <c r="C184" s="4">
        <v>0</v>
      </c>
      <c r="D184" s="4">
        <v>0</v>
      </c>
      <c r="E184" s="4">
        <v>0</v>
      </c>
      <c r="F184" s="4">
        <v>20</v>
      </c>
      <c r="G184" s="4">
        <v>109</v>
      </c>
      <c r="H184" s="4">
        <v>0</v>
      </c>
      <c r="I184" s="4">
        <v>0</v>
      </c>
      <c r="J184" s="4">
        <v>0</v>
      </c>
      <c r="K184" s="4">
        <v>0</v>
      </c>
      <c r="L184" s="4">
        <v>129</v>
      </c>
      <c r="M184" s="6">
        <v>1.625</v>
      </c>
    </row>
    <row r="185" spans="1:13" x14ac:dyDescent="0.25">
      <c r="A185" s="2" t="s">
        <v>87</v>
      </c>
      <c r="B185" s="2" t="s">
        <v>55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6">
        <v>0</v>
      </c>
    </row>
    <row r="186" spans="1:13" x14ac:dyDescent="0.25">
      <c r="A186" s="7" t="s">
        <v>87</v>
      </c>
      <c r="B186" s="7" t="s">
        <v>37</v>
      </c>
      <c r="C186" s="8">
        <v>872</v>
      </c>
      <c r="D186" s="8">
        <v>349</v>
      </c>
      <c r="E186" s="8">
        <v>1509</v>
      </c>
      <c r="F186" s="8">
        <v>1504</v>
      </c>
      <c r="G186" s="8">
        <v>1901</v>
      </c>
      <c r="H186" s="8">
        <v>4807</v>
      </c>
      <c r="I186" s="8">
        <v>6558</v>
      </c>
      <c r="J186" s="8">
        <v>294</v>
      </c>
      <c r="K186" s="8">
        <v>0</v>
      </c>
      <c r="L186" s="8">
        <v>17794</v>
      </c>
      <c r="M186" s="9">
        <v>171.89500000000001</v>
      </c>
    </row>
    <row r="187" spans="1:13" x14ac:dyDescent="0.25">
      <c r="A187" s="2" t="s">
        <v>88</v>
      </c>
      <c r="B187" s="2" t="s">
        <v>51</v>
      </c>
      <c r="C187" s="4">
        <v>0</v>
      </c>
      <c r="D187" s="4">
        <v>275</v>
      </c>
      <c r="E187" s="4">
        <v>454</v>
      </c>
      <c r="F187" s="4">
        <v>243</v>
      </c>
      <c r="G187" s="4">
        <v>57</v>
      </c>
      <c r="H187" s="4">
        <v>738</v>
      </c>
      <c r="I187" s="4">
        <v>954</v>
      </c>
      <c r="J187" s="4">
        <v>294</v>
      </c>
      <c r="K187" s="4">
        <v>0</v>
      </c>
      <c r="L187" s="4">
        <v>3015</v>
      </c>
      <c r="M187" s="6">
        <v>34.85</v>
      </c>
    </row>
    <row r="188" spans="1:13" x14ac:dyDescent="0.25">
      <c r="A188" s="2" t="s">
        <v>88</v>
      </c>
      <c r="B188" s="2" t="s">
        <v>52</v>
      </c>
      <c r="C188" s="4">
        <v>0</v>
      </c>
      <c r="D188" s="4">
        <v>74</v>
      </c>
      <c r="E188" s="4">
        <v>999</v>
      </c>
      <c r="F188" s="4">
        <v>0</v>
      </c>
      <c r="G188" s="4">
        <v>0</v>
      </c>
      <c r="H188" s="4">
        <v>1233</v>
      </c>
      <c r="I188" s="4">
        <v>1579</v>
      </c>
      <c r="J188" s="4">
        <v>0</v>
      </c>
      <c r="K188" s="4">
        <v>0</v>
      </c>
      <c r="L188" s="4">
        <v>3885</v>
      </c>
      <c r="M188" s="6">
        <v>40.42</v>
      </c>
    </row>
    <row r="189" spans="1:13" x14ac:dyDescent="0.25">
      <c r="A189" s="2" t="s">
        <v>88</v>
      </c>
      <c r="B189" s="2" t="s">
        <v>53</v>
      </c>
      <c r="C189" s="4">
        <v>872</v>
      </c>
      <c r="D189" s="4">
        <v>0</v>
      </c>
      <c r="E189" s="4">
        <v>56</v>
      </c>
      <c r="F189" s="4">
        <v>1241</v>
      </c>
      <c r="G189" s="4">
        <v>1735</v>
      </c>
      <c r="H189" s="4">
        <v>2836</v>
      </c>
      <c r="I189" s="4">
        <v>4025</v>
      </c>
      <c r="J189" s="4">
        <v>0</v>
      </c>
      <c r="K189" s="4">
        <v>0</v>
      </c>
      <c r="L189" s="4">
        <v>10765</v>
      </c>
      <c r="M189" s="6">
        <v>95</v>
      </c>
    </row>
    <row r="190" spans="1:13" x14ac:dyDescent="0.25">
      <c r="A190" s="2" t="s">
        <v>88</v>
      </c>
      <c r="B190" s="2" t="s">
        <v>54</v>
      </c>
      <c r="C190" s="4">
        <v>0</v>
      </c>
      <c r="D190" s="4">
        <v>0</v>
      </c>
      <c r="E190" s="4">
        <v>0</v>
      </c>
      <c r="F190" s="4">
        <v>20</v>
      </c>
      <c r="G190" s="4">
        <v>109</v>
      </c>
      <c r="H190" s="4">
        <v>0</v>
      </c>
      <c r="I190" s="4">
        <v>0</v>
      </c>
      <c r="J190" s="4">
        <v>0</v>
      </c>
      <c r="K190" s="4">
        <v>0</v>
      </c>
      <c r="L190" s="4">
        <v>129</v>
      </c>
      <c r="M190" s="6">
        <v>1.625</v>
      </c>
    </row>
    <row r="191" spans="1:13" x14ac:dyDescent="0.25">
      <c r="A191" s="2" t="s">
        <v>88</v>
      </c>
      <c r="B191" s="2" t="s">
        <v>55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6">
        <v>0</v>
      </c>
    </row>
    <row r="192" spans="1:13" x14ac:dyDescent="0.25">
      <c r="A192" s="7" t="s">
        <v>88</v>
      </c>
      <c r="B192" s="7" t="s">
        <v>37</v>
      </c>
      <c r="C192" s="8">
        <v>872</v>
      </c>
      <c r="D192" s="8">
        <v>349</v>
      </c>
      <c r="E192" s="8">
        <v>1509</v>
      </c>
      <c r="F192" s="8">
        <v>1504</v>
      </c>
      <c r="G192" s="8">
        <v>1901</v>
      </c>
      <c r="H192" s="8">
        <v>4807</v>
      </c>
      <c r="I192" s="8">
        <v>6558</v>
      </c>
      <c r="J192" s="8">
        <v>294</v>
      </c>
      <c r="K192" s="8">
        <v>0</v>
      </c>
      <c r="L192" s="8">
        <v>17794</v>
      </c>
      <c r="M192" s="9">
        <v>171.89500000000001</v>
      </c>
    </row>
    <row r="193" spans="1:13" x14ac:dyDescent="0.25">
      <c r="A193" s="2" t="s">
        <v>89</v>
      </c>
      <c r="B193" s="2" t="s">
        <v>51</v>
      </c>
      <c r="C193" s="4">
        <v>0</v>
      </c>
      <c r="D193" s="4">
        <v>250</v>
      </c>
      <c r="E193" s="4">
        <v>456</v>
      </c>
      <c r="F193" s="4">
        <v>263</v>
      </c>
      <c r="G193" s="4">
        <v>39</v>
      </c>
      <c r="H193" s="4">
        <v>956</v>
      </c>
      <c r="I193" s="4">
        <v>617</v>
      </c>
      <c r="J193" s="4">
        <v>39</v>
      </c>
      <c r="K193" s="4">
        <v>0</v>
      </c>
      <c r="L193" s="4">
        <v>2620</v>
      </c>
      <c r="M193" s="6">
        <v>33.770000000000003</v>
      </c>
    </row>
    <row r="194" spans="1:13" x14ac:dyDescent="0.25">
      <c r="A194" s="2" t="s">
        <v>89</v>
      </c>
      <c r="B194" s="2" t="s">
        <v>52</v>
      </c>
      <c r="C194" s="4">
        <v>0</v>
      </c>
      <c r="D194" s="4">
        <v>74</v>
      </c>
      <c r="E194" s="4">
        <v>981</v>
      </c>
      <c r="F194" s="4">
        <v>0</v>
      </c>
      <c r="G194" s="4">
        <v>0</v>
      </c>
      <c r="H194" s="4">
        <v>989</v>
      </c>
      <c r="I194" s="4">
        <v>1381</v>
      </c>
      <c r="J194" s="4">
        <v>0</v>
      </c>
      <c r="K194" s="4">
        <v>0</v>
      </c>
      <c r="L194" s="4">
        <v>3425</v>
      </c>
      <c r="M194" s="6">
        <v>40.42</v>
      </c>
    </row>
    <row r="195" spans="1:13" x14ac:dyDescent="0.25">
      <c r="A195" s="2" t="s">
        <v>89</v>
      </c>
      <c r="B195" s="2" t="s">
        <v>53</v>
      </c>
      <c r="C195" s="4">
        <v>872</v>
      </c>
      <c r="D195" s="4">
        <v>0</v>
      </c>
      <c r="E195" s="4">
        <v>15</v>
      </c>
      <c r="F195" s="4">
        <v>2172</v>
      </c>
      <c r="G195" s="4">
        <v>817</v>
      </c>
      <c r="H195" s="4">
        <v>81</v>
      </c>
      <c r="I195" s="4">
        <v>2283</v>
      </c>
      <c r="J195" s="4">
        <v>0</v>
      </c>
      <c r="K195" s="4">
        <v>0</v>
      </c>
      <c r="L195" s="4">
        <v>6240</v>
      </c>
      <c r="M195" s="6">
        <v>95.6</v>
      </c>
    </row>
    <row r="196" spans="1:13" x14ac:dyDescent="0.25">
      <c r="A196" s="2" t="s">
        <v>89</v>
      </c>
      <c r="B196" s="2" t="s">
        <v>54</v>
      </c>
      <c r="C196" s="4">
        <v>0</v>
      </c>
      <c r="D196" s="4">
        <v>0</v>
      </c>
      <c r="E196" s="4">
        <v>0</v>
      </c>
      <c r="F196" s="4">
        <v>20</v>
      </c>
      <c r="G196" s="4">
        <v>109</v>
      </c>
      <c r="H196" s="4">
        <v>0</v>
      </c>
      <c r="I196" s="4">
        <v>0</v>
      </c>
      <c r="J196" s="4">
        <v>0</v>
      </c>
      <c r="K196" s="4">
        <v>0</v>
      </c>
      <c r="L196" s="4">
        <v>129</v>
      </c>
      <c r="M196" s="6">
        <v>1.625</v>
      </c>
    </row>
    <row r="197" spans="1:13" x14ac:dyDescent="0.25">
      <c r="A197" s="2" t="s">
        <v>89</v>
      </c>
      <c r="B197" s="2" t="s">
        <v>55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6">
        <v>0</v>
      </c>
    </row>
    <row r="198" spans="1:13" x14ac:dyDescent="0.25">
      <c r="A198" s="7" t="s">
        <v>89</v>
      </c>
      <c r="B198" s="7" t="s">
        <v>37</v>
      </c>
      <c r="C198" s="8">
        <v>872</v>
      </c>
      <c r="D198" s="8">
        <v>324</v>
      </c>
      <c r="E198" s="8">
        <v>1452</v>
      </c>
      <c r="F198" s="8">
        <v>2455</v>
      </c>
      <c r="G198" s="8">
        <v>965</v>
      </c>
      <c r="H198" s="8">
        <v>2026</v>
      </c>
      <c r="I198" s="8">
        <v>4281</v>
      </c>
      <c r="J198" s="8">
        <v>39</v>
      </c>
      <c r="K198" s="8">
        <v>0</v>
      </c>
      <c r="L198" s="8">
        <v>12414</v>
      </c>
      <c r="M198" s="9">
        <v>171.41499999999999</v>
      </c>
    </row>
    <row r="199" spans="1:13" ht="60" x14ac:dyDescent="0.25">
      <c r="A199" s="2" t="s">
        <v>90</v>
      </c>
      <c r="B199" s="2" t="s">
        <v>51</v>
      </c>
      <c r="C199" s="4">
        <v>0</v>
      </c>
      <c r="D199" s="4">
        <v>34</v>
      </c>
      <c r="E199" s="4">
        <v>11</v>
      </c>
      <c r="F199" s="4">
        <v>1103</v>
      </c>
      <c r="G199" s="4">
        <v>45</v>
      </c>
      <c r="H199" s="4">
        <v>105</v>
      </c>
      <c r="I199" s="4">
        <v>300</v>
      </c>
      <c r="J199" s="4">
        <v>622</v>
      </c>
      <c r="K199" s="4">
        <v>0</v>
      </c>
      <c r="L199" s="4">
        <v>2220</v>
      </c>
      <c r="M199" s="6">
        <v>19.61</v>
      </c>
    </row>
    <row r="200" spans="1:13" ht="60" x14ac:dyDescent="0.25">
      <c r="A200" s="2" t="s">
        <v>90</v>
      </c>
      <c r="B200" s="2" t="s">
        <v>52</v>
      </c>
      <c r="C200" s="4">
        <v>0</v>
      </c>
      <c r="D200" s="4">
        <v>144</v>
      </c>
      <c r="E200" s="4">
        <v>376</v>
      </c>
      <c r="F200" s="4">
        <v>0</v>
      </c>
      <c r="G200" s="4">
        <v>0</v>
      </c>
      <c r="H200" s="4">
        <v>80</v>
      </c>
      <c r="I200" s="4">
        <v>1590</v>
      </c>
      <c r="J200" s="4">
        <v>0</v>
      </c>
      <c r="K200" s="4">
        <v>0</v>
      </c>
      <c r="L200" s="4">
        <v>2190</v>
      </c>
      <c r="M200" s="6">
        <v>17.510000000000002</v>
      </c>
    </row>
    <row r="201" spans="1:13" ht="60" x14ac:dyDescent="0.25">
      <c r="A201" s="2" t="s">
        <v>90</v>
      </c>
      <c r="B201" s="2" t="s">
        <v>53</v>
      </c>
      <c r="C201" s="4">
        <v>0</v>
      </c>
      <c r="D201" s="4">
        <v>0</v>
      </c>
      <c r="E201" s="4">
        <v>295</v>
      </c>
      <c r="F201" s="4">
        <v>815</v>
      </c>
      <c r="G201" s="4">
        <v>1209</v>
      </c>
      <c r="H201" s="4">
        <v>0</v>
      </c>
      <c r="I201" s="4">
        <v>0</v>
      </c>
      <c r="J201" s="4">
        <v>0</v>
      </c>
      <c r="K201" s="4">
        <v>0</v>
      </c>
      <c r="L201" s="4">
        <v>2319</v>
      </c>
      <c r="M201" s="6">
        <v>26</v>
      </c>
    </row>
    <row r="202" spans="1:13" ht="60" x14ac:dyDescent="0.25">
      <c r="A202" s="2" t="s">
        <v>90</v>
      </c>
      <c r="B202" s="2" t="s">
        <v>54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6">
        <v>0</v>
      </c>
    </row>
    <row r="203" spans="1:13" ht="60" x14ac:dyDescent="0.25">
      <c r="A203" s="2" t="s">
        <v>90</v>
      </c>
      <c r="B203" s="2" t="s">
        <v>55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6">
        <v>0</v>
      </c>
    </row>
    <row r="204" spans="1:13" ht="60" x14ac:dyDescent="0.25">
      <c r="A204" s="7" t="s">
        <v>90</v>
      </c>
      <c r="B204" s="7" t="s">
        <v>37</v>
      </c>
      <c r="C204" s="8">
        <v>0</v>
      </c>
      <c r="D204" s="8">
        <v>178</v>
      </c>
      <c r="E204" s="8">
        <v>682</v>
      </c>
      <c r="F204" s="8">
        <v>1918</v>
      </c>
      <c r="G204" s="8">
        <v>1254</v>
      </c>
      <c r="H204" s="8">
        <v>185</v>
      </c>
      <c r="I204" s="8">
        <v>1890</v>
      </c>
      <c r="J204" s="8">
        <v>622</v>
      </c>
      <c r="K204" s="8">
        <v>0</v>
      </c>
      <c r="L204" s="8">
        <v>6729</v>
      </c>
      <c r="M204" s="9">
        <v>63.12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FD1E-BE54-4B24-808A-0B1754362F97}">
  <dimension ref="A1:Q359"/>
  <sheetViews>
    <sheetView tabSelected="1" zoomScale="85" zoomScaleNormal="85" workbookViewId="0">
      <selection activeCell="C1" sqref="C1:C3"/>
    </sheetView>
  </sheetViews>
  <sheetFormatPr defaultRowHeight="15" x14ac:dyDescent="0.25"/>
  <cols>
    <col min="1" max="1" width="13.28515625" customWidth="1"/>
    <col min="2" max="2" width="18.140625" customWidth="1"/>
    <col min="3" max="3" width="28.5703125" customWidth="1"/>
    <col min="4" max="4" width="38.140625" customWidth="1"/>
    <col min="5" max="5" width="17.140625" customWidth="1"/>
    <col min="6" max="6" width="10.42578125" customWidth="1"/>
    <col min="7" max="8" width="16.140625" customWidth="1"/>
    <col min="9" max="17" width="12.42578125" customWidth="1"/>
  </cols>
  <sheetData>
    <row r="1" spans="1:17" ht="27.95" customHeight="1" thickBot="1" x14ac:dyDescent="0.3">
      <c r="A1" s="185" t="s">
        <v>236</v>
      </c>
      <c r="B1" s="183" t="s">
        <v>120</v>
      </c>
      <c r="C1" s="184" t="s">
        <v>235</v>
      </c>
      <c r="D1" s="183" t="s">
        <v>237</v>
      </c>
      <c r="E1" s="183" t="s">
        <v>40</v>
      </c>
      <c r="F1" s="183" t="s">
        <v>126</v>
      </c>
      <c r="G1" s="183" t="s">
        <v>8</v>
      </c>
      <c r="H1" s="183" t="s">
        <v>238</v>
      </c>
      <c r="I1" s="183" t="s">
        <v>94</v>
      </c>
      <c r="J1" s="183" t="s">
        <v>239</v>
      </c>
      <c r="K1" s="183" t="s">
        <v>96</v>
      </c>
      <c r="L1" s="183" t="s">
        <v>240</v>
      </c>
      <c r="M1" s="183" t="s">
        <v>241</v>
      </c>
      <c r="N1" s="183" t="s">
        <v>99</v>
      </c>
      <c r="O1" s="183" t="s">
        <v>242</v>
      </c>
      <c r="P1" s="183" t="s">
        <v>243</v>
      </c>
      <c r="Q1" s="186" t="s">
        <v>244</v>
      </c>
    </row>
    <row r="2" spans="1:17" x14ac:dyDescent="0.25">
      <c r="A2" s="163" t="s">
        <v>245</v>
      </c>
      <c r="B2" s="159" t="s">
        <v>165</v>
      </c>
      <c r="C2" s="148" t="s">
        <v>50</v>
      </c>
      <c r="D2" s="148" t="s">
        <v>50</v>
      </c>
      <c r="E2" s="148" t="s">
        <v>51</v>
      </c>
      <c r="F2" s="149">
        <v>50</v>
      </c>
      <c r="G2" s="150">
        <f>'Supra A por pav'!M4+'Supra B por pav'!M4</f>
        <v>139.53</v>
      </c>
      <c r="H2" s="151">
        <f>'Supra A por pav'!L4+'Supra B por pav'!L4</f>
        <v>16401</v>
      </c>
      <c r="I2" s="151">
        <f>'Supra A por pav'!C4+'Supra B por pav'!C4</f>
        <v>0</v>
      </c>
      <c r="J2" s="151">
        <f>'Supra A por pav'!D4+'Supra B por pav'!D4</f>
        <v>567</v>
      </c>
      <c r="K2" s="151">
        <f>'Supra A por pav'!E4+'Supra B por pav'!E4</f>
        <v>1637</v>
      </c>
      <c r="L2" s="151">
        <f>'Supra A por pav'!F4+'Supra B por pav'!F4</f>
        <v>1009</v>
      </c>
      <c r="M2" s="151">
        <f>'Supra A por pav'!G4+'Supra B por pav'!G4</f>
        <v>1315</v>
      </c>
      <c r="N2" s="151">
        <f>'Supra A por pav'!H4+'Supra B por pav'!H4</f>
        <v>3647</v>
      </c>
      <c r="O2" s="151">
        <f>'Supra A por pav'!I4+'Supra B por pav'!I4</f>
        <v>3173</v>
      </c>
      <c r="P2" s="167">
        <f>'Supra A por pav'!J4+'Supra B por pav'!J4</f>
        <v>5053</v>
      </c>
      <c r="Q2" s="171">
        <f>'Supra A por pav'!K4+'Supra B por pav'!K4</f>
        <v>0</v>
      </c>
    </row>
    <row r="3" spans="1:17" x14ac:dyDescent="0.25">
      <c r="A3" s="160"/>
      <c r="B3" s="156"/>
      <c r="C3" s="140"/>
      <c r="D3" s="140"/>
      <c r="E3" s="140" t="s">
        <v>52</v>
      </c>
      <c r="F3" s="141"/>
      <c r="G3" s="142">
        <f>'Supra A por pav'!M5+'Supra B por pav'!M5</f>
        <v>0</v>
      </c>
      <c r="H3" s="143">
        <f>'Supra A por pav'!L5+'Supra B por pav'!L5</f>
        <v>0</v>
      </c>
      <c r="I3" s="143">
        <f>'Supra A por pav'!C5+'Supra B por pav'!C5</f>
        <v>0</v>
      </c>
      <c r="J3" s="143">
        <f>'Supra A por pav'!D5+'Supra B por pav'!D5</f>
        <v>0</v>
      </c>
      <c r="K3" s="143">
        <f>'Supra A por pav'!E5+'Supra B por pav'!E5</f>
        <v>0</v>
      </c>
      <c r="L3" s="143">
        <f>'Supra A por pav'!F5+'Supra B por pav'!F5</f>
        <v>0</v>
      </c>
      <c r="M3" s="143">
        <f>'Supra A por pav'!G5+'Supra B por pav'!G5</f>
        <v>0</v>
      </c>
      <c r="N3" s="143">
        <f>'Supra A por pav'!H5+'Supra B por pav'!H5</f>
        <v>0</v>
      </c>
      <c r="O3" s="143">
        <f>'Supra A por pav'!I5+'Supra B por pav'!I5</f>
        <v>0</v>
      </c>
      <c r="P3" s="164">
        <f>'Supra A por pav'!J5+'Supra B por pav'!J5</f>
        <v>0</v>
      </c>
      <c r="Q3" s="168">
        <f>'Supra A por pav'!K5+'Supra B por pav'!K5</f>
        <v>0</v>
      </c>
    </row>
    <row r="4" spans="1:17" x14ac:dyDescent="0.25">
      <c r="A4" s="160"/>
      <c r="B4" s="156"/>
      <c r="C4" s="140"/>
      <c r="D4" s="140"/>
      <c r="E4" s="140" t="s">
        <v>53</v>
      </c>
      <c r="F4" s="141"/>
      <c r="G4" s="142">
        <f>'Supra A por pav'!M6+'Supra B por pav'!M6</f>
        <v>237.8</v>
      </c>
      <c r="H4" s="143">
        <f>'Supra A por pav'!L6+'Supra B por pav'!L6</f>
        <v>17192.2</v>
      </c>
      <c r="I4" s="143">
        <f>'Supra A por pav'!C6+'Supra B por pav'!C6</f>
        <v>2812</v>
      </c>
      <c r="J4" s="143">
        <f>'Supra A por pav'!D6+'Supra B por pav'!D6</f>
        <v>0</v>
      </c>
      <c r="K4" s="143">
        <f>'Supra A por pav'!E6+'Supra B por pav'!E6</f>
        <v>323</v>
      </c>
      <c r="L4" s="143">
        <f>'Supra A por pav'!F6+'Supra B por pav'!F6</f>
        <v>8726</v>
      </c>
      <c r="M4" s="143">
        <f>'Supra A por pav'!G6+'Supra B por pav'!G6</f>
        <v>4843</v>
      </c>
      <c r="N4" s="143">
        <f>'Supra A por pav'!H6+'Supra B por pav'!H6</f>
        <v>488.2</v>
      </c>
      <c r="O4" s="143">
        <f>'Supra A por pav'!I6+'Supra B por pav'!I6</f>
        <v>0</v>
      </c>
      <c r="P4" s="164">
        <f>'Supra A por pav'!J6+'Supra B por pav'!J6</f>
        <v>0</v>
      </c>
      <c r="Q4" s="168">
        <f>'Supra A por pav'!K6+'Supra B por pav'!K6</f>
        <v>0</v>
      </c>
    </row>
    <row r="5" spans="1:17" x14ac:dyDescent="0.25">
      <c r="A5" s="160"/>
      <c r="B5" s="156"/>
      <c r="C5" s="140"/>
      <c r="D5" s="140"/>
      <c r="E5" s="140" t="s">
        <v>54</v>
      </c>
      <c r="F5" s="141"/>
      <c r="G5" s="142">
        <f>'Supra A por pav'!M7+'Supra B por pav'!M7</f>
        <v>0</v>
      </c>
      <c r="H5" s="143">
        <f>'Supra A por pav'!L7+'Supra B por pav'!L7</f>
        <v>0</v>
      </c>
      <c r="I5" s="143">
        <f>'Supra A por pav'!C7+'Supra B por pav'!C7</f>
        <v>0</v>
      </c>
      <c r="J5" s="143">
        <f>'Supra A por pav'!D7+'Supra B por pav'!D7</f>
        <v>0</v>
      </c>
      <c r="K5" s="143">
        <f>'Supra A por pav'!E7+'Supra B por pav'!E7</f>
        <v>0</v>
      </c>
      <c r="L5" s="143">
        <f>'Supra A por pav'!F7+'Supra B por pav'!F7</f>
        <v>0</v>
      </c>
      <c r="M5" s="143">
        <f>'Supra A por pav'!G7+'Supra B por pav'!G7</f>
        <v>0</v>
      </c>
      <c r="N5" s="143">
        <f>'Supra A por pav'!H7+'Supra B por pav'!H7</f>
        <v>0</v>
      </c>
      <c r="O5" s="143">
        <f>'Supra A por pav'!I7+'Supra B por pav'!I7</f>
        <v>0</v>
      </c>
      <c r="P5" s="164">
        <f>'Supra A por pav'!J7+'Supra B por pav'!J7</f>
        <v>0</v>
      </c>
      <c r="Q5" s="168">
        <f>'Supra A por pav'!K7+'Supra B por pav'!K7</f>
        <v>0</v>
      </c>
    </row>
    <row r="6" spans="1:17" x14ac:dyDescent="0.25">
      <c r="A6" s="160"/>
      <c r="B6" s="156"/>
      <c r="C6" s="140"/>
      <c r="D6" s="140"/>
      <c r="E6" s="140" t="s">
        <v>55</v>
      </c>
      <c r="F6" s="141"/>
      <c r="G6" s="142">
        <f>'Supra A por pav'!M8+'Supra B por pav'!M8</f>
        <v>0</v>
      </c>
      <c r="H6" s="143">
        <f>'Supra A por pav'!L8+'Supra B por pav'!L8</f>
        <v>0</v>
      </c>
      <c r="I6" s="143">
        <f>'Supra A por pav'!C8+'Supra B por pav'!C8</f>
        <v>0</v>
      </c>
      <c r="J6" s="143">
        <f>'Supra A por pav'!D8+'Supra B por pav'!D8</f>
        <v>0</v>
      </c>
      <c r="K6" s="143">
        <f>'Supra A por pav'!E8+'Supra B por pav'!E8</f>
        <v>0</v>
      </c>
      <c r="L6" s="143">
        <f>'Supra A por pav'!F8+'Supra B por pav'!F8</f>
        <v>0</v>
      </c>
      <c r="M6" s="143">
        <f>'Supra A por pav'!G8+'Supra B por pav'!G8</f>
        <v>0</v>
      </c>
      <c r="N6" s="143">
        <f>'Supra A por pav'!H8+'Supra B por pav'!H8</f>
        <v>0</v>
      </c>
      <c r="O6" s="143">
        <f>'Supra A por pav'!I8+'Supra B por pav'!I8</f>
        <v>0</v>
      </c>
      <c r="P6" s="164">
        <f>'Supra A por pav'!J8+'Supra B por pav'!J8</f>
        <v>0</v>
      </c>
      <c r="Q6" s="168">
        <f>'Supra A por pav'!K8+'Supra B por pav'!K8</f>
        <v>0</v>
      </c>
    </row>
    <row r="7" spans="1:17" x14ac:dyDescent="0.25">
      <c r="A7" s="160"/>
      <c r="B7" s="156"/>
      <c r="C7" s="140"/>
      <c r="D7" s="140"/>
      <c r="E7" s="140" t="s">
        <v>56</v>
      </c>
      <c r="F7" s="141"/>
      <c r="G7" s="142">
        <f>'Supra A por pav'!M9+'Supra B por pav'!M9</f>
        <v>2066.3599999999997</v>
      </c>
      <c r="H7" s="143">
        <f>'Supra A por pav'!L9+'Supra B por pav'!L9</f>
        <v>217586</v>
      </c>
      <c r="I7" s="143">
        <f>'Supra A por pav'!C9+'Supra B por pav'!C9</f>
        <v>0</v>
      </c>
      <c r="J7" s="143">
        <f>'Supra A por pav'!D9+'Supra B por pav'!D9</f>
        <v>162</v>
      </c>
      <c r="K7" s="143">
        <f>'Supra A por pav'!E9+'Supra B por pav'!E9</f>
        <v>258</v>
      </c>
      <c r="L7" s="143">
        <f>'Supra A por pav'!F9+'Supra B por pav'!F9</f>
        <v>4185</v>
      </c>
      <c r="M7" s="143">
        <f>'Supra A por pav'!G9+'Supra B por pav'!G9</f>
        <v>1858</v>
      </c>
      <c r="N7" s="143">
        <f>'Supra A por pav'!H9+'Supra B por pav'!H9</f>
        <v>21692</v>
      </c>
      <c r="O7" s="143">
        <f>'Supra A por pav'!I9+'Supra B por pav'!I9</f>
        <v>38277</v>
      </c>
      <c r="P7" s="164">
        <f>'Supra A por pav'!J9+'Supra B por pav'!J9</f>
        <v>46018</v>
      </c>
      <c r="Q7" s="168">
        <f>'Supra A por pav'!K9+'Supra B por pav'!K9</f>
        <v>105136</v>
      </c>
    </row>
    <row r="8" spans="1:17" x14ac:dyDescent="0.25">
      <c r="A8" s="160"/>
      <c r="B8" s="156"/>
      <c r="C8" s="140"/>
      <c r="D8" s="140"/>
      <c r="E8" s="140" t="s">
        <v>57</v>
      </c>
      <c r="F8" s="141"/>
      <c r="G8" s="142">
        <f>'Supra A por pav'!M10+'Supra B por pav'!M10</f>
        <v>80.099999999999994</v>
      </c>
      <c r="H8" s="143">
        <f>'Supra A por pav'!L10+'Supra B por pav'!L10</f>
        <v>14648.636363636368</v>
      </c>
      <c r="I8" s="143">
        <f>'Supra A por pav'!C10+'Supra B por pav'!C10</f>
        <v>0</v>
      </c>
      <c r="J8" s="143">
        <f>'Supra A por pav'!D10+'Supra B por pav'!D10</f>
        <v>0</v>
      </c>
      <c r="K8" s="143">
        <f>'Supra A por pav'!E10+'Supra B por pav'!E10</f>
        <v>169</v>
      </c>
      <c r="L8" s="143">
        <f>'Supra A por pav'!F10+'Supra B por pav'!F10</f>
        <v>2373</v>
      </c>
      <c r="M8" s="143">
        <f>'Supra A por pav'!G10+'Supra B por pav'!G10</f>
        <v>9103.9090909090901</v>
      </c>
      <c r="N8" s="143">
        <f>'Supra A por pav'!H10+'Supra B por pav'!H10</f>
        <v>0</v>
      </c>
      <c r="O8" s="143">
        <f>'Supra A por pav'!I10+'Supra B por pav'!I10</f>
        <v>3002.7272727272721</v>
      </c>
      <c r="P8" s="164">
        <f>'Supra A por pav'!J10+'Supra B por pav'!J10</f>
        <v>0</v>
      </c>
      <c r="Q8" s="168">
        <f>'Supra A por pav'!K10+'Supra B por pav'!K10</f>
        <v>0</v>
      </c>
    </row>
    <row r="9" spans="1:17" ht="15.75" thickBot="1" x14ac:dyDescent="0.3">
      <c r="A9" s="161"/>
      <c r="B9" s="157"/>
      <c r="C9" s="144"/>
      <c r="D9" s="144"/>
      <c r="E9" s="144" t="s">
        <v>92</v>
      </c>
      <c r="F9" s="145"/>
      <c r="G9" s="146">
        <f>'Supra A por pav'!M11+'Supra B por pav'!M11</f>
        <v>71.5</v>
      </c>
      <c r="H9" s="147">
        <f>'Supra A por pav'!L11+'Supra B por pav'!L11</f>
        <v>8914</v>
      </c>
      <c r="I9" s="147">
        <f>'Supra A por pav'!C11+'Supra B por pav'!C11</f>
        <v>0</v>
      </c>
      <c r="J9" s="147">
        <f>'Supra A por pav'!D11+'Supra B por pav'!D11</f>
        <v>0</v>
      </c>
      <c r="K9" s="147">
        <f>'Supra A por pav'!E11+'Supra B por pav'!E11</f>
        <v>514</v>
      </c>
      <c r="L9" s="147">
        <f>'Supra A por pav'!F11+'Supra B por pav'!F11</f>
        <v>5480</v>
      </c>
      <c r="M9" s="147">
        <f>'Supra A por pav'!G11+'Supra B por pav'!G11</f>
        <v>42</v>
      </c>
      <c r="N9" s="147">
        <f>'Supra A por pav'!H11+'Supra B por pav'!H11</f>
        <v>1639</v>
      </c>
      <c r="O9" s="147">
        <f>'Supra A por pav'!I11+'Supra B por pav'!I11</f>
        <v>1239</v>
      </c>
      <c r="P9" s="165">
        <f>'Supra A por pav'!J11+'Supra B por pav'!J11</f>
        <v>0</v>
      </c>
      <c r="Q9" s="169">
        <f>'Supra A por pav'!K11+'Supra B por pav'!K11</f>
        <v>0</v>
      </c>
    </row>
    <row r="10" spans="1:17" ht="16.5" thickTop="1" thickBot="1" x14ac:dyDescent="0.3">
      <c r="A10" s="162" t="s">
        <v>245</v>
      </c>
      <c r="B10" s="158" t="s">
        <v>165</v>
      </c>
      <c r="C10" s="152" t="s">
        <v>50</v>
      </c>
      <c r="D10" s="152" t="s">
        <v>246</v>
      </c>
      <c r="E10" s="152"/>
      <c r="F10" s="153">
        <v>50</v>
      </c>
      <c r="G10" s="154">
        <f t="shared" ref="G10:Q10" si="0">SUM(G2:G9)</f>
        <v>2595.2899999999995</v>
      </c>
      <c r="H10" s="155">
        <f t="shared" si="0"/>
        <v>274741.83636363636</v>
      </c>
      <c r="I10" s="155">
        <f t="shared" si="0"/>
        <v>2812</v>
      </c>
      <c r="J10" s="155">
        <f t="shared" si="0"/>
        <v>729</v>
      </c>
      <c r="K10" s="155">
        <f t="shared" si="0"/>
        <v>2901</v>
      </c>
      <c r="L10" s="155">
        <f t="shared" si="0"/>
        <v>21773</v>
      </c>
      <c r="M10" s="155">
        <f t="shared" si="0"/>
        <v>17161.909090909088</v>
      </c>
      <c r="N10" s="155">
        <f t="shared" si="0"/>
        <v>27466.2</v>
      </c>
      <c r="O10" s="155">
        <f t="shared" si="0"/>
        <v>45691.727272727272</v>
      </c>
      <c r="P10" s="166">
        <f t="shared" si="0"/>
        <v>51071</v>
      </c>
      <c r="Q10" s="170">
        <f t="shared" si="0"/>
        <v>105136</v>
      </c>
    </row>
    <row r="11" spans="1:17" ht="15.75" thickTop="1" x14ac:dyDescent="0.25">
      <c r="A11" s="163" t="s">
        <v>245</v>
      </c>
      <c r="B11" s="159" t="s">
        <v>165</v>
      </c>
      <c r="C11" s="148" t="s">
        <v>59</v>
      </c>
      <c r="D11" s="148" t="s">
        <v>59</v>
      </c>
      <c r="E11" s="148" t="s">
        <v>51</v>
      </c>
      <c r="F11" s="149">
        <v>50</v>
      </c>
      <c r="G11" s="150">
        <f>'Supra A por pav'!M13+'Supra B por pav'!M13</f>
        <v>64.92</v>
      </c>
      <c r="H11" s="151">
        <f>'Supra A por pav'!L13+'Supra B por pav'!L13</f>
        <v>8972</v>
      </c>
      <c r="I11" s="151">
        <f>'Supra A por pav'!C13+'Supra B por pav'!C13</f>
        <v>0</v>
      </c>
      <c r="J11" s="151">
        <f>'Supra A por pav'!D13+'Supra B por pav'!D13</f>
        <v>473</v>
      </c>
      <c r="K11" s="151">
        <f>'Supra A por pav'!E13+'Supra B por pav'!E13</f>
        <v>1441</v>
      </c>
      <c r="L11" s="151">
        <f>'Supra A por pav'!F13+'Supra B por pav'!F13</f>
        <v>214</v>
      </c>
      <c r="M11" s="151">
        <f>'Supra A por pav'!G13+'Supra B por pav'!G13</f>
        <v>1068</v>
      </c>
      <c r="N11" s="151">
        <f>'Supra A por pav'!H13+'Supra B por pav'!H13</f>
        <v>1796</v>
      </c>
      <c r="O11" s="151">
        <f>'Supra A por pav'!I13+'Supra B por pav'!I13</f>
        <v>1030</v>
      </c>
      <c r="P11" s="167">
        <f>'Supra A por pav'!J13+'Supra B por pav'!J13</f>
        <v>2950</v>
      </c>
      <c r="Q11" s="171">
        <f>'Supra A por pav'!K13+'Supra B por pav'!K13</f>
        <v>0</v>
      </c>
    </row>
    <row r="12" spans="1:17" x14ac:dyDescent="0.25">
      <c r="A12" s="160"/>
      <c r="B12" s="156"/>
      <c r="C12" s="140"/>
      <c r="D12" s="140"/>
      <c r="E12" s="140" t="s">
        <v>52</v>
      </c>
      <c r="F12" s="141"/>
      <c r="G12" s="142">
        <f>'Supra A por pav'!M14+'Supra B por pav'!M14</f>
        <v>127.99000000000001</v>
      </c>
      <c r="H12" s="143">
        <f>'Supra A por pav'!L14+'Supra B por pav'!L14</f>
        <v>33924</v>
      </c>
      <c r="I12" s="143">
        <f>'Supra A por pav'!C14+'Supra B por pav'!C14</f>
        <v>0</v>
      </c>
      <c r="J12" s="143">
        <f>'Supra A por pav'!D14+'Supra B por pav'!D14</f>
        <v>411</v>
      </c>
      <c r="K12" s="143">
        <f>'Supra A por pav'!E14+'Supra B por pav'!E14</f>
        <v>284</v>
      </c>
      <c r="L12" s="143">
        <f>'Supra A por pav'!F14+'Supra B por pav'!F14</f>
        <v>3522</v>
      </c>
      <c r="M12" s="143">
        <f>'Supra A por pav'!G14+'Supra B por pav'!G14</f>
        <v>375</v>
      </c>
      <c r="N12" s="143">
        <f>'Supra A por pav'!H14+'Supra B por pav'!H14</f>
        <v>343</v>
      </c>
      <c r="O12" s="143">
        <f>'Supra A por pav'!I14+'Supra B por pav'!I14</f>
        <v>1584</v>
      </c>
      <c r="P12" s="164">
        <f>'Supra A por pav'!J14+'Supra B por pav'!J14</f>
        <v>5384</v>
      </c>
      <c r="Q12" s="168">
        <f>'Supra A por pav'!K14+'Supra B por pav'!K14</f>
        <v>22021</v>
      </c>
    </row>
    <row r="13" spans="1:17" x14ac:dyDescent="0.25">
      <c r="A13" s="160"/>
      <c r="B13" s="156"/>
      <c r="C13" s="140"/>
      <c r="D13" s="140"/>
      <c r="E13" s="140" t="s">
        <v>53</v>
      </c>
      <c r="F13" s="141"/>
      <c r="G13" s="142">
        <f>'Supra A por pav'!M15+'Supra B por pav'!M15</f>
        <v>274</v>
      </c>
      <c r="H13" s="143">
        <f>'Supra A por pav'!L15+'Supra B por pav'!L15</f>
        <v>22685</v>
      </c>
      <c r="I13" s="143">
        <f>'Supra A por pav'!C15+'Supra B por pav'!C15</f>
        <v>2681</v>
      </c>
      <c r="J13" s="143">
        <f>'Supra A por pav'!D15+'Supra B por pav'!D15</f>
        <v>0</v>
      </c>
      <c r="K13" s="143">
        <f>'Supra A por pav'!E15+'Supra B por pav'!E15</f>
        <v>0</v>
      </c>
      <c r="L13" s="143">
        <f>'Supra A por pav'!F15+'Supra B por pav'!F15</f>
        <v>5631</v>
      </c>
      <c r="M13" s="143">
        <f>'Supra A por pav'!G15+'Supra B por pav'!G15</f>
        <v>2344</v>
      </c>
      <c r="N13" s="143">
        <f>'Supra A por pav'!H15+'Supra B por pav'!H15</f>
        <v>3671</v>
      </c>
      <c r="O13" s="143">
        <f>'Supra A por pav'!I15+'Supra B por pav'!I15</f>
        <v>8358</v>
      </c>
      <c r="P13" s="164">
        <f>'Supra A por pav'!J15+'Supra B por pav'!J15</f>
        <v>0</v>
      </c>
      <c r="Q13" s="168">
        <f>'Supra A por pav'!K15+'Supra B por pav'!K15</f>
        <v>0</v>
      </c>
    </row>
    <row r="14" spans="1:17" x14ac:dyDescent="0.25">
      <c r="A14" s="160"/>
      <c r="B14" s="156"/>
      <c r="C14" s="140"/>
      <c r="D14" s="140"/>
      <c r="E14" s="140" t="s">
        <v>54</v>
      </c>
      <c r="F14" s="141"/>
      <c r="G14" s="142">
        <f>'Supra A por pav'!M16+'Supra B por pav'!M16</f>
        <v>3.7800000000000002</v>
      </c>
      <c r="H14" s="143">
        <f>'Supra A por pav'!L16+'Supra B por pav'!L16</f>
        <v>338</v>
      </c>
      <c r="I14" s="143">
        <f>'Supra A por pav'!C16+'Supra B por pav'!C16</f>
        <v>0</v>
      </c>
      <c r="J14" s="143">
        <f>'Supra A por pav'!D16+'Supra B por pav'!D16</f>
        <v>0</v>
      </c>
      <c r="K14" s="143">
        <f>'Supra A por pav'!E16+'Supra B por pav'!E16</f>
        <v>0</v>
      </c>
      <c r="L14" s="143">
        <f>'Supra A por pav'!F16+'Supra B por pav'!F16</f>
        <v>14</v>
      </c>
      <c r="M14" s="143">
        <f>'Supra A por pav'!G16+'Supra B por pav'!G16</f>
        <v>228</v>
      </c>
      <c r="N14" s="143">
        <f>'Supra A por pav'!H16+'Supra B por pav'!H16</f>
        <v>96</v>
      </c>
      <c r="O14" s="143">
        <f>'Supra A por pav'!I16+'Supra B por pav'!I16</f>
        <v>0</v>
      </c>
      <c r="P14" s="164">
        <f>'Supra A por pav'!J16+'Supra B por pav'!J16</f>
        <v>0</v>
      </c>
      <c r="Q14" s="168">
        <f>'Supra A por pav'!K16+'Supra B por pav'!K16</f>
        <v>0</v>
      </c>
    </row>
    <row r="15" spans="1:17" ht="15.75" thickBot="1" x14ac:dyDescent="0.3">
      <c r="A15" s="161"/>
      <c r="B15" s="157"/>
      <c r="C15" s="144"/>
      <c r="D15" s="144"/>
      <c r="E15" s="144" t="s">
        <v>55</v>
      </c>
      <c r="F15" s="145"/>
      <c r="G15" s="146">
        <f>'Supra A por pav'!M17+'Supra B por pav'!M17</f>
        <v>9.5</v>
      </c>
      <c r="H15" s="147">
        <f>'Supra A por pav'!L17+'Supra B por pav'!L17</f>
        <v>652</v>
      </c>
      <c r="I15" s="147">
        <f>'Supra A por pav'!C17+'Supra B por pav'!C17</f>
        <v>109</v>
      </c>
      <c r="J15" s="147">
        <f>'Supra A por pav'!D17+'Supra B por pav'!D17</f>
        <v>0</v>
      </c>
      <c r="K15" s="147">
        <f>'Supra A por pav'!E17+'Supra B por pav'!E17</f>
        <v>0</v>
      </c>
      <c r="L15" s="147">
        <f>'Supra A por pav'!F17+'Supra B por pav'!F17</f>
        <v>190</v>
      </c>
      <c r="M15" s="147">
        <f>'Supra A por pav'!G17+'Supra B por pav'!G17</f>
        <v>353</v>
      </c>
      <c r="N15" s="147">
        <f>'Supra A por pav'!H17+'Supra B por pav'!H17</f>
        <v>0</v>
      </c>
      <c r="O15" s="147">
        <f>'Supra A por pav'!I17+'Supra B por pav'!I17</f>
        <v>0</v>
      </c>
      <c r="P15" s="165">
        <f>'Supra A por pav'!J17+'Supra B por pav'!J17</f>
        <v>0</v>
      </c>
      <c r="Q15" s="169">
        <f>'Supra A por pav'!K17+'Supra B por pav'!K17</f>
        <v>0</v>
      </c>
    </row>
    <row r="16" spans="1:17" ht="16.5" thickTop="1" thickBot="1" x14ac:dyDescent="0.3">
      <c r="A16" s="162" t="s">
        <v>245</v>
      </c>
      <c r="B16" s="158" t="s">
        <v>165</v>
      </c>
      <c r="C16" s="152" t="s">
        <v>59</v>
      </c>
      <c r="D16" s="152" t="s">
        <v>247</v>
      </c>
      <c r="E16" s="152"/>
      <c r="F16" s="153">
        <v>50</v>
      </c>
      <c r="G16" s="154">
        <f t="shared" ref="G16:Q16" si="1">SUM(G11:G15)</f>
        <v>480.19</v>
      </c>
      <c r="H16" s="155">
        <f t="shared" si="1"/>
        <v>66571</v>
      </c>
      <c r="I16" s="155">
        <f t="shared" si="1"/>
        <v>2790</v>
      </c>
      <c r="J16" s="155">
        <f t="shared" si="1"/>
        <v>884</v>
      </c>
      <c r="K16" s="155">
        <f t="shared" si="1"/>
        <v>1725</v>
      </c>
      <c r="L16" s="155">
        <f t="shared" si="1"/>
        <v>9571</v>
      </c>
      <c r="M16" s="155">
        <f t="shared" si="1"/>
        <v>4368</v>
      </c>
      <c r="N16" s="155">
        <f t="shared" si="1"/>
        <v>5906</v>
      </c>
      <c r="O16" s="155">
        <f t="shared" si="1"/>
        <v>10972</v>
      </c>
      <c r="P16" s="166">
        <f t="shared" si="1"/>
        <v>8334</v>
      </c>
      <c r="Q16" s="170">
        <f t="shared" si="1"/>
        <v>22021</v>
      </c>
    </row>
    <row r="17" spans="1:17" ht="15.75" thickTop="1" x14ac:dyDescent="0.25">
      <c r="A17" s="163" t="s">
        <v>245</v>
      </c>
      <c r="B17" s="159" t="s">
        <v>165</v>
      </c>
      <c r="C17" s="148" t="s">
        <v>60</v>
      </c>
      <c r="D17" s="148" t="s">
        <v>60</v>
      </c>
      <c r="E17" s="148" t="s">
        <v>51</v>
      </c>
      <c r="F17" s="149">
        <v>50</v>
      </c>
      <c r="G17" s="150">
        <f>'Supra A por pav'!M19+'Supra B por pav'!M19</f>
        <v>99.9</v>
      </c>
      <c r="H17" s="151">
        <f>'Supra A por pav'!L19+'Supra B por pav'!L19</f>
        <v>16314</v>
      </c>
      <c r="I17" s="151">
        <f>'Supra A por pav'!C19+'Supra B por pav'!C19</f>
        <v>0</v>
      </c>
      <c r="J17" s="151">
        <f>'Supra A por pav'!D19+'Supra B por pav'!D19</f>
        <v>346</v>
      </c>
      <c r="K17" s="151">
        <f>'Supra A por pav'!E19+'Supra B por pav'!E19</f>
        <v>730</v>
      </c>
      <c r="L17" s="151">
        <f>'Supra A por pav'!F19+'Supra B por pav'!F19</f>
        <v>162</v>
      </c>
      <c r="M17" s="151">
        <f>'Supra A por pav'!G19+'Supra B por pav'!G19</f>
        <v>650</v>
      </c>
      <c r="N17" s="151">
        <f>'Supra A por pav'!H19+'Supra B por pav'!H19</f>
        <v>1157</v>
      </c>
      <c r="O17" s="151">
        <f>'Supra A por pav'!I19+'Supra B por pav'!I19</f>
        <v>4038</v>
      </c>
      <c r="P17" s="167">
        <f>'Supra A por pav'!J19+'Supra B por pav'!J19</f>
        <v>1008</v>
      </c>
      <c r="Q17" s="171">
        <f>'Supra A por pav'!K19+'Supra B por pav'!K19</f>
        <v>8223</v>
      </c>
    </row>
    <row r="18" spans="1:17" x14ac:dyDescent="0.25">
      <c r="A18" s="160"/>
      <c r="B18" s="156"/>
      <c r="C18" s="140"/>
      <c r="D18" s="140"/>
      <c r="E18" s="140" t="s">
        <v>52</v>
      </c>
      <c r="F18" s="141"/>
      <c r="G18" s="142">
        <f>'Supra A por pav'!M20+'Supra B por pav'!M20</f>
        <v>99.69</v>
      </c>
      <c r="H18" s="143">
        <f>'Supra A por pav'!L20+'Supra B por pav'!L20</f>
        <v>24850</v>
      </c>
      <c r="I18" s="143">
        <f>'Supra A por pav'!C20+'Supra B por pav'!C20</f>
        <v>0</v>
      </c>
      <c r="J18" s="143">
        <f>'Supra A por pav'!D20+'Supra B por pav'!D20</f>
        <v>348</v>
      </c>
      <c r="K18" s="143">
        <f>'Supra A por pav'!E20+'Supra B por pav'!E20</f>
        <v>618</v>
      </c>
      <c r="L18" s="143">
        <f>'Supra A por pav'!F20+'Supra B por pav'!F20</f>
        <v>2273</v>
      </c>
      <c r="M18" s="143">
        <f>'Supra A por pav'!G20+'Supra B por pav'!G20</f>
        <v>313</v>
      </c>
      <c r="N18" s="143">
        <f>'Supra A por pav'!H20+'Supra B por pav'!H20</f>
        <v>408</v>
      </c>
      <c r="O18" s="143">
        <f>'Supra A por pav'!I20+'Supra B por pav'!I20</f>
        <v>2169</v>
      </c>
      <c r="P18" s="164">
        <f>'Supra A por pav'!J20+'Supra B por pav'!J20</f>
        <v>7114</v>
      </c>
      <c r="Q18" s="168">
        <f>'Supra A por pav'!K20+'Supra B por pav'!K20</f>
        <v>11607</v>
      </c>
    </row>
    <row r="19" spans="1:17" x14ac:dyDescent="0.25">
      <c r="A19" s="160"/>
      <c r="B19" s="156"/>
      <c r="C19" s="140"/>
      <c r="D19" s="140"/>
      <c r="E19" s="140" t="s">
        <v>53</v>
      </c>
      <c r="F19" s="141"/>
      <c r="G19" s="142">
        <f>'Supra A por pav'!M21+'Supra B por pav'!M21</f>
        <v>281.7</v>
      </c>
      <c r="H19" s="143">
        <f>'Supra A por pav'!L21+'Supra B por pav'!L21</f>
        <v>27148</v>
      </c>
      <c r="I19" s="143">
        <f>'Supra A por pav'!C21+'Supra B por pav'!C21</f>
        <v>2703</v>
      </c>
      <c r="J19" s="143">
        <f>'Supra A por pav'!D21+'Supra B por pav'!D21</f>
        <v>0</v>
      </c>
      <c r="K19" s="143">
        <f>'Supra A por pav'!E21+'Supra B por pav'!E21</f>
        <v>0</v>
      </c>
      <c r="L19" s="143">
        <f>'Supra A por pav'!F21+'Supra B por pav'!F21</f>
        <v>4537</v>
      </c>
      <c r="M19" s="143">
        <f>'Supra A por pav'!G21+'Supra B por pav'!G21</f>
        <v>3769</v>
      </c>
      <c r="N19" s="143">
        <f>'Supra A por pav'!H21+'Supra B por pav'!H21</f>
        <v>2508</v>
      </c>
      <c r="O19" s="143">
        <f>'Supra A por pav'!I21+'Supra B por pav'!I21</f>
        <v>13631</v>
      </c>
      <c r="P19" s="164">
        <f>'Supra A por pav'!J21+'Supra B por pav'!J21</f>
        <v>0</v>
      </c>
      <c r="Q19" s="168">
        <f>'Supra A por pav'!K21+'Supra B por pav'!K21</f>
        <v>0</v>
      </c>
    </row>
    <row r="20" spans="1:17" x14ac:dyDescent="0.25">
      <c r="A20" s="160"/>
      <c r="B20" s="156"/>
      <c r="C20" s="140"/>
      <c r="D20" s="140"/>
      <c r="E20" s="140" t="s">
        <v>54</v>
      </c>
      <c r="F20" s="141"/>
      <c r="G20" s="142">
        <f>'Supra A por pav'!M22+'Supra B por pav'!M22</f>
        <v>3.9729999999999999</v>
      </c>
      <c r="H20" s="143">
        <f>'Supra A por pav'!L22+'Supra B por pav'!L22</f>
        <v>386.75</v>
      </c>
      <c r="I20" s="143">
        <f>'Supra A por pav'!C22+'Supra B por pav'!C22</f>
        <v>0</v>
      </c>
      <c r="J20" s="143">
        <f>'Supra A por pav'!D22+'Supra B por pav'!D22</f>
        <v>0</v>
      </c>
      <c r="K20" s="143">
        <f>'Supra A por pav'!E22+'Supra B por pav'!E22</f>
        <v>0</v>
      </c>
      <c r="L20" s="143">
        <f>'Supra A por pav'!F22+'Supra B por pav'!F22</f>
        <v>18</v>
      </c>
      <c r="M20" s="143">
        <f>'Supra A por pav'!G22+'Supra B por pav'!G22</f>
        <v>368.75</v>
      </c>
      <c r="N20" s="143">
        <f>'Supra A por pav'!H22+'Supra B por pav'!H22</f>
        <v>0</v>
      </c>
      <c r="O20" s="143">
        <f>'Supra A por pav'!I22+'Supra B por pav'!I22</f>
        <v>0</v>
      </c>
      <c r="P20" s="164">
        <f>'Supra A por pav'!J22+'Supra B por pav'!J22</f>
        <v>0</v>
      </c>
      <c r="Q20" s="168">
        <f>'Supra A por pav'!K22+'Supra B por pav'!K22</f>
        <v>0</v>
      </c>
    </row>
    <row r="21" spans="1:17" ht="15.75" thickBot="1" x14ac:dyDescent="0.3">
      <c r="A21" s="161"/>
      <c r="B21" s="157"/>
      <c r="C21" s="144"/>
      <c r="D21" s="144"/>
      <c r="E21" s="144" t="s">
        <v>55</v>
      </c>
      <c r="F21" s="145"/>
      <c r="G21" s="146">
        <f>'Supra A por pav'!M23+'Supra B por pav'!M23</f>
        <v>9.5</v>
      </c>
      <c r="H21" s="147">
        <f>'Supra A por pav'!L23+'Supra B por pav'!L23</f>
        <v>624</v>
      </c>
      <c r="I21" s="147">
        <f>'Supra A por pav'!C23+'Supra B por pav'!C23</f>
        <v>109</v>
      </c>
      <c r="J21" s="147">
        <f>'Supra A por pav'!D23+'Supra B por pav'!D23</f>
        <v>0</v>
      </c>
      <c r="K21" s="147">
        <f>'Supra A por pav'!E23+'Supra B por pav'!E23</f>
        <v>0</v>
      </c>
      <c r="L21" s="147">
        <f>'Supra A por pav'!F23+'Supra B por pav'!F23</f>
        <v>184</v>
      </c>
      <c r="M21" s="147">
        <f>'Supra A por pav'!G23+'Supra B por pav'!G23</f>
        <v>331</v>
      </c>
      <c r="N21" s="147">
        <f>'Supra A por pav'!H23+'Supra B por pav'!H23</f>
        <v>0</v>
      </c>
      <c r="O21" s="147">
        <f>'Supra A por pav'!I23+'Supra B por pav'!I23</f>
        <v>0</v>
      </c>
      <c r="P21" s="165">
        <f>'Supra A por pav'!J23+'Supra B por pav'!J23</f>
        <v>0</v>
      </c>
      <c r="Q21" s="169">
        <f>'Supra A por pav'!K23+'Supra B por pav'!K23</f>
        <v>0</v>
      </c>
    </row>
    <row r="22" spans="1:17" ht="16.5" thickTop="1" thickBot="1" x14ac:dyDescent="0.3">
      <c r="A22" s="162" t="s">
        <v>245</v>
      </c>
      <c r="B22" s="158" t="s">
        <v>165</v>
      </c>
      <c r="C22" s="152" t="s">
        <v>60</v>
      </c>
      <c r="D22" s="152" t="s">
        <v>248</v>
      </c>
      <c r="E22" s="152"/>
      <c r="F22" s="153">
        <v>50</v>
      </c>
      <c r="G22" s="154">
        <f t="shared" ref="G22:Q22" si="2">SUM(G17:G21)</f>
        <v>494.76299999999998</v>
      </c>
      <c r="H22" s="155">
        <f t="shared" si="2"/>
        <v>69322.75</v>
      </c>
      <c r="I22" s="155">
        <f t="shared" si="2"/>
        <v>2812</v>
      </c>
      <c r="J22" s="155">
        <f t="shared" si="2"/>
        <v>694</v>
      </c>
      <c r="K22" s="155">
        <f t="shared" si="2"/>
        <v>1348</v>
      </c>
      <c r="L22" s="155">
        <f t="shared" si="2"/>
        <v>7174</v>
      </c>
      <c r="M22" s="155">
        <f t="shared" si="2"/>
        <v>5431.75</v>
      </c>
      <c r="N22" s="155">
        <f t="shared" si="2"/>
        <v>4073</v>
      </c>
      <c r="O22" s="155">
        <f t="shared" si="2"/>
        <v>19838</v>
      </c>
      <c r="P22" s="166">
        <f t="shared" si="2"/>
        <v>8122</v>
      </c>
      <c r="Q22" s="170">
        <f t="shared" si="2"/>
        <v>19830</v>
      </c>
    </row>
    <row r="23" spans="1:17" ht="15.75" thickTop="1" x14ac:dyDescent="0.25">
      <c r="A23" s="163" t="s">
        <v>245</v>
      </c>
      <c r="B23" s="159" t="s">
        <v>165</v>
      </c>
      <c r="C23" s="148" t="s">
        <v>61</v>
      </c>
      <c r="D23" s="148" t="s">
        <v>61</v>
      </c>
      <c r="E23" s="148" t="s">
        <v>51</v>
      </c>
      <c r="F23" s="149">
        <v>50</v>
      </c>
      <c r="G23" s="150">
        <f>'Supra A por pav'!M25+'Supra B por pav'!M25</f>
        <v>46.519999999999996</v>
      </c>
      <c r="H23" s="151">
        <f>'Supra A por pav'!L25+'Supra B por pav'!L25</f>
        <v>4964</v>
      </c>
      <c r="I23" s="151">
        <f>'Supra A por pav'!C25+'Supra B por pav'!C25</f>
        <v>0</v>
      </c>
      <c r="J23" s="151">
        <f>'Supra A por pav'!D25+'Supra B por pav'!D25</f>
        <v>348</v>
      </c>
      <c r="K23" s="151">
        <f>'Supra A por pav'!E25+'Supra B por pav'!E25</f>
        <v>708</v>
      </c>
      <c r="L23" s="151">
        <f>'Supra A por pav'!F25+'Supra B por pav'!F25</f>
        <v>235</v>
      </c>
      <c r="M23" s="151">
        <f>'Supra A por pav'!G25+'Supra B por pav'!G25</f>
        <v>289</v>
      </c>
      <c r="N23" s="151">
        <f>'Supra A por pav'!H25+'Supra B por pav'!H25</f>
        <v>1253</v>
      </c>
      <c r="O23" s="151">
        <f>'Supra A por pav'!I25+'Supra B por pav'!I25</f>
        <v>841</v>
      </c>
      <c r="P23" s="167">
        <f>'Supra A por pav'!J25+'Supra B por pav'!J25</f>
        <v>1290</v>
      </c>
      <c r="Q23" s="171">
        <f>'Supra A por pav'!K25+'Supra B por pav'!K25</f>
        <v>0</v>
      </c>
    </row>
    <row r="24" spans="1:17" x14ac:dyDescent="0.25">
      <c r="A24" s="160"/>
      <c r="B24" s="156"/>
      <c r="C24" s="140"/>
      <c r="D24" s="140"/>
      <c r="E24" s="140" t="s">
        <v>52</v>
      </c>
      <c r="F24" s="141"/>
      <c r="G24" s="142">
        <f>'Supra A por pav'!M26+'Supra B por pav'!M26</f>
        <v>104.08000000000001</v>
      </c>
      <c r="H24" s="143">
        <f>'Supra A por pav'!L26+'Supra B por pav'!L26</f>
        <v>23836</v>
      </c>
      <c r="I24" s="143">
        <f>'Supra A por pav'!C26+'Supra B por pav'!C26</f>
        <v>0</v>
      </c>
      <c r="J24" s="143">
        <f>'Supra A por pav'!D26+'Supra B por pav'!D26</f>
        <v>447</v>
      </c>
      <c r="K24" s="143">
        <f>'Supra A por pav'!E26+'Supra B por pav'!E26</f>
        <v>543</v>
      </c>
      <c r="L24" s="143">
        <f>'Supra A por pav'!F26+'Supra B por pav'!F26</f>
        <v>2304</v>
      </c>
      <c r="M24" s="143">
        <f>'Supra A por pav'!G26+'Supra B por pav'!G26</f>
        <v>151</v>
      </c>
      <c r="N24" s="143">
        <f>'Supra A por pav'!H26+'Supra B por pav'!H26</f>
        <v>361</v>
      </c>
      <c r="O24" s="143">
        <f>'Supra A por pav'!I26+'Supra B por pav'!I26</f>
        <v>2142</v>
      </c>
      <c r="P24" s="164">
        <f>'Supra A por pav'!J26+'Supra B por pav'!J26</f>
        <v>8911</v>
      </c>
      <c r="Q24" s="168">
        <f>'Supra A por pav'!K26+'Supra B por pav'!K26</f>
        <v>8977</v>
      </c>
    </row>
    <row r="25" spans="1:17" x14ac:dyDescent="0.25">
      <c r="A25" s="160"/>
      <c r="B25" s="156"/>
      <c r="C25" s="140"/>
      <c r="D25" s="140"/>
      <c r="E25" s="140" t="s">
        <v>53</v>
      </c>
      <c r="F25" s="141"/>
      <c r="G25" s="142">
        <f>'Supra A por pav'!M27+'Supra B por pav'!M27</f>
        <v>288.60000000000002</v>
      </c>
      <c r="H25" s="143">
        <f>'Supra A por pav'!L27+'Supra B por pav'!L27</f>
        <v>29605</v>
      </c>
      <c r="I25" s="143">
        <f>'Supra A por pav'!C27+'Supra B por pav'!C27</f>
        <v>2769</v>
      </c>
      <c r="J25" s="143">
        <f>'Supra A por pav'!D27+'Supra B por pav'!D27</f>
        <v>0</v>
      </c>
      <c r="K25" s="143">
        <f>'Supra A por pav'!E27+'Supra B por pav'!E27</f>
        <v>0</v>
      </c>
      <c r="L25" s="143">
        <f>'Supra A por pav'!F27+'Supra B por pav'!F27</f>
        <v>4383</v>
      </c>
      <c r="M25" s="143">
        <f>'Supra A por pav'!G27+'Supra B por pav'!G27</f>
        <v>3548</v>
      </c>
      <c r="N25" s="143">
        <f>'Supra A por pav'!H27+'Supra B por pav'!H27</f>
        <v>3335</v>
      </c>
      <c r="O25" s="143">
        <f>'Supra A por pav'!I27+'Supra B por pav'!I27</f>
        <v>15173</v>
      </c>
      <c r="P25" s="164">
        <f>'Supra A por pav'!J27+'Supra B por pav'!J27</f>
        <v>397</v>
      </c>
      <c r="Q25" s="168">
        <f>'Supra A por pav'!K27+'Supra B por pav'!K27</f>
        <v>0</v>
      </c>
    </row>
    <row r="26" spans="1:17" x14ac:dyDescent="0.25">
      <c r="A26" s="160"/>
      <c r="B26" s="156"/>
      <c r="C26" s="140"/>
      <c r="D26" s="140"/>
      <c r="E26" s="140" t="s">
        <v>54</v>
      </c>
      <c r="F26" s="141"/>
      <c r="G26" s="142">
        <f>'Supra A por pav'!M28+'Supra B por pav'!M28</f>
        <v>3.9729999999999999</v>
      </c>
      <c r="H26" s="143">
        <f>'Supra A por pav'!L28+'Supra B por pav'!L28</f>
        <v>386.75</v>
      </c>
      <c r="I26" s="143">
        <f>'Supra A por pav'!C28+'Supra B por pav'!C28</f>
        <v>0</v>
      </c>
      <c r="J26" s="143">
        <f>'Supra A por pav'!D28+'Supra B por pav'!D28</f>
        <v>0</v>
      </c>
      <c r="K26" s="143">
        <f>'Supra A por pav'!E28+'Supra B por pav'!E28</f>
        <v>0</v>
      </c>
      <c r="L26" s="143">
        <f>'Supra A por pav'!F28+'Supra B por pav'!F28</f>
        <v>18</v>
      </c>
      <c r="M26" s="143">
        <f>'Supra A por pav'!G28+'Supra B por pav'!G28</f>
        <v>368.75</v>
      </c>
      <c r="N26" s="143">
        <f>'Supra A por pav'!H28+'Supra B por pav'!H28</f>
        <v>0</v>
      </c>
      <c r="O26" s="143">
        <f>'Supra A por pav'!I28+'Supra B por pav'!I28</f>
        <v>0</v>
      </c>
      <c r="P26" s="164">
        <f>'Supra A por pav'!J28+'Supra B por pav'!J28</f>
        <v>0</v>
      </c>
      <c r="Q26" s="168">
        <f>'Supra A por pav'!K28+'Supra B por pav'!K28</f>
        <v>0</v>
      </c>
    </row>
    <row r="27" spans="1:17" ht="15.75" thickBot="1" x14ac:dyDescent="0.3">
      <c r="A27" s="161"/>
      <c r="B27" s="157"/>
      <c r="C27" s="144"/>
      <c r="D27" s="144"/>
      <c r="E27" s="144" t="s">
        <v>55</v>
      </c>
      <c r="F27" s="145"/>
      <c r="G27" s="146">
        <f>'Supra A por pav'!M29+'Supra B por pav'!M29</f>
        <v>9.5</v>
      </c>
      <c r="H27" s="147">
        <f>'Supra A por pav'!L29+'Supra B por pav'!L29</f>
        <v>624</v>
      </c>
      <c r="I27" s="147">
        <f>'Supra A por pav'!C29+'Supra B por pav'!C29</f>
        <v>109</v>
      </c>
      <c r="J27" s="147">
        <f>'Supra A por pav'!D29+'Supra B por pav'!D29</f>
        <v>0</v>
      </c>
      <c r="K27" s="147">
        <f>'Supra A por pav'!E29+'Supra B por pav'!E29</f>
        <v>0</v>
      </c>
      <c r="L27" s="147">
        <f>'Supra A por pav'!F29+'Supra B por pav'!F29</f>
        <v>184</v>
      </c>
      <c r="M27" s="147">
        <f>'Supra A por pav'!G29+'Supra B por pav'!G29</f>
        <v>331</v>
      </c>
      <c r="N27" s="147">
        <f>'Supra A por pav'!H29+'Supra B por pav'!H29</f>
        <v>0</v>
      </c>
      <c r="O27" s="147">
        <f>'Supra A por pav'!I29+'Supra B por pav'!I29</f>
        <v>0</v>
      </c>
      <c r="P27" s="165">
        <f>'Supra A por pav'!J29+'Supra B por pav'!J29</f>
        <v>0</v>
      </c>
      <c r="Q27" s="169">
        <f>'Supra A por pav'!K29+'Supra B por pav'!K29</f>
        <v>0</v>
      </c>
    </row>
    <row r="28" spans="1:17" ht="16.5" thickTop="1" thickBot="1" x14ac:dyDescent="0.3">
      <c r="A28" s="162" t="s">
        <v>245</v>
      </c>
      <c r="B28" s="158" t="s">
        <v>165</v>
      </c>
      <c r="C28" s="152" t="s">
        <v>61</v>
      </c>
      <c r="D28" s="152" t="s">
        <v>249</v>
      </c>
      <c r="E28" s="152"/>
      <c r="F28" s="153">
        <v>50</v>
      </c>
      <c r="G28" s="154">
        <f t="shared" ref="G28:Q28" si="3">SUM(G23:G27)</f>
        <v>452.67300000000006</v>
      </c>
      <c r="H28" s="155">
        <f t="shared" si="3"/>
        <v>59415.75</v>
      </c>
      <c r="I28" s="155">
        <f t="shared" si="3"/>
        <v>2878</v>
      </c>
      <c r="J28" s="155">
        <f t="shared" si="3"/>
        <v>795</v>
      </c>
      <c r="K28" s="155">
        <f t="shared" si="3"/>
        <v>1251</v>
      </c>
      <c r="L28" s="155">
        <f t="shared" si="3"/>
        <v>7124</v>
      </c>
      <c r="M28" s="155">
        <f t="shared" si="3"/>
        <v>4687.75</v>
      </c>
      <c r="N28" s="155">
        <f t="shared" si="3"/>
        <v>4949</v>
      </c>
      <c r="O28" s="155">
        <f t="shared" si="3"/>
        <v>18156</v>
      </c>
      <c r="P28" s="166">
        <f t="shared" si="3"/>
        <v>10598</v>
      </c>
      <c r="Q28" s="170">
        <f t="shared" si="3"/>
        <v>8977</v>
      </c>
    </row>
    <row r="29" spans="1:17" ht="15.75" thickTop="1" x14ac:dyDescent="0.25">
      <c r="A29" s="163" t="s">
        <v>245</v>
      </c>
      <c r="B29" s="159" t="s">
        <v>165</v>
      </c>
      <c r="C29" s="148" t="s">
        <v>62</v>
      </c>
      <c r="D29" s="148" t="s">
        <v>62</v>
      </c>
      <c r="E29" s="148" t="s">
        <v>51</v>
      </c>
      <c r="F29" s="149">
        <v>50</v>
      </c>
      <c r="G29" s="150">
        <f>'Supra A por pav'!M31+'Supra B por pav'!M31</f>
        <v>46.28</v>
      </c>
      <c r="H29" s="151">
        <f>'Supra A por pav'!L31+'Supra B por pav'!L31</f>
        <v>5129</v>
      </c>
      <c r="I29" s="151">
        <f>'Supra A por pav'!C31+'Supra B por pav'!C31</f>
        <v>0</v>
      </c>
      <c r="J29" s="151">
        <f>'Supra A por pav'!D31+'Supra B por pav'!D31</f>
        <v>351</v>
      </c>
      <c r="K29" s="151">
        <f>'Supra A por pav'!E31+'Supra B por pav'!E31</f>
        <v>683</v>
      </c>
      <c r="L29" s="151">
        <f>'Supra A por pav'!F31+'Supra B por pav'!F31</f>
        <v>271</v>
      </c>
      <c r="M29" s="151">
        <f>'Supra A por pav'!G31+'Supra B por pav'!G31</f>
        <v>268</v>
      </c>
      <c r="N29" s="151">
        <f>'Supra A por pav'!H31+'Supra B por pav'!H31</f>
        <v>1308</v>
      </c>
      <c r="O29" s="151">
        <f>'Supra A por pav'!I31+'Supra B por pav'!I31</f>
        <v>715</v>
      </c>
      <c r="P29" s="167">
        <f>'Supra A por pav'!J31+'Supra B por pav'!J31</f>
        <v>1533</v>
      </c>
      <c r="Q29" s="171">
        <f>'Supra A por pav'!K31+'Supra B por pav'!K31</f>
        <v>0</v>
      </c>
    </row>
    <row r="30" spans="1:17" x14ac:dyDescent="0.25">
      <c r="A30" s="160"/>
      <c r="B30" s="156"/>
      <c r="C30" s="140"/>
      <c r="D30" s="140"/>
      <c r="E30" s="140" t="s">
        <v>52</v>
      </c>
      <c r="F30" s="141"/>
      <c r="G30" s="142">
        <f>'Supra A por pav'!M32+'Supra B por pav'!M32</f>
        <v>101.92</v>
      </c>
      <c r="H30" s="143">
        <f>'Supra A por pav'!L32+'Supra B por pav'!L32</f>
        <v>22195</v>
      </c>
      <c r="I30" s="143">
        <f>'Supra A por pav'!C32+'Supra B por pav'!C32</f>
        <v>0</v>
      </c>
      <c r="J30" s="143">
        <f>'Supra A por pav'!D32+'Supra B por pav'!D32</f>
        <v>425</v>
      </c>
      <c r="K30" s="143">
        <f>'Supra A por pav'!E32+'Supra B por pav'!E32</f>
        <v>570</v>
      </c>
      <c r="L30" s="143">
        <f>'Supra A por pav'!F32+'Supra B por pav'!F32</f>
        <v>2308</v>
      </c>
      <c r="M30" s="143">
        <f>'Supra A por pav'!G32+'Supra B por pav'!G32</f>
        <v>0</v>
      </c>
      <c r="N30" s="143">
        <f>'Supra A por pav'!H32+'Supra B por pav'!H32</f>
        <v>365</v>
      </c>
      <c r="O30" s="143">
        <f>'Supra A por pav'!I32+'Supra B por pav'!I32</f>
        <v>2142</v>
      </c>
      <c r="P30" s="164">
        <f>'Supra A por pav'!J32+'Supra B por pav'!J32</f>
        <v>9738</v>
      </c>
      <c r="Q30" s="168">
        <f>'Supra A por pav'!K32+'Supra B por pav'!K32</f>
        <v>6647</v>
      </c>
    </row>
    <row r="31" spans="1:17" x14ac:dyDescent="0.25">
      <c r="A31" s="160"/>
      <c r="B31" s="156"/>
      <c r="C31" s="140"/>
      <c r="D31" s="140"/>
      <c r="E31" s="140" t="s">
        <v>53</v>
      </c>
      <c r="F31" s="141"/>
      <c r="G31" s="142">
        <f>'Supra A por pav'!M33+'Supra B por pav'!M33</f>
        <v>289.60000000000002</v>
      </c>
      <c r="H31" s="143">
        <f>'Supra A por pav'!L33+'Supra B por pav'!L33</f>
        <v>29572</v>
      </c>
      <c r="I31" s="143">
        <f>'Supra A por pav'!C33+'Supra B por pav'!C33</f>
        <v>2769</v>
      </c>
      <c r="J31" s="143">
        <f>'Supra A por pav'!D33+'Supra B por pav'!D33</f>
        <v>0</v>
      </c>
      <c r="K31" s="143">
        <f>'Supra A por pav'!E33+'Supra B por pav'!E33</f>
        <v>0</v>
      </c>
      <c r="L31" s="143">
        <f>'Supra A por pav'!F33+'Supra B por pav'!F33</f>
        <v>4427</v>
      </c>
      <c r="M31" s="143">
        <f>'Supra A por pav'!G33+'Supra B por pav'!G33</f>
        <v>3418</v>
      </c>
      <c r="N31" s="143">
        <f>'Supra A por pav'!H33+'Supra B por pav'!H33</f>
        <v>3705</v>
      </c>
      <c r="O31" s="143">
        <f>'Supra A por pav'!I33+'Supra B por pav'!I33</f>
        <v>15253</v>
      </c>
      <c r="P31" s="164">
        <f>'Supra A por pav'!J33+'Supra B por pav'!J33</f>
        <v>0</v>
      </c>
      <c r="Q31" s="168">
        <f>'Supra A por pav'!K33+'Supra B por pav'!K33</f>
        <v>0</v>
      </c>
    </row>
    <row r="32" spans="1:17" x14ac:dyDescent="0.25">
      <c r="A32" s="160"/>
      <c r="B32" s="156"/>
      <c r="C32" s="140"/>
      <c r="D32" s="140"/>
      <c r="E32" s="140" t="s">
        <v>54</v>
      </c>
      <c r="F32" s="141"/>
      <c r="G32" s="142">
        <f>'Supra A por pav'!M34+'Supra B por pav'!M34</f>
        <v>3.9729999999999999</v>
      </c>
      <c r="H32" s="143">
        <f>'Supra A por pav'!L34+'Supra B por pav'!L34</f>
        <v>386.75</v>
      </c>
      <c r="I32" s="143">
        <f>'Supra A por pav'!C34+'Supra B por pav'!C34</f>
        <v>0</v>
      </c>
      <c r="J32" s="143">
        <f>'Supra A por pav'!D34+'Supra B por pav'!D34</f>
        <v>0</v>
      </c>
      <c r="K32" s="143">
        <f>'Supra A por pav'!E34+'Supra B por pav'!E34</f>
        <v>0</v>
      </c>
      <c r="L32" s="143">
        <f>'Supra A por pav'!F34+'Supra B por pav'!F34</f>
        <v>18</v>
      </c>
      <c r="M32" s="143">
        <f>'Supra A por pav'!G34+'Supra B por pav'!G34</f>
        <v>368.75</v>
      </c>
      <c r="N32" s="143">
        <f>'Supra A por pav'!H34+'Supra B por pav'!H34</f>
        <v>0</v>
      </c>
      <c r="O32" s="143">
        <f>'Supra A por pav'!I34+'Supra B por pav'!I34</f>
        <v>0</v>
      </c>
      <c r="P32" s="164">
        <f>'Supra A por pav'!J34+'Supra B por pav'!J34</f>
        <v>0</v>
      </c>
      <c r="Q32" s="168">
        <f>'Supra A por pav'!K34+'Supra B por pav'!K34</f>
        <v>0</v>
      </c>
    </row>
    <row r="33" spans="1:17" ht="15.75" thickBot="1" x14ac:dyDescent="0.3">
      <c r="A33" s="161"/>
      <c r="B33" s="157"/>
      <c r="C33" s="144"/>
      <c r="D33" s="144"/>
      <c r="E33" s="144" t="s">
        <v>55</v>
      </c>
      <c r="F33" s="145"/>
      <c r="G33" s="146">
        <f>'Supra A por pav'!M35+'Supra B por pav'!M35</f>
        <v>9.5</v>
      </c>
      <c r="H33" s="147">
        <f>'Supra A por pav'!L35+'Supra B por pav'!L35</f>
        <v>624</v>
      </c>
      <c r="I33" s="147">
        <f>'Supra A por pav'!C35+'Supra B por pav'!C35</f>
        <v>109</v>
      </c>
      <c r="J33" s="147">
        <f>'Supra A por pav'!D35+'Supra B por pav'!D35</f>
        <v>0</v>
      </c>
      <c r="K33" s="147">
        <f>'Supra A por pav'!E35+'Supra B por pav'!E35</f>
        <v>0</v>
      </c>
      <c r="L33" s="147">
        <f>'Supra A por pav'!F35+'Supra B por pav'!F35</f>
        <v>184</v>
      </c>
      <c r="M33" s="147">
        <f>'Supra A por pav'!G35+'Supra B por pav'!G35</f>
        <v>331</v>
      </c>
      <c r="N33" s="147">
        <f>'Supra A por pav'!H35+'Supra B por pav'!H35</f>
        <v>0</v>
      </c>
      <c r="O33" s="147">
        <f>'Supra A por pav'!I35+'Supra B por pav'!I35</f>
        <v>0</v>
      </c>
      <c r="P33" s="165">
        <f>'Supra A por pav'!J35+'Supra B por pav'!J35</f>
        <v>0</v>
      </c>
      <c r="Q33" s="169">
        <f>'Supra A por pav'!K35+'Supra B por pav'!K35</f>
        <v>0</v>
      </c>
    </row>
    <row r="34" spans="1:17" ht="16.5" thickTop="1" thickBot="1" x14ac:dyDescent="0.3">
      <c r="A34" s="162" t="s">
        <v>245</v>
      </c>
      <c r="B34" s="158" t="s">
        <v>165</v>
      </c>
      <c r="C34" s="152" t="s">
        <v>62</v>
      </c>
      <c r="D34" s="152" t="s">
        <v>250</v>
      </c>
      <c r="E34" s="152"/>
      <c r="F34" s="153">
        <v>50</v>
      </c>
      <c r="G34" s="154">
        <f t="shared" ref="G34:Q34" si="4">SUM(G29:G33)</f>
        <v>451.27300000000002</v>
      </c>
      <c r="H34" s="155">
        <f t="shared" si="4"/>
        <v>57906.75</v>
      </c>
      <c r="I34" s="155">
        <f t="shared" si="4"/>
        <v>2878</v>
      </c>
      <c r="J34" s="155">
        <f t="shared" si="4"/>
        <v>776</v>
      </c>
      <c r="K34" s="155">
        <f t="shared" si="4"/>
        <v>1253</v>
      </c>
      <c r="L34" s="155">
        <f t="shared" si="4"/>
        <v>7208</v>
      </c>
      <c r="M34" s="155">
        <f t="shared" si="4"/>
        <v>4385.75</v>
      </c>
      <c r="N34" s="155">
        <f t="shared" si="4"/>
        <v>5378</v>
      </c>
      <c r="O34" s="155">
        <f t="shared" si="4"/>
        <v>18110</v>
      </c>
      <c r="P34" s="166">
        <f t="shared" si="4"/>
        <v>11271</v>
      </c>
      <c r="Q34" s="170">
        <f t="shared" si="4"/>
        <v>6647</v>
      </c>
    </row>
    <row r="35" spans="1:17" ht="15.75" thickTop="1" x14ac:dyDescent="0.25">
      <c r="A35" s="163" t="s">
        <v>245</v>
      </c>
      <c r="B35" s="159" t="s">
        <v>165</v>
      </c>
      <c r="C35" s="148" t="s">
        <v>63</v>
      </c>
      <c r="D35" s="148" t="s">
        <v>63</v>
      </c>
      <c r="E35" s="148" t="s">
        <v>51</v>
      </c>
      <c r="F35" s="149">
        <v>50</v>
      </c>
      <c r="G35" s="150">
        <f>'Supra A por pav'!M37+'Supra B por pav'!M37</f>
        <v>46.92</v>
      </c>
      <c r="H35" s="151">
        <f>'Supra A por pav'!L37+'Supra B por pav'!L37</f>
        <v>5466</v>
      </c>
      <c r="I35" s="151">
        <f>'Supra A por pav'!C37+'Supra B por pav'!C37</f>
        <v>0</v>
      </c>
      <c r="J35" s="151">
        <f>'Supra A por pav'!D37+'Supra B por pav'!D37</f>
        <v>360</v>
      </c>
      <c r="K35" s="151">
        <f>'Supra A por pav'!E37+'Supra B por pav'!E37</f>
        <v>670</v>
      </c>
      <c r="L35" s="151">
        <f>'Supra A por pav'!F37+'Supra B por pav'!F37</f>
        <v>305</v>
      </c>
      <c r="M35" s="151">
        <f>'Supra A por pav'!G37+'Supra B por pav'!G37</f>
        <v>173</v>
      </c>
      <c r="N35" s="151">
        <f>'Supra A por pav'!H37+'Supra B por pav'!H37</f>
        <v>1267</v>
      </c>
      <c r="O35" s="151">
        <f>'Supra A por pav'!I37+'Supra B por pav'!I37</f>
        <v>1134</v>
      </c>
      <c r="P35" s="167">
        <f>'Supra A por pav'!J37+'Supra B por pav'!J37</f>
        <v>1557</v>
      </c>
      <c r="Q35" s="171">
        <f>'Supra A por pav'!K37+'Supra B por pav'!K37</f>
        <v>0</v>
      </c>
    </row>
    <row r="36" spans="1:17" x14ac:dyDescent="0.25">
      <c r="A36" s="160"/>
      <c r="B36" s="156"/>
      <c r="C36" s="140"/>
      <c r="D36" s="140"/>
      <c r="E36" s="140" t="s">
        <v>52</v>
      </c>
      <c r="F36" s="141"/>
      <c r="G36" s="142">
        <f>'Supra A por pav'!M38+'Supra B por pav'!M38</f>
        <v>102.30000000000001</v>
      </c>
      <c r="H36" s="143">
        <f>'Supra A por pav'!L38+'Supra B por pav'!L38</f>
        <v>21819</v>
      </c>
      <c r="I36" s="143">
        <f>'Supra A por pav'!C38+'Supra B por pav'!C38</f>
        <v>0</v>
      </c>
      <c r="J36" s="143">
        <f>'Supra A por pav'!D38+'Supra B por pav'!D38</f>
        <v>448</v>
      </c>
      <c r="K36" s="143">
        <f>'Supra A por pav'!E38+'Supra B por pav'!E38</f>
        <v>603</v>
      </c>
      <c r="L36" s="143">
        <f>'Supra A por pav'!F38+'Supra B por pav'!F38</f>
        <v>2198</v>
      </c>
      <c r="M36" s="143">
        <f>'Supra A por pav'!G38+'Supra B por pav'!G38</f>
        <v>0</v>
      </c>
      <c r="N36" s="143">
        <f>'Supra A por pav'!H38+'Supra B por pav'!H38</f>
        <v>378</v>
      </c>
      <c r="O36" s="143">
        <f>'Supra A por pav'!I38+'Supra B por pav'!I38</f>
        <v>2567</v>
      </c>
      <c r="P36" s="164">
        <f>'Supra A por pav'!J38+'Supra B por pav'!J38</f>
        <v>8978</v>
      </c>
      <c r="Q36" s="168">
        <f>'Supra A por pav'!K38+'Supra B por pav'!K38</f>
        <v>6647</v>
      </c>
    </row>
    <row r="37" spans="1:17" x14ac:dyDescent="0.25">
      <c r="A37" s="160"/>
      <c r="B37" s="156"/>
      <c r="C37" s="140"/>
      <c r="D37" s="140"/>
      <c r="E37" s="140" t="s">
        <v>53</v>
      </c>
      <c r="F37" s="141"/>
      <c r="G37" s="142">
        <f>'Supra A por pav'!M39+'Supra B por pav'!M39</f>
        <v>289.60000000000002</v>
      </c>
      <c r="H37" s="143">
        <f>'Supra A por pav'!L39+'Supra B por pav'!L39</f>
        <v>29319</v>
      </c>
      <c r="I37" s="143">
        <f>'Supra A por pav'!C39+'Supra B por pav'!C39</f>
        <v>2790</v>
      </c>
      <c r="J37" s="143">
        <f>'Supra A por pav'!D39+'Supra B por pav'!D39</f>
        <v>0</v>
      </c>
      <c r="K37" s="143">
        <f>'Supra A por pav'!E39+'Supra B por pav'!E39</f>
        <v>0</v>
      </c>
      <c r="L37" s="143">
        <f>'Supra A por pav'!F39+'Supra B por pav'!F39</f>
        <v>4382</v>
      </c>
      <c r="M37" s="143">
        <f>'Supra A por pav'!G39+'Supra B por pav'!G39</f>
        <v>3308</v>
      </c>
      <c r="N37" s="143">
        <f>'Supra A por pav'!H39+'Supra B por pav'!H39</f>
        <v>3826</v>
      </c>
      <c r="O37" s="143">
        <f>'Supra A por pav'!I39+'Supra B por pav'!I39</f>
        <v>15013</v>
      </c>
      <c r="P37" s="164">
        <f>'Supra A por pav'!J39+'Supra B por pav'!J39</f>
        <v>0</v>
      </c>
      <c r="Q37" s="168">
        <f>'Supra A por pav'!K39+'Supra B por pav'!K39</f>
        <v>0</v>
      </c>
    </row>
    <row r="38" spans="1:17" x14ac:dyDescent="0.25">
      <c r="A38" s="160"/>
      <c r="B38" s="156"/>
      <c r="C38" s="140"/>
      <c r="D38" s="140"/>
      <c r="E38" s="140" t="s">
        <v>54</v>
      </c>
      <c r="F38" s="141"/>
      <c r="G38" s="142">
        <f>'Supra A por pav'!M40+'Supra B por pav'!M40</f>
        <v>3.9729999999999999</v>
      </c>
      <c r="H38" s="143">
        <f>'Supra A por pav'!L40+'Supra B por pav'!L40</f>
        <v>386.75</v>
      </c>
      <c r="I38" s="143">
        <f>'Supra A por pav'!C40+'Supra B por pav'!C40</f>
        <v>0</v>
      </c>
      <c r="J38" s="143">
        <f>'Supra A por pav'!D40+'Supra B por pav'!D40</f>
        <v>0</v>
      </c>
      <c r="K38" s="143">
        <f>'Supra A por pav'!E40+'Supra B por pav'!E40</f>
        <v>0</v>
      </c>
      <c r="L38" s="143">
        <f>'Supra A por pav'!F40+'Supra B por pav'!F40</f>
        <v>18</v>
      </c>
      <c r="M38" s="143">
        <f>'Supra A por pav'!G40+'Supra B por pav'!G40</f>
        <v>368.75</v>
      </c>
      <c r="N38" s="143">
        <f>'Supra A por pav'!H40+'Supra B por pav'!H40</f>
        <v>0</v>
      </c>
      <c r="O38" s="143">
        <f>'Supra A por pav'!I40+'Supra B por pav'!I40</f>
        <v>0</v>
      </c>
      <c r="P38" s="164">
        <f>'Supra A por pav'!J40+'Supra B por pav'!J40</f>
        <v>0</v>
      </c>
      <c r="Q38" s="168">
        <f>'Supra A por pav'!K40+'Supra B por pav'!K40</f>
        <v>0</v>
      </c>
    </row>
    <row r="39" spans="1:17" ht="15.75" thickBot="1" x14ac:dyDescent="0.3">
      <c r="A39" s="161"/>
      <c r="B39" s="157"/>
      <c r="C39" s="144"/>
      <c r="D39" s="144"/>
      <c r="E39" s="144" t="s">
        <v>55</v>
      </c>
      <c r="F39" s="145"/>
      <c r="G39" s="146">
        <f>'Supra A por pav'!M41+'Supra B por pav'!M41</f>
        <v>8.5</v>
      </c>
      <c r="H39" s="147">
        <f>'Supra A por pav'!L41+'Supra B por pav'!L41</f>
        <v>587</v>
      </c>
      <c r="I39" s="147">
        <f>'Supra A por pav'!C41+'Supra B por pav'!C41</f>
        <v>109</v>
      </c>
      <c r="J39" s="147">
        <f>'Supra A por pav'!D41+'Supra B por pav'!D41</f>
        <v>0</v>
      </c>
      <c r="K39" s="147">
        <f>'Supra A por pav'!E41+'Supra B por pav'!E41</f>
        <v>0</v>
      </c>
      <c r="L39" s="147">
        <f>'Supra A por pav'!F41+'Supra B por pav'!F41</f>
        <v>172</v>
      </c>
      <c r="M39" s="147">
        <f>'Supra A por pav'!G41+'Supra B por pav'!G41</f>
        <v>306</v>
      </c>
      <c r="N39" s="147">
        <f>'Supra A por pav'!H41+'Supra B por pav'!H41</f>
        <v>0</v>
      </c>
      <c r="O39" s="147">
        <f>'Supra A por pav'!I41+'Supra B por pav'!I41</f>
        <v>0</v>
      </c>
      <c r="P39" s="165">
        <f>'Supra A por pav'!J41+'Supra B por pav'!J41</f>
        <v>0</v>
      </c>
      <c r="Q39" s="169">
        <f>'Supra A por pav'!K41+'Supra B por pav'!K41</f>
        <v>0</v>
      </c>
    </row>
    <row r="40" spans="1:17" ht="16.5" thickTop="1" thickBot="1" x14ac:dyDescent="0.3">
      <c r="A40" s="162" t="s">
        <v>245</v>
      </c>
      <c r="B40" s="158" t="s">
        <v>165</v>
      </c>
      <c r="C40" s="152" t="s">
        <v>63</v>
      </c>
      <c r="D40" s="152" t="s">
        <v>251</v>
      </c>
      <c r="E40" s="152"/>
      <c r="F40" s="153">
        <v>50</v>
      </c>
      <c r="G40" s="154">
        <f t="shared" ref="G40:Q40" si="5">SUM(G35:G39)</f>
        <v>451.29300000000006</v>
      </c>
      <c r="H40" s="155">
        <f t="shared" si="5"/>
        <v>57577.75</v>
      </c>
      <c r="I40" s="155">
        <f t="shared" si="5"/>
        <v>2899</v>
      </c>
      <c r="J40" s="155">
        <f t="shared" si="5"/>
        <v>808</v>
      </c>
      <c r="K40" s="155">
        <f t="shared" si="5"/>
        <v>1273</v>
      </c>
      <c r="L40" s="155">
        <f t="shared" si="5"/>
        <v>7075</v>
      </c>
      <c r="M40" s="155">
        <f t="shared" si="5"/>
        <v>4155.75</v>
      </c>
      <c r="N40" s="155">
        <f t="shared" si="5"/>
        <v>5471</v>
      </c>
      <c r="O40" s="155">
        <f t="shared" si="5"/>
        <v>18714</v>
      </c>
      <c r="P40" s="166">
        <f t="shared" si="5"/>
        <v>10535</v>
      </c>
      <c r="Q40" s="170">
        <f t="shared" si="5"/>
        <v>6647</v>
      </c>
    </row>
    <row r="41" spans="1:17" ht="15.75" thickTop="1" x14ac:dyDescent="0.25">
      <c r="A41" s="163" t="s">
        <v>245</v>
      </c>
      <c r="B41" s="159" t="s">
        <v>165</v>
      </c>
      <c r="C41" s="148" t="s">
        <v>64</v>
      </c>
      <c r="D41" s="148" t="s">
        <v>64</v>
      </c>
      <c r="E41" s="148" t="s">
        <v>51</v>
      </c>
      <c r="F41" s="149">
        <v>50</v>
      </c>
      <c r="G41" s="150">
        <f>'Supra A por pav'!M43+'Supra B por pav'!M43</f>
        <v>118.53</v>
      </c>
      <c r="H41" s="151">
        <f>'Supra A por pav'!L43+'Supra B por pav'!L43</f>
        <v>15844</v>
      </c>
      <c r="I41" s="151">
        <f>'Supra A por pav'!C43+'Supra B por pav'!C43</f>
        <v>0</v>
      </c>
      <c r="J41" s="151">
        <f>'Supra A por pav'!D43+'Supra B por pav'!D43</f>
        <v>542</v>
      </c>
      <c r="K41" s="151">
        <f>'Supra A por pav'!E43+'Supra B por pav'!E43</f>
        <v>1360</v>
      </c>
      <c r="L41" s="151">
        <f>'Supra A por pav'!F43+'Supra B por pav'!F43</f>
        <v>3018</v>
      </c>
      <c r="M41" s="151">
        <f>'Supra A por pav'!G43+'Supra B por pav'!G43</f>
        <v>244</v>
      </c>
      <c r="N41" s="151">
        <f>'Supra A por pav'!H43+'Supra B por pav'!H43</f>
        <v>1559</v>
      </c>
      <c r="O41" s="151">
        <f>'Supra A por pav'!I43+'Supra B por pav'!I43</f>
        <v>4413</v>
      </c>
      <c r="P41" s="167">
        <f>'Supra A por pav'!J43+'Supra B por pav'!J43</f>
        <v>2843</v>
      </c>
      <c r="Q41" s="171">
        <f>'Supra A por pav'!K43+'Supra B por pav'!K43</f>
        <v>1865</v>
      </c>
    </row>
    <row r="42" spans="1:17" x14ac:dyDescent="0.25">
      <c r="A42" s="160"/>
      <c r="B42" s="156"/>
      <c r="C42" s="140"/>
      <c r="D42" s="140"/>
      <c r="E42" s="140" t="s">
        <v>52</v>
      </c>
      <c r="F42" s="141"/>
      <c r="G42" s="142">
        <f>'Supra A por pav'!M44+'Supra B por pav'!M44</f>
        <v>111.59</v>
      </c>
      <c r="H42" s="143">
        <f>'Supra A por pav'!L44+'Supra B por pav'!L44</f>
        <v>23135</v>
      </c>
      <c r="I42" s="143">
        <f>'Supra A por pav'!C44+'Supra B por pav'!C44</f>
        <v>0</v>
      </c>
      <c r="J42" s="143">
        <f>'Supra A por pav'!D44+'Supra B por pav'!D44</f>
        <v>504</v>
      </c>
      <c r="K42" s="143">
        <f>'Supra A por pav'!E44+'Supra B por pav'!E44</f>
        <v>873</v>
      </c>
      <c r="L42" s="143">
        <f>'Supra A por pav'!F44+'Supra B por pav'!F44</f>
        <v>2255</v>
      </c>
      <c r="M42" s="143">
        <f>'Supra A por pav'!G44+'Supra B por pav'!G44</f>
        <v>0</v>
      </c>
      <c r="N42" s="143">
        <f>'Supra A por pav'!H44+'Supra B por pav'!H44</f>
        <v>346</v>
      </c>
      <c r="O42" s="143">
        <f>'Supra A por pav'!I44+'Supra B por pav'!I44</f>
        <v>2657</v>
      </c>
      <c r="P42" s="164">
        <f>'Supra A por pav'!J44+'Supra B por pav'!J44</f>
        <v>10241</v>
      </c>
      <c r="Q42" s="168">
        <f>'Supra A por pav'!K44+'Supra B por pav'!K44</f>
        <v>6259</v>
      </c>
    </row>
    <row r="43" spans="1:17" x14ac:dyDescent="0.25">
      <c r="A43" s="160"/>
      <c r="B43" s="156"/>
      <c r="C43" s="140"/>
      <c r="D43" s="140"/>
      <c r="E43" s="140" t="s">
        <v>53</v>
      </c>
      <c r="F43" s="141"/>
      <c r="G43" s="142">
        <f>'Supra A por pav'!M45+'Supra B por pav'!M45</f>
        <v>292.79999999999995</v>
      </c>
      <c r="H43" s="143">
        <f>'Supra A por pav'!L45+'Supra B por pav'!L45</f>
        <v>27945</v>
      </c>
      <c r="I43" s="143">
        <f>'Supra A por pav'!C45+'Supra B por pav'!C45</f>
        <v>2790</v>
      </c>
      <c r="J43" s="143">
        <f>'Supra A por pav'!D45+'Supra B por pav'!D45</f>
        <v>0</v>
      </c>
      <c r="K43" s="143">
        <f>'Supra A por pav'!E45+'Supra B por pav'!E45</f>
        <v>46</v>
      </c>
      <c r="L43" s="143">
        <f>'Supra A por pav'!F45+'Supra B por pav'!F45</f>
        <v>4140</v>
      </c>
      <c r="M43" s="143">
        <f>'Supra A por pav'!G45+'Supra B por pav'!G45</f>
        <v>4496</v>
      </c>
      <c r="N43" s="143">
        <f>'Supra A por pav'!H45+'Supra B por pav'!H45</f>
        <v>5960</v>
      </c>
      <c r="O43" s="143">
        <f>'Supra A por pav'!I45+'Supra B por pav'!I45</f>
        <v>10513</v>
      </c>
      <c r="P43" s="164">
        <f>'Supra A por pav'!J45+'Supra B por pav'!J45</f>
        <v>0</v>
      </c>
      <c r="Q43" s="168">
        <f>'Supra A por pav'!K45+'Supra B por pav'!K45</f>
        <v>0</v>
      </c>
    </row>
    <row r="44" spans="1:17" x14ac:dyDescent="0.25">
      <c r="A44" s="160"/>
      <c r="B44" s="156"/>
      <c r="C44" s="140"/>
      <c r="D44" s="140"/>
      <c r="E44" s="140" t="s">
        <v>54</v>
      </c>
      <c r="F44" s="141"/>
      <c r="G44" s="142">
        <f>'Supra A por pav'!M46+'Supra B por pav'!M46</f>
        <v>3.9539999999999997</v>
      </c>
      <c r="H44" s="143">
        <f>'Supra A por pav'!L46+'Supra B por pav'!L46</f>
        <v>356</v>
      </c>
      <c r="I44" s="143">
        <f>'Supra A por pav'!C46+'Supra B por pav'!C46</f>
        <v>0</v>
      </c>
      <c r="J44" s="143">
        <f>'Supra A por pav'!D46+'Supra B por pav'!D46</f>
        <v>1</v>
      </c>
      <c r="K44" s="143">
        <f>'Supra A por pav'!E46+'Supra B por pav'!E46</f>
        <v>0</v>
      </c>
      <c r="L44" s="143">
        <f>'Supra A por pav'!F46+'Supra B por pav'!F46</f>
        <v>16</v>
      </c>
      <c r="M44" s="143">
        <f>'Supra A por pav'!G46+'Supra B por pav'!G46</f>
        <v>249</v>
      </c>
      <c r="N44" s="143">
        <f>'Supra A por pav'!H46+'Supra B por pav'!H46</f>
        <v>82</v>
      </c>
      <c r="O44" s="143">
        <f>'Supra A por pav'!I46+'Supra B por pav'!I46</f>
        <v>8</v>
      </c>
      <c r="P44" s="164">
        <f>'Supra A por pav'!J46+'Supra B por pav'!J46</f>
        <v>0</v>
      </c>
      <c r="Q44" s="168">
        <f>'Supra A por pav'!K46+'Supra B por pav'!K46</f>
        <v>0</v>
      </c>
    </row>
    <row r="45" spans="1:17" ht="15.75" thickBot="1" x14ac:dyDescent="0.3">
      <c r="A45" s="161"/>
      <c r="B45" s="157"/>
      <c r="C45" s="144"/>
      <c r="D45" s="144"/>
      <c r="E45" s="144" t="s">
        <v>55</v>
      </c>
      <c r="F45" s="145"/>
      <c r="G45" s="146">
        <f>'Supra A por pav'!M47+'Supra B por pav'!M47</f>
        <v>0</v>
      </c>
      <c r="H45" s="147">
        <f>'Supra A por pav'!L47+'Supra B por pav'!L47</f>
        <v>0</v>
      </c>
      <c r="I45" s="147">
        <f>'Supra A por pav'!C47+'Supra B por pav'!C47</f>
        <v>0</v>
      </c>
      <c r="J45" s="147">
        <f>'Supra A por pav'!D47+'Supra B por pav'!D47</f>
        <v>0</v>
      </c>
      <c r="K45" s="147">
        <f>'Supra A por pav'!E47+'Supra B por pav'!E47</f>
        <v>0</v>
      </c>
      <c r="L45" s="147">
        <f>'Supra A por pav'!F47+'Supra B por pav'!F47</f>
        <v>0</v>
      </c>
      <c r="M45" s="147">
        <f>'Supra A por pav'!G47+'Supra B por pav'!G47</f>
        <v>0</v>
      </c>
      <c r="N45" s="147">
        <f>'Supra A por pav'!H47+'Supra B por pav'!H47</f>
        <v>0</v>
      </c>
      <c r="O45" s="147">
        <f>'Supra A por pav'!I47+'Supra B por pav'!I47</f>
        <v>0</v>
      </c>
      <c r="P45" s="165">
        <f>'Supra A por pav'!J47+'Supra B por pav'!J47</f>
        <v>0</v>
      </c>
      <c r="Q45" s="169">
        <f>'Supra A por pav'!K47+'Supra B por pav'!K47</f>
        <v>0</v>
      </c>
    </row>
    <row r="46" spans="1:17" ht="15.75" thickTop="1" x14ac:dyDescent="0.25">
      <c r="A46" s="172" t="s">
        <v>245</v>
      </c>
      <c r="B46" s="173" t="s">
        <v>165</v>
      </c>
      <c r="C46" s="174" t="s">
        <v>64</v>
      </c>
      <c r="D46" s="174" t="s">
        <v>252</v>
      </c>
      <c r="E46" s="174"/>
      <c r="F46" s="175">
        <v>50</v>
      </c>
      <c r="G46" s="176">
        <f t="shared" ref="G46:Q46" si="6">SUM(G41:G45)</f>
        <v>526.87399999999991</v>
      </c>
      <c r="H46" s="177">
        <f t="shared" si="6"/>
        <v>67280</v>
      </c>
      <c r="I46" s="177">
        <f t="shared" si="6"/>
        <v>2790</v>
      </c>
      <c r="J46" s="177">
        <f t="shared" si="6"/>
        <v>1047</v>
      </c>
      <c r="K46" s="177">
        <f t="shared" si="6"/>
        <v>2279</v>
      </c>
      <c r="L46" s="177">
        <f t="shared" si="6"/>
        <v>9429</v>
      </c>
      <c r="M46" s="177">
        <f t="shared" si="6"/>
        <v>4989</v>
      </c>
      <c r="N46" s="177">
        <f t="shared" si="6"/>
        <v>7947</v>
      </c>
      <c r="O46" s="177">
        <f t="shared" si="6"/>
        <v>17591</v>
      </c>
      <c r="P46" s="178">
        <f t="shared" si="6"/>
        <v>13084</v>
      </c>
      <c r="Q46" s="179">
        <f t="shared" si="6"/>
        <v>8124</v>
      </c>
    </row>
    <row r="47" spans="1:17" x14ac:dyDescent="0.25">
      <c r="A47" s="160" t="s">
        <v>253</v>
      </c>
      <c r="B47" s="156" t="s">
        <v>165</v>
      </c>
      <c r="C47" s="140" t="s">
        <v>65</v>
      </c>
      <c r="D47" s="140" t="s">
        <v>65</v>
      </c>
      <c r="E47" s="140" t="s">
        <v>51</v>
      </c>
      <c r="F47" s="141">
        <v>50</v>
      </c>
      <c r="G47" s="142">
        <f>'Supra A por pav'!M49</f>
        <v>30.7</v>
      </c>
      <c r="H47" s="143">
        <f>'Supra A por pav'!L49</f>
        <v>4302</v>
      </c>
      <c r="I47" s="143">
        <f>'Supra A por pav'!C49</f>
        <v>0</v>
      </c>
      <c r="J47" s="143">
        <f>'Supra A por pav'!D49</f>
        <v>169</v>
      </c>
      <c r="K47" s="143">
        <f>'Supra A por pav'!E49</f>
        <v>547</v>
      </c>
      <c r="L47" s="143">
        <f>'Supra A por pav'!F49</f>
        <v>152</v>
      </c>
      <c r="M47" s="143">
        <f>'Supra A por pav'!G49</f>
        <v>70</v>
      </c>
      <c r="N47" s="143">
        <f>'Supra A por pav'!H49</f>
        <v>495</v>
      </c>
      <c r="O47" s="143">
        <f>'Supra A por pav'!I49</f>
        <v>664</v>
      </c>
      <c r="P47" s="164">
        <f>'Supra A por pav'!J49</f>
        <v>1687</v>
      </c>
      <c r="Q47" s="168">
        <f>'Supra A por pav'!K49</f>
        <v>518</v>
      </c>
    </row>
    <row r="48" spans="1:17" x14ac:dyDescent="0.25">
      <c r="A48" s="160"/>
      <c r="B48" s="156"/>
      <c r="C48" s="140"/>
      <c r="D48" s="140"/>
      <c r="E48" s="140" t="s">
        <v>52</v>
      </c>
      <c r="F48" s="141"/>
      <c r="G48" s="142">
        <f>'Supra A por pav'!M50</f>
        <v>49.5</v>
      </c>
      <c r="H48" s="143">
        <f>'Supra A por pav'!L50</f>
        <v>8370</v>
      </c>
      <c r="I48" s="143">
        <f>'Supra A por pav'!C50</f>
        <v>0</v>
      </c>
      <c r="J48" s="143">
        <f>'Supra A por pav'!D50</f>
        <v>105</v>
      </c>
      <c r="K48" s="143">
        <f>'Supra A por pav'!E50</f>
        <v>878</v>
      </c>
      <c r="L48" s="143">
        <f>'Supra A por pav'!F50</f>
        <v>360</v>
      </c>
      <c r="M48" s="143">
        <f>'Supra A por pav'!G50</f>
        <v>0</v>
      </c>
      <c r="N48" s="143">
        <f>'Supra A por pav'!H50</f>
        <v>0</v>
      </c>
      <c r="O48" s="143">
        <f>'Supra A por pav'!I50</f>
        <v>2891</v>
      </c>
      <c r="P48" s="164">
        <f>'Supra A por pav'!J50</f>
        <v>2020</v>
      </c>
      <c r="Q48" s="168">
        <f>'Supra A por pav'!K50</f>
        <v>2116</v>
      </c>
    </row>
    <row r="49" spans="1:17" x14ac:dyDescent="0.25">
      <c r="A49" s="160"/>
      <c r="B49" s="156"/>
      <c r="C49" s="140"/>
      <c r="D49" s="140"/>
      <c r="E49" s="140" t="s">
        <v>53</v>
      </c>
      <c r="F49" s="141"/>
      <c r="G49" s="142">
        <f>'Supra A por pav'!M51</f>
        <v>93.5</v>
      </c>
      <c r="H49" s="143">
        <f>'Supra A por pav'!L51</f>
        <v>8897</v>
      </c>
      <c r="I49" s="143">
        <f>'Supra A por pav'!C51</f>
        <v>850</v>
      </c>
      <c r="J49" s="143">
        <f>'Supra A por pav'!D51</f>
        <v>0</v>
      </c>
      <c r="K49" s="143">
        <f>'Supra A por pav'!E51</f>
        <v>137</v>
      </c>
      <c r="L49" s="143">
        <f>'Supra A por pav'!F51</f>
        <v>1158</v>
      </c>
      <c r="M49" s="143">
        <f>'Supra A por pav'!G51</f>
        <v>1608</v>
      </c>
      <c r="N49" s="143">
        <f>'Supra A por pav'!H51</f>
        <v>2374</v>
      </c>
      <c r="O49" s="143">
        <f>'Supra A por pav'!I51</f>
        <v>2770</v>
      </c>
      <c r="P49" s="164">
        <f>'Supra A por pav'!J51</f>
        <v>0</v>
      </c>
      <c r="Q49" s="168">
        <f>'Supra A por pav'!K51</f>
        <v>0</v>
      </c>
    </row>
    <row r="50" spans="1:17" x14ac:dyDescent="0.25">
      <c r="A50" s="160"/>
      <c r="B50" s="156"/>
      <c r="C50" s="140"/>
      <c r="D50" s="140"/>
      <c r="E50" s="140" t="s">
        <v>54</v>
      </c>
      <c r="F50" s="141"/>
      <c r="G50" s="142">
        <f>'Supra A por pav'!M52</f>
        <v>2.2999999999999998</v>
      </c>
      <c r="H50" s="143">
        <f>'Supra A por pav'!L52</f>
        <v>221</v>
      </c>
      <c r="I50" s="143">
        <f>'Supra A por pav'!C52</f>
        <v>0</v>
      </c>
      <c r="J50" s="143">
        <f>'Supra A por pav'!D52</f>
        <v>1</v>
      </c>
      <c r="K50" s="143">
        <f>'Supra A por pav'!E52</f>
        <v>0</v>
      </c>
      <c r="L50" s="143">
        <f>'Supra A por pav'!F52</f>
        <v>0</v>
      </c>
      <c r="M50" s="143">
        <f>'Supra A por pav'!G52</f>
        <v>209</v>
      </c>
      <c r="N50" s="143">
        <f>'Supra A por pav'!H52</f>
        <v>3</v>
      </c>
      <c r="O50" s="143">
        <f>'Supra A por pav'!I52</f>
        <v>8</v>
      </c>
      <c r="P50" s="164">
        <f>'Supra A por pav'!J52</f>
        <v>0</v>
      </c>
      <c r="Q50" s="168">
        <f>'Supra A por pav'!K52</f>
        <v>0</v>
      </c>
    </row>
    <row r="51" spans="1:17" ht="15.75" thickBot="1" x14ac:dyDescent="0.3">
      <c r="A51" s="161"/>
      <c r="B51" s="157"/>
      <c r="C51" s="144"/>
      <c r="D51" s="144"/>
      <c r="E51" s="144" t="s">
        <v>55</v>
      </c>
      <c r="F51" s="145"/>
      <c r="G51" s="146">
        <f>'Supra A por pav'!M53</f>
        <v>0</v>
      </c>
      <c r="H51" s="147">
        <f>'Supra A por pav'!L53</f>
        <v>0</v>
      </c>
      <c r="I51" s="147">
        <f>'Supra A por pav'!C53</f>
        <v>0</v>
      </c>
      <c r="J51" s="147">
        <f>'Supra A por pav'!D53</f>
        <v>0</v>
      </c>
      <c r="K51" s="147">
        <f>'Supra A por pav'!E53</f>
        <v>0</v>
      </c>
      <c r="L51" s="147">
        <f>'Supra A por pav'!F53</f>
        <v>0</v>
      </c>
      <c r="M51" s="147">
        <f>'Supra A por pav'!G53</f>
        <v>0</v>
      </c>
      <c r="N51" s="147">
        <f>'Supra A por pav'!H53</f>
        <v>0</v>
      </c>
      <c r="O51" s="147">
        <f>'Supra A por pav'!I53</f>
        <v>0</v>
      </c>
      <c r="P51" s="165">
        <f>'Supra A por pav'!J53</f>
        <v>0</v>
      </c>
      <c r="Q51" s="169">
        <f>'Supra A por pav'!K53</f>
        <v>0</v>
      </c>
    </row>
    <row r="52" spans="1:17" ht="16.5" thickTop="1" thickBot="1" x14ac:dyDescent="0.3">
      <c r="A52" s="162" t="s">
        <v>253</v>
      </c>
      <c r="B52" s="158" t="s">
        <v>165</v>
      </c>
      <c r="C52" s="152" t="s">
        <v>65</v>
      </c>
      <c r="D52" s="152" t="s">
        <v>254</v>
      </c>
      <c r="E52" s="152"/>
      <c r="F52" s="153">
        <v>50</v>
      </c>
      <c r="G52" s="154">
        <f t="shared" ref="G52:Q52" si="7">SUM(G47:G51)</f>
        <v>176</v>
      </c>
      <c r="H52" s="155">
        <f t="shared" si="7"/>
        <v>21790</v>
      </c>
      <c r="I52" s="155">
        <f t="shared" si="7"/>
        <v>850</v>
      </c>
      <c r="J52" s="155">
        <f t="shared" si="7"/>
        <v>275</v>
      </c>
      <c r="K52" s="155">
        <f t="shared" si="7"/>
        <v>1562</v>
      </c>
      <c r="L52" s="155">
        <f t="shared" si="7"/>
        <v>1670</v>
      </c>
      <c r="M52" s="155">
        <f t="shared" si="7"/>
        <v>1887</v>
      </c>
      <c r="N52" s="155">
        <f t="shared" si="7"/>
        <v>2872</v>
      </c>
      <c r="O52" s="155">
        <f t="shared" si="7"/>
        <v>6333</v>
      </c>
      <c r="P52" s="166">
        <f t="shared" si="7"/>
        <v>3707</v>
      </c>
      <c r="Q52" s="170">
        <f t="shared" si="7"/>
        <v>2634</v>
      </c>
    </row>
    <row r="53" spans="1:17" ht="15.75" thickTop="1" x14ac:dyDescent="0.25">
      <c r="A53" s="163" t="s">
        <v>253</v>
      </c>
      <c r="B53" s="159" t="s">
        <v>165</v>
      </c>
      <c r="C53" s="148" t="s">
        <v>66</v>
      </c>
      <c r="D53" s="148" t="s">
        <v>66</v>
      </c>
      <c r="E53" s="148" t="s">
        <v>51</v>
      </c>
      <c r="F53" s="149">
        <v>50</v>
      </c>
      <c r="G53" s="150">
        <f>'Supra A por pav'!M55</f>
        <v>32.299999999999997</v>
      </c>
      <c r="H53" s="151">
        <f>'Supra A por pav'!L55</f>
        <v>4882</v>
      </c>
      <c r="I53" s="151">
        <f>'Supra A por pav'!C55</f>
        <v>0</v>
      </c>
      <c r="J53" s="151">
        <f>'Supra A por pav'!D55</f>
        <v>152</v>
      </c>
      <c r="K53" s="151">
        <f>'Supra A por pav'!E55</f>
        <v>582</v>
      </c>
      <c r="L53" s="151">
        <f>'Supra A por pav'!F55</f>
        <v>266</v>
      </c>
      <c r="M53" s="151">
        <f>'Supra A por pav'!G55</f>
        <v>59</v>
      </c>
      <c r="N53" s="151">
        <f>'Supra A por pav'!H55</f>
        <v>476</v>
      </c>
      <c r="O53" s="151">
        <f>'Supra A por pav'!I55</f>
        <v>522</v>
      </c>
      <c r="P53" s="167">
        <f>'Supra A por pav'!J55</f>
        <v>1693</v>
      </c>
      <c r="Q53" s="171">
        <f>'Supra A por pav'!K55</f>
        <v>1132</v>
      </c>
    </row>
    <row r="54" spans="1:17" x14ac:dyDescent="0.25">
      <c r="A54" s="160"/>
      <c r="B54" s="156"/>
      <c r="C54" s="140"/>
      <c r="D54" s="140"/>
      <c r="E54" s="140" t="s">
        <v>52</v>
      </c>
      <c r="F54" s="141"/>
      <c r="G54" s="142">
        <f>'Supra A por pav'!M56</f>
        <v>41.9</v>
      </c>
      <c r="H54" s="143">
        <f>'Supra A por pav'!L56</f>
        <v>7067</v>
      </c>
      <c r="I54" s="143">
        <f>'Supra A por pav'!C56</f>
        <v>0</v>
      </c>
      <c r="J54" s="143">
        <f>'Supra A por pav'!D56</f>
        <v>112</v>
      </c>
      <c r="K54" s="143">
        <f>'Supra A por pav'!E56</f>
        <v>837</v>
      </c>
      <c r="L54" s="143">
        <f>'Supra A por pav'!F56</f>
        <v>212</v>
      </c>
      <c r="M54" s="143">
        <f>'Supra A por pav'!G56</f>
        <v>0</v>
      </c>
      <c r="N54" s="143">
        <f>'Supra A por pav'!H56</f>
        <v>0</v>
      </c>
      <c r="O54" s="143">
        <f>'Supra A por pav'!I56</f>
        <v>2570</v>
      </c>
      <c r="P54" s="164">
        <f>'Supra A por pav'!J56</f>
        <v>2072</v>
      </c>
      <c r="Q54" s="168">
        <f>'Supra A por pav'!K56</f>
        <v>1264</v>
      </c>
    </row>
    <row r="55" spans="1:17" x14ac:dyDescent="0.25">
      <c r="A55" s="160"/>
      <c r="B55" s="156"/>
      <c r="C55" s="140"/>
      <c r="D55" s="140"/>
      <c r="E55" s="140" t="s">
        <v>53</v>
      </c>
      <c r="F55" s="141"/>
      <c r="G55" s="142">
        <f>'Supra A por pav'!M57</f>
        <v>93.5</v>
      </c>
      <c r="H55" s="143">
        <f>'Supra A por pav'!L57</f>
        <v>8929</v>
      </c>
      <c r="I55" s="143">
        <f>'Supra A por pav'!C57</f>
        <v>850</v>
      </c>
      <c r="J55" s="143">
        <f>'Supra A por pav'!D57</f>
        <v>0</v>
      </c>
      <c r="K55" s="143">
        <f>'Supra A por pav'!E57</f>
        <v>137</v>
      </c>
      <c r="L55" s="143">
        <f>'Supra A por pav'!F57</f>
        <v>1158</v>
      </c>
      <c r="M55" s="143">
        <f>'Supra A por pav'!G57</f>
        <v>1608</v>
      </c>
      <c r="N55" s="143">
        <f>'Supra A por pav'!H57</f>
        <v>2374</v>
      </c>
      <c r="O55" s="143">
        <f>'Supra A por pav'!I57</f>
        <v>2802</v>
      </c>
      <c r="P55" s="164">
        <f>'Supra A por pav'!J57</f>
        <v>0</v>
      </c>
      <c r="Q55" s="168">
        <f>'Supra A por pav'!K57</f>
        <v>0</v>
      </c>
    </row>
    <row r="56" spans="1:17" x14ac:dyDescent="0.25">
      <c r="A56" s="160"/>
      <c r="B56" s="156"/>
      <c r="C56" s="140"/>
      <c r="D56" s="140"/>
      <c r="E56" s="140" t="s">
        <v>54</v>
      </c>
      <c r="F56" s="141"/>
      <c r="G56" s="142">
        <f>'Supra A por pav'!M58</f>
        <v>2.2999999999999998</v>
      </c>
      <c r="H56" s="143">
        <f>'Supra A por pav'!L58</f>
        <v>209.5</v>
      </c>
      <c r="I56" s="143">
        <f>'Supra A por pav'!C58</f>
        <v>0</v>
      </c>
      <c r="J56" s="143">
        <f>'Supra A por pav'!D58</f>
        <v>0</v>
      </c>
      <c r="K56" s="143">
        <f>'Supra A por pav'!E58</f>
        <v>0</v>
      </c>
      <c r="L56" s="143">
        <f>'Supra A por pav'!F58</f>
        <v>0</v>
      </c>
      <c r="M56" s="143">
        <f>'Supra A por pav'!G58</f>
        <v>209.5</v>
      </c>
      <c r="N56" s="143">
        <f>'Supra A por pav'!H58</f>
        <v>0</v>
      </c>
      <c r="O56" s="143">
        <f>'Supra A por pav'!I58</f>
        <v>0</v>
      </c>
      <c r="P56" s="164">
        <f>'Supra A por pav'!J58</f>
        <v>0</v>
      </c>
      <c r="Q56" s="168">
        <f>'Supra A por pav'!K58</f>
        <v>0</v>
      </c>
    </row>
    <row r="57" spans="1:17" ht="15.75" thickBot="1" x14ac:dyDescent="0.3">
      <c r="A57" s="161"/>
      <c r="B57" s="157"/>
      <c r="C57" s="144"/>
      <c r="D57" s="144"/>
      <c r="E57" s="144" t="s">
        <v>55</v>
      </c>
      <c r="F57" s="145"/>
      <c r="G57" s="146">
        <f>'Supra A por pav'!M59</f>
        <v>0</v>
      </c>
      <c r="H57" s="147">
        <f>'Supra A por pav'!L59</f>
        <v>0</v>
      </c>
      <c r="I57" s="147">
        <f>'Supra A por pav'!C59</f>
        <v>0</v>
      </c>
      <c r="J57" s="147">
        <f>'Supra A por pav'!D59</f>
        <v>0</v>
      </c>
      <c r="K57" s="147">
        <f>'Supra A por pav'!E59</f>
        <v>0</v>
      </c>
      <c r="L57" s="147">
        <f>'Supra A por pav'!F59</f>
        <v>0</v>
      </c>
      <c r="M57" s="147">
        <f>'Supra A por pav'!G59</f>
        <v>0</v>
      </c>
      <c r="N57" s="147">
        <f>'Supra A por pav'!H59</f>
        <v>0</v>
      </c>
      <c r="O57" s="147">
        <f>'Supra A por pav'!I59</f>
        <v>0</v>
      </c>
      <c r="P57" s="165">
        <f>'Supra A por pav'!J59</f>
        <v>0</v>
      </c>
      <c r="Q57" s="169">
        <f>'Supra A por pav'!K59</f>
        <v>0</v>
      </c>
    </row>
    <row r="58" spans="1:17" ht="16.5" thickTop="1" thickBot="1" x14ac:dyDescent="0.3">
      <c r="A58" s="162" t="s">
        <v>253</v>
      </c>
      <c r="B58" s="158" t="s">
        <v>165</v>
      </c>
      <c r="C58" s="152" t="s">
        <v>66</v>
      </c>
      <c r="D58" s="152" t="s">
        <v>255</v>
      </c>
      <c r="E58" s="152"/>
      <c r="F58" s="153">
        <v>50</v>
      </c>
      <c r="G58" s="154">
        <f t="shared" ref="G58:Q58" si="8">SUM(G53:G57)</f>
        <v>170</v>
      </c>
      <c r="H58" s="155">
        <f t="shared" si="8"/>
        <v>21087.5</v>
      </c>
      <c r="I58" s="155">
        <f t="shared" si="8"/>
        <v>850</v>
      </c>
      <c r="J58" s="155">
        <f t="shared" si="8"/>
        <v>264</v>
      </c>
      <c r="K58" s="155">
        <f t="shared" si="8"/>
        <v>1556</v>
      </c>
      <c r="L58" s="155">
        <f t="shared" si="8"/>
        <v>1636</v>
      </c>
      <c r="M58" s="155">
        <f t="shared" si="8"/>
        <v>1876.5</v>
      </c>
      <c r="N58" s="155">
        <f t="shared" si="8"/>
        <v>2850</v>
      </c>
      <c r="O58" s="155">
        <f t="shared" si="8"/>
        <v>5894</v>
      </c>
      <c r="P58" s="166">
        <f t="shared" si="8"/>
        <v>3765</v>
      </c>
      <c r="Q58" s="170">
        <f t="shared" si="8"/>
        <v>2396</v>
      </c>
    </row>
    <row r="59" spans="1:17" ht="15.75" thickTop="1" x14ac:dyDescent="0.25">
      <c r="A59" s="163" t="s">
        <v>253</v>
      </c>
      <c r="B59" s="159" t="s">
        <v>165</v>
      </c>
      <c r="C59" s="148" t="s">
        <v>67</v>
      </c>
      <c r="D59" s="148" t="s">
        <v>67</v>
      </c>
      <c r="E59" s="148" t="s">
        <v>51</v>
      </c>
      <c r="F59" s="149">
        <v>50</v>
      </c>
      <c r="G59" s="150">
        <f>'Supra A por pav'!M61</f>
        <v>32.299999999999997</v>
      </c>
      <c r="H59" s="151">
        <f>'Supra A por pav'!L61</f>
        <v>4868</v>
      </c>
      <c r="I59" s="151">
        <f>'Supra A por pav'!C61</f>
        <v>0</v>
      </c>
      <c r="J59" s="151">
        <f>'Supra A por pav'!D61</f>
        <v>152</v>
      </c>
      <c r="K59" s="151">
        <f>'Supra A por pav'!E61</f>
        <v>577</v>
      </c>
      <c r="L59" s="151">
        <f>'Supra A por pav'!F61</f>
        <v>257</v>
      </c>
      <c r="M59" s="151">
        <f>'Supra A por pav'!G61</f>
        <v>60</v>
      </c>
      <c r="N59" s="151">
        <f>'Supra A por pav'!H61</f>
        <v>472</v>
      </c>
      <c r="O59" s="151">
        <f>'Supra A por pav'!I61</f>
        <v>518</v>
      </c>
      <c r="P59" s="167">
        <f>'Supra A por pav'!J61</f>
        <v>1694</v>
      </c>
      <c r="Q59" s="171">
        <f>'Supra A por pav'!K61</f>
        <v>1138</v>
      </c>
    </row>
    <row r="60" spans="1:17" x14ac:dyDescent="0.25">
      <c r="A60" s="160"/>
      <c r="B60" s="156"/>
      <c r="C60" s="140"/>
      <c r="D60" s="140"/>
      <c r="E60" s="140" t="s">
        <v>52</v>
      </c>
      <c r="F60" s="141"/>
      <c r="G60" s="142">
        <f>'Supra A por pav'!M62</f>
        <v>41.9</v>
      </c>
      <c r="H60" s="143">
        <f>'Supra A por pav'!L62</f>
        <v>6362</v>
      </c>
      <c r="I60" s="143">
        <f>'Supra A por pav'!C62</f>
        <v>0</v>
      </c>
      <c r="J60" s="143">
        <f>'Supra A por pav'!D62</f>
        <v>135</v>
      </c>
      <c r="K60" s="143">
        <f>'Supra A por pav'!E62</f>
        <v>846</v>
      </c>
      <c r="L60" s="143">
        <f>'Supra A por pav'!F62</f>
        <v>139</v>
      </c>
      <c r="M60" s="143">
        <f>'Supra A por pav'!G62</f>
        <v>0</v>
      </c>
      <c r="N60" s="143">
        <f>'Supra A por pav'!H62</f>
        <v>0</v>
      </c>
      <c r="O60" s="143">
        <f>'Supra A por pav'!I62</f>
        <v>2696</v>
      </c>
      <c r="P60" s="164">
        <f>'Supra A por pav'!J62</f>
        <v>1559</v>
      </c>
      <c r="Q60" s="168">
        <f>'Supra A por pav'!K62</f>
        <v>987</v>
      </c>
    </row>
    <row r="61" spans="1:17" x14ac:dyDescent="0.25">
      <c r="A61" s="160"/>
      <c r="B61" s="156"/>
      <c r="C61" s="140"/>
      <c r="D61" s="140"/>
      <c r="E61" s="140" t="s">
        <v>53</v>
      </c>
      <c r="F61" s="141"/>
      <c r="G61" s="142">
        <f>'Supra A por pav'!M63</f>
        <v>91.5</v>
      </c>
      <c r="H61" s="143">
        <f>'Supra A por pav'!L63</f>
        <v>8799</v>
      </c>
      <c r="I61" s="143">
        <f>'Supra A por pav'!C63</f>
        <v>828</v>
      </c>
      <c r="J61" s="143">
        <f>'Supra A por pav'!D63</f>
        <v>0</v>
      </c>
      <c r="K61" s="143">
        <f>'Supra A por pav'!E63</f>
        <v>118</v>
      </c>
      <c r="L61" s="143">
        <f>'Supra A por pav'!F63</f>
        <v>1122</v>
      </c>
      <c r="M61" s="143">
        <f>'Supra A por pav'!G63</f>
        <v>1601</v>
      </c>
      <c r="N61" s="143">
        <f>'Supra A por pav'!H63</f>
        <v>2369</v>
      </c>
      <c r="O61" s="143">
        <f>'Supra A por pav'!I63</f>
        <v>2761</v>
      </c>
      <c r="P61" s="164">
        <f>'Supra A por pav'!J63</f>
        <v>0</v>
      </c>
      <c r="Q61" s="168">
        <f>'Supra A por pav'!K63</f>
        <v>0</v>
      </c>
    </row>
    <row r="62" spans="1:17" x14ac:dyDescent="0.25">
      <c r="A62" s="160"/>
      <c r="B62" s="156"/>
      <c r="C62" s="140"/>
      <c r="D62" s="140"/>
      <c r="E62" s="140" t="s">
        <v>54</v>
      </c>
      <c r="F62" s="141"/>
      <c r="G62" s="142">
        <f>'Supra A por pav'!M64</f>
        <v>2.2999999999999998</v>
      </c>
      <c r="H62" s="143">
        <f>'Supra A por pav'!L64</f>
        <v>209.5</v>
      </c>
      <c r="I62" s="143">
        <f>'Supra A por pav'!C64</f>
        <v>0</v>
      </c>
      <c r="J62" s="143">
        <f>'Supra A por pav'!D64</f>
        <v>0</v>
      </c>
      <c r="K62" s="143">
        <f>'Supra A por pav'!E64</f>
        <v>0</v>
      </c>
      <c r="L62" s="143">
        <f>'Supra A por pav'!F64</f>
        <v>0</v>
      </c>
      <c r="M62" s="143">
        <f>'Supra A por pav'!G64</f>
        <v>209.5</v>
      </c>
      <c r="N62" s="143">
        <f>'Supra A por pav'!H64</f>
        <v>0</v>
      </c>
      <c r="O62" s="143">
        <f>'Supra A por pav'!I64</f>
        <v>0</v>
      </c>
      <c r="P62" s="164">
        <f>'Supra A por pav'!J64</f>
        <v>0</v>
      </c>
      <c r="Q62" s="168">
        <f>'Supra A por pav'!K64</f>
        <v>0</v>
      </c>
    </row>
    <row r="63" spans="1:17" ht="15.75" thickBot="1" x14ac:dyDescent="0.3">
      <c r="A63" s="161"/>
      <c r="B63" s="157"/>
      <c r="C63" s="144"/>
      <c r="D63" s="144"/>
      <c r="E63" s="144" t="s">
        <v>55</v>
      </c>
      <c r="F63" s="145"/>
      <c r="G63" s="146">
        <f>'Supra A por pav'!M65</f>
        <v>0</v>
      </c>
      <c r="H63" s="147">
        <f>'Supra A por pav'!L65</f>
        <v>0</v>
      </c>
      <c r="I63" s="147">
        <f>'Supra A por pav'!C65</f>
        <v>0</v>
      </c>
      <c r="J63" s="147">
        <f>'Supra A por pav'!D65</f>
        <v>0</v>
      </c>
      <c r="K63" s="147">
        <f>'Supra A por pav'!E65</f>
        <v>0</v>
      </c>
      <c r="L63" s="147">
        <f>'Supra A por pav'!F65</f>
        <v>0</v>
      </c>
      <c r="M63" s="147">
        <f>'Supra A por pav'!G65</f>
        <v>0</v>
      </c>
      <c r="N63" s="147">
        <f>'Supra A por pav'!H65</f>
        <v>0</v>
      </c>
      <c r="O63" s="147">
        <f>'Supra A por pav'!I65</f>
        <v>0</v>
      </c>
      <c r="P63" s="165">
        <f>'Supra A por pav'!J65</f>
        <v>0</v>
      </c>
      <c r="Q63" s="169">
        <f>'Supra A por pav'!K65</f>
        <v>0</v>
      </c>
    </row>
    <row r="64" spans="1:17" ht="16.5" thickTop="1" thickBot="1" x14ac:dyDescent="0.3">
      <c r="A64" s="162" t="s">
        <v>253</v>
      </c>
      <c r="B64" s="158" t="s">
        <v>165</v>
      </c>
      <c r="C64" s="152" t="s">
        <v>67</v>
      </c>
      <c r="D64" s="152" t="s">
        <v>256</v>
      </c>
      <c r="E64" s="152"/>
      <c r="F64" s="153">
        <v>50</v>
      </c>
      <c r="G64" s="154">
        <f t="shared" ref="G64:Q64" si="9">SUM(G59:G63)</f>
        <v>168</v>
      </c>
      <c r="H64" s="155">
        <f t="shared" si="9"/>
        <v>20238.5</v>
      </c>
      <c r="I64" s="155">
        <f t="shared" si="9"/>
        <v>828</v>
      </c>
      <c r="J64" s="155">
        <f t="shared" si="9"/>
        <v>287</v>
      </c>
      <c r="K64" s="155">
        <f t="shared" si="9"/>
        <v>1541</v>
      </c>
      <c r="L64" s="155">
        <f t="shared" si="9"/>
        <v>1518</v>
      </c>
      <c r="M64" s="155">
        <f t="shared" si="9"/>
        <v>1870.5</v>
      </c>
      <c r="N64" s="155">
        <f t="shared" si="9"/>
        <v>2841</v>
      </c>
      <c r="O64" s="155">
        <f t="shared" si="9"/>
        <v>5975</v>
      </c>
      <c r="P64" s="166">
        <f t="shared" si="9"/>
        <v>3253</v>
      </c>
      <c r="Q64" s="170">
        <f t="shared" si="9"/>
        <v>2125</v>
      </c>
    </row>
    <row r="65" spans="1:17" ht="15.75" thickTop="1" x14ac:dyDescent="0.25">
      <c r="A65" s="163" t="s">
        <v>253</v>
      </c>
      <c r="B65" s="159" t="s">
        <v>165</v>
      </c>
      <c r="C65" s="148" t="s">
        <v>68</v>
      </c>
      <c r="D65" s="148" t="s">
        <v>68</v>
      </c>
      <c r="E65" s="148" t="s">
        <v>51</v>
      </c>
      <c r="F65" s="149">
        <v>50</v>
      </c>
      <c r="G65" s="150">
        <f>'Supra A por pav'!M67</f>
        <v>32.299999999999997</v>
      </c>
      <c r="H65" s="151">
        <f>'Supra A por pav'!L67</f>
        <v>4868</v>
      </c>
      <c r="I65" s="151">
        <f>'Supra A por pav'!C67</f>
        <v>0</v>
      </c>
      <c r="J65" s="151">
        <f>'Supra A por pav'!D67</f>
        <v>152</v>
      </c>
      <c r="K65" s="151">
        <f>'Supra A por pav'!E67</f>
        <v>577</v>
      </c>
      <c r="L65" s="151">
        <f>'Supra A por pav'!F67</f>
        <v>257</v>
      </c>
      <c r="M65" s="151">
        <f>'Supra A por pav'!G67</f>
        <v>60</v>
      </c>
      <c r="N65" s="151">
        <f>'Supra A por pav'!H67</f>
        <v>472</v>
      </c>
      <c r="O65" s="151">
        <f>'Supra A por pav'!I67</f>
        <v>518</v>
      </c>
      <c r="P65" s="167">
        <f>'Supra A por pav'!J67</f>
        <v>1694</v>
      </c>
      <c r="Q65" s="171">
        <f>'Supra A por pav'!K67</f>
        <v>1138</v>
      </c>
    </row>
    <row r="66" spans="1:17" x14ac:dyDescent="0.25">
      <c r="A66" s="160"/>
      <c r="B66" s="156"/>
      <c r="C66" s="140"/>
      <c r="D66" s="140"/>
      <c r="E66" s="140" t="s">
        <v>52</v>
      </c>
      <c r="F66" s="141"/>
      <c r="G66" s="142">
        <f>'Supra A por pav'!M68</f>
        <v>41.9</v>
      </c>
      <c r="H66" s="143">
        <f>'Supra A por pav'!L68</f>
        <v>6268</v>
      </c>
      <c r="I66" s="143">
        <f>'Supra A por pav'!C68</f>
        <v>0</v>
      </c>
      <c r="J66" s="143">
        <f>'Supra A por pav'!D68</f>
        <v>134</v>
      </c>
      <c r="K66" s="143">
        <f>'Supra A por pav'!E68</f>
        <v>846</v>
      </c>
      <c r="L66" s="143">
        <f>'Supra A por pav'!F68</f>
        <v>139</v>
      </c>
      <c r="M66" s="143">
        <f>'Supra A por pav'!G68</f>
        <v>0</v>
      </c>
      <c r="N66" s="143">
        <f>'Supra A por pav'!H68</f>
        <v>0</v>
      </c>
      <c r="O66" s="143">
        <f>'Supra A por pav'!I68</f>
        <v>2860</v>
      </c>
      <c r="P66" s="164">
        <f>'Supra A por pav'!J68</f>
        <v>1302</v>
      </c>
      <c r="Q66" s="168">
        <f>'Supra A por pav'!K68</f>
        <v>987</v>
      </c>
    </row>
    <row r="67" spans="1:17" x14ac:dyDescent="0.25">
      <c r="A67" s="160"/>
      <c r="B67" s="156"/>
      <c r="C67" s="140"/>
      <c r="D67" s="140"/>
      <c r="E67" s="140" t="s">
        <v>53</v>
      </c>
      <c r="F67" s="141"/>
      <c r="G67" s="142">
        <f>'Supra A por pav'!M69</f>
        <v>93.5</v>
      </c>
      <c r="H67" s="143">
        <f>'Supra A por pav'!L69</f>
        <v>8929</v>
      </c>
      <c r="I67" s="143">
        <f>'Supra A por pav'!C69</f>
        <v>850</v>
      </c>
      <c r="J67" s="143">
        <f>'Supra A por pav'!D69</f>
        <v>0</v>
      </c>
      <c r="K67" s="143">
        <f>'Supra A por pav'!E69</f>
        <v>137</v>
      </c>
      <c r="L67" s="143">
        <f>'Supra A por pav'!F69</f>
        <v>1158</v>
      </c>
      <c r="M67" s="143">
        <f>'Supra A por pav'!G69</f>
        <v>1608</v>
      </c>
      <c r="N67" s="143">
        <f>'Supra A por pav'!H69</f>
        <v>2374</v>
      </c>
      <c r="O67" s="143">
        <f>'Supra A por pav'!I69</f>
        <v>2802</v>
      </c>
      <c r="P67" s="164">
        <f>'Supra A por pav'!J69</f>
        <v>0</v>
      </c>
      <c r="Q67" s="168">
        <f>'Supra A por pav'!K69</f>
        <v>0</v>
      </c>
    </row>
    <row r="68" spans="1:17" x14ac:dyDescent="0.25">
      <c r="A68" s="160"/>
      <c r="B68" s="156"/>
      <c r="C68" s="140"/>
      <c r="D68" s="140"/>
      <c r="E68" s="140" t="s">
        <v>54</v>
      </c>
      <c r="F68" s="141"/>
      <c r="G68" s="142">
        <f>'Supra A por pav'!M70</f>
        <v>2.2999999999999998</v>
      </c>
      <c r="H68" s="143">
        <f>'Supra A por pav'!L70</f>
        <v>209.5</v>
      </c>
      <c r="I68" s="143">
        <f>'Supra A por pav'!C70</f>
        <v>0</v>
      </c>
      <c r="J68" s="143">
        <f>'Supra A por pav'!D70</f>
        <v>0</v>
      </c>
      <c r="K68" s="143">
        <f>'Supra A por pav'!E70</f>
        <v>0</v>
      </c>
      <c r="L68" s="143">
        <f>'Supra A por pav'!F70</f>
        <v>0</v>
      </c>
      <c r="M68" s="143">
        <f>'Supra A por pav'!G70</f>
        <v>209.5</v>
      </c>
      <c r="N68" s="143">
        <f>'Supra A por pav'!H70</f>
        <v>0</v>
      </c>
      <c r="O68" s="143">
        <f>'Supra A por pav'!I70</f>
        <v>0</v>
      </c>
      <c r="P68" s="164">
        <f>'Supra A por pav'!J70</f>
        <v>0</v>
      </c>
      <c r="Q68" s="168">
        <f>'Supra A por pav'!K70</f>
        <v>0</v>
      </c>
    </row>
    <row r="69" spans="1:17" ht="15.75" thickBot="1" x14ac:dyDescent="0.3">
      <c r="A69" s="161"/>
      <c r="B69" s="157"/>
      <c r="C69" s="144"/>
      <c r="D69" s="144"/>
      <c r="E69" s="144" t="s">
        <v>55</v>
      </c>
      <c r="F69" s="145"/>
      <c r="G69" s="146">
        <f>'Supra A por pav'!M71</f>
        <v>0</v>
      </c>
      <c r="H69" s="147">
        <f>'Supra A por pav'!L71</f>
        <v>0</v>
      </c>
      <c r="I69" s="147">
        <f>'Supra A por pav'!C71</f>
        <v>0</v>
      </c>
      <c r="J69" s="147">
        <f>'Supra A por pav'!D71</f>
        <v>0</v>
      </c>
      <c r="K69" s="147">
        <f>'Supra A por pav'!E71</f>
        <v>0</v>
      </c>
      <c r="L69" s="147">
        <f>'Supra A por pav'!F71</f>
        <v>0</v>
      </c>
      <c r="M69" s="147">
        <f>'Supra A por pav'!G71</f>
        <v>0</v>
      </c>
      <c r="N69" s="147">
        <f>'Supra A por pav'!H71</f>
        <v>0</v>
      </c>
      <c r="O69" s="147">
        <f>'Supra A por pav'!I71</f>
        <v>0</v>
      </c>
      <c r="P69" s="165">
        <f>'Supra A por pav'!J71</f>
        <v>0</v>
      </c>
      <c r="Q69" s="169">
        <f>'Supra A por pav'!K71</f>
        <v>0</v>
      </c>
    </row>
    <row r="70" spans="1:17" ht="16.5" thickTop="1" thickBot="1" x14ac:dyDescent="0.3">
      <c r="A70" s="162" t="s">
        <v>253</v>
      </c>
      <c r="B70" s="158" t="s">
        <v>165</v>
      </c>
      <c r="C70" s="152" t="s">
        <v>68</v>
      </c>
      <c r="D70" s="152" t="s">
        <v>257</v>
      </c>
      <c r="E70" s="152"/>
      <c r="F70" s="153">
        <v>50</v>
      </c>
      <c r="G70" s="154">
        <f t="shared" ref="G70:Q70" si="10">SUM(G65:G69)</f>
        <v>170</v>
      </c>
      <c r="H70" s="155">
        <f t="shared" si="10"/>
        <v>20274.5</v>
      </c>
      <c r="I70" s="155">
        <f t="shared" si="10"/>
        <v>850</v>
      </c>
      <c r="J70" s="155">
        <f t="shared" si="10"/>
        <v>286</v>
      </c>
      <c r="K70" s="155">
        <f t="shared" si="10"/>
        <v>1560</v>
      </c>
      <c r="L70" s="155">
        <f t="shared" si="10"/>
        <v>1554</v>
      </c>
      <c r="M70" s="155">
        <f t="shared" si="10"/>
        <v>1877.5</v>
      </c>
      <c r="N70" s="155">
        <f t="shared" si="10"/>
        <v>2846</v>
      </c>
      <c r="O70" s="155">
        <f t="shared" si="10"/>
        <v>6180</v>
      </c>
      <c r="P70" s="166">
        <f t="shared" si="10"/>
        <v>2996</v>
      </c>
      <c r="Q70" s="170">
        <f t="shared" si="10"/>
        <v>2125</v>
      </c>
    </row>
    <row r="71" spans="1:17" ht="15.75" thickTop="1" x14ac:dyDescent="0.25">
      <c r="A71" s="163" t="s">
        <v>253</v>
      </c>
      <c r="B71" s="159" t="s">
        <v>165</v>
      </c>
      <c r="C71" s="148" t="s">
        <v>69</v>
      </c>
      <c r="D71" s="148" t="s">
        <v>69</v>
      </c>
      <c r="E71" s="148" t="s">
        <v>51</v>
      </c>
      <c r="F71" s="149">
        <v>50</v>
      </c>
      <c r="G71" s="150">
        <f>'Supra A por pav'!M73</f>
        <v>32.299999999999997</v>
      </c>
      <c r="H71" s="151">
        <f>'Supra A por pav'!L73</f>
        <v>4868</v>
      </c>
      <c r="I71" s="151">
        <f>'Supra A por pav'!C73</f>
        <v>0</v>
      </c>
      <c r="J71" s="151">
        <f>'Supra A por pav'!D73</f>
        <v>152</v>
      </c>
      <c r="K71" s="151">
        <f>'Supra A por pav'!E73</f>
        <v>577</v>
      </c>
      <c r="L71" s="151">
        <f>'Supra A por pav'!F73</f>
        <v>257</v>
      </c>
      <c r="M71" s="151">
        <f>'Supra A por pav'!G73</f>
        <v>60</v>
      </c>
      <c r="N71" s="151">
        <f>'Supra A por pav'!H73</f>
        <v>472</v>
      </c>
      <c r="O71" s="151">
        <f>'Supra A por pav'!I73</f>
        <v>518</v>
      </c>
      <c r="P71" s="167">
        <f>'Supra A por pav'!J73</f>
        <v>1694</v>
      </c>
      <c r="Q71" s="171">
        <f>'Supra A por pav'!K73</f>
        <v>1138</v>
      </c>
    </row>
    <row r="72" spans="1:17" x14ac:dyDescent="0.25">
      <c r="A72" s="160"/>
      <c r="B72" s="156"/>
      <c r="C72" s="140"/>
      <c r="D72" s="140"/>
      <c r="E72" s="140" t="s">
        <v>52</v>
      </c>
      <c r="F72" s="141"/>
      <c r="G72" s="142">
        <f>'Supra A por pav'!M74</f>
        <v>41.9</v>
      </c>
      <c r="H72" s="143">
        <f>'Supra A por pav'!L74</f>
        <v>5700</v>
      </c>
      <c r="I72" s="143">
        <f>'Supra A por pav'!C74</f>
        <v>0</v>
      </c>
      <c r="J72" s="143">
        <f>'Supra A por pav'!D74</f>
        <v>134</v>
      </c>
      <c r="K72" s="143">
        <f>'Supra A por pav'!E74</f>
        <v>891</v>
      </c>
      <c r="L72" s="143">
        <f>'Supra A por pav'!F74</f>
        <v>65</v>
      </c>
      <c r="M72" s="143">
        <f>'Supra A por pav'!G74</f>
        <v>0</v>
      </c>
      <c r="N72" s="143">
        <f>'Supra A por pav'!H74</f>
        <v>0</v>
      </c>
      <c r="O72" s="143">
        <f>'Supra A por pav'!I74</f>
        <v>3189</v>
      </c>
      <c r="P72" s="164">
        <f>'Supra A por pav'!J74</f>
        <v>1421</v>
      </c>
      <c r="Q72" s="168">
        <f>'Supra A por pav'!K74</f>
        <v>0</v>
      </c>
    </row>
    <row r="73" spans="1:17" x14ac:dyDescent="0.25">
      <c r="A73" s="160"/>
      <c r="B73" s="156"/>
      <c r="C73" s="140"/>
      <c r="D73" s="140"/>
      <c r="E73" s="140" t="s">
        <v>53</v>
      </c>
      <c r="F73" s="141"/>
      <c r="G73" s="142">
        <f>'Supra A por pav'!M75</f>
        <v>91.5</v>
      </c>
      <c r="H73" s="143">
        <f>'Supra A por pav'!L75</f>
        <v>8799</v>
      </c>
      <c r="I73" s="143">
        <f>'Supra A por pav'!C75</f>
        <v>828</v>
      </c>
      <c r="J73" s="143">
        <f>'Supra A por pav'!D75</f>
        <v>0</v>
      </c>
      <c r="K73" s="143">
        <f>'Supra A por pav'!E75</f>
        <v>118</v>
      </c>
      <c r="L73" s="143">
        <f>'Supra A por pav'!F75</f>
        <v>1122</v>
      </c>
      <c r="M73" s="143">
        <f>'Supra A por pav'!G75</f>
        <v>1601</v>
      </c>
      <c r="N73" s="143">
        <f>'Supra A por pav'!H75</f>
        <v>2369</v>
      </c>
      <c r="O73" s="143">
        <f>'Supra A por pav'!I75</f>
        <v>2761</v>
      </c>
      <c r="P73" s="164">
        <f>'Supra A por pav'!J75</f>
        <v>0</v>
      </c>
      <c r="Q73" s="168">
        <f>'Supra A por pav'!K75</f>
        <v>0</v>
      </c>
    </row>
    <row r="74" spans="1:17" x14ac:dyDescent="0.25">
      <c r="A74" s="160"/>
      <c r="B74" s="156"/>
      <c r="C74" s="140"/>
      <c r="D74" s="140"/>
      <c r="E74" s="140" t="s">
        <v>54</v>
      </c>
      <c r="F74" s="141"/>
      <c r="G74" s="142">
        <f>'Supra A por pav'!M76</f>
        <v>2.2999999999999998</v>
      </c>
      <c r="H74" s="143">
        <f>'Supra A por pav'!L76</f>
        <v>209.5</v>
      </c>
      <c r="I74" s="143">
        <f>'Supra A por pav'!C76</f>
        <v>0</v>
      </c>
      <c r="J74" s="143">
        <f>'Supra A por pav'!D76</f>
        <v>0</v>
      </c>
      <c r="K74" s="143">
        <f>'Supra A por pav'!E76</f>
        <v>0</v>
      </c>
      <c r="L74" s="143">
        <f>'Supra A por pav'!F76</f>
        <v>0</v>
      </c>
      <c r="M74" s="143">
        <f>'Supra A por pav'!G76</f>
        <v>209.5</v>
      </c>
      <c r="N74" s="143">
        <f>'Supra A por pav'!H76</f>
        <v>0</v>
      </c>
      <c r="O74" s="143">
        <f>'Supra A por pav'!I76</f>
        <v>0</v>
      </c>
      <c r="P74" s="164">
        <f>'Supra A por pav'!J76</f>
        <v>0</v>
      </c>
      <c r="Q74" s="168">
        <f>'Supra A por pav'!K76</f>
        <v>0</v>
      </c>
    </row>
    <row r="75" spans="1:17" ht="15.75" thickBot="1" x14ac:dyDescent="0.3">
      <c r="A75" s="161"/>
      <c r="B75" s="157"/>
      <c r="C75" s="144"/>
      <c r="D75" s="144"/>
      <c r="E75" s="144" t="s">
        <v>55</v>
      </c>
      <c r="F75" s="145"/>
      <c r="G75" s="146">
        <f>'Supra A por pav'!M77</f>
        <v>0</v>
      </c>
      <c r="H75" s="147">
        <f>'Supra A por pav'!L77</f>
        <v>0</v>
      </c>
      <c r="I75" s="147">
        <f>'Supra A por pav'!C77</f>
        <v>0</v>
      </c>
      <c r="J75" s="147">
        <f>'Supra A por pav'!D77</f>
        <v>0</v>
      </c>
      <c r="K75" s="147">
        <f>'Supra A por pav'!E77</f>
        <v>0</v>
      </c>
      <c r="L75" s="147">
        <f>'Supra A por pav'!F77</f>
        <v>0</v>
      </c>
      <c r="M75" s="147">
        <f>'Supra A por pav'!G77</f>
        <v>0</v>
      </c>
      <c r="N75" s="147">
        <f>'Supra A por pav'!H77</f>
        <v>0</v>
      </c>
      <c r="O75" s="147">
        <f>'Supra A por pav'!I77</f>
        <v>0</v>
      </c>
      <c r="P75" s="165">
        <f>'Supra A por pav'!J77</f>
        <v>0</v>
      </c>
      <c r="Q75" s="169">
        <f>'Supra A por pav'!K77</f>
        <v>0</v>
      </c>
    </row>
    <row r="76" spans="1:17" ht="16.5" thickTop="1" thickBot="1" x14ac:dyDescent="0.3">
      <c r="A76" s="162" t="s">
        <v>253</v>
      </c>
      <c r="B76" s="158" t="s">
        <v>165</v>
      </c>
      <c r="C76" s="152" t="s">
        <v>69</v>
      </c>
      <c r="D76" s="152" t="s">
        <v>258</v>
      </c>
      <c r="E76" s="152"/>
      <c r="F76" s="153">
        <v>50</v>
      </c>
      <c r="G76" s="154">
        <f t="shared" ref="G76:Q76" si="11">SUM(G71:G75)</f>
        <v>168</v>
      </c>
      <c r="H76" s="155">
        <f t="shared" si="11"/>
        <v>19576.5</v>
      </c>
      <c r="I76" s="155">
        <f t="shared" si="11"/>
        <v>828</v>
      </c>
      <c r="J76" s="155">
        <f t="shared" si="11"/>
        <v>286</v>
      </c>
      <c r="K76" s="155">
        <f t="shared" si="11"/>
        <v>1586</v>
      </c>
      <c r="L76" s="155">
        <f t="shared" si="11"/>
        <v>1444</v>
      </c>
      <c r="M76" s="155">
        <f t="shared" si="11"/>
        <v>1870.5</v>
      </c>
      <c r="N76" s="155">
        <f t="shared" si="11"/>
        <v>2841</v>
      </c>
      <c r="O76" s="155">
        <f t="shared" si="11"/>
        <v>6468</v>
      </c>
      <c r="P76" s="166">
        <f t="shared" si="11"/>
        <v>3115</v>
      </c>
      <c r="Q76" s="170">
        <f t="shared" si="11"/>
        <v>1138</v>
      </c>
    </row>
    <row r="77" spans="1:17" ht="15.75" thickTop="1" x14ac:dyDescent="0.25">
      <c r="A77" s="163" t="s">
        <v>253</v>
      </c>
      <c r="B77" s="159" t="s">
        <v>165</v>
      </c>
      <c r="C77" s="148" t="s">
        <v>70</v>
      </c>
      <c r="D77" s="148" t="s">
        <v>70</v>
      </c>
      <c r="E77" s="148" t="s">
        <v>51</v>
      </c>
      <c r="F77" s="149">
        <v>50</v>
      </c>
      <c r="G77" s="150">
        <f>'Supra A por pav'!M79</f>
        <v>32.299999999999997</v>
      </c>
      <c r="H77" s="151">
        <f>'Supra A por pav'!L79</f>
        <v>4868</v>
      </c>
      <c r="I77" s="151">
        <f>'Supra A por pav'!C79</f>
        <v>0</v>
      </c>
      <c r="J77" s="151">
        <f>'Supra A por pav'!D79</f>
        <v>152</v>
      </c>
      <c r="K77" s="151">
        <f>'Supra A por pav'!E79</f>
        <v>577</v>
      </c>
      <c r="L77" s="151">
        <f>'Supra A por pav'!F79</f>
        <v>257</v>
      </c>
      <c r="M77" s="151">
        <f>'Supra A por pav'!G79</f>
        <v>60</v>
      </c>
      <c r="N77" s="151">
        <f>'Supra A por pav'!H79</f>
        <v>472</v>
      </c>
      <c r="O77" s="151">
        <f>'Supra A por pav'!I79</f>
        <v>518</v>
      </c>
      <c r="P77" s="167">
        <f>'Supra A por pav'!J79</f>
        <v>1694</v>
      </c>
      <c r="Q77" s="171">
        <f>'Supra A por pav'!K79</f>
        <v>1138</v>
      </c>
    </row>
    <row r="78" spans="1:17" x14ac:dyDescent="0.25">
      <c r="A78" s="160"/>
      <c r="B78" s="156"/>
      <c r="C78" s="140"/>
      <c r="D78" s="140"/>
      <c r="E78" s="140" t="s">
        <v>52</v>
      </c>
      <c r="F78" s="141"/>
      <c r="G78" s="142">
        <f>'Supra A por pav'!M80</f>
        <v>41.9</v>
      </c>
      <c r="H78" s="143">
        <f>'Supra A por pav'!L80</f>
        <v>5397</v>
      </c>
      <c r="I78" s="143">
        <f>'Supra A por pav'!C80</f>
        <v>0</v>
      </c>
      <c r="J78" s="143">
        <f>'Supra A por pav'!D80</f>
        <v>134</v>
      </c>
      <c r="K78" s="143">
        <f>'Supra A por pav'!E80</f>
        <v>888</v>
      </c>
      <c r="L78" s="143">
        <f>'Supra A por pav'!F80</f>
        <v>65</v>
      </c>
      <c r="M78" s="143">
        <f>'Supra A por pav'!G80</f>
        <v>0</v>
      </c>
      <c r="N78" s="143">
        <f>'Supra A por pav'!H80</f>
        <v>247</v>
      </c>
      <c r="O78" s="143">
        <f>'Supra A por pav'!I80</f>
        <v>3037</v>
      </c>
      <c r="P78" s="164">
        <f>'Supra A por pav'!J80</f>
        <v>1026</v>
      </c>
      <c r="Q78" s="168">
        <f>'Supra A por pav'!K80</f>
        <v>0</v>
      </c>
    </row>
    <row r="79" spans="1:17" x14ac:dyDescent="0.25">
      <c r="A79" s="160"/>
      <c r="B79" s="156"/>
      <c r="C79" s="140"/>
      <c r="D79" s="140"/>
      <c r="E79" s="140" t="s">
        <v>53</v>
      </c>
      <c r="F79" s="141"/>
      <c r="G79" s="142">
        <f>'Supra A por pav'!M81</f>
        <v>93.5</v>
      </c>
      <c r="H79" s="143">
        <f>'Supra A por pav'!L81</f>
        <v>8929</v>
      </c>
      <c r="I79" s="143">
        <f>'Supra A por pav'!C81</f>
        <v>850</v>
      </c>
      <c r="J79" s="143">
        <f>'Supra A por pav'!D81</f>
        <v>0</v>
      </c>
      <c r="K79" s="143">
        <f>'Supra A por pav'!E81</f>
        <v>137</v>
      </c>
      <c r="L79" s="143">
        <f>'Supra A por pav'!F81</f>
        <v>1158</v>
      </c>
      <c r="M79" s="143">
        <f>'Supra A por pav'!G81</f>
        <v>1608</v>
      </c>
      <c r="N79" s="143">
        <f>'Supra A por pav'!H81</f>
        <v>2374</v>
      </c>
      <c r="O79" s="143">
        <f>'Supra A por pav'!I81</f>
        <v>2802</v>
      </c>
      <c r="P79" s="164">
        <f>'Supra A por pav'!J81</f>
        <v>0</v>
      </c>
      <c r="Q79" s="168">
        <f>'Supra A por pav'!K81</f>
        <v>0</v>
      </c>
    </row>
    <row r="80" spans="1:17" x14ac:dyDescent="0.25">
      <c r="A80" s="160"/>
      <c r="B80" s="156"/>
      <c r="C80" s="140"/>
      <c r="D80" s="140"/>
      <c r="E80" s="140" t="s">
        <v>54</v>
      </c>
      <c r="F80" s="141"/>
      <c r="G80" s="142">
        <f>'Supra A por pav'!M82</f>
        <v>2.2999999999999998</v>
      </c>
      <c r="H80" s="143">
        <f>'Supra A por pav'!L82</f>
        <v>209.5</v>
      </c>
      <c r="I80" s="143">
        <f>'Supra A por pav'!C82</f>
        <v>0</v>
      </c>
      <c r="J80" s="143">
        <f>'Supra A por pav'!D82</f>
        <v>0</v>
      </c>
      <c r="K80" s="143">
        <f>'Supra A por pav'!E82</f>
        <v>0</v>
      </c>
      <c r="L80" s="143">
        <f>'Supra A por pav'!F82</f>
        <v>0</v>
      </c>
      <c r="M80" s="143">
        <f>'Supra A por pav'!G82</f>
        <v>209.5</v>
      </c>
      <c r="N80" s="143">
        <f>'Supra A por pav'!H82</f>
        <v>0</v>
      </c>
      <c r="O80" s="143">
        <f>'Supra A por pav'!I82</f>
        <v>0</v>
      </c>
      <c r="P80" s="164">
        <f>'Supra A por pav'!J82</f>
        <v>0</v>
      </c>
      <c r="Q80" s="168">
        <f>'Supra A por pav'!K82</f>
        <v>0</v>
      </c>
    </row>
    <row r="81" spans="1:17" ht="15.75" thickBot="1" x14ac:dyDescent="0.3">
      <c r="A81" s="161"/>
      <c r="B81" s="157"/>
      <c r="C81" s="144"/>
      <c r="D81" s="144"/>
      <c r="E81" s="144" t="s">
        <v>55</v>
      </c>
      <c r="F81" s="145"/>
      <c r="G81" s="146">
        <f>'Supra A por pav'!M83</f>
        <v>0</v>
      </c>
      <c r="H81" s="147">
        <f>'Supra A por pav'!L83</f>
        <v>0</v>
      </c>
      <c r="I81" s="147">
        <f>'Supra A por pav'!C83</f>
        <v>0</v>
      </c>
      <c r="J81" s="147">
        <f>'Supra A por pav'!D83</f>
        <v>0</v>
      </c>
      <c r="K81" s="147">
        <f>'Supra A por pav'!E83</f>
        <v>0</v>
      </c>
      <c r="L81" s="147">
        <f>'Supra A por pav'!F83</f>
        <v>0</v>
      </c>
      <c r="M81" s="147">
        <f>'Supra A por pav'!G83</f>
        <v>0</v>
      </c>
      <c r="N81" s="147">
        <f>'Supra A por pav'!H83</f>
        <v>0</v>
      </c>
      <c r="O81" s="147">
        <f>'Supra A por pav'!I83</f>
        <v>0</v>
      </c>
      <c r="P81" s="165">
        <f>'Supra A por pav'!J83</f>
        <v>0</v>
      </c>
      <c r="Q81" s="169">
        <f>'Supra A por pav'!K83</f>
        <v>0</v>
      </c>
    </row>
    <row r="82" spans="1:17" ht="16.5" thickTop="1" thickBot="1" x14ac:dyDescent="0.3">
      <c r="A82" s="162" t="s">
        <v>253</v>
      </c>
      <c r="B82" s="158" t="s">
        <v>165</v>
      </c>
      <c r="C82" s="152" t="s">
        <v>70</v>
      </c>
      <c r="D82" s="152" t="s">
        <v>259</v>
      </c>
      <c r="E82" s="152"/>
      <c r="F82" s="153">
        <v>50</v>
      </c>
      <c r="G82" s="154">
        <f t="shared" ref="G82:Q82" si="12">SUM(G77:G81)</f>
        <v>170</v>
      </c>
      <c r="H82" s="155">
        <f t="shared" si="12"/>
        <v>19403.5</v>
      </c>
      <c r="I82" s="155">
        <f t="shared" si="12"/>
        <v>850</v>
      </c>
      <c r="J82" s="155">
        <f t="shared" si="12"/>
        <v>286</v>
      </c>
      <c r="K82" s="155">
        <f t="shared" si="12"/>
        <v>1602</v>
      </c>
      <c r="L82" s="155">
        <f t="shared" si="12"/>
        <v>1480</v>
      </c>
      <c r="M82" s="155">
        <f t="shared" si="12"/>
        <v>1877.5</v>
      </c>
      <c r="N82" s="155">
        <f t="shared" si="12"/>
        <v>3093</v>
      </c>
      <c r="O82" s="155">
        <f t="shared" si="12"/>
        <v>6357</v>
      </c>
      <c r="P82" s="166">
        <f t="shared" si="12"/>
        <v>2720</v>
      </c>
      <c r="Q82" s="170">
        <f t="shared" si="12"/>
        <v>1138</v>
      </c>
    </row>
    <row r="83" spans="1:17" ht="15.75" thickTop="1" x14ac:dyDescent="0.25">
      <c r="A83" s="163" t="s">
        <v>253</v>
      </c>
      <c r="B83" s="159" t="s">
        <v>165</v>
      </c>
      <c r="C83" s="148" t="s">
        <v>71</v>
      </c>
      <c r="D83" s="148" t="s">
        <v>71</v>
      </c>
      <c r="E83" s="148" t="s">
        <v>51</v>
      </c>
      <c r="F83" s="149">
        <v>50</v>
      </c>
      <c r="G83" s="150">
        <f>'Supra A por pav'!M85</f>
        <v>32.299999999999997</v>
      </c>
      <c r="H83" s="151">
        <f>'Supra A por pav'!L85</f>
        <v>4316</v>
      </c>
      <c r="I83" s="151">
        <f>'Supra A por pav'!C85</f>
        <v>0</v>
      </c>
      <c r="J83" s="151">
        <f>'Supra A por pav'!D85</f>
        <v>151</v>
      </c>
      <c r="K83" s="151">
        <f>'Supra A por pav'!E85</f>
        <v>588</v>
      </c>
      <c r="L83" s="151">
        <f>'Supra A por pav'!F85</f>
        <v>219</v>
      </c>
      <c r="M83" s="151">
        <f>'Supra A por pav'!G85</f>
        <v>56</v>
      </c>
      <c r="N83" s="151">
        <f>'Supra A por pav'!H85</f>
        <v>485</v>
      </c>
      <c r="O83" s="151">
        <f>'Supra A por pav'!I85</f>
        <v>480</v>
      </c>
      <c r="P83" s="167">
        <f>'Supra A por pav'!J85</f>
        <v>1681</v>
      </c>
      <c r="Q83" s="171">
        <f>'Supra A por pav'!K85</f>
        <v>656</v>
      </c>
    </row>
    <row r="84" spans="1:17" x14ac:dyDescent="0.25">
      <c r="A84" s="160"/>
      <c r="B84" s="156"/>
      <c r="C84" s="140"/>
      <c r="D84" s="140"/>
      <c r="E84" s="140" t="s">
        <v>52</v>
      </c>
      <c r="F84" s="141"/>
      <c r="G84" s="142">
        <f>'Supra A por pav'!M86</f>
        <v>41.9</v>
      </c>
      <c r="H84" s="143">
        <f>'Supra A por pav'!L86</f>
        <v>5097</v>
      </c>
      <c r="I84" s="143">
        <f>'Supra A por pav'!C86</f>
        <v>0</v>
      </c>
      <c r="J84" s="143">
        <f>'Supra A por pav'!D86</f>
        <v>134</v>
      </c>
      <c r="K84" s="143">
        <f>'Supra A por pav'!E86</f>
        <v>887</v>
      </c>
      <c r="L84" s="143">
        <f>'Supra A por pav'!F86</f>
        <v>57</v>
      </c>
      <c r="M84" s="143">
        <f>'Supra A por pav'!G86</f>
        <v>0</v>
      </c>
      <c r="N84" s="143">
        <f>'Supra A por pav'!H86</f>
        <v>393</v>
      </c>
      <c r="O84" s="143">
        <f>'Supra A por pav'!I86</f>
        <v>2797</v>
      </c>
      <c r="P84" s="164">
        <f>'Supra A por pav'!J86</f>
        <v>829</v>
      </c>
      <c r="Q84" s="168">
        <f>'Supra A por pav'!K86</f>
        <v>0</v>
      </c>
    </row>
    <row r="85" spans="1:17" x14ac:dyDescent="0.25">
      <c r="A85" s="160"/>
      <c r="B85" s="156"/>
      <c r="C85" s="140"/>
      <c r="D85" s="140"/>
      <c r="E85" s="140" t="s">
        <v>53</v>
      </c>
      <c r="F85" s="141"/>
      <c r="G85" s="142">
        <f>'Supra A por pav'!M87</f>
        <v>91.5</v>
      </c>
      <c r="H85" s="143">
        <f>'Supra A por pav'!L87</f>
        <v>8799</v>
      </c>
      <c r="I85" s="143">
        <f>'Supra A por pav'!C87</f>
        <v>828</v>
      </c>
      <c r="J85" s="143">
        <f>'Supra A por pav'!D87</f>
        <v>0</v>
      </c>
      <c r="K85" s="143">
        <f>'Supra A por pav'!E87</f>
        <v>118</v>
      </c>
      <c r="L85" s="143">
        <f>'Supra A por pav'!F87</f>
        <v>1122</v>
      </c>
      <c r="M85" s="143">
        <f>'Supra A por pav'!G87</f>
        <v>1601</v>
      </c>
      <c r="N85" s="143">
        <f>'Supra A por pav'!H87</f>
        <v>2369</v>
      </c>
      <c r="O85" s="143">
        <f>'Supra A por pav'!I87</f>
        <v>2761</v>
      </c>
      <c r="P85" s="164">
        <f>'Supra A por pav'!J87</f>
        <v>0</v>
      </c>
      <c r="Q85" s="168">
        <f>'Supra A por pav'!K87</f>
        <v>0</v>
      </c>
    </row>
    <row r="86" spans="1:17" x14ac:dyDescent="0.25">
      <c r="A86" s="160"/>
      <c r="B86" s="156"/>
      <c r="C86" s="140"/>
      <c r="D86" s="140"/>
      <c r="E86" s="140" t="s">
        <v>54</v>
      </c>
      <c r="F86" s="141"/>
      <c r="G86" s="142">
        <f>'Supra A por pav'!M88</f>
        <v>2.2999999999999998</v>
      </c>
      <c r="H86" s="143">
        <f>'Supra A por pav'!L88</f>
        <v>209.5</v>
      </c>
      <c r="I86" s="143">
        <f>'Supra A por pav'!C88</f>
        <v>0</v>
      </c>
      <c r="J86" s="143">
        <f>'Supra A por pav'!D88</f>
        <v>0</v>
      </c>
      <c r="K86" s="143">
        <f>'Supra A por pav'!E88</f>
        <v>0</v>
      </c>
      <c r="L86" s="143">
        <f>'Supra A por pav'!F88</f>
        <v>0</v>
      </c>
      <c r="M86" s="143">
        <f>'Supra A por pav'!G88</f>
        <v>209.5</v>
      </c>
      <c r="N86" s="143">
        <f>'Supra A por pav'!H88</f>
        <v>0</v>
      </c>
      <c r="O86" s="143">
        <f>'Supra A por pav'!I88</f>
        <v>0</v>
      </c>
      <c r="P86" s="164">
        <f>'Supra A por pav'!J88</f>
        <v>0</v>
      </c>
      <c r="Q86" s="168">
        <f>'Supra A por pav'!K88</f>
        <v>0</v>
      </c>
    </row>
    <row r="87" spans="1:17" ht="15.75" thickBot="1" x14ac:dyDescent="0.3">
      <c r="A87" s="161"/>
      <c r="B87" s="157"/>
      <c r="C87" s="144"/>
      <c r="D87" s="144"/>
      <c r="E87" s="144" t="s">
        <v>55</v>
      </c>
      <c r="F87" s="145"/>
      <c r="G87" s="146">
        <f>'Supra A por pav'!M89</f>
        <v>0</v>
      </c>
      <c r="H87" s="147">
        <f>'Supra A por pav'!L89</f>
        <v>0</v>
      </c>
      <c r="I87" s="147">
        <f>'Supra A por pav'!C89</f>
        <v>0</v>
      </c>
      <c r="J87" s="147">
        <f>'Supra A por pav'!D89</f>
        <v>0</v>
      </c>
      <c r="K87" s="147">
        <f>'Supra A por pav'!E89</f>
        <v>0</v>
      </c>
      <c r="L87" s="147">
        <f>'Supra A por pav'!F89</f>
        <v>0</v>
      </c>
      <c r="M87" s="147">
        <f>'Supra A por pav'!G89</f>
        <v>0</v>
      </c>
      <c r="N87" s="147">
        <f>'Supra A por pav'!H89</f>
        <v>0</v>
      </c>
      <c r="O87" s="147">
        <f>'Supra A por pav'!I89</f>
        <v>0</v>
      </c>
      <c r="P87" s="165">
        <f>'Supra A por pav'!J89</f>
        <v>0</v>
      </c>
      <c r="Q87" s="169">
        <f>'Supra A por pav'!K89</f>
        <v>0</v>
      </c>
    </row>
    <row r="88" spans="1:17" ht="16.5" thickTop="1" thickBot="1" x14ac:dyDescent="0.3">
      <c r="A88" s="162" t="s">
        <v>253</v>
      </c>
      <c r="B88" s="158" t="s">
        <v>165</v>
      </c>
      <c r="C88" s="152" t="s">
        <v>71</v>
      </c>
      <c r="D88" s="152" t="s">
        <v>260</v>
      </c>
      <c r="E88" s="152"/>
      <c r="F88" s="153">
        <v>50</v>
      </c>
      <c r="G88" s="154">
        <f t="shared" ref="G88:Q88" si="13">SUM(G83:G87)</f>
        <v>168</v>
      </c>
      <c r="H88" s="155">
        <f t="shared" si="13"/>
        <v>18421.5</v>
      </c>
      <c r="I88" s="155">
        <f t="shared" si="13"/>
        <v>828</v>
      </c>
      <c r="J88" s="155">
        <f t="shared" si="13"/>
        <v>285</v>
      </c>
      <c r="K88" s="155">
        <f t="shared" si="13"/>
        <v>1593</v>
      </c>
      <c r="L88" s="155">
        <f t="shared" si="13"/>
        <v>1398</v>
      </c>
      <c r="M88" s="155">
        <f t="shared" si="13"/>
        <v>1866.5</v>
      </c>
      <c r="N88" s="155">
        <f t="shared" si="13"/>
        <v>3247</v>
      </c>
      <c r="O88" s="155">
        <f t="shared" si="13"/>
        <v>6038</v>
      </c>
      <c r="P88" s="166">
        <f t="shared" si="13"/>
        <v>2510</v>
      </c>
      <c r="Q88" s="170">
        <f t="shared" si="13"/>
        <v>656</v>
      </c>
    </row>
    <row r="89" spans="1:17" ht="15.75" thickTop="1" x14ac:dyDescent="0.25">
      <c r="A89" s="163" t="s">
        <v>253</v>
      </c>
      <c r="B89" s="159" t="s">
        <v>165</v>
      </c>
      <c r="C89" s="148" t="s">
        <v>72</v>
      </c>
      <c r="D89" s="148" t="s">
        <v>72</v>
      </c>
      <c r="E89" s="148" t="s">
        <v>51</v>
      </c>
      <c r="F89" s="149">
        <v>50</v>
      </c>
      <c r="G89" s="150">
        <f>'Supra A por pav'!M91</f>
        <v>32.299999999999997</v>
      </c>
      <c r="H89" s="151">
        <f>'Supra A por pav'!L91</f>
        <v>4316</v>
      </c>
      <c r="I89" s="151">
        <f>'Supra A por pav'!C91</f>
        <v>0</v>
      </c>
      <c r="J89" s="151">
        <f>'Supra A por pav'!D91</f>
        <v>151</v>
      </c>
      <c r="K89" s="151">
        <f>'Supra A por pav'!E91</f>
        <v>588</v>
      </c>
      <c r="L89" s="151">
        <f>'Supra A por pav'!F91</f>
        <v>219</v>
      </c>
      <c r="M89" s="151">
        <f>'Supra A por pav'!G91</f>
        <v>56</v>
      </c>
      <c r="N89" s="151">
        <f>'Supra A por pav'!H91</f>
        <v>485</v>
      </c>
      <c r="O89" s="151">
        <f>'Supra A por pav'!I91</f>
        <v>480</v>
      </c>
      <c r="P89" s="167">
        <f>'Supra A por pav'!J91</f>
        <v>1681</v>
      </c>
      <c r="Q89" s="171">
        <f>'Supra A por pav'!K91</f>
        <v>656</v>
      </c>
    </row>
    <row r="90" spans="1:17" x14ac:dyDescent="0.25">
      <c r="A90" s="160"/>
      <c r="B90" s="156"/>
      <c r="C90" s="140"/>
      <c r="D90" s="140"/>
      <c r="E90" s="140" t="s">
        <v>52</v>
      </c>
      <c r="F90" s="141"/>
      <c r="G90" s="142">
        <f>'Supra A por pav'!M92</f>
        <v>41.9</v>
      </c>
      <c r="H90" s="143">
        <f>'Supra A por pav'!L92</f>
        <v>5097</v>
      </c>
      <c r="I90" s="143">
        <f>'Supra A por pav'!C92</f>
        <v>0</v>
      </c>
      <c r="J90" s="143">
        <f>'Supra A por pav'!D92</f>
        <v>134</v>
      </c>
      <c r="K90" s="143">
        <f>'Supra A por pav'!E92</f>
        <v>887</v>
      </c>
      <c r="L90" s="143">
        <f>'Supra A por pav'!F92</f>
        <v>57</v>
      </c>
      <c r="M90" s="143">
        <f>'Supra A por pav'!G92</f>
        <v>0</v>
      </c>
      <c r="N90" s="143">
        <f>'Supra A por pav'!H92</f>
        <v>393</v>
      </c>
      <c r="O90" s="143">
        <f>'Supra A por pav'!I92</f>
        <v>2797</v>
      </c>
      <c r="P90" s="164">
        <f>'Supra A por pav'!J92</f>
        <v>829</v>
      </c>
      <c r="Q90" s="168">
        <f>'Supra A por pav'!K92</f>
        <v>0</v>
      </c>
    </row>
    <row r="91" spans="1:17" x14ac:dyDescent="0.25">
      <c r="A91" s="160"/>
      <c r="B91" s="156"/>
      <c r="C91" s="140"/>
      <c r="D91" s="140"/>
      <c r="E91" s="140" t="s">
        <v>53</v>
      </c>
      <c r="F91" s="141"/>
      <c r="G91" s="142">
        <f>'Supra A por pav'!M93</f>
        <v>93.5</v>
      </c>
      <c r="H91" s="143">
        <f>'Supra A por pav'!L93</f>
        <v>8929</v>
      </c>
      <c r="I91" s="143">
        <f>'Supra A por pav'!C93</f>
        <v>850</v>
      </c>
      <c r="J91" s="143">
        <f>'Supra A por pav'!D93</f>
        <v>0</v>
      </c>
      <c r="K91" s="143">
        <f>'Supra A por pav'!E93</f>
        <v>137</v>
      </c>
      <c r="L91" s="143">
        <f>'Supra A por pav'!F93</f>
        <v>1158</v>
      </c>
      <c r="M91" s="143">
        <f>'Supra A por pav'!G93</f>
        <v>1608</v>
      </c>
      <c r="N91" s="143">
        <f>'Supra A por pav'!H93</f>
        <v>2374</v>
      </c>
      <c r="O91" s="143">
        <f>'Supra A por pav'!I93</f>
        <v>2802</v>
      </c>
      <c r="P91" s="164">
        <f>'Supra A por pav'!J93</f>
        <v>0</v>
      </c>
      <c r="Q91" s="168">
        <f>'Supra A por pav'!K93</f>
        <v>0</v>
      </c>
    </row>
    <row r="92" spans="1:17" x14ac:dyDescent="0.25">
      <c r="A92" s="160"/>
      <c r="B92" s="156"/>
      <c r="C92" s="140"/>
      <c r="D92" s="140"/>
      <c r="E92" s="140" t="s">
        <v>54</v>
      </c>
      <c r="F92" s="141"/>
      <c r="G92" s="142">
        <f>'Supra A por pav'!M94</f>
        <v>2.2999999999999998</v>
      </c>
      <c r="H92" s="143">
        <f>'Supra A por pav'!L94</f>
        <v>209.5</v>
      </c>
      <c r="I92" s="143">
        <f>'Supra A por pav'!C94</f>
        <v>0</v>
      </c>
      <c r="J92" s="143">
        <f>'Supra A por pav'!D94</f>
        <v>0</v>
      </c>
      <c r="K92" s="143">
        <f>'Supra A por pav'!E94</f>
        <v>0</v>
      </c>
      <c r="L92" s="143">
        <f>'Supra A por pav'!F94</f>
        <v>0</v>
      </c>
      <c r="M92" s="143">
        <f>'Supra A por pav'!G94</f>
        <v>209.5</v>
      </c>
      <c r="N92" s="143">
        <f>'Supra A por pav'!H94</f>
        <v>0</v>
      </c>
      <c r="O92" s="143">
        <f>'Supra A por pav'!I94</f>
        <v>0</v>
      </c>
      <c r="P92" s="164">
        <f>'Supra A por pav'!J94</f>
        <v>0</v>
      </c>
      <c r="Q92" s="168">
        <f>'Supra A por pav'!K94</f>
        <v>0</v>
      </c>
    </row>
    <row r="93" spans="1:17" ht="15.75" thickBot="1" x14ac:dyDescent="0.3">
      <c r="A93" s="161"/>
      <c r="B93" s="157"/>
      <c r="C93" s="144"/>
      <c r="D93" s="144"/>
      <c r="E93" s="144" t="s">
        <v>55</v>
      </c>
      <c r="F93" s="145"/>
      <c r="G93" s="146">
        <f>'Supra A por pav'!M95</f>
        <v>0</v>
      </c>
      <c r="H93" s="147">
        <f>'Supra A por pav'!L95</f>
        <v>0</v>
      </c>
      <c r="I93" s="147">
        <f>'Supra A por pav'!C95</f>
        <v>0</v>
      </c>
      <c r="J93" s="147">
        <f>'Supra A por pav'!D95</f>
        <v>0</v>
      </c>
      <c r="K93" s="147">
        <f>'Supra A por pav'!E95</f>
        <v>0</v>
      </c>
      <c r="L93" s="147">
        <f>'Supra A por pav'!F95</f>
        <v>0</v>
      </c>
      <c r="M93" s="147">
        <f>'Supra A por pav'!G95</f>
        <v>0</v>
      </c>
      <c r="N93" s="147">
        <f>'Supra A por pav'!H95</f>
        <v>0</v>
      </c>
      <c r="O93" s="147">
        <f>'Supra A por pav'!I95</f>
        <v>0</v>
      </c>
      <c r="P93" s="165">
        <f>'Supra A por pav'!J95</f>
        <v>0</v>
      </c>
      <c r="Q93" s="169">
        <f>'Supra A por pav'!K95</f>
        <v>0</v>
      </c>
    </row>
    <row r="94" spans="1:17" ht="16.5" thickTop="1" thickBot="1" x14ac:dyDescent="0.3">
      <c r="A94" s="162" t="s">
        <v>253</v>
      </c>
      <c r="B94" s="158" t="s">
        <v>165</v>
      </c>
      <c r="C94" s="152" t="s">
        <v>72</v>
      </c>
      <c r="D94" s="152" t="s">
        <v>261</v>
      </c>
      <c r="E94" s="152"/>
      <c r="F94" s="153">
        <v>50</v>
      </c>
      <c r="G94" s="154">
        <f t="shared" ref="G94:Q94" si="14">SUM(G89:G93)</f>
        <v>170</v>
      </c>
      <c r="H94" s="155">
        <f t="shared" si="14"/>
        <v>18551.5</v>
      </c>
      <c r="I94" s="155">
        <f t="shared" si="14"/>
        <v>850</v>
      </c>
      <c r="J94" s="155">
        <f t="shared" si="14"/>
        <v>285</v>
      </c>
      <c r="K94" s="155">
        <f t="shared" si="14"/>
        <v>1612</v>
      </c>
      <c r="L94" s="155">
        <f t="shared" si="14"/>
        <v>1434</v>
      </c>
      <c r="M94" s="155">
        <f t="shared" si="14"/>
        <v>1873.5</v>
      </c>
      <c r="N94" s="155">
        <f t="shared" si="14"/>
        <v>3252</v>
      </c>
      <c r="O94" s="155">
        <f t="shared" si="14"/>
        <v>6079</v>
      </c>
      <c r="P94" s="166">
        <f t="shared" si="14"/>
        <v>2510</v>
      </c>
      <c r="Q94" s="170">
        <f t="shared" si="14"/>
        <v>656</v>
      </c>
    </row>
    <row r="95" spans="1:17" ht="15.75" thickTop="1" x14ac:dyDescent="0.25">
      <c r="A95" s="163" t="s">
        <v>253</v>
      </c>
      <c r="B95" s="159" t="s">
        <v>165</v>
      </c>
      <c r="C95" s="148" t="s">
        <v>73</v>
      </c>
      <c r="D95" s="148" t="s">
        <v>73</v>
      </c>
      <c r="E95" s="148" t="s">
        <v>51</v>
      </c>
      <c r="F95" s="149">
        <v>50</v>
      </c>
      <c r="G95" s="150">
        <f>'Supra A por pav'!M97</f>
        <v>32.299999999999997</v>
      </c>
      <c r="H95" s="151">
        <f>'Supra A por pav'!L97</f>
        <v>4316</v>
      </c>
      <c r="I95" s="151">
        <f>'Supra A por pav'!C97</f>
        <v>0</v>
      </c>
      <c r="J95" s="151">
        <f>'Supra A por pav'!D97</f>
        <v>151</v>
      </c>
      <c r="K95" s="151">
        <f>'Supra A por pav'!E97</f>
        <v>588</v>
      </c>
      <c r="L95" s="151">
        <f>'Supra A por pav'!F97</f>
        <v>219</v>
      </c>
      <c r="M95" s="151">
        <f>'Supra A por pav'!G97</f>
        <v>56</v>
      </c>
      <c r="N95" s="151">
        <f>'Supra A por pav'!H97</f>
        <v>485</v>
      </c>
      <c r="O95" s="151">
        <f>'Supra A por pav'!I97</f>
        <v>480</v>
      </c>
      <c r="P95" s="167">
        <f>'Supra A por pav'!J97</f>
        <v>1681</v>
      </c>
      <c r="Q95" s="171">
        <f>'Supra A por pav'!K97</f>
        <v>656</v>
      </c>
    </row>
    <row r="96" spans="1:17" x14ac:dyDescent="0.25">
      <c r="A96" s="160"/>
      <c r="B96" s="156"/>
      <c r="C96" s="140"/>
      <c r="D96" s="140"/>
      <c r="E96" s="140" t="s">
        <v>52</v>
      </c>
      <c r="F96" s="141"/>
      <c r="G96" s="142">
        <f>'Supra A por pav'!M98</f>
        <v>41.9</v>
      </c>
      <c r="H96" s="143">
        <f>'Supra A por pav'!L98</f>
        <v>5097</v>
      </c>
      <c r="I96" s="143">
        <f>'Supra A por pav'!C98</f>
        <v>0</v>
      </c>
      <c r="J96" s="143">
        <f>'Supra A por pav'!D98</f>
        <v>134</v>
      </c>
      <c r="K96" s="143">
        <f>'Supra A por pav'!E98</f>
        <v>887</v>
      </c>
      <c r="L96" s="143">
        <f>'Supra A por pav'!F98</f>
        <v>57</v>
      </c>
      <c r="M96" s="143">
        <f>'Supra A por pav'!G98</f>
        <v>0</v>
      </c>
      <c r="N96" s="143">
        <f>'Supra A por pav'!H98</f>
        <v>393</v>
      </c>
      <c r="O96" s="143">
        <f>'Supra A por pav'!I98</f>
        <v>2797</v>
      </c>
      <c r="P96" s="164">
        <f>'Supra A por pav'!J98</f>
        <v>829</v>
      </c>
      <c r="Q96" s="168">
        <f>'Supra A por pav'!K98</f>
        <v>0</v>
      </c>
    </row>
    <row r="97" spans="1:17" x14ac:dyDescent="0.25">
      <c r="A97" s="160"/>
      <c r="B97" s="156"/>
      <c r="C97" s="140"/>
      <c r="D97" s="140"/>
      <c r="E97" s="140" t="s">
        <v>53</v>
      </c>
      <c r="F97" s="141"/>
      <c r="G97" s="142">
        <f>'Supra A por pav'!M99</f>
        <v>91.5</v>
      </c>
      <c r="H97" s="143">
        <f>'Supra A por pav'!L99</f>
        <v>8799</v>
      </c>
      <c r="I97" s="143">
        <f>'Supra A por pav'!C99</f>
        <v>828</v>
      </c>
      <c r="J97" s="143">
        <f>'Supra A por pav'!D99</f>
        <v>0</v>
      </c>
      <c r="K97" s="143">
        <f>'Supra A por pav'!E99</f>
        <v>118</v>
      </c>
      <c r="L97" s="143">
        <f>'Supra A por pav'!F99</f>
        <v>1122</v>
      </c>
      <c r="M97" s="143">
        <f>'Supra A por pav'!G99</f>
        <v>1601</v>
      </c>
      <c r="N97" s="143">
        <f>'Supra A por pav'!H99</f>
        <v>2369</v>
      </c>
      <c r="O97" s="143">
        <f>'Supra A por pav'!I99</f>
        <v>2761</v>
      </c>
      <c r="P97" s="164">
        <f>'Supra A por pav'!J99</f>
        <v>0</v>
      </c>
      <c r="Q97" s="168">
        <f>'Supra A por pav'!K99</f>
        <v>0</v>
      </c>
    </row>
    <row r="98" spans="1:17" x14ac:dyDescent="0.25">
      <c r="A98" s="160"/>
      <c r="B98" s="156"/>
      <c r="C98" s="140"/>
      <c r="D98" s="140"/>
      <c r="E98" s="140" t="s">
        <v>54</v>
      </c>
      <c r="F98" s="141"/>
      <c r="G98" s="142">
        <f>'Supra A por pav'!M100</f>
        <v>2.2999999999999998</v>
      </c>
      <c r="H98" s="143">
        <f>'Supra A por pav'!L100</f>
        <v>209.5</v>
      </c>
      <c r="I98" s="143">
        <f>'Supra A por pav'!C100</f>
        <v>0</v>
      </c>
      <c r="J98" s="143">
        <f>'Supra A por pav'!D100</f>
        <v>0</v>
      </c>
      <c r="K98" s="143">
        <f>'Supra A por pav'!E100</f>
        <v>0</v>
      </c>
      <c r="L98" s="143">
        <f>'Supra A por pav'!F100</f>
        <v>0</v>
      </c>
      <c r="M98" s="143">
        <f>'Supra A por pav'!G100</f>
        <v>209.5</v>
      </c>
      <c r="N98" s="143">
        <f>'Supra A por pav'!H100</f>
        <v>0</v>
      </c>
      <c r="O98" s="143">
        <f>'Supra A por pav'!I100</f>
        <v>0</v>
      </c>
      <c r="P98" s="164">
        <f>'Supra A por pav'!J100</f>
        <v>0</v>
      </c>
      <c r="Q98" s="168">
        <f>'Supra A por pav'!K100</f>
        <v>0</v>
      </c>
    </row>
    <row r="99" spans="1:17" ht="15.75" thickBot="1" x14ac:dyDescent="0.3">
      <c r="A99" s="161"/>
      <c r="B99" s="157"/>
      <c r="C99" s="144"/>
      <c r="D99" s="144"/>
      <c r="E99" s="144" t="s">
        <v>55</v>
      </c>
      <c r="F99" s="145"/>
      <c r="G99" s="146">
        <f>'Supra A por pav'!M101</f>
        <v>0</v>
      </c>
      <c r="H99" s="147">
        <f>'Supra A por pav'!L101</f>
        <v>0</v>
      </c>
      <c r="I99" s="147">
        <f>'Supra A por pav'!C101</f>
        <v>0</v>
      </c>
      <c r="J99" s="147">
        <f>'Supra A por pav'!D101</f>
        <v>0</v>
      </c>
      <c r="K99" s="147">
        <f>'Supra A por pav'!E101</f>
        <v>0</v>
      </c>
      <c r="L99" s="147">
        <f>'Supra A por pav'!F101</f>
        <v>0</v>
      </c>
      <c r="M99" s="147">
        <f>'Supra A por pav'!G101</f>
        <v>0</v>
      </c>
      <c r="N99" s="147">
        <f>'Supra A por pav'!H101</f>
        <v>0</v>
      </c>
      <c r="O99" s="147">
        <f>'Supra A por pav'!I101</f>
        <v>0</v>
      </c>
      <c r="P99" s="165">
        <f>'Supra A por pav'!J101</f>
        <v>0</v>
      </c>
      <c r="Q99" s="169">
        <f>'Supra A por pav'!K101</f>
        <v>0</v>
      </c>
    </row>
    <row r="100" spans="1:17" ht="16.5" thickTop="1" thickBot="1" x14ac:dyDescent="0.3">
      <c r="A100" s="162" t="s">
        <v>253</v>
      </c>
      <c r="B100" s="158" t="s">
        <v>165</v>
      </c>
      <c r="C100" s="152" t="s">
        <v>73</v>
      </c>
      <c r="D100" s="152" t="s">
        <v>262</v>
      </c>
      <c r="E100" s="152"/>
      <c r="F100" s="153">
        <v>50</v>
      </c>
      <c r="G100" s="154">
        <f t="shared" ref="G100:Q100" si="15">SUM(G95:G99)</f>
        <v>168</v>
      </c>
      <c r="H100" s="155">
        <f t="shared" si="15"/>
        <v>18421.5</v>
      </c>
      <c r="I100" s="155">
        <f t="shared" si="15"/>
        <v>828</v>
      </c>
      <c r="J100" s="155">
        <f t="shared" si="15"/>
        <v>285</v>
      </c>
      <c r="K100" s="155">
        <f t="shared" si="15"/>
        <v>1593</v>
      </c>
      <c r="L100" s="155">
        <f t="shared" si="15"/>
        <v>1398</v>
      </c>
      <c r="M100" s="155">
        <f t="shared" si="15"/>
        <v>1866.5</v>
      </c>
      <c r="N100" s="155">
        <f t="shared" si="15"/>
        <v>3247</v>
      </c>
      <c r="O100" s="155">
        <f t="shared" si="15"/>
        <v>6038</v>
      </c>
      <c r="P100" s="166">
        <f t="shared" si="15"/>
        <v>2510</v>
      </c>
      <c r="Q100" s="170">
        <f t="shared" si="15"/>
        <v>656</v>
      </c>
    </row>
    <row r="101" spans="1:17" ht="15.75" thickTop="1" x14ac:dyDescent="0.25">
      <c r="A101" s="163" t="s">
        <v>253</v>
      </c>
      <c r="B101" s="159" t="s">
        <v>165</v>
      </c>
      <c r="C101" s="148" t="s">
        <v>74</v>
      </c>
      <c r="D101" s="148" t="s">
        <v>74</v>
      </c>
      <c r="E101" s="148" t="s">
        <v>51</v>
      </c>
      <c r="F101" s="149">
        <v>50</v>
      </c>
      <c r="G101" s="150">
        <f>'Supra A por pav'!M103</f>
        <v>32.299999999999997</v>
      </c>
      <c r="H101" s="151">
        <f>'Supra A por pav'!L103</f>
        <v>4316</v>
      </c>
      <c r="I101" s="151">
        <f>'Supra A por pav'!C103</f>
        <v>0</v>
      </c>
      <c r="J101" s="151">
        <f>'Supra A por pav'!D103</f>
        <v>151</v>
      </c>
      <c r="K101" s="151">
        <f>'Supra A por pav'!E103</f>
        <v>588</v>
      </c>
      <c r="L101" s="151">
        <f>'Supra A por pav'!F103</f>
        <v>219</v>
      </c>
      <c r="M101" s="151">
        <f>'Supra A por pav'!G103</f>
        <v>56</v>
      </c>
      <c r="N101" s="151">
        <f>'Supra A por pav'!H103</f>
        <v>485</v>
      </c>
      <c r="O101" s="151">
        <f>'Supra A por pav'!I103</f>
        <v>480</v>
      </c>
      <c r="P101" s="167">
        <f>'Supra A por pav'!J103</f>
        <v>1681</v>
      </c>
      <c r="Q101" s="171">
        <f>'Supra A por pav'!K103</f>
        <v>656</v>
      </c>
    </row>
    <row r="102" spans="1:17" x14ac:dyDescent="0.25">
      <c r="A102" s="160"/>
      <c r="B102" s="156"/>
      <c r="C102" s="140"/>
      <c r="D102" s="140"/>
      <c r="E102" s="140" t="s">
        <v>52</v>
      </c>
      <c r="F102" s="141"/>
      <c r="G102" s="142">
        <f>'Supra A por pav'!M104</f>
        <v>41.9</v>
      </c>
      <c r="H102" s="143">
        <f>'Supra A por pav'!L104</f>
        <v>4501</v>
      </c>
      <c r="I102" s="143">
        <f>'Supra A por pav'!C104</f>
        <v>0</v>
      </c>
      <c r="J102" s="143">
        <f>'Supra A por pav'!D104</f>
        <v>133</v>
      </c>
      <c r="K102" s="143">
        <f>'Supra A por pav'!E104</f>
        <v>919</v>
      </c>
      <c r="L102" s="143">
        <f>'Supra A por pav'!F104</f>
        <v>0</v>
      </c>
      <c r="M102" s="143">
        <f>'Supra A por pav'!G104</f>
        <v>0</v>
      </c>
      <c r="N102" s="143">
        <f>'Supra A por pav'!H104</f>
        <v>1164</v>
      </c>
      <c r="O102" s="143">
        <f>'Supra A por pav'!I104</f>
        <v>1673</v>
      </c>
      <c r="P102" s="164">
        <f>'Supra A por pav'!J104</f>
        <v>612</v>
      </c>
      <c r="Q102" s="168">
        <f>'Supra A por pav'!K104</f>
        <v>0</v>
      </c>
    </row>
    <row r="103" spans="1:17" x14ac:dyDescent="0.25">
      <c r="A103" s="160"/>
      <c r="B103" s="156"/>
      <c r="C103" s="140"/>
      <c r="D103" s="140"/>
      <c r="E103" s="140" t="s">
        <v>53</v>
      </c>
      <c r="F103" s="141"/>
      <c r="G103" s="142">
        <f>'Supra A por pav'!M105</f>
        <v>93.5</v>
      </c>
      <c r="H103" s="143">
        <f>'Supra A por pav'!L105</f>
        <v>8929</v>
      </c>
      <c r="I103" s="143">
        <f>'Supra A por pav'!C105</f>
        <v>850</v>
      </c>
      <c r="J103" s="143">
        <f>'Supra A por pav'!D105</f>
        <v>0</v>
      </c>
      <c r="K103" s="143">
        <f>'Supra A por pav'!E105</f>
        <v>137</v>
      </c>
      <c r="L103" s="143">
        <f>'Supra A por pav'!F105</f>
        <v>1158</v>
      </c>
      <c r="M103" s="143">
        <f>'Supra A por pav'!G105</f>
        <v>1608</v>
      </c>
      <c r="N103" s="143">
        <f>'Supra A por pav'!H105</f>
        <v>2374</v>
      </c>
      <c r="O103" s="143">
        <f>'Supra A por pav'!I105</f>
        <v>2802</v>
      </c>
      <c r="P103" s="164">
        <f>'Supra A por pav'!J105</f>
        <v>0</v>
      </c>
      <c r="Q103" s="168">
        <f>'Supra A por pav'!K105</f>
        <v>0</v>
      </c>
    </row>
    <row r="104" spans="1:17" x14ac:dyDescent="0.25">
      <c r="A104" s="160"/>
      <c r="B104" s="156"/>
      <c r="C104" s="140"/>
      <c r="D104" s="140"/>
      <c r="E104" s="140" t="s">
        <v>54</v>
      </c>
      <c r="F104" s="141"/>
      <c r="G104" s="142">
        <f>'Supra A por pav'!M106</f>
        <v>2.2999999999999998</v>
      </c>
      <c r="H104" s="143">
        <f>'Supra A por pav'!L106</f>
        <v>209.5</v>
      </c>
      <c r="I104" s="143">
        <f>'Supra A por pav'!C106</f>
        <v>0</v>
      </c>
      <c r="J104" s="143">
        <f>'Supra A por pav'!D106</f>
        <v>0</v>
      </c>
      <c r="K104" s="143">
        <f>'Supra A por pav'!E106</f>
        <v>0</v>
      </c>
      <c r="L104" s="143">
        <f>'Supra A por pav'!F106</f>
        <v>0</v>
      </c>
      <c r="M104" s="143">
        <f>'Supra A por pav'!G106</f>
        <v>209.5</v>
      </c>
      <c r="N104" s="143">
        <f>'Supra A por pav'!H106</f>
        <v>0</v>
      </c>
      <c r="O104" s="143">
        <f>'Supra A por pav'!I106</f>
        <v>0</v>
      </c>
      <c r="P104" s="164">
        <f>'Supra A por pav'!J106</f>
        <v>0</v>
      </c>
      <c r="Q104" s="168">
        <f>'Supra A por pav'!K106</f>
        <v>0</v>
      </c>
    </row>
    <row r="105" spans="1:17" ht="15.75" thickBot="1" x14ac:dyDescent="0.3">
      <c r="A105" s="161"/>
      <c r="B105" s="157"/>
      <c r="C105" s="144"/>
      <c r="D105" s="144"/>
      <c r="E105" s="144" t="s">
        <v>55</v>
      </c>
      <c r="F105" s="145"/>
      <c r="G105" s="146">
        <f>'Supra A por pav'!M107</f>
        <v>0</v>
      </c>
      <c r="H105" s="147">
        <f>'Supra A por pav'!L107</f>
        <v>0</v>
      </c>
      <c r="I105" s="147">
        <f>'Supra A por pav'!C107</f>
        <v>0</v>
      </c>
      <c r="J105" s="147">
        <f>'Supra A por pav'!D107</f>
        <v>0</v>
      </c>
      <c r="K105" s="147">
        <f>'Supra A por pav'!E107</f>
        <v>0</v>
      </c>
      <c r="L105" s="147">
        <f>'Supra A por pav'!F107</f>
        <v>0</v>
      </c>
      <c r="M105" s="147">
        <f>'Supra A por pav'!G107</f>
        <v>0</v>
      </c>
      <c r="N105" s="147">
        <f>'Supra A por pav'!H107</f>
        <v>0</v>
      </c>
      <c r="O105" s="147">
        <f>'Supra A por pav'!I107</f>
        <v>0</v>
      </c>
      <c r="P105" s="165">
        <f>'Supra A por pav'!J107</f>
        <v>0</v>
      </c>
      <c r="Q105" s="169">
        <f>'Supra A por pav'!K107</f>
        <v>0</v>
      </c>
    </row>
    <row r="106" spans="1:17" ht="16.5" thickTop="1" thickBot="1" x14ac:dyDescent="0.3">
      <c r="A106" s="162" t="s">
        <v>253</v>
      </c>
      <c r="B106" s="158" t="s">
        <v>165</v>
      </c>
      <c r="C106" s="152" t="s">
        <v>74</v>
      </c>
      <c r="D106" s="152" t="s">
        <v>263</v>
      </c>
      <c r="E106" s="152"/>
      <c r="F106" s="153">
        <v>50</v>
      </c>
      <c r="G106" s="154">
        <f t="shared" ref="G106:Q106" si="16">SUM(G101:G105)</f>
        <v>170</v>
      </c>
      <c r="H106" s="155">
        <f t="shared" si="16"/>
        <v>17955.5</v>
      </c>
      <c r="I106" s="155">
        <f t="shared" si="16"/>
        <v>850</v>
      </c>
      <c r="J106" s="155">
        <f t="shared" si="16"/>
        <v>284</v>
      </c>
      <c r="K106" s="155">
        <f t="shared" si="16"/>
        <v>1644</v>
      </c>
      <c r="L106" s="155">
        <f t="shared" si="16"/>
        <v>1377</v>
      </c>
      <c r="M106" s="155">
        <f t="shared" si="16"/>
        <v>1873.5</v>
      </c>
      <c r="N106" s="155">
        <f t="shared" si="16"/>
        <v>4023</v>
      </c>
      <c r="O106" s="155">
        <f t="shared" si="16"/>
        <v>4955</v>
      </c>
      <c r="P106" s="166">
        <f t="shared" si="16"/>
        <v>2293</v>
      </c>
      <c r="Q106" s="170">
        <f t="shared" si="16"/>
        <v>656</v>
      </c>
    </row>
    <row r="107" spans="1:17" ht="15.75" thickTop="1" x14ac:dyDescent="0.25">
      <c r="A107" s="163" t="s">
        <v>253</v>
      </c>
      <c r="B107" s="159" t="s">
        <v>165</v>
      </c>
      <c r="C107" s="148" t="s">
        <v>75</v>
      </c>
      <c r="D107" s="148" t="s">
        <v>75</v>
      </c>
      <c r="E107" s="148" t="s">
        <v>51</v>
      </c>
      <c r="F107" s="149">
        <v>50</v>
      </c>
      <c r="G107" s="150">
        <f>'Supra A por pav'!M109</f>
        <v>32.299999999999997</v>
      </c>
      <c r="H107" s="151">
        <f>'Supra A por pav'!L109</f>
        <v>4316</v>
      </c>
      <c r="I107" s="151">
        <f>'Supra A por pav'!C109</f>
        <v>0</v>
      </c>
      <c r="J107" s="151">
        <f>'Supra A por pav'!D109</f>
        <v>151</v>
      </c>
      <c r="K107" s="151">
        <f>'Supra A por pav'!E109</f>
        <v>588</v>
      </c>
      <c r="L107" s="151">
        <f>'Supra A por pav'!F109</f>
        <v>219</v>
      </c>
      <c r="M107" s="151">
        <f>'Supra A por pav'!G109</f>
        <v>56</v>
      </c>
      <c r="N107" s="151">
        <f>'Supra A por pav'!H109</f>
        <v>485</v>
      </c>
      <c r="O107" s="151">
        <f>'Supra A por pav'!I109</f>
        <v>480</v>
      </c>
      <c r="P107" s="167">
        <f>'Supra A por pav'!J109</f>
        <v>1681</v>
      </c>
      <c r="Q107" s="171">
        <f>'Supra A por pav'!K109</f>
        <v>656</v>
      </c>
    </row>
    <row r="108" spans="1:17" x14ac:dyDescent="0.25">
      <c r="A108" s="160"/>
      <c r="B108" s="156"/>
      <c r="C108" s="140"/>
      <c r="D108" s="140"/>
      <c r="E108" s="140" t="s">
        <v>52</v>
      </c>
      <c r="F108" s="141"/>
      <c r="G108" s="142">
        <f>'Supra A por pav'!M110</f>
        <v>41.9</v>
      </c>
      <c r="H108" s="143">
        <f>'Supra A por pav'!L110</f>
        <v>4373</v>
      </c>
      <c r="I108" s="143">
        <f>'Supra A por pav'!C110</f>
        <v>0</v>
      </c>
      <c r="J108" s="143">
        <f>'Supra A por pav'!D110</f>
        <v>133</v>
      </c>
      <c r="K108" s="143">
        <f>'Supra A por pav'!E110</f>
        <v>919</v>
      </c>
      <c r="L108" s="143">
        <f>'Supra A por pav'!F110</f>
        <v>0</v>
      </c>
      <c r="M108" s="143">
        <f>'Supra A por pav'!G110</f>
        <v>0</v>
      </c>
      <c r="N108" s="143">
        <f>'Supra A por pav'!H110</f>
        <v>1264</v>
      </c>
      <c r="O108" s="143">
        <f>'Supra A por pav'!I110</f>
        <v>1623</v>
      </c>
      <c r="P108" s="164">
        <f>'Supra A por pav'!J110</f>
        <v>434</v>
      </c>
      <c r="Q108" s="168">
        <f>'Supra A por pav'!K110</f>
        <v>0</v>
      </c>
    </row>
    <row r="109" spans="1:17" x14ac:dyDescent="0.25">
      <c r="A109" s="160"/>
      <c r="B109" s="156"/>
      <c r="C109" s="140"/>
      <c r="D109" s="140"/>
      <c r="E109" s="140" t="s">
        <v>53</v>
      </c>
      <c r="F109" s="141"/>
      <c r="G109" s="142">
        <f>'Supra A por pav'!M111</f>
        <v>91.5</v>
      </c>
      <c r="H109" s="143">
        <f>'Supra A por pav'!L111</f>
        <v>8799</v>
      </c>
      <c r="I109" s="143">
        <f>'Supra A por pav'!C111</f>
        <v>828</v>
      </c>
      <c r="J109" s="143">
        <f>'Supra A por pav'!D111</f>
        <v>0</v>
      </c>
      <c r="K109" s="143">
        <f>'Supra A por pav'!E111</f>
        <v>118</v>
      </c>
      <c r="L109" s="143">
        <f>'Supra A por pav'!F111</f>
        <v>1122</v>
      </c>
      <c r="M109" s="143">
        <f>'Supra A por pav'!G111</f>
        <v>1601</v>
      </c>
      <c r="N109" s="143">
        <f>'Supra A por pav'!H111</f>
        <v>2369</v>
      </c>
      <c r="O109" s="143">
        <f>'Supra A por pav'!I111</f>
        <v>2761</v>
      </c>
      <c r="P109" s="164">
        <f>'Supra A por pav'!J111</f>
        <v>0</v>
      </c>
      <c r="Q109" s="168">
        <f>'Supra A por pav'!K111</f>
        <v>0</v>
      </c>
    </row>
    <row r="110" spans="1:17" x14ac:dyDescent="0.25">
      <c r="A110" s="160"/>
      <c r="B110" s="156"/>
      <c r="C110" s="140"/>
      <c r="D110" s="140"/>
      <c r="E110" s="140" t="s">
        <v>54</v>
      </c>
      <c r="F110" s="141"/>
      <c r="G110" s="142">
        <f>'Supra A por pav'!M112</f>
        <v>2.2999999999999998</v>
      </c>
      <c r="H110" s="143">
        <f>'Supra A por pav'!L112</f>
        <v>209.5</v>
      </c>
      <c r="I110" s="143">
        <f>'Supra A por pav'!C112</f>
        <v>0</v>
      </c>
      <c r="J110" s="143">
        <f>'Supra A por pav'!D112</f>
        <v>0</v>
      </c>
      <c r="K110" s="143">
        <f>'Supra A por pav'!E112</f>
        <v>0</v>
      </c>
      <c r="L110" s="143">
        <f>'Supra A por pav'!F112</f>
        <v>0</v>
      </c>
      <c r="M110" s="143">
        <f>'Supra A por pav'!G112</f>
        <v>209.5</v>
      </c>
      <c r="N110" s="143">
        <f>'Supra A por pav'!H112</f>
        <v>0</v>
      </c>
      <c r="O110" s="143">
        <f>'Supra A por pav'!I112</f>
        <v>0</v>
      </c>
      <c r="P110" s="164">
        <f>'Supra A por pav'!J112</f>
        <v>0</v>
      </c>
      <c r="Q110" s="168">
        <f>'Supra A por pav'!K112</f>
        <v>0</v>
      </c>
    </row>
    <row r="111" spans="1:17" ht="15.75" thickBot="1" x14ac:dyDescent="0.3">
      <c r="A111" s="161"/>
      <c r="B111" s="157"/>
      <c r="C111" s="144"/>
      <c r="D111" s="144"/>
      <c r="E111" s="144" t="s">
        <v>55</v>
      </c>
      <c r="F111" s="145"/>
      <c r="G111" s="146">
        <f>'Supra A por pav'!M113</f>
        <v>0</v>
      </c>
      <c r="H111" s="147">
        <f>'Supra A por pav'!L113</f>
        <v>0</v>
      </c>
      <c r="I111" s="147">
        <f>'Supra A por pav'!C113</f>
        <v>0</v>
      </c>
      <c r="J111" s="147">
        <f>'Supra A por pav'!D113</f>
        <v>0</v>
      </c>
      <c r="K111" s="147">
        <f>'Supra A por pav'!E113</f>
        <v>0</v>
      </c>
      <c r="L111" s="147">
        <f>'Supra A por pav'!F113</f>
        <v>0</v>
      </c>
      <c r="M111" s="147">
        <f>'Supra A por pav'!G113</f>
        <v>0</v>
      </c>
      <c r="N111" s="147">
        <f>'Supra A por pav'!H113</f>
        <v>0</v>
      </c>
      <c r="O111" s="147">
        <f>'Supra A por pav'!I113</f>
        <v>0</v>
      </c>
      <c r="P111" s="165">
        <f>'Supra A por pav'!J113</f>
        <v>0</v>
      </c>
      <c r="Q111" s="169">
        <f>'Supra A por pav'!K113</f>
        <v>0</v>
      </c>
    </row>
    <row r="112" spans="1:17" ht="16.5" thickTop="1" thickBot="1" x14ac:dyDescent="0.3">
      <c r="A112" s="162" t="s">
        <v>253</v>
      </c>
      <c r="B112" s="158" t="s">
        <v>165</v>
      </c>
      <c r="C112" s="152" t="s">
        <v>75</v>
      </c>
      <c r="D112" s="152" t="s">
        <v>264</v>
      </c>
      <c r="E112" s="152"/>
      <c r="F112" s="153">
        <v>50</v>
      </c>
      <c r="G112" s="154">
        <f t="shared" ref="G112:Q112" si="17">SUM(G107:G111)</f>
        <v>168</v>
      </c>
      <c r="H112" s="155">
        <f t="shared" si="17"/>
        <v>17697.5</v>
      </c>
      <c r="I112" s="155">
        <f t="shared" si="17"/>
        <v>828</v>
      </c>
      <c r="J112" s="155">
        <f t="shared" si="17"/>
        <v>284</v>
      </c>
      <c r="K112" s="155">
        <f t="shared" si="17"/>
        <v>1625</v>
      </c>
      <c r="L112" s="155">
        <f t="shared" si="17"/>
        <v>1341</v>
      </c>
      <c r="M112" s="155">
        <f t="shared" si="17"/>
        <v>1866.5</v>
      </c>
      <c r="N112" s="155">
        <f t="shared" si="17"/>
        <v>4118</v>
      </c>
      <c r="O112" s="155">
        <f t="shared" si="17"/>
        <v>4864</v>
      </c>
      <c r="P112" s="166">
        <f t="shared" si="17"/>
        <v>2115</v>
      </c>
      <c r="Q112" s="170">
        <f t="shared" si="17"/>
        <v>656</v>
      </c>
    </row>
    <row r="113" spans="1:17" ht="15.75" thickTop="1" x14ac:dyDescent="0.25">
      <c r="A113" s="163" t="s">
        <v>253</v>
      </c>
      <c r="B113" s="159" t="s">
        <v>165</v>
      </c>
      <c r="C113" s="148" t="s">
        <v>76</v>
      </c>
      <c r="D113" s="148" t="s">
        <v>76</v>
      </c>
      <c r="E113" s="148" t="s">
        <v>51</v>
      </c>
      <c r="F113" s="149">
        <v>50</v>
      </c>
      <c r="G113" s="150">
        <f>'Supra A por pav'!M115</f>
        <v>32.299999999999997</v>
      </c>
      <c r="H113" s="151">
        <f>'Supra A por pav'!L115</f>
        <v>3881</v>
      </c>
      <c r="I113" s="151">
        <f>'Supra A por pav'!C115</f>
        <v>0</v>
      </c>
      <c r="J113" s="151">
        <f>'Supra A por pav'!D115</f>
        <v>165</v>
      </c>
      <c r="K113" s="151">
        <f>'Supra A por pav'!E115</f>
        <v>611</v>
      </c>
      <c r="L113" s="151">
        <f>'Supra A por pav'!F115</f>
        <v>121</v>
      </c>
      <c r="M113" s="151">
        <f>'Supra A por pav'!G115</f>
        <v>58</v>
      </c>
      <c r="N113" s="151">
        <f>'Supra A por pav'!H115</f>
        <v>460</v>
      </c>
      <c r="O113" s="151">
        <f>'Supra A por pav'!I115</f>
        <v>585</v>
      </c>
      <c r="P113" s="167">
        <f>'Supra A por pav'!J115</f>
        <v>1425</v>
      </c>
      <c r="Q113" s="171">
        <f>'Supra A por pav'!K115</f>
        <v>456</v>
      </c>
    </row>
    <row r="114" spans="1:17" x14ac:dyDescent="0.25">
      <c r="A114" s="160"/>
      <c r="B114" s="156"/>
      <c r="C114" s="140"/>
      <c r="D114" s="140"/>
      <c r="E114" s="140" t="s">
        <v>52</v>
      </c>
      <c r="F114" s="141"/>
      <c r="G114" s="142">
        <f>'Supra A por pav'!M116</f>
        <v>41.9</v>
      </c>
      <c r="H114" s="143">
        <f>'Supra A por pav'!L116</f>
        <v>4373</v>
      </c>
      <c r="I114" s="143">
        <f>'Supra A por pav'!C116</f>
        <v>0</v>
      </c>
      <c r="J114" s="143">
        <f>'Supra A por pav'!D116</f>
        <v>133</v>
      </c>
      <c r="K114" s="143">
        <f>'Supra A por pav'!E116</f>
        <v>919</v>
      </c>
      <c r="L114" s="143">
        <f>'Supra A por pav'!F116</f>
        <v>0</v>
      </c>
      <c r="M114" s="143">
        <f>'Supra A por pav'!G116</f>
        <v>0</v>
      </c>
      <c r="N114" s="143">
        <f>'Supra A por pav'!H116</f>
        <v>1264</v>
      </c>
      <c r="O114" s="143">
        <f>'Supra A por pav'!I116</f>
        <v>1623</v>
      </c>
      <c r="P114" s="164">
        <f>'Supra A por pav'!J116</f>
        <v>434</v>
      </c>
      <c r="Q114" s="168">
        <f>'Supra A por pav'!K116</f>
        <v>0</v>
      </c>
    </row>
    <row r="115" spans="1:17" x14ac:dyDescent="0.25">
      <c r="A115" s="160"/>
      <c r="B115" s="156"/>
      <c r="C115" s="140"/>
      <c r="D115" s="140"/>
      <c r="E115" s="140" t="s">
        <v>53</v>
      </c>
      <c r="F115" s="141"/>
      <c r="G115" s="142">
        <f>'Supra A por pav'!M117</f>
        <v>93.5</v>
      </c>
      <c r="H115" s="143">
        <f>'Supra A por pav'!L117</f>
        <v>8929</v>
      </c>
      <c r="I115" s="143">
        <f>'Supra A por pav'!C117</f>
        <v>850</v>
      </c>
      <c r="J115" s="143">
        <f>'Supra A por pav'!D117</f>
        <v>0</v>
      </c>
      <c r="K115" s="143">
        <f>'Supra A por pav'!E117</f>
        <v>137</v>
      </c>
      <c r="L115" s="143">
        <f>'Supra A por pav'!F117</f>
        <v>1158</v>
      </c>
      <c r="M115" s="143">
        <f>'Supra A por pav'!G117</f>
        <v>1608</v>
      </c>
      <c r="N115" s="143">
        <f>'Supra A por pav'!H117</f>
        <v>2374</v>
      </c>
      <c r="O115" s="143">
        <f>'Supra A por pav'!I117</f>
        <v>2802</v>
      </c>
      <c r="P115" s="164">
        <f>'Supra A por pav'!J117</f>
        <v>0</v>
      </c>
      <c r="Q115" s="168">
        <f>'Supra A por pav'!K117</f>
        <v>0</v>
      </c>
    </row>
    <row r="116" spans="1:17" x14ac:dyDescent="0.25">
      <c r="A116" s="160"/>
      <c r="B116" s="156"/>
      <c r="C116" s="140"/>
      <c r="D116" s="140"/>
      <c r="E116" s="140" t="s">
        <v>54</v>
      </c>
      <c r="F116" s="141"/>
      <c r="G116" s="142">
        <f>'Supra A por pav'!M118</f>
        <v>2.2999999999999998</v>
      </c>
      <c r="H116" s="143">
        <f>'Supra A por pav'!L118</f>
        <v>209.5</v>
      </c>
      <c r="I116" s="143">
        <f>'Supra A por pav'!C118</f>
        <v>0</v>
      </c>
      <c r="J116" s="143">
        <f>'Supra A por pav'!D118</f>
        <v>0</v>
      </c>
      <c r="K116" s="143">
        <f>'Supra A por pav'!E118</f>
        <v>0</v>
      </c>
      <c r="L116" s="143">
        <f>'Supra A por pav'!F118</f>
        <v>0</v>
      </c>
      <c r="M116" s="143">
        <f>'Supra A por pav'!G118</f>
        <v>209.5</v>
      </c>
      <c r="N116" s="143">
        <f>'Supra A por pav'!H118</f>
        <v>0</v>
      </c>
      <c r="O116" s="143">
        <f>'Supra A por pav'!I118</f>
        <v>0</v>
      </c>
      <c r="P116" s="164">
        <f>'Supra A por pav'!J118</f>
        <v>0</v>
      </c>
      <c r="Q116" s="168">
        <f>'Supra A por pav'!K118</f>
        <v>0</v>
      </c>
    </row>
    <row r="117" spans="1:17" ht="15.75" thickBot="1" x14ac:dyDescent="0.3">
      <c r="A117" s="161"/>
      <c r="B117" s="157"/>
      <c r="C117" s="144"/>
      <c r="D117" s="144"/>
      <c r="E117" s="144" t="s">
        <v>55</v>
      </c>
      <c r="F117" s="145"/>
      <c r="G117" s="146">
        <f>'Supra A por pav'!M119</f>
        <v>0</v>
      </c>
      <c r="H117" s="147">
        <f>'Supra A por pav'!L119</f>
        <v>0</v>
      </c>
      <c r="I117" s="147">
        <f>'Supra A por pav'!C119</f>
        <v>0</v>
      </c>
      <c r="J117" s="147">
        <f>'Supra A por pav'!D119</f>
        <v>0</v>
      </c>
      <c r="K117" s="147">
        <f>'Supra A por pav'!E119</f>
        <v>0</v>
      </c>
      <c r="L117" s="147">
        <f>'Supra A por pav'!F119</f>
        <v>0</v>
      </c>
      <c r="M117" s="147">
        <f>'Supra A por pav'!G119</f>
        <v>0</v>
      </c>
      <c r="N117" s="147">
        <f>'Supra A por pav'!H119</f>
        <v>0</v>
      </c>
      <c r="O117" s="147">
        <f>'Supra A por pav'!I119</f>
        <v>0</v>
      </c>
      <c r="P117" s="165">
        <f>'Supra A por pav'!J119</f>
        <v>0</v>
      </c>
      <c r="Q117" s="169">
        <f>'Supra A por pav'!K119</f>
        <v>0</v>
      </c>
    </row>
    <row r="118" spans="1:17" ht="16.5" thickTop="1" thickBot="1" x14ac:dyDescent="0.3">
      <c r="A118" s="162" t="s">
        <v>253</v>
      </c>
      <c r="B118" s="158" t="s">
        <v>165</v>
      </c>
      <c r="C118" s="152" t="s">
        <v>76</v>
      </c>
      <c r="D118" s="152" t="s">
        <v>265</v>
      </c>
      <c r="E118" s="152"/>
      <c r="F118" s="153">
        <v>50</v>
      </c>
      <c r="G118" s="154">
        <f t="shared" ref="G118:Q118" si="18">SUM(G113:G117)</f>
        <v>170</v>
      </c>
      <c r="H118" s="155">
        <f t="shared" si="18"/>
        <v>17392.5</v>
      </c>
      <c r="I118" s="155">
        <f t="shared" si="18"/>
        <v>850</v>
      </c>
      <c r="J118" s="155">
        <f t="shared" si="18"/>
        <v>298</v>
      </c>
      <c r="K118" s="155">
        <f t="shared" si="18"/>
        <v>1667</v>
      </c>
      <c r="L118" s="155">
        <f t="shared" si="18"/>
        <v>1279</v>
      </c>
      <c r="M118" s="155">
        <f t="shared" si="18"/>
        <v>1875.5</v>
      </c>
      <c r="N118" s="155">
        <f t="shared" si="18"/>
        <v>4098</v>
      </c>
      <c r="O118" s="155">
        <f t="shared" si="18"/>
        <v>5010</v>
      </c>
      <c r="P118" s="166">
        <f t="shared" si="18"/>
        <v>1859</v>
      </c>
      <c r="Q118" s="170">
        <f t="shared" si="18"/>
        <v>456</v>
      </c>
    </row>
    <row r="119" spans="1:17" ht="15.75" thickTop="1" x14ac:dyDescent="0.25">
      <c r="A119" s="163" t="s">
        <v>253</v>
      </c>
      <c r="B119" s="159" t="s">
        <v>165</v>
      </c>
      <c r="C119" s="148" t="s">
        <v>77</v>
      </c>
      <c r="D119" s="148" t="s">
        <v>77</v>
      </c>
      <c r="E119" s="148" t="s">
        <v>51</v>
      </c>
      <c r="F119" s="149">
        <v>50</v>
      </c>
      <c r="G119" s="150">
        <f>'Supra A por pav'!M121</f>
        <v>32.299999999999997</v>
      </c>
      <c r="H119" s="151">
        <f>'Supra A por pav'!L121</f>
        <v>3881</v>
      </c>
      <c r="I119" s="151">
        <f>'Supra A por pav'!C121</f>
        <v>0</v>
      </c>
      <c r="J119" s="151">
        <f>'Supra A por pav'!D121</f>
        <v>165</v>
      </c>
      <c r="K119" s="151">
        <f>'Supra A por pav'!E121</f>
        <v>611</v>
      </c>
      <c r="L119" s="151">
        <f>'Supra A por pav'!F121</f>
        <v>121</v>
      </c>
      <c r="M119" s="151">
        <f>'Supra A por pav'!G121</f>
        <v>58</v>
      </c>
      <c r="N119" s="151">
        <f>'Supra A por pav'!H121</f>
        <v>460</v>
      </c>
      <c r="O119" s="151">
        <f>'Supra A por pav'!I121</f>
        <v>585</v>
      </c>
      <c r="P119" s="167">
        <f>'Supra A por pav'!J121</f>
        <v>1425</v>
      </c>
      <c r="Q119" s="171">
        <f>'Supra A por pav'!K121</f>
        <v>456</v>
      </c>
    </row>
    <row r="120" spans="1:17" x14ac:dyDescent="0.25">
      <c r="A120" s="160"/>
      <c r="B120" s="156"/>
      <c r="C120" s="140"/>
      <c r="D120" s="140"/>
      <c r="E120" s="140" t="s">
        <v>52</v>
      </c>
      <c r="F120" s="141"/>
      <c r="G120" s="142">
        <f>'Supra A por pav'!M122</f>
        <v>41.9</v>
      </c>
      <c r="H120" s="143">
        <f>'Supra A por pav'!L122</f>
        <v>4131</v>
      </c>
      <c r="I120" s="143">
        <f>'Supra A por pav'!C122</f>
        <v>0</v>
      </c>
      <c r="J120" s="143">
        <f>'Supra A por pav'!D122</f>
        <v>133</v>
      </c>
      <c r="K120" s="143">
        <f>'Supra A por pav'!E122</f>
        <v>917</v>
      </c>
      <c r="L120" s="143">
        <f>'Supra A por pav'!F122</f>
        <v>0</v>
      </c>
      <c r="M120" s="143">
        <f>'Supra A por pav'!G122</f>
        <v>0</v>
      </c>
      <c r="N120" s="143">
        <f>'Supra A por pav'!H122</f>
        <v>1395</v>
      </c>
      <c r="O120" s="143">
        <f>'Supra A por pav'!I122</f>
        <v>1686</v>
      </c>
      <c r="P120" s="164">
        <f>'Supra A por pav'!J122</f>
        <v>0</v>
      </c>
      <c r="Q120" s="168">
        <f>'Supra A por pav'!K122</f>
        <v>0</v>
      </c>
    </row>
    <row r="121" spans="1:17" x14ac:dyDescent="0.25">
      <c r="A121" s="160"/>
      <c r="B121" s="156"/>
      <c r="C121" s="140"/>
      <c r="D121" s="140"/>
      <c r="E121" s="140" t="s">
        <v>53</v>
      </c>
      <c r="F121" s="141"/>
      <c r="G121" s="142">
        <f>'Supra A por pav'!M123</f>
        <v>91.5</v>
      </c>
      <c r="H121" s="143">
        <f>'Supra A por pav'!L123</f>
        <v>8799</v>
      </c>
      <c r="I121" s="143">
        <f>'Supra A por pav'!C123</f>
        <v>828</v>
      </c>
      <c r="J121" s="143">
        <f>'Supra A por pav'!D123</f>
        <v>0</v>
      </c>
      <c r="K121" s="143">
        <f>'Supra A por pav'!E123</f>
        <v>118</v>
      </c>
      <c r="L121" s="143">
        <f>'Supra A por pav'!F123</f>
        <v>1122</v>
      </c>
      <c r="M121" s="143">
        <f>'Supra A por pav'!G123</f>
        <v>1601</v>
      </c>
      <c r="N121" s="143">
        <f>'Supra A por pav'!H123</f>
        <v>2369</v>
      </c>
      <c r="O121" s="143">
        <f>'Supra A por pav'!I123</f>
        <v>2761</v>
      </c>
      <c r="P121" s="164">
        <f>'Supra A por pav'!J123</f>
        <v>0</v>
      </c>
      <c r="Q121" s="168">
        <f>'Supra A por pav'!K123</f>
        <v>0</v>
      </c>
    </row>
    <row r="122" spans="1:17" x14ac:dyDescent="0.25">
      <c r="A122" s="160"/>
      <c r="B122" s="156"/>
      <c r="C122" s="140"/>
      <c r="D122" s="140"/>
      <c r="E122" s="140" t="s">
        <v>54</v>
      </c>
      <c r="F122" s="141"/>
      <c r="G122" s="142">
        <f>'Supra A por pav'!M124</f>
        <v>2.2999999999999998</v>
      </c>
      <c r="H122" s="143">
        <f>'Supra A por pav'!L124</f>
        <v>209.5</v>
      </c>
      <c r="I122" s="143">
        <f>'Supra A por pav'!C124</f>
        <v>0</v>
      </c>
      <c r="J122" s="143">
        <f>'Supra A por pav'!D124</f>
        <v>0</v>
      </c>
      <c r="K122" s="143">
        <f>'Supra A por pav'!E124</f>
        <v>0</v>
      </c>
      <c r="L122" s="143">
        <f>'Supra A por pav'!F124</f>
        <v>0</v>
      </c>
      <c r="M122" s="143">
        <f>'Supra A por pav'!G124</f>
        <v>209.5</v>
      </c>
      <c r="N122" s="143">
        <f>'Supra A por pav'!H124</f>
        <v>0</v>
      </c>
      <c r="O122" s="143">
        <f>'Supra A por pav'!I124</f>
        <v>0</v>
      </c>
      <c r="P122" s="164">
        <f>'Supra A por pav'!J124</f>
        <v>0</v>
      </c>
      <c r="Q122" s="168">
        <f>'Supra A por pav'!K124</f>
        <v>0</v>
      </c>
    </row>
    <row r="123" spans="1:17" ht="15.75" thickBot="1" x14ac:dyDescent="0.3">
      <c r="A123" s="161"/>
      <c r="B123" s="157"/>
      <c r="C123" s="144"/>
      <c r="D123" s="144"/>
      <c r="E123" s="144" t="s">
        <v>55</v>
      </c>
      <c r="F123" s="145"/>
      <c r="G123" s="146">
        <f>'Supra A por pav'!M125</f>
        <v>0</v>
      </c>
      <c r="H123" s="147">
        <f>'Supra A por pav'!L125</f>
        <v>0</v>
      </c>
      <c r="I123" s="147">
        <f>'Supra A por pav'!C125</f>
        <v>0</v>
      </c>
      <c r="J123" s="147">
        <f>'Supra A por pav'!D125</f>
        <v>0</v>
      </c>
      <c r="K123" s="147">
        <f>'Supra A por pav'!E125</f>
        <v>0</v>
      </c>
      <c r="L123" s="147">
        <f>'Supra A por pav'!F125</f>
        <v>0</v>
      </c>
      <c r="M123" s="147">
        <f>'Supra A por pav'!G125</f>
        <v>0</v>
      </c>
      <c r="N123" s="147">
        <f>'Supra A por pav'!H125</f>
        <v>0</v>
      </c>
      <c r="O123" s="147">
        <f>'Supra A por pav'!I125</f>
        <v>0</v>
      </c>
      <c r="P123" s="165">
        <f>'Supra A por pav'!J125</f>
        <v>0</v>
      </c>
      <c r="Q123" s="169">
        <f>'Supra A por pav'!K125</f>
        <v>0</v>
      </c>
    </row>
    <row r="124" spans="1:17" ht="16.5" thickTop="1" thickBot="1" x14ac:dyDescent="0.3">
      <c r="A124" s="162" t="s">
        <v>253</v>
      </c>
      <c r="B124" s="158" t="s">
        <v>165</v>
      </c>
      <c r="C124" s="152" t="s">
        <v>77</v>
      </c>
      <c r="D124" s="152" t="s">
        <v>266</v>
      </c>
      <c r="E124" s="152"/>
      <c r="F124" s="153">
        <v>50</v>
      </c>
      <c r="G124" s="154">
        <f t="shared" ref="G124:Q124" si="19">SUM(G119:G123)</f>
        <v>168</v>
      </c>
      <c r="H124" s="155">
        <f t="shared" si="19"/>
        <v>17020.5</v>
      </c>
      <c r="I124" s="155">
        <f t="shared" si="19"/>
        <v>828</v>
      </c>
      <c r="J124" s="155">
        <f t="shared" si="19"/>
        <v>298</v>
      </c>
      <c r="K124" s="155">
        <f t="shared" si="19"/>
        <v>1646</v>
      </c>
      <c r="L124" s="155">
        <f t="shared" si="19"/>
        <v>1243</v>
      </c>
      <c r="M124" s="155">
        <f t="shared" si="19"/>
        <v>1868.5</v>
      </c>
      <c r="N124" s="155">
        <f t="shared" si="19"/>
        <v>4224</v>
      </c>
      <c r="O124" s="155">
        <f t="shared" si="19"/>
        <v>5032</v>
      </c>
      <c r="P124" s="166">
        <f t="shared" si="19"/>
        <v>1425</v>
      </c>
      <c r="Q124" s="170">
        <f t="shared" si="19"/>
        <v>456</v>
      </c>
    </row>
    <row r="125" spans="1:17" ht="15.75" thickTop="1" x14ac:dyDescent="0.25">
      <c r="A125" s="163" t="s">
        <v>253</v>
      </c>
      <c r="B125" s="159" t="s">
        <v>165</v>
      </c>
      <c r="C125" s="148" t="s">
        <v>78</v>
      </c>
      <c r="D125" s="148" t="s">
        <v>78</v>
      </c>
      <c r="E125" s="148" t="s">
        <v>51</v>
      </c>
      <c r="F125" s="149">
        <v>50</v>
      </c>
      <c r="G125" s="150">
        <f>'Supra A por pav'!M127</f>
        <v>32.299999999999997</v>
      </c>
      <c r="H125" s="151">
        <f>'Supra A por pav'!L127</f>
        <v>3881</v>
      </c>
      <c r="I125" s="151">
        <f>'Supra A por pav'!C127</f>
        <v>0</v>
      </c>
      <c r="J125" s="151">
        <f>'Supra A por pav'!D127</f>
        <v>165</v>
      </c>
      <c r="K125" s="151">
        <f>'Supra A por pav'!E127</f>
        <v>611</v>
      </c>
      <c r="L125" s="151">
        <f>'Supra A por pav'!F127</f>
        <v>121</v>
      </c>
      <c r="M125" s="151">
        <f>'Supra A por pav'!G127</f>
        <v>58</v>
      </c>
      <c r="N125" s="151">
        <f>'Supra A por pav'!H127</f>
        <v>460</v>
      </c>
      <c r="O125" s="151">
        <f>'Supra A por pav'!I127</f>
        <v>585</v>
      </c>
      <c r="P125" s="167">
        <f>'Supra A por pav'!J127</f>
        <v>1425</v>
      </c>
      <c r="Q125" s="171">
        <f>'Supra A por pav'!K127</f>
        <v>456</v>
      </c>
    </row>
    <row r="126" spans="1:17" x14ac:dyDescent="0.25">
      <c r="A126" s="160"/>
      <c r="B126" s="156"/>
      <c r="C126" s="140"/>
      <c r="D126" s="140"/>
      <c r="E126" s="140" t="s">
        <v>52</v>
      </c>
      <c r="F126" s="141"/>
      <c r="G126" s="142">
        <f>'Supra A por pav'!M128</f>
        <v>41.9</v>
      </c>
      <c r="H126" s="143">
        <f>'Supra A por pav'!L128</f>
        <v>4031</v>
      </c>
      <c r="I126" s="143">
        <f>'Supra A por pav'!C128</f>
        <v>0</v>
      </c>
      <c r="J126" s="143">
        <f>'Supra A por pav'!D128</f>
        <v>133</v>
      </c>
      <c r="K126" s="143">
        <f>'Supra A por pav'!E128</f>
        <v>916</v>
      </c>
      <c r="L126" s="143">
        <f>'Supra A por pav'!F128</f>
        <v>0</v>
      </c>
      <c r="M126" s="143">
        <f>'Supra A por pav'!G128</f>
        <v>0</v>
      </c>
      <c r="N126" s="143">
        <f>'Supra A por pav'!H128</f>
        <v>1549</v>
      </c>
      <c r="O126" s="143">
        <f>'Supra A por pav'!I128</f>
        <v>1433</v>
      </c>
      <c r="P126" s="164">
        <f>'Supra A por pav'!J128</f>
        <v>0</v>
      </c>
      <c r="Q126" s="168">
        <f>'Supra A por pav'!K128</f>
        <v>0</v>
      </c>
    </row>
    <row r="127" spans="1:17" x14ac:dyDescent="0.25">
      <c r="A127" s="160"/>
      <c r="B127" s="156"/>
      <c r="C127" s="140"/>
      <c r="D127" s="140"/>
      <c r="E127" s="140" t="s">
        <v>53</v>
      </c>
      <c r="F127" s="141"/>
      <c r="G127" s="142">
        <f>'Supra A por pav'!M129</f>
        <v>93.5</v>
      </c>
      <c r="H127" s="143">
        <f>'Supra A por pav'!L129</f>
        <v>8929</v>
      </c>
      <c r="I127" s="143">
        <f>'Supra A por pav'!C129</f>
        <v>850</v>
      </c>
      <c r="J127" s="143">
        <f>'Supra A por pav'!D129</f>
        <v>0</v>
      </c>
      <c r="K127" s="143">
        <f>'Supra A por pav'!E129</f>
        <v>137</v>
      </c>
      <c r="L127" s="143">
        <f>'Supra A por pav'!F129</f>
        <v>1158</v>
      </c>
      <c r="M127" s="143">
        <f>'Supra A por pav'!G129</f>
        <v>1608</v>
      </c>
      <c r="N127" s="143">
        <f>'Supra A por pav'!H129</f>
        <v>2374</v>
      </c>
      <c r="O127" s="143">
        <f>'Supra A por pav'!I129</f>
        <v>2802</v>
      </c>
      <c r="P127" s="164">
        <f>'Supra A por pav'!J129</f>
        <v>0</v>
      </c>
      <c r="Q127" s="168">
        <f>'Supra A por pav'!K129</f>
        <v>0</v>
      </c>
    </row>
    <row r="128" spans="1:17" x14ac:dyDescent="0.25">
      <c r="A128" s="160"/>
      <c r="B128" s="156"/>
      <c r="C128" s="140"/>
      <c r="D128" s="140"/>
      <c r="E128" s="140" t="s">
        <v>54</v>
      </c>
      <c r="F128" s="141"/>
      <c r="G128" s="142">
        <f>'Supra A por pav'!M130</f>
        <v>2.2999999999999998</v>
      </c>
      <c r="H128" s="143">
        <f>'Supra A por pav'!L130</f>
        <v>209.5</v>
      </c>
      <c r="I128" s="143">
        <f>'Supra A por pav'!C130</f>
        <v>0</v>
      </c>
      <c r="J128" s="143">
        <f>'Supra A por pav'!D130</f>
        <v>0</v>
      </c>
      <c r="K128" s="143">
        <f>'Supra A por pav'!E130</f>
        <v>0</v>
      </c>
      <c r="L128" s="143">
        <f>'Supra A por pav'!F130</f>
        <v>0</v>
      </c>
      <c r="M128" s="143">
        <f>'Supra A por pav'!G130</f>
        <v>209.5</v>
      </c>
      <c r="N128" s="143">
        <f>'Supra A por pav'!H130</f>
        <v>0</v>
      </c>
      <c r="O128" s="143">
        <f>'Supra A por pav'!I130</f>
        <v>0</v>
      </c>
      <c r="P128" s="164">
        <f>'Supra A por pav'!J130</f>
        <v>0</v>
      </c>
      <c r="Q128" s="168">
        <f>'Supra A por pav'!K130</f>
        <v>0</v>
      </c>
    </row>
    <row r="129" spans="1:17" ht="15.75" thickBot="1" x14ac:dyDescent="0.3">
      <c r="A129" s="161"/>
      <c r="B129" s="157"/>
      <c r="C129" s="144"/>
      <c r="D129" s="144"/>
      <c r="E129" s="144" t="s">
        <v>55</v>
      </c>
      <c r="F129" s="145"/>
      <c r="G129" s="146">
        <f>'Supra A por pav'!M131</f>
        <v>0</v>
      </c>
      <c r="H129" s="147">
        <f>'Supra A por pav'!L131</f>
        <v>0</v>
      </c>
      <c r="I129" s="147">
        <f>'Supra A por pav'!C131</f>
        <v>0</v>
      </c>
      <c r="J129" s="147">
        <f>'Supra A por pav'!D131</f>
        <v>0</v>
      </c>
      <c r="K129" s="147">
        <f>'Supra A por pav'!E131</f>
        <v>0</v>
      </c>
      <c r="L129" s="147">
        <f>'Supra A por pav'!F131</f>
        <v>0</v>
      </c>
      <c r="M129" s="147">
        <f>'Supra A por pav'!G131</f>
        <v>0</v>
      </c>
      <c r="N129" s="147">
        <f>'Supra A por pav'!H131</f>
        <v>0</v>
      </c>
      <c r="O129" s="147">
        <f>'Supra A por pav'!I131</f>
        <v>0</v>
      </c>
      <c r="P129" s="165">
        <f>'Supra A por pav'!J131</f>
        <v>0</v>
      </c>
      <c r="Q129" s="169">
        <f>'Supra A por pav'!K131</f>
        <v>0</v>
      </c>
    </row>
    <row r="130" spans="1:17" ht="16.5" thickTop="1" thickBot="1" x14ac:dyDescent="0.3">
      <c r="A130" s="162" t="s">
        <v>253</v>
      </c>
      <c r="B130" s="158" t="s">
        <v>165</v>
      </c>
      <c r="C130" s="152" t="s">
        <v>78</v>
      </c>
      <c r="D130" s="152" t="s">
        <v>267</v>
      </c>
      <c r="E130" s="152"/>
      <c r="F130" s="153">
        <v>50</v>
      </c>
      <c r="G130" s="154">
        <f t="shared" ref="G130:Q130" si="20">SUM(G125:G129)</f>
        <v>170</v>
      </c>
      <c r="H130" s="155">
        <f t="shared" si="20"/>
        <v>17050.5</v>
      </c>
      <c r="I130" s="155">
        <f t="shared" si="20"/>
        <v>850</v>
      </c>
      <c r="J130" s="155">
        <f t="shared" si="20"/>
        <v>298</v>
      </c>
      <c r="K130" s="155">
        <f t="shared" si="20"/>
        <v>1664</v>
      </c>
      <c r="L130" s="155">
        <f t="shared" si="20"/>
        <v>1279</v>
      </c>
      <c r="M130" s="155">
        <f t="shared" si="20"/>
        <v>1875.5</v>
      </c>
      <c r="N130" s="155">
        <f t="shared" si="20"/>
        <v>4383</v>
      </c>
      <c r="O130" s="155">
        <f t="shared" si="20"/>
        <v>4820</v>
      </c>
      <c r="P130" s="166">
        <f t="shared" si="20"/>
        <v>1425</v>
      </c>
      <c r="Q130" s="170">
        <f t="shared" si="20"/>
        <v>456</v>
      </c>
    </row>
    <row r="131" spans="1:17" ht="15.75" thickTop="1" x14ac:dyDescent="0.25">
      <c r="A131" s="163" t="s">
        <v>253</v>
      </c>
      <c r="B131" s="159" t="s">
        <v>165</v>
      </c>
      <c r="C131" s="148" t="s">
        <v>79</v>
      </c>
      <c r="D131" s="148" t="s">
        <v>79</v>
      </c>
      <c r="E131" s="148" t="s">
        <v>51</v>
      </c>
      <c r="F131" s="149">
        <v>50</v>
      </c>
      <c r="G131" s="150">
        <f>'Supra A por pav'!M133</f>
        <v>32.299999999999997</v>
      </c>
      <c r="H131" s="151">
        <f>'Supra A por pav'!L133</f>
        <v>3881</v>
      </c>
      <c r="I131" s="151">
        <f>'Supra A por pav'!C133</f>
        <v>0</v>
      </c>
      <c r="J131" s="151">
        <f>'Supra A por pav'!D133</f>
        <v>165</v>
      </c>
      <c r="K131" s="151">
        <f>'Supra A por pav'!E133</f>
        <v>611</v>
      </c>
      <c r="L131" s="151">
        <f>'Supra A por pav'!F133</f>
        <v>121</v>
      </c>
      <c r="M131" s="151">
        <f>'Supra A por pav'!G133</f>
        <v>58</v>
      </c>
      <c r="N131" s="151">
        <f>'Supra A por pav'!H133</f>
        <v>460</v>
      </c>
      <c r="O131" s="151">
        <f>'Supra A por pav'!I133</f>
        <v>585</v>
      </c>
      <c r="P131" s="167">
        <f>'Supra A por pav'!J133</f>
        <v>1425</v>
      </c>
      <c r="Q131" s="171">
        <f>'Supra A por pav'!K133</f>
        <v>456</v>
      </c>
    </row>
    <row r="132" spans="1:17" x14ac:dyDescent="0.25">
      <c r="A132" s="160"/>
      <c r="B132" s="156"/>
      <c r="C132" s="140"/>
      <c r="D132" s="140"/>
      <c r="E132" s="140" t="s">
        <v>52</v>
      </c>
      <c r="F132" s="141"/>
      <c r="G132" s="142">
        <f>'Supra A por pav'!M134</f>
        <v>41.9</v>
      </c>
      <c r="H132" s="143">
        <f>'Supra A por pav'!L134</f>
        <v>4031</v>
      </c>
      <c r="I132" s="143">
        <f>'Supra A por pav'!C134</f>
        <v>0</v>
      </c>
      <c r="J132" s="143">
        <f>'Supra A por pav'!D134</f>
        <v>133</v>
      </c>
      <c r="K132" s="143">
        <f>'Supra A por pav'!E134</f>
        <v>916</v>
      </c>
      <c r="L132" s="143">
        <f>'Supra A por pav'!F134</f>
        <v>0</v>
      </c>
      <c r="M132" s="143">
        <f>'Supra A por pav'!G134</f>
        <v>0</v>
      </c>
      <c r="N132" s="143">
        <f>'Supra A por pav'!H134</f>
        <v>1549</v>
      </c>
      <c r="O132" s="143">
        <f>'Supra A por pav'!I134</f>
        <v>1433</v>
      </c>
      <c r="P132" s="164">
        <f>'Supra A por pav'!J134</f>
        <v>0</v>
      </c>
      <c r="Q132" s="168">
        <f>'Supra A por pav'!K134</f>
        <v>0</v>
      </c>
    </row>
    <row r="133" spans="1:17" x14ac:dyDescent="0.25">
      <c r="A133" s="160"/>
      <c r="B133" s="156"/>
      <c r="C133" s="140"/>
      <c r="D133" s="140"/>
      <c r="E133" s="140" t="s">
        <v>53</v>
      </c>
      <c r="F133" s="141"/>
      <c r="G133" s="142">
        <f>'Supra A por pav'!M135</f>
        <v>91.5</v>
      </c>
      <c r="H133" s="143">
        <f>'Supra A por pav'!L135</f>
        <v>8799</v>
      </c>
      <c r="I133" s="143">
        <f>'Supra A por pav'!C135</f>
        <v>828</v>
      </c>
      <c r="J133" s="143">
        <f>'Supra A por pav'!D135</f>
        <v>0</v>
      </c>
      <c r="K133" s="143">
        <f>'Supra A por pav'!E135</f>
        <v>118</v>
      </c>
      <c r="L133" s="143">
        <f>'Supra A por pav'!F135</f>
        <v>1122</v>
      </c>
      <c r="M133" s="143">
        <f>'Supra A por pav'!G135</f>
        <v>1601</v>
      </c>
      <c r="N133" s="143">
        <f>'Supra A por pav'!H135</f>
        <v>2369</v>
      </c>
      <c r="O133" s="143">
        <f>'Supra A por pav'!I135</f>
        <v>2761</v>
      </c>
      <c r="P133" s="164">
        <f>'Supra A por pav'!J135</f>
        <v>0</v>
      </c>
      <c r="Q133" s="168">
        <f>'Supra A por pav'!K135</f>
        <v>0</v>
      </c>
    </row>
    <row r="134" spans="1:17" x14ac:dyDescent="0.25">
      <c r="A134" s="160"/>
      <c r="B134" s="156"/>
      <c r="C134" s="140"/>
      <c r="D134" s="140"/>
      <c r="E134" s="140" t="s">
        <v>54</v>
      </c>
      <c r="F134" s="141"/>
      <c r="G134" s="142">
        <f>'Supra A por pav'!M136</f>
        <v>2.2999999999999998</v>
      </c>
      <c r="H134" s="143">
        <f>'Supra A por pav'!L136</f>
        <v>209.5</v>
      </c>
      <c r="I134" s="143">
        <f>'Supra A por pav'!C136</f>
        <v>0</v>
      </c>
      <c r="J134" s="143">
        <f>'Supra A por pav'!D136</f>
        <v>0</v>
      </c>
      <c r="K134" s="143">
        <f>'Supra A por pav'!E136</f>
        <v>0</v>
      </c>
      <c r="L134" s="143">
        <f>'Supra A por pav'!F136</f>
        <v>0</v>
      </c>
      <c r="M134" s="143">
        <f>'Supra A por pav'!G136</f>
        <v>209.5</v>
      </c>
      <c r="N134" s="143">
        <f>'Supra A por pav'!H136</f>
        <v>0</v>
      </c>
      <c r="O134" s="143">
        <f>'Supra A por pav'!I136</f>
        <v>0</v>
      </c>
      <c r="P134" s="164">
        <f>'Supra A por pav'!J136</f>
        <v>0</v>
      </c>
      <c r="Q134" s="168">
        <f>'Supra A por pav'!K136</f>
        <v>0</v>
      </c>
    </row>
    <row r="135" spans="1:17" ht="15.75" thickBot="1" x14ac:dyDescent="0.3">
      <c r="A135" s="161"/>
      <c r="B135" s="157"/>
      <c r="C135" s="144"/>
      <c r="D135" s="144"/>
      <c r="E135" s="144" t="s">
        <v>55</v>
      </c>
      <c r="F135" s="145"/>
      <c r="G135" s="146">
        <f>'Supra A por pav'!M137</f>
        <v>0</v>
      </c>
      <c r="H135" s="147">
        <f>'Supra A por pav'!L137</f>
        <v>0</v>
      </c>
      <c r="I135" s="147">
        <f>'Supra A por pav'!C137</f>
        <v>0</v>
      </c>
      <c r="J135" s="147">
        <f>'Supra A por pav'!D137</f>
        <v>0</v>
      </c>
      <c r="K135" s="147">
        <f>'Supra A por pav'!E137</f>
        <v>0</v>
      </c>
      <c r="L135" s="147">
        <f>'Supra A por pav'!F137</f>
        <v>0</v>
      </c>
      <c r="M135" s="147">
        <f>'Supra A por pav'!G137</f>
        <v>0</v>
      </c>
      <c r="N135" s="147">
        <f>'Supra A por pav'!H137</f>
        <v>0</v>
      </c>
      <c r="O135" s="147">
        <f>'Supra A por pav'!I137</f>
        <v>0</v>
      </c>
      <c r="P135" s="165">
        <f>'Supra A por pav'!J137</f>
        <v>0</v>
      </c>
      <c r="Q135" s="169">
        <f>'Supra A por pav'!K137</f>
        <v>0</v>
      </c>
    </row>
    <row r="136" spans="1:17" ht="16.5" thickTop="1" thickBot="1" x14ac:dyDescent="0.3">
      <c r="A136" s="162" t="s">
        <v>253</v>
      </c>
      <c r="B136" s="158" t="s">
        <v>165</v>
      </c>
      <c r="C136" s="152" t="s">
        <v>79</v>
      </c>
      <c r="D136" s="152" t="s">
        <v>268</v>
      </c>
      <c r="E136" s="152"/>
      <c r="F136" s="153">
        <v>50</v>
      </c>
      <c r="G136" s="154">
        <f t="shared" ref="G136:Q136" si="21">SUM(G131:G135)</f>
        <v>168</v>
      </c>
      <c r="H136" s="155">
        <f t="shared" si="21"/>
        <v>16920.5</v>
      </c>
      <c r="I136" s="155">
        <f t="shared" si="21"/>
        <v>828</v>
      </c>
      <c r="J136" s="155">
        <f t="shared" si="21"/>
        <v>298</v>
      </c>
      <c r="K136" s="155">
        <f t="shared" si="21"/>
        <v>1645</v>
      </c>
      <c r="L136" s="155">
        <f t="shared" si="21"/>
        <v>1243</v>
      </c>
      <c r="M136" s="155">
        <f t="shared" si="21"/>
        <v>1868.5</v>
      </c>
      <c r="N136" s="155">
        <f t="shared" si="21"/>
        <v>4378</v>
      </c>
      <c r="O136" s="155">
        <f t="shared" si="21"/>
        <v>4779</v>
      </c>
      <c r="P136" s="166">
        <f t="shared" si="21"/>
        <v>1425</v>
      </c>
      <c r="Q136" s="170">
        <f t="shared" si="21"/>
        <v>456</v>
      </c>
    </row>
    <row r="137" spans="1:17" ht="15.75" thickTop="1" x14ac:dyDescent="0.25">
      <c r="A137" s="163" t="s">
        <v>253</v>
      </c>
      <c r="B137" s="159" t="s">
        <v>165</v>
      </c>
      <c r="C137" s="148" t="s">
        <v>80</v>
      </c>
      <c r="D137" s="148" t="s">
        <v>80</v>
      </c>
      <c r="E137" s="148" t="s">
        <v>51</v>
      </c>
      <c r="F137" s="149">
        <v>50</v>
      </c>
      <c r="G137" s="150">
        <f>'Supra A por pav'!M139</f>
        <v>32.299999999999997</v>
      </c>
      <c r="H137" s="151">
        <f>'Supra A por pav'!L139</f>
        <v>3881</v>
      </c>
      <c r="I137" s="151">
        <f>'Supra A por pav'!C139</f>
        <v>0</v>
      </c>
      <c r="J137" s="151">
        <f>'Supra A por pav'!D139</f>
        <v>165</v>
      </c>
      <c r="K137" s="151">
        <f>'Supra A por pav'!E139</f>
        <v>611</v>
      </c>
      <c r="L137" s="151">
        <f>'Supra A por pav'!F139</f>
        <v>121</v>
      </c>
      <c r="M137" s="151">
        <f>'Supra A por pav'!G139</f>
        <v>58</v>
      </c>
      <c r="N137" s="151">
        <f>'Supra A por pav'!H139</f>
        <v>460</v>
      </c>
      <c r="O137" s="151">
        <f>'Supra A por pav'!I139</f>
        <v>585</v>
      </c>
      <c r="P137" s="167">
        <f>'Supra A por pav'!J139</f>
        <v>1425</v>
      </c>
      <c r="Q137" s="171">
        <f>'Supra A por pav'!K139</f>
        <v>456</v>
      </c>
    </row>
    <row r="138" spans="1:17" x14ac:dyDescent="0.25">
      <c r="A138" s="160"/>
      <c r="B138" s="156"/>
      <c r="C138" s="140"/>
      <c r="D138" s="140"/>
      <c r="E138" s="140" t="s">
        <v>52</v>
      </c>
      <c r="F138" s="141"/>
      <c r="G138" s="142">
        <f>'Supra A por pav'!M140</f>
        <v>41.9</v>
      </c>
      <c r="H138" s="143">
        <f>'Supra A por pav'!L140</f>
        <v>4031</v>
      </c>
      <c r="I138" s="143">
        <f>'Supra A por pav'!C140</f>
        <v>0</v>
      </c>
      <c r="J138" s="143">
        <f>'Supra A por pav'!D140</f>
        <v>133</v>
      </c>
      <c r="K138" s="143">
        <f>'Supra A por pav'!E140</f>
        <v>916</v>
      </c>
      <c r="L138" s="143">
        <f>'Supra A por pav'!F140</f>
        <v>0</v>
      </c>
      <c r="M138" s="143">
        <f>'Supra A por pav'!G140</f>
        <v>0</v>
      </c>
      <c r="N138" s="143">
        <f>'Supra A por pav'!H140</f>
        <v>1549</v>
      </c>
      <c r="O138" s="143">
        <f>'Supra A por pav'!I140</f>
        <v>1433</v>
      </c>
      <c r="P138" s="164">
        <f>'Supra A por pav'!J140</f>
        <v>0</v>
      </c>
      <c r="Q138" s="168">
        <f>'Supra A por pav'!K140</f>
        <v>0</v>
      </c>
    </row>
    <row r="139" spans="1:17" x14ac:dyDescent="0.25">
      <c r="A139" s="160"/>
      <c r="B139" s="156"/>
      <c r="C139" s="140"/>
      <c r="D139" s="140"/>
      <c r="E139" s="140" t="s">
        <v>53</v>
      </c>
      <c r="F139" s="141"/>
      <c r="G139" s="142">
        <f>'Supra A por pav'!M141</f>
        <v>93.5</v>
      </c>
      <c r="H139" s="143">
        <f>'Supra A por pav'!L141</f>
        <v>8929</v>
      </c>
      <c r="I139" s="143">
        <f>'Supra A por pav'!C141</f>
        <v>850</v>
      </c>
      <c r="J139" s="143">
        <f>'Supra A por pav'!D141</f>
        <v>0</v>
      </c>
      <c r="K139" s="143">
        <f>'Supra A por pav'!E141</f>
        <v>137</v>
      </c>
      <c r="L139" s="143">
        <f>'Supra A por pav'!F141</f>
        <v>1158</v>
      </c>
      <c r="M139" s="143">
        <f>'Supra A por pav'!G141</f>
        <v>1608</v>
      </c>
      <c r="N139" s="143">
        <f>'Supra A por pav'!H141</f>
        <v>2374</v>
      </c>
      <c r="O139" s="143">
        <f>'Supra A por pav'!I141</f>
        <v>2802</v>
      </c>
      <c r="P139" s="164">
        <f>'Supra A por pav'!J141</f>
        <v>0</v>
      </c>
      <c r="Q139" s="168">
        <f>'Supra A por pav'!K141</f>
        <v>0</v>
      </c>
    </row>
    <row r="140" spans="1:17" x14ac:dyDescent="0.25">
      <c r="A140" s="160"/>
      <c r="B140" s="156"/>
      <c r="C140" s="140"/>
      <c r="D140" s="140"/>
      <c r="E140" s="140" t="s">
        <v>54</v>
      </c>
      <c r="F140" s="141"/>
      <c r="G140" s="142">
        <f>'Supra A por pav'!M142</f>
        <v>2.2999999999999998</v>
      </c>
      <c r="H140" s="143">
        <f>'Supra A por pav'!L142</f>
        <v>209.5</v>
      </c>
      <c r="I140" s="143">
        <f>'Supra A por pav'!C142</f>
        <v>0</v>
      </c>
      <c r="J140" s="143">
        <f>'Supra A por pav'!D142</f>
        <v>0</v>
      </c>
      <c r="K140" s="143">
        <f>'Supra A por pav'!E142</f>
        <v>0</v>
      </c>
      <c r="L140" s="143">
        <f>'Supra A por pav'!F142</f>
        <v>0</v>
      </c>
      <c r="M140" s="143">
        <f>'Supra A por pav'!G142</f>
        <v>209.5</v>
      </c>
      <c r="N140" s="143">
        <f>'Supra A por pav'!H142</f>
        <v>0</v>
      </c>
      <c r="O140" s="143">
        <f>'Supra A por pav'!I142</f>
        <v>0</v>
      </c>
      <c r="P140" s="164">
        <f>'Supra A por pav'!J142</f>
        <v>0</v>
      </c>
      <c r="Q140" s="168">
        <f>'Supra A por pav'!K142</f>
        <v>0</v>
      </c>
    </row>
    <row r="141" spans="1:17" ht="15.75" thickBot="1" x14ac:dyDescent="0.3">
      <c r="A141" s="161"/>
      <c r="B141" s="157"/>
      <c r="C141" s="144"/>
      <c r="D141" s="144"/>
      <c r="E141" s="144" t="s">
        <v>55</v>
      </c>
      <c r="F141" s="145"/>
      <c r="G141" s="146">
        <f>'Supra A por pav'!M143</f>
        <v>0</v>
      </c>
      <c r="H141" s="147">
        <f>'Supra A por pav'!L143</f>
        <v>0</v>
      </c>
      <c r="I141" s="147">
        <f>'Supra A por pav'!C143</f>
        <v>0</v>
      </c>
      <c r="J141" s="147">
        <f>'Supra A por pav'!D143</f>
        <v>0</v>
      </c>
      <c r="K141" s="147">
        <f>'Supra A por pav'!E143</f>
        <v>0</v>
      </c>
      <c r="L141" s="147">
        <f>'Supra A por pav'!F143</f>
        <v>0</v>
      </c>
      <c r="M141" s="147">
        <f>'Supra A por pav'!G143</f>
        <v>0</v>
      </c>
      <c r="N141" s="147">
        <f>'Supra A por pav'!H143</f>
        <v>0</v>
      </c>
      <c r="O141" s="147">
        <f>'Supra A por pav'!I143</f>
        <v>0</v>
      </c>
      <c r="P141" s="165">
        <f>'Supra A por pav'!J143</f>
        <v>0</v>
      </c>
      <c r="Q141" s="169">
        <f>'Supra A por pav'!K143</f>
        <v>0</v>
      </c>
    </row>
    <row r="142" spans="1:17" ht="16.5" thickTop="1" thickBot="1" x14ac:dyDescent="0.3">
      <c r="A142" s="162" t="s">
        <v>253</v>
      </c>
      <c r="B142" s="158" t="s">
        <v>165</v>
      </c>
      <c r="C142" s="152" t="s">
        <v>80</v>
      </c>
      <c r="D142" s="152" t="s">
        <v>269</v>
      </c>
      <c r="E142" s="152"/>
      <c r="F142" s="153">
        <v>50</v>
      </c>
      <c r="G142" s="154">
        <f t="shared" ref="G142:Q142" si="22">SUM(G137:G141)</f>
        <v>170</v>
      </c>
      <c r="H142" s="155">
        <f t="shared" si="22"/>
        <v>17050.5</v>
      </c>
      <c r="I142" s="155">
        <f t="shared" si="22"/>
        <v>850</v>
      </c>
      <c r="J142" s="155">
        <f t="shared" si="22"/>
        <v>298</v>
      </c>
      <c r="K142" s="155">
        <f t="shared" si="22"/>
        <v>1664</v>
      </c>
      <c r="L142" s="155">
        <f t="shared" si="22"/>
        <v>1279</v>
      </c>
      <c r="M142" s="155">
        <f t="shared" si="22"/>
        <v>1875.5</v>
      </c>
      <c r="N142" s="155">
        <f t="shared" si="22"/>
        <v>4383</v>
      </c>
      <c r="O142" s="155">
        <f t="shared" si="22"/>
        <v>4820</v>
      </c>
      <c r="P142" s="166">
        <f t="shared" si="22"/>
        <v>1425</v>
      </c>
      <c r="Q142" s="170">
        <f t="shared" si="22"/>
        <v>456</v>
      </c>
    </row>
    <row r="143" spans="1:17" ht="15.75" thickTop="1" x14ac:dyDescent="0.25">
      <c r="A143" s="163" t="s">
        <v>253</v>
      </c>
      <c r="B143" s="159" t="s">
        <v>165</v>
      </c>
      <c r="C143" s="148" t="s">
        <v>81</v>
      </c>
      <c r="D143" s="148" t="s">
        <v>81</v>
      </c>
      <c r="E143" s="148" t="s">
        <v>51</v>
      </c>
      <c r="F143" s="149">
        <v>50</v>
      </c>
      <c r="G143" s="150">
        <f>'Supra A por pav'!M145</f>
        <v>32.299999999999997</v>
      </c>
      <c r="H143" s="151">
        <f>'Supra A por pav'!L145</f>
        <v>3276</v>
      </c>
      <c r="I143" s="151">
        <f>'Supra A por pav'!C145</f>
        <v>0</v>
      </c>
      <c r="J143" s="151">
        <f>'Supra A por pav'!D145</f>
        <v>204</v>
      </c>
      <c r="K143" s="151">
        <f>'Supra A por pav'!E145</f>
        <v>540</v>
      </c>
      <c r="L143" s="151">
        <f>'Supra A por pav'!F145</f>
        <v>115</v>
      </c>
      <c r="M143" s="151">
        <f>'Supra A por pav'!G145</f>
        <v>58</v>
      </c>
      <c r="N143" s="151">
        <f>'Supra A por pav'!H145</f>
        <v>532</v>
      </c>
      <c r="O143" s="151">
        <f>'Supra A por pav'!I145</f>
        <v>1039</v>
      </c>
      <c r="P143" s="167">
        <f>'Supra A por pav'!J145</f>
        <v>788</v>
      </c>
      <c r="Q143" s="171">
        <f>'Supra A por pav'!K145</f>
        <v>0</v>
      </c>
    </row>
    <row r="144" spans="1:17" x14ac:dyDescent="0.25">
      <c r="A144" s="160"/>
      <c r="B144" s="156"/>
      <c r="C144" s="140"/>
      <c r="D144" s="140"/>
      <c r="E144" s="140" t="s">
        <v>52</v>
      </c>
      <c r="F144" s="141"/>
      <c r="G144" s="142">
        <f>'Supra A por pav'!M146</f>
        <v>41.9</v>
      </c>
      <c r="H144" s="143">
        <f>'Supra A por pav'!L146</f>
        <v>3965</v>
      </c>
      <c r="I144" s="143">
        <f>'Supra A por pav'!C146</f>
        <v>0</v>
      </c>
      <c r="J144" s="143">
        <f>'Supra A por pav'!D146</f>
        <v>155</v>
      </c>
      <c r="K144" s="143">
        <f>'Supra A por pav'!E146</f>
        <v>882</v>
      </c>
      <c r="L144" s="143">
        <f>'Supra A por pav'!F146</f>
        <v>0</v>
      </c>
      <c r="M144" s="143">
        <f>'Supra A por pav'!G146</f>
        <v>0</v>
      </c>
      <c r="N144" s="143">
        <f>'Supra A por pav'!H146</f>
        <v>1634</v>
      </c>
      <c r="O144" s="143">
        <f>'Supra A por pav'!I146</f>
        <v>1294</v>
      </c>
      <c r="P144" s="164">
        <f>'Supra A por pav'!J146</f>
        <v>0</v>
      </c>
      <c r="Q144" s="168">
        <f>'Supra A por pav'!K146</f>
        <v>0</v>
      </c>
    </row>
    <row r="145" spans="1:17" x14ac:dyDescent="0.25">
      <c r="A145" s="160"/>
      <c r="B145" s="156"/>
      <c r="C145" s="140"/>
      <c r="D145" s="140"/>
      <c r="E145" s="140" t="s">
        <v>53</v>
      </c>
      <c r="F145" s="141"/>
      <c r="G145" s="142">
        <f>'Supra A por pav'!M147</f>
        <v>91.5</v>
      </c>
      <c r="H145" s="143">
        <f>'Supra A por pav'!L147</f>
        <v>8799</v>
      </c>
      <c r="I145" s="143">
        <f>'Supra A por pav'!C147</f>
        <v>828</v>
      </c>
      <c r="J145" s="143">
        <f>'Supra A por pav'!D147</f>
        <v>0</v>
      </c>
      <c r="K145" s="143">
        <f>'Supra A por pav'!E147</f>
        <v>118</v>
      </c>
      <c r="L145" s="143">
        <f>'Supra A por pav'!F147</f>
        <v>1122</v>
      </c>
      <c r="M145" s="143">
        <f>'Supra A por pav'!G147</f>
        <v>1601</v>
      </c>
      <c r="N145" s="143">
        <f>'Supra A por pav'!H147</f>
        <v>2369</v>
      </c>
      <c r="O145" s="143">
        <f>'Supra A por pav'!I147</f>
        <v>2761</v>
      </c>
      <c r="P145" s="164">
        <f>'Supra A por pav'!J147</f>
        <v>0</v>
      </c>
      <c r="Q145" s="168">
        <f>'Supra A por pav'!K147</f>
        <v>0</v>
      </c>
    </row>
    <row r="146" spans="1:17" x14ac:dyDescent="0.25">
      <c r="A146" s="160"/>
      <c r="B146" s="156"/>
      <c r="C146" s="140"/>
      <c r="D146" s="140"/>
      <c r="E146" s="140" t="s">
        <v>54</v>
      </c>
      <c r="F146" s="141"/>
      <c r="G146" s="142">
        <f>'Supra A por pav'!M148</f>
        <v>2.2999999999999998</v>
      </c>
      <c r="H146" s="143">
        <f>'Supra A por pav'!L148</f>
        <v>209.5</v>
      </c>
      <c r="I146" s="143">
        <f>'Supra A por pav'!C148</f>
        <v>0</v>
      </c>
      <c r="J146" s="143">
        <f>'Supra A por pav'!D148</f>
        <v>0</v>
      </c>
      <c r="K146" s="143">
        <f>'Supra A por pav'!E148</f>
        <v>0</v>
      </c>
      <c r="L146" s="143">
        <f>'Supra A por pav'!F148</f>
        <v>0</v>
      </c>
      <c r="M146" s="143">
        <f>'Supra A por pav'!G148</f>
        <v>209.5</v>
      </c>
      <c r="N146" s="143">
        <f>'Supra A por pav'!H148</f>
        <v>0</v>
      </c>
      <c r="O146" s="143">
        <f>'Supra A por pav'!I148</f>
        <v>0</v>
      </c>
      <c r="P146" s="164">
        <f>'Supra A por pav'!J148</f>
        <v>0</v>
      </c>
      <c r="Q146" s="168">
        <f>'Supra A por pav'!K148</f>
        <v>0</v>
      </c>
    </row>
    <row r="147" spans="1:17" ht="15.75" thickBot="1" x14ac:dyDescent="0.3">
      <c r="A147" s="161"/>
      <c r="B147" s="157"/>
      <c r="C147" s="144"/>
      <c r="D147" s="144"/>
      <c r="E147" s="144" t="s">
        <v>55</v>
      </c>
      <c r="F147" s="145"/>
      <c r="G147" s="146">
        <f>'Supra A por pav'!M149</f>
        <v>0</v>
      </c>
      <c r="H147" s="147">
        <f>'Supra A por pav'!L149</f>
        <v>0</v>
      </c>
      <c r="I147" s="147">
        <f>'Supra A por pav'!C149</f>
        <v>0</v>
      </c>
      <c r="J147" s="147">
        <f>'Supra A por pav'!D149</f>
        <v>0</v>
      </c>
      <c r="K147" s="147">
        <f>'Supra A por pav'!E149</f>
        <v>0</v>
      </c>
      <c r="L147" s="147">
        <f>'Supra A por pav'!F149</f>
        <v>0</v>
      </c>
      <c r="M147" s="147">
        <f>'Supra A por pav'!G149</f>
        <v>0</v>
      </c>
      <c r="N147" s="147">
        <f>'Supra A por pav'!H149</f>
        <v>0</v>
      </c>
      <c r="O147" s="147">
        <f>'Supra A por pav'!I149</f>
        <v>0</v>
      </c>
      <c r="P147" s="165">
        <f>'Supra A por pav'!J149</f>
        <v>0</v>
      </c>
      <c r="Q147" s="169">
        <f>'Supra A por pav'!K149</f>
        <v>0</v>
      </c>
    </row>
    <row r="148" spans="1:17" ht="16.5" thickTop="1" thickBot="1" x14ac:dyDescent="0.3">
      <c r="A148" s="162" t="s">
        <v>253</v>
      </c>
      <c r="B148" s="158" t="s">
        <v>165</v>
      </c>
      <c r="C148" s="152" t="s">
        <v>81</v>
      </c>
      <c r="D148" s="152" t="s">
        <v>270</v>
      </c>
      <c r="E148" s="152"/>
      <c r="F148" s="153">
        <v>50</v>
      </c>
      <c r="G148" s="154">
        <f t="shared" ref="G148:Q148" si="23">SUM(G143:G147)</f>
        <v>168</v>
      </c>
      <c r="H148" s="155">
        <f t="shared" si="23"/>
        <v>16249.5</v>
      </c>
      <c r="I148" s="155">
        <f t="shared" si="23"/>
        <v>828</v>
      </c>
      <c r="J148" s="155">
        <f t="shared" si="23"/>
        <v>359</v>
      </c>
      <c r="K148" s="155">
        <f t="shared" si="23"/>
        <v>1540</v>
      </c>
      <c r="L148" s="155">
        <f t="shared" si="23"/>
        <v>1237</v>
      </c>
      <c r="M148" s="155">
        <f t="shared" si="23"/>
        <v>1868.5</v>
      </c>
      <c r="N148" s="155">
        <f t="shared" si="23"/>
        <v>4535</v>
      </c>
      <c r="O148" s="155">
        <f t="shared" si="23"/>
        <v>5094</v>
      </c>
      <c r="P148" s="166">
        <f t="shared" si="23"/>
        <v>788</v>
      </c>
      <c r="Q148" s="170">
        <f t="shared" si="23"/>
        <v>0</v>
      </c>
    </row>
    <row r="149" spans="1:17" ht="15.75" thickTop="1" x14ac:dyDescent="0.25">
      <c r="A149" s="163" t="s">
        <v>253</v>
      </c>
      <c r="B149" s="159" t="s">
        <v>165</v>
      </c>
      <c r="C149" s="148" t="s">
        <v>82</v>
      </c>
      <c r="D149" s="148" t="s">
        <v>82</v>
      </c>
      <c r="E149" s="148" t="s">
        <v>51</v>
      </c>
      <c r="F149" s="149">
        <v>50</v>
      </c>
      <c r="G149" s="150">
        <f>'Supra A por pav'!M151</f>
        <v>32.299999999999997</v>
      </c>
      <c r="H149" s="151">
        <f>'Supra A por pav'!L151</f>
        <v>3276</v>
      </c>
      <c r="I149" s="151">
        <f>'Supra A por pav'!C151</f>
        <v>0</v>
      </c>
      <c r="J149" s="151">
        <f>'Supra A por pav'!D151</f>
        <v>204</v>
      </c>
      <c r="K149" s="151">
        <f>'Supra A por pav'!E151</f>
        <v>540</v>
      </c>
      <c r="L149" s="151">
        <f>'Supra A por pav'!F151</f>
        <v>115</v>
      </c>
      <c r="M149" s="151">
        <f>'Supra A por pav'!G151</f>
        <v>58</v>
      </c>
      <c r="N149" s="151">
        <f>'Supra A por pav'!H151</f>
        <v>532</v>
      </c>
      <c r="O149" s="151">
        <f>'Supra A por pav'!I151</f>
        <v>1039</v>
      </c>
      <c r="P149" s="167">
        <f>'Supra A por pav'!J151</f>
        <v>788</v>
      </c>
      <c r="Q149" s="171">
        <f>'Supra A por pav'!K151</f>
        <v>0</v>
      </c>
    </row>
    <row r="150" spans="1:17" x14ac:dyDescent="0.25">
      <c r="A150" s="160"/>
      <c r="B150" s="156"/>
      <c r="C150" s="140"/>
      <c r="D150" s="140"/>
      <c r="E150" s="140" t="s">
        <v>52</v>
      </c>
      <c r="F150" s="141"/>
      <c r="G150" s="142">
        <f>'Supra A por pav'!M152</f>
        <v>41.9</v>
      </c>
      <c r="H150" s="143">
        <f>'Supra A por pav'!L152</f>
        <v>3965</v>
      </c>
      <c r="I150" s="143">
        <f>'Supra A por pav'!C152</f>
        <v>0</v>
      </c>
      <c r="J150" s="143">
        <f>'Supra A por pav'!D152</f>
        <v>155</v>
      </c>
      <c r="K150" s="143">
        <f>'Supra A por pav'!E152</f>
        <v>882</v>
      </c>
      <c r="L150" s="143">
        <f>'Supra A por pav'!F152</f>
        <v>0</v>
      </c>
      <c r="M150" s="143">
        <f>'Supra A por pav'!G152</f>
        <v>0</v>
      </c>
      <c r="N150" s="143">
        <f>'Supra A por pav'!H152</f>
        <v>1634</v>
      </c>
      <c r="O150" s="143">
        <f>'Supra A por pav'!I152</f>
        <v>1294</v>
      </c>
      <c r="P150" s="164">
        <f>'Supra A por pav'!J152</f>
        <v>0</v>
      </c>
      <c r="Q150" s="168">
        <f>'Supra A por pav'!K152</f>
        <v>0</v>
      </c>
    </row>
    <row r="151" spans="1:17" x14ac:dyDescent="0.25">
      <c r="A151" s="160"/>
      <c r="B151" s="156"/>
      <c r="C151" s="140"/>
      <c r="D151" s="140"/>
      <c r="E151" s="140" t="s">
        <v>53</v>
      </c>
      <c r="F151" s="141"/>
      <c r="G151" s="142">
        <f>'Supra A por pav'!M153</f>
        <v>93.5</v>
      </c>
      <c r="H151" s="143">
        <f>'Supra A por pav'!L153</f>
        <v>8929</v>
      </c>
      <c r="I151" s="143">
        <f>'Supra A por pav'!C153</f>
        <v>850</v>
      </c>
      <c r="J151" s="143">
        <f>'Supra A por pav'!D153</f>
        <v>0</v>
      </c>
      <c r="K151" s="143">
        <f>'Supra A por pav'!E153</f>
        <v>137</v>
      </c>
      <c r="L151" s="143">
        <f>'Supra A por pav'!F153</f>
        <v>1158</v>
      </c>
      <c r="M151" s="143">
        <f>'Supra A por pav'!G153</f>
        <v>1608</v>
      </c>
      <c r="N151" s="143">
        <f>'Supra A por pav'!H153</f>
        <v>2374</v>
      </c>
      <c r="O151" s="143">
        <f>'Supra A por pav'!I153</f>
        <v>2802</v>
      </c>
      <c r="P151" s="164">
        <f>'Supra A por pav'!J153</f>
        <v>0</v>
      </c>
      <c r="Q151" s="168">
        <f>'Supra A por pav'!K153</f>
        <v>0</v>
      </c>
    </row>
    <row r="152" spans="1:17" x14ac:dyDescent="0.25">
      <c r="A152" s="160"/>
      <c r="B152" s="156"/>
      <c r="C152" s="140"/>
      <c r="D152" s="140"/>
      <c r="E152" s="140" t="s">
        <v>54</v>
      </c>
      <c r="F152" s="141"/>
      <c r="G152" s="142">
        <f>'Supra A por pav'!M154</f>
        <v>2.2999999999999998</v>
      </c>
      <c r="H152" s="143">
        <f>'Supra A por pav'!L154</f>
        <v>209.5</v>
      </c>
      <c r="I152" s="143">
        <f>'Supra A por pav'!C154</f>
        <v>0</v>
      </c>
      <c r="J152" s="143">
        <f>'Supra A por pav'!D154</f>
        <v>0</v>
      </c>
      <c r="K152" s="143">
        <f>'Supra A por pav'!E154</f>
        <v>0</v>
      </c>
      <c r="L152" s="143">
        <f>'Supra A por pav'!F154</f>
        <v>0</v>
      </c>
      <c r="M152" s="143">
        <f>'Supra A por pav'!G154</f>
        <v>209.5</v>
      </c>
      <c r="N152" s="143">
        <f>'Supra A por pav'!H154</f>
        <v>0</v>
      </c>
      <c r="O152" s="143">
        <f>'Supra A por pav'!I154</f>
        <v>0</v>
      </c>
      <c r="P152" s="164">
        <f>'Supra A por pav'!J154</f>
        <v>0</v>
      </c>
      <c r="Q152" s="168">
        <f>'Supra A por pav'!K154</f>
        <v>0</v>
      </c>
    </row>
    <row r="153" spans="1:17" ht="15.75" thickBot="1" x14ac:dyDescent="0.3">
      <c r="A153" s="161"/>
      <c r="B153" s="157"/>
      <c r="C153" s="144"/>
      <c r="D153" s="144"/>
      <c r="E153" s="144" t="s">
        <v>55</v>
      </c>
      <c r="F153" s="145"/>
      <c r="G153" s="146">
        <f>'Supra A por pav'!M155</f>
        <v>0</v>
      </c>
      <c r="H153" s="147">
        <f>'Supra A por pav'!L155</f>
        <v>0</v>
      </c>
      <c r="I153" s="147">
        <f>'Supra A por pav'!C155</f>
        <v>0</v>
      </c>
      <c r="J153" s="147">
        <f>'Supra A por pav'!D155</f>
        <v>0</v>
      </c>
      <c r="K153" s="147">
        <f>'Supra A por pav'!E155</f>
        <v>0</v>
      </c>
      <c r="L153" s="147">
        <f>'Supra A por pav'!F155</f>
        <v>0</v>
      </c>
      <c r="M153" s="147">
        <f>'Supra A por pav'!G155</f>
        <v>0</v>
      </c>
      <c r="N153" s="147">
        <f>'Supra A por pav'!H155</f>
        <v>0</v>
      </c>
      <c r="O153" s="147">
        <f>'Supra A por pav'!I155</f>
        <v>0</v>
      </c>
      <c r="P153" s="165">
        <f>'Supra A por pav'!J155</f>
        <v>0</v>
      </c>
      <c r="Q153" s="169">
        <f>'Supra A por pav'!K155</f>
        <v>0</v>
      </c>
    </row>
    <row r="154" spans="1:17" ht="16.5" thickTop="1" thickBot="1" x14ac:dyDescent="0.3">
      <c r="A154" s="162" t="s">
        <v>253</v>
      </c>
      <c r="B154" s="158" t="s">
        <v>165</v>
      </c>
      <c r="C154" s="152" t="s">
        <v>82</v>
      </c>
      <c r="D154" s="152" t="s">
        <v>271</v>
      </c>
      <c r="E154" s="152"/>
      <c r="F154" s="153">
        <v>50</v>
      </c>
      <c r="G154" s="154">
        <f t="shared" ref="G154:Q154" si="24">SUM(G149:G153)</f>
        <v>170</v>
      </c>
      <c r="H154" s="155">
        <f t="shared" si="24"/>
        <v>16379.5</v>
      </c>
      <c r="I154" s="155">
        <f t="shared" si="24"/>
        <v>850</v>
      </c>
      <c r="J154" s="155">
        <f t="shared" si="24"/>
        <v>359</v>
      </c>
      <c r="K154" s="155">
        <f t="shared" si="24"/>
        <v>1559</v>
      </c>
      <c r="L154" s="155">
        <f t="shared" si="24"/>
        <v>1273</v>
      </c>
      <c r="M154" s="155">
        <f t="shared" si="24"/>
        <v>1875.5</v>
      </c>
      <c r="N154" s="155">
        <f t="shared" si="24"/>
        <v>4540</v>
      </c>
      <c r="O154" s="155">
        <f t="shared" si="24"/>
        <v>5135</v>
      </c>
      <c r="P154" s="166">
        <f t="shared" si="24"/>
        <v>788</v>
      </c>
      <c r="Q154" s="170">
        <f t="shared" si="24"/>
        <v>0</v>
      </c>
    </row>
    <row r="155" spans="1:17" ht="15.75" thickTop="1" x14ac:dyDescent="0.25">
      <c r="A155" s="163" t="s">
        <v>253</v>
      </c>
      <c r="B155" s="159" t="s">
        <v>165</v>
      </c>
      <c r="C155" s="148" t="s">
        <v>83</v>
      </c>
      <c r="D155" s="148" t="s">
        <v>83</v>
      </c>
      <c r="E155" s="148" t="s">
        <v>51</v>
      </c>
      <c r="F155" s="149">
        <v>50</v>
      </c>
      <c r="G155" s="150">
        <f>'Supra A por pav'!M157</f>
        <v>32.299999999999997</v>
      </c>
      <c r="H155" s="151">
        <f>'Supra A por pav'!L157</f>
        <v>3276</v>
      </c>
      <c r="I155" s="151">
        <f>'Supra A por pav'!C157</f>
        <v>0</v>
      </c>
      <c r="J155" s="151">
        <f>'Supra A por pav'!D157</f>
        <v>204</v>
      </c>
      <c r="K155" s="151">
        <f>'Supra A por pav'!E157</f>
        <v>540</v>
      </c>
      <c r="L155" s="151">
        <f>'Supra A por pav'!F157</f>
        <v>115</v>
      </c>
      <c r="M155" s="151">
        <f>'Supra A por pav'!G157</f>
        <v>58</v>
      </c>
      <c r="N155" s="151">
        <f>'Supra A por pav'!H157</f>
        <v>532</v>
      </c>
      <c r="O155" s="151">
        <f>'Supra A por pav'!I157</f>
        <v>1039</v>
      </c>
      <c r="P155" s="167">
        <f>'Supra A por pav'!J157</f>
        <v>788</v>
      </c>
      <c r="Q155" s="171">
        <f>'Supra A por pav'!K157</f>
        <v>0</v>
      </c>
    </row>
    <row r="156" spans="1:17" x14ac:dyDescent="0.25">
      <c r="A156" s="160"/>
      <c r="B156" s="156"/>
      <c r="C156" s="140"/>
      <c r="D156" s="140"/>
      <c r="E156" s="140" t="s">
        <v>52</v>
      </c>
      <c r="F156" s="141"/>
      <c r="G156" s="142">
        <f>'Supra A por pav'!M158</f>
        <v>41.9</v>
      </c>
      <c r="H156" s="143">
        <f>'Supra A por pav'!L158</f>
        <v>3965</v>
      </c>
      <c r="I156" s="143">
        <f>'Supra A por pav'!C158</f>
        <v>0</v>
      </c>
      <c r="J156" s="143">
        <f>'Supra A por pav'!D158</f>
        <v>155</v>
      </c>
      <c r="K156" s="143">
        <f>'Supra A por pav'!E158</f>
        <v>882</v>
      </c>
      <c r="L156" s="143">
        <f>'Supra A por pav'!F158</f>
        <v>0</v>
      </c>
      <c r="M156" s="143">
        <f>'Supra A por pav'!G158</f>
        <v>0</v>
      </c>
      <c r="N156" s="143">
        <f>'Supra A por pav'!H158</f>
        <v>1634</v>
      </c>
      <c r="O156" s="143">
        <f>'Supra A por pav'!I158</f>
        <v>1294</v>
      </c>
      <c r="P156" s="164">
        <f>'Supra A por pav'!J158</f>
        <v>0</v>
      </c>
      <c r="Q156" s="168">
        <f>'Supra A por pav'!K158</f>
        <v>0</v>
      </c>
    </row>
    <row r="157" spans="1:17" x14ac:dyDescent="0.25">
      <c r="A157" s="160"/>
      <c r="B157" s="156"/>
      <c r="C157" s="140"/>
      <c r="D157" s="140"/>
      <c r="E157" s="140" t="s">
        <v>53</v>
      </c>
      <c r="F157" s="141"/>
      <c r="G157" s="142">
        <f>'Supra A por pav'!M159</f>
        <v>91.5</v>
      </c>
      <c r="H157" s="143">
        <f>'Supra A por pav'!L159</f>
        <v>8799</v>
      </c>
      <c r="I157" s="143">
        <f>'Supra A por pav'!C159</f>
        <v>828</v>
      </c>
      <c r="J157" s="143">
        <f>'Supra A por pav'!D159</f>
        <v>0</v>
      </c>
      <c r="K157" s="143">
        <f>'Supra A por pav'!E159</f>
        <v>118</v>
      </c>
      <c r="L157" s="143">
        <f>'Supra A por pav'!F159</f>
        <v>1122</v>
      </c>
      <c r="M157" s="143">
        <f>'Supra A por pav'!G159</f>
        <v>1601</v>
      </c>
      <c r="N157" s="143">
        <f>'Supra A por pav'!H159</f>
        <v>2369</v>
      </c>
      <c r="O157" s="143">
        <f>'Supra A por pav'!I159</f>
        <v>2761</v>
      </c>
      <c r="P157" s="164">
        <f>'Supra A por pav'!J159</f>
        <v>0</v>
      </c>
      <c r="Q157" s="168">
        <f>'Supra A por pav'!K159</f>
        <v>0</v>
      </c>
    </row>
    <row r="158" spans="1:17" x14ac:dyDescent="0.25">
      <c r="A158" s="160"/>
      <c r="B158" s="156"/>
      <c r="C158" s="140"/>
      <c r="D158" s="140"/>
      <c r="E158" s="140" t="s">
        <v>54</v>
      </c>
      <c r="F158" s="141"/>
      <c r="G158" s="142">
        <f>'Supra A por pav'!M160</f>
        <v>2.2999999999999998</v>
      </c>
      <c r="H158" s="143">
        <f>'Supra A por pav'!L160</f>
        <v>209.5</v>
      </c>
      <c r="I158" s="143">
        <f>'Supra A por pav'!C160</f>
        <v>0</v>
      </c>
      <c r="J158" s="143">
        <f>'Supra A por pav'!D160</f>
        <v>0</v>
      </c>
      <c r="K158" s="143">
        <f>'Supra A por pav'!E160</f>
        <v>0</v>
      </c>
      <c r="L158" s="143">
        <f>'Supra A por pav'!F160</f>
        <v>0</v>
      </c>
      <c r="M158" s="143">
        <f>'Supra A por pav'!G160</f>
        <v>209.5</v>
      </c>
      <c r="N158" s="143">
        <f>'Supra A por pav'!H160</f>
        <v>0</v>
      </c>
      <c r="O158" s="143">
        <f>'Supra A por pav'!I160</f>
        <v>0</v>
      </c>
      <c r="P158" s="164">
        <f>'Supra A por pav'!J160</f>
        <v>0</v>
      </c>
      <c r="Q158" s="168">
        <f>'Supra A por pav'!K160</f>
        <v>0</v>
      </c>
    </row>
    <row r="159" spans="1:17" ht="15.75" thickBot="1" x14ac:dyDescent="0.3">
      <c r="A159" s="161"/>
      <c r="B159" s="157"/>
      <c r="C159" s="144"/>
      <c r="D159" s="144"/>
      <c r="E159" s="144" t="s">
        <v>55</v>
      </c>
      <c r="F159" s="145"/>
      <c r="G159" s="146">
        <f>'Supra A por pav'!M161</f>
        <v>0</v>
      </c>
      <c r="H159" s="147">
        <f>'Supra A por pav'!L161</f>
        <v>0</v>
      </c>
      <c r="I159" s="147">
        <f>'Supra A por pav'!C161</f>
        <v>0</v>
      </c>
      <c r="J159" s="147">
        <f>'Supra A por pav'!D161</f>
        <v>0</v>
      </c>
      <c r="K159" s="147">
        <f>'Supra A por pav'!E161</f>
        <v>0</v>
      </c>
      <c r="L159" s="147">
        <f>'Supra A por pav'!F161</f>
        <v>0</v>
      </c>
      <c r="M159" s="147">
        <f>'Supra A por pav'!G161</f>
        <v>0</v>
      </c>
      <c r="N159" s="147">
        <f>'Supra A por pav'!H161</f>
        <v>0</v>
      </c>
      <c r="O159" s="147">
        <f>'Supra A por pav'!I161</f>
        <v>0</v>
      </c>
      <c r="P159" s="165">
        <f>'Supra A por pav'!J161</f>
        <v>0</v>
      </c>
      <c r="Q159" s="169">
        <f>'Supra A por pav'!K161</f>
        <v>0</v>
      </c>
    </row>
    <row r="160" spans="1:17" ht="16.5" thickTop="1" thickBot="1" x14ac:dyDescent="0.3">
      <c r="A160" s="162" t="s">
        <v>253</v>
      </c>
      <c r="B160" s="158" t="s">
        <v>165</v>
      </c>
      <c r="C160" s="152" t="s">
        <v>83</v>
      </c>
      <c r="D160" s="152" t="s">
        <v>272</v>
      </c>
      <c r="E160" s="152"/>
      <c r="F160" s="153">
        <v>50</v>
      </c>
      <c r="G160" s="154">
        <f t="shared" ref="G160:Q160" si="25">SUM(G155:G159)</f>
        <v>168</v>
      </c>
      <c r="H160" s="155">
        <f t="shared" si="25"/>
        <v>16249.5</v>
      </c>
      <c r="I160" s="155">
        <f t="shared" si="25"/>
        <v>828</v>
      </c>
      <c r="J160" s="155">
        <f t="shared" si="25"/>
        <v>359</v>
      </c>
      <c r="K160" s="155">
        <f t="shared" si="25"/>
        <v>1540</v>
      </c>
      <c r="L160" s="155">
        <f t="shared" si="25"/>
        <v>1237</v>
      </c>
      <c r="M160" s="155">
        <f t="shared" si="25"/>
        <v>1868.5</v>
      </c>
      <c r="N160" s="155">
        <f t="shared" si="25"/>
        <v>4535</v>
      </c>
      <c r="O160" s="155">
        <f t="shared" si="25"/>
        <v>5094</v>
      </c>
      <c r="P160" s="166">
        <f t="shared" si="25"/>
        <v>788</v>
      </c>
      <c r="Q160" s="170">
        <f t="shared" si="25"/>
        <v>0</v>
      </c>
    </row>
    <row r="161" spans="1:17" ht="15.75" thickTop="1" x14ac:dyDescent="0.25">
      <c r="A161" s="163" t="s">
        <v>253</v>
      </c>
      <c r="B161" s="159" t="s">
        <v>165</v>
      </c>
      <c r="C161" s="148" t="s">
        <v>84</v>
      </c>
      <c r="D161" s="148" t="s">
        <v>84</v>
      </c>
      <c r="E161" s="148" t="s">
        <v>51</v>
      </c>
      <c r="F161" s="149">
        <v>50</v>
      </c>
      <c r="G161" s="150">
        <f>'Supra A por pav'!M163</f>
        <v>32.299999999999997</v>
      </c>
      <c r="H161" s="151">
        <f>'Supra A por pav'!L163</f>
        <v>3276</v>
      </c>
      <c r="I161" s="151">
        <f>'Supra A por pav'!C163</f>
        <v>0</v>
      </c>
      <c r="J161" s="151">
        <f>'Supra A por pav'!D163</f>
        <v>204</v>
      </c>
      <c r="K161" s="151">
        <f>'Supra A por pav'!E163</f>
        <v>540</v>
      </c>
      <c r="L161" s="151">
        <f>'Supra A por pav'!F163</f>
        <v>115</v>
      </c>
      <c r="M161" s="151">
        <f>'Supra A por pav'!G163</f>
        <v>58</v>
      </c>
      <c r="N161" s="151">
        <f>'Supra A por pav'!H163</f>
        <v>532</v>
      </c>
      <c r="O161" s="151">
        <f>'Supra A por pav'!I163</f>
        <v>1039</v>
      </c>
      <c r="P161" s="167">
        <f>'Supra A por pav'!J163</f>
        <v>788</v>
      </c>
      <c r="Q161" s="171">
        <f>'Supra A por pav'!K163</f>
        <v>0</v>
      </c>
    </row>
    <row r="162" spans="1:17" x14ac:dyDescent="0.25">
      <c r="A162" s="160"/>
      <c r="B162" s="156"/>
      <c r="C162" s="140"/>
      <c r="D162" s="140"/>
      <c r="E162" s="140" t="s">
        <v>52</v>
      </c>
      <c r="F162" s="141"/>
      <c r="G162" s="142">
        <f>'Supra A por pav'!M164</f>
        <v>41.9</v>
      </c>
      <c r="H162" s="143">
        <f>'Supra A por pav'!L164</f>
        <v>3965</v>
      </c>
      <c r="I162" s="143">
        <f>'Supra A por pav'!C164</f>
        <v>0</v>
      </c>
      <c r="J162" s="143">
        <f>'Supra A por pav'!D164</f>
        <v>155</v>
      </c>
      <c r="K162" s="143">
        <f>'Supra A por pav'!E164</f>
        <v>882</v>
      </c>
      <c r="L162" s="143">
        <f>'Supra A por pav'!F164</f>
        <v>0</v>
      </c>
      <c r="M162" s="143">
        <f>'Supra A por pav'!G164</f>
        <v>0</v>
      </c>
      <c r="N162" s="143">
        <f>'Supra A por pav'!H164</f>
        <v>1634</v>
      </c>
      <c r="O162" s="143">
        <f>'Supra A por pav'!I164</f>
        <v>1294</v>
      </c>
      <c r="P162" s="164">
        <f>'Supra A por pav'!J164</f>
        <v>0</v>
      </c>
      <c r="Q162" s="168">
        <f>'Supra A por pav'!K164</f>
        <v>0</v>
      </c>
    </row>
    <row r="163" spans="1:17" x14ac:dyDescent="0.25">
      <c r="A163" s="160"/>
      <c r="B163" s="156"/>
      <c r="C163" s="140"/>
      <c r="D163" s="140"/>
      <c r="E163" s="140" t="s">
        <v>53</v>
      </c>
      <c r="F163" s="141"/>
      <c r="G163" s="142">
        <f>'Supra A por pav'!M165</f>
        <v>93.5</v>
      </c>
      <c r="H163" s="143">
        <f>'Supra A por pav'!L165</f>
        <v>8929</v>
      </c>
      <c r="I163" s="143">
        <f>'Supra A por pav'!C165</f>
        <v>850</v>
      </c>
      <c r="J163" s="143">
        <f>'Supra A por pav'!D165</f>
        <v>0</v>
      </c>
      <c r="K163" s="143">
        <f>'Supra A por pav'!E165</f>
        <v>137</v>
      </c>
      <c r="L163" s="143">
        <f>'Supra A por pav'!F165</f>
        <v>1158</v>
      </c>
      <c r="M163" s="143">
        <f>'Supra A por pav'!G165</f>
        <v>1608</v>
      </c>
      <c r="N163" s="143">
        <f>'Supra A por pav'!H165</f>
        <v>2374</v>
      </c>
      <c r="O163" s="143">
        <f>'Supra A por pav'!I165</f>
        <v>2802</v>
      </c>
      <c r="P163" s="164">
        <f>'Supra A por pav'!J165</f>
        <v>0</v>
      </c>
      <c r="Q163" s="168">
        <f>'Supra A por pav'!K165</f>
        <v>0</v>
      </c>
    </row>
    <row r="164" spans="1:17" x14ac:dyDescent="0.25">
      <c r="A164" s="160"/>
      <c r="B164" s="156"/>
      <c r="C164" s="140"/>
      <c r="D164" s="140"/>
      <c r="E164" s="140" t="s">
        <v>54</v>
      </c>
      <c r="F164" s="141"/>
      <c r="G164" s="142">
        <f>'Supra A por pav'!M166</f>
        <v>2.2999999999999998</v>
      </c>
      <c r="H164" s="143">
        <f>'Supra A por pav'!L166</f>
        <v>209.5</v>
      </c>
      <c r="I164" s="143">
        <f>'Supra A por pav'!C166</f>
        <v>0</v>
      </c>
      <c r="J164" s="143">
        <f>'Supra A por pav'!D166</f>
        <v>0</v>
      </c>
      <c r="K164" s="143">
        <f>'Supra A por pav'!E166</f>
        <v>0</v>
      </c>
      <c r="L164" s="143">
        <f>'Supra A por pav'!F166</f>
        <v>0</v>
      </c>
      <c r="M164" s="143">
        <f>'Supra A por pav'!G166</f>
        <v>209.5</v>
      </c>
      <c r="N164" s="143">
        <f>'Supra A por pav'!H166</f>
        <v>0</v>
      </c>
      <c r="O164" s="143">
        <f>'Supra A por pav'!I166</f>
        <v>0</v>
      </c>
      <c r="P164" s="164">
        <f>'Supra A por pav'!J166</f>
        <v>0</v>
      </c>
      <c r="Q164" s="168">
        <f>'Supra A por pav'!K166</f>
        <v>0</v>
      </c>
    </row>
    <row r="165" spans="1:17" ht="15.75" thickBot="1" x14ac:dyDescent="0.3">
      <c r="A165" s="161"/>
      <c r="B165" s="157"/>
      <c r="C165" s="144"/>
      <c r="D165" s="144"/>
      <c r="E165" s="144" t="s">
        <v>55</v>
      </c>
      <c r="F165" s="145"/>
      <c r="G165" s="146">
        <f>'Supra A por pav'!M167</f>
        <v>0</v>
      </c>
      <c r="H165" s="147">
        <f>'Supra A por pav'!L167</f>
        <v>0</v>
      </c>
      <c r="I165" s="147">
        <f>'Supra A por pav'!C167</f>
        <v>0</v>
      </c>
      <c r="J165" s="147">
        <f>'Supra A por pav'!D167</f>
        <v>0</v>
      </c>
      <c r="K165" s="147">
        <f>'Supra A por pav'!E167</f>
        <v>0</v>
      </c>
      <c r="L165" s="147">
        <f>'Supra A por pav'!F167</f>
        <v>0</v>
      </c>
      <c r="M165" s="147">
        <f>'Supra A por pav'!G167</f>
        <v>0</v>
      </c>
      <c r="N165" s="147">
        <f>'Supra A por pav'!H167</f>
        <v>0</v>
      </c>
      <c r="O165" s="147">
        <f>'Supra A por pav'!I167</f>
        <v>0</v>
      </c>
      <c r="P165" s="165">
        <f>'Supra A por pav'!J167</f>
        <v>0</v>
      </c>
      <c r="Q165" s="169">
        <f>'Supra A por pav'!K167</f>
        <v>0</v>
      </c>
    </row>
    <row r="166" spans="1:17" ht="16.5" thickTop="1" thickBot="1" x14ac:dyDescent="0.3">
      <c r="A166" s="162" t="s">
        <v>253</v>
      </c>
      <c r="B166" s="158" t="s">
        <v>165</v>
      </c>
      <c r="C166" s="152" t="s">
        <v>84</v>
      </c>
      <c r="D166" s="152" t="s">
        <v>273</v>
      </c>
      <c r="E166" s="152"/>
      <c r="F166" s="153">
        <v>50</v>
      </c>
      <c r="G166" s="154">
        <f t="shared" ref="G166:Q166" si="26">SUM(G161:G165)</f>
        <v>170</v>
      </c>
      <c r="H166" s="155">
        <f t="shared" si="26"/>
        <v>16379.5</v>
      </c>
      <c r="I166" s="155">
        <f t="shared" si="26"/>
        <v>850</v>
      </c>
      <c r="J166" s="155">
        <f t="shared" si="26"/>
        <v>359</v>
      </c>
      <c r="K166" s="155">
        <f t="shared" si="26"/>
        <v>1559</v>
      </c>
      <c r="L166" s="155">
        <f t="shared" si="26"/>
        <v>1273</v>
      </c>
      <c r="M166" s="155">
        <f t="shared" si="26"/>
        <v>1875.5</v>
      </c>
      <c r="N166" s="155">
        <f t="shared" si="26"/>
        <v>4540</v>
      </c>
      <c r="O166" s="155">
        <f t="shared" si="26"/>
        <v>5135</v>
      </c>
      <c r="P166" s="166">
        <f t="shared" si="26"/>
        <v>788</v>
      </c>
      <c r="Q166" s="170">
        <f t="shared" si="26"/>
        <v>0</v>
      </c>
    </row>
    <row r="167" spans="1:17" ht="15.75" thickTop="1" x14ac:dyDescent="0.25">
      <c r="A167" s="163" t="s">
        <v>253</v>
      </c>
      <c r="B167" s="159" t="s">
        <v>165</v>
      </c>
      <c r="C167" s="148" t="s">
        <v>85</v>
      </c>
      <c r="D167" s="148" t="s">
        <v>85</v>
      </c>
      <c r="E167" s="148" t="s">
        <v>51</v>
      </c>
      <c r="F167" s="149">
        <v>50</v>
      </c>
      <c r="G167" s="150">
        <f>'Supra A por pav'!M169</f>
        <v>32.299999999999997</v>
      </c>
      <c r="H167" s="151">
        <f>'Supra A por pav'!L169</f>
        <v>3276</v>
      </c>
      <c r="I167" s="151">
        <f>'Supra A por pav'!C169</f>
        <v>0</v>
      </c>
      <c r="J167" s="151">
        <f>'Supra A por pav'!D169</f>
        <v>204</v>
      </c>
      <c r="K167" s="151">
        <f>'Supra A por pav'!E169</f>
        <v>540</v>
      </c>
      <c r="L167" s="151">
        <f>'Supra A por pav'!F169</f>
        <v>115</v>
      </c>
      <c r="M167" s="151">
        <f>'Supra A por pav'!G169</f>
        <v>58</v>
      </c>
      <c r="N167" s="151">
        <f>'Supra A por pav'!H169</f>
        <v>532</v>
      </c>
      <c r="O167" s="151">
        <f>'Supra A por pav'!I169</f>
        <v>1039</v>
      </c>
      <c r="P167" s="167">
        <f>'Supra A por pav'!J169</f>
        <v>788</v>
      </c>
      <c r="Q167" s="171">
        <f>'Supra A por pav'!K169</f>
        <v>0</v>
      </c>
    </row>
    <row r="168" spans="1:17" x14ac:dyDescent="0.25">
      <c r="A168" s="160"/>
      <c r="B168" s="156"/>
      <c r="C168" s="140"/>
      <c r="D168" s="140"/>
      <c r="E168" s="140" t="s">
        <v>52</v>
      </c>
      <c r="F168" s="141"/>
      <c r="G168" s="142">
        <f>'Supra A por pav'!M170</f>
        <v>41.9</v>
      </c>
      <c r="H168" s="143">
        <f>'Supra A por pav'!L170</f>
        <v>3965</v>
      </c>
      <c r="I168" s="143">
        <f>'Supra A por pav'!C170</f>
        <v>0</v>
      </c>
      <c r="J168" s="143">
        <f>'Supra A por pav'!D170</f>
        <v>155</v>
      </c>
      <c r="K168" s="143">
        <f>'Supra A por pav'!E170</f>
        <v>882</v>
      </c>
      <c r="L168" s="143">
        <f>'Supra A por pav'!F170</f>
        <v>0</v>
      </c>
      <c r="M168" s="143">
        <f>'Supra A por pav'!G170</f>
        <v>0</v>
      </c>
      <c r="N168" s="143">
        <f>'Supra A por pav'!H170</f>
        <v>1634</v>
      </c>
      <c r="O168" s="143">
        <f>'Supra A por pav'!I170</f>
        <v>1294</v>
      </c>
      <c r="P168" s="164">
        <f>'Supra A por pav'!J170</f>
        <v>0</v>
      </c>
      <c r="Q168" s="168">
        <f>'Supra A por pav'!K170</f>
        <v>0</v>
      </c>
    </row>
    <row r="169" spans="1:17" x14ac:dyDescent="0.25">
      <c r="A169" s="160"/>
      <c r="B169" s="156"/>
      <c r="C169" s="140"/>
      <c r="D169" s="140"/>
      <c r="E169" s="140" t="s">
        <v>53</v>
      </c>
      <c r="F169" s="141"/>
      <c r="G169" s="142">
        <f>'Supra A por pav'!M171</f>
        <v>91.5</v>
      </c>
      <c r="H169" s="143">
        <f>'Supra A por pav'!L171</f>
        <v>8799</v>
      </c>
      <c r="I169" s="143">
        <f>'Supra A por pav'!C171</f>
        <v>828</v>
      </c>
      <c r="J169" s="143">
        <f>'Supra A por pav'!D171</f>
        <v>0</v>
      </c>
      <c r="K169" s="143">
        <f>'Supra A por pav'!E171</f>
        <v>118</v>
      </c>
      <c r="L169" s="143">
        <f>'Supra A por pav'!F171</f>
        <v>1122</v>
      </c>
      <c r="M169" s="143">
        <f>'Supra A por pav'!G171</f>
        <v>1601</v>
      </c>
      <c r="N169" s="143">
        <f>'Supra A por pav'!H171</f>
        <v>2369</v>
      </c>
      <c r="O169" s="143">
        <f>'Supra A por pav'!I171</f>
        <v>2761</v>
      </c>
      <c r="P169" s="164">
        <f>'Supra A por pav'!J171</f>
        <v>0</v>
      </c>
      <c r="Q169" s="168">
        <f>'Supra A por pav'!K171</f>
        <v>0</v>
      </c>
    </row>
    <row r="170" spans="1:17" x14ac:dyDescent="0.25">
      <c r="A170" s="160"/>
      <c r="B170" s="156"/>
      <c r="C170" s="140"/>
      <c r="D170" s="140"/>
      <c r="E170" s="140" t="s">
        <v>54</v>
      </c>
      <c r="F170" s="141"/>
      <c r="G170" s="142">
        <f>'Supra A por pav'!M172</f>
        <v>2.2999999999999998</v>
      </c>
      <c r="H170" s="143">
        <f>'Supra A por pav'!L172</f>
        <v>209.5</v>
      </c>
      <c r="I170" s="143">
        <f>'Supra A por pav'!C172</f>
        <v>0</v>
      </c>
      <c r="J170" s="143">
        <f>'Supra A por pav'!D172</f>
        <v>0</v>
      </c>
      <c r="K170" s="143">
        <f>'Supra A por pav'!E172</f>
        <v>0</v>
      </c>
      <c r="L170" s="143">
        <f>'Supra A por pav'!F172</f>
        <v>0</v>
      </c>
      <c r="M170" s="143">
        <f>'Supra A por pav'!G172</f>
        <v>209.5</v>
      </c>
      <c r="N170" s="143">
        <f>'Supra A por pav'!H172</f>
        <v>0</v>
      </c>
      <c r="O170" s="143">
        <f>'Supra A por pav'!I172</f>
        <v>0</v>
      </c>
      <c r="P170" s="164">
        <f>'Supra A por pav'!J172</f>
        <v>0</v>
      </c>
      <c r="Q170" s="168">
        <f>'Supra A por pav'!K172</f>
        <v>0</v>
      </c>
    </row>
    <row r="171" spans="1:17" ht="15.75" thickBot="1" x14ac:dyDescent="0.3">
      <c r="A171" s="161"/>
      <c r="B171" s="157"/>
      <c r="C171" s="144"/>
      <c r="D171" s="144"/>
      <c r="E171" s="144" t="s">
        <v>55</v>
      </c>
      <c r="F171" s="145"/>
      <c r="G171" s="146">
        <f>'Supra A por pav'!M173</f>
        <v>0</v>
      </c>
      <c r="H171" s="147">
        <f>'Supra A por pav'!L173</f>
        <v>0</v>
      </c>
      <c r="I171" s="147">
        <f>'Supra A por pav'!C173</f>
        <v>0</v>
      </c>
      <c r="J171" s="147">
        <f>'Supra A por pav'!D173</f>
        <v>0</v>
      </c>
      <c r="K171" s="147">
        <f>'Supra A por pav'!E173</f>
        <v>0</v>
      </c>
      <c r="L171" s="147">
        <f>'Supra A por pav'!F173</f>
        <v>0</v>
      </c>
      <c r="M171" s="147">
        <f>'Supra A por pav'!G173</f>
        <v>0</v>
      </c>
      <c r="N171" s="147">
        <f>'Supra A por pav'!H173</f>
        <v>0</v>
      </c>
      <c r="O171" s="147">
        <f>'Supra A por pav'!I173</f>
        <v>0</v>
      </c>
      <c r="P171" s="165">
        <f>'Supra A por pav'!J173</f>
        <v>0</v>
      </c>
      <c r="Q171" s="169">
        <f>'Supra A por pav'!K173</f>
        <v>0</v>
      </c>
    </row>
    <row r="172" spans="1:17" ht="16.5" thickTop="1" thickBot="1" x14ac:dyDescent="0.3">
      <c r="A172" s="162" t="s">
        <v>253</v>
      </c>
      <c r="B172" s="158" t="s">
        <v>165</v>
      </c>
      <c r="C172" s="152" t="s">
        <v>85</v>
      </c>
      <c r="D172" s="152" t="s">
        <v>274</v>
      </c>
      <c r="E172" s="152"/>
      <c r="F172" s="153">
        <v>50</v>
      </c>
      <c r="G172" s="154">
        <f t="shared" ref="G172:Q172" si="27">SUM(G167:G171)</f>
        <v>168</v>
      </c>
      <c r="H172" s="155">
        <f t="shared" si="27"/>
        <v>16249.5</v>
      </c>
      <c r="I172" s="155">
        <f t="shared" si="27"/>
        <v>828</v>
      </c>
      <c r="J172" s="155">
        <f t="shared" si="27"/>
        <v>359</v>
      </c>
      <c r="K172" s="155">
        <f t="shared" si="27"/>
        <v>1540</v>
      </c>
      <c r="L172" s="155">
        <f t="shared" si="27"/>
        <v>1237</v>
      </c>
      <c r="M172" s="155">
        <f t="shared" si="27"/>
        <v>1868.5</v>
      </c>
      <c r="N172" s="155">
        <f t="shared" si="27"/>
        <v>4535</v>
      </c>
      <c r="O172" s="155">
        <f t="shared" si="27"/>
        <v>5094</v>
      </c>
      <c r="P172" s="166">
        <f t="shared" si="27"/>
        <v>788</v>
      </c>
      <c r="Q172" s="170">
        <f t="shared" si="27"/>
        <v>0</v>
      </c>
    </row>
    <row r="173" spans="1:17" ht="15.75" thickTop="1" x14ac:dyDescent="0.25">
      <c r="A173" s="163" t="s">
        <v>253</v>
      </c>
      <c r="B173" s="159" t="s">
        <v>165</v>
      </c>
      <c r="C173" s="148" t="s">
        <v>86</v>
      </c>
      <c r="D173" s="148" t="s">
        <v>86</v>
      </c>
      <c r="E173" s="148" t="s">
        <v>51</v>
      </c>
      <c r="F173" s="149">
        <v>50</v>
      </c>
      <c r="G173" s="150">
        <f>'Supra A por pav'!M175</f>
        <v>32.299999999999997</v>
      </c>
      <c r="H173" s="151">
        <f>'Supra A por pav'!L175</f>
        <v>2802</v>
      </c>
      <c r="I173" s="151">
        <f>'Supra A por pav'!C175</f>
        <v>0</v>
      </c>
      <c r="J173" s="151">
        <f>'Supra A por pav'!D175</f>
        <v>202</v>
      </c>
      <c r="K173" s="151">
        <f>'Supra A por pav'!E175</f>
        <v>535</v>
      </c>
      <c r="L173" s="151">
        <f>'Supra A por pav'!F175</f>
        <v>115</v>
      </c>
      <c r="M173" s="151">
        <f>'Supra A por pav'!G175</f>
        <v>58</v>
      </c>
      <c r="N173" s="151">
        <f>'Supra A por pav'!H175</f>
        <v>611</v>
      </c>
      <c r="O173" s="151">
        <f>'Supra A por pav'!I175</f>
        <v>1033</v>
      </c>
      <c r="P173" s="167">
        <f>'Supra A por pav'!J175</f>
        <v>248</v>
      </c>
      <c r="Q173" s="171">
        <f>'Supra A por pav'!K175</f>
        <v>0</v>
      </c>
    </row>
    <row r="174" spans="1:17" x14ac:dyDescent="0.25">
      <c r="A174" s="160"/>
      <c r="B174" s="156"/>
      <c r="C174" s="140"/>
      <c r="D174" s="140"/>
      <c r="E174" s="140" t="s">
        <v>52</v>
      </c>
      <c r="F174" s="141"/>
      <c r="G174" s="142">
        <f>'Supra A por pav'!M176</f>
        <v>41.9</v>
      </c>
      <c r="H174" s="143">
        <f>'Supra A por pav'!L176</f>
        <v>3965</v>
      </c>
      <c r="I174" s="143">
        <f>'Supra A por pav'!C176</f>
        <v>0</v>
      </c>
      <c r="J174" s="143">
        <f>'Supra A por pav'!D176</f>
        <v>155</v>
      </c>
      <c r="K174" s="143">
        <f>'Supra A por pav'!E176</f>
        <v>882</v>
      </c>
      <c r="L174" s="143">
        <f>'Supra A por pav'!F176</f>
        <v>0</v>
      </c>
      <c r="M174" s="143">
        <f>'Supra A por pav'!G176</f>
        <v>0</v>
      </c>
      <c r="N174" s="143">
        <f>'Supra A por pav'!H176</f>
        <v>1634</v>
      </c>
      <c r="O174" s="143">
        <f>'Supra A por pav'!I176</f>
        <v>1294</v>
      </c>
      <c r="P174" s="164">
        <f>'Supra A por pav'!J176</f>
        <v>0</v>
      </c>
      <c r="Q174" s="168">
        <f>'Supra A por pav'!K176</f>
        <v>0</v>
      </c>
    </row>
    <row r="175" spans="1:17" x14ac:dyDescent="0.25">
      <c r="A175" s="160"/>
      <c r="B175" s="156"/>
      <c r="C175" s="140"/>
      <c r="D175" s="140"/>
      <c r="E175" s="140" t="s">
        <v>53</v>
      </c>
      <c r="F175" s="141"/>
      <c r="G175" s="142">
        <f>'Supra A por pav'!M177</f>
        <v>93.5</v>
      </c>
      <c r="H175" s="143">
        <f>'Supra A por pav'!L177</f>
        <v>8929</v>
      </c>
      <c r="I175" s="143">
        <f>'Supra A por pav'!C177</f>
        <v>850</v>
      </c>
      <c r="J175" s="143">
        <f>'Supra A por pav'!D177</f>
        <v>0</v>
      </c>
      <c r="K175" s="143">
        <f>'Supra A por pav'!E177</f>
        <v>137</v>
      </c>
      <c r="L175" s="143">
        <f>'Supra A por pav'!F177</f>
        <v>1158</v>
      </c>
      <c r="M175" s="143">
        <f>'Supra A por pav'!G177</f>
        <v>1608</v>
      </c>
      <c r="N175" s="143">
        <f>'Supra A por pav'!H177</f>
        <v>2374</v>
      </c>
      <c r="O175" s="143">
        <f>'Supra A por pav'!I177</f>
        <v>2802</v>
      </c>
      <c r="P175" s="164">
        <f>'Supra A por pav'!J177</f>
        <v>0</v>
      </c>
      <c r="Q175" s="168">
        <f>'Supra A por pav'!K177</f>
        <v>0</v>
      </c>
    </row>
    <row r="176" spans="1:17" x14ac:dyDescent="0.25">
      <c r="A176" s="160"/>
      <c r="B176" s="156"/>
      <c r="C176" s="140"/>
      <c r="D176" s="140"/>
      <c r="E176" s="140" t="s">
        <v>54</v>
      </c>
      <c r="F176" s="141"/>
      <c r="G176" s="142">
        <f>'Supra A por pav'!M178</f>
        <v>2.2999999999999998</v>
      </c>
      <c r="H176" s="143">
        <f>'Supra A por pav'!L178</f>
        <v>209.5</v>
      </c>
      <c r="I176" s="143">
        <f>'Supra A por pav'!C178</f>
        <v>0</v>
      </c>
      <c r="J176" s="143">
        <f>'Supra A por pav'!D178</f>
        <v>0</v>
      </c>
      <c r="K176" s="143">
        <f>'Supra A por pav'!E178</f>
        <v>0</v>
      </c>
      <c r="L176" s="143">
        <f>'Supra A por pav'!F178</f>
        <v>0</v>
      </c>
      <c r="M176" s="143">
        <f>'Supra A por pav'!G178</f>
        <v>209.5</v>
      </c>
      <c r="N176" s="143">
        <f>'Supra A por pav'!H178</f>
        <v>0</v>
      </c>
      <c r="O176" s="143">
        <f>'Supra A por pav'!I178</f>
        <v>0</v>
      </c>
      <c r="P176" s="164">
        <f>'Supra A por pav'!J178</f>
        <v>0</v>
      </c>
      <c r="Q176" s="168">
        <f>'Supra A por pav'!K178</f>
        <v>0</v>
      </c>
    </row>
    <row r="177" spans="1:17" ht="15.75" thickBot="1" x14ac:dyDescent="0.3">
      <c r="A177" s="161"/>
      <c r="B177" s="157"/>
      <c r="C177" s="144"/>
      <c r="D177" s="144"/>
      <c r="E177" s="144" t="s">
        <v>55</v>
      </c>
      <c r="F177" s="145"/>
      <c r="G177" s="146">
        <f>'Supra A por pav'!M179</f>
        <v>0</v>
      </c>
      <c r="H177" s="147">
        <f>'Supra A por pav'!L179</f>
        <v>0</v>
      </c>
      <c r="I177" s="147">
        <f>'Supra A por pav'!C179</f>
        <v>0</v>
      </c>
      <c r="J177" s="147">
        <f>'Supra A por pav'!D179</f>
        <v>0</v>
      </c>
      <c r="K177" s="147">
        <f>'Supra A por pav'!E179</f>
        <v>0</v>
      </c>
      <c r="L177" s="147">
        <f>'Supra A por pav'!F179</f>
        <v>0</v>
      </c>
      <c r="M177" s="147">
        <f>'Supra A por pav'!G179</f>
        <v>0</v>
      </c>
      <c r="N177" s="147">
        <f>'Supra A por pav'!H179</f>
        <v>0</v>
      </c>
      <c r="O177" s="147">
        <f>'Supra A por pav'!I179</f>
        <v>0</v>
      </c>
      <c r="P177" s="165">
        <f>'Supra A por pav'!J179</f>
        <v>0</v>
      </c>
      <c r="Q177" s="169">
        <f>'Supra A por pav'!K179</f>
        <v>0</v>
      </c>
    </row>
    <row r="178" spans="1:17" ht="16.5" thickTop="1" thickBot="1" x14ac:dyDescent="0.3">
      <c r="A178" s="162" t="s">
        <v>253</v>
      </c>
      <c r="B178" s="158" t="s">
        <v>165</v>
      </c>
      <c r="C178" s="152" t="s">
        <v>86</v>
      </c>
      <c r="D178" s="152" t="s">
        <v>275</v>
      </c>
      <c r="E178" s="152"/>
      <c r="F178" s="153">
        <v>50</v>
      </c>
      <c r="G178" s="154">
        <f t="shared" ref="G178:Q178" si="28">SUM(G173:G177)</f>
        <v>170</v>
      </c>
      <c r="H178" s="155">
        <f t="shared" si="28"/>
        <v>15905.5</v>
      </c>
      <c r="I178" s="155">
        <f t="shared" si="28"/>
        <v>850</v>
      </c>
      <c r="J178" s="155">
        <f t="shared" si="28"/>
        <v>357</v>
      </c>
      <c r="K178" s="155">
        <f t="shared" si="28"/>
        <v>1554</v>
      </c>
      <c r="L178" s="155">
        <f t="shared" si="28"/>
        <v>1273</v>
      </c>
      <c r="M178" s="155">
        <f t="shared" si="28"/>
        <v>1875.5</v>
      </c>
      <c r="N178" s="155">
        <f t="shared" si="28"/>
        <v>4619</v>
      </c>
      <c r="O178" s="155">
        <f t="shared" si="28"/>
        <v>5129</v>
      </c>
      <c r="P178" s="166">
        <f t="shared" si="28"/>
        <v>248</v>
      </c>
      <c r="Q178" s="170">
        <f t="shared" si="28"/>
        <v>0</v>
      </c>
    </row>
    <row r="179" spans="1:17" ht="15.75" thickTop="1" x14ac:dyDescent="0.25">
      <c r="A179" s="163" t="s">
        <v>253</v>
      </c>
      <c r="B179" s="159" t="s">
        <v>165</v>
      </c>
      <c r="C179" s="148" t="s">
        <v>87</v>
      </c>
      <c r="D179" s="148" t="s">
        <v>87</v>
      </c>
      <c r="E179" s="148" t="s">
        <v>51</v>
      </c>
      <c r="F179" s="149">
        <v>50</v>
      </c>
      <c r="G179" s="150">
        <f>'Supra A por pav'!M181</f>
        <v>32.299999999999997</v>
      </c>
      <c r="H179" s="151">
        <f>'Supra A por pav'!L181</f>
        <v>2802</v>
      </c>
      <c r="I179" s="151">
        <f>'Supra A por pav'!C181</f>
        <v>0</v>
      </c>
      <c r="J179" s="151">
        <f>'Supra A por pav'!D181</f>
        <v>202</v>
      </c>
      <c r="K179" s="151">
        <f>'Supra A por pav'!E181</f>
        <v>535</v>
      </c>
      <c r="L179" s="151">
        <f>'Supra A por pav'!F181</f>
        <v>115</v>
      </c>
      <c r="M179" s="151">
        <f>'Supra A por pav'!G181</f>
        <v>58</v>
      </c>
      <c r="N179" s="151">
        <f>'Supra A por pav'!H181</f>
        <v>611</v>
      </c>
      <c r="O179" s="151">
        <f>'Supra A por pav'!I181</f>
        <v>1033</v>
      </c>
      <c r="P179" s="167">
        <f>'Supra A por pav'!J181</f>
        <v>248</v>
      </c>
      <c r="Q179" s="171">
        <f>'Supra A por pav'!K181</f>
        <v>0</v>
      </c>
    </row>
    <row r="180" spans="1:17" x14ac:dyDescent="0.25">
      <c r="A180" s="160"/>
      <c r="B180" s="156"/>
      <c r="C180" s="140"/>
      <c r="D180" s="140"/>
      <c r="E180" s="140" t="s">
        <v>52</v>
      </c>
      <c r="F180" s="141"/>
      <c r="G180" s="142">
        <f>'Supra A por pav'!M182</f>
        <v>41.9</v>
      </c>
      <c r="H180" s="143">
        <f>'Supra A por pav'!L182</f>
        <v>3965</v>
      </c>
      <c r="I180" s="143">
        <f>'Supra A por pav'!C182</f>
        <v>0</v>
      </c>
      <c r="J180" s="143">
        <f>'Supra A por pav'!D182</f>
        <v>155</v>
      </c>
      <c r="K180" s="143">
        <f>'Supra A por pav'!E182</f>
        <v>882</v>
      </c>
      <c r="L180" s="143">
        <f>'Supra A por pav'!F182</f>
        <v>0</v>
      </c>
      <c r="M180" s="143">
        <f>'Supra A por pav'!G182</f>
        <v>0</v>
      </c>
      <c r="N180" s="143">
        <f>'Supra A por pav'!H182</f>
        <v>1634</v>
      </c>
      <c r="O180" s="143">
        <f>'Supra A por pav'!I182</f>
        <v>1294</v>
      </c>
      <c r="P180" s="164">
        <f>'Supra A por pav'!J182</f>
        <v>0</v>
      </c>
      <c r="Q180" s="168">
        <f>'Supra A por pav'!K182</f>
        <v>0</v>
      </c>
    </row>
    <row r="181" spans="1:17" x14ac:dyDescent="0.25">
      <c r="A181" s="160"/>
      <c r="B181" s="156"/>
      <c r="C181" s="140"/>
      <c r="D181" s="140"/>
      <c r="E181" s="140" t="s">
        <v>53</v>
      </c>
      <c r="F181" s="141"/>
      <c r="G181" s="142">
        <f>'Supra A por pav'!M183</f>
        <v>91.5</v>
      </c>
      <c r="H181" s="143">
        <f>'Supra A por pav'!L183</f>
        <v>8799</v>
      </c>
      <c r="I181" s="143">
        <f>'Supra A por pav'!C183</f>
        <v>828</v>
      </c>
      <c r="J181" s="143">
        <f>'Supra A por pav'!D183</f>
        <v>0</v>
      </c>
      <c r="K181" s="143">
        <f>'Supra A por pav'!E183</f>
        <v>118</v>
      </c>
      <c r="L181" s="143">
        <f>'Supra A por pav'!F183</f>
        <v>1122</v>
      </c>
      <c r="M181" s="143">
        <f>'Supra A por pav'!G183</f>
        <v>1601</v>
      </c>
      <c r="N181" s="143">
        <f>'Supra A por pav'!H183</f>
        <v>2369</v>
      </c>
      <c r="O181" s="143">
        <f>'Supra A por pav'!I183</f>
        <v>2761</v>
      </c>
      <c r="P181" s="164">
        <f>'Supra A por pav'!J183</f>
        <v>0</v>
      </c>
      <c r="Q181" s="168">
        <f>'Supra A por pav'!K183</f>
        <v>0</v>
      </c>
    </row>
    <row r="182" spans="1:17" x14ac:dyDescent="0.25">
      <c r="A182" s="160"/>
      <c r="B182" s="156"/>
      <c r="C182" s="140"/>
      <c r="D182" s="140"/>
      <c r="E182" s="140" t="s">
        <v>54</v>
      </c>
      <c r="F182" s="141"/>
      <c r="G182" s="142">
        <f>'Supra A por pav'!M184</f>
        <v>2.2999999999999998</v>
      </c>
      <c r="H182" s="143">
        <f>'Supra A por pav'!L184</f>
        <v>209.5</v>
      </c>
      <c r="I182" s="143">
        <f>'Supra A por pav'!C184</f>
        <v>0</v>
      </c>
      <c r="J182" s="143">
        <f>'Supra A por pav'!D184</f>
        <v>0</v>
      </c>
      <c r="K182" s="143">
        <f>'Supra A por pav'!E184</f>
        <v>0</v>
      </c>
      <c r="L182" s="143">
        <f>'Supra A por pav'!F184</f>
        <v>0</v>
      </c>
      <c r="M182" s="143">
        <f>'Supra A por pav'!G184</f>
        <v>209.5</v>
      </c>
      <c r="N182" s="143">
        <f>'Supra A por pav'!H184</f>
        <v>0</v>
      </c>
      <c r="O182" s="143">
        <f>'Supra A por pav'!I184</f>
        <v>0</v>
      </c>
      <c r="P182" s="164">
        <f>'Supra A por pav'!J184</f>
        <v>0</v>
      </c>
      <c r="Q182" s="168">
        <f>'Supra A por pav'!K184</f>
        <v>0</v>
      </c>
    </row>
    <row r="183" spans="1:17" ht="15.75" thickBot="1" x14ac:dyDescent="0.3">
      <c r="A183" s="161"/>
      <c r="B183" s="157"/>
      <c r="C183" s="144"/>
      <c r="D183" s="144"/>
      <c r="E183" s="144" t="s">
        <v>55</v>
      </c>
      <c r="F183" s="145"/>
      <c r="G183" s="146">
        <f>'Supra A por pav'!M185</f>
        <v>0</v>
      </c>
      <c r="H183" s="147">
        <f>'Supra A por pav'!L185</f>
        <v>0</v>
      </c>
      <c r="I183" s="147">
        <f>'Supra A por pav'!C185</f>
        <v>0</v>
      </c>
      <c r="J183" s="147">
        <f>'Supra A por pav'!D185</f>
        <v>0</v>
      </c>
      <c r="K183" s="147">
        <f>'Supra A por pav'!E185</f>
        <v>0</v>
      </c>
      <c r="L183" s="147">
        <f>'Supra A por pav'!F185</f>
        <v>0</v>
      </c>
      <c r="M183" s="147">
        <f>'Supra A por pav'!G185</f>
        <v>0</v>
      </c>
      <c r="N183" s="147">
        <f>'Supra A por pav'!H185</f>
        <v>0</v>
      </c>
      <c r="O183" s="147">
        <f>'Supra A por pav'!I185</f>
        <v>0</v>
      </c>
      <c r="P183" s="165">
        <f>'Supra A por pav'!J185</f>
        <v>0</v>
      </c>
      <c r="Q183" s="169">
        <f>'Supra A por pav'!K185</f>
        <v>0</v>
      </c>
    </row>
    <row r="184" spans="1:17" ht="16.5" thickTop="1" thickBot="1" x14ac:dyDescent="0.3">
      <c r="A184" s="162" t="s">
        <v>253</v>
      </c>
      <c r="B184" s="158" t="s">
        <v>165</v>
      </c>
      <c r="C184" s="152" t="s">
        <v>87</v>
      </c>
      <c r="D184" s="152" t="s">
        <v>276</v>
      </c>
      <c r="E184" s="152"/>
      <c r="F184" s="153">
        <v>50</v>
      </c>
      <c r="G184" s="154">
        <f t="shared" ref="G184:Q184" si="29">SUM(G179:G183)</f>
        <v>168</v>
      </c>
      <c r="H184" s="155">
        <f t="shared" si="29"/>
        <v>15775.5</v>
      </c>
      <c r="I184" s="155">
        <f t="shared" si="29"/>
        <v>828</v>
      </c>
      <c r="J184" s="155">
        <f t="shared" si="29"/>
        <v>357</v>
      </c>
      <c r="K184" s="155">
        <f t="shared" si="29"/>
        <v>1535</v>
      </c>
      <c r="L184" s="155">
        <f t="shared" si="29"/>
        <v>1237</v>
      </c>
      <c r="M184" s="155">
        <f t="shared" si="29"/>
        <v>1868.5</v>
      </c>
      <c r="N184" s="155">
        <f t="shared" si="29"/>
        <v>4614</v>
      </c>
      <c r="O184" s="155">
        <f t="shared" si="29"/>
        <v>5088</v>
      </c>
      <c r="P184" s="166">
        <f t="shared" si="29"/>
        <v>248</v>
      </c>
      <c r="Q184" s="170">
        <f t="shared" si="29"/>
        <v>0</v>
      </c>
    </row>
    <row r="185" spans="1:17" ht="15.75" thickTop="1" x14ac:dyDescent="0.25">
      <c r="A185" s="163" t="s">
        <v>253</v>
      </c>
      <c r="B185" s="159" t="s">
        <v>165</v>
      </c>
      <c r="C185" s="148" t="s">
        <v>88</v>
      </c>
      <c r="D185" s="148" t="s">
        <v>88</v>
      </c>
      <c r="E185" s="148" t="s">
        <v>51</v>
      </c>
      <c r="F185" s="149">
        <v>50</v>
      </c>
      <c r="G185" s="150">
        <f>'Supra A por pav'!M187</f>
        <v>32.299999999999997</v>
      </c>
      <c r="H185" s="151">
        <f>'Supra A por pav'!L187</f>
        <v>2802</v>
      </c>
      <c r="I185" s="151">
        <f>'Supra A por pav'!C187</f>
        <v>0</v>
      </c>
      <c r="J185" s="151">
        <f>'Supra A por pav'!D187</f>
        <v>202</v>
      </c>
      <c r="K185" s="151">
        <f>'Supra A por pav'!E187</f>
        <v>535</v>
      </c>
      <c r="L185" s="151">
        <f>'Supra A por pav'!F187</f>
        <v>115</v>
      </c>
      <c r="M185" s="151">
        <f>'Supra A por pav'!G187</f>
        <v>58</v>
      </c>
      <c r="N185" s="151">
        <f>'Supra A por pav'!H187</f>
        <v>611</v>
      </c>
      <c r="O185" s="151">
        <f>'Supra A por pav'!I187</f>
        <v>1033</v>
      </c>
      <c r="P185" s="167">
        <f>'Supra A por pav'!J187</f>
        <v>248</v>
      </c>
      <c r="Q185" s="171">
        <f>'Supra A por pav'!K187</f>
        <v>0</v>
      </c>
    </row>
    <row r="186" spans="1:17" x14ac:dyDescent="0.25">
      <c r="A186" s="160"/>
      <c r="B186" s="156"/>
      <c r="C186" s="140"/>
      <c r="D186" s="140"/>
      <c r="E186" s="140" t="s">
        <v>52</v>
      </c>
      <c r="F186" s="141"/>
      <c r="G186" s="142">
        <f>'Supra A por pav'!M188</f>
        <v>41.9</v>
      </c>
      <c r="H186" s="143">
        <f>'Supra A por pav'!L188</f>
        <v>3965</v>
      </c>
      <c r="I186" s="143">
        <f>'Supra A por pav'!C188</f>
        <v>0</v>
      </c>
      <c r="J186" s="143">
        <f>'Supra A por pav'!D188</f>
        <v>155</v>
      </c>
      <c r="K186" s="143">
        <f>'Supra A por pav'!E188</f>
        <v>882</v>
      </c>
      <c r="L186" s="143">
        <f>'Supra A por pav'!F188</f>
        <v>0</v>
      </c>
      <c r="M186" s="143">
        <f>'Supra A por pav'!G188</f>
        <v>0</v>
      </c>
      <c r="N186" s="143">
        <f>'Supra A por pav'!H188</f>
        <v>1634</v>
      </c>
      <c r="O186" s="143">
        <f>'Supra A por pav'!I188</f>
        <v>1294</v>
      </c>
      <c r="P186" s="164">
        <f>'Supra A por pav'!J188</f>
        <v>0</v>
      </c>
      <c r="Q186" s="168">
        <f>'Supra A por pav'!K188</f>
        <v>0</v>
      </c>
    </row>
    <row r="187" spans="1:17" x14ac:dyDescent="0.25">
      <c r="A187" s="160"/>
      <c r="B187" s="156"/>
      <c r="C187" s="140"/>
      <c r="D187" s="140"/>
      <c r="E187" s="140" t="s">
        <v>53</v>
      </c>
      <c r="F187" s="141"/>
      <c r="G187" s="142">
        <f>'Supra A por pav'!M189</f>
        <v>93.5</v>
      </c>
      <c r="H187" s="143">
        <f>'Supra A por pav'!L189</f>
        <v>8929</v>
      </c>
      <c r="I187" s="143">
        <f>'Supra A por pav'!C189</f>
        <v>850</v>
      </c>
      <c r="J187" s="143">
        <f>'Supra A por pav'!D189</f>
        <v>0</v>
      </c>
      <c r="K187" s="143">
        <f>'Supra A por pav'!E189</f>
        <v>137</v>
      </c>
      <c r="L187" s="143">
        <f>'Supra A por pav'!F189</f>
        <v>1158</v>
      </c>
      <c r="M187" s="143">
        <f>'Supra A por pav'!G189</f>
        <v>1608</v>
      </c>
      <c r="N187" s="143">
        <f>'Supra A por pav'!H189</f>
        <v>2374</v>
      </c>
      <c r="O187" s="143">
        <f>'Supra A por pav'!I189</f>
        <v>2802</v>
      </c>
      <c r="P187" s="164">
        <f>'Supra A por pav'!J189</f>
        <v>0</v>
      </c>
      <c r="Q187" s="168">
        <f>'Supra A por pav'!K189</f>
        <v>0</v>
      </c>
    </row>
    <row r="188" spans="1:17" x14ac:dyDescent="0.25">
      <c r="A188" s="160"/>
      <c r="B188" s="156"/>
      <c r="C188" s="140"/>
      <c r="D188" s="140"/>
      <c r="E188" s="140" t="s">
        <v>54</v>
      </c>
      <c r="F188" s="141"/>
      <c r="G188" s="142">
        <f>'Supra A por pav'!M190</f>
        <v>2.2999999999999998</v>
      </c>
      <c r="H188" s="143">
        <f>'Supra A por pav'!L190</f>
        <v>209.5</v>
      </c>
      <c r="I188" s="143">
        <f>'Supra A por pav'!C190</f>
        <v>0</v>
      </c>
      <c r="J188" s="143">
        <f>'Supra A por pav'!D190</f>
        <v>0</v>
      </c>
      <c r="K188" s="143">
        <f>'Supra A por pav'!E190</f>
        <v>0</v>
      </c>
      <c r="L188" s="143">
        <f>'Supra A por pav'!F190</f>
        <v>0</v>
      </c>
      <c r="M188" s="143">
        <f>'Supra A por pav'!G190</f>
        <v>209.5</v>
      </c>
      <c r="N188" s="143">
        <f>'Supra A por pav'!H190</f>
        <v>0</v>
      </c>
      <c r="O188" s="143">
        <f>'Supra A por pav'!I190</f>
        <v>0</v>
      </c>
      <c r="P188" s="164">
        <f>'Supra A por pav'!J190</f>
        <v>0</v>
      </c>
      <c r="Q188" s="168">
        <f>'Supra A por pav'!K190</f>
        <v>0</v>
      </c>
    </row>
    <row r="189" spans="1:17" ht="15.75" thickBot="1" x14ac:dyDescent="0.3">
      <c r="A189" s="161"/>
      <c r="B189" s="157"/>
      <c r="C189" s="144"/>
      <c r="D189" s="144"/>
      <c r="E189" s="144" t="s">
        <v>55</v>
      </c>
      <c r="F189" s="145"/>
      <c r="G189" s="146">
        <f>'Supra A por pav'!M191</f>
        <v>0</v>
      </c>
      <c r="H189" s="147">
        <f>'Supra A por pav'!L191</f>
        <v>0</v>
      </c>
      <c r="I189" s="147">
        <f>'Supra A por pav'!C191</f>
        <v>0</v>
      </c>
      <c r="J189" s="147">
        <f>'Supra A por pav'!D191</f>
        <v>0</v>
      </c>
      <c r="K189" s="147">
        <f>'Supra A por pav'!E191</f>
        <v>0</v>
      </c>
      <c r="L189" s="147">
        <f>'Supra A por pav'!F191</f>
        <v>0</v>
      </c>
      <c r="M189" s="147">
        <f>'Supra A por pav'!G191</f>
        <v>0</v>
      </c>
      <c r="N189" s="147">
        <f>'Supra A por pav'!H191</f>
        <v>0</v>
      </c>
      <c r="O189" s="147">
        <f>'Supra A por pav'!I191</f>
        <v>0</v>
      </c>
      <c r="P189" s="165">
        <f>'Supra A por pav'!J191</f>
        <v>0</v>
      </c>
      <c r="Q189" s="169">
        <f>'Supra A por pav'!K191</f>
        <v>0</v>
      </c>
    </row>
    <row r="190" spans="1:17" ht="16.5" thickTop="1" thickBot="1" x14ac:dyDescent="0.3">
      <c r="A190" s="162" t="s">
        <v>253</v>
      </c>
      <c r="B190" s="158" t="s">
        <v>165</v>
      </c>
      <c r="C190" s="152" t="s">
        <v>88</v>
      </c>
      <c r="D190" s="152" t="s">
        <v>277</v>
      </c>
      <c r="E190" s="152"/>
      <c r="F190" s="153">
        <v>50</v>
      </c>
      <c r="G190" s="154">
        <f t="shared" ref="G190:Q190" si="30">SUM(G185:G189)</f>
        <v>170</v>
      </c>
      <c r="H190" s="155">
        <f t="shared" si="30"/>
        <v>15905.5</v>
      </c>
      <c r="I190" s="155">
        <f t="shared" si="30"/>
        <v>850</v>
      </c>
      <c r="J190" s="155">
        <f t="shared" si="30"/>
        <v>357</v>
      </c>
      <c r="K190" s="155">
        <f t="shared" si="30"/>
        <v>1554</v>
      </c>
      <c r="L190" s="155">
        <f t="shared" si="30"/>
        <v>1273</v>
      </c>
      <c r="M190" s="155">
        <f t="shared" si="30"/>
        <v>1875.5</v>
      </c>
      <c r="N190" s="155">
        <f t="shared" si="30"/>
        <v>4619</v>
      </c>
      <c r="O190" s="155">
        <f t="shared" si="30"/>
        <v>5129</v>
      </c>
      <c r="P190" s="166">
        <f t="shared" si="30"/>
        <v>248</v>
      </c>
      <c r="Q190" s="170">
        <f t="shared" si="30"/>
        <v>0</v>
      </c>
    </row>
    <row r="191" spans="1:17" ht="15.75" thickTop="1" x14ac:dyDescent="0.25">
      <c r="A191" s="163" t="s">
        <v>253</v>
      </c>
      <c r="B191" s="159" t="s">
        <v>165</v>
      </c>
      <c r="C191" s="148" t="s">
        <v>89</v>
      </c>
      <c r="D191" s="148" t="s">
        <v>89</v>
      </c>
      <c r="E191" s="148" t="s">
        <v>51</v>
      </c>
      <c r="F191" s="149">
        <v>50</v>
      </c>
      <c r="G191" s="150">
        <f>'Supra A por pav'!M193</f>
        <v>31.1</v>
      </c>
      <c r="H191" s="151">
        <f>'Supra A por pav'!L193</f>
        <v>2331</v>
      </c>
      <c r="I191" s="151">
        <f>'Supra A por pav'!C193</f>
        <v>0</v>
      </c>
      <c r="J191" s="151">
        <f>'Supra A por pav'!D193</f>
        <v>200</v>
      </c>
      <c r="K191" s="151">
        <f>'Supra A por pav'!E193</f>
        <v>508</v>
      </c>
      <c r="L191" s="151">
        <f>'Supra A por pav'!F193</f>
        <v>121</v>
      </c>
      <c r="M191" s="151">
        <f>'Supra A por pav'!G193</f>
        <v>161</v>
      </c>
      <c r="N191" s="151">
        <f>'Supra A por pav'!H193</f>
        <v>675</v>
      </c>
      <c r="O191" s="151">
        <f>'Supra A por pav'!I193</f>
        <v>533</v>
      </c>
      <c r="P191" s="167">
        <f>'Supra A por pav'!J193</f>
        <v>133</v>
      </c>
      <c r="Q191" s="171">
        <f>'Supra A por pav'!K193</f>
        <v>0</v>
      </c>
    </row>
    <row r="192" spans="1:17" x14ac:dyDescent="0.25">
      <c r="A192" s="160"/>
      <c r="B192" s="156"/>
      <c r="C192" s="140"/>
      <c r="D192" s="140"/>
      <c r="E192" s="140" t="s">
        <v>52</v>
      </c>
      <c r="F192" s="141"/>
      <c r="G192" s="142">
        <f>'Supra A por pav'!M194</f>
        <v>41.9</v>
      </c>
      <c r="H192" s="143">
        <f>'Supra A por pav'!L194</f>
        <v>3607</v>
      </c>
      <c r="I192" s="143">
        <f>'Supra A por pav'!C194</f>
        <v>0</v>
      </c>
      <c r="J192" s="143">
        <f>'Supra A por pav'!D194</f>
        <v>151</v>
      </c>
      <c r="K192" s="143">
        <f>'Supra A por pav'!E194</f>
        <v>872</v>
      </c>
      <c r="L192" s="143">
        <f>'Supra A por pav'!F194</f>
        <v>0</v>
      </c>
      <c r="M192" s="143">
        <f>'Supra A por pav'!G194</f>
        <v>0</v>
      </c>
      <c r="N192" s="143">
        <f>'Supra A por pav'!H194</f>
        <v>1367</v>
      </c>
      <c r="O192" s="143">
        <f>'Supra A por pav'!I194</f>
        <v>1217</v>
      </c>
      <c r="P192" s="164">
        <f>'Supra A por pav'!J194</f>
        <v>0</v>
      </c>
      <c r="Q192" s="168">
        <f>'Supra A por pav'!K194</f>
        <v>0</v>
      </c>
    </row>
    <row r="193" spans="1:17" x14ac:dyDescent="0.25">
      <c r="A193" s="160"/>
      <c r="B193" s="156"/>
      <c r="C193" s="140"/>
      <c r="D193" s="140"/>
      <c r="E193" s="140" t="s">
        <v>53</v>
      </c>
      <c r="F193" s="141"/>
      <c r="G193" s="142">
        <f>'Supra A por pav'!M195</f>
        <v>93.1</v>
      </c>
      <c r="H193" s="143">
        <f>'Supra A por pav'!L195</f>
        <v>5928</v>
      </c>
      <c r="I193" s="143">
        <f>'Supra A por pav'!C195</f>
        <v>828</v>
      </c>
      <c r="J193" s="143">
        <f>'Supra A por pav'!D195</f>
        <v>0</v>
      </c>
      <c r="K193" s="143">
        <f>'Supra A por pav'!E195</f>
        <v>7</v>
      </c>
      <c r="L193" s="143">
        <f>'Supra A por pav'!F195</f>
        <v>1432</v>
      </c>
      <c r="M193" s="143">
        <f>'Supra A por pav'!G195</f>
        <v>1399</v>
      </c>
      <c r="N193" s="143">
        <f>'Supra A por pav'!H195</f>
        <v>214</v>
      </c>
      <c r="O193" s="143">
        <f>'Supra A por pav'!I195</f>
        <v>2048</v>
      </c>
      <c r="P193" s="164">
        <f>'Supra A por pav'!J195</f>
        <v>0</v>
      </c>
      <c r="Q193" s="168">
        <f>'Supra A por pav'!K195</f>
        <v>0</v>
      </c>
    </row>
    <row r="194" spans="1:17" x14ac:dyDescent="0.25">
      <c r="A194" s="160"/>
      <c r="B194" s="156"/>
      <c r="C194" s="140"/>
      <c r="D194" s="140"/>
      <c r="E194" s="140" t="s">
        <v>54</v>
      </c>
      <c r="F194" s="141"/>
      <c r="G194" s="142">
        <f>'Supra A por pav'!M196</f>
        <v>2.2999999999999998</v>
      </c>
      <c r="H194" s="143">
        <f>'Supra A por pav'!L196</f>
        <v>209.5</v>
      </c>
      <c r="I194" s="143">
        <f>'Supra A por pav'!C196</f>
        <v>0</v>
      </c>
      <c r="J194" s="143">
        <f>'Supra A por pav'!D196</f>
        <v>0</v>
      </c>
      <c r="K194" s="143">
        <f>'Supra A por pav'!E196</f>
        <v>0</v>
      </c>
      <c r="L194" s="143">
        <f>'Supra A por pav'!F196</f>
        <v>0</v>
      </c>
      <c r="M194" s="143">
        <f>'Supra A por pav'!G196</f>
        <v>209.5</v>
      </c>
      <c r="N194" s="143">
        <f>'Supra A por pav'!H196</f>
        <v>0</v>
      </c>
      <c r="O194" s="143">
        <f>'Supra A por pav'!I196</f>
        <v>0</v>
      </c>
      <c r="P194" s="164">
        <f>'Supra A por pav'!J196</f>
        <v>0</v>
      </c>
      <c r="Q194" s="168">
        <f>'Supra A por pav'!K196</f>
        <v>0</v>
      </c>
    </row>
    <row r="195" spans="1:17" ht="15.75" thickBot="1" x14ac:dyDescent="0.3">
      <c r="A195" s="161"/>
      <c r="B195" s="157"/>
      <c r="C195" s="144"/>
      <c r="D195" s="144"/>
      <c r="E195" s="144" t="s">
        <v>55</v>
      </c>
      <c r="F195" s="145"/>
      <c r="G195" s="146">
        <f>'Supra A por pav'!M197</f>
        <v>0</v>
      </c>
      <c r="H195" s="147">
        <f>'Supra A por pav'!L197</f>
        <v>0</v>
      </c>
      <c r="I195" s="147">
        <f>'Supra A por pav'!C197</f>
        <v>0</v>
      </c>
      <c r="J195" s="147">
        <f>'Supra A por pav'!D197</f>
        <v>0</v>
      </c>
      <c r="K195" s="147">
        <f>'Supra A por pav'!E197</f>
        <v>0</v>
      </c>
      <c r="L195" s="147">
        <f>'Supra A por pav'!F197</f>
        <v>0</v>
      </c>
      <c r="M195" s="147">
        <f>'Supra A por pav'!G197</f>
        <v>0</v>
      </c>
      <c r="N195" s="147">
        <f>'Supra A por pav'!H197</f>
        <v>0</v>
      </c>
      <c r="O195" s="147">
        <f>'Supra A por pav'!I197</f>
        <v>0</v>
      </c>
      <c r="P195" s="165">
        <f>'Supra A por pav'!J197</f>
        <v>0</v>
      </c>
      <c r="Q195" s="169">
        <f>'Supra A por pav'!K197</f>
        <v>0</v>
      </c>
    </row>
    <row r="196" spans="1:17" ht="16.5" thickTop="1" thickBot="1" x14ac:dyDescent="0.3">
      <c r="A196" s="162" t="s">
        <v>253</v>
      </c>
      <c r="B196" s="158" t="s">
        <v>165</v>
      </c>
      <c r="C196" s="152" t="s">
        <v>89</v>
      </c>
      <c r="D196" s="152" t="s">
        <v>278</v>
      </c>
      <c r="E196" s="152"/>
      <c r="F196" s="153">
        <v>50</v>
      </c>
      <c r="G196" s="154">
        <f t="shared" ref="G196:Q196" si="31">SUM(G191:G195)</f>
        <v>168.4</v>
      </c>
      <c r="H196" s="155">
        <f t="shared" si="31"/>
        <v>12075.5</v>
      </c>
      <c r="I196" s="155">
        <f t="shared" si="31"/>
        <v>828</v>
      </c>
      <c r="J196" s="155">
        <f t="shared" si="31"/>
        <v>351</v>
      </c>
      <c r="K196" s="155">
        <f t="shared" si="31"/>
        <v>1387</v>
      </c>
      <c r="L196" s="155">
        <f t="shared" si="31"/>
        <v>1553</v>
      </c>
      <c r="M196" s="155">
        <f t="shared" si="31"/>
        <v>1769.5</v>
      </c>
      <c r="N196" s="155">
        <f t="shared" si="31"/>
        <v>2256</v>
      </c>
      <c r="O196" s="155">
        <f t="shared" si="31"/>
        <v>3798</v>
      </c>
      <c r="P196" s="166">
        <f t="shared" si="31"/>
        <v>133</v>
      </c>
      <c r="Q196" s="170">
        <f t="shared" si="31"/>
        <v>0</v>
      </c>
    </row>
    <row r="197" spans="1:17" ht="15.75" thickTop="1" x14ac:dyDescent="0.25">
      <c r="A197" s="163" t="s">
        <v>253</v>
      </c>
      <c r="B197" s="159" t="s">
        <v>165</v>
      </c>
      <c r="C197" s="148" t="s">
        <v>279</v>
      </c>
      <c r="D197" s="148" t="s">
        <v>279</v>
      </c>
      <c r="E197" s="148" t="s">
        <v>51</v>
      </c>
      <c r="F197" s="149">
        <v>50</v>
      </c>
      <c r="G197" s="150">
        <f>'Supra A por pav'!M199</f>
        <v>17.95</v>
      </c>
      <c r="H197" s="151">
        <f>'Supra A por pav'!L199</f>
        <v>1777</v>
      </c>
      <c r="I197" s="151">
        <f>'Supra A por pav'!C199</f>
        <v>0</v>
      </c>
      <c r="J197" s="151">
        <f>'Supra A por pav'!D199</f>
        <v>35</v>
      </c>
      <c r="K197" s="151">
        <f>'Supra A por pav'!E199</f>
        <v>10</v>
      </c>
      <c r="L197" s="151">
        <f>'Supra A por pav'!F199</f>
        <v>919</v>
      </c>
      <c r="M197" s="151">
        <f>'Supra A por pav'!G199</f>
        <v>50</v>
      </c>
      <c r="N197" s="151">
        <f>'Supra A por pav'!H199</f>
        <v>116</v>
      </c>
      <c r="O197" s="151">
        <f>'Supra A por pav'!I199</f>
        <v>647</v>
      </c>
      <c r="P197" s="167">
        <f>'Supra A por pav'!J199</f>
        <v>0</v>
      </c>
      <c r="Q197" s="171">
        <f>'Supra A por pav'!K199</f>
        <v>0</v>
      </c>
    </row>
    <row r="198" spans="1:17" x14ac:dyDescent="0.25">
      <c r="A198" s="160"/>
      <c r="B198" s="156"/>
      <c r="C198" s="140"/>
      <c r="D198" s="140"/>
      <c r="E198" s="140" t="s">
        <v>52</v>
      </c>
      <c r="F198" s="141"/>
      <c r="G198" s="142">
        <f>'Supra A por pav'!M200</f>
        <v>22.38</v>
      </c>
      <c r="H198" s="143">
        <f>'Supra A por pav'!L200</f>
        <v>2260</v>
      </c>
      <c r="I198" s="143">
        <f>'Supra A por pav'!C200</f>
        <v>0</v>
      </c>
      <c r="J198" s="143">
        <f>'Supra A por pav'!D200</f>
        <v>46</v>
      </c>
      <c r="K198" s="143">
        <f>'Supra A por pav'!E200</f>
        <v>297</v>
      </c>
      <c r="L198" s="143">
        <f>'Supra A por pav'!F200</f>
        <v>0</v>
      </c>
      <c r="M198" s="143">
        <f>'Supra A por pav'!G200</f>
        <v>0</v>
      </c>
      <c r="N198" s="143">
        <f>'Supra A por pav'!H200</f>
        <v>629</v>
      </c>
      <c r="O198" s="143">
        <f>'Supra A por pav'!I200</f>
        <v>1288</v>
      </c>
      <c r="P198" s="164">
        <f>'Supra A por pav'!J200</f>
        <v>0</v>
      </c>
      <c r="Q198" s="168">
        <f>'Supra A por pav'!K200</f>
        <v>0</v>
      </c>
    </row>
    <row r="199" spans="1:17" x14ac:dyDescent="0.25">
      <c r="A199" s="160"/>
      <c r="B199" s="156"/>
      <c r="C199" s="140"/>
      <c r="D199" s="140"/>
      <c r="E199" s="140" t="s">
        <v>53</v>
      </c>
      <c r="F199" s="141"/>
      <c r="G199" s="142">
        <f>'Supra A por pav'!M201</f>
        <v>23.5</v>
      </c>
      <c r="H199" s="143">
        <f>'Supra A por pav'!L201</f>
        <v>2159</v>
      </c>
      <c r="I199" s="143">
        <f>'Supra A por pav'!C201</f>
        <v>0</v>
      </c>
      <c r="J199" s="143">
        <f>'Supra A por pav'!D201</f>
        <v>0</v>
      </c>
      <c r="K199" s="143">
        <f>'Supra A por pav'!E201</f>
        <v>237</v>
      </c>
      <c r="L199" s="143">
        <f>'Supra A por pav'!F201</f>
        <v>1012</v>
      </c>
      <c r="M199" s="143">
        <f>'Supra A por pav'!G201</f>
        <v>910</v>
      </c>
      <c r="N199" s="143">
        <f>'Supra A por pav'!H201</f>
        <v>0</v>
      </c>
      <c r="O199" s="143">
        <f>'Supra A por pav'!I201</f>
        <v>0</v>
      </c>
      <c r="P199" s="164">
        <f>'Supra A por pav'!J201</f>
        <v>0</v>
      </c>
      <c r="Q199" s="168">
        <f>'Supra A por pav'!K201</f>
        <v>0</v>
      </c>
    </row>
    <row r="200" spans="1:17" x14ac:dyDescent="0.25">
      <c r="A200" s="160"/>
      <c r="B200" s="156"/>
      <c r="C200" s="140"/>
      <c r="D200" s="140"/>
      <c r="E200" s="140" t="s">
        <v>54</v>
      </c>
      <c r="F200" s="141"/>
      <c r="G200" s="142">
        <f>'Supra A por pav'!M202</f>
        <v>0</v>
      </c>
      <c r="H200" s="143">
        <f>'Supra A por pav'!L202</f>
        <v>0</v>
      </c>
      <c r="I200" s="143">
        <f>'Supra A por pav'!C202</f>
        <v>0</v>
      </c>
      <c r="J200" s="143">
        <f>'Supra A por pav'!D202</f>
        <v>0</v>
      </c>
      <c r="K200" s="143">
        <f>'Supra A por pav'!E202</f>
        <v>0</v>
      </c>
      <c r="L200" s="143">
        <f>'Supra A por pav'!F202</f>
        <v>0</v>
      </c>
      <c r="M200" s="143">
        <f>'Supra A por pav'!G202</f>
        <v>0</v>
      </c>
      <c r="N200" s="143">
        <f>'Supra A por pav'!H202</f>
        <v>0</v>
      </c>
      <c r="O200" s="143">
        <f>'Supra A por pav'!I202</f>
        <v>0</v>
      </c>
      <c r="P200" s="164">
        <f>'Supra A por pav'!J202</f>
        <v>0</v>
      </c>
      <c r="Q200" s="168">
        <f>'Supra A por pav'!K202</f>
        <v>0</v>
      </c>
    </row>
    <row r="201" spans="1:17" ht="15.75" thickBot="1" x14ac:dyDescent="0.3">
      <c r="A201" s="161"/>
      <c r="B201" s="157"/>
      <c r="C201" s="144"/>
      <c r="D201" s="144"/>
      <c r="E201" s="144" t="s">
        <v>55</v>
      </c>
      <c r="F201" s="145"/>
      <c r="G201" s="146">
        <f>'Supra A por pav'!M203</f>
        <v>0</v>
      </c>
      <c r="H201" s="147">
        <f>'Supra A por pav'!L203</f>
        <v>0</v>
      </c>
      <c r="I201" s="147">
        <f>'Supra A por pav'!C203</f>
        <v>0</v>
      </c>
      <c r="J201" s="147">
        <f>'Supra A por pav'!D203</f>
        <v>0</v>
      </c>
      <c r="K201" s="147">
        <f>'Supra A por pav'!E203</f>
        <v>0</v>
      </c>
      <c r="L201" s="147">
        <f>'Supra A por pav'!F203</f>
        <v>0</v>
      </c>
      <c r="M201" s="147">
        <f>'Supra A por pav'!G203</f>
        <v>0</v>
      </c>
      <c r="N201" s="147">
        <f>'Supra A por pav'!H203</f>
        <v>0</v>
      </c>
      <c r="O201" s="147">
        <f>'Supra A por pav'!I203</f>
        <v>0</v>
      </c>
      <c r="P201" s="165">
        <f>'Supra A por pav'!J203</f>
        <v>0</v>
      </c>
      <c r="Q201" s="169">
        <f>'Supra A por pav'!K203</f>
        <v>0</v>
      </c>
    </row>
    <row r="202" spans="1:17" ht="15.75" thickTop="1" x14ac:dyDescent="0.25">
      <c r="A202" s="172" t="s">
        <v>253</v>
      </c>
      <c r="B202" s="173" t="s">
        <v>165</v>
      </c>
      <c r="C202" s="174" t="s">
        <v>279</v>
      </c>
      <c r="D202" s="174" t="s">
        <v>280</v>
      </c>
      <c r="E202" s="174"/>
      <c r="F202" s="175">
        <v>50</v>
      </c>
      <c r="G202" s="176">
        <f t="shared" ref="G202:Q202" si="32">SUM(G197:G201)</f>
        <v>63.83</v>
      </c>
      <c r="H202" s="177">
        <f t="shared" si="32"/>
        <v>6196</v>
      </c>
      <c r="I202" s="177">
        <f t="shared" si="32"/>
        <v>0</v>
      </c>
      <c r="J202" s="177">
        <f t="shared" si="32"/>
        <v>81</v>
      </c>
      <c r="K202" s="177">
        <f t="shared" si="32"/>
        <v>544</v>
      </c>
      <c r="L202" s="177">
        <f t="shared" si="32"/>
        <v>1931</v>
      </c>
      <c r="M202" s="177">
        <f t="shared" si="32"/>
        <v>960</v>
      </c>
      <c r="N202" s="177">
        <f t="shared" si="32"/>
        <v>745</v>
      </c>
      <c r="O202" s="177">
        <f t="shared" si="32"/>
        <v>1935</v>
      </c>
      <c r="P202" s="178">
        <f t="shared" si="32"/>
        <v>0</v>
      </c>
      <c r="Q202" s="179">
        <f t="shared" si="32"/>
        <v>0</v>
      </c>
    </row>
    <row r="203" spans="1:17" x14ac:dyDescent="0.25">
      <c r="A203" s="160" t="s">
        <v>281</v>
      </c>
      <c r="B203" s="180" t="s">
        <v>165</v>
      </c>
      <c r="C203" s="140" t="s">
        <v>65</v>
      </c>
      <c r="D203" s="140" t="s">
        <v>65</v>
      </c>
      <c r="E203" s="140" t="s">
        <v>51</v>
      </c>
      <c r="F203" s="141">
        <v>50</v>
      </c>
      <c r="G203" s="142">
        <f>'Supra B por pav'!M49</f>
        <v>35.93</v>
      </c>
      <c r="H203" s="143">
        <f>'Supra B por pav'!L49</f>
        <v>5915</v>
      </c>
      <c r="I203" s="143">
        <f>'Supra B por pav'!C49</f>
        <v>0</v>
      </c>
      <c r="J203" s="143">
        <f>'Supra B por pav'!D49</f>
        <v>187</v>
      </c>
      <c r="K203" s="143">
        <f>'Supra B por pav'!E49</f>
        <v>463</v>
      </c>
      <c r="L203" s="143">
        <f>'Supra B por pav'!F49</f>
        <v>358</v>
      </c>
      <c r="M203" s="143">
        <f>'Supra B por pav'!G49</f>
        <v>333</v>
      </c>
      <c r="N203" s="143">
        <f>'Supra B por pav'!H49</f>
        <v>480</v>
      </c>
      <c r="O203" s="143">
        <f>'Supra B por pav'!I49</f>
        <v>722</v>
      </c>
      <c r="P203" s="164">
        <f>'Supra B por pav'!J49</f>
        <v>1167</v>
      </c>
      <c r="Q203" s="168">
        <f>'Supra B por pav'!K49</f>
        <v>2205</v>
      </c>
    </row>
    <row r="204" spans="1:17" x14ac:dyDescent="0.25">
      <c r="A204" s="160"/>
      <c r="B204" s="180"/>
      <c r="C204" s="140"/>
      <c r="D204" s="140"/>
      <c r="E204" s="140" t="s">
        <v>52</v>
      </c>
      <c r="F204" s="141"/>
      <c r="G204" s="142">
        <f>'Supra B por pav'!M50</f>
        <v>48.15</v>
      </c>
      <c r="H204" s="143">
        <f>'Supra B por pav'!L50</f>
        <v>10237</v>
      </c>
      <c r="I204" s="143">
        <f>'Supra B por pav'!C50</f>
        <v>0</v>
      </c>
      <c r="J204" s="143">
        <f>'Supra B por pav'!D50</f>
        <v>78</v>
      </c>
      <c r="K204" s="143">
        <f>'Supra B por pav'!E50</f>
        <v>510</v>
      </c>
      <c r="L204" s="143">
        <f>'Supra B por pav'!F50</f>
        <v>1076</v>
      </c>
      <c r="M204" s="143">
        <f>'Supra B por pav'!G50</f>
        <v>0</v>
      </c>
      <c r="N204" s="143">
        <f>'Supra B por pav'!H50</f>
        <v>38</v>
      </c>
      <c r="O204" s="143">
        <f>'Supra B por pav'!I50</f>
        <v>630</v>
      </c>
      <c r="P204" s="164">
        <f>'Supra B por pav'!J50</f>
        <v>5905</v>
      </c>
      <c r="Q204" s="168">
        <f>'Supra B por pav'!K50</f>
        <v>2000</v>
      </c>
    </row>
    <row r="205" spans="1:17" x14ac:dyDescent="0.25">
      <c r="A205" s="160"/>
      <c r="B205" s="180"/>
      <c r="C205" s="140"/>
      <c r="D205" s="140"/>
      <c r="E205" s="140" t="s">
        <v>53</v>
      </c>
      <c r="F205" s="141"/>
      <c r="G205" s="142">
        <f>'Supra B por pav'!M51</f>
        <v>101.5</v>
      </c>
      <c r="H205" s="143">
        <f>'Supra B por pav'!L51</f>
        <v>11577</v>
      </c>
      <c r="I205" s="143">
        <f>'Supra B por pav'!C51</f>
        <v>937</v>
      </c>
      <c r="J205" s="143">
        <f>'Supra B por pav'!D51</f>
        <v>0</v>
      </c>
      <c r="K205" s="143">
        <f>'Supra B por pav'!E51</f>
        <v>57</v>
      </c>
      <c r="L205" s="143">
        <f>'Supra B por pav'!F51</f>
        <v>1139</v>
      </c>
      <c r="M205" s="143">
        <f>'Supra B por pav'!G51</f>
        <v>2154</v>
      </c>
      <c r="N205" s="143">
        <f>'Supra B por pav'!H51</f>
        <v>2669</v>
      </c>
      <c r="O205" s="143">
        <f>'Supra B por pav'!I51</f>
        <v>4499</v>
      </c>
      <c r="P205" s="164">
        <f>'Supra B por pav'!J51</f>
        <v>122</v>
      </c>
      <c r="Q205" s="168">
        <f>'Supra B por pav'!K51</f>
        <v>0</v>
      </c>
    </row>
    <row r="206" spans="1:17" x14ac:dyDescent="0.25">
      <c r="A206" s="160"/>
      <c r="B206" s="180"/>
      <c r="C206" s="140"/>
      <c r="D206" s="140"/>
      <c r="E206" s="140" t="s">
        <v>54</v>
      </c>
      <c r="F206" s="141"/>
      <c r="G206" s="142">
        <f>'Supra B por pav'!M52</f>
        <v>1.673</v>
      </c>
      <c r="H206" s="143">
        <f>'Supra B por pav'!L52</f>
        <v>136</v>
      </c>
      <c r="I206" s="143">
        <f>'Supra B por pav'!C52</f>
        <v>0</v>
      </c>
      <c r="J206" s="143">
        <f>'Supra B por pav'!D52</f>
        <v>0</v>
      </c>
      <c r="K206" s="143">
        <f>'Supra B por pav'!E52</f>
        <v>0</v>
      </c>
      <c r="L206" s="143">
        <f>'Supra B por pav'!F52</f>
        <v>16</v>
      </c>
      <c r="M206" s="143">
        <f>'Supra B por pav'!G52</f>
        <v>43</v>
      </c>
      <c r="N206" s="143">
        <f>'Supra B por pav'!H52</f>
        <v>77</v>
      </c>
      <c r="O206" s="143">
        <f>'Supra B por pav'!I52</f>
        <v>0</v>
      </c>
      <c r="P206" s="164">
        <f>'Supra B por pav'!J52</f>
        <v>0</v>
      </c>
      <c r="Q206" s="168">
        <f>'Supra B por pav'!K52</f>
        <v>0</v>
      </c>
    </row>
    <row r="207" spans="1:17" ht="15.75" thickBot="1" x14ac:dyDescent="0.3">
      <c r="A207" s="161"/>
      <c r="B207" s="181"/>
      <c r="C207" s="144"/>
      <c r="D207" s="144"/>
      <c r="E207" s="144" t="s">
        <v>55</v>
      </c>
      <c r="F207" s="145"/>
      <c r="G207" s="146">
        <f>'Supra B por pav'!M53</f>
        <v>0</v>
      </c>
      <c r="H207" s="147">
        <f>'Supra B por pav'!L53</f>
        <v>0</v>
      </c>
      <c r="I207" s="147">
        <f>'Supra B por pav'!C53</f>
        <v>0</v>
      </c>
      <c r="J207" s="147">
        <f>'Supra B por pav'!D53</f>
        <v>0</v>
      </c>
      <c r="K207" s="147">
        <f>'Supra B por pav'!E53</f>
        <v>0</v>
      </c>
      <c r="L207" s="147">
        <f>'Supra B por pav'!F53</f>
        <v>0</v>
      </c>
      <c r="M207" s="147">
        <f>'Supra B por pav'!G53</f>
        <v>0</v>
      </c>
      <c r="N207" s="147">
        <f>'Supra B por pav'!H53</f>
        <v>0</v>
      </c>
      <c r="O207" s="147">
        <f>'Supra B por pav'!I53</f>
        <v>0</v>
      </c>
      <c r="P207" s="165">
        <f>'Supra B por pav'!J53</f>
        <v>0</v>
      </c>
      <c r="Q207" s="169">
        <f>'Supra B por pav'!K53</f>
        <v>0</v>
      </c>
    </row>
    <row r="208" spans="1:17" ht="16.5" thickTop="1" thickBot="1" x14ac:dyDescent="0.3">
      <c r="A208" s="162" t="s">
        <v>281</v>
      </c>
      <c r="B208" s="158" t="s">
        <v>165</v>
      </c>
      <c r="C208" s="152" t="s">
        <v>65</v>
      </c>
      <c r="D208" s="152" t="s">
        <v>254</v>
      </c>
      <c r="E208" s="152"/>
      <c r="F208" s="153">
        <v>50</v>
      </c>
      <c r="G208" s="154">
        <f t="shared" ref="G208:Q208" si="33">SUM(G203:G207)</f>
        <v>187.25299999999999</v>
      </c>
      <c r="H208" s="155">
        <f t="shared" si="33"/>
        <v>27865</v>
      </c>
      <c r="I208" s="155">
        <f t="shared" si="33"/>
        <v>937</v>
      </c>
      <c r="J208" s="155">
        <f t="shared" si="33"/>
        <v>265</v>
      </c>
      <c r="K208" s="155">
        <f t="shared" si="33"/>
        <v>1030</v>
      </c>
      <c r="L208" s="155">
        <f t="shared" si="33"/>
        <v>2589</v>
      </c>
      <c r="M208" s="155">
        <f t="shared" si="33"/>
        <v>2530</v>
      </c>
      <c r="N208" s="155">
        <f t="shared" si="33"/>
        <v>3264</v>
      </c>
      <c r="O208" s="155">
        <f t="shared" si="33"/>
        <v>5851</v>
      </c>
      <c r="P208" s="166">
        <f t="shared" si="33"/>
        <v>7194</v>
      </c>
      <c r="Q208" s="170">
        <f t="shared" si="33"/>
        <v>4205</v>
      </c>
    </row>
    <row r="209" spans="1:17" ht="15.75" thickTop="1" x14ac:dyDescent="0.25">
      <c r="A209" s="163" t="s">
        <v>281</v>
      </c>
      <c r="B209" s="182" t="s">
        <v>165</v>
      </c>
      <c r="C209" s="148" t="s">
        <v>66</v>
      </c>
      <c r="D209" s="148" t="s">
        <v>66</v>
      </c>
      <c r="E209" s="148" t="s">
        <v>51</v>
      </c>
      <c r="F209" s="149">
        <v>50</v>
      </c>
      <c r="G209" s="150">
        <f>'Supra B por pav'!M55</f>
        <v>34.85</v>
      </c>
      <c r="H209" s="151">
        <f>'Supra B por pav'!L55</f>
        <v>5733</v>
      </c>
      <c r="I209" s="151">
        <f>'Supra B por pav'!C55</f>
        <v>0</v>
      </c>
      <c r="J209" s="151">
        <f>'Supra B por pav'!D55</f>
        <v>168</v>
      </c>
      <c r="K209" s="151">
        <f>'Supra B por pav'!E55</f>
        <v>487</v>
      </c>
      <c r="L209" s="151">
        <f>'Supra B por pav'!F55</f>
        <v>343</v>
      </c>
      <c r="M209" s="151">
        <f>'Supra B por pav'!G55</f>
        <v>261</v>
      </c>
      <c r="N209" s="151">
        <f>'Supra B por pav'!H55</f>
        <v>418</v>
      </c>
      <c r="O209" s="151">
        <f>'Supra B por pav'!I55</f>
        <v>596</v>
      </c>
      <c r="P209" s="167">
        <f>'Supra B por pav'!J55</f>
        <v>1471</v>
      </c>
      <c r="Q209" s="171">
        <f>'Supra B por pav'!K55</f>
        <v>1989</v>
      </c>
    </row>
    <row r="210" spans="1:17" x14ac:dyDescent="0.25">
      <c r="A210" s="160"/>
      <c r="B210" s="180"/>
      <c r="C210" s="140"/>
      <c r="D210" s="140"/>
      <c r="E210" s="140" t="s">
        <v>52</v>
      </c>
      <c r="F210" s="141"/>
      <c r="G210" s="142">
        <f>'Supra B por pav'!M56</f>
        <v>40.42</v>
      </c>
      <c r="H210" s="143">
        <f>'Supra B por pav'!L56</f>
        <v>6656</v>
      </c>
      <c r="I210" s="143">
        <f>'Supra B por pav'!C56</f>
        <v>0</v>
      </c>
      <c r="J210" s="143">
        <f>'Supra B por pav'!D56</f>
        <v>52</v>
      </c>
      <c r="K210" s="143">
        <f>'Supra B por pav'!E56</f>
        <v>980</v>
      </c>
      <c r="L210" s="143">
        <f>'Supra B por pav'!F56</f>
        <v>106</v>
      </c>
      <c r="M210" s="143">
        <f>'Supra B por pav'!G56</f>
        <v>0</v>
      </c>
      <c r="N210" s="143">
        <f>'Supra B por pav'!H56</f>
        <v>0</v>
      </c>
      <c r="O210" s="143">
        <f>'Supra B por pav'!I56</f>
        <v>2488</v>
      </c>
      <c r="P210" s="164">
        <f>'Supra B por pav'!J56</f>
        <v>1519</v>
      </c>
      <c r="Q210" s="168">
        <f>'Supra B por pav'!K56</f>
        <v>1511</v>
      </c>
    </row>
    <row r="211" spans="1:17" x14ac:dyDescent="0.25">
      <c r="A211" s="160"/>
      <c r="B211" s="180"/>
      <c r="C211" s="140"/>
      <c r="D211" s="140"/>
      <c r="E211" s="140" t="s">
        <v>53</v>
      </c>
      <c r="F211" s="141"/>
      <c r="G211" s="142">
        <f>'Supra B por pav'!M57</f>
        <v>95</v>
      </c>
      <c r="H211" s="143">
        <f>'Supra B por pav'!L57</f>
        <v>10765</v>
      </c>
      <c r="I211" s="143">
        <f>'Supra B por pav'!C57</f>
        <v>872</v>
      </c>
      <c r="J211" s="143">
        <f>'Supra B por pav'!D57</f>
        <v>0</v>
      </c>
      <c r="K211" s="143">
        <f>'Supra B por pav'!E57</f>
        <v>56</v>
      </c>
      <c r="L211" s="143">
        <f>'Supra B por pav'!F57</f>
        <v>1241</v>
      </c>
      <c r="M211" s="143">
        <f>'Supra B por pav'!G57</f>
        <v>1735</v>
      </c>
      <c r="N211" s="143">
        <f>'Supra B por pav'!H57</f>
        <v>2836</v>
      </c>
      <c r="O211" s="143">
        <f>'Supra B por pav'!I57</f>
        <v>4025</v>
      </c>
      <c r="P211" s="164">
        <f>'Supra B por pav'!J57</f>
        <v>0</v>
      </c>
      <c r="Q211" s="168">
        <f>'Supra B por pav'!K57</f>
        <v>0</v>
      </c>
    </row>
    <row r="212" spans="1:17" x14ac:dyDescent="0.25">
      <c r="A212" s="160"/>
      <c r="B212" s="180"/>
      <c r="C212" s="140"/>
      <c r="D212" s="140"/>
      <c r="E212" s="140" t="s">
        <v>54</v>
      </c>
      <c r="F212" s="141"/>
      <c r="G212" s="142">
        <f>'Supra B por pav'!M58</f>
        <v>1.6439999999999999</v>
      </c>
      <c r="H212" s="143">
        <f>'Supra B por pav'!L58</f>
        <v>141</v>
      </c>
      <c r="I212" s="143">
        <f>'Supra B por pav'!C58</f>
        <v>0</v>
      </c>
      <c r="J212" s="143">
        <f>'Supra B por pav'!D58</f>
        <v>0</v>
      </c>
      <c r="K212" s="143">
        <f>'Supra B por pav'!E58</f>
        <v>0</v>
      </c>
      <c r="L212" s="143">
        <f>'Supra B por pav'!F58</f>
        <v>8</v>
      </c>
      <c r="M212" s="143">
        <f>'Supra B por pav'!G58</f>
        <v>51</v>
      </c>
      <c r="N212" s="143">
        <f>'Supra B por pav'!H58</f>
        <v>82</v>
      </c>
      <c r="O212" s="143">
        <f>'Supra B por pav'!I58</f>
        <v>0</v>
      </c>
      <c r="P212" s="164">
        <f>'Supra B por pav'!J58</f>
        <v>0</v>
      </c>
      <c r="Q212" s="168">
        <f>'Supra B por pav'!K58</f>
        <v>0</v>
      </c>
    </row>
    <row r="213" spans="1:17" ht="15.75" thickBot="1" x14ac:dyDescent="0.3">
      <c r="A213" s="161"/>
      <c r="B213" s="181"/>
      <c r="C213" s="144"/>
      <c r="D213" s="144"/>
      <c r="E213" s="144" t="s">
        <v>55</v>
      </c>
      <c r="F213" s="145"/>
      <c r="G213" s="146">
        <f>'Supra B por pav'!M59</f>
        <v>0</v>
      </c>
      <c r="H213" s="147">
        <f>'Supra B por pav'!L59</f>
        <v>0</v>
      </c>
      <c r="I213" s="147">
        <f>'Supra B por pav'!C59</f>
        <v>0</v>
      </c>
      <c r="J213" s="147">
        <f>'Supra B por pav'!D59</f>
        <v>0</v>
      </c>
      <c r="K213" s="147">
        <f>'Supra B por pav'!E59</f>
        <v>0</v>
      </c>
      <c r="L213" s="147">
        <f>'Supra B por pav'!F59</f>
        <v>0</v>
      </c>
      <c r="M213" s="147">
        <f>'Supra B por pav'!G59</f>
        <v>0</v>
      </c>
      <c r="N213" s="147">
        <f>'Supra B por pav'!H59</f>
        <v>0</v>
      </c>
      <c r="O213" s="147">
        <f>'Supra B por pav'!I59</f>
        <v>0</v>
      </c>
      <c r="P213" s="165">
        <f>'Supra B por pav'!J59</f>
        <v>0</v>
      </c>
      <c r="Q213" s="169">
        <f>'Supra B por pav'!K59</f>
        <v>0</v>
      </c>
    </row>
    <row r="214" spans="1:17" ht="16.5" thickTop="1" thickBot="1" x14ac:dyDescent="0.3">
      <c r="A214" s="162" t="s">
        <v>281</v>
      </c>
      <c r="B214" s="158" t="s">
        <v>165</v>
      </c>
      <c r="C214" s="152" t="s">
        <v>66</v>
      </c>
      <c r="D214" s="152" t="s">
        <v>255</v>
      </c>
      <c r="E214" s="152"/>
      <c r="F214" s="153">
        <v>50</v>
      </c>
      <c r="G214" s="154">
        <f t="shared" ref="G214:Q214" si="34">SUM(G209:G213)</f>
        <v>171.91400000000002</v>
      </c>
      <c r="H214" s="155">
        <f t="shared" si="34"/>
        <v>23295</v>
      </c>
      <c r="I214" s="155">
        <f t="shared" si="34"/>
        <v>872</v>
      </c>
      <c r="J214" s="155">
        <f t="shared" si="34"/>
        <v>220</v>
      </c>
      <c r="K214" s="155">
        <f t="shared" si="34"/>
        <v>1523</v>
      </c>
      <c r="L214" s="155">
        <f t="shared" si="34"/>
        <v>1698</v>
      </c>
      <c r="M214" s="155">
        <f t="shared" si="34"/>
        <v>2047</v>
      </c>
      <c r="N214" s="155">
        <f t="shared" si="34"/>
        <v>3336</v>
      </c>
      <c r="O214" s="155">
        <f t="shared" si="34"/>
        <v>7109</v>
      </c>
      <c r="P214" s="166">
        <f t="shared" si="34"/>
        <v>2990</v>
      </c>
      <c r="Q214" s="170">
        <f t="shared" si="34"/>
        <v>3500</v>
      </c>
    </row>
    <row r="215" spans="1:17" ht="15.75" thickTop="1" x14ac:dyDescent="0.25">
      <c r="A215" s="163" t="s">
        <v>281</v>
      </c>
      <c r="B215" s="182" t="s">
        <v>165</v>
      </c>
      <c r="C215" s="148" t="s">
        <v>67</v>
      </c>
      <c r="D215" s="148" t="s">
        <v>67</v>
      </c>
      <c r="E215" s="148" t="s">
        <v>51</v>
      </c>
      <c r="F215" s="149">
        <v>50</v>
      </c>
      <c r="G215" s="150">
        <f>'Supra B por pav'!M61</f>
        <v>34.85</v>
      </c>
      <c r="H215" s="151">
        <f>'Supra B por pav'!L61</f>
        <v>5592</v>
      </c>
      <c r="I215" s="151">
        <f>'Supra B por pav'!C61</f>
        <v>0</v>
      </c>
      <c r="J215" s="151">
        <f>'Supra B por pav'!D61</f>
        <v>167</v>
      </c>
      <c r="K215" s="151">
        <f>'Supra B por pav'!E61</f>
        <v>481</v>
      </c>
      <c r="L215" s="151">
        <f>'Supra B por pav'!F61</f>
        <v>343</v>
      </c>
      <c r="M215" s="151">
        <f>'Supra B por pav'!G61</f>
        <v>257</v>
      </c>
      <c r="N215" s="151">
        <f>'Supra B por pav'!H61</f>
        <v>416</v>
      </c>
      <c r="O215" s="151">
        <f>'Supra B por pav'!I61</f>
        <v>580</v>
      </c>
      <c r="P215" s="167">
        <f>'Supra B por pav'!J61</f>
        <v>1402</v>
      </c>
      <c r="Q215" s="171">
        <f>'Supra B por pav'!K61</f>
        <v>1946</v>
      </c>
    </row>
    <row r="216" spans="1:17" x14ac:dyDescent="0.25">
      <c r="A216" s="160"/>
      <c r="B216" s="180"/>
      <c r="C216" s="140"/>
      <c r="D216" s="140"/>
      <c r="E216" s="140" t="s">
        <v>52</v>
      </c>
      <c r="F216" s="141"/>
      <c r="G216" s="142">
        <f>'Supra B por pav'!M62</f>
        <v>40.42</v>
      </c>
      <c r="H216" s="143">
        <f>'Supra B por pav'!L62</f>
        <v>5611</v>
      </c>
      <c r="I216" s="143">
        <f>'Supra B por pav'!C62</f>
        <v>0</v>
      </c>
      <c r="J216" s="143">
        <f>'Supra B por pav'!D62</f>
        <v>52</v>
      </c>
      <c r="K216" s="143">
        <f>'Supra B por pav'!E62</f>
        <v>979</v>
      </c>
      <c r="L216" s="143">
        <f>'Supra B por pav'!F62</f>
        <v>106</v>
      </c>
      <c r="M216" s="143">
        <f>'Supra B por pav'!G62</f>
        <v>0</v>
      </c>
      <c r="N216" s="143">
        <f>'Supra B por pav'!H62</f>
        <v>0</v>
      </c>
      <c r="O216" s="143">
        <f>'Supra B por pav'!I62</f>
        <v>2627</v>
      </c>
      <c r="P216" s="164">
        <f>'Supra B por pav'!J62</f>
        <v>1559</v>
      </c>
      <c r="Q216" s="168">
        <f>'Supra B por pav'!K62</f>
        <v>288</v>
      </c>
    </row>
    <row r="217" spans="1:17" x14ac:dyDescent="0.25">
      <c r="A217" s="160"/>
      <c r="B217" s="180"/>
      <c r="C217" s="140"/>
      <c r="D217" s="140"/>
      <c r="E217" s="140" t="s">
        <v>53</v>
      </c>
      <c r="F217" s="141"/>
      <c r="G217" s="142">
        <f>'Supra B por pav'!M63</f>
        <v>95</v>
      </c>
      <c r="H217" s="143">
        <f>'Supra B por pav'!L63</f>
        <v>10752</v>
      </c>
      <c r="I217" s="143">
        <f>'Supra B por pav'!C63</f>
        <v>872</v>
      </c>
      <c r="J217" s="143">
        <f>'Supra B por pav'!D63</f>
        <v>0</v>
      </c>
      <c r="K217" s="143">
        <f>'Supra B por pav'!E63</f>
        <v>59</v>
      </c>
      <c r="L217" s="143">
        <f>'Supra B por pav'!F63</f>
        <v>1235</v>
      </c>
      <c r="M217" s="143">
        <f>'Supra B por pav'!G63</f>
        <v>1753</v>
      </c>
      <c r="N217" s="143">
        <f>'Supra B por pav'!H63</f>
        <v>2836</v>
      </c>
      <c r="O217" s="143">
        <f>'Supra B por pav'!I63</f>
        <v>3997</v>
      </c>
      <c r="P217" s="164">
        <f>'Supra B por pav'!J63</f>
        <v>0</v>
      </c>
      <c r="Q217" s="168">
        <f>'Supra B por pav'!K63</f>
        <v>0</v>
      </c>
    </row>
    <row r="218" spans="1:17" x14ac:dyDescent="0.25">
      <c r="A218" s="160"/>
      <c r="B218" s="180"/>
      <c r="C218" s="140"/>
      <c r="D218" s="140"/>
      <c r="E218" s="140" t="s">
        <v>54</v>
      </c>
      <c r="F218" s="141"/>
      <c r="G218" s="142">
        <f>'Supra B por pav'!M64</f>
        <v>1.625</v>
      </c>
      <c r="H218" s="143">
        <f>'Supra B por pav'!L64</f>
        <v>129</v>
      </c>
      <c r="I218" s="143">
        <f>'Supra B por pav'!C64</f>
        <v>0</v>
      </c>
      <c r="J218" s="143">
        <f>'Supra B por pav'!D64</f>
        <v>0</v>
      </c>
      <c r="K218" s="143">
        <f>'Supra B por pav'!E64</f>
        <v>0</v>
      </c>
      <c r="L218" s="143">
        <f>'Supra B por pav'!F64</f>
        <v>20</v>
      </c>
      <c r="M218" s="143">
        <f>'Supra B por pav'!G64</f>
        <v>109</v>
      </c>
      <c r="N218" s="143">
        <f>'Supra B por pav'!H64</f>
        <v>0</v>
      </c>
      <c r="O218" s="143">
        <f>'Supra B por pav'!I64</f>
        <v>0</v>
      </c>
      <c r="P218" s="164">
        <f>'Supra B por pav'!J64</f>
        <v>0</v>
      </c>
      <c r="Q218" s="168">
        <f>'Supra B por pav'!K64</f>
        <v>0</v>
      </c>
    </row>
    <row r="219" spans="1:17" ht="15.75" thickBot="1" x14ac:dyDescent="0.3">
      <c r="A219" s="161"/>
      <c r="B219" s="181"/>
      <c r="C219" s="144"/>
      <c r="D219" s="144"/>
      <c r="E219" s="144" t="s">
        <v>55</v>
      </c>
      <c r="F219" s="145"/>
      <c r="G219" s="146">
        <f>'Supra B por pav'!M65</f>
        <v>0</v>
      </c>
      <c r="H219" s="147">
        <f>'Supra B por pav'!L65</f>
        <v>0</v>
      </c>
      <c r="I219" s="147">
        <f>'Supra B por pav'!C65</f>
        <v>0</v>
      </c>
      <c r="J219" s="147">
        <f>'Supra B por pav'!D65</f>
        <v>0</v>
      </c>
      <c r="K219" s="147">
        <f>'Supra B por pav'!E65</f>
        <v>0</v>
      </c>
      <c r="L219" s="147">
        <f>'Supra B por pav'!F65</f>
        <v>0</v>
      </c>
      <c r="M219" s="147">
        <f>'Supra B por pav'!G65</f>
        <v>0</v>
      </c>
      <c r="N219" s="147">
        <f>'Supra B por pav'!H65</f>
        <v>0</v>
      </c>
      <c r="O219" s="147">
        <f>'Supra B por pav'!I65</f>
        <v>0</v>
      </c>
      <c r="P219" s="165">
        <f>'Supra B por pav'!J65</f>
        <v>0</v>
      </c>
      <c r="Q219" s="169">
        <f>'Supra B por pav'!K65</f>
        <v>0</v>
      </c>
    </row>
    <row r="220" spans="1:17" ht="16.5" thickTop="1" thickBot="1" x14ac:dyDescent="0.3">
      <c r="A220" s="162" t="s">
        <v>281</v>
      </c>
      <c r="B220" s="158" t="s">
        <v>165</v>
      </c>
      <c r="C220" s="152" t="s">
        <v>67</v>
      </c>
      <c r="D220" s="152" t="s">
        <v>256</v>
      </c>
      <c r="E220" s="152"/>
      <c r="F220" s="153">
        <v>50</v>
      </c>
      <c r="G220" s="154">
        <f t="shared" ref="G220:Q220" si="35">SUM(G215:G219)</f>
        <v>171.89500000000001</v>
      </c>
      <c r="H220" s="155">
        <f t="shared" si="35"/>
        <v>22084</v>
      </c>
      <c r="I220" s="155">
        <f t="shared" si="35"/>
        <v>872</v>
      </c>
      <c r="J220" s="155">
        <f t="shared" si="35"/>
        <v>219</v>
      </c>
      <c r="K220" s="155">
        <f t="shared" si="35"/>
        <v>1519</v>
      </c>
      <c r="L220" s="155">
        <f t="shared" si="35"/>
        <v>1704</v>
      </c>
      <c r="M220" s="155">
        <f t="shared" si="35"/>
        <v>2119</v>
      </c>
      <c r="N220" s="155">
        <f t="shared" si="35"/>
        <v>3252</v>
      </c>
      <c r="O220" s="155">
        <f t="shared" si="35"/>
        <v>7204</v>
      </c>
      <c r="P220" s="166">
        <f t="shared" si="35"/>
        <v>2961</v>
      </c>
      <c r="Q220" s="170">
        <f t="shared" si="35"/>
        <v>2234</v>
      </c>
    </row>
    <row r="221" spans="1:17" ht="15.75" thickTop="1" x14ac:dyDescent="0.25">
      <c r="A221" s="163" t="s">
        <v>281</v>
      </c>
      <c r="B221" s="182" t="s">
        <v>165</v>
      </c>
      <c r="C221" s="148" t="s">
        <v>68</v>
      </c>
      <c r="D221" s="148" t="s">
        <v>68</v>
      </c>
      <c r="E221" s="148" t="s">
        <v>51</v>
      </c>
      <c r="F221" s="149">
        <v>50</v>
      </c>
      <c r="G221" s="150">
        <f>'Supra B por pav'!M67</f>
        <v>34.85</v>
      </c>
      <c r="H221" s="151">
        <f>'Supra B por pav'!L67</f>
        <v>5592</v>
      </c>
      <c r="I221" s="151">
        <f>'Supra B por pav'!C67</f>
        <v>0</v>
      </c>
      <c r="J221" s="151">
        <f>'Supra B por pav'!D67</f>
        <v>167</v>
      </c>
      <c r="K221" s="151">
        <f>'Supra B por pav'!E67</f>
        <v>481</v>
      </c>
      <c r="L221" s="151">
        <f>'Supra B por pav'!F67</f>
        <v>343</v>
      </c>
      <c r="M221" s="151">
        <f>'Supra B por pav'!G67</f>
        <v>257</v>
      </c>
      <c r="N221" s="151">
        <f>'Supra B por pav'!H67</f>
        <v>416</v>
      </c>
      <c r="O221" s="151">
        <f>'Supra B por pav'!I67</f>
        <v>580</v>
      </c>
      <c r="P221" s="167">
        <f>'Supra B por pav'!J67</f>
        <v>1402</v>
      </c>
      <c r="Q221" s="171">
        <f>'Supra B por pav'!K67</f>
        <v>1946</v>
      </c>
    </row>
    <row r="222" spans="1:17" x14ac:dyDescent="0.25">
      <c r="A222" s="160"/>
      <c r="B222" s="180"/>
      <c r="C222" s="140"/>
      <c r="D222" s="140"/>
      <c r="E222" s="140" t="s">
        <v>52</v>
      </c>
      <c r="F222" s="141"/>
      <c r="G222" s="142">
        <f>'Supra B por pav'!M68</f>
        <v>40.42</v>
      </c>
      <c r="H222" s="143">
        <f>'Supra B por pav'!L68</f>
        <v>5976</v>
      </c>
      <c r="I222" s="143">
        <f>'Supra B por pav'!C68</f>
        <v>0</v>
      </c>
      <c r="J222" s="143">
        <f>'Supra B por pav'!D68</f>
        <v>74</v>
      </c>
      <c r="K222" s="143">
        <f>'Supra B por pav'!E68</f>
        <v>944</v>
      </c>
      <c r="L222" s="143">
        <f>'Supra B por pav'!F68</f>
        <v>106</v>
      </c>
      <c r="M222" s="143">
        <f>'Supra B por pav'!G68</f>
        <v>0</v>
      </c>
      <c r="N222" s="143">
        <f>'Supra B por pav'!H68</f>
        <v>0</v>
      </c>
      <c r="O222" s="143">
        <f>'Supra B por pav'!I68</f>
        <v>2551</v>
      </c>
      <c r="P222" s="164">
        <f>'Supra B por pav'!J68</f>
        <v>2301</v>
      </c>
      <c r="Q222" s="168">
        <f>'Supra B por pav'!K68</f>
        <v>0</v>
      </c>
    </row>
    <row r="223" spans="1:17" x14ac:dyDescent="0.25">
      <c r="A223" s="160"/>
      <c r="B223" s="180"/>
      <c r="C223" s="140"/>
      <c r="D223" s="140"/>
      <c r="E223" s="140" t="s">
        <v>53</v>
      </c>
      <c r="F223" s="141"/>
      <c r="G223" s="142">
        <f>'Supra B por pav'!M69</f>
        <v>95</v>
      </c>
      <c r="H223" s="143">
        <f>'Supra B por pav'!L69</f>
        <v>10765</v>
      </c>
      <c r="I223" s="143">
        <f>'Supra B por pav'!C69</f>
        <v>872</v>
      </c>
      <c r="J223" s="143">
        <f>'Supra B por pav'!D69</f>
        <v>0</v>
      </c>
      <c r="K223" s="143">
        <f>'Supra B por pav'!E69</f>
        <v>56</v>
      </c>
      <c r="L223" s="143">
        <f>'Supra B por pav'!F69</f>
        <v>1241</v>
      </c>
      <c r="M223" s="143">
        <f>'Supra B por pav'!G69</f>
        <v>1735</v>
      </c>
      <c r="N223" s="143">
        <f>'Supra B por pav'!H69</f>
        <v>2836</v>
      </c>
      <c r="O223" s="143">
        <f>'Supra B por pav'!I69</f>
        <v>4025</v>
      </c>
      <c r="P223" s="164">
        <f>'Supra B por pav'!J69</f>
        <v>0</v>
      </c>
      <c r="Q223" s="168">
        <f>'Supra B por pav'!K69</f>
        <v>0</v>
      </c>
    </row>
    <row r="224" spans="1:17" x14ac:dyDescent="0.25">
      <c r="A224" s="160"/>
      <c r="B224" s="180"/>
      <c r="C224" s="140"/>
      <c r="D224" s="140"/>
      <c r="E224" s="140" t="s">
        <v>54</v>
      </c>
      <c r="F224" s="141"/>
      <c r="G224" s="142">
        <f>'Supra B por pav'!M70</f>
        <v>1.625</v>
      </c>
      <c r="H224" s="143">
        <f>'Supra B por pav'!L70</f>
        <v>129</v>
      </c>
      <c r="I224" s="143">
        <f>'Supra B por pav'!C70</f>
        <v>0</v>
      </c>
      <c r="J224" s="143">
        <f>'Supra B por pav'!D70</f>
        <v>0</v>
      </c>
      <c r="K224" s="143">
        <f>'Supra B por pav'!E70</f>
        <v>0</v>
      </c>
      <c r="L224" s="143">
        <f>'Supra B por pav'!F70</f>
        <v>20</v>
      </c>
      <c r="M224" s="143">
        <f>'Supra B por pav'!G70</f>
        <v>109</v>
      </c>
      <c r="N224" s="143">
        <f>'Supra B por pav'!H70</f>
        <v>0</v>
      </c>
      <c r="O224" s="143">
        <f>'Supra B por pav'!I70</f>
        <v>0</v>
      </c>
      <c r="P224" s="164">
        <f>'Supra B por pav'!J70</f>
        <v>0</v>
      </c>
      <c r="Q224" s="168">
        <f>'Supra B por pav'!K70</f>
        <v>0</v>
      </c>
    </row>
    <row r="225" spans="1:17" ht="15.75" thickBot="1" x14ac:dyDescent="0.3">
      <c r="A225" s="161"/>
      <c r="B225" s="181"/>
      <c r="C225" s="144"/>
      <c r="D225" s="144"/>
      <c r="E225" s="144" t="s">
        <v>55</v>
      </c>
      <c r="F225" s="145"/>
      <c r="G225" s="146">
        <f>'Supra B por pav'!M71</f>
        <v>0</v>
      </c>
      <c r="H225" s="147">
        <f>'Supra B por pav'!L71</f>
        <v>0</v>
      </c>
      <c r="I225" s="147">
        <f>'Supra B por pav'!C71</f>
        <v>0</v>
      </c>
      <c r="J225" s="147">
        <f>'Supra B por pav'!D71</f>
        <v>0</v>
      </c>
      <c r="K225" s="147">
        <f>'Supra B por pav'!E71</f>
        <v>0</v>
      </c>
      <c r="L225" s="147">
        <f>'Supra B por pav'!F71</f>
        <v>0</v>
      </c>
      <c r="M225" s="147">
        <f>'Supra B por pav'!G71</f>
        <v>0</v>
      </c>
      <c r="N225" s="147">
        <f>'Supra B por pav'!H71</f>
        <v>0</v>
      </c>
      <c r="O225" s="147">
        <f>'Supra B por pav'!I71</f>
        <v>0</v>
      </c>
      <c r="P225" s="165">
        <f>'Supra B por pav'!J71</f>
        <v>0</v>
      </c>
      <c r="Q225" s="169">
        <f>'Supra B por pav'!K71</f>
        <v>0</v>
      </c>
    </row>
    <row r="226" spans="1:17" ht="16.5" thickTop="1" thickBot="1" x14ac:dyDescent="0.3">
      <c r="A226" s="162" t="s">
        <v>281</v>
      </c>
      <c r="B226" s="158" t="s">
        <v>165</v>
      </c>
      <c r="C226" s="152" t="s">
        <v>68</v>
      </c>
      <c r="D226" s="152" t="s">
        <v>257</v>
      </c>
      <c r="E226" s="152"/>
      <c r="F226" s="153">
        <v>50</v>
      </c>
      <c r="G226" s="154">
        <f t="shared" ref="G226:Q226" si="36">SUM(G221:G225)</f>
        <v>171.89500000000001</v>
      </c>
      <c r="H226" s="155">
        <f t="shared" si="36"/>
        <v>22462</v>
      </c>
      <c r="I226" s="155">
        <f t="shared" si="36"/>
        <v>872</v>
      </c>
      <c r="J226" s="155">
        <f t="shared" si="36"/>
        <v>241</v>
      </c>
      <c r="K226" s="155">
        <f t="shared" si="36"/>
        <v>1481</v>
      </c>
      <c r="L226" s="155">
        <f t="shared" si="36"/>
        <v>1710</v>
      </c>
      <c r="M226" s="155">
        <f t="shared" si="36"/>
        <v>2101</v>
      </c>
      <c r="N226" s="155">
        <f t="shared" si="36"/>
        <v>3252</v>
      </c>
      <c r="O226" s="155">
        <f t="shared" si="36"/>
        <v>7156</v>
      </c>
      <c r="P226" s="166">
        <f t="shared" si="36"/>
        <v>3703</v>
      </c>
      <c r="Q226" s="170">
        <f t="shared" si="36"/>
        <v>1946</v>
      </c>
    </row>
    <row r="227" spans="1:17" ht="15.75" thickTop="1" x14ac:dyDescent="0.25">
      <c r="A227" s="163" t="s">
        <v>281</v>
      </c>
      <c r="B227" s="182" t="s">
        <v>165</v>
      </c>
      <c r="C227" s="148" t="s">
        <v>69</v>
      </c>
      <c r="D227" s="148" t="s">
        <v>69</v>
      </c>
      <c r="E227" s="148" t="s">
        <v>51</v>
      </c>
      <c r="F227" s="149">
        <v>50</v>
      </c>
      <c r="G227" s="150">
        <f>'Supra B por pav'!M73</f>
        <v>34.85</v>
      </c>
      <c r="H227" s="151">
        <f>'Supra B por pav'!L73</f>
        <v>5592</v>
      </c>
      <c r="I227" s="151">
        <f>'Supra B por pav'!C73</f>
        <v>0</v>
      </c>
      <c r="J227" s="151">
        <f>'Supra B por pav'!D73</f>
        <v>167</v>
      </c>
      <c r="K227" s="151">
        <f>'Supra B por pav'!E73</f>
        <v>481</v>
      </c>
      <c r="L227" s="151">
        <f>'Supra B por pav'!F73</f>
        <v>343</v>
      </c>
      <c r="M227" s="151">
        <f>'Supra B por pav'!G73</f>
        <v>257</v>
      </c>
      <c r="N227" s="151">
        <f>'Supra B por pav'!H73</f>
        <v>416</v>
      </c>
      <c r="O227" s="151">
        <f>'Supra B por pav'!I73</f>
        <v>580</v>
      </c>
      <c r="P227" s="167">
        <f>'Supra B por pav'!J73</f>
        <v>1402</v>
      </c>
      <c r="Q227" s="171">
        <f>'Supra B por pav'!K73</f>
        <v>1946</v>
      </c>
    </row>
    <row r="228" spans="1:17" x14ac:dyDescent="0.25">
      <c r="A228" s="160"/>
      <c r="B228" s="180"/>
      <c r="C228" s="140"/>
      <c r="D228" s="140"/>
      <c r="E228" s="140" t="s">
        <v>52</v>
      </c>
      <c r="F228" s="141"/>
      <c r="G228" s="142">
        <f>'Supra B por pav'!M74</f>
        <v>40.42</v>
      </c>
      <c r="H228" s="143">
        <f>'Supra B por pav'!L74</f>
        <v>5737</v>
      </c>
      <c r="I228" s="143">
        <f>'Supra B por pav'!C74</f>
        <v>0</v>
      </c>
      <c r="J228" s="143">
        <f>'Supra B por pav'!D74</f>
        <v>74</v>
      </c>
      <c r="K228" s="143">
        <f>'Supra B por pav'!E74</f>
        <v>944</v>
      </c>
      <c r="L228" s="143">
        <f>'Supra B por pav'!F74</f>
        <v>105</v>
      </c>
      <c r="M228" s="143">
        <f>'Supra B por pav'!G74</f>
        <v>0</v>
      </c>
      <c r="N228" s="143">
        <f>'Supra B por pav'!H74</f>
        <v>0</v>
      </c>
      <c r="O228" s="143">
        <f>'Supra B por pav'!I74</f>
        <v>2917</v>
      </c>
      <c r="P228" s="164">
        <f>'Supra B por pav'!J74</f>
        <v>1697</v>
      </c>
      <c r="Q228" s="168">
        <f>'Supra B por pav'!K74</f>
        <v>0</v>
      </c>
    </row>
    <row r="229" spans="1:17" x14ac:dyDescent="0.25">
      <c r="A229" s="160"/>
      <c r="B229" s="180"/>
      <c r="C229" s="140"/>
      <c r="D229" s="140"/>
      <c r="E229" s="140" t="s">
        <v>53</v>
      </c>
      <c r="F229" s="141"/>
      <c r="G229" s="142">
        <f>'Supra B por pav'!M75</f>
        <v>95</v>
      </c>
      <c r="H229" s="143">
        <f>'Supra B por pav'!L75</f>
        <v>10752</v>
      </c>
      <c r="I229" s="143">
        <f>'Supra B por pav'!C75</f>
        <v>872</v>
      </c>
      <c r="J229" s="143">
        <f>'Supra B por pav'!D75</f>
        <v>0</v>
      </c>
      <c r="K229" s="143">
        <f>'Supra B por pav'!E75</f>
        <v>59</v>
      </c>
      <c r="L229" s="143">
        <f>'Supra B por pav'!F75</f>
        <v>1235</v>
      </c>
      <c r="M229" s="143">
        <f>'Supra B por pav'!G75</f>
        <v>1753</v>
      </c>
      <c r="N229" s="143">
        <f>'Supra B por pav'!H75</f>
        <v>2836</v>
      </c>
      <c r="O229" s="143">
        <f>'Supra B por pav'!I75</f>
        <v>3997</v>
      </c>
      <c r="P229" s="164">
        <f>'Supra B por pav'!J75</f>
        <v>0</v>
      </c>
      <c r="Q229" s="168">
        <f>'Supra B por pav'!K75</f>
        <v>0</v>
      </c>
    </row>
    <row r="230" spans="1:17" x14ac:dyDescent="0.25">
      <c r="A230" s="160"/>
      <c r="B230" s="180"/>
      <c r="C230" s="140"/>
      <c r="D230" s="140"/>
      <c r="E230" s="140" t="s">
        <v>54</v>
      </c>
      <c r="F230" s="141"/>
      <c r="G230" s="142">
        <f>'Supra B por pav'!M76</f>
        <v>1.625</v>
      </c>
      <c r="H230" s="143">
        <f>'Supra B por pav'!L76</f>
        <v>129</v>
      </c>
      <c r="I230" s="143">
        <f>'Supra B por pav'!C76</f>
        <v>0</v>
      </c>
      <c r="J230" s="143">
        <f>'Supra B por pav'!D76</f>
        <v>0</v>
      </c>
      <c r="K230" s="143">
        <f>'Supra B por pav'!E76</f>
        <v>0</v>
      </c>
      <c r="L230" s="143">
        <f>'Supra B por pav'!F76</f>
        <v>20</v>
      </c>
      <c r="M230" s="143">
        <f>'Supra B por pav'!G76</f>
        <v>109</v>
      </c>
      <c r="N230" s="143">
        <f>'Supra B por pav'!H76</f>
        <v>0</v>
      </c>
      <c r="O230" s="143">
        <f>'Supra B por pav'!I76</f>
        <v>0</v>
      </c>
      <c r="P230" s="164">
        <f>'Supra B por pav'!J76</f>
        <v>0</v>
      </c>
      <c r="Q230" s="168">
        <f>'Supra B por pav'!K76</f>
        <v>0</v>
      </c>
    </row>
    <row r="231" spans="1:17" ht="15.75" thickBot="1" x14ac:dyDescent="0.3">
      <c r="A231" s="161"/>
      <c r="B231" s="181"/>
      <c r="C231" s="144"/>
      <c r="D231" s="144"/>
      <c r="E231" s="144" t="s">
        <v>55</v>
      </c>
      <c r="F231" s="145"/>
      <c r="G231" s="146">
        <f>'Supra B por pav'!M77</f>
        <v>0</v>
      </c>
      <c r="H231" s="147">
        <f>'Supra B por pav'!L77</f>
        <v>0</v>
      </c>
      <c r="I231" s="147">
        <f>'Supra B por pav'!C77</f>
        <v>0</v>
      </c>
      <c r="J231" s="147">
        <f>'Supra B por pav'!D77</f>
        <v>0</v>
      </c>
      <c r="K231" s="147">
        <f>'Supra B por pav'!E77</f>
        <v>0</v>
      </c>
      <c r="L231" s="147">
        <f>'Supra B por pav'!F77</f>
        <v>0</v>
      </c>
      <c r="M231" s="147">
        <f>'Supra B por pav'!G77</f>
        <v>0</v>
      </c>
      <c r="N231" s="147">
        <f>'Supra B por pav'!H77</f>
        <v>0</v>
      </c>
      <c r="O231" s="147">
        <f>'Supra B por pav'!I77</f>
        <v>0</v>
      </c>
      <c r="P231" s="165">
        <f>'Supra B por pav'!J77</f>
        <v>0</v>
      </c>
      <c r="Q231" s="169">
        <f>'Supra B por pav'!K77</f>
        <v>0</v>
      </c>
    </row>
    <row r="232" spans="1:17" ht="16.5" thickTop="1" thickBot="1" x14ac:dyDescent="0.3">
      <c r="A232" s="162" t="s">
        <v>281</v>
      </c>
      <c r="B232" s="158" t="s">
        <v>165</v>
      </c>
      <c r="C232" s="152" t="s">
        <v>69</v>
      </c>
      <c r="D232" s="152" t="s">
        <v>258</v>
      </c>
      <c r="E232" s="152"/>
      <c r="F232" s="153">
        <v>50</v>
      </c>
      <c r="G232" s="154">
        <f t="shared" ref="G232:Q232" si="37">SUM(G227:G231)</f>
        <v>171.89500000000001</v>
      </c>
      <c r="H232" s="155">
        <f t="shared" si="37"/>
        <v>22210</v>
      </c>
      <c r="I232" s="155">
        <f t="shared" si="37"/>
        <v>872</v>
      </c>
      <c r="J232" s="155">
        <f t="shared" si="37"/>
        <v>241</v>
      </c>
      <c r="K232" s="155">
        <f t="shared" si="37"/>
        <v>1484</v>
      </c>
      <c r="L232" s="155">
        <f t="shared" si="37"/>
        <v>1703</v>
      </c>
      <c r="M232" s="155">
        <f t="shared" si="37"/>
        <v>2119</v>
      </c>
      <c r="N232" s="155">
        <f t="shared" si="37"/>
        <v>3252</v>
      </c>
      <c r="O232" s="155">
        <f t="shared" si="37"/>
        <v>7494</v>
      </c>
      <c r="P232" s="166">
        <f t="shared" si="37"/>
        <v>3099</v>
      </c>
      <c r="Q232" s="170">
        <f t="shared" si="37"/>
        <v>1946</v>
      </c>
    </row>
    <row r="233" spans="1:17" ht="15.75" thickTop="1" x14ac:dyDescent="0.25">
      <c r="A233" s="163" t="s">
        <v>281</v>
      </c>
      <c r="B233" s="182" t="s">
        <v>165</v>
      </c>
      <c r="C233" s="148" t="s">
        <v>70</v>
      </c>
      <c r="D233" s="148" t="s">
        <v>70</v>
      </c>
      <c r="E233" s="148" t="s">
        <v>51</v>
      </c>
      <c r="F233" s="149">
        <v>50</v>
      </c>
      <c r="G233" s="150">
        <f>'Supra B por pav'!M79</f>
        <v>34.85</v>
      </c>
      <c r="H233" s="151">
        <f>'Supra B por pav'!L79</f>
        <v>5592</v>
      </c>
      <c r="I233" s="151">
        <f>'Supra B por pav'!C79</f>
        <v>0</v>
      </c>
      <c r="J233" s="151">
        <f>'Supra B por pav'!D79</f>
        <v>167</v>
      </c>
      <c r="K233" s="151">
        <f>'Supra B por pav'!E79</f>
        <v>481</v>
      </c>
      <c r="L233" s="151">
        <f>'Supra B por pav'!F79</f>
        <v>343</v>
      </c>
      <c r="M233" s="151">
        <f>'Supra B por pav'!G79</f>
        <v>257</v>
      </c>
      <c r="N233" s="151">
        <f>'Supra B por pav'!H79</f>
        <v>416</v>
      </c>
      <c r="O233" s="151">
        <f>'Supra B por pav'!I79</f>
        <v>580</v>
      </c>
      <c r="P233" s="167">
        <f>'Supra B por pav'!J79</f>
        <v>1402</v>
      </c>
      <c r="Q233" s="171">
        <f>'Supra B por pav'!K79</f>
        <v>1946</v>
      </c>
    </row>
    <row r="234" spans="1:17" x14ac:dyDescent="0.25">
      <c r="A234" s="160"/>
      <c r="B234" s="180"/>
      <c r="C234" s="140"/>
      <c r="D234" s="140"/>
      <c r="E234" s="140" t="s">
        <v>52</v>
      </c>
      <c r="F234" s="141"/>
      <c r="G234" s="142">
        <f>'Supra B por pav'!M80</f>
        <v>40.42</v>
      </c>
      <c r="H234" s="143">
        <f>'Supra B por pav'!L80</f>
        <v>5461</v>
      </c>
      <c r="I234" s="143">
        <f>'Supra B por pav'!C80</f>
        <v>0</v>
      </c>
      <c r="J234" s="143">
        <f>'Supra B por pav'!D80</f>
        <v>74</v>
      </c>
      <c r="K234" s="143">
        <f>'Supra B por pav'!E80</f>
        <v>944</v>
      </c>
      <c r="L234" s="143">
        <f>'Supra B por pav'!F80</f>
        <v>105</v>
      </c>
      <c r="M234" s="143">
        <f>'Supra B por pav'!G80</f>
        <v>0</v>
      </c>
      <c r="N234" s="143">
        <f>'Supra B por pav'!H80</f>
        <v>0</v>
      </c>
      <c r="O234" s="143">
        <f>'Supra B por pav'!I80</f>
        <v>2917</v>
      </c>
      <c r="P234" s="164">
        <f>'Supra B por pav'!J80</f>
        <v>1421</v>
      </c>
      <c r="Q234" s="168">
        <f>'Supra B por pav'!K80</f>
        <v>0</v>
      </c>
    </row>
    <row r="235" spans="1:17" x14ac:dyDescent="0.25">
      <c r="A235" s="160"/>
      <c r="B235" s="180"/>
      <c r="C235" s="140"/>
      <c r="D235" s="140"/>
      <c r="E235" s="140" t="s">
        <v>53</v>
      </c>
      <c r="F235" s="141"/>
      <c r="G235" s="142">
        <f>'Supra B por pav'!M81</f>
        <v>95</v>
      </c>
      <c r="H235" s="143">
        <f>'Supra B por pav'!L81</f>
        <v>10765</v>
      </c>
      <c r="I235" s="143">
        <f>'Supra B por pav'!C81</f>
        <v>872</v>
      </c>
      <c r="J235" s="143">
        <f>'Supra B por pav'!D81</f>
        <v>0</v>
      </c>
      <c r="K235" s="143">
        <f>'Supra B por pav'!E81</f>
        <v>56</v>
      </c>
      <c r="L235" s="143">
        <f>'Supra B por pav'!F81</f>
        <v>1241</v>
      </c>
      <c r="M235" s="143">
        <f>'Supra B por pav'!G81</f>
        <v>1735</v>
      </c>
      <c r="N235" s="143">
        <f>'Supra B por pav'!H81</f>
        <v>2836</v>
      </c>
      <c r="O235" s="143">
        <f>'Supra B por pav'!I81</f>
        <v>4025</v>
      </c>
      <c r="P235" s="164">
        <f>'Supra B por pav'!J81</f>
        <v>0</v>
      </c>
      <c r="Q235" s="168">
        <f>'Supra B por pav'!K81</f>
        <v>0</v>
      </c>
    </row>
    <row r="236" spans="1:17" x14ac:dyDescent="0.25">
      <c r="A236" s="160"/>
      <c r="B236" s="180"/>
      <c r="C236" s="140"/>
      <c r="D236" s="140"/>
      <c r="E236" s="140" t="s">
        <v>54</v>
      </c>
      <c r="F236" s="141"/>
      <c r="G236" s="142">
        <f>'Supra B por pav'!M82</f>
        <v>1.625</v>
      </c>
      <c r="H236" s="143">
        <f>'Supra B por pav'!L82</f>
        <v>129</v>
      </c>
      <c r="I236" s="143">
        <f>'Supra B por pav'!C82</f>
        <v>0</v>
      </c>
      <c r="J236" s="143">
        <f>'Supra B por pav'!D82</f>
        <v>0</v>
      </c>
      <c r="K236" s="143">
        <f>'Supra B por pav'!E82</f>
        <v>0</v>
      </c>
      <c r="L236" s="143">
        <f>'Supra B por pav'!F82</f>
        <v>20</v>
      </c>
      <c r="M236" s="143">
        <f>'Supra B por pav'!G82</f>
        <v>109</v>
      </c>
      <c r="N236" s="143">
        <f>'Supra B por pav'!H82</f>
        <v>0</v>
      </c>
      <c r="O236" s="143">
        <f>'Supra B por pav'!I82</f>
        <v>0</v>
      </c>
      <c r="P236" s="164">
        <f>'Supra B por pav'!J82</f>
        <v>0</v>
      </c>
      <c r="Q236" s="168">
        <f>'Supra B por pav'!K82</f>
        <v>0</v>
      </c>
    </row>
    <row r="237" spans="1:17" ht="15.75" thickBot="1" x14ac:dyDescent="0.3">
      <c r="A237" s="161"/>
      <c r="B237" s="181"/>
      <c r="C237" s="144"/>
      <c r="D237" s="144"/>
      <c r="E237" s="144" t="s">
        <v>55</v>
      </c>
      <c r="F237" s="145"/>
      <c r="G237" s="146">
        <f>'Supra B por pav'!M83</f>
        <v>0</v>
      </c>
      <c r="H237" s="147">
        <f>'Supra B por pav'!L83</f>
        <v>0</v>
      </c>
      <c r="I237" s="147">
        <f>'Supra B por pav'!C83</f>
        <v>0</v>
      </c>
      <c r="J237" s="147">
        <f>'Supra B por pav'!D83</f>
        <v>0</v>
      </c>
      <c r="K237" s="147">
        <f>'Supra B por pav'!E83</f>
        <v>0</v>
      </c>
      <c r="L237" s="147">
        <f>'Supra B por pav'!F83</f>
        <v>0</v>
      </c>
      <c r="M237" s="147">
        <f>'Supra B por pav'!G83</f>
        <v>0</v>
      </c>
      <c r="N237" s="147">
        <f>'Supra B por pav'!H83</f>
        <v>0</v>
      </c>
      <c r="O237" s="147">
        <f>'Supra B por pav'!I83</f>
        <v>0</v>
      </c>
      <c r="P237" s="165">
        <f>'Supra B por pav'!J83</f>
        <v>0</v>
      </c>
      <c r="Q237" s="169">
        <f>'Supra B por pav'!K83</f>
        <v>0</v>
      </c>
    </row>
    <row r="238" spans="1:17" ht="16.5" thickTop="1" thickBot="1" x14ac:dyDescent="0.3">
      <c r="A238" s="162" t="s">
        <v>281</v>
      </c>
      <c r="B238" s="158" t="s">
        <v>165</v>
      </c>
      <c r="C238" s="152" t="s">
        <v>70</v>
      </c>
      <c r="D238" s="152" t="s">
        <v>259</v>
      </c>
      <c r="E238" s="152"/>
      <c r="F238" s="153">
        <v>50</v>
      </c>
      <c r="G238" s="154">
        <f t="shared" ref="G238:Q238" si="38">SUM(G233:G237)</f>
        <v>171.89500000000001</v>
      </c>
      <c r="H238" s="155">
        <f t="shared" si="38"/>
        <v>21947</v>
      </c>
      <c r="I238" s="155">
        <f t="shared" si="38"/>
        <v>872</v>
      </c>
      <c r="J238" s="155">
        <f t="shared" si="38"/>
        <v>241</v>
      </c>
      <c r="K238" s="155">
        <f t="shared" si="38"/>
        <v>1481</v>
      </c>
      <c r="L238" s="155">
        <f t="shared" si="38"/>
        <v>1709</v>
      </c>
      <c r="M238" s="155">
        <f t="shared" si="38"/>
        <v>2101</v>
      </c>
      <c r="N238" s="155">
        <f t="shared" si="38"/>
        <v>3252</v>
      </c>
      <c r="O238" s="155">
        <f t="shared" si="38"/>
        <v>7522</v>
      </c>
      <c r="P238" s="166">
        <f t="shared" si="38"/>
        <v>2823</v>
      </c>
      <c r="Q238" s="170">
        <f t="shared" si="38"/>
        <v>1946</v>
      </c>
    </row>
    <row r="239" spans="1:17" ht="15.75" thickTop="1" x14ac:dyDescent="0.25">
      <c r="A239" s="163" t="s">
        <v>281</v>
      </c>
      <c r="B239" s="182" t="s">
        <v>165</v>
      </c>
      <c r="C239" s="148" t="s">
        <v>71</v>
      </c>
      <c r="D239" s="148" t="s">
        <v>71</v>
      </c>
      <c r="E239" s="148" t="s">
        <v>51</v>
      </c>
      <c r="F239" s="149">
        <v>50</v>
      </c>
      <c r="G239" s="150">
        <f>'Supra B por pav'!M85</f>
        <v>34.85</v>
      </c>
      <c r="H239" s="151">
        <f>'Supra B por pav'!L85</f>
        <v>5141</v>
      </c>
      <c r="I239" s="151">
        <f>'Supra B por pav'!C85</f>
        <v>0</v>
      </c>
      <c r="J239" s="151">
        <f>'Supra B por pav'!D85</f>
        <v>194</v>
      </c>
      <c r="K239" s="151">
        <f>'Supra B por pav'!E85</f>
        <v>438</v>
      </c>
      <c r="L239" s="151">
        <f>'Supra B por pav'!F85</f>
        <v>343</v>
      </c>
      <c r="M239" s="151">
        <f>'Supra B por pav'!G85</f>
        <v>231</v>
      </c>
      <c r="N239" s="151">
        <f>'Supra B por pav'!H85</f>
        <v>401</v>
      </c>
      <c r="O239" s="151">
        <f>'Supra B por pav'!I85</f>
        <v>550</v>
      </c>
      <c r="P239" s="167">
        <f>'Supra B por pav'!J85</f>
        <v>1614</v>
      </c>
      <c r="Q239" s="171">
        <f>'Supra B por pav'!K85</f>
        <v>1370</v>
      </c>
    </row>
    <row r="240" spans="1:17" x14ac:dyDescent="0.25">
      <c r="A240" s="160"/>
      <c r="B240" s="180"/>
      <c r="C240" s="140"/>
      <c r="D240" s="140"/>
      <c r="E240" s="140" t="s">
        <v>52</v>
      </c>
      <c r="F240" s="141"/>
      <c r="G240" s="142">
        <f>'Supra B por pav'!M86</f>
        <v>40.42</v>
      </c>
      <c r="H240" s="143">
        <f>'Supra B por pav'!L86</f>
        <v>5257</v>
      </c>
      <c r="I240" s="143">
        <f>'Supra B por pav'!C86</f>
        <v>0</v>
      </c>
      <c r="J240" s="143">
        <f>'Supra B por pav'!D86</f>
        <v>74</v>
      </c>
      <c r="K240" s="143">
        <f>'Supra B por pav'!E86</f>
        <v>1009</v>
      </c>
      <c r="L240" s="143">
        <f>'Supra B por pav'!F86</f>
        <v>0</v>
      </c>
      <c r="M240" s="143">
        <f>'Supra B por pav'!G86</f>
        <v>0</v>
      </c>
      <c r="N240" s="143">
        <f>'Supra B por pav'!H86</f>
        <v>0</v>
      </c>
      <c r="O240" s="143">
        <f>'Supra B por pav'!I86</f>
        <v>2753</v>
      </c>
      <c r="P240" s="164">
        <f>'Supra B por pav'!J86</f>
        <v>1421</v>
      </c>
      <c r="Q240" s="168">
        <f>'Supra B por pav'!K86</f>
        <v>0</v>
      </c>
    </row>
    <row r="241" spans="1:17" x14ac:dyDescent="0.25">
      <c r="A241" s="160"/>
      <c r="B241" s="180"/>
      <c r="C241" s="140"/>
      <c r="D241" s="140"/>
      <c r="E241" s="140" t="s">
        <v>53</v>
      </c>
      <c r="F241" s="141"/>
      <c r="G241" s="142">
        <f>'Supra B por pav'!M87</f>
        <v>95</v>
      </c>
      <c r="H241" s="143">
        <f>'Supra B por pav'!L87</f>
        <v>10752</v>
      </c>
      <c r="I241" s="143">
        <f>'Supra B por pav'!C87</f>
        <v>872</v>
      </c>
      <c r="J241" s="143">
        <f>'Supra B por pav'!D87</f>
        <v>0</v>
      </c>
      <c r="K241" s="143">
        <f>'Supra B por pav'!E87</f>
        <v>59</v>
      </c>
      <c r="L241" s="143">
        <f>'Supra B por pav'!F87</f>
        <v>1235</v>
      </c>
      <c r="M241" s="143">
        <f>'Supra B por pav'!G87</f>
        <v>1753</v>
      </c>
      <c r="N241" s="143">
        <f>'Supra B por pav'!H87</f>
        <v>2836</v>
      </c>
      <c r="O241" s="143">
        <f>'Supra B por pav'!I87</f>
        <v>3997</v>
      </c>
      <c r="P241" s="164">
        <f>'Supra B por pav'!J87</f>
        <v>0</v>
      </c>
      <c r="Q241" s="168">
        <f>'Supra B por pav'!K87</f>
        <v>0</v>
      </c>
    </row>
    <row r="242" spans="1:17" x14ac:dyDescent="0.25">
      <c r="A242" s="160"/>
      <c r="B242" s="180"/>
      <c r="C242" s="140"/>
      <c r="D242" s="140"/>
      <c r="E242" s="140" t="s">
        <v>54</v>
      </c>
      <c r="F242" s="141"/>
      <c r="G242" s="142">
        <f>'Supra B por pav'!M88</f>
        <v>1.625</v>
      </c>
      <c r="H242" s="143">
        <f>'Supra B por pav'!L88</f>
        <v>129</v>
      </c>
      <c r="I242" s="143">
        <f>'Supra B por pav'!C88</f>
        <v>0</v>
      </c>
      <c r="J242" s="143">
        <f>'Supra B por pav'!D88</f>
        <v>0</v>
      </c>
      <c r="K242" s="143">
        <f>'Supra B por pav'!E88</f>
        <v>0</v>
      </c>
      <c r="L242" s="143">
        <f>'Supra B por pav'!F88</f>
        <v>20</v>
      </c>
      <c r="M242" s="143">
        <f>'Supra B por pav'!G88</f>
        <v>109</v>
      </c>
      <c r="N242" s="143">
        <f>'Supra B por pav'!H88</f>
        <v>0</v>
      </c>
      <c r="O242" s="143">
        <f>'Supra B por pav'!I88</f>
        <v>0</v>
      </c>
      <c r="P242" s="164">
        <f>'Supra B por pav'!J88</f>
        <v>0</v>
      </c>
      <c r="Q242" s="168">
        <f>'Supra B por pav'!K88</f>
        <v>0</v>
      </c>
    </row>
    <row r="243" spans="1:17" ht="15.75" thickBot="1" x14ac:dyDescent="0.3">
      <c r="A243" s="161"/>
      <c r="B243" s="181"/>
      <c r="C243" s="144"/>
      <c r="D243" s="144"/>
      <c r="E243" s="144" t="s">
        <v>55</v>
      </c>
      <c r="F243" s="145"/>
      <c r="G243" s="146">
        <f>'Supra B por pav'!M89</f>
        <v>0</v>
      </c>
      <c r="H243" s="147">
        <f>'Supra B por pav'!L89</f>
        <v>0</v>
      </c>
      <c r="I243" s="147">
        <f>'Supra B por pav'!C89</f>
        <v>0</v>
      </c>
      <c r="J243" s="147">
        <f>'Supra B por pav'!D89</f>
        <v>0</v>
      </c>
      <c r="K243" s="147">
        <f>'Supra B por pav'!E89</f>
        <v>0</v>
      </c>
      <c r="L243" s="147">
        <f>'Supra B por pav'!F89</f>
        <v>0</v>
      </c>
      <c r="M243" s="147">
        <f>'Supra B por pav'!G89</f>
        <v>0</v>
      </c>
      <c r="N243" s="147">
        <f>'Supra B por pav'!H89</f>
        <v>0</v>
      </c>
      <c r="O243" s="147">
        <f>'Supra B por pav'!I89</f>
        <v>0</v>
      </c>
      <c r="P243" s="165">
        <f>'Supra B por pav'!J89</f>
        <v>0</v>
      </c>
      <c r="Q243" s="169">
        <f>'Supra B por pav'!K89</f>
        <v>0</v>
      </c>
    </row>
    <row r="244" spans="1:17" ht="16.5" thickTop="1" thickBot="1" x14ac:dyDescent="0.3">
      <c r="A244" s="162" t="s">
        <v>281</v>
      </c>
      <c r="B244" s="158" t="s">
        <v>165</v>
      </c>
      <c r="C244" s="152" t="s">
        <v>71</v>
      </c>
      <c r="D244" s="152" t="s">
        <v>260</v>
      </c>
      <c r="E244" s="152"/>
      <c r="F244" s="153">
        <v>50</v>
      </c>
      <c r="G244" s="154">
        <f t="shared" ref="G244:Q244" si="39">SUM(G239:G243)</f>
        <v>171.89500000000001</v>
      </c>
      <c r="H244" s="155">
        <f t="shared" si="39"/>
        <v>21279</v>
      </c>
      <c r="I244" s="155">
        <f t="shared" si="39"/>
        <v>872</v>
      </c>
      <c r="J244" s="155">
        <f t="shared" si="39"/>
        <v>268</v>
      </c>
      <c r="K244" s="155">
        <f t="shared" si="39"/>
        <v>1506</v>
      </c>
      <c r="L244" s="155">
        <f t="shared" si="39"/>
        <v>1598</v>
      </c>
      <c r="M244" s="155">
        <f t="shared" si="39"/>
        <v>2093</v>
      </c>
      <c r="N244" s="155">
        <f t="shared" si="39"/>
        <v>3237</v>
      </c>
      <c r="O244" s="155">
        <f t="shared" si="39"/>
        <v>7300</v>
      </c>
      <c r="P244" s="166">
        <f t="shared" si="39"/>
        <v>3035</v>
      </c>
      <c r="Q244" s="170">
        <f t="shared" si="39"/>
        <v>1370</v>
      </c>
    </row>
    <row r="245" spans="1:17" ht="15.75" thickTop="1" x14ac:dyDescent="0.25">
      <c r="A245" s="163" t="s">
        <v>281</v>
      </c>
      <c r="B245" s="182" t="s">
        <v>165</v>
      </c>
      <c r="C245" s="148" t="s">
        <v>72</v>
      </c>
      <c r="D245" s="148" t="s">
        <v>72</v>
      </c>
      <c r="E245" s="148" t="s">
        <v>51</v>
      </c>
      <c r="F245" s="149">
        <v>50</v>
      </c>
      <c r="G245" s="150">
        <f>'Supra B por pav'!M91</f>
        <v>34.85</v>
      </c>
      <c r="H245" s="151">
        <f>'Supra B por pav'!L91</f>
        <v>5141</v>
      </c>
      <c r="I245" s="151">
        <f>'Supra B por pav'!C91</f>
        <v>0</v>
      </c>
      <c r="J245" s="151">
        <f>'Supra B por pav'!D91</f>
        <v>194</v>
      </c>
      <c r="K245" s="151">
        <f>'Supra B por pav'!E91</f>
        <v>438</v>
      </c>
      <c r="L245" s="151">
        <f>'Supra B por pav'!F91</f>
        <v>343</v>
      </c>
      <c r="M245" s="151">
        <f>'Supra B por pav'!G91</f>
        <v>231</v>
      </c>
      <c r="N245" s="151">
        <f>'Supra B por pav'!H91</f>
        <v>401</v>
      </c>
      <c r="O245" s="151">
        <f>'Supra B por pav'!I91</f>
        <v>550</v>
      </c>
      <c r="P245" s="167">
        <f>'Supra B por pav'!J91</f>
        <v>1614</v>
      </c>
      <c r="Q245" s="171">
        <f>'Supra B por pav'!K91</f>
        <v>1370</v>
      </c>
    </row>
    <row r="246" spans="1:17" x14ac:dyDescent="0.25">
      <c r="A246" s="160"/>
      <c r="B246" s="180"/>
      <c r="C246" s="140"/>
      <c r="D246" s="140"/>
      <c r="E246" s="140" t="s">
        <v>52</v>
      </c>
      <c r="F246" s="141"/>
      <c r="G246" s="142">
        <f>'Supra B por pav'!M92</f>
        <v>40.42</v>
      </c>
      <c r="H246" s="143">
        <f>'Supra B por pav'!L92</f>
        <v>5257</v>
      </c>
      <c r="I246" s="143">
        <f>'Supra B por pav'!C92</f>
        <v>0</v>
      </c>
      <c r="J246" s="143">
        <f>'Supra B por pav'!D92</f>
        <v>74</v>
      </c>
      <c r="K246" s="143">
        <f>'Supra B por pav'!E92</f>
        <v>1009</v>
      </c>
      <c r="L246" s="143">
        <f>'Supra B por pav'!F92</f>
        <v>0</v>
      </c>
      <c r="M246" s="143">
        <f>'Supra B por pav'!G92</f>
        <v>0</v>
      </c>
      <c r="N246" s="143">
        <f>'Supra B por pav'!H92</f>
        <v>0</v>
      </c>
      <c r="O246" s="143">
        <f>'Supra B por pav'!I92</f>
        <v>2753</v>
      </c>
      <c r="P246" s="164">
        <f>'Supra B por pav'!J92</f>
        <v>1421</v>
      </c>
      <c r="Q246" s="168">
        <f>'Supra B por pav'!K92</f>
        <v>0</v>
      </c>
    </row>
    <row r="247" spans="1:17" x14ac:dyDescent="0.25">
      <c r="A247" s="160"/>
      <c r="B247" s="180"/>
      <c r="C247" s="140"/>
      <c r="D247" s="140"/>
      <c r="E247" s="140" t="s">
        <v>53</v>
      </c>
      <c r="F247" s="141"/>
      <c r="G247" s="142">
        <f>'Supra B por pav'!M93</f>
        <v>95</v>
      </c>
      <c r="H247" s="143">
        <f>'Supra B por pav'!L93</f>
        <v>10765</v>
      </c>
      <c r="I247" s="143">
        <f>'Supra B por pav'!C93</f>
        <v>872</v>
      </c>
      <c r="J247" s="143">
        <f>'Supra B por pav'!D93</f>
        <v>0</v>
      </c>
      <c r="K247" s="143">
        <f>'Supra B por pav'!E93</f>
        <v>56</v>
      </c>
      <c r="L247" s="143">
        <f>'Supra B por pav'!F93</f>
        <v>1241</v>
      </c>
      <c r="M247" s="143">
        <f>'Supra B por pav'!G93</f>
        <v>1735</v>
      </c>
      <c r="N247" s="143">
        <f>'Supra B por pav'!H93</f>
        <v>2836</v>
      </c>
      <c r="O247" s="143">
        <f>'Supra B por pav'!I93</f>
        <v>4025</v>
      </c>
      <c r="P247" s="164">
        <f>'Supra B por pav'!J93</f>
        <v>0</v>
      </c>
      <c r="Q247" s="168">
        <f>'Supra B por pav'!K93</f>
        <v>0</v>
      </c>
    </row>
    <row r="248" spans="1:17" x14ac:dyDescent="0.25">
      <c r="A248" s="160"/>
      <c r="B248" s="180"/>
      <c r="C248" s="140"/>
      <c r="D248" s="140"/>
      <c r="E248" s="140" t="s">
        <v>54</v>
      </c>
      <c r="F248" s="141"/>
      <c r="G248" s="142">
        <f>'Supra B por pav'!M94</f>
        <v>1.625</v>
      </c>
      <c r="H248" s="143">
        <f>'Supra B por pav'!L94</f>
        <v>129</v>
      </c>
      <c r="I248" s="143">
        <f>'Supra B por pav'!C94</f>
        <v>0</v>
      </c>
      <c r="J248" s="143">
        <f>'Supra B por pav'!D94</f>
        <v>0</v>
      </c>
      <c r="K248" s="143">
        <f>'Supra B por pav'!E94</f>
        <v>0</v>
      </c>
      <c r="L248" s="143">
        <f>'Supra B por pav'!F94</f>
        <v>20</v>
      </c>
      <c r="M248" s="143">
        <f>'Supra B por pav'!G94</f>
        <v>109</v>
      </c>
      <c r="N248" s="143">
        <f>'Supra B por pav'!H94</f>
        <v>0</v>
      </c>
      <c r="O248" s="143">
        <f>'Supra B por pav'!I94</f>
        <v>0</v>
      </c>
      <c r="P248" s="164">
        <f>'Supra B por pav'!J94</f>
        <v>0</v>
      </c>
      <c r="Q248" s="168">
        <f>'Supra B por pav'!K94</f>
        <v>0</v>
      </c>
    </row>
    <row r="249" spans="1:17" ht="15.75" thickBot="1" x14ac:dyDescent="0.3">
      <c r="A249" s="161"/>
      <c r="B249" s="181"/>
      <c r="C249" s="144"/>
      <c r="D249" s="144"/>
      <c r="E249" s="144" t="s">
        <v>55</v>
      </c>
      <c r="F249" s="145"/>
      <c r="G249" s="146">
        <f>'Supra B por pav'!M95</f>
        <v>0</v>
      </c>
      <c r="H249" s="147">
        <f>'Supra B por pav'!L95</f>
        <v>0</v>
      </c>
      <c r="I249" s="147">
        <f>'Supra B por pav'!C95</f>
        <v>0</v>
      </c>
      <c r="J249" s="147">
        <f>'Supra B por pav'!D95</f>
        <v>0</v>
      </c>
      <c r="K249" s="147">
        <f>'Supra B por pav'!E95</f>
        <v>0</v>
      </c>
      <c r="L249" s="147">
        <f>'Supra B por pav'!F95</f>
        <v>0</v>
      </c>
      <c r="M249" s="147">
        <f>'Supra B por pav'!G95</f>
        <v>0</v>
      </c>
      <c r="N249" s="147">
        <f>'Supra B por pav'!H95</f>
        <v>0</v>
      </c>
      <c r="O249" s="147">
        <f>'Supra B por pav'!I95</f>
        <v>0</v>
      </c>
      <c r="P249" s="165">
        <f>'Supra B por pav'!J95</f>
        <v>0</v>
      </c>
      <c r="Q249" s="169">
        <f>'Supra B por pav'!K95</f>
        <v>0</v>
      </c>
    </row>
    <row r="250" spans="1:17" ht="16.5" thickTop="1" thickBot="1" x14ac:dyDescent="0.3">
      <c r="A250" s="162" t="s">
        <v>281</v>
      </c>
      <c r="B250" s="158" t="s">
        <v>165</v>
      </c>
      <c r="C250" s="152" t="s">
        <v>72</v>
      </c>
      <c r="D250" s="152" t="s">
        <v>261</v>
      </c>
      <c r="E250" s="152"/>
      <c r="F250" s="153">
        <v>50</v>
      </c>
      <c r="G250" s="154">
        <f t="shared" ref="G250:Q250" si="40">SUM(G245:G249)</f>
        <v>171.89500000000001</v>
      </c>
      <c r="H250" s="155">
        <f t="shared" si="40"/>
        <v>21292</v>
      </c>
      <c r="I250" s="155">
        <f t="shared" si="40"/>
        <v>872</v>
      </c>
      <c r="J250" s="155">
        <f t="shared" si="40"/>
        <v>268</v>
      </c>
      <c r="K250" s="155">
        <f t="shared" si="40"/>
        <v>1503</v>
      </c>
      <c r="L250" s="155">
        <f t="shared" si="40"/>
        <v>1604</v>
      </c>
      <c r="M250" s="155">
        <f t="shared" si="40"/>
        <v>2075</v>
      </c>
      <c r="N250" s="155">
        <f t="shared" si="40"/>
        <v>3237</v>
      </c>
      <c r="O250" s="155">
        <f t="shared" si="40"/>
        <v>7328</v>
      </c>
      <c r="P250" s="166">
        <f t="shared" si="40"/>
        <v>3035</v>
      </c>
      <c r="Q250" s="170">
        <f t="shared" si="40"/>
        <v>1370</v>
      </c>
    </row>
    <row r="251" spans="1:17" ht="15.75" thickTop="1" x14ac:dyDescent="0.25">
      <c r="A251" s="163" t="s">
        <v>281</v>
      </c>
      <c r="B251" s="182" t="s">
        <v>165</v>
      </c>
      <c r="C251" s="148" t="s">
        <v>73</v>
      </c>
      <c r="D251" s="148" t="s">
        <v>73</v>
      </c>
      <c r="E251" s="148" t="s">
        <v>51</v>
      </c>
      <c r="F251" s="149">
        <v>50</v>
      </c>
      <c r="G251" s="150">
        <f>'Supra B por pav'!M97</f>
        <v>34.85</v>
      </c>
      <c r="H251" s="151">
        <f>'Supra B por pav'!L97</f>
        <v>5141</v>
      </c>
      <c r="I251" s="151">
        <f>'Supra B por pav'!C97</f>
        <v>0</v>
      </c>
      <c r="J251" s="151">
        <f>'Supra B por pav'!D97</f>
        <v>194</v>
      </c>
      <c r="K251" s="151">
        <f>'Supra B por pav'!E97</f>
        <v>438</v>
      </c>
      <c r="L251" s="151">
        <f>'Supra B por pav'!F97</f>
        <v>343</v>
      </c>
      <c r="M251" s="151">
        <f>'Supra B por pav'!G97</f>
        <v>231</v>
      </c>
      <c r="N251" s="151">
        <f>'Supra B por pav'!H97</f>
        <v>401</v>
      </c>
      <c r="O251" s="151">
        <f>'Supra B por pav'!I97</f>
        <v>550</v>
      </c>
      <c r="P251" s="167">
        <f>'Supra B por pav'!J97</f>
        <v>1614</v>
      </c>
      <c r="Q251" s="171">
        <f>'Supra B por pav'!K97</f>
        <v>1370</v>
      </c>
    </row>
    <row r="252" spans="1:17" x14ac:dyDescent="0.25">
      <c r="A252" s="160"/>
      <c r="B252" s="180"/>
      <c r="C252" s="140"/>
      <c r="D252" s="140"/>
      <c r="E252" s="140" t="s">
        <v>52</v>
      </c>
      <c r="F252" s="141"/>
      <c r="G252" s="142">
        <f>'Supra B por pav'!M98</f>
        <v>40.42</v>
      </c>
      <c r="H252" s="143">
        <f>'Supra B por pav'!L98</f>
        <v>4808</v>
      </c>
      <c r="I252" s="143">
        <f>'Supra B por pav'!C98</f>
        <v>0</v>
      </c>
      <c r="J252" s="143">
        <f>'Supra B por pav'!D98</f>
        <v>74</v>
      </c>
      <c r="K252" s="143">
        <f>'Supra B por pav'!E98</f>
        <v>1007</v>
      </c>
      <c r="L252" s="143">
        <f>'Supra B por pav'!F98</f>
        <v>0</v>
      </c>
      <c r="M252" s="143">
        <f>'Supra B por pav'!G98</f>
        <v>0</v>
      </c>
      <c r="N252" s="143">
        <f>'Supra B por pav'!H98</f>
        <v>0</v>
      </c>
      <c r="O252" s="143">
        <f>'Supra B por pav'!I98</f>
        <v>3372</v>
      </c>
      <c r="P252" s="164">
        <f>'Supra B por pav'!J98</f>
        <v>355</v>
      </c>
      <c r="Q252" s="168">
        <f>'Supra B por pav'!K98</f>
        <v>0</v>
      </c>
    </row>
    <row r="253" spans="1:17" x14ac:dyDescent="0.25">
      <c r="A253" s="160"/>
      <c r="B253" s="180"/>
      <c r="C253" s="140"/>
      <c r="D253" s="140"/>
      <c r="E253" s="140" t="s">
        <v>53</v>
      </c>
      <c r="F253" s="141"/>
      <c r="G253" s="142">
        <f>'Supra B por pav'!M99</f>
        <v>95</v>
      </c>
      <c r="H253" s="143">
        <f>'Supra B por pav'!L99</f>
        <v>10752</v>
      </c>
      <c r="I253" s="143">
        <f>'Supra B por pav'!C99</f>
        <v>872</v>
      </c>
      <c r="J253" s="143">
        <f>'Supra B por pav'!D99</f>
        <v>0</v>
      </c>
      <c r="K253" s="143">
        <f>'Supra B por pav'!E99</f>
        <v>59</v>
      </c>
      <c r="L253" s="143">
        <f>'Supra B por pav'!F99</f>
        <v>1235</v>
      </c>
      <c r="M253" s="143">
        <f>'Supra B por pav'!G99</f>
        <v>1753</v>
      </c>
      <c r="N253" s="143">
        <f>'Supra B por pav'!H99</f>
        <v>2836</v>
      </c>
      <c r="O253" s="143">
        <f>'Supra B por pav'!I99</f>
        <v>3997</v>
      </c>
      <c r="P253" s="164">
        <f>'Supra B por pav'!J99</f>
        <v>0</v>
      </c>
      <c r="Q253" s="168">
        <f>'Supra B por pav'!K99</f>
        <v>0</v>
      </c>
    </row>
    <row r="254" spans="1:17" x14ac:dyDescent="0.25">
      <c r="A254" s="160"/>
      <c r="B254" s="180"/>
      <c r="C254" s="140"/>
      <c r="D254" s="140"/>
      <c r="E254" s="140" t="s">
        <v>54</v>
      </c>
      <c r="F254" s="141"/>
      <c r="G254" s="142">
        <f>'Supra B por pav'!M100</f>
        <v>1.625</v>
      </c>
      <c r="H254" s="143">
        <f>'Supra B por pav'!L100</f>
        <v>129</v>
      </c>
      <c r="I254" s="143">
        <f>'Supra B por pav'!C100</f>
        <v>0</v>
      </c>
      <c r="J254" s="143">
        <f>'Supra B por pav'!D100</f>
        <v>0</v>
      </c>
      <c r="K254" s="143">
        <f>'Supra B por pav'!E100</f>
        <v>0</v>
      </c>
      <c r="L254" s="143">
        <f>'Supra B por pav'!F100</f>
        <v>20</v>
      </c>
      <c r="M254" s="143">
        <f>'Supra B por pav'!G100</f>
        <v>109</v>
      </c>
      <c r="N254" s="143">
        <f>'Supra B por pav'!H100</f>
        <v>0</v>
      </c>
      <c r="O254" s="143">
        <f>'Supra B por pav'!I100</f>
        <v>0</v>
      </c>
      <c r="P254" s="164">
        <f>'Supra B por pav'!J100</f>
        <v>0</v>
      </c>
      <c r="Q254" s="168">
        <f>'Supra B por pav'!K100</f>
        <v>0</v>
      </c>
    </row>
    <row r="255" spans="1:17" ht="15.75" thickBot="1" x14ac:dyDescent="0.3">
      <c r="A255" s="161"/>
      <c r="B255" s="181"/>
      <c r="C255" s="144"/>
      <c r="D255" s="144"/>
      <c r="E255" s="144" t="s">
        <v>55</v>
      </c>
      <c r="F255" s="145"/>
      <c r="G255" s="146">
        <f>'Supra B por pav'!M101</f>
        <v>0</v>
      </c>
      <c r="H255" s="147">
        <f>'Supra B por pav'!L101</f>
        <v>0</v>
      </c>
      <c r="I255" s="147">
        <f>'Supra B por pav'!C101</f>
        <v>0</v>
      </c>
      <c r="J255" s="147">
        <f>'Supra B por pav'!D101</f>
        <v>0</v>
      </c>
      <c r="K255" s="147">
        <f>'Supra B por pav'!E101</f>
        <v>0</v>
      </c>
      <c r="L255" s="147">
        <f>'Supra B por pav'!F101</f>
        <v>0</v>
      </c>
      <c r="M255" s="147">
        <f>'Supra B por pav'!G101</f>
        <v>0</v>
      </c>
      <c r="N255" s="147">
        <f>'Supra B por pav'!H101</f>
        <v>0</v>
      </c>
      <c r="O255" s="147">
        <f>'Supra B por pav'!I101</f>
        <v>0</v>
      </c>
      <c r="P255" s="165">
        <f>'Supra B por pav'!J101</f>
        <v>0</v>
      </c>
      <c r="Q255" s="169">
        <f>'Supra B por pav'!K101</f>
        <v>0</v>
      </c>
    </row>
    <row r="256" spans="1:17" ht="16.5" thickTop="1" thickBot="1" x14ac:dyDescent="0.3">
      <c r="A256" s="162" t="s">
        <v>281</v>
      </c>
      <c r="B256" s="158" t="s">
        <v>165</v>
      </c>
      <c r="C256" s="152" t="s">
        <v>73</v>
      </c>
      <c r="D256" s="152" t="s">
        <v>262</v>
      </c>
      <c r="E256" s="152"/>
      <c r="F256" s="153">
        <v>50</v>
      </c>
      <c r="G256" s="154">
        <f t="shared" ref="G256:Q256" si="41">SUM(G251:G255)</f>
        <v>171.89500000000001</v>
      </c>
      <c r="H256" s="155">
        <f t="shared" si="41"/>
        <v>20830</v>
      </c>
      <c r="I256" s="155">
        <f t="shared" si="41"/>
        <v>872</v>
      </c>
      <c r="J256" s="155">
        <f t="shared" si="41"/>
        <v>268</v>
      </c>
      <c r="K256" s="155">
        <f t="shared" si="41"/>
        <v>1504</v>
      </c>
      <c r="L256" s="155">
        <f t="shared" si="41"/>
        <v>1598</v>
      </c>
      <c r="M256" s="155">
        <f t="shared" si="41"/>
        <v>2093</v>
      </c>
      <c r="N256" s="155">
        <f t="shared" si="41"/>
        <v>3237</v>
      </c>
      <c r="O256" s="155">
        <f t="shared" si="41"/>
        <v>7919</v>
      </c>
      <c r="P256" s="166">
        <f t="shared" si="41"/>
        <v>1969</v>
      </c>
      <c r="Q256" s="170">
        <f t="shared" si="41"/>
        <v>1370</v>
      </c>
    </row>
    <row r="257" spans="1:17" ht="15.75" thickTop="1" x14ac:dyDescent="0.25">
      <c r="A257" s="163" t="s">
        <v>281</v>
      </c>
      <c r="B257" s="182" t="s">
        <v>165</v>
      </c>
      <c r="C257" s="148" t="s">
        <v>74</v>
      </c>
      <c r="D257" s="148" t="s">
        <v>74</v>
      </c>
      <c r="E257" s="148" t="s">
        <v>51</v>
      </c>
      <c r="F257" s="149">
        <v>50</v>
      </c>
      <c r="G257" s="150">
        <f>'Supra B por pav'!M103</f>
        <v>34.85</v>
      </c>
      <c r="H257" s="151">
        <f>'Supra B por pav'!L103</f>
        <v>5141</v>
      </c>
      <c r="I257" s="151">
        <f>'Supra B por pav'!C103</f>
        <v>0</v>
      </c>
      <c r="J257" s="151">
        <f>'Supra B por pav'!D103</f>
        <v>194</v>
      </c>
      <c r="K257" s="151">
        <f>'Supra B por pav'!E103</f>
        <v>438</v>
      </c>
      <c r="L257" s="151">
        <f>'Supra B por pav'!F103</f>
        <v>343</v>
      </c>
      <c r="M257" s="151">
        <f>'Supra B por pav'!G103</f>
        <v>231</v>
      </c>
      <c r="N257" s="151">
        <f>'Supra B por pav'!H103</f>
        <v>401</v>
      </c>
      <c r="O257" s="151">
        <f>'Supra B por pav'!I103</f>
        <v>550</v>
      </c>
      <c r="P257" s="167">
        <f>'Supra B por pav'!J103</f>
        <v>1614</v>
      </c>
      <c r="Q257" s="171">
        <f>'Supra B por pav'!K103</f>
        <v>1370</v>
      </c>
    </row>
    <row r="258" spans="1:17" x14ac:dyDescent="0.25">
      <c r="A258" s="160"/>
      <c r="B258" s="180"/>
      <c r="C258" s="140"/>
      <c r="D258" s="140"/>
      <c r="E258" s="140" t="s">
        <v>52</v>
      </c>
      <c r="F258" s="141"/>
      <c r="G258" s="142">
        <f>'Supra B por pav'!M104</f>
        <v>40.42</v>
      </c>
      <c r="H258" s="143">
        <f>'Supra B por pav'!L104</f>
        <v>4063</v>
      </c>
      <c r="I258" s="143">
        <f>'Supra B por pav'!C104</f>
        <v>0</v>
      </c>
      <c r="J258" s="143">
        <f>'Supra B por pav'!D104</f>
        <v>74</v>
      </c>
      <c r="K258" s="143">
        <f>'Supra B por pav'!E104</f>
        <v>1000</v>
      </c>
      <c r="L258" s="143">
        <f>'Supra B por pav'!F104</f>
        <v>0</v>
      </c>
      <c r="M258" s="143">
        <f>'Supra B por pav'!G104</f>
        <v>0</v>
      </c>
      <c r="N258" s="143">
        <f>'Supra B por pav'!H104</f>
        <v>1156</v>
      </c>
      <c r="O258" s="143">
        <f>'Supra B por pav'!I104</f>
        <v>1478</v>
      </c>
      <c r="P258" s="164">
        <f>'Supra B por pav'!J104</f>
        <v>355</v>
      </c>
      <c r="Q258" s="168">
        <f>'Supra B por pav'!K104</f>
        <v>0</v>
      </c>
    </row>
    <row r="259" spans="1:17" x14ac:dyDescent="0.25">
      <c r="A259" s="160"/>
      <c r="B259" s="180"/>
      <c r="C259" s="140"/>
      <c r="D259" s="140"/>
      <c r="E259" s="140" t="s">
        <v>53</v>
      </c>
      <c r="F259" s="141"/>
      <c r="G259" s="142">
        <f>'Supra B por pav'!M105</f>
        <v>95</v>
      </c>
      <c r="H259" s="143">
        <f>'Supra B por pav'!L105</f>
        <v>10765</v>
      </c>
      <c r="I259" s="143">
        <f>'Supra B por pav'!C105</f>
        <v>872</v>
      </c>
      <c r="J259" s="143">
        <f>'Supra B por pav'!D105</f>
        <v>0</v>
      </c>
      <c r="K259" s="143">
        <f>'Supra B por pav'!E105</f>
        <v>56</v>
      </c>
      <c r="L259" s="143">
        <f>'Supra B por pav'!F105</f>
        <v>1241</v>
      </c>
      <c r="M259" s="143">
        <f>'Supra B por pav'!G105</f>
        <v>1735</v>
      </c>
      <c r="N259" s="143">
        <f>'Supra B por pav'!H105</f>
        <v>2836</v>
      </c>
      <c r="O259" s="143">
        <f>'Supra B por pav'!I105</f>
        <v>4025</v>
      </c>
      <c r="P259" s="164">
        <f>'Supra B por pav'!J105</f>
        <v>0</v>
      </c>
      <c r="Q259" s="168">
        <f>'Supra B por pav'!K105</f>
        <v>0</v>
      </c>
    </row>
    <row r="260" spans="1:17" x14ac:dyDescent="0.25">
      <c r="A260" s="160"/>
      <c r="B260" s="180"/>
      <c r="C260" s="140"/>
      <c r="D260" s="140"/>
      <c r="E260" s="140" t="s">
        <v>54</v>
      </c>
      <c r="F260" s="141"/>
      <c r="G260" s="142">
        <f>'Supra B por pav'!M106</f>
        <v>1.625</v>
      </c>
      <c r="H260" s="143">
        <f>'Supra B por pav'!L106</f>
        <v>129</v>
      </c>
      <c r="I260" s="143">
        <f>'Supra B por pav'!C106</f>
        <v>0</v>
      </c>
      <c r="J260" s="143">
        <f>'Supra B por pav'!D106</f>
        <v>0</v>
      </c>
      <c r="K260" s="143">
        <f>'Supra B por pav'!E106</f>
        <v>0</v>
      </c>
      <c r="L260" s="143">
        <f>'Supra B por pav'!F106</f>
        <v>20</v>
      </c>
      <c r="M260" s="143">
        <f>'Supra B por pav'!G106</f>
        <v>109</v>
      </c>
      <c r="N260" s="143">
        <f>'Supra B por pav'!H106</f>
        <v>0</v>
      </c>
      <c r="O260" s="143">
        <f>'Supra B por pav'!I106</f>
        <v>0</v>
      </c>
      <c r="P260" s="164">
        <f>'Supra B por pav'!J106</f>
        <v>0</v>
      </c>
      <c r="Q260" s="168">
        <f>'Supra B por pav'!K106</f>
        <v>0</v>
      </c>
    </row>
    <row r="261" spans="1:17" ht="15.75" thickBot="1" x14ac:dyDescent="0.3">
      <c r="A261" s="161"/>
      <c r="B261" s="181"/>
      <c r="C261" s="144"/>
      <c r="D261" s="144"/>
      <c r="E261" s="144" t="s">
        <v>55</v>
      </c>
      <c r="F261" s="145"/>
      <c r="G261" s="146">
        <f>'Supra B por pav'!M107</f>
        <v>0</v>
      </c>
      <c r="H261" s="147">
        <f>'Supra B por pav'!L107</f>
        <v>0</v>
      </c>
      <c r="I261" s="147">
        <f>'Supra B por pav'!C107</f>
        <v>0</v>
      </c>
      <c r="J261" s="147">
        <f>'Supra B por pav'!D107</f>
        <v>0</v>
      </c>
      <c r="K261" s="147">
        <f>'Supra B por pav'!E107</f>
        <v>0</v>
      </c>
      <c r="L261" s="147">
        <f>'Supra B por pav'!F107</f>
        <v>0</v>
      </c>
      <c r="M261" s="147">
        <f>'Supra B por pav'!G107</f>
        <v>0</v>
      </c>
      <c r="N261" s="147">
        <f>'Supra B por pav'!H107</f>
        <v>0</v>
      </c>
      <c r="O261" s="147">
        <f>'Supra B por pav'!I107</f>
        <v>0</v>
      </c>
      <c r="P261" s="165">
        <f>'Supra B por pav'!J107</f>
        <v>0</v>
      </c>
      <c r="Q261" s="169">
        <f>'Supra B por pav'!K107</f>
        <v>0</v>
      </c>
    </row>
    <row r="262" spans="1:17" ht="16.5" thickTop="1" thickBot="1" x14ac:dyDescent="0.3">
      <c r="A262" s="162" t="s">
        <v>281</v>
      </c>
      <c r="B262" s="158" t="s">
        <v>165</v>
      </c>
      <c r="C262" s="152" t="s">
        <v>74</v>
      </c>
      <c r="D262" s="152" t="s">
        <v>263</v>
      </c>
      <c r="E262" s="152"/>
      <c r="F262" s="153">
        <v>50</v>
      </c>
      <c r="G262" s="154">
        <f t="shared" ref="G262:Q262" si="42">SUM(G257:G261)</f>
        <v>171.89500000000001</v>
      </c>
      <c r="H262" s="155">
        <f t="shared" si="42"/>
        <v>20098</v>
      </c>
      <c r="I262" s="155">
        <f t="shared" si="42"/>
        <v>872</v>
      </c>
      <c r="J262" s="155">
        <f t="shared" si="42"/>
        <v>268</v>
      </c>
      <c r="K262" s="155">
        <f t="shared" si="42"/>
        <v>1494</v>
      </c>
      <c r="L262" s="155">
        <f t="shared" si="42"/>
        <v>1604</v>
      </c>
      <c r="M262" s="155">
        <f t="shared" si="42"/>
        <v>2075</v>
      </c>
      <c r="N262" s="155">
        <f t="shared" si="42"/>
        <v>4393</v>
      </c>
      <c r="O262" s="155">
        <f t="shared" si="42"/>
        <v>6053</v>
      </c>
      <c r="P262" s="166">
        <f t="shared" si="42"/>
        <v>1969</v>
      </c>
      <c r="Q262" s="170">
        <f t="shared" si="42"/>
        <v>1370</v>
      </c>
    </row>
    <row r="263" spans="1:17" ht="15.75" thickTop="1" x14ac:dyDescent="0.25">
      <c r="A263" s="163" t="s">
        <v>281</v>
      </c>
      <c r="B263" s="182" t="s">
        <v>165</v>
      </c>
      <c r="C263" s="148" t="s">
        <v>75</v>
      </c>
      <c r="D263" s="148" t="s">
        <v>75</v>
      </c>
      <c r="E263" s="148" t="s">
        <v>51</v>
      </c>
      <c r="F263" s="149">
        <v>50</v>
      </c>
      <c r="G263" s="150">
        <f>'Supra B por pav'!M109</f>
        <v>34.85</v>
      </c>
      <c r="H263" s="151">
        <f>'Supra B por pav'!L109</f>
        <v>5141</v>
      </c>
      <c r="I263" s="151">
        <f>'Supra B por pav'!C109</f>
        <v>0</v>
      </c>
      <c r="J263" s="151">
        <f>'Supra B por pav'!D109</f>
        <v>194</v>
      </c>
      <c r="K263" s="151">
        <f>'Supra B por pav'!E109</f>
        <v>438</v>
      </c>
      <c r="L263" s="151">
        <f>'Supra B por pav'!F109</f>
        <v>343</v>
      </c>
      <c r="M263" s="151">
        <f>'Supra B por pav'!G109</f>
        <v>231</v>
      </c>
      <c r="N263" s="151">
        <f>'Supra B por pav'!H109</f>
        <v>401</v>
      </c>
      <c r="O263" s="151">
        <f>'Supra B por pav'!I109</f>
        <v>550</v>
      </c>
      <c r="P263" s="167">
        <f>'Supra B por pav'!J109</f>
        <v>1614</v>
      </c>
      <c r="Q263" s="171">
        <f>'Supra B por pav'!K109</f>
        <v>1370</v>
      </c>
    </row>
    <row r="264" spans="1:17" x14ac:dyDescent="0.25">
      <c r="A264" s="160"/>
      <c r="B264" s="180"/>
      <c r="C264" s="140"/>
      <c r="D264" s="140"/>
      <c r="E264" s="140" t="s">
        <v>52</v>
      </c>
      <c r="F264" s="141"/>
      <c r="G264" s="142">
        <f>'Supra B por pav'!M110</f>
        <v>40.42</v>
      </c>
      <c r="H264" s="143">
        <f>'Supra B por pav'!L110</f>
        <v>3885</v>
      </c>
      <c r="I264" s="143">
        <f>'Supra B por pav'!C110</f>
        <v>0</v>
      </c>
      <c r="J264" s="143">
        <f>'Supra B por pav'!D110</f>
        <v>74</v>
      </c>
      <c r="K264" s="143">
        <f>'Supra B por pav'!E110</f>
        <v>999</v>
      </c>
      <c r="L264" s="143">
        <f>'Supra B por pav'!F110</f>
        <v>0</v>
      </c>
      <c r="M264" s="143">
        <f>'Supra B por pav'!G110</f>
        <v>0</v>
      </c>
      <c r="N264" s="143">
        <f>'Supra B por pav'!H110</f>
        <v>1233</v>
      </c>
      <c r="O264" s="143">
        <f>'Supra B por pav'!I110</f>
        <v>1579</v>
      </c>
      <c r="P264" s="164">
        <f>'Supra B por pav'!J110</f>
        <v>0</v>
      </c>
      <c r="Q264" s="168">
        <f>'Supra B por pav'!K110</f>
        <v>0</v>
      </c>
    </row>
    <row r="265" spans="1:17" x14ac:dyDescent="0.25">
      <c r="A265" s="160"/>
      <c r="B265" s="180"/>
      <c r="C265" s="140"/>
      <c r="D265" s="140"/>
      <c r="E265" s="140" t="s">
        <v>53</v>
      </c>
      <c r="F265" s="141"/>
      <c r="G265" s="142">
        <f>'Supra B por pav'!M111</f>
        <v>95</v>
      </c>
      <c r="H265" s="143">
        <f>'Supra B por pav'!L111</f>
        <v>10752</v>
      </c>
      <c r="I265" s="143">
        <f>'Supra B por pav'!C111</f>
        <v>872</v>
      </c>
      <c r="J265" s="143">
        <f>'Supra B por pav'!D111</f>
        <v>0</v>
      </c>
      <c r="K265" s="143">
        <f>'Supra B por pav'!E111</f>
        <v>59</v>
      </c>
      <c r="L265" s="143">
        <f>'Supra B por pav'!F111</f>
        <v>1235</v>
      </c>
      <c r="M265" s="143">
        <f>'Supra B por pav'!G111</f>
        <v>1753</v>
      </c>
      <c r="N265" s="143">
        <f>'Supra B por pav'!H111</f>
        <v>2836</v>
      </c>
      <c r="O265" s="143">
        <f>'Supra B por pav'!I111</f>
        <v>3997</v>
      </c>
      <c r="P265" s="164">
        <f>'Supra B por pav'!J111</f>
        <v>0</v>
      </c>
      <c r="Q265" s="168">
        <f>'Supra B por pav'!K111</f>
        <v>0</v>
      </c>
    </row>
    <row r="266" spans="1:17" x14ac:dyDescent="0.25">
      <c r="A266" s="160"/>
      <c r="B266" s="180"/>
      <c r="C266" s="140"/>
      <c r="D266" s="140"/>
      <c r="E266" s="140" t="s">
        <v>54</v>
      </c>
      <c r="F266" s="141"/>
      <c r="G266" s="142">
        <f>'Supra B por pav'!M112</f>
        <v>1.625</v>
      </c>
      <c r="H266" s="143">
        <f>'Supra B por pav'!L112</f>
        <v>129</v>
      </c>
      <c r="I266" s="143">
        <f>'Supra B por pav'!C112</f>
        <v>0</v>
      </c>
      <c r="J266" s="143">
        <f>'Supra B por pav'!D112</f>
        <v>0</v>
      </c>
      <c r="K266" s="143">
        <f>'Supra B por pav'!E112</f>
        <v>0</v>
      </c>
      <c r="L266" s="143">
        <f>'Supra B por pav'!F112</f>
        <v>20</v>
      </c>
      <c r="M266" s="143">
        <f>'Supra B por pav'!G112</f>
        <v>109</v>
      </c>
      <c r="N266" s="143">
        <f>'Supra B por pav'!H112</f>
        <v>0</v>
      </c>
      <c r="O266" s="143">
        <f>'Supra B por pav'!I112</f>
        <v>0</v>
      </c>
      <c r="P266" s="164">
        <f>'Supra B por pav'!J112</f>
        <v>0</v>
      </c>
      <c r="Q266" s="168">
        <f>'Supra B por pav'!K112</f>
        <v>0</v>
      </c>
    </row>
    <row r="267" spans="1:17" ht="15.75" thickBot="1" x14ac:dyDescent="0.3">
      <c r="A267" s="161"/>
      <c r="B267" s="181"/>
      <c r="C267" s="144"/>
      <c r="D267" s="144"/>
      <c r="E267" s="144" t="s">
        <v>55</v>
      </c>
      <c r="F267" s="145"/>
      <c r="G267" s="146">
        <f>'Supra B por pav'!M113</f>
        <v>0</v>
      </c>
      <c r="H267" s="147">
        <f>'Supra B por pav'!L113</f>
        <v>0</v>
      </c>
      <c r="I267" s="147">
        <f>'Supra B por pav'!C113</f>
        <v>0</v>
      </c>
      <c r="J267" s="147">
        <f>'Supra B por pav'!D113</f>
        <v>0</v>
      </c>
      <c r="K267" s="147">
        <f>'Supra B por pav'!E113</f>
        <v>0</v>
      </c>
      <c r="L267" s="147">
        <f>'Supra B por pav'!F113</f>
        <v>0</v>
      </c>
      <c r="M267" s="147">
        <f>'Supra B por pav'!G113</f>
        <v>0</v>
      </c>
      <c r="N267" s="147">
        <f>'Supra B por pav'!H113</f>
        <v>0</v>
      </c>
      <c r="O267" s="147">
        <f>'Supra B por pav'!I113</f>
        <v>0</v>
      </c>
      <c r="P267" s="165">
        <f>'Supra B por pav'!J113</f>
        <v>0</v>
      </c>
      <c r="Q267" s="169">
        <f>'Supra B por pav'!K113</f>
        <v>0</v>
      </c>
    </row>
    <row r="268" spans="1:17" ht="16.5" thickTop="1" thickBot="1" x14ac:dyDescent="0.3">
      <c r="A268" s="162" t="s">
        <v>281</v>
      </c>
      <c r="B268" s="158" t="s">
        <v>165</v>
      </c>
      <c r="C268" s="152" t="s">
        <v>75</v>
      </c>
      <c r="D268" s="152" t="s">
        <v>264</v>
      </c>
      <c r="E268" s="152"/>
      <c r="F268" s="153">
        <v>50</v>
      </c>
      <c r="G268" s="154">
        <f t="shared" ref="G268:Q268" si="43">SUM(G263:G267)</f>
        <v>171.89500000000001</v>
      </c>
      <c r="H268" s="155">
        <f t="shared" si="43"/>
        <v>19907</v>
      </c>
      <c r="I268" s="155">
        <f t="shared" si="43"/>
        <v>872</v>
      </c>
      <c r="J268" s="155">
        <f t="shared" si="43"/>
        <v>268</v>
      </c>
      <c r="K268" s="155">
        <f t="shared" si="43"/>
        <v>1496</v>
      </c>
      <c r="L268" s="155">
        <f t="shared" si="43"/>
        <v>1598</v>
      </c>
      <c r="M268" s="155">
        <f t="shared" si="43"/>
        <v>2093</v>
      </c>
      <c r="N268" s="155">
        <f t="shared" si="43"/>
        <v>4470</v>
      </c>
      <c r="O268" s="155">
        <f t="shared" si="43"/>
        <v>6126</v>
      </c>
      <c r="P268" s="166">
        <f t="shared" si="43"/>
        <v>1614</v>
      </c>
      <c r="Q268" s="170">
        <f t="shared" si="43"/>
        <v>1370</v>
      </c>
    </row>
    <row r="269" spans="1:17" ht="15.75" thickTop="1" x14ac:dyDescent="0.25">
      <c r="A269" s="163" t="s">
        <v>281</v>
      </c>
      <c r="B269" s="182" t="s">
        <v>165</v>
      </c>
      <c r="C269" s="148" t="s">
        <v>76</v>
      </c>
      <c r="D269" s="148" t="s">
        <v>76</v>
      </c>
      <c r="E269" s="148" t="s">
        <v>51</v>
      </c>
      <c r="F269" s="149">
        <v>50</v>
      </c>
      <c r="G269" s="150">
        <f>'Supra B por pav'!M115</f>
        <v>34.85</v>
      </c>
      <c r="H269" s="151">
        <f>'Supra B por pav'!L115</f>
        <v>4496</v>
      </c>
      <c r="I269" s="151">
        <f>'Supra B por pav'!C115</f>
        <v>0</v>
      </c>
      <c r="J269" s="151">
        <f>'Supra B por pav'!D115</f>
        <v>218</v>
      </c>
      <c r="K269" s="151">
        <f>'Supra B por pav'!E115</f>
        <v>398</v>
      </c>
      <c r="L269" s="151">
        <f>'Supra B por pav'!F115</f>
        <v>325</v>
      </c>
      <c r="M269" s="151">
        <f>'Supra B por pav'!G115</f>
        <v>214</v>
      </c>
      <c r="N269" s="151">
        <f>'Supra B por pav'!H115</f>
        <v>547</v>
      </c>
      <c r="O269" s="151">
        <f>'Supra B por pav'!I115</f>
        <v>543</v>
      </c>
      <c r="P269" s="167">
        <f>'Supra B por pav'!J115</f>
        <v>1361</v>
      </c>
      <c r="Q269" s="171">
        <f>'Supra B por pav'!K115</f>
        <v>890</v>
      </c>
    </row>
    <row r="270" spans="1:17" x14ac:dyDescent="0.25">
      <c r="A270" s="160"/>
      <c r="B270" s="180"/>
      <c r="C270" s="140"/>
      <c r="D270" s="140"/>
      <c r="E270" s="140" t="s">
        <v>52</v>
      </c>
      <c r="F270" s="141"/>
      <c r="G270" s="142">
        <f>'Supra B por pav'!M116</f>
        <v>40.42</v>
      </c>
      <c r="H270" s="143">
        <f>'Supra B por pav'!L116</f>
        <v>3885</v>
      </c>
      <c r="I270" s="143">
        <f>'Supra B por pav'!C116</f>
        <v>0</v>
      </c>
      <c r="J270" s="143">
        <f>'Supra B por pav'!D116</f>
        <v>74</v>
      </c>
      <c r="K270" s="143">
        <f>'Supra B por pav'!E116</f>
        <v>999</v>
      </c>
      <c r="L270" s="143">
        <f>'Supra B por pav'!F116</f>
        <v>0</v>
      </c>
      <c r="M270" s="143">
        <f>'Supra B por pav'!G116</f>
        <v>0</v>
      </c>
      <c r="N270" s="143">
        <f>'Supra B por pav'!H116</f>
        <v>1233</v>
      </c>
      <c r="O270" s="143">
        <f>'Supra B por pav'!I116</f>
        <v>1579</v>
      </c>
      <c r="P270" s="164">
        <f>'Supra B por pav'!J116</f>
        <v>0</v>
      </c>
      <c r="Q270" s="168">
        <f>'Supra B por pav'!K116</f>
        <v>0</v>
      </c>
    </row>
    <row r="271" spans="1:17" x14ac:dyDescent="0.25">
      <c r="A271" s="160"/>
      <c r="B271" s="180"/>
      <c r="C271" s="140"/>
      <c r="D271" s="140"/>
      <c r="E271" s="140" t="s">
        <v>53</v>
      </c>
      <c r="F271" s="141"/>
      <c r="G271" s="142">
        <f>'Supra B por pav'!M117</f>
        <v>95</v>
      </c>
      <c r="H271" s="143">
        <f>'Supra B por pav'!L117</f>
        <v>10765</v>
      </c>
      <c r="I271" s="143">
        <f>'Supra B por pav'!C117</f>
        <v>872</v>
      </c>
      <c r="J271" s="143">
        <f>'Supra B por pav'!D117</f>
        <v>0</v>
      </c>
      <c r="K271" s="143">
        <f>'Supra B por pav'!E117</f>
        <v>56</v>
      </c>
      <c r="L271" s="143">
        <f>'Supra B por pav'!F117</f>
        <v>1241</v>
      </c>
      <c r="M271" s="143">
        <f>'Supra B por pav'!G117</f>
        <v>1735</v>
      </c>
      <c r="N271" s="143">
        <f>'Supra B por pav'!H117</f>
        <v>2836</v>
      </c>
      <c r="O271" s="143">
        <f>'Supra B por pav'!I117</f>
        <v>4025</v>
      </c>
      <c r="P271" s="164">
        <f>'Supra B por pav'!J117</f>
        <v>0</v>
      </c>
      <c r="Q271" s="168">
        <f>'Supra B por pav'!K117</f>
        <v>0</v>
      </c>
    </row>
    <row r="272" spans="1:17" x14ac:dyDescent="0.25">
      <c r="A272" s="160"/>
      <c r="B272" s="180"/>
      <c r="C272" s="140"/>
      <c r="D272" s="140"/>
      <c r="E272" s="140" t="s">
        <v>54</v>
      </c>
      <c r="F272" s="141"/>
      <c r="G272" s="142">
        <f>'Supra B por pav'!M118</f>
        <v>1.625</v>
      </c>
      <c r="H272" s="143">
        <f>'Supra B por pav'!L118</f>
        <v>129</v>
      </c>
      <c r="I272" s="143">
        <f>'Supra B por pav'!C118</f>
        <v>0</v>
      </c>
      <c r="J272" s="143">
        <f>'Supra B por pav'!D118</f>
        <v>0</v>
      </c>
      <c r="K272" s="143">
        <f>'Supra B por pav'!E118</f>
        <v>0</v>
      </c>
      <c r="L272" s="143">
        <f>'Supra B por pav'!F118</f>
        <v>20</v>
      </c>
      <c r="M272" s="143">
        <f>'Supra B por pav'!G118</f>
        <v>109</v>
      </c>
      <c r="N272" s="143">
        <f>'Supra B por pav'!H118</f>
        <v>0</v>
      </c>
      <c r="O272" s="143">
        <f>'Supra B por pav'!I118</f>
        <v>0</v>
      </c>
      <c r="P272" s="164">
        <f>'Supra B por pav'!J118</f>
        <v>0</v>
      </c>
      <c r="Q272" s="168">
        <f>'Supra B por pav'!K118</f>
        <v>0</v>
      </c>
    </row>
    <row r="273" spans="1:17" ht="15.75" thickBot="1" x14ac:dyDescent="0.3">
      <c r="A273" s="161"/>
      <c r="B273" s="181"/>
      <c r="C273" s="144"/>
      <c r="D273" s="144"/>
      <c r="E273" s="144" t="s">
        <v>55</v>
      </c>
      <c r="F273" s="145"/>
      <c r="G273" s="146">
        <f>'Supra B por pav'!M119</f>
        <v>0</v>
      </c>
      <c r="H273" s="147">
        <f>'Supra B por pav'!L119</f>
        <v>0</v>
      </c>
      <c r="I273" s="147">
        <f>'Supra B por pav'!C119</f>
        <v>0</v>
      </c>
      <c r="J273" s="147">
        <f>'Supra B por pav'!D119</f>
        <v>0</v>
      </c>
      <c r="K273" s="147">
        <f>'Supra B por pav'!E119</f>
        <v>0</v>
      </c>
      <c r="L273" s="147">
        <f>'Supra B por pav'!F119</f>
        <v>0</v>
      </c>
      <c r="M273" s="147">
        <f>'Supra B por pav'!G119</f>
        <v>0</v>
      </c>
      <c r="N273" s="147">
        <f>'Supra B por pav'!H119</f>
        <v>0</v>
      </c>
      <c r="O273" s="147">
        <f>'Supra B por pav'!I119</f>
        <v>0</v>
      </c>
      <c r="P273" s="165">
        <f>'Supra B por pav'!J119</f>
        <v>0</v>
      </c>
      <c r="Q273" s="169">
        <f>'Supra B por pav'!K119</f>
        <v>0</v>
      </c>
    </row>
    <row r="274" spans="1:17" ht="16.5" thickTop="1" thickBot="1" x14ac:dyDescent="0.3">
      <c r="A274" s="162" t="s">
        <v>281</v>
      </c>
      <c r="B274" s="158" t="s">
        <v>165</v>
      </c>
      <c r="C274" s="152" t="s">
        <v>76</v>
      </c>
      <c r="D274" s="152" t="s">
        <v>265</v>
      </c>
      <c r="E274" s="152"/>
      <c r="F274" s="153">
        <v>50</v>
      </c>
      <c r="G274" s="154">
        <f t="shared" ref="G274:Q274" si="44">SUM(G269:G273)</f>
        <v>171.89500000000001</v>
      </c>
      <c r="H274" s="155">
        <f t="shared" si="44"/>
        <v>19275</v>
      </c>
      <c r="I274" s="155">
        <f t="shared" si="44"/>
        <v>872</v>
      </c>
      <c r="J274" s="155">
        <f t="shared" si="44"/>
        <v>292</v>
      </c>
      <c r="K274" s="155">
        <f t="shared" si="44"/>
        <v>1453</v>
      </c>
      <c r="L274" s="155">
        <f t="shared" si="44"/>
        <v>1586</v>
      </c>
      <c r="M274" s="155">
        <f t="shared" si="44"/>
        <v>2058</v>
      </c>
      <c r="N274" s="155">
        <f t="shared" si="44"/>
        <v>4616</v>
      </c>
      <c r="O274" s="155">
        <f t="shared" si="44"/>
        <v>6147</v>
      </c>
      <c r="P274" s="166">
        <f t="shared" si="44"/>
        <v>1361</v>
      </c>
      <c r="Q274" s="170">
        <f t="shared" si="44"/>
        <v>890</v>
      </c>
    </row>
    <row r="275" spans="1:17" ht="15.75" thickTop="1" x14ac:dyDescent="0.25">
      <c r="A275" s="163" t="s">
        <v>281</v>
      </c>
      <c r="B275" s="182" t="s">
        <v>165</v>
      </c>
      <c r="C275" s="148" t="s">
        <v>77</v>
      </c>
      <c r="D275" s="148" t="s">
        <v>77</v>
      </c>
      <c r="E275" s="148" t="s">
        <v>51</v>
      </c>
      <c r="F275" s="149">
        <v>50</v>
      </c>
      <c r="G275" s="150">
        <f>'Supra B por pav'!M121</f>
        <v>34.85</v>
      </c>
      <c r="H275" s="151">
        <f>'Supra B por pav'!L121</f>
        <v>4496</v>
      </c>
      <c r="I275" s="151">
        <f>'Supra B por pav'!C121</f>
        <v>0</v>
      </c>
      <c r="J275" s="151">
        <f>'Supra B por pav'!D121</f>
        <v>218</v>
      </c>
      <c r="K275" s="151">
        <f>'Supra B por pav'!E121</f>
        <v>398</v>
      </c>
      <c r="L275" s="151">
        <f>'Supra B por pav'!F121</f>
        <v>325</v>
      </c>
      <c r="M275" s="151">
        <f>'Supra B por pav'!G121</f>
        <v>214</v>
      </c>
      <c r="N275" s="151">
        <f>'Supra B por pav'!H121</f>
        <v>547</v>
      </c>
      <c r="O275" s="151">
        <f>'Supra B por pav'!I121</f>
        <v>543</v>
      </c>
      <c r="P275" s="167">
        <f>'Supra B por pav'!J121</f>
        <v>1361</v>
      </c>
      <c r="Q275" s="171">
        <f>'Supra B por pav'!K121</f>
        <v>890</v>
      </c>
    </row>
    <row r="276" spans="1:17" x14ac:dyDescent="0.25">
      <c r="A276" s="160"/>
      <c r="B276" s="180"/>
      <c r="C276" s="140"/>
      <c r="D276" s="140"/>
      <c r="E276" s="140" t="s">
        <v>52</v>
      </c>
      <c r="F276" s="141"/>
      <c r="G276" s="142">
        <f>'Supra B por pav'!M122</f>
        <v>40.42</v>
      </c>
      <c r="H276" s="143">
        <f>'Supra B por pav'!L122</f>
        <v>3885</v>
      </c>
      <c r="I276" s="143">
        <f>'Supra B por pav'!C122</f>
        <v>0</v>
      </c>
      <c r="J276" s="143">
        <f>'Supra B por pav'!D122</f>
        <v>74</v>
      </c>
      <c r="K276" s="143">
        <f>'Supra B por pav'!E122</f>
        <v>999</v>
      </c>
      <c r="L276" s="143">
        <f>'Supra B por pav'!F122</f>
        <v>0</v>
      </c>
      <c r="M276" s="143">
        <f>'Supra B por pav'!G122</f>
        <v>0</v>
      </c>
      <c r="N276" s="143">
        <f>'Supra B por pav'!H122</f>
        <v>1233</v>
      </c>
      <c r="O276" s="143">
        <f>'Supra B por pav'!I122</f>
        <v>1579</v>
      </c>
      <c r="P276" s="164">
        <f>'Supra B por pav'!J122</f>
        <v>0</v>
      </c>
      <c r="Q276" s="168">
        <f>'Supra B por pav'!K122</f>
        <v>0</v>
      </c>
    </row>
    <row r="277" spans="1:17" x14ac:dyDescent="0.25">
      <c r="A277" s="160"/>
      <c r="B277" s="180"/>
      <c r="C277" s="140"/>
      <c r="D277" s="140"/>
      <c r="E277" s="140" t="s">
        <v>53</v>
      </c>
      <c r="F277" s="141"/>
      <c r="G277" s="142">
        <f>'Supra B por pav'!M123</f>
        <v>95</v>
      </c>
      <c r="H277" s="143">
        <f>'Supra B por pav'!L123</f>
        <v>10752</v>
      </c>
      <c r="I277" s="143">
        <f>'Supra B por pav'!C123</f>
        <v>872</v>
      </c>
      <c r="J277" s="143">
        <f>'Supra B por pav'!D123</f>
        <v>0</v>
      </c>
      <c r="K277" s="143">
        <f>'Supra B por pav'!E123</f>
        <v>59</v>
      </c>
      <c r="L277" s="143">
        <f>'Supra B por pav'!F123</f>
        <v>1235</v>
      </c>
      <c r="M277" s="143">
        <f>'Supra B por pav'!G123</f>
        <v>1753</v>
      </c>
      <c r="N277" s="143">
        <f>'Supra B por pav'!H123</f>
        <v>2836</v>
      </c>
      <c r="O277" s="143">
        <f>'Supra B por pav'!I123</f>
        <v>3997</v>
      </c>
      <c r="P277" s="164">
        <f>'Supra B por pav'!J123</f>
        <v>0</v>
      </c>
      <c r="Q277" s="168">
        <f>'Supra B por pav'!K123</f>
        <v>0</v>
      </c>
    </row>
    <row r="278" spans="1:17" x14ac:dyDescent="0.25">
      <c r="A278" s="160"/>
      <c r="B278" s="180"/>
      <c r="C278" s="140"/>
      <c r="D278" s="140"/>
      <c r="E278" s="140" t="s">
        <v>54</v>
      </c>
      <c r="F278" s="141"/>
      <c r="G278" s="142">
        <f>'Supra B por pav'!M124</f>
        <v>1.625</v>
      </c>
      <c r="H278" s="143">
        <f>'Supra B por pav'!L124</f>
        <v>129</v>
      </c>
      <c r="I278" s="143">
        <f>'Supra B por pav'!C124</f>
        <v>0</v>
      </c>
      <c r="J278" s="143">
        <f>'Supra B por pav'!D124</f>
        <v>0</v>
      </c>
      <c r="K278" s="143">
        <f>'Supra B por pav'!E124</f>
        <v>0</v>
      </c>
      <c r="L278" s="143">
        <f>'Supra B por pav'!F124</f>
        <v>20</v>
      </c>
      <c r="M278" s="143">
        <f>'Supra B por pav'!G124</f>
        <v>109</v>
      </c>
      <c r="N278" s="143">
        <f>'Supra B por pav'!H124</f>
        <v>0</v>
      </c>
      <c r="O278" s="143">
        <f>'Supra B por pav'!I124</f>
        <v>0</v>
      </c>
      <c r="P278" s="164">
        <f>'Supra B por pav'!J124</f>
        <v>0</v>
      </c>
      <c r="Q278" s="168">
        <f>'Supra B por pav'!K124</f>
        <v>0</v>
      </c>
    </row>
    <row r="279" spans="1:17" ht="15.75" thickBot="1" x14ac:dyDescent="0.3">
      <c r="A279" s="161"/>
      <c r="B279" s="181"/>
      <c r="C279" s="144"/>
      <c r="D279" s="144"/>
      <c r="E279" s="144" t="s">
        <v>55</v>
      </c>
      <c r="F279" s="145"/>
      <c r="G279" s="146">
        <f>'Supra B por pav'!M125</f>
        <v>0</v>
      </c>
      <c r="H279" s="147">
        <f>'Supra B por pav'!L125</f>
        <v>0</v>
      </c>
      <c r="I279" s="147">
        <f>'Supra B por pav'!C125</f>
        <v>0</v>
      </c>
      <c r="J279" s="147">
        <f>'Supra B por pav'!D125</f>
        <v>0</v>
      </c>
      <c r="K279" s="147">
        <f>'Supra B por pav'!E125</f>
        <v>0</v>
      </c>
      <c r="L279" s="147">
        <f>'Supra B por pav'!F125</f>
        <v>0</v>
      </c>
      <c r="M279" s="147">
        <f>'Supra B por pav'!G125</f>
        <v>0</v>
      </c>
      <c r="N279" s="147">
        <f>'Supra B por pav'!H125</f>
        <v>0</v>
      </c>
      <c r="O279" s="147">
        <f>'Supra B por pav'!I125</f>
        <v>0</v>
      </c>
      <c r="P279" s="165">
        <f>'Supra B por pav'!J125</f>
        <v>0</v>
      </c>
      <c r="Q279" s="169">
        <f>'Supra B por pav'!K125</f>
        <v>0</v>
      </c>
    </row>
    <row r="280" spans="1:17" ht="16.5" thickTop="1" thickBot="1" x14ac:dyDescent="0.3">
      <c r="A280" s="162" t="s">
        <v>281</v>
      </c>
      <c r="B280" s="158" t="s">
        <v>165</v>
      </c>
      <c r="C280" s="152" t="s">
        <v>77</v>
      </c>
      <c r="D280" s="152" t="s">
        <v>266</v>
      </c>
      <c r="E280" s="152"/>
      <c r="F280" s="153">
        <v>50</v>
      </c>
      <c r="G280" s="154">
        <f t="shared" ref="G280:Q280" si="45">SUM(G275:G279)</f>
        <v>171.89500000000001</v>
      </c>
      <c r="H280" s="155">
        <f t="shared" si="45"/>
        <v>19262</v>
      </c>
      <c r="I280" s="155">
        <f t="shared" si="45"/>
        <v>872</v>
      </c>
      <c r="J280" s="155">
        <f t="shared" si="45"/>
        <v>292</v>
      </c>
      <c r="K280" s="155">
        <f t="shared" si="45"/>
        <v>1456</v>
      </c>
      <c r="L280" s="155">
        <f t="shared" si="45"/>
        <v>1580</v>
      </c>
      <c r="M280" s="155">
        <f t="shared" si="45"/>
        <v>2076</v>
      </c>
      <c r="N280" s="155">
        <f t="shared" si="45"/>
        <v>4616</v>
      </c>
      <c r="O280" s="155">
        <f t="shared" si="45"/>
        <v>6119</v>
      </c>
      <c r="P280" s="166">
        <f t="shared" si="45"/>
        <v>1361</v>
      </c>
      <c r="Q280" s="170">
        <f t="shared" si="45"/>
        <v>890</v>
      </c>
    </row>
    <row r="281" spans="1:17" ht="15.75" thickTop="1" x14ac:dyDescent="0.25">
      <c r="A281" s="163" t="s">
        <v>281</v>
      </c>
      <c r="B281" s="182" t="s">
        <v>165</v>
      </c>
      <c r="C281" s="148" t="s">
        <v>78</v>
      </c>
      <c r="D281" s="148" t="s">
        <v>78</v>
      </c>
      <c r="E281" s="148" t="s">
        <v>51</v>
      </c>
      <c r="F281" s="149">
        <v>50</v>
      </c>
      <c r="G281" s="150">
        <f>'Supra B por pav'!M127</f>
        <v>34.85</v>
      </c>
      <c r="H281" s="151">
        <f>'Supra B por pav'!L127</f>
        <v>4496</v>
      </c>
      <c r="I281" s="151">
        <f>'Supra B por pav'!C127</f>
        <v>0</v>
      </c>
      <c r="J281" s="151">
        <f>'Supra B por pav'!D127</f>
        <v>218</v>
      </c>
      <c r="K281" s="151">
        <f>'Supra B por pav'!E127</f>
        <v>398</v>
      </c>
      <c r="L281" s="151">
        <f>'Supra B por pav'!F127</f>
        <v>325</v>
      </c>
      <c r="M281" s="151">
        <f>'Supra B por pav'!G127</f>
        <v>214</v>
      </c>
      <c r="N281" s="151">
        <f>'Supra B por pav'!H127</f>
        <v>547</v>
      </c>
      <c r="O281" s="151">
        <f>'Supra B por pav'!I127</f>
        <v>543</v>
      </c>
      <c r="P281" s="167">
        <f>'Supra B por pav'!J127</f>
        <v>1361</v>
      </c>
      <c r="Q281" s="171">
        <f>'Supra B por pav'!K127</f>
        <v>890</v>
      </c>
    </row>
    <row r="282" spans="1:17" x14ac:dyDescent="0.25">
      <c r="A282" s="160"/>
      <c r="B282" s="180"/>
      <c r="C282" s="140"/>
      <c r="D282" s="140"/>
      <c r="E282" s="140" t="s">
        <v>52</v>
      </c>
      <c r="F282" s="141"/>
      <c r="G282" s="142">
        <f>'Supra B por pav'!M128</f>
        <v>40.42</v>
      </c>
      <c r="H282" s="143">
        <f>'Supra B por pav'!L128</f>
        <v>3885</v>
      </c>
      <c r="I282" s="143">
        <f>'Supra B por pav'!C128</f>
        <v>0</v>
      </c>
      <c r="J282" s="143">
        <f>'Supra B por pav'!D128</f>
        <v>74</v>
      </c>
      <c r="K282" s="143">
        <f>'Supra B por pav'!E128</f>
        <v>999</v>
      </c>
      <c r="L282" s="143">
        <f>'Supra B por pav'!F128</f>
        <v>0</v>
      </c>
      <c r="M282" s="143">
        <f>'Supra B por pav'!G128</f>
        <v>0</v>
      </c>
      <c r="N282" s="143">
        <f>'Supra B por pav'!H128</f>
        <v>1233</v>
      </c>
      <c r="O282" s="143">
        <f>'Supra B por pav'!I128</f>
        <v>1579</v>
      </c>
      <c r="P282" s="164">
        <f>'Supra B por pav'!J128</f>
        <v>0</v>
      </c>
      <c r="Q282" s="168">
        <f>'Supra B por pav'!K128</f>
        <v>0</v>
      </c>
    </row>
    <row r="283" spans="1:17" x14ac:dyDescent="0.25">
      <c r="A283" s="160"/>
      <c r="B283" s="180"/>
      <c r="C283" s="140"/>
      <c r="D283" s="140"/>
      <c r="E283" s="140" t="s">
        <v>53</v>
      </c>
      <c r="F283" s="141"/>
      <c r="G283" s="142">
        <f>'Supra B por pav'!M129</f>
        <v>95</v>
      </c>
      <c r="H283" s="143">
        <f>'Supra B por pav'!L129</f>
        <v>10765</v>
      </c>
      <c r="I283" s="143">
        <f>'Supra B por pav'!C129</f>
        <v>872</v>
      </c>
      <c r="J283" s="143">
        <f>'Supra B por pav'!D129</f>
        <v>0</v>
      </c>
      <c r="K283" s="143">
        <f>'Supra B por pav'!E129</f>
        <v>56</v>
      </c>
      <c r="L283" s="143">
        <f>'Supra B por pav'!F129</f>
        <v>1241</v>
      </c>
      <c r="M283" s="143">
        <f>'Supra B por pav'!G129</f>
        <v>1735</v>
      </c>
      <c r="N283" s="143">
        <f>'Supra B por pav'!H129</f>
        <v>2836</v>
      </c>
      <c r="O283" s="143">
        <f>'Supra B por pav'!I129</f>
        <v>4025</v>
      </c>
      <c r="P283" s="164">
        <f>'Supra B por pav'!J129</f>
        <v>0</v>
      </c>
      <c r="Q283" s="168">
        <f>'Supra B por pav'!K129</f>
        <v>0</v>
      </c>
    </row>
    <row r="284" spans="1:17" x14ac:dyDescent="0.25">
      <c r="A284" s="160"/>
      <c r="B284" s="180"/>
      <c r="C284" s="140"/>
      <c r="D284" s="140"/>
      <c r="E284" s="140" t="s">
        <v>54</v>
      </c>
      <c r="F284" s="141"/>
      <c r="G284" s="142">
        <f>'Supra B por pav'!M130</f>
        <v>1.625</v>
      </c>
      <c r="H284" s="143">
        <f>'Supra B por pav'!L130</f>
        <v>129</v>
      </c>
      <c r="I284" s="143">
        <f>'Supra B por pav'!C130</f>
        <v>0</v>
      </c>
      <c r="J284" s="143">
        <f>'Supra B por pav'!D130</f>
        <v>0</v>
      </c>
      <c r="K284" s="143">
        <f>'Supra B por pav'!E130</f>
        <v>0</v>
      </c>
      <c r="L284" s="143">
        <f>'Supra B por pav'!F130</f>
        <v>20</v>
      </c>
      <c r="M284" s="143">
        <f>'Supra B por pav'!G130</f>
        <v>109</v>
      </c>
      <c r="N284" s="143">
        <f>'Supra B por pav'!H130</f>
        <v>0</v>
      </c>
      <c r="O284" s="143">
        <f>'Supra B por pav'!I130</f>
        <v>0</v>
      </c>
      <c r="P284" s="164">
        <f>'Supra B por pav'!J130</f>
        <v>0</v>
      </c>
      <c r="Q284" s="168">
        <f>'Supra B por pav'!K130</f>
        <v>0</v>
      </c>
    </row>
    <row r="285" spans="1:17" ht="15.75" thickBot="1" x14ac:dyDescent="0.3">
      <c r="A285" s="161"/>
      <c r="B285" s="181"/>
      <c r="C285" s="144"/>
      <c r="D285" s="144"/>
      <c r="E285" s="144" t="s">
        <v>55</v>
      </c>
      <c r="F285" s="145"/>
      <c r="G285" s="146">
        <f>'Supra B por pav'!M131</f>
        <v>0</v>
      </c>
      <c r="H285" s="147">
        <f>'Supra B por pav'!L131</f>
        <v>0</v>
      </c>
      <c r="I285" s="147">
        <f>'Supra B por pav'!C131</f>
        <v>0</v>
      </c>
      <c r="J285" s="147">
        <f>'Supra B por pav'!D131</f>
        <v>0</v>
      </c>
      <c r="K285" s="147">
        <f>'Supra B por pav'!E131</f>
        <v>0</v>
      </c>
      <c r="L285" s="147">
        <f>'Supra B por pav'!F131</f>
        <v>0</v>
      </c>
      <c r="M285" s="147">
        <f>'Supra B por pav'!G131</f>
        <v>0</v>
      </c>
      <c r="N285" s="147">
        <f>'Supra B por pav'!H131</f>
        <v>0</v>
      </c>
      <c r="O285" s="147">
        <f>'Supra B por pav'!I131</f>
        <v>0</v>
      </c>
      <c r="P285" s="165">
        <f>'Supra B por pav'!J131</f>
        <v>0</v>
      </c>
      <c r="Q285" s="169">
        <f>'Supra B por pav'!K131</f>
        <v>0</v>
      </c>
    </row>
    <row r="286" spans="1:17" ht="16.5" thickTop="1" thickBot="1" x14ac:dyDescent="0.3">
      <c r="A286" s="162" t="s">
        <v>281</v>
      </c>
      <c r="B286" s="158" t="s">
        <v>165</v>
      </c>
      <c r="C286" s="152" t="s">
        <v>78</v>
      </c>
      <c r="D286" s="152" t="s">
        <v>267</v>
      </c>
      <c r="E286" s="152"/>
      <c r="F286" s="153">
        <v>50</v>
      </c>
      <c r="G286" s="154">
        <f t="shared" ref="G286:Q286" si="46">SUM(G281:G285)</f>
        <v>171.89500000000001</v>
      </c>
      <c r="H286" s="155">
        <f t="shared" si="46"/>
        <v>19275</v>
      </c>
      <c r="I286" s="155">
        <f t="shared" si="46"/>
        <v>872</v>
      </c>
      <c r="J286" s="155">
        <f t="shared" si="46"/>
        <v>292</v>
      </c>
      <c r="K286" s="155">
        <f t="shared" si="46"/>
        <v>1453</v>
      </c>
      <c r="L286" s="155">
        <f t="shared" si="46"/>
        <v>1586</v>
      </c>
      <c r="M286" s="155">
        <f t="shared" si="46"/>
        <v>2058</v>
      </c>
      <c r="N286" s="155">
        <f t="shared" si="46"/>
        <v>4616</v>
      </c>
      <c r="O286" s="155">
        <f t="shared" si="46"/>
        <v>6147</v>
      </c>
      <c r="P286" s="166">
        <f t="shared" si="46"/>
        <v>1361</v>
      </c>
      <c r="Q286" s="170">
        <f t="shared" si="46"/>
        <v>890</v>
      </c>
    </row>
    <row r="287" spans="1:17" ht="15.75" thickTop="1" x14ac:dyDescent="0.25">
      <c r="A287" s="163" t="s">
        <v>281</v>
      </c>
      <c r="B287" s="182" t="s">
        <v>165</v>
      </c>
      <c r="C287" s="148" t="s">
        <v>79</v>
      </c>
      <c r="D287" s="148" t="s">
        <v>79</v>
      </c>
      <c r="E287" s="148" t="s">
        <v>51</v>
      </c>
      <c r="F287" s="149">
        <v>50</v>
      </c>
      <c r="G287" s="150">
        <f>'Supra B por pav'!M133</f>
        <v>34.85</v>
      </c>
      <c r="H287" s="151">
        <f>'Supra B por pav'!L133</f>
        <v>4496</v>
      </c>
      <c r="I287" s="151">
        <f>'Supra B por pav'!C133</f>
        <v>0</v>
      </c>
      <c r="J287" s="151">
        <f>'Supra B por pav'!D133</f>
        <v>218</v>
      </c>
      <c r="K287" s="151">
        <f>'Supra B por pav'!E133</f>
        <v>398</v>
      </c>
      <c r="L287" s="151">
        <f>'Supra B por pav'!F133</f>
        <v>325</v>
      </c>
      <c r="M287" s="151">
        <f>'Supra B por pav'!G133</f>
        <v>214</v>
      </c>
      <c r="N287" s="151">
        <f>'Supra B por pav'!H133</f>
        <v>547</v>
      </c>
      <c r="O287" s="151">
        <f>'Supra B por pav'!I133</f>
        <v>543</v>
      </c>
      <c r="P287" s="167">
        <f>'Supra B por pav'!J133</f>
        <v>1361</v>
      </c>
      <c r="Q287" s="171">
        <f>'Supra B por pav'!K133</f>
        <v>890</v>
      </c>
    </row>
    <row r="288" spans="1:17" x14ac:dyDescent="0.25">
      <c r="A288" s="160"/>
      <c r="B288" s="180"/>
      <c r="C288" s="140"/>
      <c r="D288" s="140"/>
      <c r="E288" s="140" t="s">
        <v>52</v>
      </c>
      <c r="F288" s="141"/>
      <c r="G288" s="142">
        <f>'Supra B por pav'!M134</f>
        <v>40.42</v>
      </c>
      <c r="H288" s="143">
        <f>'Supra B por pav'!L134</f>
        <v>3885</v>
      </c>
      <c r="I288" s="143">
        <f>'Supra B por pav'!C134</f>
        <v>0</v>
      </c>
      <c r="J288" s="143">
        <f>'Supra B por pav'!D134</f>
        <v>74</v>
      </c>
      <c r="K288" s="143">
        <f>'Supra B por pav'!E134</f>
        <v>999</v>
      </c>
      <c r="L288" s="143">
        <f>'Supra B por pav'!F134</f>
        <v>0</v>
      </c>
      <c r="M288" s="143">
        <f>'Supra B por pav'!G134</f>
        <v>0</v>
      </c>
      <c r="N288" s="143">
        <f>'Supra B por pav'!H134</f>
        <v>1233</v>
      </c>
      <c r="O288" s="143">
        <f>'Supra B por pav'!I134</f>
        <v>1579</v>
      </c>
      <c r="P288" s="164">
        <f>'Supra B por pav'!J134</f>
        <v>0</v>
      </c>
      <c r="Q288" s="168">
        <f>'Supra B por pav'!K134</f>
        <v>0</v>
      </c>
    </row>
    <row r="289" spans="1:17" x14ac:dyDescent="0.25">
      <c r="A289" s="160"/>
      <c r="B289" s="180"/>
      <c r="C289" s="140"/>
      <c r="D289" s="140"/>
      <c r="E289" s="140" t="s">
        <v>53</v>
      </c>
      <c r="F289" s="141"/>
      <c r="G289" s="142">
        <f>'Supra B por pav'!M135</f>
        <v>95</v>
      </c>
      <c r="H289" s="143">
        <f>'Supra B por pav'!L135</f>
        <v>10752</v>
      </c>
      <c r="I289" s="143">
        <f>'Supra B por pav'!C135</f>
        <v>872</v>
      </c>
      <c r="J289" s="143">
        <f>'Supra B por pav'!D135</f>
        <v>0</v>
      </c>
      <c r="K289" s="143">
        <f>'Supra B por pav'!E135</f>
        <v>59</v>
      </c>
      <c r="L289" s="143">
        <f>'Supra B por pav'!F135</f>
        <v>1235</v>
      </c>
      <c r="M289" s="143">
        <f>'Supra B por pav'!G135</f>
        <v>1753</v>
      </c>
      <c r="N289" s="143">
        <f>'Supra B por pav'!H135</f>
        <v>2836</v>
      </c>
      <c r="O289" s="143">
        <f>'Supra B por pav'!I135</f>
        <v>3997</v>
      </c>
      <c r="P289" s="164">
        <f>'Supra B por pav'!J135</f>
        <v>0</v>
      </c>
      <c r="Q289" s="168">
        <f>'Supra B por pav'!K135</f>
        <v>0</v>
      </c>
    </row>
    <row r="290" spans="1:17" x14ac:dyDescent="0.25">
      <c r="A290" s="160"/>
      <c r="B290" s="180"/>
      <c r="C290" s="140"/>
      <c r="D290" s="140"/>
      <c r="E290" s="140" t="s">
        <v>54</v>
      </c>
      <c r="F290" s="141"/>
      <c r="G290" s="142">
        <f>'Supra B por pav'!M136</f>
        <v>1.625</v>
      </c>
      <c r="H290" s="143">
        <f>'Supra B por pav'!L136</f>
        <v>129</v>
      </c>
      <c r="I290" s="143">
        <f>'Supra B por pav'!C136</f>
        <v>0</v>
      </c>
      <c r="J290" s="143">
        <f>'Supra B por pav'!D136</f>
        <v>0</v>
      </c>
      <c r="K290" s="143">
        <f>'Supra B por pav'!E136</f>
        <v>0</v>
      </c>
      <c r="L290" s="143">
        <f>'Supra B por pav'!F136</f>
        <v>20</v>
      </c>
      <c r="M290" s="143">
        <f>'Supra B por pav'!G136</f>
        <v>109</v>
      </c>
      <c r="N290" s="143">
        <f>'Supra B por pav'!H136</f>
        <v>0</v>
      </c>
      <c r="O290" s="143">
        <f>'Supra B por pav'!I136</f>
        <v>0</v>
      </c>
      <c r="P290" s="164">
        <f>'Supra B por pav'!J136</f>
        <v>0</v>
      </c>
      <c r="Q290" s="168">
        <f>'Supra B por pav'!K136</f>
        <v>0</v>
      </c>
    </row>
    <row r="291" spans="1:17" ht="15.75" thickBot="1" x14ac:dyDescent="0.3">
      <c r="A291" s="161"/>
      <c r="B291" s="181"/>
      <c r="C291" s="144"/>
      <c r="D291" s="144"/>
      <c r="E291" s="144" t="s">
        <v>55</v>
      </c>
      <c r="F291" s="145"/>
      <c r="G291" s="146">
        <f>'Supra B por pav'!M137</f>
        <v>0</v>
      </c>
      <c r="H291" s="147">
        <f>'Supra B por pav'!L137</f>
        <v>0</v>
      </c>
      <c r="I291" s="147">
        <f>'Supra B por pav'!C137</f>
        <v>0</v>
      </c>
      <c r="J291" s="147">
        <f>'Supra B por pav'!D137</f>
        <v>0</v>
      </c>
      <c r="K291" s="147">
        <f>'Supra B por pav'!E137</f>
        <v>0</v>
      </c>
      <c r="L291" s="147">
        <f>'Supra B por pav'!F137</f>
        <v>0</v>
      </c>
      <c r="M291" s="147">
        <f>'Supra B por pav'!G137</f>
        <v>0</v>
      </c>
      <c r="N291" s="147">
        <f>'Supra B por pav'!H137</f>
        <v>0</v>
      </c>
      <c r="O291" s="147">
        <f>'Supra B por pav'!I137</f>
        <v>0</v>
      </c>
      <c r="P291" s="165">
        <f>'Supra B por pav'!J137</f>
        <v>0</v>
      </c>
      <c r="Q291" s="169">
        <f>'Supra B por pav'!K137</f>
        <v>0</v>
      </c>
    </row>
    <row r="292" spans="1:17" ht="16.5" thickTop="1" thickBot="1" x14ac:dyDescent="0.3">
      <c r="A292" s="162" t="s">
        <v>281</v>
      </c>
      <c r="B292" s="158" t="s">
        <v>165</v>
      </c>
      <c r="C292" s="152" t="s">
        <v>79</v>
      </c>
      <c r="D292" s="152" t="s">
        <v>268</v>
      </c>
      <c r="E292" s="152"/>
      <c r="F292" s="153">
        <v>50</v>
      </c>
      <c r="G292" s="154">
        <f t="shared" ref="G292:Q292" si="47">SUM(G287:G291)</f>
        <v>171.89500000000001</v>
      </c>
      <c r="H292" s="155">
        <f t="shared" si="47"/>
        <v>19262</v>
      </c>
      <c r="I292" s="155">
        <f t="shared" si="47"/>
        <v>872</v>
      </c>
      <c r="J292" s="155">
        <f t="shared" si="47"/>
        <v>292</v>
      </c>
      <c r="K292" s="155">
        <f t="shared" si="47"/>
        <v>1456</v>
      </c>
      <c r="L292" s="155">
        <f t="shared" si="47"/>
        <v>1580</v>
      </c>
      <c r="M292" s="155">
        <f t="shared" si="47"/>
        <v>2076</v>
      </c>
      <c r="N292" s="155">
        <f t="shared" si="47"/>
        <v>4616</v>
      </c>
      <c r="O292" s="155">
        <f t="shared" si="47"/>
        <v>6119</v>
      </c>
      <c r="P292" s="166">
        <f t="shared" si="47"/>
        <v>1361</v>
      </c>
      <c r="Q292" s="170">
        <f t="shared" si="47"/>
        <v>890</v>
      </c>
    </row>
    <row r="293" spans="1:17" ht="15.75" thickTop="1" x14ac:dyDescent="0.25">
      <c r="A293" s="163" t="s">
        <v>281</v>
      </c>
      <c r="B293" s="182" t="s">
        <v>165</v>
      </c>
      <c r="C293" s="148" t="s">
        <v>80</v>
      </c>
      <c r="D293" s="148" t="s">
        <v>80</v>
      </c>
      <c r="E293" s="148" t="s">
        <v>51</v>
      </c>
      <c r="F293" s="149">
        <v>50</v>
      </c>
      <c r="G293" s="150">
        <f>'Supra B por pav'!M139</f>
        <v>34.85</v>
      </c>
      <c r="H293" s="151">
        <f>'Supra B por pav'!L139</f>
        <v>4496</v>
      </c>
      <c r="I293" s="151">
        <f>'Supra B por pav'!C139</f>
        <v>0</v>
      </c>
      <c r="J293" s="151">
        <f>'Supra B por pav'!D139</f>
        <v>218</v>
      </c>
      <c r="K293" s="151">
        <f>'Supra B por pav'!E139</f>
        <v>398</v>
      </c>
      <c r="L293" s="151">
        <f>'Supra B por pav'!F139</f>
        <v>325</v>
      </c>
      <c r="M293" s="151">
        <f>'Supra B por pav'!G139</f>
        <v>214</v>
      </c>
      <c r="N293" s="151">
        <f>'Supra B por pav'!H139</f>
        <v>547</v>
      </c>
      <c r="O293" s="151">
        <f>'Supra B por pav'!I139</f>
        <v>543</v>
      </c>
      <c r="P293" s="167">
        <f>'Supra B por pav'!J139</f>
        <v>1361</v>
      </c>
      <c r="Q293" s="171">
        <f>'Supra B por pav'!K139</f>
        <v>890</v>
      </c>
    </row>
    <row r="294" spans="1:17" x14ac:dyDescent="0.25">
      <c r="A294" s="160"/>
      <c r="B294" s="180"/>
      <c r="C294" s="140"/>
      <c r="D294" s="140"/>
      <c r="E294" s="140" t="s">
        <v>52</v>
      </c>
      <c r="F294" s="141"/>
      <c r="G294" s="142">
        <f>'Supra B por pav'!M140</f>
        <v>40.42</v>
      </c>
      <c r="H294" s="143">
        <f>'Supra B por pav'!L140</f>
        <v>3885</v>
      </c>
      <c r="I294" s="143">
        <f>'Supra B por pav'!C140</f>
        <v>0</v>
      </c>
      <c r="J294" s="143">
        <f>'Supra B por pav'!D140</f>
        <v>74</v>
      </c>
      <c r="K294" s="143">
        <f>'Supra B por pav'!E140</f>
        <v>999</v>
      </c>
      <c r="L294" s="143">
        <f>'Supra B por pav'!F140</f>
        <v>0</v>
      </c>
      <c r="M294" s="143">
        <f>'Supra B por pav'!G140</f>
        <v>0</v>
      </c>
      <c r="N294" s="143">
        <f>'Supra B por pav'!H140</f>
        <v>1233</v>
      </c>
      <c r="O294" s="143">
        <f>'Supra B por pav'!I140</f>
        <v>1579</v>
      </c>
      <c r="P294" s="164">
        <f>'Supra B por pav'!J140</f>
        <v>0</v>
      </c>
      <c r="Q294" s="168">
        <f>'Supra B por pav'!K140</f>
        <v>0</v>
      </c>
    </row>
    <row r="295" spans="1:17" x14ac:dyDescent="0.25">
      <c r="A295" s="160"/>
      <c r="B295" s="180"/>
      <c r="C295" s="140"/>
      <c r="D295" s="140"/>
      <c r="E295" s="140" t="s">
        <v>53</v>
      </c>
      <c r="F295" s="141"/>
      <c r="G295" s="142">
        <f>'Supra B por pav'!M141</f>
        <v>95</v>
      </c>
      <c r="H295" s="143">
        <f>'Supra B por pav'!L141</f>
        <v>10765</v>
      </c>
      <c r="I295" s="143">
        <f>'Supra B por pav'!C141</f>
        <v>872</v>
      </c>
      <c r="J295" s="143">
        <f>'Supra B por pav'!D141</f>
        <v>0</v>
      </c>
      <c r="K295" s="143">
        <f>'Supra B por pav'!E141</f>
        <v>56</v>
      </c>
      <c r="L295" s="143">
        <f>'Supra B por pav'!F141</f>
        <v>1241</v>
      </c>
      <c r="M295" s="143">
        <f>'Supra B por pav'!G141</f>
        <v>1735</v>
      </c>
      <c r="N295" s="143">
        <f>'Supra B por pav'!H141</f>
        <v>2836</v>
      </c>
      <c r="O295" s="143">
        <f>'Supra B por pav'!I141</f>
        <v>4025</v>
      </c>
      <c r="P295" s="164">
        <f>'Supra B por pav'!J141</f>
        <v>0</v>
      </c>
      <c r="Q295" s="168">
        <f>'Supra B por pav'!K141</f>
        <v>0</v>
      </c>
    </row>
    <row r="296" spans="1:17" x14ac:dyDescent="0.25">
      <c r="A296" s="160"/>
      <c r="B296" s="180"/>
      <c r="C296" s="140"/>
      <c r="D296" s="140"/>
      <c r="E296" s="140" t="s">
        <v>54</v>
      </c>
      <c r="F296" s="141"/>
      <c r="G296" s="142">
        <f>'Supra B por pav'!M142</f>
        <v>1.625</v>
      </c>
      <c r="H296" s="143">
        <f>'Supra B por pav'!L142</f>
        <v>129</v>
      </c>
      <c r="I296" s="143">
        <f>'Supra B por pav'!C142</f>
        <v>0</v>
      </c>
      <c r="J296" s="143">
        <f>'Supra B por pav'!D142</f>
        <v>0</v>
      </c>
      <c r="K296" s="143">
        <f>'Supra B por pav'!E142</f>
        <v>0</v>
      </c>
      <c r="L296" s="143">
        <f>'Supra B por pav'!F142</f>
        <v>20</v>
      </c>
      <c r="M296" s="143">
        <f>'Supra B por pav'!G142</f>
        <v>109</v>
      </c>
      <c r="N296" s="143">
        <f>'Supra B por pav'!H142</f>
        <v>0</v>
      </c>
      <c r="O296" s="143">
        <f>'Supra B por pav'!I142</f>
        <v>0</v>
      </c>
      <c r="P296" s="164">
        <f>'Supra B por pav'!J142</f>
        <v>0</v>
      </c>
      <c r="Q296" s="168">
        <f>'Supra B por pav'!K142</f>
        <v>0</v>
      </c>
    </row>
    <row r="297" spans="1:17" ht="15.75" thickBot="1" x14ac:dyDescent="0.3">
      <c r="A297" s="161"/>
      <c r="B297" s="181"/>
      <c r="C297" s="144"/>
      <c r="D297" s="144"/>
      <c r="E297" s="144" t="s">
        <v>55</v>
      </c>
      <c r="F297" s="145"/>
      <c r="G297" s="146">
        <f>'Supra B por pav'!M143</f>
        <v>0</v>
      </c>
      <c r="H297" s="147">
        <f>'Supra B por pav'!L143</f>
        <v>0</v>
      </c>
      <c r="I297" s="147">
        <f>'Supra B por pav'!C143</f>
        <v>0</v>
      </c>
      <c r="J297" s="147">
        <f>'Supra B por pav'!D143</f>
        <v>0</v>
      </c>
      <c r="K297" s="147">
        <f>'Supra B por pav'!E143</f>
        <v>0</v>
      </c>
      <c r="L297" s="147">
        <f>'Supra B por pav'!F143</f>
        <v>0</v>
      </c>
      <c r="M297" s="147">
        <f>'Supra B por pav'!G143</f>
        <v>0</v>
      </c>
      <c r="N297" s="147">
        <f>'Supra B por pav'!H143</f>
        <v>0</v>
      </c>
      <c r="O297" s="147">
        <f>'Supra B por pav'!I143</f>
        <v>0</v>
      </c>
      <c r="P297" s="165">
        <f>'Supra B por pav'!J143</f>
        <v>0</v>
      </c>
      <c r="Q297" s="169">
        <f>'Supra B por pav'!K143</f>
        <v>0</v>
      </c>
    </row>
    <row r="298" spans="1:17" ht="16.5" thickTop="1" thickBot="1" x14ac:dyDescent="0.3">
      <c r="A298" s="162" t="s">
        <v>281</v>
      </c>
      <c r="B298" s="158" t="s">
        <v>165</v>
      </c>
      <c r="C298" s="152" t="s">
        <v>80</v>
      </c>
      <c r="D298" s="152" t="s">
        <v>269</v>
      </c>
      <c r="E298" s="152"/>
      <c r="F298" s="153">
        <v>50</v>
      </c>
      <c r="G298" s="154">
        <f t="shared" ref="G298:Q298" si="48">SUM(G293:G297)</f>
        <v>171.89500000000001</v>
      </c>
      <c r="H298" s="155">
        <f t="shared" si="48"/>
        <v>19275</v>
      </c>
      <c r="I298" s="155">
        <f t="shared" si="48"/>
        <v>872</v>
      </c>
      <c r="J298" s="155">
        <f t="shared" si="48"/>
        <v>292</v>
      </c>
      <c r="K298" s="155">
        <f t="shared" si="48"/>
        <v>1453</v>
      </c>
      <c r="L298" s="155">
        <f t="shared" si="48"/>
        <v>1586</v>
      </c>
      <c r="M298" s="155">
        <f t="shared" si="48"/>
        <v>2058</v>
      </c>
      <c r="N298" s="155">
        <f t="shared" si="48"/>
        <v>4616</v>
      </c>
      <c r="O298" s="155">
        <f t="shared" si="48"/>
        <v>6147</v>
      </c>
      <c r="P298" s="166">
        <f t="shared" si="48"/>
        <v>1361</v>
      </c>
      <c r="Q298" s="170">
        <f t="shared" si="48"/>
        <v>890</v>
      </c>
    </row>
    <row r="299" spans="1:17" ht="15.75" thickTop="1" x14ac:dyDescent="0.25">
      <c r="A299" s="163" t="s">
        <v>281</v>
      </c>
      <c r="B299" s="182" t="s">
        <v>165</v>
      </c>
      <c r="C299" s="148" t="s">
        <v>81</v>
      </c>
      <c r="D299" s="148" t="s">
        <v>81</v>
      </c>
      <c r="E299" s="148" t="s">
        <v>51</v>
      </c>
      <c r="F299" s="149">
        <v>50</v>
      </c>
      <c r="G299" s="150">
        <f>'Supra B por pav'!M145</f>
        <v>34.85</v>
      </c>
      <c r="H299" s="151">
        <f>'Supra B por pav'!L145</f>
        <v>3482</v>
      </c>
      <c r="I299" s="151">
        <f>'Supra B por pav'!C145</f>
        <v>0</v>
      </c>
      <c r="J299" s="151">
        <f>'Supra B por pav'!D145</f>
        <v>280</v>
      </c>
      <c r="K299" s="151">
        <f>'Supra B por pav'!E145</f>
        <v>464</v>
      </c>
      <c r="L299" s="151">
        <f>'Supra B por pav'!F145</f>
        <v>243</v>
      </c>
      <c r="M299" s="151">
        <f>'Supra B por pav'!G145</f>
        <v>60</v>
      </c>
      <c r="N299" s="151">
        <f>'Supra B por pav'!H145</f>
        <v>563</v>
      </c>
      <c r="O299" s="151">
        <f>'Supra B por pav'!I145</f>
        <v>1111</v>
      </c>
      <c r="P299" s="167">
        <f>'Supra B por pav'!J145</f>
        <v>761</v>
      </c>
      <c r="Q299" s="171">
        <f>'Supra B por pav'!K145</f>
        <v>0</v>
      </c>
    </row>
    <row r="300" spans="1:17" x14ac:dyDescent="0.25">
      <c r="A300" s="160"/>
      <c r="B300" s="180"/>
      <c r="C300" s="140"/>
      <c r="D300" s="140"/>
      <c r="E300" s="140" t="s">
        <v>52</v>
      </c>
      <c r="F300" s="141"/>
      <c r="G300" s="142">
        <f>'Supra B por pav'!M146</f>
        <v>40.42</v>
      </c>
      <c r="H300" s="143">
        <f>'Supra B por pav'!L146</f>
        <v>3885</v>
      </c>
      <c r="I300" s="143">
        <f>'Supra B por pav'!C146</f>
        <v>0</v>
      </c>
      <c r="J300" s="143">
        <f>'Supra B por pav'!D146</f>
        <v>74</v>
      </c>
      <c r="K300" s="143">
        <f>'Supra B por pav'!E146</f>
        <v>999</v>
      </c>
      <c r="L300" s="143">
        <f>'Supra B por pav'!F146</f>
        <v>0</v>
      </c>
      <c r="M300" s="143">
        <f>'Supra B por pav'!G146</f>
        <v>0</v>
      </c>
      <c r="N300" s="143">
        <f>'Supra B por pav'!H146</f>
        <v>1233</v>
      </c>
      <c r="O300" s="143">
        <f>'Supra B por pav'!I146</f>
        <v>1579</v>
      </c>
      <c r="P300" s="164">
        <f>'Supra B por pav'!J146</f>
        <v>0</v>
      </c>
      <c r="Q300" s="168">
        <f>'Supra B por pav'!K146</f>
        <v>0</v>
      </c>
    </row>
    <row r="301" spans="1:17" x14ac:dyDescent="0.25">
      <c r="A301" s="160"/>
      <c r="B301" s="180"/>
      <c r="C301" s="140"/>
      <c r="D301" s="140"/>
      <c r="E301" s="140" t="s">
        <v>53</v>
      </c>
      <c r="F301" s="141"/>
      <c r="G301" s="142">
        <f>'Supra B por pav'!M147</f>
        <v>95</v>
      </c>
      <c r="H301" s="143">
        <f>'Supra B por pav'!L147</f>
        <v>10752</v>
      </c>
      <c r="I301" s="143">
        <f>'Supra B por pav'!C147</f>
        <v>872</v>
      </c>
      <c r="J301" s="143">
        <f>'Supra B por pav'!D147</f>
        <v>0</v>
      </c>
      <c r="K301" s="143">
        <f>'Supra B por pav'!E147</f>
        <v>59</v>
      </c>
      <c r="L301" s="143">
        <f>'Supra B por pav'!F147</f>
        <v>1235</v>
      </c>
      <c r="M301" s="143">
        <f>'Supra B por pav'!G147</f>
        <v>1753</v>
      </c>
      <c r="N301" s="143">
        <f>'Supra B por pav'!H147</f>
        <v>2836</v>
      </c>
      <c r="O301" s="143">
        <f>'Supra B por pav'!I147</f>
        <v>3997</v>
      </c>
      <c r="P301" s="164">
        <f>'Supra B por pav'!J147</f>
        <v>0</v>
      </c>
      <c r="Q301" s="168">
        <f>'Supra B por pav'!K147</f>
        <v>0</v>
      </c>
    </row>
    <row r="302" spans="1:17" x14ac:dyDescent="0.25">
      <c r="A302" s="160"/>
      <c r="B302" s="180"/>
      <c r="C302" s="140"/>
      <c r="D302" s="140"/>
      <c r="E302" s="140" t="s">
        <v>54</v>
      </c>
      <c r="F302" s="141"/>
      <c r="G302" s="142">
        <f>'Supra B por pav'!M148</f>
        <v>1.625</v>
      </c>
      <c r="H302" s="143">
        <f>'Supra B por pav'!L148</f>
        <v>129</v>
      </c>
      <c r="I302" s="143">
        <f>'Supra B por pav'!C148</f>
        <v>0</v>
      </c>
      <c r="J302" s="143">
        <f>'Supra B por pav'!D148</f>
        <v>0</v>
      </c>
      <c r="K302" s="143">
        <f>'Supra B por pav'!E148</f>
        <v>0</v>
      </c>
      <c r="L302" s="143">
        <f>'Supra B por pav'!F148</f>
        <v>20</v>
      </c>
      <c r="M302" s="143">
        <f>'Supra B por pav'!G148</f>
        <v>109</v>
      </c>
      <c r="N302" s="143">
        <f>'Supra B por pav'!H148</f>
        <v>0</v>
      </c>
      <c r="O302" s="143">
        <f>'Supra B por pav'!I148</f>
        <v>0</v>
      </c>
      <c r="P302" s="164">
        <f>'Supra B por pav'!J148</f>
        <v>0</v>
      </c>
      <c r="Q302" s="168">
        <f>'Supra B por pav'!K148</f>
        <v>0</v>
      </c>
    </row>
    <row r="303" spans="1:17" ht="15.75" thickBot="1" x14ac:dyDescent="0.3">
      <c r="A303" s="161"/>
      <c r="B303" s="181"/>
      <c r="C303" s="144"/>
      <c r="D303" s="144"/>
      <c r="E303" s="144" t="s">
        <v>55</v>
      </c>
      <c r="F303" s="145"/>
      <c r="G303" s="146">
        <f>'Supra B por pav'!M149</f>
        <v>0</v>
      </c>
      <c r="H303" s="147">
        <f>'Supra B por pav'!L149</f>
        <v>0</v>
      </c>
      <c r="I303" s="147">
        <f>'Supra B por pav'!C149</f>
        <v>0</v>
      </c>
      <c r="J303" s="147">
        <f>'Supra B por pav'!D149</f>
        <v>0</v>
      </c>
      <c r="K303" s="147">
        <f>'Supra B por pav'!E149</f>
        <v>0</v>
      </c>
      <c r="L303" s="147">
        <f>'Supra B por pav'!F149</f>
        <v>0</v>
      </c>
      <c r="M303" s="147">
        <f>'Supra B por pav'!G149</f>
        <v>0</v>
      </c>
      <c r="N303" s="147">
        <f>'Supra B por pav'!H149</f>
        <v>0</v>
      </c>
      <c r="O303" s="147">
        <f>'Supra B por pav'!I149</f>
        <v>0</v>
      </c>
      <c r="P303" s="165">
        <f>'Supra B por pav'!J149</f>
        <v>0</v>
      </c>
      <c r="Q303" s="169">
        <f>'Supra B por pav'!K149</f>
        <v>0</v>
      </c>
    </row>
    <row r="304" spans="1:17" ht="16.5" thickTop="1" thickBot="1" x14ac:dyDescent="0.3">
      <c r="A304" s="162" t="s">
        <v>281</v>
      </c>
      <c r="B304" s="158" t="s">
        <v>165</v>
      </c>
      <c r="C304" s="152" t="s">
        <v>81</v>
      </c>
      <c r="D304" s="152" t="s">
        <v>270</v>
      </c>
      <c r="E304" s="152"/>
      <c r="F304" s="153">
        <v>50</v>
      </c>
      <c r="G304" s="154">
        <f t="shared" ref="G304:Q304" si="49">SUM(G299:G303)</f>
        <v>171.89500000000001</v>
      </c>
      <c r="H304" s="155">
        <f t="shared" si="49"/>
        <v>18248</v>
      </c>
      <c r="I304" s="155">
        <f t="shared" si="49"/>
        <v>872</v>
      </c>
      <c r="J304" s="155">
        <f t="shared" si="49"/>
        <v>354</v>
      </c>
      <c r="K304" s="155">
        <f t="shared" si="49"/>
        <v>1522</v>
      </c>
      <c r="L304" s="155">
        <f t="shared" si="49"/>
        <v>1498</v>
      </c>
      <c r="M304" s="155">
        <f t="shared" si="49"/>
        <v>1922</v>
      </c>
      <c r="N304" s="155">
        <f t="shared" si="49"/>
        <v>4632</v>
      </c>
      <c r="O304" s="155">
        <f t="shared" si="49"/>
        <v>6687</v>
      </c>
      <c r="P304" s="166">
        <f t="shared" si="49"/>
        <v>761</v>
      </c>
      <c r="Q304" s="170">
        <f t="shared" si="49"/>
        <v>0</v>
      </c>
    </row>
    <row r="305" spans="1:17" ht="15.75" thickTop="1" x14ac:dyDescent="0.25">
      <c r="A305" s="163" t="s">
        <v>281</v>
      </c>
      <c r="B305" s="182" t="s">
        <v>165</v>
      </c>
      <c r="C305" s="148" t="s">
        <v>82</v>
      </c>
      <c r="D305" s="148" t="s">
        <v>82</v>
      </c>
      <c r="E305" s="148" t="s">
        <v>51</v>
      </c>
      <c r="F305" s="149">
        <v>50</v>
      </c>
      <c r="G305" s="150">
        <f>'Supra B por pav'!M151</f>
        <v>34.85</v>
      </c>
      <c r="H305" s="151">
        <f>'Supra B por pav'!L151</f>
        <v>3482</v>
      </c>
      <c r="I305" s="151">
        <f>'Supra B por pav'!C151</f>
        <v>0</v>
      </c>
      <c r="J305" s="151">
        <f>'Supra B por pav'!D151</f>
        <v>280</v>
      </c>
      <c r="K305" s="151">
        <f>'Supra B por pav'!E151</f>
        <v>464</v>
      </c>
      <c r="L305" s="151">
        <f>'Supra B por pav'!F151</f>
        <v>243</v>
      </c>
      <c r="M305" s="151">
        <f>'Supra B por pav'!G151</f>
        <v>60</v>
      </c>
      <c r="N305" s="151">
        <f>'Supra B por pav'!H151</f>
        <v>563</v>
      </c>
      <c r="O305" s="151">
        <f>'Supra B por pav'!I151</f>
        <v>1111</v>
      </c>
      <c r="P305" s="167">
        <f>'Supra B por pav'!J151</f>
        <v>761</v>
      </c>
      <c r="Q305" s="171">
        <f>'Supra B por pav'!K151</f>
        <v>0</v>
      </c>
    </row>
    <row r="306" spans="1:17" x14ac:dyDescent="0.25">
      <c r="A306" s="160"/>
      <c r="B306" s="180"/>
      <c r="C306" s="140"/>
      <c r="D306" s="140"/>
      <c r="E306" s="140" t="s">
        <v>52</v>
      </c>
      <c r="F306" s="141"/>
      <c r="G306" s="142">
        <f>'Supra B por pav'!M152</f>
        <v>40.42</v>
      </c>
      <c r="H306" s="143">
        <f>'Supra B por pav'!L152</f>
        <v>3885</v>
      </c>
      <c r="I306" s="143">
        <f>'Supra B por pav'!C152</f>
        <v>0</v>
      </c>
      <c r="J306" s="143">
        <f>'Supra B por pav'!D152</f>
        <v>74</v>
      </c>
      <c r="K306" s="143">
        <f>'Supra B por pav'!E152</f>
        <v>999</v>
      </c>
      <c r="L306" s="143">
        <f>'Supra B por pav'!F152</f>
        <v>0</v>
      </c>
      <c r="M306" s="143">
        <f>'Supra B por pav'!G152</f>
        <v>0</v>
      </c>
      <c r="N306" s="143">
        <f>'Supra B por pav'!H152</f>
        <v>1233</v>
      </c>
      <c r="O306" s="143">
        <f>'Supra B por pav'!I152</f>
        <v>1579</v>
      </c>
      <c r="P306" s="164">
        <f>'Supra B por pav'!J152</f>
        <v>0</v>
      </c>
      <c r="Q306" s="168">
        <f>'Supra B por pav'!K152</f>
        <v>0</v>
      </c>
    </row>
    <row r="307" spans="1:17" x14ac:dyDescent="0.25">
      <c r="A307" s="160"/>
      <c r="B307" s="180"/>
      <c r="C307" s="140"/>
      <c r="D307" s="140"/>
      <c r="E307" s="140" t="s">
        <v>53</v>
      </c>
      <c r="F307" s="141"/>
      <c r="G307" s="142">
        <f>'Supra B por pav'!M153</f>
        <v>95</v>
      </c>
      <c r="H307" s="143">
        <f>'Supra B por pav'!L153</f>
        <v>10765</v>
      </c>
      <c r="I307" s="143">
        <f>'Supra B por pav'!C153</f>
        <v>872</v>
      </c>
      <c r="J307" s="143">
        <f>'Supra B por pav'!D153</f>
        <v>0</v>
      </c>
      <c r="K307" s="143">
        <f>'Supra B por pav'!E153</f>
        <v>56</v>
      </c>
      <c r="L307" s="143">
        <f>'Supra B por pav'!F153</f>
        <v>1241</v>
      </c>
      <c r="M307" s="143">
        <f>'Supra B por pav'!G153</f>
        <v>1735</v>
      </c>
      <c r="N307" s="143">
        <f>'Supra B por pav'!H153</f>
        <v>2836</v>
      </c>
      <c r="O307" s="143">
        <f>'Supra B por pav'!I153</f>
        <v>4025</v>
      </c>
      <c r="P307" s="164">
        <f>'Supra B por pav'!J153</f>
        <v>0</v>
      </c>
      <c r="Q307" s="168">
        <f>'Supra B por pav'!K153</f>
        <v>0</v>
      </c>
    </row>
    <row r="308" spans="1:17" x14ac:dyDescent="0.25">
      <c r="A308" s="160"/>
      <c r="B308" s="180"/>
      <c r="C308" s="140"/>
      <c r="D308" s="140"/>
      <c r="E308" s="140" t="s">
        <v>54</v>
      </c>
      <c r="F308" s="141"/>
      <c r="G308" s="142">
        <f>'Supra B por pav'!M154</f>
        <v>1.625</v>
      </c>
      <c r="H308" s="143">
        <f>'Supra B por pav'!L154</f>
        <v>129</v>
      </c>
      <c r="I308" s="143">
        <f>'Supra B por pav'!C154</f>
        <v>0</v>
      </c>
      <c r="J308" s="143">
        <f>'Supra B por pav'!D154</f>
        <v>0</v>
      </c>
      <c r="K308" s="143">
        <f>'Supra B por pav'!E154</f>
        <v>0</v>
      </c>
      <c r="L308" s="143">
        <f>'Supra B por pav'!F154</f>
        <v>20</v>
      </c>
      <c r="M308" s="143">
        <f>'Supra B por pav'!G154</f>
        <v>109</v>
      </c>
      <c r="N308" s="143">
        <f>'Supra B por pav'!H154</f>
        <v>0</v>
      </c>
      <c r="O308" s="143">
        <f>'Supra B por pav'!I154</f>
        <v>0</v>
      </c>
      <c r="P308" s="164">
        <f>'Supra B por pav'!J154</f>
        <v>0</v>
      </c>
      <c r="Q308" s="168">
        <f>'Supra B por pav'!K154</f>
        <v>0</v>
      </c>
    </row>
    <row r="309" spans="1:17" ht="15.75" thickBot="1" x14ac:dyDescent="0.3">
      <c r="A309" s="161"/>
      <c r="B309" s="181"/>
      <c r="C309" s="144"/>
      <c r="D309" s="144"/>
      <c r="E309" s="144" t="s">
        <v>55</v>
      </c>
      <c r="F309" s="145"/>
      <c r="G309" s="146">
        <f>'Supra B por pav'!M155</f>
        <v>0</v>
      </c>
      <c r="H309" s="147">
        <f>'Supra B por pav'!L155</f>
        <v>0</v>
      </c>
      <c r="I309" s="147">
        <f>'Supra B por pav'!C155</f>
        <v>0</v>
      </c>
      <c r="J309" s="147">
        <f>'Supra B por pav'!D155</f>
        <v>0</v>
      </c>
      <c r="K309" s="147">
        <f>'Supra B por pav'!E155</f>
        <v>0</v>
      </c>
      <c r="L309" s="147">
        <f>'Supra B por pav'!F155</f>
        <v>0</v>
      </c>
      <c r="M309" s="147">
        <f>'Supra B por pav'!G155</f>
        <v>0</v>
      </c>
      <c r="N309" s="147">
        <f>'Supra B por pav'!H155</f>
        <v>0</v>
      </c>
      <c r="O309" s="147">
        <f>'Supra B por pav'!I155</f>
        <v>0</v>
      </c>
      <c r="P309" s="165">
        <f>'Supra B por pav'!J155</f>
        <v>0</v>
      </c>
      <c r="Q309" s="169">
        <f>'Supra B por pav'!K155</f>
        <v>0</v>
      </c>
    </row>
    <row r="310" spans="1:17" ht="16.5" thickTop="1" thickBot="1" x14ac:dyDescent="0.3">
      <c r="A310" s="162" t="s">
        <v>281</v>
      </c>
      <c r="B310" s="158" t="s">
        <v>165</v>
      </c>
      <c r="C310" s="152" t="s">
        <v>82</v>
      </c>
      <c r="D310" s="152" t="s">
        <v>271</v>
      </c>
      <c r="E310" s="152"/>
      <c r="F310" s="153">
        <v>50</v>
      </c>
      <c r="G310" s="154">
        <f t="shared" ref="G310:Q310" si="50">SUM(G305:G309)</f>
        <v>171.89500000000001</v>
      </c>
      <c r="H310" s="155">
        <f t="shared" si="50"/>
        <v>18261</v>
      </c>
      <c r="I310" s="155">
        <f t="shared" si="50"/>
        <v>872</v>
      </c>
      <c r="J310" s="155">
        <f t="shared" si="50"/>
        <v>354</v>
      </c>
      <c r="K310" s="155">
        <f t="shared" si="50"/>
        <v>1519</v>
      </c>
      <c r="L310" s="155">
        <f t="shared" si="50"/>
        <v>1504</v>
      </c>
      <c r="M310" s="155">
        <f t="shared" si="50"/>
        <v>1904</v>
      </c>
      <c r="N310" s="155">
        <f t="shared" si="50"/>
        <v>4632</v>
      </c>
      <c r="O310" s="155">
        <f t="shared" si="50"/>
        <v>6715</v>
      </c>
      <c r="P310" s="166">
        <f t="shared" si="50"/>
        <v>761</v>
      </c>
      <c r="Q310" s="170">
        <f t="shared" si="50"/>
        <v>0</v>
      </c>
    </row>
    <row r="311" spans="1:17" ht="15.75" thickTop="1" x14ac:dyDescent="0.25">
      <c r="A311" s="163" t="s">
        <v>281</v>
      </c>
      <c r="B311" s="182" t="s">
        <v>165</v>
      </c>
      <c r="C311" s="148" t="s">
        <v>83</v>
      </c>
      <c r="D311" s="148" t="s">
        <v>83</v>
      </c>
      <c r="E311" s="148" t="s">
        <v>51</v>
      </c>
      <c r="F311" s="149">
        <v>50</v>
      </c>
      <c r="G311" s="150">
        <f>'Supra B por pav'!M157</f>
        <v>34.85</v>
      </c>
      <c r="H311" s="151">
        <f>'Supra B por pav'!L157</f>
        <v>3482</v>
      </c>
      <c r="I311" s="151">
        <f>'Supra B por pav'!C157</f>
        <v>0</v>
      </c>
      <c r="J311" s="151">
        <f>'Supra B por pav'!D157</f>
        <v>280</v>
      </c>
      <c r="K311" s="151">
        <f>'Supra B por pav'!E157</f>
        <v>464</v>
      </c>
      <c r="L311" s="151">
        <f>'Supra B por pav'!F157</f>
        <v>243</v>
      </c>
      <c r="M311" s="151">
        <f>'Supra B por pav'!G157</f>
        <v>60</v>
      </c>
      <c r="N311" s="151">
        <f>'Supra B por pav'!H157</f>
        <v>563</v>
      </c>
      <c r="O311" s="151">
        <f>'Supra B por pav'!I157</f>
        <v>1111</v>
      </c>
      <c r="P311" s="167">
        <f>'Supra B por pav'!J157</f>
        <v>761</v>
      </c>
      <c r="Q311" s="171">
        <f>'Supra B por pav'!K157</f>
        <v>0</v>
      </c>
    </row>
    <row r="312" spans="1:17" x14ac:dyDescent="0.25">
      <c r="A312" s="160"/>
      <c r="B312" s="180"/>
      <c r="C312" s="140"/>
      <c r="D312" s="140"/>
      <c r="E312" s="140" t="s">
        <v>52</v>
      </c>
      <c r="F312" s="141"/>
      <c r="G312" s="142">
        <f>'Supra B por pav'!M158</f>
        <v>40.42</v>
      </c>
      <c r="H312" s="143">
        <f>'Supra B por pav'!L158</f>
        <v>3885</v>
      </c>
      <c r="I312" s="143">
        <f>'Supra B por pav'!C158</f>
        <v>0</v>
      </c>
      <c r="J312" s="143">
        <f>'Supra B por pav'!D158</f>
        <v>74</v>
      </c>
      <c r="K312" s="143">
        <f>'Supra B por pav'!E158</f>
        <v>999</v>
      </c>
      <c r="L312" s="143">
        <f>'Supra B por pav'!F158</f>
        <v>0</v>
      </c>
      <c r="M312" s="143">
        <f>'Supra B por pav'!G158</f>
        <v>0</v>
      </c>
      <c r="N312" s="143">
        <f>'Supra B por pav'!H158</f>
        <v>1233</v>
      </c>
      <c r="O312" s="143">
        <f>'Supra B por pav'!I158</f>
        <v>1579</v>
      </c>
      <c r="P312" s="164">
        <f>'Supra B por pav'!J158</f>
        <v>0</v>
      </c>
      <c r="Q312" s="168">
        <f>'Supra B por pav'!K158</f>
        <v>0</v>
      </c>
    </row>
    <row r="313" spans="1:17" x14ac:dyDescent="0.25">
      <c r="A313" s="160"/>
      <c r="B313" s="180"/>
      <c r="C313" s="140"/>
      <c r="D313" s="140"/>
      <c r="E313" s="140" t="s">
        <v>53</v>
      </c>
      <c r="F313" s="141"/>
      <c r="G313" s="142">
        <f>'Supra B por pav'!M159</f>
        <v>95</v>
      </c>
      <c r="H313" s="143">
        <f>'Supra B por pav'!L159</f>
        <v>10765</v>
      </c>
      <c r="I313" s="143">
        <f>'Supra B por pav'!C159</f>
        <v>872</v>
      </c>
      <c r="J313" s="143">
        <f>'Supra B por pav'!D159</f>
        <v>0</v>
      </c>
      <c r="K313" s="143">
        <f>'Supra B por pav'!E159</f>
        <v>56</v>
      </c>
      <c r="L313" s="143">
        <f>'Supra B por pav'!F159</f>
        <v>1241</v>
      </c>
      <c r="M313" s="143">
        <f>'Supra B por pav'!G159</f>
        <v>1735</v>
      </c>
      <c r="N313" s="143">
        <f>'Supra B por pav'!H159</f>
        <v>2836</v>
      </c>
      <c r="O313" s="143">
        <f>'Supra B por pav'!I159</f>
        <v>4025</v>
      </c>
      <c r="P313" s="164">
        <f>'Supra B por pav'!J159</f>
        <v>0</v>
      </c>
      <c r="Q313" s="168">
        <f>'Supra B por pav'!K159</f>
        <v>0</v>
      </c>
    </row>
    <row r="314" spans="1:17" x14ac:dyDescent="0.25">
      <c r="A314" s="160"/>
      <c r="B314" s="180"/>
      <c r="C314" s="140"/>
      <c r="D314" s="140"/>
      <c r="E314" s="140" t="s">
        <v>54</v>
      </c>
      <c r="F314" s="141"/>
      <c r="G314" s="142">
        <f>'Supra B por pav'!M160</f>
        <v>1.625</v>
      </c>
      <c r="H314" s="143">
        <f>'Supra B por pav'!L160</f>
        <v>129</v>
      </c>
      <c r="I314" s="143">
        <f>'Supra B por pav'!C160</f>
        <v>0</v>
      </c>
      <c r="J314" s="143">
        <f>'Supra B por pav'!D160</f>
        <v>0</v>
      </c>
      <c r="K314" s="143">
        <f>'Supra B por pav'!E160</f>
        <v>0</v>
      </c>
      <c r="L314" s="143">
        <f>'Supra B por pav'!F160</f>
        <v>20</v>
      </c>
      <c r="M314" s="143">
        <f>'Supra B por pav'!G160</f>
        <v>109</v>
      </c>
      <c r="N314" s="143">
        <f>'Supra B por pav'!H160</f>
        <v>0</v>
      </c>
      <c r="O314" s="143">
        <f>'Supra B por pav'!I160</f>
        <v>0</v>
      </c>
      <c r="P314" s="164">
        <f>'Supra B por pav'!J160</f>
        <v>0</v>
      </c>
      <c r="Q314" s="168">
        <f>'Supra B por pav'!K160</f>
        <v>0</v>
      </c>
    </row>
    <row r="315" spans="1:17" ht="15.75" thickBot="1" x14ac:dyDescent="0.3">
      <c r="A315" s="161"/>
      <c r="B315" s="181"/>
      <c r="C315" s="144"/>
      <c r="D315" s="144"/>
      <c r="E315" s="144" t="s">
        <v>55</v>
      </c>
      <c r="F315" s="145"/>
      <c r="G315" s="146">
        <f>'Supra B por pav'!M161</f>
        <v>0</v>
      </c>
      <c r="H315" s="147">
        <f>'Supra B por pav'!L161</f>
        <v>0</v>
      </c>
      <c r="I315" s="147">
        <f>'Supra B por pav'!C161</f>
        <v>0</v>
      </c>
      <c r="J315" s="147">
        <f>'Supra B por pav'!D161</f>
        <v>0</v>
      </c>
      <c r="K315" s="147">
        <f>'Supra B por pav'!E161</f>
        <v>0</v>
      </c>
      <c r="L315" s="147">
        <f>'Supra B por pav'!F161</f>
        <v>0</v>
      </c>
      <c r="M315" s="147">
        <f>'Supra B por pav'!G161</f>
        <v>0</v>
      </c>
      <c r="N315" s="147">
        <f>'Supra B por pav'!H161</f>
        <v>0</v>
      </c>
      <c r="O315" s="147">
        <f>'Supra B por pav'!I161</f>
        <v>0</v>
      </c>
      <c r="P315" s="165">
        <f>'Supra B por pav'!J161</f>
        <v>0</v>
      </c>
      <c r="Q315" s="169">
        <f>'Supra B por pav'!K161</f>
        <v>0</v>
      </c>
    </row>
    <row r="316" spans="1:17" ht="16.5" thickTop="1" thickBot="1" x14ac:dyDescent="0.3">
      <c r="A316" s="162" t="s">
        <v>281</v>
      </c>
      <c r="B316" s="158" t="s">
        <v>165</v>
      </c>
      <c r="C316" s="152" t="s">
        <v>83</v>
      </c>
      <c r="D316" s="152" t="s">
        <v>272</v>
      </c>
      <c r="E316" s="152"/>
      <c r="F316" s="153">
        <v>50</v>
      </c>
      <c r="G316" s="154">
        <f t="shared" ref="G316:Q316" si="51">SUM(G311:G315)</f>
        <v>171.89500000000001</v>
      </c>
      <c r="H316" s="155">
        <f t="shared" si="51"/>
        <v>18261</v>
      </c>
      <c r="I316" s="155">
        <f t="shared" si="51"/>
        <v>872</v>
      </c>
      <c r="J316" s="155">
        <f t="shared" si="51"/>
        <v>354</v>
      </c>
      <c r="K316" s="155">
        <f t="shared" si="51"/>
        <v>1519</v>
      </c>
      <c r="L316" s="155">
        <f t="shared" si="51"/>
        <v>1504</v>
      </c>
      <c r="M316" s="155">
        <f t="shared" si="51"/>
        <v>1904</v>
      </c>
      <c r="N316" s="155">
        <f t="shared" si="51"/>
        <v>4632</v>
      </c>
      <c r="O316" s="155">
        <f t="shared" si="51"/>
        <v>6715</v>
      </c>
      <c r="P316" s="166">
        <f t="shared" si="51"/>
        <v>761</v>
      </c>
      <c r="Q316" s="170">
        <f t="shared" si="51"/>
        <v>0</v>
      </c>
    </row>
    <row r="317" spans="1:17" ht="15.75" thickTop="1" x14ac:dyDescent="0.25">
      <c r="A317" s="163" t="s">
        <v>281</v>
      </c>
      <c r="B317" s="182" t="s">
        <v>165</v>
      </c>
      <c r="C317" s="148" t="s">
        <v>84</v>
      </c>
      <c r="D317" s="148" t="s">
        <v>84</v>
      </c>
      <c r="E317" s="148" t="s">
        <v>51</v>
      </c>
      <c r="F317" s="149">
        <v>50</v>
      </c>
      <c r="G317" s="150">
        <f>'Supra B por pav'!M163</f>
        <v>34.85</v>
      </c>
      <c r="H317" s="151">
        <f>'Supra B por pav'!L163</f>
        <v>3482</v>
      </c>
      <c r="I317" s="151">
        <f>'Supra B por pav'!C163</f>
        <v>0</v>
      </c>
      <c r="J317" s="151">
        <f>'Supra B por pav'!D163</f>
        <v>280</v>
      </c>
      <c r="K317" s="151">
        <f>'Supra B por pav'!E163</f>
        <v>464</v>
      </c>
      <c r="L317" s="151">
        <f>'Supra B por pav'!F163</f>
        <v>243</v>
      </c>
      <c r="M317" s="151">
        <f>'Supra B por pav'!G163</f>
        <v>60</v>
      </c>
      <c r="N317" s="151">
        <f>'Supra B por pav'!H163</f>
        <v>563</v>
      </c>
      <c r="O317" s="151">
        <f>'Supra B por pav'!I163</f>
        <v>1111</v>
      </c>
      <c r="P317" s="167">
        <f>'Supra B por pav'!J163</f>
        <v>761</v>
      </c>
      <c r="Q317" s="171">
        <f>'Supra B por pav'!K163</f>
        <v>0</v>
      </c>
    </row>
    <row r="318" spans="1:17" x14ac:dyDescent="0.25">
      <c r="A318" s="160"/>
      <c r="B318" s="180"/>
      <c r="C318" s="140"/>
      <c r="D318" s="140"/>
      <c r="E318" s="140" t="s">
        <v>52</v>
      </c>
      <c r="F318" s="141"/>
      <c r="G318" s="142">
        <f>'Supra B por pav'!M164</f>
        <v>40.42</v>
      </c>
      <c r="H318" s="143">
        <f>'Supra B por pav'!L164</f>
        <v>3885</v>
      </c>
      <c r="I318" s="143">
        <f>'Supra B por pav'!C164</f>
        <v>0</v>
      </c>
      <c r="J318" s="143">
        <f>'Supra B por pav'!D164</f>
        <v>74</v>
      </c>
      <c r="K318" s="143">
        <f>'Supra B por pav'!E164</f>
        <v>999</v>
      </c>
      <c r="L318" s="143">
        <f>'Supra B por pav'!F164</f>
        <v>0</v>
      </c>
      <c r="M318" s="143">
        <f>'Supra B por pav'!G164</f>
        <v>0</v>
      </c>
      <c r="N318" s="143">
        <f>'Supra B por pav'!H164</f>
        <v>1233</v>
      </c>
      <c r="O318" s="143">
        <f>'Supra B por pav'!I164</f>
        <v>1579</v>
      </c>
      <c r="P318" s="164">
        <f>'Supra B por pav'!J164</f>
        <v>0</v>
      </c>
      <c r="Q318" s="168">
        <f>'Supra B por pav'!K164</f>
        <v>0</v>
      </c>
    </row>
    <row r="319" spans="1:17" x14ac:dyDescent="0.25">
      <c r="A319" s="160"/>
      <c r="B319" s="180"/>
      <c r="C319" s="140"/>
      <c r="D319" s="140"/>
      <c r="E319" s="140" t="s">
        <v>53</v>
      </c>
      <c r="F319" s="141"/>
      <c r="G319" s="142">
        <f>'Supra B por pav'!M165</f>
        <v>95</v>
      </c>
      <c r="H319" s="143">
        <f>'Supra B por pav'!L165</f>
        <v>10765</v>
      </c>
      <c r="I319" s="143">
        <f>'Supra B por pav'!C165</f>
        <v>872</v>
      </c>
      <c r="J319" s="143">
        <f>'Supra B por pav'!D165</f>
        <v>0</v>
      </c>
      <c r="K319" s="143">
        <f>'Supra B por pav'!E165</f>
        <v>56</v>
      </c>
      <c r="L319" s="143">
        <f>'Supra B por pav'!F165</f>
        <v>1241</v>
      </c>
      <c r="M319" s="143">
        <f>'Supra B por pav'!G165</f>
        <v>1735</v>
      </c>
      <c r="N319" s="143">
        <f>'Supra B por pav'!H165</f>
        <v>2836</v>
      </c>
      <c r="O319" s="143">
        <f>'Supra B por pav'!I165</f>
        <v>4025</v>
      </c>
      <c r="P319" s="164">
        <f>'Supra B por pav'!J165</f>
        <v>0</v>
      </c>
      <c r="Q319" s="168">
        <f>'Supra B por pav'!K165</f>
        <v>0</v>
      </c>
    </row>
    <row r="320" spans="1:17" x14ac:dyDescent="0.25">
      <c r="A320" s="160"/>
      <c r="B320" s="180"/>
      <c r="C320" s="140"/>
      <c r="D320" s="140"/>
      <c r="E320" s="140" t="s">
        <v>54</v>
      </c>
      <c r="F320" s="141"/>
      <c r="G320" s="142">
        <f>'Supra B por pav'!M166</f>
        <v>1.625</v>
      </c>
      <c r="H320" s="143">
        <f>'Supra B por pav'!L166</f>
        <v>129</v>
      </c>
      <c r="I320" s="143">
        <f>'Supra B por pav'!C166</f>
        <v>0</v>
      </c>
      <c r="J320" s="143">
        <f>'Supra B por pav'!D166</f>
        <v>0</v>
      </c>
      <c r="K320" s="143">
        <f>'Supra B por pav'!E166</f>
        <v>0</v>
      </c>
      <c r="L320" s="143">
        <f>'Supra B por pav'!F166</f>
        <v>20</v>
      </c>
      <c r="M320" s="143">
        <f>'Supra B por pav'!G166</f>
        <v>109</v>
      </c>
      <c r="N320" s="143">
        <f>'Supra B por pav'!H166</f>
        <v>0</v>
      </c>
      <c r="O320" s="143">
        <f>'Supra B por pav'!I166</f>
        <v>0</v>
      </c>
      <c r="P320" s="164">
        <f>'Supra B por pav'!J166</f>
        <v>0</v>
      </c>
      <c r="Q320" s="168">
        <f>'Supra B por pav'!K166</f>
        <v>0</v>
      </c>
    </row>
    <row r="321" spans="1:17" ht="15.75" thickBot="1" x14ac:dyDescent="0.3">
      <c r="A321" s="161"/>
      <c r="B321" s="181"/>
      <c r="C321" s="144"/>
      <c r="D321" s="144"/>
      <c r="E321" s="144" t="s">
        <v>55</v>
      </c>
      <c r="F321" s="145"/>
      <c r="G321" s="146">
        <f>'Supra B por pav'!M167</f>
        <v>0</v>
      </c>
      <c r="H321" s="147">
        <f>'Supra B por pav'!L167</f>
        <v>0</v>
      </c>
      <c r="I321" s="147">
        <f>'Supra B por pav'!C167</f>
        <v>0</v>
      </c>
      <c r="J321" s="147">
        <f>'Supra B por pav'!D167</f>
        <v>0</v>
      </c>
      <c r="K321" s="147">
        <f>'Supra B por pav'!E167</f>
        <v>0</v>
      </c>
      <c r="L321" s="147">
        <f>'Supra B por pav'!F167</f>
        <v>0</v>
      </c>
      <c r="M321" s="147">
        <f>'Supra B por pav'!G167</f>
        <v>0</v>
      </c>
      <c r="N321" s="147">
        <f>'Supra B por pav'!H167</f>
        <v>0</v>
      </c>
      <c r="O321" s="147">
        <f>'Supra B por pav'!I167</f>
        <v>0</v>
      </c>
      <c r="P321" s="165">
        <f>'Supra B por pav'!J167</f>
        <v>0</v>
      </c>
      <c r="Q321" s="169">
        <f>'Supra B por pav'!K167</f>
        <v>0</v>
      </c>
    </row>
    <row r="322" spans="1:17" ht="16.5" thickTop="1" thickBot="1" x14ac:dyDescent="0.3">
      <c r="A322" s="162" t="s">
        <v>281</v>
      </c>
      <c r="B322" s="158" t="s">
        <v>165</v>
      </c>
      <c r="C322" s="152" t="s">
        <v>84</v>
      </c>
      <c r="D322" s="152" t="s">
        <v>273</v>
      </c>
      <c r="E322" s="152"/>
      <c r="F322" s="153">
        <v>50</v>
      </c>
      <c r="G322" s="154">
        <f t="shared" ref="G322:Q322" si="52">SUM(G317:G321)</f>
        <v>171.89500000000001</v>
      </c>
      <c r="H322" s="155">
        <f t="shared" si="52"/>
        <v>18261</v>
      </c>
      <c r="I322" s="155">
        <f t="shared" si="52"/>
        <v>872</v>
      </c>
      <c r="J322" s="155">
        <f t="shared" si="52"/>
        <v>354</v>
      </c>
      <c r="K322" s="155">
        <f t="shared" si="52"/>
        <v>1519</v>
      </c>
      <c r="L322" s="155">
        <f t="shared" si="52"/>
        <v>1504</v>
      </c>
      <c r="M322" s="155">
        <f t="shared" si="52"/>
        <v>1904</v>
      </c>
      <c r="N322" s="155">
        <f t="shared" si="52"/>
        <v>4632</v>
      </c>
      <c r="O322" s="155">
        <f t="shared" si="52"/>
        <v>6715</v>
      </c>
      <c r="P322" s="166">
        <f t="shared" si="52"/>
        <v>761</v>
      </c>
      <c r="Q322" s="170">
        <f t="shared" si="52"/>
        <v>0</v>
      </c>
    </row>
    <row r="323" spans="1:17" ht="15.75" thickTop="1" x14ac:dyDescent="0.25">
      <c r="A323" s="163" t="s">
        <v>281</v>
      </c>
      <c r="B323" s="182" t="s">
        <v>165</v>
      </c>
      <c r="C323" s="148" t="s">
        <v>85</v>
      </c>
      <c r="D323" s="148" t="s">
        <v>85</v>
      </c>
      <c r="E323" s="148" t="s">
        <v>51</v>
      </c>
      <c r="F323" s="149">
        <v>50</v>
      </c>
      <c r="G323" s="150">
        <f>'Supra B por pav'!M169</f>
        <v>34.85</v>
      </c>
      <c r="H323" s="151">
        <f>'Supra B por pav'!L169</f>
        <v>3482</v>
      </c>
      <c r="I323" s="151">
        <f>'Supra B por pav'!C169</f>
        <v>0</v>
      </c>
      <c r="J323" s="151">
        <f>'Supra B por pav'!D169</f>
        <v>280</v>
      </c>
      <c r="K323" s="151">
        <f>'Supra B por pav'!E169</f>
        <v>464</v>
      </c>
      <c r="L323" s="151">
        <f>'Supra B por pav'!F169</f>
        <v>243</v>
      </c>
      <c r="M323" s="151">
        <f>'Supra B por pav'!G169</f>
        <v>60</v>
      </c>
      <c r="N323" s="151">
        <f>'Supra B por pav'!H169</f>
        <v>563</v>
      </c>
      <c r="O323" s="151">
        <f>'Supra B por pav'!I169</f>
        <v>1111</v>
      </c>
      <c r="P323" s="167">
        <f>'Supra B por pav'!J169</f>
        <v>761</v>
      </c>
      <c r="Q323" s="171">
        <f>'Supra B por pav'!K169</f>
        <v>0</v>
      </c>
    </row>
    <row r="324" spans="1:17" x14ac:dyDescent="0.25">
      <c r="A324" s="160"/>
      <c r="B324" s="180"/>
      <c r="C324" s="140"/>
      <c r="D324" s="140"/>
      <c r="E324" s="140" t="s">
        <v>52</v>
      </c>
      <c r="F324" s="141"/>
      <c r="G324" s="142">
        <f>'Supra B por pav'!M170</f>
        <v>40.42</v>
      </c>
      <c r="H324" s="143">
        <f>'Supra B por pav'!L170</f>
        <v>3885</v>
      </c>
      <c r="I324" s="143">
        <f>'Supra B por pav'!C170</f>
        <v>0</v>
      </c>
      <c r="J324" s="143">
        <f>'Supra B por pav'!D170</f>
        <v>74</v>
      </c>
      <c r="K324" s="143">
        <f>'Supra B por pav'!E170</f>
        <v>999</v>
      </c>
      <c r="L324" s="143">
        <f>'Supra B por pav'!F170</f>
        <v>0</v>
      </c>
      <c r="M324" s="143">
        <f>'Supra B por pav'!G170</f>
        <v>0</v>
      </c>
      <c r="N324" s="143">
        <f>'Supra B por pav'!H170</f>
        <v>1233</v>
      </c>
      <c r="O324" s="143">
        <f>'Supra B por pav'!I170</f>
        <v>1579</v>
      </c>
      <c r="P324" s="164">
        <f>'Supra B por pav'!J170</f>
        <v>0</v>
      </c>
      <c r="Q324" s="168">
        <f>'Supra B por pav'!K170</f>
        <v>0</v>
      </c>
    </row>
    <row r="325" spans="1:17" x14ac:dyDescent="0.25">
      <c r="A325" s="160"/>
      <c r="B325" s="180"/>
      <c r="C325" s="140"/>
      <c r="D325" s="140"/>
      <c r="E325" s="140" t="s">
        <v>53</v>
      </c>
      <c r="F325" s="141"/>
      <c r="G325" s="142">
        <f>'Supra B por pav'!M171</f>
        <v>95</v>
      </c>
      <c r="H325" s="143">
        <f>'Supra B por pav'!L171</f>
        <v>10765</v>
      </c>
      <c r="I325" s="143">
        <f>'Supra B por pav'!C171</f>
        <v>872</v>
      </c>
      <c r="J325" s="143">
        <f>'Supra B por pav'!D171</f>
        <v>0</v>
      </c>
      <c r="K325" s="143">
        <f>'Supra B por pav'!E171</f>
        <v>56</v>
      </c>
      <c r="L325" s="143">
        <f>'Supra B por pav'!F171</f>
        <v>1241</v>
      </c>
      <c r="M325" s="143">
        <f>'Supra B por pav'!G171</f>
        <v>1735</v>
      </c>
      <c r="N325" s="143">
        <f>'Supra B por pav'!H171</f>
        <v>2836</v>
      </c>
      <c r="O325" s="143">
        <f>'Supra B por pav'!I171</f>
        <v>4025</v>
      </c>
      <c r="P325" s="164">
        <f>'Supra B por pav'!J171</f>
        <v>0</v>
      </c>
      <c r="Q325" s="168">
        <f>'Supra B por pav'!K171</f>
        <v>0</v>
      </c>
    </row>
    <row r="326" spans="1:17" x14ac:dyDescent="0.25">
      <c r="A326" s="160"/>
      <c r="B326" s="180"/>
      <c r="C326" s="140"/>
      <c r="D326" s="140"/>
      <c r="E326" s="140" t="s">
        <v>54</v>
      </c>
      <c r="F326" s="141"/>
      <c r="G326" s="142">
        <f>'Supra B por pav'!M172</f>
        <v>1.625</v>
      </c>
      <c r="H326" s="143">
        <f>'Supra B por pav'!L172</f>
        <v>129</v>
      </c>
      <c r="I326" s="143">
        <f>'Supra B por pav'!C172</f>
        <v>0</v>
      </c>
      <c r="J326" s="143">
        <f>'Supra B por pav'!D172</f>
        <v>0</v>
      </c>
      <c r="K326" s="143">
        <f>'Supra B por pav'!E172</f>
        <v>0</v>
      </c>
      <c r="L326" s="143">
        <f>'Supra B por pav'!F172</f>
        <v>20</v>
      </c>
      <c r="M326" s="143">
        <f>'Supra B por pav'!G172</f>
        <v>109</v>
      </c>
      <c r="N326" s="143">
        <f>'Supra B por pav'!H172</f>
        <v>0</v>
      </c>
      <c r="O326" s="143">
        <f>'Supra B por pav'!I172</f>
        <v>0</v>
      </c>
      <c r="P326" s="164">
        <f>'Supra B por pav'!J172</f>
        <v>0</v>
      </c>
      <c r="Q326" s="168">
        <f>'Supra B por pav'!K172</f>
        <v>0</v>
      </c>
    </row>
    <row r="327" spans="1:17" ht="15.75" thickBot="1" x14ac:dyDescent="0.3">
      <c r="A327" s="161"/>
      <c r="B327" s="181"/>
      <c r="C327" s="144"/>
      <c r="D327" s="144"/>
      <c r="E327" s="144" t="s">
        <v>55</v>
      </c>
      <c r="F327" s="145"/>
      <c r="G327" s="146">
        <f>'Supra B por pav'!M173</f>
        <v>0</v>
      </c>
      <c r="H327" s="147">
        <f>'Supra B por pav'!L173</f>
        <v>0</v>
      </c>
      <c r="I327" s="147">
        <f>'Supra B por pav'!C173</f>
        <v>0</v>
      </c>
      <c r="J327" s="147">
        <f>'Supra B por pav'!D173</f>
        <v>0</v>
      </c>
      <c r="K327" s="147">
        <f>'Supra B por pav'!E173</f>
        <v>0</v>
      </c>
      <c r="L327" s="147">
        <f>'Supra B por pav'!F173</f>
        <v>0</v>
      </c>
      <c r="M327" s="147">
        <f>'Supra B por pav'!G173</f>
        <v>0</v>
      </c>
      <c r="N327" s="147">
        <f>'Supra B por pav'!H173</f>
        <v>0</v>
      </c>
      <c r="O327" s="147">
        <f>'Supra B por pav'!I173</f>
        <v>0</v>
      </c>
      <c r="P327" s="165">
        <f>'Supra B por pav'!J173</f>
        <v>0</v>
      </c>
      <c r="Q327" s="169">
        <f>'Supra B por pav'!K173</f>
        <v>0</v>
      </c>
    </row>
    <row r="328" spans="1:17" ht="16.5" thickTop="1" thickBot="1" x14ac:dyDescent="0.3">
      <c r="A328" s="162" t="s">
        <v>281</v>
      </c>
      <c r="B328" s="158" t="s">
        <v>165</v>
      </c>
      <c r="C328" s="152" t="s">
        <v>85</v>
      </c>
      <c r="D328" s="152" t="s">
        <v>274</v>
      </c>
      <c r="E328" s="152"/>
      <c r="F328" s="153">
        <v>50</v>
      </c>
      <c r="G328" s="154">
        <f t="shared" ref="G328:Q328" si="53">SUM(G323:G327)</f>
        <v>171.89500000000001</v>
      </c>
      <c r="H328" s="155">
        <f t="shared" si="53"/>
        <v>18261</v>
      </c>
      <c r="I328" s="155">
        <f t="shared" si="53"/>
        <v>872</v>
      </c>
      <c r="J328" s="155">
        <f t="shared" si="53"/>
        <v>354</v>
      </c>
      <c r="K328" s="155">
        <f t="shared" si="53"/>
        <v>1519</v>
      </c>
      <c r="L328" s="155">
        <f t="shared" si="53"/>
        <v>1504</v>
      </c>
      <c r="M328" s="155">
        <f t="shared" si="53"/>
        <v>1904</v>
      </c>
      <c r="N328" s="155">
        <f t="shared" si="53"/>
        <v>4632</v>
      </c>
      <c r="O328" s="155">
        <f t="shared" si="53"/>
        <v>6715</v>
      </c>
      <c r="P328" s="166">
        <f t="shared" si="53"/>
        <v>761</v>
      </c>
      <c r="Q328" s="170">
        <f t="shared" si="53"/>
        <v>0</v>
      </c>
    </row>
    <row r="329" spans="1:17" ht="15.75" thickTop="1" x14ac:dyDescent="0.25">
      <c r="A329" s="163" t="s">
        <v>281</v>
      </c>
      <c r="B329" s="182" t="s">
        <v>165</v>
      </c>
      <c r="C329" s="148" t="s">
        <v>86</v>
      </c>
      <c r="D329" s="148" t="s">
        <v>86</v>
      </c>
      <c r="E329" s="148" t="s">
        <v>51</v>
      </c>
      <c r="F329" s="149">
        <v>50</v>
      </c>
      <c r="G329" s="150">
        <f>'Supra B por pav'!M175</f>
        <v>34.85</v>
      </c>
      <c r="H329" s="151">
        <f>'Supra B por pav'!L175</f>
        <v>3015</v>
      </c>
      <c r="I329" s="151">
        <f>'Supra B por pav'!C175</f>
        <v>0</v>
      </c>
      <c r="J329" s="151">
        <f>'Supra B por pav'!D175</f>
        <v>275</v>
      </c>
      <c r="K329" s="151">
        <f>'Supra B por pav'!E175</f>
        <v>454</v>
      </c>
      <c r="L329" s="151">
        <f>'Supra B por pav'!F175</f>
        <v>243</v>
      </c>
      <c r="M329" s="151">
        <f>'Supra B por pav'!G175</f>
        <v>57</v>
      </c>
      <c r="N329" s="151">
        <f>'Supra B por pav'!H175</f>
        <v>738</v>
      </c>
      <c r="O329" s="151">
        <f>'Supra B por pav'!I175</f>
        <v>954</v>
      </c>
      <c r="P329" s="167">
        <f>'Supra B por pav'!J175</f>
        <v>294</v>
      </c>
      <c r="Q329" s="171">
        <f>'Supra B por pav'!K175</f>
        <v>0</v>
      </c>
    </row>
    <row r="330" spans="1:17" x14ac:dyDescent="0.25">
      <c r="A330" s="160"/>
      <c r="B330" s="180"/>
      <c r="C330" s="140"/>
      <c r="D330" s="140"/>
      <c r="E330" s="140" t="s">
        <v>52</v>
      </c>
      <c r="F330" s="141"/>
      <c r="G330" s="142">
        <f>'Supra B por pav'!M176</f>
        <v>40.42</v>
      </c>
      <c r="H330" s="143">
        <f>'Supra B por pav'!L176</f>
        <v>3885</v>
      </c>
      <c r="I330" s="143">
        <f>'Supra B por pav'!C176</f>
        <v>0</v>
      </c>
      <c r="J330" s="143">
        <f>'Supra B por pav'!D176</f>
        <v>74</v>
      </c>
      <c r="K330" s="143">
        <f>'Supra B por pav'!E176</f>
        <v>999</v>
      </c>
      <c r="L330" s="143">
        <f>'Supra B por pav'!F176</f>
        <v>0</v>
      </c>
      <c r="M330" s="143">
        <f>'Supra B por pav'!G176</f>
        <v>0</v>
      </c>
      <c r="N330" s="143">
        <f>'Supra B por pav'!H176</f>
        <v>1233</v>
      </c>
      <c r="O330" s="143">
        <f>'Supra B por pav'!I176</f>
        <v>1579</v>
      </c>
      <c r="P330" s="164">
        <f>'Supra B por pav'!J176</f>
        <v>0</v>
      </c>
      <c r="Q330" s="168">
        <f>'Supra B por pav'!K176</f>
        <v>0</v>
      </c>
    </row>
    <row r="331" spans="1:17" x14ac:dyDescent="0.25">
      <c r="A331" s="160"/>
      <c r="B331" s="180"/>
      <c r="C331" s="140"/>
      <c r="D331" s="140"/>
      <c r="E331" s="140" t="s">
        <v>53</v>
      </c>
      <c r="F331" s="141"/>
      <c r="G331" s="142">
        <f>'Supra B por pav'!M177</f>
        <v>95</v>
      </c>
      <c r="H331" s="143">
        <f>'Supra B por pav'!L177</f>
        <v>10765</v>
      </c>
      <c r="I331" s="143">
        <f>'Supra B por pav'!C177</f>
        <v>872</v>
      </c>
      <c r="J331" s="143">
        <f>'Supra B por pav'!D177</f>
        <v>0</v>
      </c>
      <c r="K331" s="143">
        <f>'Supra B por pav'!E177</f>
        <v>56</v>
      </c>
      <c r="L331" s="143">
        <f>'Supra B por pav'!F177</f>
        <v>1241</v>
      </c>
      <c r="M331" s="143">
        <f>'Supra B por pav'!G177</f>
        <v>1735</v>
      </c>
      <c r="N331" s="143">
        <f>'Supra B por pav'!H177</f>
        <v>2836</v>
      </c>
      <c r="O331" s="143">
        <f>'Supra B por pav'!I177</f>
        <v>4025</v>
      </c>
      <c r="P331" s="164">
        <f>'Supra B por pav'!J177</f>
        <v>0</v>
      </c>
      <c r="Q331" s="168">
        <f>'Supra B por pav'!K177</f>
        <v>0</v>
      </c>
    </row>
    <row r="332" spans="1:17" x14ac:dyDescent="0.25">
      <c r="A332" s="160"/>
      <c r="B332" s="180"/>
      <c r="C332" s="140"/>
      <c r="D332" s="140"/>
      <c r="E332" s="140" t="s">
        <v>54</v>
      </c>
      <c r="F332" s="141"/>
      <c r="G332" s="142">
        <f>'Supra B por pav'!M178</f>
        <v>1.625</v>
      </c>
      <c r="H332" s="143">
        <f>'Supra B por pav'!L178</f>
        <v>129</v>
      </c>
      <c r="I332" s="143">
        <f>'Supra B por pav'!C178</f>
        <v>0</v>
      </c>
      <c r="J332" s="143">
        <f>'Supra B por pav'!D178</f>
        <v>0</v>
      </c>
      <c r="K332" s="143">
        <f>'Supra B por pav'!E178</f>
        <v>0</v>
      </c>
      <c r="L332" s="143">
        <f>'Supra B por pav'!F178</f>
        <v>20</v>
      </c>
      <c r="M332" s="143">
        <f>'Supra B por pav'!G178</f>
        <v>109</v>
      </c>
      <c r="N332" s="143">
        <f>'Supra B por pav'!H178</f>
        <v>0</v>
      </c>
      <c r="O332" s="143">
        <f>'Supra B por pav'!I178</f>
        <v>0</v>
      </c>
      <c r="P332" s="164">
        <f>'Supra B por pav'!J178</f>
        <v>0</v>
      </c>
      <c r="Q332" s="168">
        <f>'Supra B por pav'!K178</f>
        <v>0</v>
      </c>
    </row>
    <row r="333" spans="1:17" ht="15.75" thickBot="1" x14ac:dyDescent="0.3">
      <c r="A333" s="161"/>
      <c r="B333" s="181"/>
      <c r="C333" s="144"/>
      <c r="D333" s="144"/>
      <c r="E333" s="144" t="s">
        <v>55</v>
      </c>
      <c r="F333" s="145"/>
      <c r="G333" s="146">
        <f>'Supra B por pav'!M179</f>
        <v>0</v>
      </c>
      <c r="H333" s="147">
        <f>'Supra B por pav'!L179</f>
        <v>0</v>
      </c>
      <c r="I333" s="147">
        <f>'Supra B por pav'!C179</f>
        <v>0</v>
      </c>
      <c r="J333" s="147">
        <f>'Supra B por pav'!D179</f>
        <v>0</v>
      </c>
      <c r="K333" s="147">
        <f>'Supra B por pav'!E179</f>
        <v>0</v>
      </c>
      <c r="L333" s="147">
        <f>'Supra B por pav'!F179</f>
        <v>0</v>
      </c>
      <c r="M333" s="147">
        <f>'Supra B por pav'!G179</f>
        <v>0</v>
      </c>
      <c r="N333" s="147">
        <f>'Supra B por pav'!H179</f>
        <v>0</v>
      </c>
      <c r="O333" s="147">
        <f>'Supra B por pav'!I179</f>
        <v>0</v>
      </c>
      <c r="P333" s="165">
        <f>'Supra B por pav'!J179</f>
        <v>0</v>
      </c>
      <c r="Q333" s="169">
        <f>'Supra B por pav'!K179</f>
        <v>0</v>
      </c>
    </row>
    <row r="334" spans="1:17" ht="16.5" thickTop="1" thickBot="1" x14ac:dyDescent="0.3">
      <c r="A334" s="162" t="s">
        <v>281</v>
      </c>
      <c r="B334" s="158" t="s">
        <v>165</v>
      </c>
      <c r="C334" s="152" t="s">
        <v>86</v>
      </c>
      <c r="D334" s="152" t="s">
        <v>275</v>
      </c>
      <c r="E334" s="152"/>
      <c r="F334" s="153">
        <v>50</v>
      </c>
      <c r="G334" s="154">
        <f t="shared" ref="G334:Q334" si="54">SUM(G329:G333)</f>
        <v>171.89500000000001</v>
      </c>
      <c r="H334" s="155">
        <f t="shared" si="54"/>
        <v>17794</v>
      </c>
      <c r="I334" s="155">
        <f t="shared" si="54"/>
        <v>872</v>
      </c>
      <c r="J334" s="155">
        <f t="shared" si="54"/>
        <v>349</v>
      </c>
      <c r="K334" s="155">
        <f t="shared" si="54"/>
        <v>1509</v>
      </c>
      <c r="L334" s="155">
        <f t="shared" si="54"/>
        <v>1504</v>
      </c>
      <c r="M334" s="155">
        <f t="shared" si="54"/>
        <v>1901</v>
      </c>
      <c r="N334" s="155">
        <f t="shared" si="54"/>
        <v>4807</v>
      </c>
      <c r="O334" s="155">
        <f t="shared" si="54"/>
        <v>6558</v>
      </c>
      <c r="P334" s="166">
        <f t="shared" si="54"/>
        <v>294</v>
      </c>
      <c r="Q334" s="170">
        <f t="shared" si="54"/>
        <v>0</v>
      </c>
    </row>
    <row r="335" spans="1:17" ht="15.75" thickTop="1" x14ac:dyDescent="0.25">
      <c r="A335" s="163" t="s">
        <v>281</v>
      </c>
      <c r="B335" s="182" t="s">
        <v>165</v>
      </c>
      <c r="C335" s="148" t="s">
        <v>87</v>
      </c>
      <c r="D335" s="148" t="s">
        <v>87</v>
      </c>
      <c r="E335" s="148" t="s">
        <v>51</v>
      </c>
      <c r="F335" s="149">
        <v>50</v>
      </c>
      <c r="G335" s="150">
        <f>'Supra B por pav'!M181</f>
        <v>34.85</v>
      </c>
      <c r="H335" s="151">
        <f>'Supra B por pav'!L181</f>
        <v>3015</v>
      </c>
      <c r="I335" s="151">
        <f>'Supra B por pav'!C181</f>
        <v>0</v>
      </c>
      <c r="J335" s="151">
        <f>'Supra B por pav'!D181</f>
        <v>275</v>
      </c>
      <c r="K335" s="151">
        <f>'Supra B por pav'!E181</f>
        <v>454</v>
      </c>
      <c r="L335" s="151">
        <f>'Supra B por pav'!F181</f>
        <v>243</v>
      </c>
      <c r="M335" s="151">
        <f>'Supra B por pav'!G181</f>
        <v>57</v>
      </c>
      <c r="N335" s="151">
        <f>'Supra B por pav'!H181</f>
        <v>738</v>
      </c>
      <c r="O335" s="151">
        <f>'Supra B por pav'!I181</f>
        <v>954</v>
      </c>
      <c r="P335" s="167">
        <f>'Supra B por pav'!J181</f>
        <v>294</v>
      </c>
      <c r="Q335" s="171">
        <f>'Supra B por pav'!K181</f>
        <v>0</v>
      </c>
    </row>
    <row r="336" spans="1:17" x14ac:dyDescent="0.25">
      <c r="A336" s="160"/>
      <c r="B336" s="180"/>
      <c r="C336" s="140"/>
      <c r="D336" s="140"/>
      <c r="E336" s="140" t="s">
        <v>52</v>
      </c>
      <c r="F336" s="141"/>
      <c r="G336" s="142">
        <f>'Supra B por pav'!M182</f>
        <v>40.42</v>
      </c>
      <c r="H336" s="143">
        <f>'Supra B por pav'!L182</f>
        <v>3885</v>
      </c>
      <c r="I336" s="143">
        <f>'Supra B por pav'!C182</f>
        <v>0</v>
      </c>
      <c r="J336" s="143">
        <f>'Supra B por pav'!D182</f>
        <v>74</v>
      </c>
      <c r="K336" s="143">
        <f>'Supra B por pav'!E182</f>
        <v>999</v>
      </c>
      <c r="L336" s="143">
        <f>'Supra B por pav'!F182</f>
        <v>0</v>
      </c>
      <c r="M336" s="143">
        <f>'Supra B por pav'!G182</f>
        <v>0</v>
      </c>
      <c r="N336" s="143">
        <f>'Supra B por pav'!H182</f>
        <v>1233</v>
      </c>
      <c r="O336" s="143">
        <f>'Supra B por pav'!I182</f>
        <v>1579</v>
      </c>
      <c r="P336" s="164">
        <f>'Supra B por pav'!J182</f>
        <v>0</v>
      </c>
      <c r="Q336" s="168">
        <f>'Supra B por pav'!K182</f>
        <v>0</v>
      </c>
    </row>
    <row r="337" spans="1:17" x14ac:dyDescent="0.25">
      <c r="A337" s="160"/>
      <c r="B337" s="180"/>
      <c r="C337" s="140"/>
      <c r="D337" s="140"/>
      <c r="E337" s="140" t="s">
        <v>53</v>
      </c>
      <c r="F337" s="141"/>
      <c r="G337" s="142">
        <f>'Supra B por pav'!M183</f>
        <v>95</v>
      </c>
      <c r="H337" s="143">
        <f>'Supra B por pav'!L183</f>
        <v>10765</v>
      </c>
      <c r="I337" s="143">
        <f>'Supra B por pav'!C183</f>
        <v>872</v>
      </c>
      <c r="J337" s="143">
        <f>'Supra B por pav'!D183</f>
        <v>0</v>
      </c>
      <c r="K337" s="143">
        <f>'Supra B por pav'!E183</f>
        <v>56</v>
      </c>
      <c r="L337" s="143">
        <f>'Supra B por pav'!F183</f>
        <v>1241</v>
      </c>
      <c r="M337" s="143">
        <f>'Supra B por pav'!G183</f>
        <v>1735</v>
      </c>
      <c r="N337" s="143">
        <f>'Supra B por pav'!H183</f>
        <v>2836</v>
      </c>
      <c r="O337" s="143">
        <f>'Supra B por pav'!I183</f>
        <v>4025</v>
      </c>
      <c r="P337" s="164">
        <f>'Supra B por pav'!J183</f>
        <v>0</v>
      </c>
      <c r="Q337" s="168">
        <f>'Supra B por pav'!K183</f>
        <v>0</v>
      </c>
    </row>
    <row r="338" spans="1:17" x14ac:dyDescent="0.25">
      <c r="A338" s="160"/>
      <c r="B338" s="180"/>
      <c r="C338" s="140"/>
      <c r="D338" s="140"/>
      <c r="E338" s="140" t="s">
        <v>54</v>
      </c>
      <c r="F338" s="141"/>
      <c r="G338" s="142">
        <f>'Supra B por pav'!M184</f>
        <v>1.625</v>
      </c>
      <c r="H338" s="143">
        <f>'Supra B por pav'!L184</f>
        <v>129</v>
      </c>
      <c r="I338" s="143">
        <f>'Supra B por pav'!C184</f>
        <v>0</v>
      </c>
      <c r="J338" s="143">
        <f>'Supra B por pav'!D184</f>
        <v>0</v>
      </c>
      <c r="K338" s="143">
        <f>'Supra B por pav'!E184</f>
        <v>0</v>
      </c>
      <c r="L338" s="143">
        <f>'Supra B por pav'!F184</f>
        <v>20</v>
      </c>
      <c r="M338" s="143">
        <f>'Supra B por pav'!G184</f>
        <v>109</v>
      </c>
      <c r="N338" s="143">
        <f>'Supra B por pav'!H184</f>
        <v>0</v>
      </c>
      <c r="O338" s="143">
        <f>'Supra B por pav'!I184</f>
        <v>0</v>
      </c>
      <c r="P338" s="164">
        <f>'Supra B por pav'!J184</f>
        <v>0</v>
      </c>
      <c r="Q338" s="168">
        <f>'Supra B por pav'!K184</f>
        <v>0</v>
      </c>
    </row>
    <row r="339" spans="1:17" ht="15.75" thickBot="1" x14ac:dyDescent="0.3">
      <c r="A339" s="161"/>
      <c r="B339" s="181"/>
      <c r="C339" s="144"/>
      <c r="D339" s="144"/>
      <c r="E339" s="144" t="s">
        <v>55</v>
      </c>
      <c r="F339" s="145"/>
      <c r="G339" s="146">
        <f>'Supra B por pav'!M185</f>
        <v>0</v>
      </c>
      <c r="H339" s="147">
        <f>'Supra B por pav'!L185</f>
        <v>0</v>
      </c>
      <c r="I339" s="147">
        <f>'Supra B por pav'!C185</f>
        <v>0</v>
      </c>
      <c r="J339" s="147">
        <f>'Supra B por pav'!D185</f>
        <v>0</v>
      </c>
      <c r="K339" s="147">
        <f>'Supra B por pav'!E185</f>
        <v>0</v>
      </c>
      <c r="L339" s="147">
        <f>'Supra B por pav'!F185</f>
        <v>0</v>
      </c>
      <c r="M339" s="147">
        <f>'Supra B por pav'!G185</f>
        <v>0</v>
      </c>
      <c r="N339" s="147">
        <f>'Supra B por pav'!H185</f>
        <v>0</v>
      </c>
      <c r="O339" s="147">
        <f>'Supra B por pav'!I185</f>
        <v>0</v>
      </c>
      <c r="P339" s="165">
        <f>'Supra B por pav'!J185</f>
        <v>0</v>
      </c>
      <c r="Q339" s="169">
        <f>'Supra B por pav'!K185</f>
        <v>0</v>
      </c>
    </row>
    <row r="340" spans="1:17" ht="16.5" thickTop="1" thickBot="1" x14ac:dyDescent="0.3">
      <c r="A340" s="162" t="s">
        <v>281</v>
      </c>
      <c r="B340" s="158" t="s">
        <v>165</v>
      </c>
      <c r="C340" s="152" t="s">
        <v>87</v>
      </c>
      <c r="D340" s="152" t="s">
        <v>276</v>
      </c>
      <c r="E340" s="152"/>
      <c r="F340" s="153">
        <v>50</v>
      </c>
      <c r="G340" s="154">
        <f t="shared" ref="G340:Q340" si="55">SUM(G335:G339)</f>
        <v>171.89500000000001</v>
      </c>
      <c r="H340" s="155">
        <f t="shared" si="55"/>
        <v>17794</v>
      </c>
      <c r="I340" s="155">
        <f t="shared" si="55"/>
        <v>872</v>
      </c>
      <c r="J340" s="155">
        <f t="shared" si="55"/>
        <v>349</v>
      </c>
      <c r="K340" s="155">
        <f t="shared" si="55"/>
        <v>1509</v>
      </c>
      <c r="L340" s="155">
        <f t="shared" si="55"/>
        <v>1504</v>
      </c>
      <c r="M340" s="155">
        <f t="shared" si="55"/>
        <v>1901</v>
      </c>
      <c r="N340" s="155">
        <f t="shared" si="55"/>
        <v>4807</v>
      </c>
      <c r="O340" s="155">
        <f t="shared" si="55"/>
        <v>6558</v>
      </c>
      <c r="P340" s="166">
        <f t="shared" si="55"/>
        <v>294</v>
      </c>
      <c r="Q340" s="170">
        <f t="shared" si="55"/>
        <v>0</v>
      </c>
    </row>
    <row r="341" spans="1:17" ht="15.75" thickTop="1" x14ac:dyDescent="0.25">
      <c r="A341" s="163" t="s">
        <v>281</v>
      </c>
      <c r="B341" s="182" t="s">
        <v>165</v>
      </c>
      <c r="C341" s="148" t="s">
        <v>88</v>
      </c>
      <c r="D341" s="148" t="s">
        <v>88</v>
      </c>
      <c r="E341" s="148" t="s">
        <v>51</v>
      </c>
      <c r="F341" s="149">
        <v>50</v>
      </c>
      <c r="G341" s="150">
        <f>'Supra B por pav'!M187</f>
        <v>34.85</v>
      </c>
      <c r="H341" s="151">
        <f>'Supra B por pav'!L187</f>
        <v>3015</v>
      </c>
      <c r="I341" s="151">
        <f>'Supra B por pav'!C187</f>
        <v>0</v>
      </c>
      <c r="J341" s="151">
        <f>'Supra B por pav'!D187</f>
        <v>275</v>
      </c>
      <c r="K341" s="151">
        <f>'Supra B por pav'!E187</f>
        <v>454</v>
      </c>
      <c r="L341" s="151">
        <f>'Supra B por pav'!F187</f>
        <v>243</v>
      </c>
      <c r="M341" s="151">
        <f>'Supra B por pav'!G187</f>
        <v>57</v>
      </c>
      <c r="N341" s="151">
        <f>'Supra B por pav'!H187</f>
        <v>738</v>
      </c>
      <c r="O341" s="151">
        <f>'Supra B por pav'!I187</f>
        <v>954</v>
      </c>
      <c r="P341" s="167">
        <f>'Supra B por pav'!J187</f>
        <v>294</v>
      </c>
      <c r="Q341" s="171">
        <f>'Supra B por pav'!K187</f>
        <v>0</v>
      </c>
    </row>
    <row r="342" spans="1:17" x14ac:dyDescent="0.25">
      <c r="A342" s="160"/>
      <c r="B342" s="180"/>
      <c r="C342" s="140"/>
      <c r="D342" s="140"/>
      <c r="E342" s="140" t="s">
        <v>52</v>
      </c>
      <c r="F342" s="141"/>
      <c r="G342" s="142">
        <f>'Supra B por pav'!M188</f>
        <v>40.42</v>
      </c>
      <c r="H342" s="143">
        <f>'Supra B por pav'!L188</f>
        <v>3885</v>
      </c>
      <c r="I342" s="143">
        <f>'Supra B por pav'!C188</f>
        <v>0</v>
      </c>
      <c r="J342" s="143">
        <f>'Supra B por pav'!D188</f>
        <v>74</v>
      </c>
      <c r="K342" s="143">
        <f>'Supra B por pav'!E188</f>
        <v>999</v>
      </c>
      <c r="L342" s="143">
        <f>'Supra B por pav'!F188</f>
        <v>0</v>
      </c>
      <c r="M342" s="143">
        <f>'Supra B por pav'!G188</f>
        <v>0</v>
      </c>
      <c r="N342" s="143">
        <f>'Supra B por pav'!H188</f>
        <v>1233</v>
      </c>
      <c r="O342" s="143">
        <f>'Supra B por pav'!I188</f>
        <v>1579</v>
      </c>
      <c r="P342" s="164">
        <f>'Supra B por pav'!J188</f>
        <v>0</v>
      </c>
      <c r="Q342" s="168">
        <f>'Supra B por pav'!K188</f>
        <v>0</v>
      </c>
    </row>
    <row r="343" spans="1:17" x14ac:dyDescent="0.25">
      <c r="A343" s="160"/>
      <c r="B343" s="180"/>
      <c r="C343" s="140"/>
      <c r="D343" s="140"/>
      <c r="E343" s="140" t="s">
        <v>53</v>
      </c>
      <c r="F343" s="141"/>
      <c r="G343" s="142">
        <f>'Supra B por pav'!M189</f>
        <v>95</v>
      </c>
      <c r="H343" s="143">
        <f>'Supra B por pav'!L189</f>
        <v>10765</v>
      </c>
      <c r="I343" s="143">
        <f>'Supra B por pav'!C189</f>
        <v>872</v>
      </c>
      <c r="J343" s="143">
        <f>'Supra B por pav'!D189</f>
        <v>0</v>
      </c>
      <c r="K343" s="143">
        <f>'Supra B por pav'!E189</f>
        <v>56</v>
      </c>
      <c r="L343" s="143">
        <f>'Supra B por pav'!F189</f>
        <v>1241</v>
      </c>
      <c r="M343" s="143">
        <f>'Supra B por pav'!G189</f>
        <v>1735</v>
      </c>
      <c r="N343" s="143">
        <f>'Supra B por pav'!H189</f>
        <v>2836</v>
      </c>
      <c r="O343" s="143">
        <f>'Supra B por pav'!I189</f>
        <v>4025</v>
      </c>
      <c r="P343" s="164">
        <f>'Supra B por pav'!J189</f>
        <v>0</v>
      </c>
      <c r="Q343" s="168">
        <f>'Supra B por pav'!K189</f>
        <v>0</v>
      </c>
    </row>
    <row r="344" spans="1:17" x14ac:dyDescent="0.25">
      <c r="A344" s="160"/>
      <c r="B344" s="180"/>
      <c r="C344" s="140"/>
      <c r="D344" s="140"/>
      <c r="E344" s="140" t="s">
        <v>54</v>
      </c>
      <c r="F344" s="141"/>
      <c r="G344" s="142">
        <f>'Supra B por pav'!M190</f>
        <v>1.625</v>
      </c>
      <c r="H344" s="143">
        <f>'Supra B por pav'!L190</f>
        <v>129</v>
      </c>
      <c r="I344" s="143">
        <f>'Supra B por pav'!C190</f>
        <v>0</v>
      </c>
      <c r="J344" s="143">
        <f>'Supra B por pav'!D190</f>
        <v>0</v>
      </c>
      <c r="K344" s="143">
        <f>'Supra B por pav'!E190</f>
        <v>0</v>
      </c>
      <c r="L344" s="143">
        <f>'Supra B por pav'!F190</f>
        <v>20</v>
      </c>
      <c r="M344" s="143">
        <f>'Supra B por pav'!G190</f>
        <v>109</v>
      </c>
      <c r="N344" s="143">
        <f>'Supra B por pav'!H190</f>
        <v>0</v>
      </c>
      <c r="O344" s="143">
        <f>'Supra B por pav'!I190</f>
        <v>0</v>
      </c>
      <c r="P344" s="164">
        <f>'Supra B por pav'!J190</f>
        <v>0</v>
      </c>
      <c r="Q344" s="168">
        <f>'Supra B por pav'!K190</f>
        <v>0</v>
      </c>
    </row>
    <row r="345" spans="1:17" ht="15.75" thickBot="1" x14ac:dyDescent="0.3">
      <c r="A345" s="161"/>
      <c r="B345" s="181"/>
      <c r="C345" s="144"/>
      <c r="D345" s="144"/>
      <c r="E345" s="144" t="s">
        <v>55</v>
      </c>
      <c r="F345" s="145"/>
      <c r="G345" s="146">
        <f>'Supra B por pav'!M191</f>
        <v>0</v>
      </c>
      <c r="H345" s="147">
        <f>'Supra B por pav'!L191</f>
        <v>0</v>
      </c>
      <c r="I345" s="147">
        <f>'Supra B por pav'!C191</f>
        <v>0</v>
      </c>
      <c r="J345" s="147">
        <f>'Supra B por pav'!D191</f>
        <v>0</v>
      </c>
      <c r="K345" s="147">
        <f>'Supra B por pav'!E191</f>
        <v>0</v>
      </c>
      <c r="L345" s="147">
        <f>'Supra B por pav'!F191</f>
        <v>0</v>
      </c>
      <c r="M345" s="147">
        <f>'Supra B por pav'!G191</f>
        <v>0</v>
      </c>
      <c r="N345" s="147">
        <f>'Supra B por pav'!H191</f>
        <v>0</v>
      </c>
      <c r="O345" s="147">
        <f>'Supra B por pav'!I191</f>
        <v>0</v>
      </c>
      <c r="P345" s="165">
        <f>'Supra B por pav'!J191</f>
        <v>0</v>
      </c>
      <c r="Q345" s="169">
        <f>'Supra B por pav'!K191</f>
        <v>0</v>
      </c>
    </row>
    <row r="346" spans="1:17" ht="16.5" thickTop="1" thickBot="1" x14ac:dyDescent="0.3">
      <c r="A346" s="162" t="s">
        <v>281</v>
      </c>
      <c r="B346" s="158" t="s">
        <v>165</v>
      </c>
      <c r="C346" s="152" t="s">
        <v>88</v>
      </c>
      <c r="D346" s="152" t="s">
        <v>277</v>
      </c>
      <c r="E346" s="152"/>
      <c r="F346" s="153">
        <v>50</v>
      </c>
      <c r="G346" s="154">
        <f t="shared" ref="G346:Q346" si="56">SUM(G341:G345)</f>
        <v>171.89500000000001</v>
      </c>
      <c r="H346" s="155">
        <f t="shared" si="56"/>
        <v>17794</v>
      </c>
      <c r="I346" s="155">
        <f t="shared" si="56"/>
        <v>872</v>
      </c>
      <c r="J346" s="155">
        <f t="shared" si="56"/>
        <v>349</v>
      </c>
      <c r="K346" s="155">
        <f t="shared" si="56"/>
        <v>1509</v>
      </c>
      <c r="L346" s="155">
        <f t="shared" si="56"/>
        <v>1504</v>
      </c>
      <c r="M346" s="155">
        <f t="shared" si="56"/>
        <v>1901</v>
      </c>
      <c r="N346" s="155">
        <f t="shared" si="56"/>
        <v>4807</v>
      </c>
      <c r="O346" s="155">
        <f t="shared" si="56"/>
        <v>6558</v>
      </c>
      <c r="P346" s="166">
        <f t="shared" si="56"/>
        <v>294</v>
      </c>
      <c r="Q346" s="170">
        <f t="shared" si="56"/>
        <v>0</v>
      </c>
    </row>
    <row r="347" spans="1:17" ht="15.75" thickTop="1" x14ac:dyDescent="0.25">
      <c r="A347" s="163" t="s">
        <v>281</v>
      </c>
      <c r="B347" s="182" t="s">
        <v>165</v>
      </c>
      <c r="C347" s="148" t="s">
        <v>89</v>
      </c>
      <c r="D347" s="148" t="s">
        <v>89</v>
      </c>
      <c r="E347" s="148" t="s">
        <v>51</v>
      </c>
      <c r="F347" s="149">
        <v>50</v>
      </c>
      <c r="G347" s="150">
        <f>'Supra B por pav'!M193</f>
        <v>33.770000000000003</v>
      </c>
      <c r="H347" s="151">
        <f>'Supra B por pav'!L193</f>
        <v>2620</v>
      </c>
      <c r="I347" s="151">
        <f>'Supra B por pav'!C193</f>
        <v>0</v>
      </c>
      <c r="J347" s="151">
        <f>'Supra B por pav'!D193</f>
        <v>250</v>
      </c>
      <c r="K347" s="151">
        <f>'Supra B por pav'!E193</f>
        <v>456</v>
      </c>
      <c r="L347" s="151">
        <f>'Supra B por pav'!F193</f>
        <v>263</v>
      </c>
      <c r="M347" s="151">
        <f>'Supra B por pav'!G193</f>
        <v>39</v>
      </c>
      <c r="N347" s="151">
        <f>'Supra B por pav'!H193</f>
        <v>956</v>
      </c>
      <c r="O347" s="151">
        <f>'Supra B por pav'!I193</f>
        <v>617</v>
      </c>
      <c r="P347" s="167">
        <f>'Supra B por pav'!J193</f>
        <v>39</v>
      </c>
      <c r="Q347" s="171">
        <f>'Supra B por pav'!K193</f>
        <v>0</v>
      </c>
    </row>
    <row r="348" spans="1:17" x14ac:dyDescent="0.25">
      <c r="A348" s="160"/>
      <c r="B348" s="180"/>
      <c r="C348" s="140"/>
      <c r="D348" s="140"/>
      <c r="E348" s="140" t="s">
        <v>52</v>
      </c>
      <c r="F348" s="141"/>
      <c r="G348" s="142">
        <f>'Supra B por pav'!M194</f>
        <v>40.42</v>
      </c>
      <c r="H348" s="143">
        <f>'Supra B por pav'!L194</f>
        <v>3425</v>
      </c>
      <c r="I348" s="143">
        <f>'Supra B por pav'!C194</f>
        <v>0</v>
      </c>
      <c r="J348" s="143">
        <f>'Supra B por pav'!D194</f>
        <v>74</v>
      </c>
      <c r="K348" s="143">
        <f>'Supra B por pav'!E194</f>
        <v>981</v>
      </c>
      <c r="L348" s="143">
        <f>'Supra B por pav'!F194</f>
        <v>0</v>
      </c>
      <c r="M348" s="143">
        <f>'Supra B por pav'!G194</f>
        <v>0</v>
      </c>
      <c r="N348" s="143">
        <f>'Supra B por pav'!H194</f>
        <v>989</v>
      </c>
      <c r="O348" s="143">
        <f>'Supra B por pav'!I194</f>
        <v>1381</v>
      </c>
      <c r="P348" s="164">
        <f>'Supra B por pav'!J194</f>
        <v>0</v>
      </c>
      <c r="Q348" s="168">
        <f>'Supra B por pav'!K194</f>
        <v>0</v>
      </c>
    </row>
    <row r="349" spans="1:17" x14ac:dyDescent="0.25">
      <c r="A349" s="160"/>
      <c r="B349" s="180"/>
      <c r="C349" s="140"/>
      <c r="D349" s="140"/>
      <c r="E349" s="140" t="s">
        <v>53</v>
      </c>
      <c r="F349" s="141"/>
      <c r="G349" s="142">
        <f>'Supra B por pav'!M195</f>
        <v>95.6</v>
      </c>
      <c r="H349" s="143">
        <f>'Supra B por pav'!L195</f>
        <v>6240</v>
      </c>
      <c r="I349" s="143">
        <f>'Supra B por pav'!C195</f>
        <v>872</v>
      </c>
      <c r="J349" s="143">
        <f>'Supra B por pav'!D195</f>
        <v>0</v>
      </c>
      <c r="K349" s="143">
        <f>'Supra B por pav'!E195</f>
        <v>15</v>
      </c>
      <c r="L349" s="143">
        <f>'Supra B por pav'!F195</f>
        <v>2172</v>
      </c>
      <c r="M349" s="143">
        <f>'Supra B por pav'!G195</f>
        <v>817</v>
      </c>
      <c r="N349" s="143">
        <f>'Supra B por pav'!H195</f>
        <v>81</v>
      </c>
      <c r="O349" s="143">
        <f>'Supra B por pav'!I195</f>
        <v>2283</v>
      </c>
      <c r="P349" s="164">
        <f>'Supra B por pav'!J195</f>
        <v>0</v>
      </c>
      <c r="Q349" s="168">
        <f>'Supra B por pav'!K195</f>
        <v>0</v>
      </c>
    </row>
    <row r="350" spans="1:17" x14ac:dyDescent="0.25">
      <c r="A350" s="160"/>
      <c r="B350" s="180"/>
      <c r="C350" s="140"/>
      <c r="D350" s="140"/>
      <c r="E350" s="140" t="s">
        <v>54</v>
      </c>
      <c r="F350" s="141"/>
      <c r="G350" s="142">
        <f>'Supra B por pav'!M196</f>
        <v>1.625</v>
      </c>
      <c r="H350" s="143">
        <f>'Supra B por pav'!L196</f>
        <v>129</v>
      </c>
      <c r="I350" s="143">
        <f>'Supra B por pav'!C196</f>
        <v>0</v>
      </c>
      <c r="J350" s="143">
        <f>'Supra B por pav'!D196</f>
        <v>0</v>
      </c>
      <c r="K350" s="143">
        <f>'Supra B por pav'!E196</f>
        <v>0</v>
      </c>
      <c r="L350" s="143">
        <f>'Supra B por pav'!F196</f>
        <v>20</v>
      </c>
      <c r="M350" s="143">
        <f>'Supra B por pav'!G196</f>
        <v>109</v>
      </c>
      <c r="N350" s="143">
        <f>'Supra B por pav'!H196</f>
        <v>0</v>
      </c>
      <c r="O350" s="143">
        <f>'Supra B por pav'!I196</f>
        <v>0</v>
      </c>
      <c r="P350" s="164">
        <f>'Supra B por pav'!J196</f>
        <v>0</v>
      </c>
      <c r="Q350" s="168">
        <f>'Supra B por pav'!K196</f>
        <v>0</v>
      </c>
    </row>
    <row r="351" spans="1:17" ht="15.75" thickBot="1" x14ac:dyDescent="0.3">
      <c r="A351" s="161"/>
      <c r="B351" s="181"/>
      <c r="C351" s="144"/>
      <c r="D351" s="144"/>
      <c r="E351" s="144" t="s">
        <v>55</v>
      </c>
      <c r="F351" s="145"/>
      <c r="G351" s="146">
        <f>'Supra B por pav'!M197</f>
        <v>0</v>
      </c>
      <c r="H351" s="147">
        <f>'Supra B por pav'!L197</f>
        <v>0</v>
      </c>
      <c r="I351" s="147">
        <f>'Supra B por pav'!C197</f>
        <v>0</v>
      </c>
      <c r="J351" s="147">
        <f>'Supra B por pav'!D197</f>
        <v>0</v>
      </c>
      <c r="K351" s="147">
        <f>'Supra B por pav'!E197</f>
        <v>0</v>
      </c>
      <c r="L351" s="147">
        <f>'Supra B por pav'!F197</f>
        <v>0</v>
      </c>
      <c r="M351" s="147">
        <f>'Supra B por pav'!G197</f>
        <v>0</v>
      </c>
      <c r="N351" s="147">
        <f>'Supra B por pav'!H197</f>
        <v>0</v>
      </c>
      <c r="O351" s="147">
        <f>'Supra B por pav'!I197</f>
        <v>0</v>
      </c>
      <c r="P351" s="165">
        <f>'Supra B por pav'!J197</f>
        <v>0</v>
      </c>
      <c r="Q351" s="169">
        <f>'Supra B por pav'!K197</f>
        <v>0</v>
      </c>
    </row>
    <row r="352" spans="1:17" ht="16.5" thickTop="1" thickBot="1" x14ac:dyDescent="0.3">
      <c r="A352" s="162" t="s">
        <v>281</v>
      </c>
      <c r="B352" s="158" t="s">
        <v>165</v>
      </c>
      <c r="C352" s="152" t="s">
        <v>89</v>
      </c>
      <c r="D352" s="152" t="s">
        <v>278</v>
      </c>
      <c r="E352" s="152"/>
      <c r="F352" s="153">
        <v>50</v>
      </c>
      <c r="G352" s="154">
        <f t="shared" ref="G352:Q352" si="57">SUM(G347:G351)</f>
        <v>171.41499999999999</v>
      </c>
      <c r="H352" s="155">
        <f t="shared" si="57"/>
        <v>12414</v>
      </c>
      <c r="I352" s="155">
        <f t="shared" si="57"/>
        <v>872</v>
      </c>
      <c r="J352" s="155">
        <f t="shared" si="57"/>
        <v>324</v>
      </c>
      <c r="K352" s="155">
        <f t="shared" si="57"/>
        <v>1452</v>
      </c>
      <c r="L352" s="155">
        <f t="shared" si="57"/>
        <v>2455</v>
      </c>
      <c r="M352" s="155">
        <f t="shared" si="57"/>
        <v>965</v>
      </c>
      <c r="N352" s="155">
        <f t="shared" si="57"/>
        <v>2026</v>
      </c>
      <c r="O352" s="155">
        <f t="shared" si="57"/>
        <v>4281</v>
      </c>
      <c r="P352" s="166">
        <f t="shared" si="57"/>
        <v>39</v>
      </c>
      <c r="Q352" s="170">
        <f t="shared" si="57"/>
        <v>0</v>
      </c>
    </row>
    <row r="353" spans="1:17" ht="15.75" thickTop="1" x14ac:dyDescent="0.25">
      <c r="A353" s="163" t="s">
        <v>281</v>
      </c>
      <c r="B353" s="182" t="s">
        <v>165</v>
      </c>
      <c r="C353" s="148" t="s">
        <v>279</v>
      </c>
      <c r="D353" s="148" t="s">
        <v>279</v>
      </c>
      <c r="E353" s="148" t="s">
        <v>51</v>
      </c>
      <c r="F353" s="149">
        <v>50</v>
      </c>
      <c r="G353" s="150">
        <f>'Supra B por pav'!M199</f>
        <v>19.61</v>
      </c>
      <c r="H353" s="151">
        <f>'Supra B por pav'!L199</f>
        <v>2220</v>
      </c>
      <c r="I353" s="151">
        <f>'Supra B por pav'!C199</f>
        <v>0</v>
      </c>
      <c r="J353" s="151">
        <f>'Supra B por pav'!D199</f>
        <v>34</v>
      </c>
      <c r="K353" s="151">
        <f>'Supra B por pav'!E199</f>
        <v>11</v>
      </c>
      <c r="L353" s="151">
        <f>'Supra B por pav'!F199</f>
        <v>1103</v>
      </c>
      <c r="M353" s="151">
        <f>'Supra B por pav'!G199</f>
        <v>45</v>
      </c>
      <c r="N353" s="151">
        <f>'Supra B por pav'!H199</f>
        <v>105</v>
      </c>
      <c r="O353" s="151">
        <f>'Supra B por pav'!I199</f>
        <v>300</v>
      </c>
      <c r="P353" s="167">
        <f>'Supra B por pav'!J199</f>
        <v>622</v>
      </c>
      <c r="Q353" s="171">
        <f>'Supra B por pav'!K199</f>
        <v>0</v>
      </c>
    </row>
    <row r="354" spans="1:17" x14ac:dyDescent="0.25">
      <c r="A354" s="160"/>
      <c r="B354" s="180"/>
      <c r="C354" s="140"/>
      <c r="D354" s="140"/>
      <c r="E354" s="140" t="s">
        <v>52</v>
      </c>
      <c r="F354" s="141"/>
      <c r="G354" s="142">
        <f>'Supra B por pav'!M200</f>
        <v>17.510000000000002</v>
      </c>
      <c r="H354" s="143">
        <f>'Supra B por pav'!L200</f>
        <v>2190</v>
      </c>
      <c r="I354" s="143">
        <f>'Supra B por pav'!C200</f>
        <v>0</v>
      </c>
      <c r="J354" s="143">
        <f>'Supra B por pav'!D200</f>
        <v>144</v>
      </c>
      <c r="K354" s="143">
        <f>'Supra B por pav'!E200</f>
        <v>376</v>
      </c>
      <c r="L354" s="143">
        <f>'Supra B por pav'!F200</f>
        <v>0</v>
      </c>
      <c r="M354" s="143">
        <f>'Supra B por pav'!G200</f>
        <v>0</v>
      </c>
      <c r="N354" s="143">
        <f>'Supra B por pav'!H200</f>
        <v>80</v>
      </c>
      <c r="O354" s="143">
        <f>'Supra B por pav'!I200</f>
        <v>1590</v>
      </c>
      <c r="P354" s="164">
        <f>'Supra B por pav'!J200</f>
        <v>0</v>
      </c>
      <c r="Q354" s="168">
        <f>'Supra B por pav'!K200</f>
        <v>0</v>
      </c>
    </row>
    <row r="355" spans="1:17" x14ac:dyDescent="0.25">
      <c r="A355" s="160"/>
      <c r="B355" s="180"/>
      <c r="C355" s="140"/>
      <c r="D355" s="140"/>
      <c r="E355" s="140" t="s">
        <v>53</v>
      </c>
      <c r="F355" s="141"/>
      <c r="G355" s="142">
        <f>'Supra B por pav'!M201</f>
        <v>26</v>
      </c>
      <c r="H355" s="143">
        <f>'Supra B por pav'!L201</f>
        <v>2319</v>
      </c>
      <c r="I355" s="143">
        <f>'Supra B por pav'!C201</f>
        <v>0</v>
      </c>
      <c r="J355" s="143">
        <f>'Supra B por pav'!D201</f>
        <v>0</v>
      </c>
      <c r="K355" s="143">
        <f>'Supra B por pav'!E201</f>
        <v>295</v>
      </c>
      <c r="L355" s="143">
        <f>'Supra B por pav'!F201</f>
        <v>815</v>
      </c>
      <c r="M355" s="143">
        <f>'Supra B por pav'!G201</f>
        <v>1209</v>
      </c>
      <c r="N355" s="143">
        <f>'Supra B por pav'!H201</f>
        <v>0</v>
      </c>
      <c r="O355" s="143">
        <f>'Supra B por pav'!I201</f>
        <v>0</v>
      </c>
      <c r="P355" s="164">
        <f>'Supra B por pav'!J201</f>
        <v>0</v>
      </c>
      <c r="Q355" s="168">
        <f>'Supra B por pav'!K201</f>
        <v>0</v>
      </c>
    </row>
    <row r="356" spans="1:17" x14ac:dyDescent="0.25">
      <c r="A356" s="160"/>
      <c r="B356" s="180"/>
      <c r="C356" s="140"/>
      <c r="D356" s="140"/>
      <c r="E356" s="140" t="s">
        <v>54</v>
      </c>
      <c r="F356" s="141"/>
      <c r="G356" s="142">
        <f>'Supra B por pav'!M202</f>
        <v>0</v>
      </c>
      <c r="H356" s="143">
        <f>'Supra B por pav'!L202</f>
        <v>0</v>
      </c>
      <c r="I356" s="143">
        <f>'Supra B por pav'!C202</f>
        <v>0</v>
      </c>
      <c r="J356" s="143">
        <f>'Supra B por pav'!D202</f>
        <v>0</v>
      </c>
      <c r="K356" s="143">
        <f>'Supra B por pav'!E202</f>
        <v>0</v>
      </c>
      <c r="L356" s="143">
        <f>'Supra B por pav'!F202</f>
        <v>0</v>
      </c>
      <c r="M356" s="143">
        <f>'Supra B por pav'!G202</f>
        <v>0</v>
      </c>
      <c r="N356" s="143">
        <f>'Supra B por pav'!H202</f>
        <v>0</v>
      </c>
      <c r="O356" s="143">
        <f>'Supra B por pav'!I202</f>
        <v>0</v>
      </c>
      <c r="P356" s="164">
        <f>'Supra B por pav'!J202</f>
        <v>0</v>
      </c>
      <c r="Q356" s="168">
        <f>'Supra B por pav'!K202</f>
        <v>0</v>
      </c>
    </row>
    <row r="357" spans="1:17" ht="15.75" thickBot="1" x14ac:dyDescent="0.3">
      <c r="A357" s="161"/>
      <c r="B357" s="181"/>
      <c r="C357" s="144"/>
      <c r="D357" s="144"/>
      <c r="E357" s="144" t="s">
        <v>55</v>
      </c>
      <c r="F357" s="145"/>
      <c r="G357" s="146">
        <f>'Supra B por pav'!M203</f>
        <v>0</v>
      </c>
      <c r="H357" s="147">
        <f>'Supra B por pav'!L203</f>
        <v>0</v>
      </c>
      <c r="I357" s="147">
        <f>'Supra B por pav'!C203</f>
        <v>0</v>
      </c>
      <c r="J357" s="147">
        <f>'Supra B por pav'!D203</f>
        <v>0</v>
      </c>
      <c r="K357" s="147">
        <f>'Supra B por pav'!E203</f>
        <v>0</v>
      </c>
      <c r="L357" s="147">
        <f>'Supra B por pav'!F203</f>
        <v>0</v>
      </c>
      <c r="M357" s="147">
        <f>'Supra B por pav'!G203</f>
        <v>0</v>
      </c>
      <c r="N357" s="147">
        <f>'Supra B por pav'!H203</f>
        <v>0</v>
      </c>
      <c r="O357" s="147">
        <f>'Supra B por pav'!I203</f>
        <v>0</v>
      </c>
      <c r="P357" s="165">
        <f>'Supra B por pav'!J203</f>
        <v>0</v>
      </c>
      <c r="Q357" s="169">
        <f>'Supra B por pav'!K203</f>
        <v>0</v>
      </c>
    </row>
    <row r="358" spans="1:17" ht="16.5" thickTop="1" thickBot="1" x14ac:dyDescent="0.3">
      <c r="A358" s="162" t="s">
        <v>281</v>
      </c>
      <c r="B358" s="158" t="s">
        <v>165</v>
      </c>
      <c r="C358" s="152" t="s">
        <v>279</v>
      </c>
      <c r="D358" s="152" t="s">
        <v>280</v>
      </c>
      <c r="E358" s="152"/>
      <c r="F358" s="153">
        <v>50</v>
      </c>
      <c r="G358" s="154">
        <f t="shared" ref="G358:Q358" si="58">SUM(G353:G357)</f>
        <v>63.120000000000005</v>
      </c>
      <c r="H358" s="155">
        <f t="shared" si="58"/>
        <v>6729</v>
      </c>
      <c r="I358" s="155">
        <f t="shared" si="58"/>
        <v>0</v>
      </c>
      <c r="J358" s="155">
        <f t="shared" si="58"/>
        <v>178</v>
      </c>
      <c r="K358" s="155">
        <f t="shared" si="58"/>
        <v>682</v>
      </c>
      <c r="L358" s="155">
        <f t="shared" si="58"/>
        <v>1918</v>
      </c>
      <c r="M358" s="155">
        <f t="shared" si="58"/>
        <v>1254</v>
      </c>
      <c r="N358" s="155">
        <f t="shared" si="58"/>
        <v>185</v>
      </c>
      <c r="O358" s="155">
        <f t="shared" si="58"/>
        <v>1890</v>
      </c>
      <c r="P358" s="166">
        <f t="shared" si="58"/>
        <v>622</v>
      </c>
      <c r="Q358" s="170">
        <f t="shared" si="58"/>
        <v>0</v>
      </c>
    </row>
    <row r="359" spans="1:17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selection activeCell="E4" sqref="E4"/>
    </sheetView>
  </sheetViews>
  <sheetFormatPr defaultRowHeight="15" x14ac:dyDescent="0.25"/>
  <cols>
    <col min="1" max="1" width="10" customWidth="1"/>
    <col min="2" max="2" width="28" customWidth="1"/>
    <col min="3" max="11" width="9" customWidth="1"/>
    <col min="12" max="12" width="14" customWidth="1"/>
  </cols>
  <sheetData>
    <row r="1" spans="1:12" ht="17.25" x14ac:dyDescent="0.3">
      <c r="A1" s="191" t="s">
        <v>93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</row>
    <row r="3" spans="1:12" ht="30" customHeight="1" x14ac:dyDescent="0.25">
      <c r="A3" s="1" t="s">
        <v>23</v>
      </c>
      <c r="B3" s="1" t="s">
        <v>24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100</v>
      </c>
      <c r="J3" s="1" t="s">
        <v>101</v>
      </c>
      <c r="K3" s="1" t="s">
        <v>102</v>
      </c>
      <c r="L3" s="1" t="s">
        <v>103</v>
      </c>
    </row>
    <row r="4" spans="1:12" x14ac:dyDescent="0.25">
      <c r="A4" s="2" t="s">
        <v>28</v>
      </c>
      <c r="B4" s="2" t="s">
        <v>104</v>
      </c>
      <c r="C4" s="4">
        <v>0</v>
      </c>
      <c r="D4" s="4">
        <v>0</v>
      </c>
      <c r="E4" s="4">
        <v>3002</v>
      </c>
      <c r="F4" s="4">
        <v>0</v>
      </c>
      <c r="G4" s="4">
        <v>0</v>
      </c>
      <c r="H4" s="4">
        <v>0</v>
      </c>
      <c r="I4" s="4">
        <v>20183</v>
      </c>
      <c r="J4" s="4">
        <v>0</v>
      </c>
      <c r="K4" s="4">
        <v>0</v>
      </c>
      <c r="L4" s="4">
        <v>23185</v>
      </c>
    </row>
    <row r="5" spans="1:12" x14ac:dyDescent="0.25">
      <c r="A5" s="7" t="s">
        <v>28</v>
      </c>
      <c r="B5" s="7" t="s">
        <v>105</v>
      </c>
      <c r="C5" s="8">
        <v>0</v>
      </c>
      <c r="D5" s="8">
        <v>0</v>
      </c>
      <c r="E5" s="8">
        <v>3002</v>
      </c>
      <c r="F5" s="8">
        <v>0</v>
      </c>
      <c r="G5" s="8">
        <v>0</v>
      </c>
      <c r="H5" s="8">
        <v>0</v>
      </c>
      <c r="I5" s="8">
        <v>20183</v>
      </c>
      <c r="J5" s="8">
        <v>0</v>
      </c>
      <c r="K5" s="8">
        <v>0</v>
      </c>
      <c r="L5" s="8">
        <v>23185</v>
      </c>
    </row>
    <row r="6" spans="1:12" x14ac:dyDescent="0.25">
      <c r="A6" s="2" t="s">
        <v>28</v>
      </c>
      <c r="B6" s="2" t="s">
        <v>106</v>
      </c>
      <c r="C6" s="4">
        <v>28484</v>
      </c>
      <c r="D6" s="4">
        <v>10022</v>
      </c>
      <c r="E6" s="4">
        <v>46462</v>
      </c>
      <c r="F6" s="4">
        <v>60707</v>
      </c>
      <c r="G6" s="4">
        <v>63360</v>
      </c>
      <c r="H6" s="4">
        <v>117498</v>
      </c>
      <c r="I6" s="4">
        <v>201239.27272727271</v>
      </c>
      <c r="J6" s="4">
        <v>102629</v>
      </c>
      <c r="K6" s="4">
        <v>98243</v>
      </c>
      <c r="L6" s="4">
        <v>728644.27272727271</v>
      </c>
    </row>
    <row r="7" spans="1:12" x14ac:dyDescent="0.25">
      <c r="A7" s="2" t="s">
        <v>30</v>
      </c>
      <c r="B7" s="2" t="s">
        <v>104</v>
      </c>
      <c r="C7" s="4">
        <v>0</v>
      </c>
      <c r="D7" s="4">
        <v>0</v>
      </c>
      <c r="E7" s="4">
        <v>3173</v>
      </c>
      <c r="F7" s="4">
        <v>0</v>
      </c>
      <c r="G7" s="4">
        <v>0</v>
      </c>
      <c r="H7" s="4">
        <v>0</v>
      </c>
      <c r="I7" s="4">
        <v>21273</v>
      </c>
      <c r="J7" s="4">
        <v>0</v>
      </c>
      <c r="K7" s="4">
        <v>0</v>
      </c>
      <c r="L7" s="4">
        <v>24446</v>
      </c>
    </row>
    <row r="8" spans="1:12" x14ac:dyDescent="0.25">
      <c r="A8" s="7" t="s">
        <v>30</v>
      </c>
      <c r="B8" s="7" t="s">
        <v>105</v>
      </c>
      <c r="C8" s="8">
        <v>0</v>
      </c>
      <c r="D8" s="8">
        <v>0</v>
      </c>
      <c r="E8" s="8">
        <v>3173</v>
      </c>
      <c r="F8" s="8">
        <v>0</v>
      </c>
      <c r="G8" s="8">
        <v>0</v>
      </c>
      <c r="H8" s="8">
        <v>0</v>
      </c>
      <c r="I8" s="8">
        <v>21273</v>
      </c>
      <c r="J8" s="8">
        <v>0</v>
      </c>
      <c r="K8" s="8">
        <v>0</v>
      </c>
      <c r="L8" s="8">
        <v>24446</v>
      </c>
    </row>
    <row r="9" spans="1:12" x14ac:dyDescent="0.25">
      <c r="A9" s="2" t="s">
        <v>30</v>
      </c>
      <c r="B9" s="2" t="s">
        <v>106</v>
      </c>
      <c r="C9" s="4">
        <v>34226</v>
      </c>
      <c r="D9" s="4">
        <v>11152</v>
      </c>
      <c r="E9" s="4">
        <v>43191</v>
      </c>
      <c r="F9" s="4">
        <v>88176</v>
      </c>
      <c r="G9" s="4">
        <v>80726.909090909088</v>
      </c>
      <c r="H9" s="4">
        <v>140980.20000000001</v>
      </c>
      <c r="I9" s="4">
        <v>251239.4545454545</v>
      </c>
      <c r="J9" s="4">
        <v>100801</v>
      </c>
      <c r="K9" s="4">
        <v>123332</v>
      </c>
      <c r="L9" s="4">
        <v>873824.56363636372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sqref="A1:F1"/>
    </sheetView>
  </sheetViews>
  <sheetFormatPr defaultRowHeight="15" x14ac:dyDescent="0.25"/>
  <cols>
    <col min="1" max="1" width="10" customWidth="1"/>
    <col min="2" max="2" width="30" customWidth="1"/>
    <col min="3" max="5" width="14" customWidth="1"/>
    <col min="6" max="6" width="30" customWidth="1"/>
  </cols>
  <sheetData>
    <row r="1" spans="1:6" ht="17.25" x14ac:dyDescent="0.3">
      <c r="A1" s="191" t="s">
        <v>107</v>
      </c>
      <c r="B1" s="188"/>
      <c r="C1" s="188"/>
      <c r="D1" s="188"/>
      <c r="E1" s="188"/>
      <c r="F1" s="188"/>
    </row>
    <row r="3" spans="1:6" ht="30" customHeight="1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34</v>
      </c>
      <c r="F3" s="1" t="s">
        <v>3</v>
      </c>
    </row>
    <row r="4" spans="1:6" ht="30" x14ac:dyDescent="0.25">
      <c r="A4" s="2" t="s">
        <v>28</v>
      </c>
      <c r="B4" s="2" t="s">
        <v>108</v>
      </c>
      <c r="C4" s="6">
        <v>0</v>
      </c>
      <c r="D4" s="6">
        <v>1021.75</v>
      </c>
      <c r="E4" s="4">
        <v>112136</v>
      </c>
      <c r="F4" s="2" t="s">
        <v>109</v>
      </c>
    </row>
    <row r="5" spans="1:6" x14ac:dyDescent="0.25">
      <c r="A5" s="2" t="s">
        <v>28</v>
      </c>
      <c r="B5" s="2" t="s">
        <v>110</v>
      </c>
      <c r="C5" s="2" t="s">
        <v>111</v>
      </c>
      <c r="D5" s="6">
        <v>1021.75</v>
      </c>
      <c r="E5" s="4">
        <v>114902</v>
      </c>
      <c r="F5" s="2" t="s">
        <v>112</v>
      </c>
    </row>
    <row r="6" spans="1:6" x14ac:dyDescent="0.25">
      <c r="A6" s="2" t="s">
        <v>30</v>
      </c>
      <c r="B6" s="2" t="s">
        <v>31</v>
      </c>
      <c r="C6" s="6">
        <v>1.44</v>
      </c>
      <c r="D6" s="6">
        <v>0.216</v>
      </c>
      <c r="E6" s="4">
        <v>15</v>
      </c>
      <c r="F6" s="2" t="s">
        <v>113</v>
      </c>
    </row>
    <row r="7" spans="1:6" x14ac:dyDescent="0.25">
      <c r="A7" s="2" t="s">
        <v>30</v>
      </c>
      <c r="B7" s="2" t="s">
        <v>32</v>
      </c>
      <c r="C7" s="6">
        <v>746.31</v>
      </c>
      <c r="D7" s="6">
        <v>750.96699999999998</v>
      </c>
      <c r="E7" s="4">
        <v>66021</v>
      </c>
      <c r="F7" s="2" t="s">
        <v>114</v>
      </c>
    </row>
    <row r="8" spans="1:6" x14ac:dyDescent="0.25">
      <c r="A8" s="2" t="s">
        <v>30</v>
      </c>
      <c r="B8" s="2" t="s">
        <v>110</v>
      </c>
      <c r="C8" s="2" t="s">
        <v>111</v>
      </c>
      <c r="D8" s="6">
        <v>1044.6099999999999</v>
      </c>
      <c r="E8" s="4">
        <v>102684</v>
      </c>
      <c r="F8" s="2" t="s">
        <v>115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Estrutura</vt:lpstr>
      <vt:lpstr>RESUMO</vt:lpstr>
      <vt:lpstr>Supra A por pav</vt:lpstr>
      <vt:lpstr>Supra B por pav</vt:lpstr>
      <vt:lpstr>Supra por pavimento</vt:lpstr>
      <vt:lpstr>Aço por Bitola</vt:lpstr>
      <vt:lpstr>Fund. Rasa detalhe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2026-04-17T14:58:00Z</dcterms:created>
  <dcterms:modified xsi:type="dcterms:W3CDTF">2026-04-20T18:01:37Z</dcterms:modified>
</cp:coreProperties>
</file>