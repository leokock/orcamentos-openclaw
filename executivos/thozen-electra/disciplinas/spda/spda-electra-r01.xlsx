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DA R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color rgb="00666666"/>
      <sz val="9"/>
    </font>
    <font>
      <b val="1"/>
      <color rgb="00FFFFFF"/>
      <sz val="10"/>
    </font>
    <font>
      <b val="1"/>
    </font>
    <font>
      <b val="1"/>
      <sz val="10"/>
    </font>
    <font>
      <b val="1"/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4" fontId="5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4" fontId="2" fillId="5" borderId="1" applyAlignment="1" pivotButton="0" quotePrefix="0" xfId="0">
      <alignment horizontal="right" vertical="center"/>
    </xf>
    <xf numFmtId="0" fontId="6" fillId="0" borderId="0" pivotButton="0" quotePrefix="0" xfId="0"/>
    <xf numFmtId="4" fontId="5" fillId="3" borderId="0" pivotButton="0" quotePrefix="0" xfId="0"/>
    <xf numFmtId="0" fontId="7" fillId="0" borderId="1" pivotButton="0" quotePrefix="0" xfId="0"/>
    <xf numFmtId="0" fontId="0" fillId="0" borderId="1" pivotButton="0" quotePrefix="0" xfId="0"/>
    <xf numFmtId="4" fontId="8" fillId="2" borderId="1" pivotButton="0" quotePrefix="0" xfId="0"/>
    <xf numFmtId="0" fontId="0" fillId="0" borderId="0" applyAlignment="1" pivotButton="0" quotePrefix="0" xfId="0">
      <alignment horizontal="left" vertical="center" wrapText="1"/>
    </xf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42" customWidth="1" min="4" max="4"/>
    <col width="38" customWidth="1" min="5" max="5"/>
    <col width="6" customWidth="1" min="6" max="6"/>
    <col width="10" customWidth="1" min="7" max="7"/>
    <col width="12" customWidth="1" min="8" max="8"/>
    <col width="14" customWidth="1" min="9" max="9"/>
    <col width="22" customWidth="1" min="10" max="10"/>
    <col width="22" customWidth="1" min="11" max="11"/>
    <col width="36" customWidth="1" min="12" max="12"/>
  </cols>
  <sheetData>
    <row r="1">
      <c r="A1" s="1" t="inlineStr">
        <is>
          <t>THOZEN - RES. ELECTRA TOWERS</t>
        </is>
      </c>
    </row>
    <row r="2">
      <c r="A2" s="2" t="inlineStr">
        <is>
          <t>Disciplina: 11 SPDA - Sistema de Protecao Contra Descargas Atmosfericas</t>
        </is>
      </c>
    </row>
    <row r="3">
      <c r="A3" t="inlineStr">
        <is>
          <t>Revisao: R01 | Data: 2026-04-14 | AC Total: 36.092 m2 (Torre A+B)</t>
        </is>
      </c>
    </row>
    <row r="4">
      <c r="A4" s="3" t="inlineStr">
        <is>
          <t>Fontes: briefing SPDA R00 (NBR 5419) + PDF Eletrowatts 07/04/2026 + benchmark Cartesian (27 proj, mediana R$ 5,14/m2)</t>
        </is>
      </c>
    </row>
    <row r="6" ht="28" customHeight="1">
      <c r="A6" s="4" t="inlineStr">
        <is>
          <t>Subgrupo</t>
        </is>
      </c>
      <c r="B6" s="4" t="inlineStr">
        <is>
          <t>Localizacao no predio</t>
        </is>
      </c>
      <c r="C6" s="4" t="inlineStr">
        <is>
          <t>Codigo</t>
        </is>
      </c>
      <c r="D6" s="4" t="inlineStr">
        <is>
          <t>Descricao</t>
        </is>
      </c>
      <c r="E6" s="4" t="inlineStr">
        <is>
          <t>Especificacao</t>
        </is>
      </c>
      <c r="F6" s="4" t="inlineStr">
        <is>
          <t>Unid</t>
        </is>
      </c>
      <c r="G6" s="4" t="inlineStr">
        <is>
          <t>Qtd</t>
        </is>
      </c>
      <c r="H6" s="4" t="inlineStr">
        <is>
          <t>PU (R$)</t>
        </is>
      </c>
      <c r="I6" s="4" t="inlineStr">
        <is>
          <t>Total (R$)</t>
        </is>
      </c>
      <c r="J6" s="4" t="inlineStr">
        <is>
          <t>Fonte Qtd</t>
        </is>
      </c>
      <c r="K6" s="4" t="inlineStr">
        <is>
          <t>Fonte PU</t>
        </is>
      </c>
      <c r="L6" s="4" t="inlineStr">
        <is>
          <t>Observacao</t>
        </is>
      </c>
    </row>
    <row r="7">
      <c r="A7" s="5" t="inlineStr">
        <is>
          <t>Captacao</t>
        </is>
      </c>
      <c r="B7" s="5" t="inlineStr">
        <is>
          <t>COBERTURA</t>
        </is>
      </c>
      <c r="C7" s="6" t="inlineStr">
        <is>
          <t>07.02.01.001</t>
        </is>
      </c>
      <c r="D7" s="5" t="inlineStr">
        <is>
          <t>Captor tipo Franklin</t>
        </is>
      </c>
      <c r="E7" s="5" t="inlineStr">
        <is>
          <t>Haste aço inox 304, h=0.6m, Ø 1/2"</t>
        </is>
      </c>
      <c r="F7" s="6" t="inlineStr">
        <is>
          <t>un</t>
        </is>
      </c>
      <c r="G7" s="7" t="n">
        <v>6</v>
      </c>
      <c r="H7" s="8" t="n">
        <v>180</v>
      </c>
      <c r="I7" s="8">
        <f>G7*H7</f>
        <v/>
      </c>
      <c r="J7" s="5" t="inlineStr">
        <is>
          <t>NBR 5419 (briefing R00)</t>
        </is>
      </c>
      <c r="K7" s="5" t="inlineStr">
        <is>
          <t>Mercado SC</t>
        </is>
      </c>
      <c r="L7" s="5" t="inlineStr">
        <is>
          <t>Distribuídos na cobertura (Casa de Máquinas)</t>
        </is>
      </c>
    </row>
    <row r="8">
      <c r="A8" s="5" t="inlineStr">
        <is>
          <t>Captacao</t>
        </is>
      </c>
      <c r="B8" s="5" t="inlineStr">
        <is>
          <t>COBERTURA</t>
        </is>
      </c>
      <c r="C8" s="6" t="inlineStr">
        <is>
          <t>07.02.01.002</t>
        </is>
      </c>
      <c r="D8" s="5" t="inlineStr">
        <is>
          <t>Base para captor</t>
        </is>
      </c>
      <c r="E8" s="5" t="inlineStr">
        <is>
          <t>Chapa aço galvanizado 200×200×5mm</t>
        </is>
      </c>
      <c r="F8" s="6" t="inlineStr">
        <is>
          <t>un</t>
        </is>
      </c>
      <c r="G8" s="7" t="n">
        <v>6</v>
      </c>
      <c r="H8" s="8" t="n">
        <v>45</v>
      </c>
      <c r="I8" s="8">
        <f>G8*H8</f>
        <v/>
      </c>
      <c r="J8" s="5" t="inlineStr">
        <is>
          <t>NBR 5419 (briefing R00)</t>
        </is>
      </c>
      <c r="K8" s="5" t="inlineStr">
        <is>
          <t>SINAPI ref</t>
        </is>
      </c>
      <c r="L8" s="5" t="inlineStr">
        <is>
          <t>Fixação na laje de cobertura</t>
        </is>
      </c>
    </row>
    <row r="9">
      <c r="A9" s="5" t="inlineStr">
        <is>
          <t>Captacao</t>
        </is>
      </c>
      <c r="B9" s="5" t="inlineStr">
        <is>
          <t>COBERTURA</t>
        </is>
      </c>
      <c r="C9" s="6" t="inlineStr">
        <is>
          <t>07.02.01.003</t>
        </is>
      </c>
      <c r="D9" s="5" t="inlineStr">
        <is>
          <t>Chumbador</t>
        </is>
      </c>
      <c r="E9" s="5" t="inlineStr">
        <is>
          <t>M10 × 100mm, aço galvanizado</t>
        </is>
      </c>
      <c r="F9" s="6" t="inlineStr">
        <is>
          <t>un</t>
        </is>
      </c>
      <c r="G9" s="7" t="n">
        <v>24</v>
      </c>
      <c r="H9" s="8" t="n">
        <v>3.5</v>
      </c>
      <c r="I9" s="8">
        <f>G9*H9</f>
        <v/>
      </c>
      <c r="J9" s="5" t="inlineStr">
        <is>
          <t>NBR 5419 (briefing R00)</t>
        </is>
      </c>
      <c r="K9" s="5" t="inlineStr">
        <is>
          <t>Mercado</t>
        </is>
      </c>
      <c r="L9" s="5" t="inlineStr">
        <is>
          <t>4 por base de captor</t>
        </is>
      </c>
    </row>
    <row r="10">
      <c r="A10" s="5" t="inlineStr">
        <is>
          <t>Captacao</t>
        </is>
      </c>
      <c r="B10" s="5" t="inlineStr">
        <is>
          <t>COBERTURA</t>
        </is>
      </c>
      <c r="C10" s="6" t="inlineStr">
        <is>
          <t>07.02.01.004</t>
        </is>
      </c>
      <c r="D10" s="5" t="inlineStr">
        <is>
          <t>Conector captor-descida</t>
        </is>
      </c>
      <c r="E10" s="5" t="inlineStr">
        <is>
          <t>Bronze, para cabo 50mm²</t>
        </is>
      </c>
      <c r="F10" s="6" t="inlineStr">
        <is>
          <t>un</t>
        </is>
      </c>
      <c r="G10" s="7" t="n">
        <v>6</v>
      </c>
      <c r="H10" s="8" t="n">
        <v>28</v>
      </c>
      <c r="I10" s="8">
        <f>G10*H10</f>
        <v/>
      </c>
      <c r="J10" s="5" t="inlineStr">
        <is>
          <t>NBR 5419 (briefing R00)</t>
        </is>
      </c>
      <c r="K10" s="5" t="inlineStr">
        <is>
          <t>Mercado</t>
        </is>
      </c>
      <c r="L10" s="5" t="inlineStr">
        <is>
          <t>Interligação captor com cabo de descida</t>
        </is>
      </c>
    </row>
    <row r="11">
      <c r="A11" s="9" t="inlineStr">
        <is>
          <t>Subtotal Captacao</t>
        </is>
      </c>
      <c r="B11" s="10" t="n"/>
      <c r="C11" s="10" t="n"/>
      <c r="D11" s="10" t="n"/>
      <c r="E11" s="10" t="n"/>
      <c r="F11" s="10" t="n"/>
      <c r="G11" s="10" t="n"/>
      <c r="H11" s="10" t="n"/>
      <c r="I11" s="11">
        <f>SUM(I7:I10)</f>
        <v/>
      </c>
      <c r="J11" s="10" t="n"/>
      <c r="K11" s="10" t="n"/>
      <c r="L11" s="10" t="n"/>
    </row>
    <row r="12">
      <c r="A12" s="5" t="inlineStr">
        <is>
          <t>Descidas</t>
        </is>
      </c>
      <c r="B12" s="5" t="inlineStr">
        <is>
          <t>DESCIDAS (Terreo -&gt; Cobertura)</t>
        </is>
      </c>
      <c r="C12" s="6" t="inlineStr">
        <is>
          <t>07.02.02.001</t>
        </is>
      </c>
      <c r="D12" s="5" t="inlineStr">
        <is>
          <t>Cabo de cobre nu (descidas)</t>
        </is>
      </c>
      <c r="E12" s="5" t="inlineStr">
        <is>
          <t>50mm², têmpera mole, NBR 13248</t>
        </is>
      </c>
      <c r="F12" s="6" t="inlineStr">
        <is>
          <t>m</t>
        </is>
      </c>
      <c r="G12" s="7" t="n">
        <v>354</v>
      </c>
      <c r="H12" s="8" t="n">
        <v>65</v>
      </c>
      <c r="I12" s="8">
        <f>G12*H12</f>
        <v/>
      </c>
      <c r="J12" s="5" t="inlineStr">
        <is>
          <t>NBR 5419 (briefing R00)</t>
        </is>
      </c>
      <c r="K12" s="5" t="inlineStr">
        <is>
          <t>Mercado SC</t>
        </is>
      </c>
      <c r="L12" s="5" t="inlineStr">
        <is>
          <t>4 descidas × 87m × 1.02 (fator de trajeto)</t>
        </is>
      </c>
    </row>
    <row r="13">
      <c r="A13" s="5" t="inlineStr">
        <is>
          <t>Descidas</t>
        </is>
      </c>
      <c r="B13" s="5" t="inlineStr">
        <is>
          <t>DESCIDAS (Terreo -&gt; Cobertura)</t>
        </is>
      </c>
      <c r="C13" s="6" t="inlineStr">
        <is>
          <t>07.02.02.002</t>
        </is>
      </c>
      <c r="D13" s="5" t="inlineStr">
        <is>
          <t>Braçadeira de fixação (descidas)</t>
        </is>
      </c>
      <c r="E13" s="5" t="inlineStr">
        <is>
          <t>Aço galvanizado, p/ cabo 50mm²</t>
        </is>
      </c>
      <c r="F13" s="6" t="inlineStr">
        <is>
          <t>un</t>
        </is>
      </c>
      <c r="G13" s="7" t="n">
        <v>176</v>
      </c>
      <c r="H13" s="8" t="n">
        <v>6.5</v>
      </c>
      <c r="I13" s="8">
        <f>G13*H13</f>
        <v/>
      </c>
      <c r="J13" s="5" t="inlineStr">
        <is>
          <t>NBR 5419 (briefing R00)</t>
        </is>
      </c>
      <c r="K13" s="5" t="inlineStr">
        <is>
          <t>Mercado</t>
        </is>
      </c>
      <c r="L13" s="5" t="inlineStr">
        <is>
          <t>1 a cada 0.5m de descida</t>
        </is>
      </c>
    </row>
    <row r="14">
      <c r="A14" s="5" t="inlineStr">
        <is>
          <t>Descidas</t>
        </is>
      </c>
      <c r="B14" s="5" t="inlineStr">
        <is>
          <t>DESCIDAS (Terreo -&gt; Cobertura)</t>
        </is>
      </c>
      <c r="C14" s="6" t="inlineStr">
        <is>
          <t>07.02.02.003</t>
        </is>
      </c>
      <c r="D14" s="5" t="inlineStr">
        <is>
          <t>Bucha e parafuso</t>
        </is>
      </c>
      <c r="E14" s="5" t="inlineStr">
        <is>
          <t>M8 × 60mm, aço galvanizado</t>
        </is>
      </c>
      <c r="F14" s="6" t="inlineStr">
        <is>
          <t>un</t>
        </is>
      </c>
      <c r="G14" s="7" t="n">
        <v>352</v>
      </c>
      <c r="H14" s="8" t="n">
        <v>2.2</v>
      </c>
      <c r="I14" s="8">
        <f>G14*H14</f>
        <v/>
      </c>
      <c r="J14" s="5" t="inlineStr">
        <is>
          <t>NBR 5419 (briefing R00)</t>
        </is>
      </c>
      <c r="K14" s="5" t="inlineStr">
        <is>
          <t>Mercado</t>
        </is>
      </c>
      <c r="L14" s="5" t="inlineStr">
        <is>
          <t>2 por braçadeira</t>
        </is>
      </c>
    </row>
    <row r="15">
      <c r="A15" s="5" t="inlineStr">
        <is>
          <t>Descidas</t>
        </is>
      </c>
      <c r="B15" s="5" t="inlineStr">
        <is>
          <t>DESCIDAS (topo e base)</t>
        </is>
      </c>
      <c r="C15" s="6" t="inlineStr">
        <is>
          <t>07.02.02.004</t>
        </is>
      </c>
      <c r="D15" s="5" t="inlineStr">
        <is>
          <t>Caixa de inspeção (descidas)</t>
        </is>
      </c>
      <c r="E15" s="5" t="inlineStr">
        <is>
          <t>300×300×300mm, alvenaria c/ tampa concreto</t>
        </is>
      </c>
      <c r="F15" s="6" t="inlineStr">
        <is>
          <t>un</t>
        </is>
      </c>
      <c r="G15" s="7" t="n">
        <v>8</v>
      </c>
      <c r="H15" s="8" t="n">
        <v>380</v>
      </c>
      <c r="I15" s="8">
        <f>G15*H15</f>
        <v/>
      </c>
      <c r="J15" s="5" t="inlineStr">
        <is>
          <t>NBR 5419 (briefing R00)</t>
        </is>
      </c>
      <c r="K15" s="5" t="inlineStr">
        <is>
          <t>SINAPI</t>
        </is>
      </c>
      <c r="L15" s="5" t="inlineStr">
        <is>
          <t>2 por descida (topo e base)</t>
        </is>
      </c>
    </row>
    <row r="16">
      <c r="A16" s="5" t="inlineStr">
        <is>
          <t>Descidas</t>
        </is>
      </c>
      <c r="B16" s="5" t="inlineStr">
        <is>
          <t>DESCIDAS (caixas de inspecao)</t>
        </is>
      </c>
      <c r="C16" s="6" t="inlineStr">
        <is>
          <t>07.02.02.005</t>
        </is>
      </c>
      <c r="D16" s="5" t="inlineStr">
        <is>
          <t>Conector aparafusado (descidas)</t>
        </is>
      </c>
      <c r="E16" s="5" t="inlineStr">
        <is>
          <t>Bronze, 50mm², parafuso fendido</t>
        </is>
      </c>
      <c r="F16" s="6" t="inlineStr">
        <is>
          <t>un</t>
        </is>
      </c>
      <c r="G16" s="7" t="n">
        <v>32</v>
      </c>
      <c r="H16" s="8" t="n">
        <v>22</v>
      </c>
      <c r="I16" s="8">
        <f>G16*H16</f>
        <v/>
      </c>
      <c r="J16" s="5" t="inlineStr">
        <is>
          <t>NBR 5419 (briefing R00)</t>
        </is>
      </c>
      <c r="K16" s="5" t="inlineStr">
        <is>
          <t>Mercado</t>
        </is>
      </c>
      <c r="L16" s="5" t="inlineStr">
        <is>
          <t>Conexões nas caixas de inspeção</t>
        </is>
      </c>
    </row>
    <row r="17">
      <c r="A17" s="9" t="inlineStr">
        <is>
          <t>Subtotal Descidas</t>
        </is>
      </c>
      <c r="B17" s="10" t="n"/>
      <c r="C17" s="10" t="n"/>
      <c r="D17" s="10" t="n"/>
      <c r="E17" s="10" t="n"/>
      <c r="F17" s="10" t="n"/>
      <c r="G17" s="10" t="n"/>
      <c r="H17" s="10" t="n"/>
      <c r="I17" s="11">
        <f>SUM(I12:I16)</f>
        <v/>
      </c>
      <c r="J17" s="10" t="n"/>
      <c r="K17" s="10" t="n"/>
      <c r="L17" s="10" t="n"/>
    </row>
    <row r="18">
      <c r="A18" s="5" t="inlineStr">
        <is>
          <t>Equipotencializacao</t>
        </is>
      </c>
      <c r="B18" s="5" t="inlineStr">
        <is>
          <t>ANEIS EQUIPOTENCIAIS (5 niveis)</t>
        </is>
      </c>
      <c r="C18" s="6" t="inlineStr">
        <is>
          <t>07.02.03.001</t>
        </is>
      </c>
      <c r="D18" s="5" t="inlineStr">
        <is>
          <t>Cabo de cobre nu (anéis equipotenciais)</t>
        </is>
      </c>
      <c r="E18" s="5" t="inlineStr">
        <is>
          <t>35mm², têmpera mole, NBR 13248</t>
        </is>
      </c>
      <c r="F18" s="6" t="inlineStr">
        <is>
          <t>m</t>
        </is>
      </c>
      <c r="G18" s="7" t="n">
        <v>600</v>
      </c>
      <c r="H18" s="8" t="n">
        <v>48</v>
      </c>
      <c r="I18" s="8">
        <f>G18*H18</f>
        <v/>
      </c>
      <c r="J18" s="5" t="inlineStr">
        <is>
          <t>NBR 5419 (briefing R00)</t>
        </is>
      </c>
      <c r="K18" s="5" t="inlineStr">
        <is>
          <t>Mercado</t>
        </is>
      </c>
      <c r="L18" s="5" t="inlineStr">
        <is>
          <t>5 anéis × 120m (perímetro estimado)</t>
        </is>
      </c>
    </row>
    <row r="19">
      <c r="A19" s="5" t="inlineStr">
        <is>
          <t>Equipotencializacao</t>
        </is>
      </c>
      <c r="B19" s="5" t="inlineStr">
        <is>
          <t>ANEIS EQUIPOTENCIAIS</t>
        </is>
      </c>
      <c r="C19" s="6" t="inlineStr">
        <is>
          <t>07.02.03.002</t>
        </is>
      </c>
      <c r="D19" s="5" t="inlineStr">
        <is>
          <t>Conector aparafusado (anéis)</t>
        </is>
      </c>
      <c r="E19" s="5" t="inlineStr">
        <is>
          <t>Bronze, 35mm², parafuso fendido</t>
        </is>
      </c>
      <c r="F19" s="6" t="inlineStr">
        <is>
          <t>un</t>
        </is>
      </c>
      <c r="G19" s="7" t="n">
        <v>100</v>
      </c>
      <c r="H19" s="8" t="n">
        <v>18</v>
      </c>
      <c r="I19" s="8">
        <f>G19*H19</f>
        <v/>
      </c>
      <c r="J19" s="5" t="inlineStr">
        <is>
          <t>NBR 5419 (briefing R00)</t>
        </is>
      </c>
      <c r="K19" s="5" t="inlineStr">
        <is>
          <t>Mercado</t>
        </is>
      </c>
      <c r="L19" s="5" t="inlineStr">
        <is>
          <t>Conexões entre trechos e com descidas</t>
        </is>
      </c>
    </row>
    <row r="20">
      <c r="A20" s="5" t="inlineStr">
        <is>
          <t>Equipotencializacao</t>
        </is>
      </c>
      <c r="B20" s="5" t="inlineStr">
        <is>
          <t>ANEIS EQUIPOTENCIAIS</t>
        </is>
      </c>
      <c r="C20" s="6" t="inlineStr">
        <is>
          <t>07.02.03.003</t>
        </is>
      </c>
      <c r="D20" s="5" t="inlineStr">
        <is>
          <t>Braçadeira de fixação (anéis)</t>
        </is>
      </c>
      <c r="E20" s="5" t="inlineStr">
        <is>
          <t>Aço galvanizado, p/ cabo 35mm²</t>
        </is>
      </c>
      <c r="F20" s="6" t="inlineStr">
        <is>
          <t>un</t>
        </is>
      </c>
      <c r="G20" s="7" t="n">
        <v>300</v>
      </c>
      <c r="H20" s="8" t="n">
        <v>5.8</v>
      </c>
      <c r="I20" s="8">
        <f>G20*H20</f>
        <v/>
      </c>
      <c r="J20" s="5" t="inlineStr">
        <is>
          <t>NBR 5419 (briefing R00)</t>
        </is>
      </c>
      <c r="K20" s="5" t="inlineStr">
        <is>
          <t>Mercado</t>
        </is>
      </c>
      <c r="L20" s="5" t="inlineStr">
        <is>
          <t>1 a cada 2m de anel</t>
        </is>
      </c>
    </row>
    <row r="21">
      <c r="A21" s="5" t="inlineStr">
        <is>
          <t>Equipotencializacao</t>
        </is>
      </c>
      <c r="B21" s="5" t="inlineStr">
        <is>
          <t>EQUIP LOCAL (quadros QGBT/QGB — Terreo e C.Maq)</t>
        </is>
      </c>
      <c r="C21" s="6" t="inlineStr">
        <is>
          <t>07.02.03.004</t>
        </is>
      </c>
      <c r="D21" s="5" t="inlineStr">
        <is>
          <t>Barra equipotencial</t>
        </is>
      </c>
      <c r="E21" s="5" t="inlineStr">
        <is>
          <t>Cobre eletrolítico 20×3mm, 300mm</t>
        </is>
      </c>
      <c r="F21" s="6" t="inlineStr">
        <is>
          <t>un</t>
        </is>
      </c>
      <c r="G21" s="7" t="n">
        <v>8</v>
      </c>
      <c r="H21" s="8" t="n">
        <v>95</v>
      </c>
      <c r="I21" s="8">
        <f>G21*H21</f>
        <v/>
      </c>
      <c r="J21" s="5" t="inlineStr">
        <is>
          <t>NBR 5419 (briefing R00)</t>
        </is>
      </c>
      <c r="K21" s="5" t="inlineStr">
        <is>
          <t>Mercado</t>
        </is>
      </c>
      <c r="L21" s="5" t="inlineStr">
        <is>
          <t>Quadros elétricos (QGF, QGB)</t>
        </is>
      </c>
    </row>
    <row r="22">
      <c r="A22" s="5" t="inlineStr">
        <is>
          <t>Equipotencializacao</t>
        </is>
      </c>
      <c r="B22" s="5" t="inlineStr">
        <is>
          <t>EQUIP LOCAL</t>
        </is>
      </c>
      <c r="C22" s="6" t="inlineStr">
        <is>
          <t>07.02.03.005</t>
        </is>
      </c>
      <c r="D22" s="5" t="inlineStr">
        <is>
          <t>Conector barra-cabo</t>
        </is>
      </c>
      <c r="E22" s="5" t="inlineStr">
        <is>
          <t>Bronze, p/ barra 20mm + cabo 35mm²</t>
        </is>
      </c>
      <c r="F22" s="6" t="inlineStr">
        <is>
          <t>un</t>
        </is>
      </c>
      <c r="G22" s="7" t="n">
        <v>16</v>
      </c>
      <c r="H22" s="8" t="n">
        <v>24</v>
      </c>
      <c r="I22" s="8">
        <f>G22*H22</f>
        <v/>
      </c>
      <c r="J22" s="5" t="inlineStr">
        <is>
          <t>NBR 5419 (briefing R00)</t>
        </is>
      </c>
      <c r="K22" s="5" t="inlineStr">
        <is>
          <t>Mercado</t>
        </is>
      </c>
      <c r="L22" s="5" t="inlineStr">
        <is>
          <t>Interligação barras com anéis</t>
        </is>
      </c>
    </row>
    <row r="23">
      <c r="A23" s="5" t="inlineStr">
        <is>
          <t>Equipotencializacao</t>
        </is>
      </c>
      <c r="B23" s="5" t="inlineStr">
        <is>
          <t>EQUIP LOCAL (quadros e prumadas)</t>
        </is>
      </c>
      <c r="C23" s="6" t="inlineStr">
        <is>
          <t>07.02.03.006</t>
        </is>
      </c>
      <c r="D23" s="5" t="inlineStr">
        <is>
          <t>Cabo de cobre flexível (equipotencialização)</t>
        </is>
      </c>
      <c r="E23" s="5" t="inlineStr">
        <is>
          <t>25mm², isolado 750V verde</t>
        </is>
      </c>
      <c r="F23" s="6" t="inlineStr">
        <is>
          <t>m</t>
        </is>
      </c>
      <c r="G23" s="7" t="n">
        <v>80</v>
      </c>
      <c r="H23" s="8" t="n">
        <v>28</v>
      </c>
      <c r="I23" s="8">
        <f>G23*H23</f>
        <v/>
      </c>
      <c r="J23" s="5" t="inlineStr">
        <is>
          <t>NBR 5419 (briefing R00)</t>
        </is>
      </c>
      <c r="K23" s="5" t="inlineStr">
        <is>
          <t>Mercado</t>
        </is>
      </c>
      <c r="L23" s="5" t="inlineStr">
        <is>
          <t>Equipotencialização de quadros e prumadas metálicas</t>
        </is>
      </c>
    </row>
    <row r="24">
      <c r="A24" s="9" t="inlineStr">
        <is>
          <t>Subtotal Equipotencializacao</t>
        </is>
      </c>
      <c r="B24" s="10" t="n"/>
      <c r="C24" s="10" t="n"/>
      <c r="D24" s="10" t="n"/>
      <c r="E24" s="10" t="n"/>
      <c r="F24" s="10" t="n"/>
      <c r="G24" s="10" t="n"/>
      <c r="H24" s="10" t="n"/>
      <c r="I24" s="11">
        <f>SUM(I18:I23)</f>
        <v/>
      </c>
      <c r="J24" s="10" t="n"/>
      <c r="K24" s="10" t="n"/>
      <c r="L24" s="10" t="n"/>
    </row>
    <row r="25">
      <c r="A25" s="5" t="inlineStr">
        <is>
          <t>Aterramento</t>
        </is>
      </c>
      <c r="B25" s="5" t="inlineStr">
        <is>
          <t>ATERRAMENTO (subsolo)</t>
        </is>
      </c>
      <c r="C25" s="6" t="inlineStr">
        <is>
          <t>07.02.04.001</t>
        </is>
      </c>
      <c r="D25" s="5" t="inlineStr">
        <is>
          <t>Haste de aterramento</t>
        </is>
      </c>
      <c r="E25" s="5" t="inlineStr">
        <is>
          <t>Cobreada Ø 5/8" × 2.4m, NBR 13571</t>
        </is>
      </c>
      <c r="F25" s="6" t="inlineStr">
        <is>
          <t>un</t>
        </is>
      </c>
      <c r="G25" s="7" t="n">
        <v>8</v>
      </c>
      <c r="H25" s="8" t="n">
        <v>55</v>
      </c>
      <c r="I25" s="8">
        <f>G25*H25</f>
        <v/>
      </c>
      <c r="J25" s="5" t="inlineStr">
        <is>
          <t>NBR 5419 (briefing R00)</t>
        </is>
      </c>
      <c r="K25" s="5" t="inlineStr">
        <is>
          <t>Mercado</t>
        </is>
      </c>
      <c r="L25" s="5" t="inlineStr">
        <is>
          <t>2 hastes por descida</t>
        </is>
      </c>
    </row>
    <row r="26">
      <c r="A26" s="5" t="inlineStr">
        <is>
          <t>Aterramento</t>
        </is>
      </c>
      <c r="B26" s="5" t="inlineStr">
        <is>
          <t>ATERRAMENTO (subsolo)</t>
        </is>
      </c>
      <c r="C26" s="6" t="inlineStr">
        <is>
          <t>07.02.04.002</t>
        </is>
      </c>
      <c r="D26" s="5" t="inlineStr">
        <is>
          <t>Conector haste-cabo</t>
        </is>
      </c>
      <c r="E26" s="5" t="inlineStr">
        <is>
          <t>Bronze, tipo soldável ou compressão</t>
        </is>
      </c>
      <c r="F26" s="6" t="inlineStr">
        <is>
          <t>un</t>
        </is>
      </c>
      <c r="G26" s="7" t="n">
        <v>8</v>
      </c>
      <c r="H26" s="8" t="n">
        <v>18</v>
      </c>
      <c r="I26" s="8">
        <f>G26*H26</f>
        <v/>
      </c>
      <c r="J26" s="5" t="inlineStr">
        <is>
          <t>NBR 5419 (briefing R00)</t>
        </is>
      </c>
      <c r="K26" s="5" t="inlineStr">
        <is>
          <t>Mercado</t>
        </is>
      </c>
      <c r="L26" s="5" t="inlineStr">
        <is>
          <t>1 por haste</t>
        </is>
      </c>
    </row>
    <row r="27">
      <c r="A27" s="5" t="inlineStr">
        <is>
          <t>Aterramento</t>
        </is>
      </c>
      <c r="B27" s="5" t="inlineStr">
        <is>
          <t>ATERRAMENTO (subsolo)</t>
        </is>
      </c>
      <c r="C27" s="6" t="inlineStr">
        <is>
          <t>07.02.04.003</t>
        </is>
      </c>
      <c r="D27" s="5" t="inlineStr">
        <is>
          <t>Caixa de inspeção (aterramento)</t>
        </is>
      </c>
      <c r="E27" s="5" t="inlineStr">
        <is>
          <t>400×400×400mm, alvenaria c/ tampa concreto</t>
        </is>
      </c>
      <c r="F27" s="6" t="inlineStr">
        <is>
          <t>un</t>
        </is>
      </c>
      <c r="G27" s="7" t="n">
        <v>4</v>
      </c>
      <c r="H27" s="8" t="n">
        <v>520</v>
      </c>
      <c r="I27" s="8">
        <f>G27*H27</f>
        <v/>
      </c>
      <c r="J27" s="5" t="inlineStr">
        <is>
          <t>NBR 5419 (briefing R00)</t>
        </is>
      </c>
      <c r="K27" s="5" t="inlineStr">
        <is>
          <t>SINAPI</t>
        </is>
      </c>
      <c r="L27" s="5" t="inlineStr">
        <is>
          <t>1 para cada par de hastes</t>
        </is>
      </c>
    </row>
    <row r="28">
      <c r="A28" s="5" t="inlineStr">
        <is>
          <t>Aterramento</t>
        </is>
      </c>
      <c r="B28" s="5" t="inlineStr">
        <is>
          <t>ATERRAMENTO (subsolo)</t>
        </is>
      </c>
      <c r="C28" s="6" t="inlineStr">
        <is>
          <t>07.02.04.004</t>
        </is>
      </c>
      <c r="D28" s="5" t="inlineStr">
        <is>
          <t>Solda exotérmica (hastes)</t>
        </is>
      </c>
      <c r="E28" s="5" t="inlineStr">
        <is>
          <t>Cartucho p/ cabo 50mm² + haste 5/8"</t>
        </is>
      </c>
      <c r="F28" s="6" t="inlineStr">
        <is>
          <t>un</t>
        </is>
      </c>
      <c r="G28" s="7" t="n">
        <v>8</v>
      </c>
      <c r="H28" s="8" t="n">
        <v>42</v>
      </c>
      <c r="I28" s="8">
        <f>G28*H28</f>
        <v/>
      </c>
      <c r="J28" s="5" t="inlineStr">
        <is>
          <t>NBR 5419 (briefing R00)</t>
        </is>
      </c>
      <c r="K28" s="5" t="inlineStr">
        <is>
          <t>Mercado</t>
        </is>
      </c>
      <c r="L28" s="5" t="inlineStr">
        <is>
          <t>Conexão haste-cabo</t>
        </is>
      </c>
    </row>
    <row r="29">
      <c r="A29" s="5" t="inlineStr">
        <is>
          <t>Aterramento</t>
        </is>
      </c>
      <c r="B29" s="5" t="inlineStr">
        <is>
          <t>ATERRAMENTO (malha enterrada)</t>
        </is>
      </c>
      <c r="C29" s="6" t="inlineStr">
        <is>
          <t>07.02.04.005</t>
        </is>
      </c>
      <c r="D29" s="5" t="inlineStr">
        <is>
          <t>Cabo de cobre nu (malha aterramento)</t>
        </is>
      </c>
      <c r="E29" s="5" t="inlineStr">
        <is>
          <t>50mm², têmpera mole, NBR 13248</t>
        </is>
      </c>
      <c r="F29" s="6" t="inlineStr">
        <is>
          <t>m</t>
        </is>
      </c>
      <c r="G29" s="7" t="n">
        <v>1000</v>
      </c>
      <c r="H29" s="8" t="n">
        <v>65</v>
      </c>
      <c r="I29" s="8">
        <f>G29*H29</f>
        <v/>
      </c>
      <c r="J29" s="5" t="inlineStr">
        <is>
          <t>NBR 5419 (briefing R00)</t>
        </is>
      </c>
      <c r="K29" s="5" t="inlineStr">
        <is>
          <t>Mercado SC</t>
        </is>
      </c>
      <c r="L29" s="5" t="inlineStr">
        <is>
          <t>Malha enterrada a 0.6-0.8m de profundidade</t>
        </is>
      </c>
    </row>
    <row r="30">
      <c r="A30" s="5" t="inlineStr">
        <is>
          <t>Aterramento</t>
        </is>
      </c>
      <c r="B30" s="5" t="inlineStr">
        <is>
          <t>ATERRAMENTO (malha)</t>
        </is>
      </c>
      <c r="C30" s="6" t="inlineStr">
        <is>
          <t>07.02.04.006</t>
        </is>
      </c>
      <c r="D30" s="5" t="inlineStr">
        <is>
          <t>Conector aparafusado (malha)</t>
        </is>
      </c>
      <c r="E30" s="5" t="inlineStr">
        <is>
          <t>Bronze, 50mm², parafuso fendido</t>
        </is>
      </c>
      <c r="F30" s="6" t="inlineStr">
        <is>
          <t>un</t>
        </is>
      </c>
      <c r="G30" s="7" t="n">
        <v>60</v>
      </c>
      <c r="H30" s="8" t="n">
        <v>22</v>
      </c>
      <c r="I30" s="8">
        <f>G30*H30</f>
        <v/>
      </c>
      <c r="J30" s="5" t="inlineStr">
        <is>
          <t>NBR 5419 (briefing R00)</t>
        </is>
      </c>
      <c r="K30" s="5" t="inlineStr">
        <is>
          <t>Mercado</t>
        </is>
      </c>
      <c r="L30" s="5" t="inlineStr">
        <is>
          <t>Interligações da malha</t>
        </is>
      </c>
    </row>
    <row r="31">
      <c r="A31" s="5" t="inlineStr">
        <is>
          <t>Aterramento</t>
        </is>
      </c>
      <c r="B31" s="5" t="inlineStr">
        <is>
          <t>ATERRAMENTO (malha)</t>
        </is>
      </c>
      <c r="C31" s="6" t="inlineStr">
        <is>
          <t>07.02.04.007</t>
        </is>
      </c>
      <c r="D31" s="5" t="inlineStr">
        <is>
          <t>Solda exotérmica (malha)</t>
        </is>
      </c>
      <c r="E31" s="5" t="inlineStr">
        <is>
          <t>Cartucho p/ cabo 50mm²</t>
        </is>
      </c>
      <c r="F31" s="6" t="inlineStr">
        <is>
          <t>un</t>
        </is>
      </c>
      <c r="G31" s="7" t="n">
        <v>40</v>
      </c>
      <c r="H31" s="8" t="n">
        <v>35</v>
      </c>
      <c r="I31" s="8">
        <f>G31*H31</f>
        <v/>
      </c>
      <c r="J31" s="5" t="inlineStr">
        <is>
          <t>NBR 5419 (briefing R00)</t>
        </is>
      </c>
      <c r="K31" s="5" t="inlineStr">
        <is>
          <t>Mercado</t>
        </is>
      </c>
      <c r="L31" s="5" t="inlineStr">
        <is>
          <t>Conexões críticas da malha</t>
        </is>
      </c>
    </row>
    <row r="32">
      <c r="A32" s="5" t="inlineStr">
        <is>
          <t>Aterramento</t>
        </is>
      </c>
      <c r="B32" s="5" t="inlineStr">
        <is>
          <t>ATERRAMENTO (subsolo — acesso)</t>
        </is>
      </c>
      <c r="C32" s="6" t="inlineStr">
        <is>
          <t>07.02.04.008</t>
        </is>
      </c>
      <c r="D32" s="5" t="inlineStr">
        <is>
          <t>Caixa de inspeção (subsolo)</t>
        </is>
      </c>
      <c r="E32" s="5" t="inlineStr">
        <is>
          <t>400×400×400mm, c/ tampa articulada</t>
        </is>
      </c>
      <c r="F32" s="6" t="inlineStr">
        <is>
          <t>un</t>
        </is>
      </c>
      <c r="G32" s="7" t="n">
        <v>4</v>
      </c>
      <c r="H32" s="8" t="n">
        <v>580</v>
      </c>
      <c r="I32" s="8">
        <f>G32*H32</f>
        <v/>
      </c>
      <c r="J32" s="5" t="inlineStr">
        <is>
          <t>NBR 5419 (briefing R00)</t>
        </is>
      </c>
      <c r="K32" s="5" t="inlineStr">
        <is>
          <t>SINAPI</t>
        </is>
      </c>
      <c r="L32" s="5" t="inlineStr">
        <is>
          <t>Acesso ao sistema de aterramento</t>
        </is>
      </c>
    </row>
    <row r="33">
      <c r="A33" s="9" t="inlineStr">
        <is>
          <t>Subtotal Aterramento</t>
        </is>
      </c>
      <c r="B33" s="10" t="n"/>
      <c r="C33" s="10" t="n"/>
      <c r="D33" s="10" t="n"/>
      <c r="E33" s="10" t="n"/>
      <c r="F33" s="10" t="n"/>
      <c r="G33" s="10" t="n"/>
      <c r="H33" s="10" t="n"/>
      <c r="I33" s="11">
        <f>SUM(I25:I32)</f>
        <v/>
      </c>
      <c r="J33" s="10" t="n"/>
      <c r="K33" s="10" t="n"/>
      <c r="L33" s="10" t="n"/>
    </row>
    <row r="34">
      <c r="A34" s="5" t="inlineStr">
        <is>
          <t>Acessorios</t>
        </is>
      </c>
      <c r="B34" s="5" t="inlineStr">
        <is>
          <t>ACESSORIOS (distribuicao geral)</t>
        </is>
      </c>
      <c r="C34" s="6" t="inlineStr">
        <is>
          <t>07.02.05.001</t>
        </is>
      </c>
      <c r="D34" s="5" t="inlineStr">
        <is>
          <t>Conector paralelo</t>
        </is>
      </c>
      <c r="E34" s="5" t="inlineStr">
        <is>
          <t>Bronze, 50mm², derivação</t>
        </is>
      </c>
      <c r="F34" s="6" t="inlineStr">
        <is>
          <t>un</t>
        </is>
      </c>
      <c r="G34" s="7" t="n">
        <v>20</v>
      </c>
      <c r="H34" s="8" t="n">
        <v>18</v>
      </c>
      <c r="I34" s="8">
        <f>G34*H34</f>
        <v/>
      </c>
      <c r="J34" s="5" t="inlineStr">
        <is>
          <t>NBR 5419 (briefing R00)</t>
        </is>
      </c>
      <c r="K34" s="5" t="inlineStr">
        <is>
          <t>Mercado</t>
        </is>
      </c>
      <c r="L34" s="5" t="inlineStr">
        <is>
          <t>Derivações ao longo das descidas</t>
        </is>
      </c>
    </row>
    <row r="35">
      <c r="A35" s="5" t="inlineStr">
        <is>
          <t>Acessorios</t>
        </is>
      </c>
      <c r="B35" s="5" t="inlineStr">
        <is>
          <t>ACESSORIOS (distribuicao geral)</t>
        </is>
      </c>
      <c r="C35" s="6" t="inlineStr">
        <is>
          <t>07.02.05.002</t>
        </is>
      </c>
      <c r="D35" s="5" t="inlineStr">
        <is>
          <t>Conector cruzado</t>
        </is>
      </c>
      <c r="E35" s="5" t="inlineStr">
        <is>
          <t>Bronze, 35-50mm², interseção</t>
        </is>
      </c>
      <c r="F35" s="6" t="inlineStr">
        <is>
          <t>un</t>
        </is>
      </c>
      <c r="G35" s="7" t="n">
        <v>20</v>
      </c>
      <c r="H35" s="8" t="n">
        <v>24</v>
      </c>
      <c r="I35" s="8">
        <f>G35*H35</f>
        <v/>
      </c>
      <c r="J35" s="5" t="inlineStr">
        <is>
          <t>NBR 5419 (briefing R00)</t>
        </is>
      </c>
      <c r="K35" s="5" t="inlineStr">
        <is>
          <t>Mercado</t>
        </is>
      </c>
      <c r="L35" s="5" t="inlineStr">
        <is>
          <t>Conexões anéis × descidas</t>
        </is>
      </c>
    </row>
    <row r="36">
      <c r="A36" s="5" t="inlineStr">
        <is>
          <t>Acessorios</t>
        </is>
      </c>
      <c r="B36" s="5" t="inlineStr">
        <is>
          <t>ACESSORIOS (distribuicao geral)</t>
        </is>
      </c>
      <c r="C36" s="6" t="inlineStr">
        <is>
          <t>07.02.05.003</t>
        </is>
      </c>
      <c r="D36" s="5" t="inlineStr">
        <is>
          <t>Arruela de pressão</t>
        </is>
      </c>
      <c r="E36" s="5" t="inlineStr">
        <is>
          <t>Bronze, M10</t>
        </is>
      </c>
      <c r="F36" s="6" t="inlineStr">
        <is>
          <t>un</t>
        </is>
      </c>
      <c r="G36" s="7" t="n">
        <v>200</v>
      </c>
      <c r="H36" s="8" t="n">
        <v>1.2</v>
      </c>
      <c r="I36" s="8">
        <f>G36*H36</f>
        <v/>
      </c>
      <c r="J36" s="5" t="inlineStr">
        <is>
          <t>NBR 5419 (briefing R00)</t>
        </is>
      </c>
      <c r="K36" s="5" t="inlineStr">
        <is>
          <t>Mercado</t>
        </is>
      </c>
      <c r="L36" s="5" t="inlineStr">
        <is>
          <t>Complemento de conectores aparafusados</t>
        </is>
      </c>
    </row>
    <row r="37">
      <c r="A37" s="5" t="inlineStr">
        <is>
          <t>Acessorios</t>
        </is>
      </c>
      <c r="B37" s="5" t="inlineStr">
        <is>
          <t>ACESSORIOS (descidas)</t>
        </is>
      </c>
      <c r="C37" s="6" t="inlineStr">
        <is>
          <t>07.02.05.004</t>
        </is>
      </c>
      <c r="D37" s="5" t="inlineStr">
        <is>
          <t>Fita de advertência</t>
        </is>
      </c>
      <c r="E37" s="5" t="inlineStr">
        <is>
          <t>"SPDA - Não Remover", PVC</t>
        </is>
      </c>
      <c r="F37" s="6" t="inlineStr">
        <is>
          <t>m</t>
        </is>
      </c>
      <c r="G37" s="7" t="n">
        <v>100</v>
      </c>
      <c r="H37" s="8" t="n">
        <v>2.8</v>
      </c>
      <c r="I37" s="8">
        <f>G37*H37</f>
        <v/>
      </c>
      <c r="J37" s="5" t="inlineStr">
        <is>
          <t>NBR 5419 (briefing R00)</t>
        </is>
      </c>
      <c r="K37" s="5" t="inlineStr">
        <is>
          <t>Mercado</t>
        </is>
      </c>
      <c r="L37" s="5" t="inlineStr">
        <is>
          <t>Sinalização ao longo das descidas</t>
        </is>
      </c>
    </row>
    <row r="38">
      <c r="A38" s="9" t="inlineStr">
        <is>
          <t>Subtotal Acessorios</t>
        </is>
      </c>
      <c r="B38" s="10" t="n"/>
      <c r="C38" s="10" t="n"/>
      <c r="D38" s="10" t="n"/>
      <c r="E38" s="10" t="n"/>
      <c r="F38" s="10" t="n"/>
      <c r="G38" s="10" t="n"/>
      <c r="H38" s="10" t="n"/>
      <c r="I38" s="11">
        <f>SUM(I34:I37)</f>
        <v/>
      </c>
      <c r="J38" s="10" t="n"/>
      <c r="K38" s="10" t="n"/>
      <c r="L38" s="10" t="n"/>
    </row>
    <row r="39">
      <c r="A39" s="12" t="inlineStr">
        <is>
          <t>Equipotencializacao</t>
        </is>
      </c>
      <c r="B39" s="12" t="inlineStr">
        <is>
          <t>BEL APTO (12 caixas — distribuicao por BEPs)</t>
        </is>
      </c>
      <c r="C39" s="13" t="inlineStr">
        <is>
          <t>07.02.03.007</t>
        </is>
      </c>
      <c r="D39" s="12" t="inlineStr">
        <is>
          <t>CAIXA DE EQUIPOTENCIALIZACAO (BEL) EM ALUMINIO, PINTURA BRANCA</t>
        </is>
      </c>
      <c r="E39" s="12" t="inlineStr">
        <is>
          <t>Dimensoes 20X20X15CM</t>
        </is>
      </c>
      <c r="F39" s="13" t="inlineStr">
        <is>
          <t>pc</t>
        </is>
      </c>
      <c r="G39" s="14" t="n">
        <v>12</v>
      </c>
      <c r="H39" s="15" t="n">
        <v>165</v>
      </c>
      <c r="I39" s="15">
        <f>G39*H39</f>
        <v/>
      </c>
      <c r="J39" s="12" t="inlineStr">
        <is>
          <t>PDF Eletrowatts 07/04/2026</t>
        </is>
      </c>
      <c r="K39" s="12" t="inlineStr">
        <is>
          <t>PDF Eletrowatts 07/04</t>
        </is>
      </c>
      <c r="L39" s="12" t="inlineStr">
        <is>
          <t>NOVO — nao constava no briefing R00</t>
        </is>
      </c>
    </row>
    <row r="40">
      <c r="A40" s="9" t="inlineStr">
        <is>
          <t>Subtotal Equipotencializacao</t>
        </is>
      </c>
      <c r="B40" s="10" t="n"/>
      <c r="C40" s="10" t="n"/>
      <c r="D40" s="10" t="n"/>
      <c r="E40" s="10" t="n"/>
      <c r="F40" s="10" t="n"/>
      <c r="G40" s="10" t="n"/>
      <c r="H40" s="10" t="n"/>
      <c r="I40" s="11">
        <f>SUM(I39:I39)</f>
        <v/>
      </c>
      <c r="J40" s="10" t="n"/>
      <c r="K40" s="10" t="n"/>
      <c r="L40" s="10" t="n"/>
    </row>
    <row r="42">
      <c r="A42" s="16" t="inlineStr">
        <is>
          <t>TOTAL GERAL SPDA (material)</t>
        </is>
      </c>
      <c r="B42" s="17" t="n"/>
      <c r="C42" s="17" t="n"/>
      <c r="D42" s="17" t="n"/>
      <c r="E42" s="17" t="n"/>
      <c r="F42" s="17" t="n"/>
      <c r="G42" s="17" t="n"/>
      <c r="H42" s="17" t="n"/>
      <c r="I42" s="18">
        <f>I11+I17+I24+I33+I38+I40</f>
        <v/>
      </c>
      <c r="J42" s="17" t="n"/>
      <c r="K42" s="17" t="n"/>
      <c r="L42" s="17" t="n"/>
    </row>
    <row r="44">
      <c r="A44" s="19" t="inlineStr">
        <is>
          <t>Mao de obra instalacao (30% sobre material)</t>
        </is>
      </c>
      <c r="I44" s="20">
        <f>I42*0.30</f>
        <v/>
      </c>
    </row>
    <row r="45">
      <c r="A45" s="21" t="inlineStr">
        <is>
          <t>TOTAL SPDA (material + MO)</t>
        </is>
      </c>
      <c r="B45" s="22" t="n"/>
      <c r="C45" s="22" t="n"/>
      <c r="D45" s="22" t="n"/>
      <c r="E45" s="22" t="n"/>
      <c r="F45" s="22" t="n"/>
      <c r="G45" s="22" t="n"/>
      <c r="H45" s="22" t="n"/>
      <c r="I45" s="23">
        <f>I42+I44</f>
        <v/>
      </c>
      <c r="J45" s="22" t="n"/>
      <c r="K45" s="22" t="n"/>
      <c r="L45" s="22" t="n"/>
    </row>
    <row r="47">
      <c r="A47" s="2" t="inlineStr">
        <is>
          <t>VERIFICACAO BENCHMARK</t>
        </is>
      </c>
    </row>
    <row r="48">
      <c r="A48" s="24" t="inlineStr">
        <is>
          <t>R$/m2 AC (nosso)</t>
        </is>
      </c>
      <c r="I48" s="25">
        <f>I45/36092</f>
        <v/>
      </c>
    </row>
    <row r="49">
      <c r="A49" s="24" t="inlineStr">
        <is>
          <t>R$/m2 AC (mediana 27 proj Cartesian)</t>
        </is>
      </c>
      <c r="I49" s="25" t="n">
        <v>5.14</v>
      </c>
    </row>
    <row r="50">
      <c r="A50" s="24" t="inlineStr">
        <is>
          <t>Area construida total (m2)</t>
        </is>
      </c>
      <c r="I50" s="26" t="n">
        <v>36092</v>
      </c>
    </row>
    <row r="51">
      <c r="A51" s="24" t="inlineStr">
        <is>
          <t>Benchmark total (mediana × AC)</t>
        </is>
      </c>
      <c r="I51" s="25" t="n">
        <v>185512.88</v>
      </c>
    </row>
  </sheetData>
  <mergeCells count="9">
    <mergeCell ref="A38:H38"/>
    <mergeCell ref="A24:H24"/>
    <mergeCell ref="A40:H40"/>
    <mergeCell ref="A42:H42"/>
    <mergeCell ref="A33:H33"/>
    <mergeCell ref="A11:H11"/>
    <mergeCell ref="A44:H44"/>
    <mergeCell ref="A45:H45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2026-04-14T19:37:58Z</dcterms:created>
  <dcterms:modified xmlns:dcterms="http://purl.org/dc/terms/" xmlns:xsi="http://www.w3.org/2001/XMLSchema-instance" xsi:type="dcterms:W3CDTF">2026-04-14T19:37:58Z</dcterms:modified>
</cp:coreProperties>
</file>