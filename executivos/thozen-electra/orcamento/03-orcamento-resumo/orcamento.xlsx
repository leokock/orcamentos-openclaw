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2.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4" activeTab="1" xr2:uid="{00000000-000D-0000-FFFF-FFFF00000000}"/>
  </bookViews>
  <sheets>
    <sheet name="CAPA" sheetId="44" state="hidden" r:id="rId5"/>
    <sheet name="Orçamento" sheetId="126" r:id="rId2"/>
    <sheet name="PROJETOS" sheetId="105" state="hidden" r:id="rId6"/>
    <sheet name="Ger_Tec e Adm" sheetId="104" state="hidden" r:id="rId7"/>
    <sheet name="Ger_Executivo_Cartesian" sheetId="8" state="hidden" r:id="rId8"/>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<sst xmlns="http://schemas.openxmlformats.org/spreadsheetml/2006/main" count="76186" uniqueCount="11265">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</sst>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41" Type="http://schemas.openxmlformats.org/officeDocument/2006/relationships/styles" Target="styles.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44" Type="http://schemas.openxmlformats.org/officeDocument/2006/relationships/calcChain" Target="calcChain.xml"/><Relationship Id="rId43" Type="http://schemas.openxmlformats.org/officeDocument/2006/relationships/sheetMetadata" Target="metadata.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2.xml><?xml version="1.0" encoding="utf-8"?>
<xdr:wsDr xmlns:xdr="http://schemas.openxmlformats.org/drawingml/2006/spreadsheetDrawing" xmlns:a="http://schemas.openxmlformats.org/drawingml/2006/main">
  <xdr:oneCellAnchor>
    <xdr:from>
      <xdr:col>5</xdr:col>
      <xdr:colOff>239806</xdr:colOff>
      <xdr:row>1</xdr:row>
      <xdr:rowOff>152402</xdr:rowOff>
    </xdr:from>
    <xdr:ext cx="869577" cy="945774"/>
    <xdr:pic>
      <xdr:nvPicPr>
        <xdr:cNvPr id="2" name="Imagem 1">
          <a:extLst>
            <a:ext uri="{FF2B5EF4-FFF2-40B4-BE49-F238E27FC236}">
              <a16:creationId xmlns:a16="http://schemas.microsoft.com/office/drawing/2014/main" id="{9F181575-B0D5-4B8E-938F-439B5567F531}"/>
            </a:ext>
          </a:extLst>
        </xdr:cNvPr>
        <xdr:cNvPicPr>
          <a:picLocks noChangeAspect="1"/>
        </xdr:cNvPicPr>
      </xdr:nvPicPr>
      <xdr:blipFill>
        <a:blip xmlns:r="http://schemas.openxmlformats.org/officeDocument/2006/relationships" r:embed="rId1"/>
        <a:stretch>
          <a:fillRect/>
        </a:stretch>
      </xdr:blipFill>
      <xdr:spPr>
        <a:xfrm>
          <a:off x="4097431" y="314327"/>
          <a:ext cx="869577" cy="945774"/>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s">
        <v>2407</v>
      </c>
      <c r="D2" s="174"/>
      <c r="E2" s="173" t="s">
        <v>1217</v>
      </c>
      <c r="F2" s="175" t="s">
        <v>2410</v>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s">
        <v>2408</v>
      </c>
      <c r="D3" s="178"/>
      <c r="E3" s="177" t="s">
        <v>2188</v>
      </c>
      <c r="F3" s="179" t="s">
        <v>2411</v>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s">
        <v>2409</v>
      </c>
      <c r="D4" s="75"/>
      <c r="E4" s="181" t="s">
        <v>1218</v>
      </c>
      <c r="F4" s="182" t="s">
        <v>2412</v>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41</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1040</v>
      </c>
      <c r="E8" s="188" t="s">
        <v>2193</v>
      </c>
      <c r="F8" s="189">
        <v>5</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f>SUM($D$19:$D$36)</f>
        <v>16749.670000000002</v>
      </c>
      <c r="E10" s="188" t="s">
        <v>2195</v>
      </c>
      <c r="F10" s="189">
        <v>44</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f>SUM($E$19:$E$36)</f>
        <v>10673.599999999999</v>
      </c>
      <c r="E12" s="188" t="s">
        <v>2197</v>
      </c>
      <c r="F12" s="189">
        <f>G83</f>
        <v>41</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f>SUM($E$38:$E$75)</f>
        <v>1303.2000000000003</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f>D92</f>
        <v>537.96</v>
      </c>
      <c r="E16" s="188" t="s">
        <v>2201</v>
      </c>
      <c r="F16" s="189">
        <f>F83</f>
        <v>97</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s">
        <v>2226</v>
      </c>
      <c r="C19" s="445" t="s">
        <v>2413</v>
      </c>
      <c r="D19" s="446">
        <v>784.58</v>
      </c>
      <c r="E19" s="446">
        <v>491.89</v>
      </c>
      <c r="F19" s="446">
        <v>151.72</v>
      </c>
      <c r="G19" s="447">
        <v>3.49</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s">
        <v>2226</v>
      </c>
      <c r="C20" s="445" t="s">
        <v>2414</v>
      </c>
      <c r="D20" s="446">
        <v>801.15</v>
      </c>
      <c r="E20" s="446">
        <v>240.38</v>
      </c>
      <c r="F20" s="446">
        <v>151.72</v>
      </c>
      <c r="G20" s="447">
        <v>2.7</v>
      </c>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s">
        <v>2226</v>
      </c>
      <c r="C21" s="445" t="s">
        <v>2415</v>
      </c>
      <c r="D21" s="446">
        <v>878.5</v>
      </c>
      <c r="E21" s="446">
        <v>287.5</v>
      </c>
      <c r="F21" s="446">
        <v>151.72</v>
      </c>
      <c r="G21" s="447">
        <v>2.7</v>
      </c>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s">
        <v>2226</v>
      </c>
      <c r="C22" s="445" t="s">
        <v>2416</v>
      </c>
      <c r="D22" s="446">
        <v>878.5</v>
      </c>
      <c r="E22" s="446">
        <v>287.5</v>
      </c>
      <c r="F22" s="446">
        <v>151.72</v>
      </c>
      <c r="G22" s="447">
        <v>2.6999999999999993</v>
      </c>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s">
        <v>2226</v>
      </c>
      <c r="C23" s="445" t="s">
        <v>2417</v>
      </c>
      <c r="D23" s="446">
        <v>878.5</v>
      </c>
      <c r="E23" s="446">
        <v>287.5</v>
      </c>
      <c r="F23" s="446">
        <v>151.72</v>
      </c>
      <c r="G23" s="447">
        <v>2.6999999999999993</v>
      </c>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s">
        <v>2226</v>
      </c>
      <c r="C24" s="445" t="s">
        <v>2418</v>
      </c>
      <c r="D24" s="446">
        <v>892.45</v>
      </c>
      <c r="E24" s="446">
        <v>287.5</v>
      </c>
      <c r="F24" s="446">
        <v>151.72</v>
      </c>
      <c r="G24" s="447">
        <v>2.6999999999999993</v>
      </c>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s">
        <v>2226</v>
      </c>
      <c r="C25" s="445" t="s">
        <v>2436</v>
      </c>
      <c r="D25" s="446">
        <v>892.45</v>
      </c>
      <c r="E25" s="450">
        <v>175</v>
      </c>
      <c r="F25" s="446">
        <v>151.72</v>
      </c>
      <c r="G25" s="447">
        <v>5.0400000000000027</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s">
        <v>2226</v>
      </c>
      <c r="C26" s="445" t="s">
        <v>2437</v>
      </c>
      <c r="D26" s="450">
        <v>499.27</v>
      </c>
      <c r="E26" s="450">
        <v>0</v>
      </c>
      <c r="F26" s="446">
        <v>151.72</v>
      </c>
      <c r="G26" s="447">
        <v>3.2399999999999984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s">
        <v>2226</v>
      </c>
      <c r="C27" s="445" t="s">
        <v>2438</v>
      </c>
      <c r="D27" s="446">
        <v>345.53</v>
      </c>
      <c r="E27" s="446">
        <v>303.01</v>
      </c>
      <c r="F27" s="446">
        <v>108.2</v>
      </c>
      <c r="G27" s="447">
        <v>3.1500000000000021</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s">
        <v>2226</v>
      </c>
      <c r="C28" s="445" t="s">
        <v>2439</v>
      </c>
      <c r="D28" s="446">
        <v>2427.2800000000002</v>
      </c>
      <c r="E28" s="446">
        <v>2087.12</v>
      </c>
      <c r="F28" s="446">
        <v>108.2</v>
      </c>
      <c r="G28" s="447">
        <f>SUM(EPCs!N14:N21)</f>
        <v>23.579999999999977</v>
      </c>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s">
        <v>2226</v>
      </c>
      <c r="C29" s="445" t="s">
        <v>2440</v>
      </c>
      <c r="D29" s="446">
        <v>6374.97</v>
      </c>
      <c r="E29" s="446">
        <v>5482.05</v>
      </c>
      <c r="F29" s="446">
        <v>108.2</v>
      </c>
      <c r="G29" s="447">
        <f>SUM(EPCs!N22:N42)</f>
        <v>66.149999999999977</v>
      </c>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t="s">
        <v>2226</v>
      </c>
      <c r="C30" s="445" t="s">
        <v>2419</v>
      </c>
      <c r="D30" s="446">
        <v>303.57</v>
      </c>
      <c r="E30" s="446">
        <v>261.05</v>
      </c>
      <c r="F30" s="446">
        <v>108.2</v>
      </c>
      <c r="G30" s="447">
        <v>3.1499999999999986</v>
      </c>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t="s">
        <v>2226</v>
      </c>
      <c r="C31" s="445" t="s">
        <v>2441</v>
      </c>
      <c r="D31" s="446">
        <v>292.95999999999998</v>
      </c>
      <c r="E31" s="446">
        <v>248.63</v>
      </c>
      <c r="F31" s="446">
        <v>108.2</v>
      </c>
      <c r="G31" s="447">
        <v>3.1500000000000057</v>
      </c>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t="s">
        <v>2226</v>
      </c>
      <c r="C32" s="445" t="s">
        <v>2442</v>
      </c>
      <c r="D32" s="193">
        <v>278.8</v>
      </c>
      <c r="E32" s="193">
        <v>234.47</v>
      </c>
      <c r="F32" s="193">
        <v>108.2</v>
      </c>
      <c r="G32" s="194">
        <v>3.2399999999999949</v>
      </c>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t="s">
        <v>2226</v>
      </c>
      <c r="C33" s="445" t="s">
        <v>2443</v>
      </c>
      <c r="D33" s="193">
        <v>73.72</v>
      </c>
      <c r="E33" s="193"/>
      <c r="F33" s="193">
        <v>81.12</v>
      </c>
      <c r="G33" s="194">
        <v>3.2399999999999807</v>
      </c>
      <c r="I33" s="191"/>
      <c r="J33"/>
      <c r="K33"/>
      <c r="L33"/>
      <c r="M33"/>
      <c r="N33"/>
      <c r="O33"/>
      <c r="P33"/>
      <c r="Q33"/>
      <c r="R33"/>
      <c r="S33"/>
      <c r="T33"/>
      <c r="U33"/>
      <c r="V33"/>
      <c r="W33"/>
      <c r="X33"/>
      <c r="Y33"/>
      <c r="Z33"/>
      <c r="AA33"/>
      <c r="AB33"/>
      <c r="AC33"/>
      <c r="AD33"/>
      <c r="AE33"/>
      <c r="AF33"/>
      <c r="AG33"/>
      <c r="AH33"/>
      <c r="AI33"/>
      <c r="AJ33"/>
      <c r="AK33"/>
      <c r="AL33"/>
    </row>
    <row r="34" spans="2:38" x14ac:dyDescent="0.2">
      <c r="B34" s="192" t="s">
        <v>2226</v>
      </c>
      <c r="C34" s="445" t="s">
        <v>2444</v>
      </c>
      <c r="D34" s="193">
        <v>73.72</v>
      </c>
      <c r="E34" s="193"/>
      <c r="F34" s="193">
        <v>39.159999999999997</v>
      </c>
      <c r="G34" s="194">
        <v>2</v>
      </c>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t="s">
        <v>2226</v>
      </c>
      <c r="C35" s="201" t="s">
        <v>2445</v>
      </c>
      <c r="D35" s="202">
        <v>73.72</v>
      </c>
      <c r="E35" s="202"/>
      <c r="F35" s="202">
        <v>39.159999999999997</v>
      </c>
      <c r="G35" s="203">
        <v>2.5</v>
      </c>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